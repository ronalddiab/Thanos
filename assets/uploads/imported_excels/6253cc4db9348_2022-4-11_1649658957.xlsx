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5" yWindow="0" windowWidth="14325" windowHeight="11985" tabRatio="578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L12" i="3"/>
  <c r="T12"/>
  <c r="M12"/>
  <c r="U12"/>
  <c r="AA7" l="1"/>
  <c r="Q7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10" s="1"/>
  <c r="H11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10" s="1"/>
  <c r="J11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10" s="1"/>
  <c r="R11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2" s="1"/>
  <c r="AV13" s="1"/>
  <c r="AV14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3" s="1"/>
  <c r="AX14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2" s="1"/>
  <c r="C13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5"/>
  <c r="F6" s="1"/>
  <c r="F12" s="1"/>
  <c r="F13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2" s="1"/>
  <c r="B13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4"/>
  <c r="F4" i="2"/>
  <c r="F5" s="1"/>
  <c r="F11" s="1"/>
  <c r="F12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11" s="1"/>
  <c r="H12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11" s="1"/>
  <c r="J12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L4"/>
  <c r="L5" s="1"/>
  <c r="L11" s="1"/>
  <c r="L12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P4"/>
  <c r="P5" s="1"/>
  <c r="P11" s="1"/>
  <c r="P12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D4"/>
  <c r="D5" s="1"/>
  <c r="D11" s="1"/>
  <c r="D12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M9" s="1"/>
  <c r="L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K11" l="1"/>
  <c r="M11" s="1"/>
  <c r="L11" s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K15" i="3" l="1"/>
  <c r="M15" s="1"/>
  <c r="L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M17" s="1"/>
  <c r="L17" s="1"/>
  <c r="L18" l="1"/>
  <c r="BK18" i="7"/>
  <c r="AG15" i="3"/>
  <c r="AK16"/>
  <c r="AL16"/>
  <c r="AE16"/>
  <c r="AF16" s="1"/>
  <c r="F16" i="63"/>
  <c r="V33" i="5"/>
  <c r="W32"/>
  <c r="AL32" s="1"/>
  <c r="Z17" i="3"/>
  <c r="K18"/>
  <c r="M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L20" l="1"/>
  <c r="V35" i="5"/>
  <c r="W34"/>
  <c r="AL34" s="1"/>
  <c r="K20" i="3"/>
  <c r="M20" s="1"/>
  <c r="Z19"/>
  <c r="AE18"/>
  <c r="AF18" s="1"/>
  <c r="AL18"/>
  <c r="F18" i="63"/>
  <c r="AK18" i="3"/>
  <c r="BK20" i="7"/>
  <c r="AG17" i="3"/>
  <c r="L21" l="1"/>
  <c r="V36" i="5"/>
  <c r="W36" s="1"/>
  <c r="AL36" s="1"/>
  <c r="W35"/>
  <c r="AL35" s="1"/>
  <c r="Z20" i="3"/>
  <c r="AB20"/>
  <c r="K21"/>
  <c r="M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L23" l="1"/>
  <c r="F21" i="63"/>
  <c r="AE21" i="3"/>
  <c r="AF21" s="1"/>
  <c r="AK21"/>
  <c r="AL21"/>
  <c r="BK23" i="7"/>
  <c r="AG20" i="3"/>
  <c r="K23"/>
  <c r="M23" s="1"/>
  <c r="AB22"/>
  <c r="Z22"/>
  <c r="L24" l="1"/>
  <c r="L25" s="1"/>
  <c r="Z23"/>
  <c r="AB23"/>
  <c r="K24"/>
  <c r="M24" s="1"/>
  <c r="BK24" i="7"/>
  <c r="AG21" i="3"/>
  <c r="AL22"/>
  <c r="F22" i="63"/>
  <c r="AE22" i="3"/>
  <c r="AF22" s="1"/>
  <c r="AK22"/>
  <c r="AC22"/>
  <c r="Z24" l="1"/>
  <c r="K26"/>
  <c r="M26" s="1"/>
  <c r="L26" s="1"/>
  <c r="F23" i="63"/>
  <c r="AC23" i="3"/>
  <c r="AL23"/>
  <c r="AE23"/>
  <c r="AF23" s="1"/>
  <c r="AK23"/>
  <c r="BK25" i="7"/>
  <c r="AG22" i="3"/>
  <c r="AH22" s="1"/>
  <c r="L27" l="1"/>
  <c r="BK26" i="7"/>
  <c r="AG23" i="3"/>
  <c r="AH23" s="1"/>
  <c r="AL24"/>
  <c r="AK24"/>
  <c r="F24" i="63"/>
  <c r="AE24" i="3"/>
  <c r="AF24" s="1"/>
  <c r="K27"/>
  <c r="M27" s="1"/>
  <c r="Z25"/>
  <c r="K28" l="1"/>
  <c r="M28" s="1"/>
  <c r="L28" s="1"/>
  <c r="Z26"/>
  <c r="F25" i="63"/>
  <c r="AK25" i="3"/>
  <c r="AE25"/>
  <c r="AF25" s="1"/>
  <c r="AL25"/>
  <c r="BK27" i="7"/>
  <c r="AG24" i="3"/>
  <c r="K29" l="1"/>
  <c r="M29" s="1"/>
  <c r="L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C28" i="3"/>
  <c r="AE28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AH28" s="1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<sst xmlns="http://schemas.openxmlformats.org/spreadsheetml/2006/main" count="666" uniqueCount="418">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</sst>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5786752"/>
        <c:axId val="125936000"/>
      </c:lineChart>
      <c:catAx>
        <c:axId val="12578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36000"/>
        <c:crosses val="autoZero"/>
        <c:auto val="1"/>
        <c:lblAlgn val="ctr"/>
        <c:lblOffset val="100"/>
      </c:catAx>
      <c:valAx>
        <c:axId val="125936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8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5956864"/>
        <c:axId val="125958400"/>
      </c:lineChart>
      <c:catAx>
        <c:axId val="12595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58400"/>
        <c:crosses val="autoZero"/>
        <c:auto val="1"/>
        <c:lblAlgn val="ctr"/>
        <c:lblOffset val="100"/>
      </c:catAx>
      <c:valAx>
        <c:axId val="125958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5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98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18"/>
          <c:w val="0.77663126001867677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5720832"/>
        <c:axId val="125726720"/>
      </c:lineChart>
      <c:catAx>
        <c:axId val="12572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26720"/>
        <c:crosses val="autoZero"/>
        <c:auto val="1"/>
        <c:lblAlgn val="ctr"/>
        <c:lblOffset val="100"/>
      </c:catAx>
      <c:valAx>
        <c:axId val="1257267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2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5743104"/>
        <c:axId val="125744640"/>
      </c:lineChart>
      <c:catAx>
        <c:axId val="1257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4640"/>
        <c:crosses val="autoZero"/>
        <c:auto val="1"/>
        <c:lblAlgn val="ctr"/>
        <c:lblOffset val="100"/>
      </c:catAx>
      <c:valAx>
        <c:axId val="1257446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00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3428864"/>
        <c:axId val="83430400"/>
      </c:lineChart>
      <c:catAx>
        <c:axId val="8342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30400"/>
        <c:crosses val="autoZero"/>
        <c:auto val="1"/>
        <c:lblAlgn val="ctr"/>
        <c:lblOffset val="100"/>
      </c:catAx>
      <c:valAx>
        <c:axId val="834304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2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50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44547456"/>
        <c:axId val="44557440"/>
      </c:lineChart>
      <c:catAx>
        <c:axId val="4454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57440"/>
        <c:crosses val="autoZero"/>
        <c:auto val="1"/>
        <c:lblAlgn val="ctr"/>
        <c:lblOffset val="100"/>
      </c:catAx>
      <c:valAx>
        <c:axId val="4455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4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0055680"/>
        <c:axId val="140057216"/>
      </c:lineChart>
      <c:catAx>
        <c:axId val="14005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57216"/>
        <c:crosses val="autoZero"/>
        <c:auto val="1"/>
        <c:lblAlgn val="ctr"/>
        <c:lblOffset val="100"/>
      </c:catAx>
      <c:valAx>
        <c:axId val="14005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5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3708544"/>
        <c:axId val="83722624"/>
      </c:lineChart>
      <c:catAx>
        <c:axId val="8370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22624"/>
        <c:crosses val="autoZero"/>
        <c:auto val="1"/>
        <c:lblAlgn val="ctr"/>
        <c:lblOffset val="100"/>
      </c:catAx>
      <c:valAx>
        <c:axId val="8372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0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3743104"/>
        <c:axId val="83744640"/>
      </c:lineChart>
      <c:catAx>
        <c:axId val="837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4640"/>
        <c:crosses val="autoZero"/>
        <c:auto val="1"/>
        <c:lblAlgn val="ctr"/>
        <c:lblOffset val="100"/>
      </c:catAx>
      <c:valAx>
        <c:axId val="837446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82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3826560"/>
        <c:axId val="83828096"/>
      </c:lineChart>
      <c:catAx>
        <c:axId val="8382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28096"/>
        <c:crosses val="autoZero"/>
        <c:auto val="1"/>
        <c:lblAlgn val="ctr"/>
        <c:lblOffset val="100"/>
      </c:catAx>
      <c:valAx>
        <c:axId val="83828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2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3795328"/>
        <c:axId val="83801216"/>
      </c:lineChart>
      <c:catAx>
        <c:axId val="8379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01216"/>
        <c:crosses val="autoZero"/>
        <c:auto val="1"/>
        <c:lblAlgn val="ctr"/>
        <c:lblOffset val="100"/>
      </c:catAx>
      <c:valAx>
        <c:axId val="838012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9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3981824"/>
        <c:axId val="83983360"/>
      </c:lineChart>
      <c:catAx>
        <c:axId val="8398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83360"/>
        <c:crosses val="autoZero"/>
        <c:auto val="1"/>
        <c:lblAlgn val="ctr"/>
        <c:lblOffset val="100"/>
      </c:catAx>
      <c:valAx>
        <c:axId val="8398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8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7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157</c:v>
                </c:pt>
                <c:pt idx="8">
                  <c:v>0</c:v>
                </c:pt>
                <c:pt idx="9">
                  <c:v>0</c:v>
                </c:pt>
                <c:pt idx="10">
                  <c:v>345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3996032"/>
        <c:axId val="84014208"/>
      </c:lineChart>
      <c:catAx>
        <c:axId val="8399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14208"/>
        <c:crosses val="autoZero"/>
        <c:auto val="1"/>
        <c:lblAlgn val="ctr"/>
        <c:lblOffset val="100"/>
      </c:catAx>
      <c:valAx>
        <c:axId val="8401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9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14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4247680"/>
        <c:axId val="84249216"/>
      </c:lineChart>
      <c:catAx>
        <c:axId val="8424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49216"/>
        <c:crosses val="autoZero"/>
        <c:auto val="1"/>
        <c:lblAlgn val="ctr"/>
        <c:lblOffset val="100"/>
      </c:catAx>
      <c:valAx>
        <c:axId val="84249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4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4278272"/>
        <c:axId val="84370176"/>
      </c:lineChart>
      <c:catAx>
        <c:axId val="8427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70176"/>
        <c:crosses val="autoZero"/>
        <c:auto val="1"/>
        <c:lblAlgn val="ctr"/>
        <c:lblOffset val="100"/>
      </c:catAx>
      <c:valAx>
        <c:axId val="84370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7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4398848"/>
        <c:axId val="84400384"/>
      </c:lineChart>
      <c:catAx>
        <c:axId val="8439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00384"/>
        <c:crosses val="autoZero"/>
        <c:auto val="1"/>
        <c:lblAlgn val="ctr"/>
        <c:lblOffset val="100"/>
      </c:catAx>
      <c:valAx>
        <c:axId val="84400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9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14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1044864"/>
        <c:axId val="111046656"/>
      </c:lineChart>
      <c:catAx>
        <c:axId val="11104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46656"/>
        <c:crosses val="autoZero"/>
        <c:auto val="1"/>
        <c:lblAlgn val="ctr"/>
        <c:lblOffset val="100"/>
      </c:catAx>
      <c:valAx>
        <c:axId val="1110466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4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2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-2453.4193548387411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-1025.1935483870911</c:v>
                </c:pt>
                <c:pt idx="7">
                  <c:v>0</c:v>
                </c:pt>
                <c:pt idx="8">
                  <c:v>0</c:v>
                </c:pt>
                <c:pt idx="9">
                  <c:v>-1113.1935483870911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1071232"/>
        <c:axId val="111072768"/>
      </c:lineChart>
      <c:catAx>
        <c:axId val="11107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72768"/>
        <c:crosses val="autoZero"/>
        <c:auto val="1"/>
        <c:lblAlgn val="ctr"/>
        <c:lblOffset val="100"/>
      </c:catAx>
      <c:valAx>
        <c:axId val="111072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7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1179648"/>
        <c:axId val="111181184"/>
      </c:lineChart>
      <c:catAx>
        <c:axId val="11117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81184"/>
        <c:crosses val="autoZero"/>
        <c:auto val="1"/>
        <c:lblAlgn val="ctr"/>
        <c:lblOffset val="100"/>
      </c:catAx>
      <c:valAx>
        <c:axId val="111181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7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1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1193472"/>
        <c:axId val="111207552"/>
      </c:lineChart>
      <c:catAx>
        <c:axId val="11119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07552"/>
        <c:crosses val="autoZero"/>
        <c:auto val="1"/>
        <c:lblAlgn val="ctr"/>
        <c:lblOffset val="100"/>
      </c:catAx>
      <c:valAx>
        <c:axId val="1112075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9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3180160"/>
        <c:axId val="123181696"/>
      </c:lineChart>
      <c:catAx>
        <c:axId val="12318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81696"/>
        <c:crosses val="autoZero"/>
        <c:auto val="1"/>
        <c:lblAlgn val="ctr"/>
        <c:lblOffset val="100"/>
      </c:catAx>
      <c:valAx>
        <c:axId val="1231816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8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6032512"/>
        <c:axId val="126042496"/>
      </c:lineChart>
      <c:catAx>
        <c:axId val="12603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42496"/>
        <c:crosses val="autoZero"/>
        <c:auto val="1"/>
        <c:lblAlgn val="ctr"/>
        <c:lblOffset val="100"/>
      </c:catAx>
      <c:valAx>
        <c:axId val="126042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3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00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6067072"/>
        <c:axId val="126068608"/>
      </c:lineChart>
      <c:catAx>
        <c:axId val="12606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68608"/>
        <c:crosses val="autoZero"/>
        <c:auto val="1"/>
        <c:lblAlgn val="ctr"/>
        <c:lblOffset val="100"/>
      </c:catAx>
      <c:valAx>
        <c:axId val="12606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6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5646720"/>
        <c:axId val="125648256"/>
      </c:lineChart>
      <c:catAx>
        <c:axId val="12564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48256"/>
        <c:crosses val="autoZero"/>
        <c:auto val="1"/>
        <c:lblAlgn val="ctr"/>
        <c:lblOffset val="100"/>
      </c:catAx>
      <c:valAx>
        <c:axId val="125648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4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006"/>
          <c:w val="0.1234311819809455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-402.60000000000014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16.699999999999996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5686528"/>
        <c:axId val="125688064"/>
      </c:lineChart>
      <c:catAx>
        <c:axId val="1256865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88064"/>
        <c:crosses val="autoZero"/>
        <c:auto val="1"/>
        <c:lblAlgn val="ctr"/>
        <c:lblOffset val="100"/>
      </c:catAx>
      <c:valAx>
        <c:axId val="1256880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8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854"/>
          <c:w val="0.1569039853282460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6113664"/>
        <c:axId val="126115200"/>
      </c:lineChart>
      <c:catAx>
        <c:axId val="12611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15200"/>
        <c:crosses val="autoZero"/>
        <c:auto val="1"/>
        <c:lblAlgn val="ctr"/>
        <c:lblOffset val="100"/>
      </c:catAx>
      <c:valAx>
        <c:axId val="126115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1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4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6230528"/>
        <c:axId val="126232064"/>
      </c:lineChart>
      <c:catAx>
        <c:axId val="12623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32064"/>
        <c:crosses val="autoZero"/>
        <c:auto val="1"/>
        <c:lblAlgn val="ctr"/>
        <c:lblOffset val="100"/>
      </c:catAx>
      <c:valAx>
        <c:axId val="12623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3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93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-402.60000000000014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16.699999999999996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6929920"/>
        <c:axId val="126759680"/>
      </c:lineChart>
      <c:catAx>
        <c:axId val="1269299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59680"/>
        <c:crosses val="autoZero"/>
        <c:auto val="1"/>
        <c:lblAlgn val="ctr"/>
        <c:lblOffset val="100"/>
      </c:catAx>
      <c:valAx>
        <c:axId val="1267596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2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85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0.34976129000437162</v>
      </c>
      <c r="G4" s="203">
        <f>-tanks!AW8</f>
        <v>347</v>
      </c>
      <c r="H4" s="315">
        <f>tanks!AV8</f>
        <v>1.1200000000000001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0.40269657840328382</v>
      </c>
      <c r="G5" s="203">
        <f>-tanks!AW9</f>
        <v>391</v>
      </c>
      <c r="H5" s="315">
        <f>tanks!AV9</f>
        <v>1.1200000000000001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0.32618799078738886</v>
      </c>
      <c r="G6" s="203">
        <f>-tanks!AW10</f>
        <v>196</v>
      </c>
      <c r="H6" s="315">
        <f>tanks!AV10</f>
        <v>1.1200000000000001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0.43551510747354538</v>
      </c>
      <c r="G7" s="203">
        <f>-tanks!AW11</f>
        <v>165</v>
      </c>
      <c r="H7" s="315">
        <f>tanks!AV11</f>
        <v>1.1200000000000001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4790</v>
      </c>
      <c r="F8" s="315">
        <f>SUM('EDl log'!T10)</f>
        <v>0.2162777516031</v>
      </c>
      <c r="G8" s="203">
        <f>-tanks!AW12</f>
        <v>157</v>
      </c>
      <c r="H8" s="315">
        <f>tanks!AV12</f>
        <v>1.0089999999999999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1.0089999999999999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1.0089999999999999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5071</v>
      </c>
      <c r="F11" s="315">
        <f>SUM('EDl log'!T13)</f>
        <v>0.18836608693790169</v>
      </c>
      <c r="G11" s="203">
        <f>-tanks!AW15</f>
        <v>345</v>
      </c>
      <c r="H11" s="315">
        <f>tanks!AV15</f>
        <v>1.0089999999999999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1.0089999999999999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1.0089999999999999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1.0089999999999999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1.0089999999999999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1.0089999999999999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1.0089999999999999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1.0089999999999999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1.0089999999999999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1.0089999999999999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1.0089999999999999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1.0089999999999999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1.0089999999999999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1.0089999999999999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1.0089999999999999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1.0089999999999999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1.0089999999999999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1.0089999999999999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1.0089999999999999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1.0089999999999999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1.0089999999999999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838</v>
      </c>
      <c r="F8" s="203">
        <f>ELEC!K10</f>
        <v>1748</v>
      </c>
      <c r="G8" s="203">
        <f>ELEC!I10</f>
        <v>440</v>
      </c>
      <c r="H8" s="203">
        <f>ELEC!E10</f>
        <v>1490</v>
      </c>
      <c r="I8" s="203">
        <f>ELEC!G10</f>
        <v>274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844</v>
      </c>
      <c r="F11" s="203">
        <f>ELEC!K13</f>
        <v>2036</v>
      </c>
      <c r="G11" s="203">
        <f>ELEC!I13</f>
        <v>428</v>
      </c>
      <c r="H11" s="203">
        <f>ELEC!E13</f>
        <v>1510</v>
      </c>
      <c r="I11" s="203">
        <f>ELEC!G13</f>
        <v>253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13" sqref="Q13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v>268030</v>
      </c>
      <c r="E10" s="580">
        <f t="shared" si="8"/>
        <v>1490</v>
      </c>
      <c r="F10" s="569">
        <v>4127559</v>
      </c>
      <c r="G10" s="449">
        <f t="shared" si="21"/>
        <v>274</v>
      </c>
      <c r="H10" s="426">
        <v>18032702</v>
      </c>
      <c r="I10" s="449">
        <f t="shared" si="22"/>
        <v>440</v>
      </c>
      <c r="J10" s="426">
        <v>29766678</v>
      </c>
      <c r="K10" s="449">
        <f t="shared" si="23"/>
        <v>1748</v>
      </c>
      <c r="L10" s="426">
        <v>24567564</v>
      </c>
      <c r="M10" s="449">
        <f t="shared" si="24"/>
        <v>838</v>
      </c>
      <c r="N10" s="297">
        <f t="shared" si="25"/>
        <v>4790</v>
      </c>
      <c r="O10" s="445">
        <f t="shared" si="0"/>
        <v>0</v>
      </c>
      <c r="P10" s="563">
        <v>19146.745999999999</v>
      </c>
      <c r="Q10" s="446">
        <f t="shared" si="1"/>
        <v>4628.0000000006112</v>
      </c>
      <c r="R10" s="428">
        <f t="shared" si="29"/>
        <v>161.99999999938882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268030</v>
      </c>
      <c r="E11" s="580">
        <f t="shared" si="8"/>
        <v>0</v>
      </c>
      <c r="F11" s="569">
        <f t="shared" si="9"/>
        <v>4127559</v>
      </c>
      <c r="G11" s="449">
        <f t="shared" si="21"/>
        <v>0</v>
      </c>
      <c r="H11" s="426">
        <f t="shared" si="10"/>
        <v>18032702</v>
      </c>
      <c r="I11" s="449">
        <f t="shared" si="22"/>
        <v>0</v>
      </c>
      <c r="J11" s="426">
        <f t="shared" si="11"/>
        <v>29766678</v>
      </c>
      <c r="K11" s="449">
        <f t="shared" si="23"/>
        <v>0</v>
      </c>
      <c r="L11" s="426">
        <f t="shared" si="12"/>
        <v>24567564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19146.745999999999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268030</v>
      </c>
      <c r="E12" s="580">
        <f>D12-D11</f>
        <v>0</v>
      </c>
      <c r="F12" s="569">
        <f t="shared" si="9"/>
        <v>4127559</v>
      </c>
      <c r="G12" s="449">
        <f t="shared" si="21"/>
        <v>0</v>
      </c>
      <c r="H12" s="426">
        <f t="shared" si="10"/>
        <v>18032702</v>
      </c>
      <c r="I12" s="449">
        <f t="shared" si="22"/>
        <v>0</v>
      </c>
      <c r="J12" s="426">
        <f t="shared" si="11"/>
        <v>29766678</v>
      </c>
      <c r="K12" s="449">
        <f t="shared" si="23"/>
        <v>0</v>
      </c>
      <c r="L12" s="426">
        <f t="shared" si="12"/>
        <v>24567564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19146.745999999999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v>269540</v>
      </c>
      <c r="E13" s="580">
        <f t="shared" si="8"/>
        <v>1510</v>
      </c>
      <c r="F13" s="569">
        <v>4127812</v>
      </c>
      <c r="G13" s="449">
        <f t="shared" si="21"/>
        <v>253</v>
      </c>
      <c r="H13" s="426">
        <v>18033130</v>
      </c>
      <c r="I13" s="449">
        <f t="shared" si="22"/>
        <v>428</v>
      </c>
      <c r="J13" s="426">
        <v>29768714</v>
      </c>
      <c r="K13" s="449">
        <f t="shared" si="23"/>
        <v>2036</v>
      </c>
      <c r="L13" s="426">
        <v>24568408</v>
      </c>
      <c r="M13" s="449">
        <f t="shared" si="24"/>
        <v>844</v>
      </c>
      <c r="N13" s="297">
        <f>M13+K13+I13+G13+E13</f>
        <v>5071</v>
      </c>
      <c r="O13" s="445">
        <f t="shared" si="32"/>
        <v>0</v>
      </c>
      <c r="P13" s="563">
        <v>19151.650000000001</v>
      </c>
      <c r="Q13" s="446">
        <f t="shared" si="1"/>
        <v>4904.0000000022701</v>
      </c>
      <c r="R13" s="428">
        <f t="shared" si="29"/>
        <v>166.9999999977299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f t="shared" si="7"/>
        <v>269540</v>
      </c>
      <c r="E14" s="580">
        <f t="shared" si="8"/>
        <v>0</v>
      </c>
      <c r="F14" s="569">
        <f t="shared" si="9"/>
        <v>4127812</v>
      </c>
      <c r="G14" s="449">
        <f t="shared" si="21"/>
        <v>0</v>
      </c>
      <c r="H14" s="426">
        <f t="shared" si="10"/>
        <v>18033130</v>
      </c>
      <c r="I14" s="449">
        <f t="shared" si="22"/>
        <v>0</v>
      </c>
      <c r="J14" s="426">
        <f t="shared" si="11"/>
        <v>29768714</v>
      </c>
      <c r="K14" s="449">
        <f t="shared" si="23"/>
        <v>0</v>
      </c>
      <c r="L14" s="426">
        <f t="shared" si="12"/>
        <v>24568408</v>
      </c>
      <c r="M14" s="449">
        <f t="shared" si="24"/>
        <v>0</v>
      </c>
      <c r="N14" s="297">
        <f t="shared" si="25"/>
        <v>0</v>
      </c>
      <c r="O14" s="445">
        <f t="shared" si="32"/>
        <v>0</v>
      </c>
      <c r="P14" s="563">
        <f t="shared" si="13"/>
        <v>19151.650000000001</v>
      </c>
      <c r="Q14" s="446">
        <f t="shared" si="1"/>
        <v>0</v>
      </c>
      <c r="R14" s="428">
        <f t="shared" si="29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f t="shared" si="7"/>
        <v>269540</v>
      </c>
      <c r="E15" s="580">
        <f t="shared" si="8"/>
        <v>0</v>
      </c>
      <c r="F15" s="569">
        <f t="shared" si="9"/>
        <v>4127812</v>
      </c>
      <c r="G15" s="449">
        <f t="shared" si="21"/>
        <v>0</v>
      </c>
      <c r="H15" s="426">
        <f t="shared" si="10"/>
        <v>18033130</v>
      </c>
      <c r="I15" s="449">
        <f t="shared" si="22"/>
        <v>0</v>
      </c>
      <c r="J15" s="426">
        <f t="shared" si="11"/>
        <v>29768714</v>
      </c>
      <c r="K15" s="449">
        <f t="shared" si="23"/>
        <v>0</v>
      </c>
      <c r="L15" s="426">
        <f t="shared" si="12"/>
        <v>24568408</v>
      </c>
      <c r="M15" s="449">
        <f t="shared" si="24"/>
        <v>0</v>
      </c>
      <c r="N15" s="297">
        <f t="shared" si="25"/>
        <v>0</v>
      </c>
      <c r="O15" s="445">
        <f t="shared" si="32"/>
        <v>0</v>
      </c>
      <c r="P15" s="563">
        <f t="shared" si="13"/>
        <v>19151.650000000001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f t="shared" si="7"/>
        <v>269540</v>
      </c>
      <c r="E16" s="580">
        <f t="shared" si="8"/>
        <v>0</v>
      </c>
      <c r="F16" s="569">
        <f t="shared" si="9"/>
        <v>4127812</v>
      </c>
      <c r="G16" s="449">
        <f t="shared" si="21"/>
        <v>0</v>
      </c>
      <c r="H16" s="426">
        <f t="shared" si="10"/>
        <v>18033130</v>
      </c>
      <c r="I16" s="449">
        <f t="shared" si="22"/>
        <v>0</v>
      </c>
      <c r="J16" s="426">
        <f t="shared" si="11"/>
        <v>29768714</v>
      </c>
      <c r="K16" s="449">
        <f t="shared" si="23"/>
        <v>0</v>
      </c>
      <c r="L16" s="426">
        <f t="shared" si="12"/>
        <v>24568408</v>
      </c>
      <c r="M16" s="449">
        <f t="shared" si="24"/>
        <v>0</v>
      </c>
      <c r="N16" s="297">
        <f t="shared" si="25"/>
        <v>0</v>
      </c>
      <c r="O16" s="445">
        <f t="shared" si="32"/>
        <v>0</v>
      </c>
      <c r="P16" s="563">
        <f t="shared" si="13"/>
        <v>19151.650000000001</v>
      </c>
      <c r="Q16" s="446">
        <f t="shared" si="1"/>
        <v>0</v>
      </c>
      <c r="R16" s="428">
        <f t="shared" si="29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269540</v>
      </c>
      <c r="E17" s="580">
        <f t="shared" si="8"/>
        <v>0</v>
      </c>
      <c r="F17" s="569">
        <f t="shared" si="9"/>
        <v>4127812</v>
      </c>
      <c r="G17" s="449">
        <f t="shared" si="21"/>
        <v>0</v>
      </c>
      <c r="H17" s="426">
        <f t="shared" si="10"/>
        <v>18033130</v>
      </c>
      <c r="I17" s="449">
        <f t="shared" si="22"/>
        <v>0</v>
      </c>
      <c r="J17" s="426">
        <f t="shared" si="11"/>
        <v>29768714</v>
      </c>
      <c r="K17" s="449">
        <f t="shared" si="23"/>
        <v>0</v>
      </c>
      <c r="L17" s="426">
        <f t="shared" si="12"/>
        <v>24568408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19151.650000000001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269540</v>
      </c>
      <c r="E18" s="580">
        <f t="shared" si="8"/>
        <v>0</v>
      </c>
      <c r="F18" s="569">
        <f t="shared" si="9"/>
        <v>4127812</v>
      </c>
      <c r="G18" s="449">
        <f t="shared" si="21"/>
        <v>0</v>
      </c>
      <c r="H18" s="426">
        <f t="shared" si="10"/>
        <v>18033130</v>
      </c>
      <c r="I18" s="449">
        <f t="shared" si="22"/>
        <v>0</v>
      </c>
      <c r="J18" s="426">
        <f t="shared" si="11"/>
        <v>29768714</v>
      </c>
      <c r="K18" s="449">
        <f t="shared" si="23"/>
        <v>0</v>
      </c>
      <c r="L18" s="426">
        <f t="shared" si="12"/>
        <v>24568408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19151.650000000001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269540</v>
      </c>
      <c r="E19" s="580">
        <f t="shared" si="8"/>
        <v>0</v>
      </c>
      <c r="F19" s="569">
        <f t="shared" si="9"/>
        <v>4127812</v>
      </c>
      <c r="G19" s="449">
        <f t="shared" si="21"/>
        <v>0</v>
      </c>
      <c r="H19" s="426">
        <f t="shared" si="10"/>
        <v>18033130</v>
      </c>
      <c r="I19" s="449">
        <f t="shared" si="22"/>
        <v>0</v>
      </c>
      <c r="J19" s="426">
        <f t="shared" si="11"/>
        <v>29768714</v>
      </c>
      <c r="K19" s="449">
        <f t="shared" si="23"/>
        <v>0</v>
      </c>
      <c r="L19" s="426">
        <f t="shared" si="12"/>
        <v>24568408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19151.650000000001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269540</v>
      </c>
      <c r="E20" s="580">
        <f t="shared" si="8"/>
        <v>0</v>
      </c>
      <c r="F20" s="569">
        <f t="shared" si="9"/>
        <v>4127812</v>
      </c>
      <c r="G20" s="449">
        <f t="shared" si="21"/>
        <v>0</v>
      </c>
      <c r="H20" s="426">
        <f t="shared" si="10"/>
        <v>18033130</v>
      </c>
      <c r="I20" s="449">
        <f t="shared" si="22"/>
        <v>0</v>
      </c>
      <c r="J20" s="426">
        <f t="shared" si="11"/>
        <v>29768714</v>
      </c>
      <c r="K20" s="449">
        <f t="shared" si="23"/>
        <v>0</v>
      </c>
      <c r="L20" s="426">
        <f t="shared" si="12"/>
        <v>24568408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19151.650000000001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f t="shared" si="7"/>
        <v>269540</v>
      </c>
      <c r="E21" s="580">
        <f t="shared" si="8"/>
        <v>0</v>
      </c>
      <c r="F21" s="569">
        <f t="shared" si="9"/>
        <v>4127812</v>
      </c>
      <c r="G21" s="449">
        <f t="shared" si="21"/>
        <v>0</v>
      </c>
      <c r="H21" s="426">
        <f t="shared" si="10"/>
        <v>18033130</v>
      </c>
      <c r="I21" s="449">
        <f t="shared" si="22"/>
        <v>0</v>
      </c>
      <c r="J21" s="426">
        <f t="shared" si="11"/>
        <v>29768714</v>
      </c>
      <c r="K21" s="449">
        <f t="shared" si="23"/>
        <v>0</v>
      </c>
      <c r="L21" s="426">
        <f t="shared" si="12"/>
        <v>24568408</v>
      </c>
      <c r="M21" s="449">
        <f t="shared" si="24"/>
        <v>0</v>
      </c>
      <c r="N21" s="297">
        <f t="shared" si="25"/>
        <v>0</v>
      </c>
      <c r="O21" s="445">
        <f t="shared" si="32"/>
        <v>0</v>
      </c>
      <c r="P21" s="563">
        <f t="shared" si="13"/>
        <v>19151.650000000001</v>
      </c>
      <c r="Q21" s="446">
        <f t="shared" si="1"/>
        <v>0</v>
      </c>
      <c r="R21" s="594">
        <f t="shared" ref="R21:R31" si="35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f t="shared" si="7"/>
        <v>269540</v>
      </c>
      <c r="E22" s="580">
        <f t="shared" ref="E22" si="36">D22-D21</f>
        <v>0</v>
      </c>
      <c r="F22" s="569">
        <f t="shared" si="9"/>
        <v>4127812</v>
      </c>
      <c r="G22" s="449">
        <f t="shared" ref="G22" si="37">F22-F21</f>
        <v>0</v>
      </c>
      <c r="H22" s="426">
        <f t="shared" si="10"/>
        <v>18033130</v>
      </c>
      <c r="I22" s="449">
        <f t="shared" ref="I22" si="38">H22-H21</f>
        <v>0</v>
      </c>
      <c r="J22" s="426">
        <f t="shared" si="11"/>
        <v>29768714</v>
      </c>
      <c r="K22" s="449">
        <f t="shared" ref="K22" si="39">J22-J21</f>
        <v>0</v>
      </c>
      <c r="L22" s="426">
        <f t="shared" si="12"/>
        <v>24568408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13"/>
        <v>19151.650000000001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f t="shared" si="7"/>
        <v>269540</v>
      </c>
      <c r="E23" s="580">
        <f t="shared" si="8"/>
        <v>0</v>
      </c>
      <c r="F23" s="569">
        <f t="shared" si="9"/>
        <v>4127812</v>
      </c>
      <c r="G23" s="449">
        <f t="shared" si="21"/>
        <v>0</v>
      </c>
      <c r="H23" s="426">
        <f t="shared" si="10"/>
        <v>18033130</v>
      </c>
      <c r="I23" s="449">
        <f t="shared" si="22"/>
        <v>0</v>
      </c>
      <c r="J23" s="426">
        <f t="shared" si="11"/>
        <v>29768714</v>
      </c>
      <c r="K23" s="449">
        <f t="shared" si="23"/>
        <v>0</v>
      </c>
      <c r="L23" s="426">
        <f t="shared" si="12"/>
        <v>24568408</v>
      </c>
      <c r="M23" s="449">
        <f t="shared" si="24"/>
        <v>0</v>
      </c>
      <c r="N23" s="297">
        <f t="shared" si="25"/>
        <v>0</v>
      </c>
      <c r="O23" s="445">
        <f t="shared" si="32"/>
        <v>0</v>
      </c>
      <c r="P23" s="563">
        <f t="shared" si="13"/>
        <v>19151.650000000001</v>
      </c>
      <c r="Q23" s="446">
        <f t="shared" si="1"/>
        <v>0</v>
      </c>
      <c r="R23" s="594">
        <f t="shared" si="35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269540</v>
      </c>
      <c r="E24" s="580">
        <f t="shared" si="8"/>
        <v>0</v>
      </c>
      <c r="F24" s="569">
        <f t="shared" si="9"/>
        <v>4127812</v>
      </c>
      <c r="G24" s="449">
        <f t="shared" si="21"/>
        <v>0</v>
      </c>
      <c r="H24" s="426">
        <f t="shared" si="10"/>
        <v>18033130</v>
      </c>
      <c r="I24" s="599">
        <f t="shared" si="22"/>
        <v>0</v>
      </c>
      <c r="J24" s="426">
        <f t="shared" si="11"/>
        <v>29768714</v>
      </c>
      <c r="K24" s="449">
        <f t="shared" si="23"/>
        <v>0</v>
      </c>
      <c r="L24" s="426">
        <f t="shared" si="12"/>
        <v>24568408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19151.650000000001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269540</v>
      </c>
      <c r="E25" s="580">
        <f t="shared" si="8"/>
        <v>0</v>
      </c>
      <c r="F25" s="569">
        <f t="shared" si="9"/>
        <v>4127812</v>
      </c>
      <c r="G25" s="449">
        <f t="shared" si="21"/>
        <v>0</v>
      </c>
      <c r="H25" s="426">
        <f t="shared" si="10"/>
        <v>18033130</v>
      </c>
      <c r="I25" s="449">
        <f t="shared" si="22"/>
        <v>0</v>
      </c>
      <c r="J25" s="426">
        <f t="shared" si="11"/>
        <v>29768714</v>
      </c>
      <c r="K25" s="449">
        <f t="shared" si="23"/>
        <v>0</v>
      </c>
      <c r="L25" s="426">
        <f t="shared" si="12"/>
        <v>24568408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19151.650000000001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269540</v>
      </c>
      <c r="E26" s="580">
        <f t="shared" si="8"/>
        <v>0</v>
      </c>
      <c r="F26" s="569">
        <f t="shared" si="9"/>
        <v>4127812</v>
      </c>
      <c r="G26" s="449">
        <f t="shared" si="21"/>
        <v>0</v>
      </c>
      <c r="H26" s="426">
        <f t="shared" si="10"/>
        <v>18033130</v>
      </c>
      <c r="I26" s="449">
        <f t="shared" si="22"/>
        <v>0</v>
      </c>
      <c r="J26" s="426">
        <f t="shared" si="11"/>
        <v>29768714</v>
      </c>
      <c r="K26" s="449">
        <f t="shared" si="23"/>
        <v>0</v>
      </c>
      <c r="L26" s="426">
        <f t="shared" si="12"/>
        <v>24568408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19151.650000000001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269540</v>
      </c>
      <c r="E27" s="580">
        <f t="shared" si="8"/>
        <v>0</v>
      </c>
      <c r="F27" s="569">
        <f t="shared" si="9"/>
        <v>4127812</v>
      </c>
      <c r="G27" s="449">
        <f t="shared" si="21"/>
        <v>0</v>
      </c>
      <c r="H27" s="426">
        <f t="shared" si="10"/>
        <v>18033130</v>
      </c>
      <c r="I27" s="449">
        <f t="shared" si="22"/>
        <v>0</v>
      </c>
      <c r="J27" s="426">
        <f t="shared" si="11"/>
        <v>29768714</v>
      </c>
      <c r="K27" s="449">
        <f t="shared" si="23"/>
        <v>0</v>
      </c>
      <c r="L27" s="426">
        <f t="shared" si="12"/>
        <v>24568408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19151.650000000001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f t="shared" si="7"/>
        <v>269540</v>
      </c>
      <c r="E28" s="580">
        <f t="shared" si="8"/>
        <v>0</v>
      </c>
      <c r="F28" s="569">
        <f t="shared" si="9"/>
        <v>4127812</v>
      </c>
      <c r="G28" s="449">
        <f>F28-F27</f>
        <v>0</v>
      </c>
      <c r="H28" s="426">
        <f t="shared" si="10"/>
        <v>18033130</v>
      </c>
      <c r="I28" s="449">
        <f t="shared" si="22"/>
        <v>0</v>
      </c>
      <c r="J28" s="426">
        <f t="shared" si="11"/>
        <v>29768714</v>
      </c>
      <c r="K28" s="449">
        <f t="shared" si="23"/>
        <v>0</v>
      </c>
      <c r="L28" s="426">
        <f t="shared" si="12"/>
        <v>24568408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19151.650000000001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269540</v>
      </c>
      <c r="E29" s="580">
        <f t="shared" si="8"/>
        <v>0</v>
      </c>
      <c r="F29" s="569">
        <f t="shared" si="9"/>
        <v>4127812</v>
      </c>
      <c r="G29" s="449">
        <f>F29-F28</f>
        <v>0</v>
      </c>
      <c r="H29" s="426">
        <f t="shared" si="10"/>
        <v>18033130</v>
      </c>
      <c r="I29" s="449">
        <f>H29-H28</f>
        <v>0</v>
      </c>
      <c r="J29" s="426">
        <f t="shared" si="11"/>
        <v>29768714</v>
      </c>
      <c r="K29" s="449">
        <f>J29-J28</f>
        <v>0</v>
      </c>
      <c r="L29" s="426">
        <f t="shared" si="12"/>
        <v>24568408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19151.650000000001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269540</v>
      </c>
      <c r="E30" s="580">
        <f t="shared" si="8"/>
        <v>0</v>
      </c>
      <c r="F30" s="569">
        <f t="shared" si="9"/>
        <v>4127812</v>
      </c>
      <c r="G30" s="449">
        <f t="shared" si="21"/>
        <v>0</v>
      </c>
      <c r="H30" s="426">
        <f t="shared" si="10"/>
        <v>18033130</v>
      </c>
      <c r="I30" s="449">
        <f t="shared" si="22"/>
        <v>0</v>
      </c>
      <c r="J30" s="426">
        <f t="shared" si="11"/>
        <v>29768714</v>
      </c>
      <c r="K30" s="449">
        <f t="shared" si="23"/>
        <v>0</v>
      </c>
      <c r="L30" s="426">
        <f t="shared" si="12"/>
        <v>24568408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19151.650000000001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269540</v>
      </c>
      <c r="E31" s="580">
        <f t="shared" si="8"/>
        <v>0</v>
      </c>
      <c r="F31" s="569">
        <f t="shared" si="9"/>
        <v>4127812</v>
      </c>
      <c r="G31" s="449">
        <f t="shared" si="21"/>
        <v>0</v>
      </c>
      <c r="H31" s="426">
        <f t="shared" si="10"/>
        <v>18033130</v>
      </c>
      <c r="I31" s="449">
        <f t="shared" si="22"/>
        <v>0</v>
      </c>
      <c r="J31" s="426">
        <f t="shared" si="11"/>
        <v>29768714</v>
      </c>
      <c r="K31" s="449">
        <f t="shared" si="23"/>
        <v>0</v>
      </c>
      <c r="L31" s="426">
        <f t="shared" si="12"/>
        <v>24568408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19151.650000000001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269540</v>
      </c>
      <c r="E32" s="580">
        <f t="shared" si="8"/>
        <v>0</v>
      </c>
      <c r="F32" s="569">
        <f t="shared" si="9"/>
        <v>4127812</v>
      </c>
      <c r="G32" s="449">
        <f t="shared" si="21"/>
        <v>0</v>
      </c>
      <c r="H32" s="426">
        <f t="shared" si="10"/>
        <v>18033130</v>
      </c>
      <c r="I32" s="449">
        <f t="shared" si="22"/>
        <v>0</v>
      </c>
      <c r="J32" s="426">
        <f t="shared" si="11"/>
        <v>29768714</v>
      </c>
      <c r="K32" s="449">
        <f t="shared" si="23"/>
        <v>0</v>
      </c>
      <c r="L32" s="426">
        <f t="shared" si="12"/>
        <v>24568408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19151.650000000001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269540</v>
      </c>
      <c r="E33" s="580">
        <f t="shared" si="8"/>
        <v>0</v>
      </c>
      <c r="F33" s="569">
        <f t="shared" si="9"/>
        <v>4127812</v>
      </c>
      <c r="G33" s="449">
        <f t="shared" si="21"/>
        <v>0</v>
      </c>
      <c r="H33" s="426">
        <f t="shared" si="10"/>
        <v>18033130</v>
      </c>
      <c r="I33" s="449">
        <f t="shared" si="22"/>
        <v>0</v>
      </c>
      <c r="J33" s="426">
        <f t="shared" si="11"/>
        <v>29768714</v>
      </c>
      <c r="K33" s="449">
        <f t="shared" si="23"/>
        <v>0</v>
      </c>
      <c r="L33" s="426">
        <f t="shared" si="12"/>
        <v>24568408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19151.650000000001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269540</v>
      </c>
      <c r="E34" s="580">
        <f t="shared" si="8"/>
        <v>0</v>
      </c>
      <c r="F34" s="569">
        <f t="shared" si="9"/>
        <v>4127812</v>
      </c>
      <c r="G34" s="449">
        <f t="shared" si="21"/>
        <v>0</v>
      </c>
      <c r="H34" s="426">
        <f t="shared" si="10"/>
        <v>18033130</v>
      </c>
      <c r="I34" s="449">
        <f t="shared" si="22"/>
        <v>0</v>
      </c>
      <c r="J34" s="426">
        <f t="shared" si="11"/>
        <v>29768714</v>
      </c>
      <c r="K34" s="449">
        <f t="shared" si="23"/>
        <v>0</v>
      </c>
      <c r="L34" s="426">
        <f t="shared" si="12"/>
        <v>24568408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19151.650000000001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Y14" sqref="Y14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67.554761904761918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v>230</v>
      </c>
      <c r="C11" s="537">
        <v>237</v>
      </c>
      <c r="D11" s="45">
        <f t="shared" si="36"/>
        <v>-14</v>
      </c>
      <c r="E11" s="45">
        <f t="shared" si="14"/>
        <v>-117.32000000000001</v>
      </c>
      <c r="F11" s="537">
        <v>2214</v>
      </c>
      <c r="G11" s="52">
        <f t="shared" si="0"/>
        <v>2</v>
      </c>
      <c r="H11" s="537">
        <v>41429</v>
      </c>
      <c r="I11" s="380">
        <f t="shared" si="1"/>
        <v>157</v>
      </c>
      <c r="J11" s="66">
        <f t="shared" si="17"/>
        <v>78.5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2</v>
      </c>
      <c r="V11" s="62">
        <f t="shared" si="22"/>
        <v>157</v>
      </c>
      <c r="W11" s="384">
        <f t="shared" si="23"/>
        <v>78.5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157</v>
      </c>
      <c r="AJ11" s="303">
        <f>-tanks!AW12</f>
        <v>157</v>
      </c>
      <c r="AK11" s="303">
        <f t="shared" si="31"/>
        <v>0</v>
      </c>
      <c r="AL11" s="303">
        <f t="shared" si="8"/>
        <v>2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230</v>
      </c>
      <c r="C12" s="537">
        <f t="shared" si="13"/>
        <v>237</v>
      </c>
      <c r="D12" s="45">
        <f t="shared" si="36"/>
        <v>0</v>
      </c>
      <c r="E12" s="45">
        <f t="shared" si="14"/>
        <v>0</v>
      </c>
      <c r="F12" s="537">
        <f t="shared" si="15"/>
        <v>2214</v>
      </c>
      <c r="G12" s="52">
        <f t="shared" si="0"/>
        <v>0</v>
      </c>
      <c r="H12" s="537">
        <f t="shared" si="16"/>
        <v>41429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230</v>
      </c>
      <c r="C13" s="537">
        <f t="shared" si="13"/>
        <v>237</v>
      </c>
      <c r="D13" s="45">
        <f t="shared" si="36"/>
        <v>0</v>
      </c>
      <c r="E13" s="45">
        <f t="shared" si="14"/>
        <v>0</v>
      </c>
      <c r="F13" s="537">
        <f t="shared" si="15"/>
        <v>2214</v>
      </c>
      <c r="G13" s="52">
        <f t="shared" si="0"/>
        <v>0</v>
      </c>
      <c r="H13" s="537">
        <f t="shared" si="16"/>
        <v>41429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v>243</v>
      </c>
      <c r="C14" s="537">
        <v>250</v>
      </c>
      <c r="D14" s="45">
        <f t="shared" si="36"/>
        <v>-13</v>
      </c>
      <c r="E14" s="45">
        <f t="shared" si="14"/>
        <v>-108.94000000000001</v>
      </c>
      <c r="F14" s="537">
        <v>2219</v>
      </c>
      <c r="G14" s="52">
        <f t="shared" si="0"/>
        <v>5</v>
      </c>
      <c r="H14" s="537">
        <v>41738</v>
      </c>
      <c r="I14" s="380">
        <f t="shared" si="1"/>
        <v>309</v>
      </c>
      <c r="J14" s="66">
        <f t="shared" si="17"/>
        <v>61.8</v>
      </c>
      <c r="K14" s="537">
        <v>2410</v>
      </c>
      <c r="L14" s="52">
        <f t="shared" si="19"/>
        <v>1</v>
      </c>
      <c r="M14" s="537">
        <v>178435</v>
      </c>
      <c r="N14" s="380">
        <f t="shared" si="2"/>
        <v>36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6</v>
      </c>
      <c r="V14" s="62">
        <f t="shared" si="22"/>
        <v>345</v>
      </c>
      <c r="W14" s="384">
        <f t="shared" si="23"/>
        <v>57.5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345</v>
      </c>
      <c r="AJ14" s="303">
        <f>-tanks!AW15</f>
        <v>345</v>
      </c>
      <c r="AK14" s="303">
        <f t="shared" si="31"/>
        <v>0</v>
      </c>
      <c r="AL14" s="303">
        <f t="shared" si="8"/>
        <v>6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f t="shared" si="12"/>
        <v>243</v>
      </c>
      <c r="C15" s="537">
        <f t="shared" si="13"/>
        <v>250</v>
      </c>
      <c r="D15" s="45">
        <f t="shared" si="36"/>
        <v>0</v>
      </c>
      <c r="E15" s="45">
        <f t="shared" si="14"/>
        <v>0</v>
      </c>
      <c r="F15" s="537">
        <f t="shared" si="15"/>
        <v>2219</v>
      </c>
      <c r="G15" s="52">
        <f t="shared" si="0"/>
        <v>0</v>
      </c>
      <c r="H15" s="537">
        <f t="shared" si="16"/>
        <v>41738</v>
      </c>
      <c r="I15" s="380">
        <f t="shared" si="1"/>
        <v>0</v>
      </c>
      <c r="J15" s="66">
        <f t="shared" si="17"/>
        <v>0</v>
      </c>
      <c r="K15" s="537">
        <f t="shared" si="18"/>
        <v>2410</v>
      </c>
      <c r="L15" s="52">
        <f t="shared" si="19"/>
        <v>0</v>
      </c>
      <c r="M15" s="537">
        <f t="shared" si="20"/>
        <v>178435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0</v>
      </c>
      <c r="V15" s="62">
        <f t="shared" si="22"/>
        <v>0</v>
      </c>
      <c r="W15" s="384" t="e">
        <f t="shared" si="23"/>
        <v>#DIV/0!</v>
      </c>
      <c r="X15" s="537">
        <f t="shared" si="24"/>
        <v>2474</v>
      </c>
      <c r="Y15" s="52">
        <f t="shared" si="25"/>
        <v>0</v>
      </c>
      <c r="Z15" s="537">
        <f t="shared" si="26"/>
        <v>139464</v>
      </c>
      <c r="AA15" s="65">
        <f t="shared" si="6"/>
        <v>0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0</v>
      </c>
      <c r="AJ15" s="303">
        <f>-tanks!AW16</f>
        <v>0</v>
      </c>
      <c r="AK15" s="303">
        <f t="shared" si="31"/>
        <v>0</v>
      </c>
      <c r="AL15" s="303">
        <f t="shared" si="8"/>
        <v>0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f t="shared" si="12"/>
        <v>243</v>
      </c>
      <c r="C16" s="537">
        <f t="shared" si="13"/>
        <v>250</v>
      </c>
      <c r="D16" s="45">
        <f t="shared" si="36"/>
        <v>0</v>
      </c>
      <c r="E16" s="45">
        <f t="shared" si="14"/>
        <v>0</v>
      </c>
      <c r="F16" s="537">
        <f t="shared" si="15"/>
        <v>2219</v>
      </c>
      <c r="G16" s="52">
        <f t="shared" si="0"/>
        <v>0</v>
      </c>
      <c r="H16" s="537">
        <f t="shared" si="16"/>
        <v>41738</v>
      </c>
      <c r="I16" s="380">
        <f t="shared" si="1"/>
        <v>0</v>
      </c>
      <c r="J16" s="66">
        <f t="shared" si="17"/>
        <v>0</v>
      </c>
      <c r="K16" s="537">
        <f t="shared" si="18"/>
        <v>2410</v>
      </c>
      <c r="L16" s="52">
        <f t="shared" si="19"/>
        <v>0</v>
      </c>
      <c r="M16" s="537">
        <f t="shared" si="20"/>
        <v>178435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f t="shared" si="3"/>
        <v>183235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2474</v>
      </c>
      <c r="Y16" s="52">
        <f t="shared" si="25"/>
        <v>0</v>
      </c>
      <c r="Z16" s="537">
        <f t="shared" si="26"/>
        <v>139464</v>
      </c>
      <c r="AA16" s="65">
        <f t="shared" si="6"/>
        <v>0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f t="shared" si="12"/>
        <v>243</v>
      </c>
      <c r="C17" s="537">
        <f t="shared" si="13"/>
        <v>250</v>
      </c>
      <c r="D17" s="45">
        <f t="shared" si="36"/>
        <v>0</v>
      </c>
      <c r="E17" s="45">
        <f t="shared" si="14"/>
        <v>0</v>
      </c>
      <c r="F17" s="537">
        <f t="shared" si="15"/>
        <v>2219</v>
      </c>
      <c r="G17" s="52">
        <f t="shared" si="0"/>
        <v>0</v>
      </c>
      <c r="H17" s="537">
        <f t="shared" si="16"/>
        <v>41738</v>
      </c>
      <c r="I17" s="380">
        <f t="shared" si="1"/>
        <v>0</v>
      </c>
      <c r="J17" s="66">
        <f t="shared" si="17"/>
        <v>0</v>
      </c>
      <c r="K17" s="537">
        <f t="shared" si="18"/>
        <v>2410</v>
      </c>
      <c r="L17" s="52">
        <f t="shared" si="19"/>
        <v>0</v>
      </c>
      <c r="M17" s="537">
        <f t="shared" si="20"/>
        <v>178435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183235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0</v>
      </c>
      <c r="V17" s="62">
        <f t="shared" si="22"/>
        <v>0</v>
      </c>
      <c r="W17" s="384"/>
      <c r="X17" s="537">
        <f t="shared" si="24"/>
        <v>2474</v>
      </c>
      <c r="Y17" s="52">
        <f t="shared" si="25"/>
        <v>0</v>
      </c>
      <c r="Z17" s="537">
        <f t="shared" si="26"/>
        <v>139464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0</v>
      </c>
      <c r="AJ17" s="303">
        <f>-tanks!AW18</f>
        <v>0</v>
      </c>
      <c r="AK17" s="303">
        <f t="shared" si="31"/>
        <v>0</v>
      </c>
      <c r="AL17" s="303">
        <f t="shared" si="8"/>
        <v>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243</v>
      </c>
      <c r="C18" s="537">
        <f t="shared" si="13"/>
        <v>250</v>
      </c>
      <c r="D18" s="45">
        <f t="shared" si="36"/>
        <v>0</v>
      </c>
      <c r="E18" s="45">
        <f t="shared" si="14"/>
        <v>0</v>
      </c>
      <c r="F18" s="537">
        <f t="shared" si="15"/>
        <v>2219</v>
      </c>
      <c r="G18" s="52">
        <f t="shared" si="0"/>
        <v>0</v>
      </c>
      <c r="H18" s="537">
        <f t="shared" si="16"/>
        <v>41738</v>
      </c>
      <c r="I18" s="380">
        <f t="shared" si="1"/>
        <v>0</v>
      </c>
      <c r="J18" s="66">
        <f t="shared" si="17"/>
        <v>0</v>
      </c>
      <c r="K18" s="537">
        <f t="shared" si="18"/>
        <v>2410</v>
      </c>
      <c r="L18" s="52">
        <f t="shared" si="19"/>
        <v>0</v>
      </c>
      <c r="M18" s="537">
        <f t="shared" si="20"/>
        <v>178435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183235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2474</v>
      </c>
      <c r="Y18" s="52">
        <f t="shared" si="25"/>
        <v>0</v>
      </c>
      <c r="Z18" s="537">
        <f t="shared" si="26"/>
        <v>139464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243</v>
      </c>
      <c r="C19" s="537">
        <f t="shared" si="13"/>
        <v>250</v>
      </c>
      <c r="D19" s="45">
        <f t="shared" si="36"/>
        <v>0</v>
      </c>
      <c r="E19" s="45">
        <f t="shared" si="14"/>
        <v>0</v>
      </c>
      <c r="F19" s="537">
        <f t="shared" si="15"/>
        <v>2219</v>
      </c>
      <c r="G19" s="52">
        <f t="shared" si="0"/>
        <v>0</v>
      </c>
      <c r="H19" s="537">
        <f t="shared" si="16"/>
        <v>41738</v>
      </c>
      <c r="I19" s="380">
        <f t="shared" si="1"/>
        <v>0</v>
      </c>
      <c r="J19" s="66">
        <f t="shared" si="17"/>
        <v>0</v>
      </c>
      <c r="K19" s="537">
        <f t="shared" si="18"/>
        <v>2410</v>
      </c>
      <c r="L19" s="52">
        <f t="shared" si="19"/>
        <v>0</v>
      </c>
      <c r="M19" s="537">
        <f t="shared" si="20"/>
        <v>178435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183235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2474</v>
      </c>
      <c r="Y19" s="52">
        <f t="shared" si="25"/>
        <v>0</v>
      </c>
      <c r="Z19" s="537">
        <f t="shared" si="26"/>
        <v>139464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243</v>
      </c>
      <c r="C20" s="537">
        <f t="shared" si="13"/>
        <v>250</v>
      </c>
      <c r="D20" s="45">
        <f>C19-C20</f>
        <v>0</v>
      </c>
      <c r="E20" s="45">
        <f t="shared" si="14"/>
        <v>0</v>
      </c>
      <c r="F20" s="537">
        <f t="shared" si="15"/>
        <v>2219</v>
      </c>
      <c r="G20" s="52">
        <f t="shared" si="0"/>
        <v>0</v>
      </c>
      <c r="H20" s="537">
        <f t="shared" si="16"/>
        <v>41738</v>
      </c>
      <c r="I20" s="380">
        <f t="shared" si="1"/>
        <v>0</v>
      </c>
      <c r="J20" s="66">
        <f t="shared" si="17"/>
        <v>0</v>
      </c>
      <c r="K20" s="537">
        <f t="shared" si="18"/>
        <v>2410</v>
      </c>
      <c r="L20" s="52">
        <f t="shared" si="19"/>
        <v>0</v>
      </c>
      <c r="M20" s="537">
        <f t="shared" si="20"/>
        <v>178435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183235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2474</v>
      </c>
      <c r="Y20" s="52">
        <f t="shared" si="25"/>
        <v>0</v>
      </c>
      <c r="Z20" s="537">
        <f t="shared" si="26"/>
        <v>139464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243</v>
      </c>
      <c r="C21" s="537">
        <f t="shared" si="13"/>
        <v>250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2219</v>
      </c>
      <c r="G21" s="52">
        <f t="shared" si="0"/>
        <v>0</v>
      </c>
      <c r="H21" s="537">
        <f t="shared" si="16"/>
        <v>41738</v>
      </c>
      <c r="I21" s="380">
        <f t="shared" si="1"/>
        <v>0</v>
      </c>
      <c r="J21" s="66">
        <f t="shared" si="17"/>
        <v>0</v>
      </c>
      <c r="K21" s="537">
        <f t="shared" si="18"/>
        <v>2410</v>
      </c>
      <c r="L21" s="52">
        <f t="shared" si="19"/>
        <v>0</v>
      </c>
      <c r="M21" s="537">
        <f t="shared" si="20"/>
        <v>178435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183235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2474</v>
      </c>
      <c r="Y21" s="52">
        <f t="shared" si="25"/>
        <v>0</v>
      </c>
      <c r="Z21" s="537">
        <f t="shared" si="26"/>
        <v>139464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f t="shared" si="12"/>
        <v>243</v>
      </c>
      <c r="C22" s="537">
        <f t="shared" si="13"/>
        <v>250</v>
      </c>
      <c r="D22" s="45">
        <f t="shared" si="49"/>
        <v>0</v>
      </c>
      <c r="E22" s="45">
        <f t="shared" si="14"/>
        <v>0</v>
      </c>
      <c r="F22" s="537">
        <f t="shared" si="15"/>
        <v>2219</v>
      </c>
      <c r="G22" s="52">
        <f t="shared" si="0"/>
        <v>0</v>
      </c>
      <c r="H22" s="537">
        <f t="shared" si="16"/>
        <v>41738</v>
      </c>
      <c r="I22" s="380">
        <f t="shared" si="1"/>
        <v>0</v>
      </c>
      <c r="J22" s="66">
        <f t="shared" si="17"/>
        <v>0</v>
      </c>
      <c r="K22" s="537">
        <f t="shared" si="18"/>
        <v>2410</v>
      </c>
      <c r="L22" s="52">
        <f t="shared" si="19"/>
        <v>0</v>
      </c>
      <c r="M22" s="537">
        <f t="shared" si="20"/>
        <v>178435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183235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0</v>
      </c>
      <c r="V22" s="62">
        <f t="shared" si="22"/>
        <v>0</v>
      </c>
      <c r="W22" s="384"/>
      <c r="X22" s="537">
        <f t="shared" si="24"/>
        <v>2474</v>
      </c>
      <c r="Y22" s="52">
        <f t="shared" si="25"/>
        <v>0</v>
      </c>
      <c r="Z22" s="537">
        <f t="shared" si="26"/>
        <v>139464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0</v>
      </c>
      <c r="AJ22" s="303">
        <f>-tanks!AW23</f>
        <v>0</v>
      </c>
      <c r="AK22" s="303">
        <f t="shared" si="31"/>
        <v>0</v>
      </c>
      <c r="AL22" s="303">
        <f t="shared" si="8"/>
        <v>0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f t="shared" si="12"/>
        <v>243</v>
      </c>
      <c r="C23" s="537">
        <f t="shared" si="13"/>
        <v>250</v>
      </c>
      <c r="D23" s="45">
        <f t="shared" si="49"/>
        <v>0</v>
      </c>
      <c r="E23" s="45">
        <f t="shared" si="14"/>
        <v>0</v>
      </c>
      <c r="F23" s="537">
        <f t="shared" si="15"/>
        <v>2219</v>
      </c>
      <c r="G23" s="52">
        <f t="shared" si="0"/>
        <v>0</v>
      </c>
      <c r="H23" s="537">
        <f t="shared" si="16"/>
        <v>41738</v>
      </c>
      <c r="I23" s="380">
        <f t="shared" si="1"/>
        <v>0</v>
      </c>
      <c r="J23" s="66">
        <f t="shared" si="17"/>
        <v>0</v>
      </c>
      <c r="K23" s="537">
        <f t="shared" si="18"/>
        <v>2410</v>
      </c>
      <c r="L23" s="52">
        <f t="shared" si="19"/>
        <v>0</v>
      </c>
      <c r="M23" s="537">
        <f t="shared" si="20"/>
        <v>178435</v>
      </c>
      <c r="N23" s="380">
        <f t="shared" si="2"/>
        <v>0</v>
      </c>
      <c r="O23" s="64">
        <f t="shared" si="48"/>
        <v>1869</v>
      </c>
      <c r="P23" s="537">
        <f t="shared" si="45"/>
        <v>2189</v>
      </c>
      <c r="Q23" s="537">
        <f t="shared" si="46"/>
        <v>183235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0</v>
      </c>
      <c r="V23" s="62">
        <f t="shared" si="22"/>
        <v>0</v>
      </c>
      <c r="W23" s="384"/>
      <c r="X23" s="537">
        <f t="shared" si="24"/>
        <v>2474</v>
      </c>
      <c r="Y23" s="52">
        <f t="shared" si="25"/>
        <v>0</v>
      </c>
      <c r="Z23" s="537">
        <f t="shared" si="26"/>
        <v>139464</v>
      </c>
      <c r="AA23" s="65">
        <f t="shared" si="6"/>
        <v>0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f t="shared" si="12"/>
        <v>243</v>
      </c>
      <c r="C24" s="537">
        <f t="shared" si="13"/>
        <v>250</v>
      </c>
      <c r="D24" s="45">
        <f t="shared" si="49"/>
        <v>0</v>
      </c>
      <c r="E24" s="45">
        <f t="shared" si="14"/>
        <v>0</v>
      </c>
      <c r="F24" s="537">
        <f t="shared" si="15"/>
        <v>2219</v>
      </c>
      <c r="G24" s="52">
        <f t="shared" si="0"/>
        <v>0</v>
      </c>
      <c r="H24" s="537">
        <f t="shared" si="16"/>
        <v>41738</v>
      </c>
      <c r="I24" s="380">
        <f t="shared" si="1"/>
        <v>0</v>
      </c>
      <c r="J24" s="66">
        <f t="shared" si="17"/>
        <v>0</v>
      </c>
      <c r="K24" s="537">
        <f t="shared" si="18"/>
        <v>2410</v>
      </c>
      <c r="L24" s="52">
        <f t="shared" si="19"/>
        <v>0</v>
      </c>
      <c r="M24" s="537">
        <f t="shared" si="20"/>
        <v>178435</v>
      </c>
      <c r="N24" s="380">
        <f t="shared" si="2"/>
        <v>0</v>
      </c>
      <c r="O24" s="64">
        <f t="shared" si="48"/>
        <v>1869</v>
      </c>
      <c r="P24" s="537">
        <f t="shared" si="45"/>
        <v>2189</v>
      </c>
      <c r="Q24" s="537">
        <f t="shared" si="46"/>
        <v>183235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21"/>
        <v>0</v>
      </c>
      <c r="V24" s="62">
        <f t="shared" si="22"/>
        <v>0</v>
      </c>
      <c r="W24" s="384"/>
      <c r="X24" s="537">
        <f t="shared" si="24"/>
        <v>2474</v>
      </c>
      <c r="Y24" s="52">
        <f t="shared" si="25"/>
        <v>0</v>
      </c>
      <c r="Z24" s="537">
        <f t="shared" si="26"/>
        <v>139464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0</v>
      </c>
      <c r="AJ24" s="303">
        <f>-tanks!AW25</f>
        <v>0</v>
      </c>
      <c r="AK24" s="303">
        <f t="shared" si="31"/>
        <v>0</v>
      </c>
      <c r="AL24" s="303">
        <f t="shared" si="8"/>
        <v>0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243</v>
      </c>
      <c r="C25" s="537">
        <f t="shared" si="13"/>
        <v>250</v>
      </c>
      <c r="D25" s="45">
        <f t="shared" si="49"/>
        <v>0</v>
      </c>
      <c r="E25" s="45">
        <f t="shared" si="14"/>
        <v>0</v>
      </c>
      <c r="F25" s="537">
        <f t="shared" si="15"/>
        <v>2219</v>
      </c>
      <c r="G25" s="52">
        <f t="shared" si="0"/>
        <v>0</v>
      </c>
      <c r="H25" s="537">
        <f t="shared" si="16"/>
        <v>41738</v>
      </c>
      <c r="I25" s="380">
        <f t="shared" si="1"/>
        <v>0</v>
      </c>
      <c r="J25" s="66">
        <f t="shared" si="17"/>
        <v>0</v>
      </c>
      <c r="K25" s="537">
        <f t="shared" si="18"/>
        <v>2410</v>
      </c>
      <c r="L25" s="52">
        <f t="shared" si="19"/>
        <v>0</v>
      </c>
      <c r="M25" s="537">
        <f t="shared" si="20"/>
        <v>178435</v>
      </c>
      <c r="N25" s="380">
        <f t="shared" si="2"/>
        <v>0</v>
      </c>
      <c r="O25" s="64">
        <f t="shared" si="48"/>
        <v>1869</v>
      </c>
      <c r="P25" s="537">
        <f t="shared" si="45"/>
        <v>2189</v>
      </c>
      <c r="Q25" s="537">
        <f t="shared" si="46"/>
        <v>183235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2474</v>
      </c>
      <c r="Y25" s="52">
        <f t="shared" si="25"/>
        <v>0</v>
      </c>
      <c r="Z25" s="537">
        <f t="shared" si="26"/>
        <v>139464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243</v>
      </c>
      <c r="C26" s="537">
        <f t="shared" si="13"/>
        <v>250</v>
      </c>
      <c r="D26" s="45">
        <f t="shared" si="49"/>
        <v>0</v>
      </c>
      <c r="E26" s="45">
        <f t="shared" si="14"/>
        <v>0</v>
      </c>
      <c r="F26" s="537">
        <f t="shared" si="15"/>
        <v>2219</v>
      </c>
      <c r="G26" s="52">
        <f t="shared" si="0"/>
        <v>0</v>
      </c>
      <c r="H26" s="537">
        <f t="shared" si="16"/>
        <v>41738</v>
      </c>
      <c r="I26" s="380">
        <f t="shared" si="1"/>
        <v>0</v>
      </c>
      <c r="J26" s="66">
        <f t="shared" si="17"/>
        <v>0</v>
      </c>
      <c r="K26" s="537">
        <f t="shared" si="18"/>
        <v>2410</v>
      </c>
      <c r="L26" s="52">
        <f t="shared" si="19"/>
        <v>0</v>
      </c>
      <c r="M26" s="537">
        <f t="shared" si="20"/>
        <v>178435</v>
      </c>
      <c r="N26" s="380">
        <f t="shared" si="2"/>
        <v>0</v>
      </c>
      <c r="O26" s="64">
        <f t="shared" si="48"/>
        <v>1869</v>
      </c>
      <c r="P26" s="537">
        <f t="shared" si="45"/>
        <v>2189</v>
      </c>
      <c r="Q26" s="537">
        <f t="shared" si="46"/>
        <v>183235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2474</v>
      </c>
      <c r="Y26" s="52">
        <f t="shared" si="25"/>
        <v>0</v>
      </c>
      <c r="Z26" s="537">
        <f t="shared" si="26"/>
        <v>139464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243</v>
      </c>
      <c r="C27" s="537">
        <f t="shared" si="13"/>
        <v>250</v>
      </c>
      <c r="D27" s="45">
        <f t="shared" si="49"/>
        <v>0</v>
      </c>
      <c r="E27" s="45">
        <f t="shared" si="14"/>
        <v>0</v>
      </c>
      <c r="F27" s="537">
        <f t="shared" si="15"/>
        <v>2219</v>
      </c>
      <c r="G27" s="52">
        <f t="shared" si="0"/>
        <v>0</v>
      </c>
      <c r="H27" s="537">
        <f t="shared" si="16"/>
        <v>41738</v>
      </c>
      <c r="I27" s="380">
        <f t="shared" si="1"/>
        <v>0</v>
      </c>
      <c r="J27" s="66">
        <f t="shared" si="17"/>
        <v>0</v>
      </c>
      <c r="K27" s="537">
        <f t="shared" si="18"/>
        <v>2410</v>
      </c>
      <c r="L27" s="52">
        <f t="shared" si="19"/>
        <v>0</v>
      </c>
      <c r="M27" s="537">
        <f t="shared" si="20"/>
        <v>178435</v>
      </c>
      <c r="N27" s="380">
        <f t="shared" si="2"/>
        <v>0</v>
      </c>
      <c r="O27" s="64">
        <f t="shared" si="48"/>
        <v>1869</v>
      </c>
      <c r="P27" s="537">
        <f t="shared" si="45"/>
        <v>2189</v>
      </c>
      <c r="Q27" s="537">
        <f t="shared" si="46"/>
        <v>183235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2474</v>
      </c>
      <c r="Y27" s="52">
        <f t="shared" si="25"/>
        <v>0</v>
      </c>
      <c r="Z27" s="537">
        <f t="shared" si="26"/>
        <v>139464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243</v>
      </c>
      <c r="C28" s="537">
        <f t="shared" si="13"/>
        <v>250</v>
      </c>
      <c r="D28" s="45">
        <f t="shared" si="49"/>
        <v>0</v>
      </c>
      <c r="E28" s="45">
        <f t="shared" si="14"/>
        <v>0</v>
      </c>
      <c r="F28" s="537">
        <f t="shared" si="15"/>
        <v>2219</v>
      </c>
      <c r="G28" s="52">
        <f t="shared" si="0"/>
        <v>0</v>
      </c>
      <c r="H28" s="537">
        <f t="shared" si="16"/>
        <v>41738</v>
      </c>
      <c r="I28" s="380">
        <f t="shared" si="1"/>
        <v>0</v>
      </c>
      <c r="J28" s="66">
        <f t="shared" si="17"/>
        <v>0</v>
      </c>
      <c r="K28" s="537">
        <f t="shared" si="18"/>
        <v>2410</v>
      </c>
      <c r="L28" s="52">
        <f t="shared" si="19"/>
        <v>0</v>
      </c>
      <c r="M28" s="537">
        <f t="shared" si="20"/>
        <v>178435</v>
      </c>
      <c r="N28" s="380">
        <f t="shared" si="2"/>
        <v>0</v>
      </c>
      <c r="O28" s="64">
        <f t="shared" si="48"/>
        <v>1869</v>
      </c>
      <c r="P28" s="537">
        <f t="shared" si="45"/>
        <v>2189</v>
      </c>
      <c r="Q28" s="537">
        <f t="shared" si="46"/>
        <v>183235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2474</v>
      </c>
      <c r="Y28" s="52">
        <f t="shared" si="25"/>
        <v>0</v>
      </c>
      <c r="Z28" s="537">
        <f t="shared" si="26"/>
        <v>139464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f t="shared" si="12"/>
        <v>243</v>
      </c>
      <c r="C29" s="537">
        <f t="shared" si="13"/>
        <v>250</v>
      </c>
      <c r="D29" s="45">
        <f t="shared" si="49"/>
        <v>0</v>
      </c>
      <c r="E29" s="45">
        <f t="shared" si="14"/>
        <v>0</v>
      </c>
      <c r="F29" s="537">
        <f t="shared" si="15"/>
        <v>2219</v>
      </c>
      <c r="G29" s="52">
        <f t="shared" si="0"/>
        <v>0</v>
      </c>
      <c r="H29" s="537">
        <f t="shared" si="16"/>
        <v>41738</v>
      </c>
      <c r="I29" s="380">
        <f t="shared" si="1"/>
        <v>0</v>
      </c>
      <c r="J29" s="66">
        <f t="shared" si="17"/>
        <v>0</v>
      </c>
      <c r="K29" s="537">
        <f t="shared" si="18"/>
        <v>2410</v>
      </c>
      <c r="L29" s="52">
        <f t="shared" si="19"/>
        <v>0</v>
      </c>
      <c r="M29" s="537">
        <f t="shared" si="20"/>
        <v>178435</v>
      </c>
      <c r="N29" s="380">
        <f t="shared" si="2"/>
        <v>0</v>
      </c>
      <c r="O29" s="64">
        <f t="shared" si="48"/>
        <v>1869</v>
      </c>
      <c r="P29" s="537">
        <f t="shared" si="45"/>
        <v>2189</v>
      </c>
      <c r="Q29" s="537">
        <f t="shared" si="46"/>
        <v>183235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2474</v>
      </c>
      <c r="Y29" s="52">
        <f t="shared" si="25"/>
        <v>0</v>
      </c>
      <c r="Z29" s="537">
        <f t="shared" si="26"/>
        <v>139464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243</v>
      </c>
      <c r="C30" s="537">
        <f t="shared" si="13"/>
        <v>250</v>
      </c>
      <c r="D30" s="45">
        <f>C29-C30</f>
        <v>0</v>
      </c>
      <c r="E30" s="45">
        <f>D30*8.38</f>
        <v>0</v>
      </c>
      <c r="F30" s="537">
        <f t="shared" si="15"/>
        <v>2219</v>
      </c>
      <c r="G30" s="52">
        <f>F30-F29</f>
        <v>0</v>
      </c>
      <c r="H30" s="537">
        <f t="shared" si="16"/>
        <v>41738</v>
      </c>
      <c r="I30" s="380">
        <f>SUM(H30-H29)</f>
        <v>0</v>
      </c>
      <c r="J30" s="66">
        <f>IF(G30&gt;0,I30/G30,0)</f>
        <v>0</v>
      </c>
      <c r="K30" s="537">
        <f t="shared" si="18"/>
        <v>2410</v>
      </c>
      <c r="L30" s="52">
        <f>K30-K29</f>
        <v>0</v>
      </c>
      <c r="M30" s="537">
        <f t="shared" si="20"/>
        <v>178435</v>
      </c>
      <c r="N30" s="380">
        <f>M30-M29</f>
        <v>0</v>
      </c>
      <c r="O30" s="64">
        <f t="shared" si="48"/>
        <v>1869</v>
      </c>
      <c r="P30" s="537">
        <f t="shared" si="45"/>
        <v>2189</v>
      </c>
      <c r="Q30" s="537">
        <f t="shared" si="46"/>
        <v>183235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2474</v>
      </c>
      <c r="Y30" s="52">
        <f>X30-X29</f>
        <v>0</v>
      </c>
      <c r="Z30" s="537">
        <f t="shared" si="26"/>
        <v>139464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243</v>
      </c>
      <c r="C31" s="537">
        <f t="shared" si="13"/>
        <v>250</v>
      </c>
      <c r="D31" s="45">
        <f t="shared" si="49"/>
        <v>0</v>
      </c>
      <c r="E31" s="45">
        <f t="shared" si="14"/>
        <v>0</v>
      </c>
      <c r="F31" s="537">
        <f t="shared" si="15"/>
        <v>2219</v>
      </c>
      <c r="G31" s="52">
        <f t="shared" si="0"/>
        <v>0</v>
      </c>
      <c r="H31" s="537">
        <f t="shared" si="16"/>
        <v>41738</v>
      </c>
      <c r="I31" s="380">
        <f t="shared" si="1"/>
        <v>0</v>
      </c>
      <c r="J31" s="66">
        <f t="shared" si="17"/>
        <v>0</v>
      </c>
      <c r="K31" s="537">
        <f t="shared" si="18"/>
        <v>2410</v>
      </c>
      <c r="L31" s="52">
        <f t="shared" si="19"/>
        <v>0</v>
      </c>
      <c r="M31" s="537">
        <f t="shared" si="20"/>
        <v>178435</v>
      </c>
      <c r="N31" s="380">
        <f t="shared" si="2"/>
        <v>0</v>
      </c>
      <c r="O31" s="64">
        <f t="shared" si="48"/>
        <v>1869</v>
      </c>
      <c r="P31" s="537">
        <f t="shared" si="45"/>
        <v>2189</v>
      </c>
      <c r="Q31" s="537">
        <f t="shared" si="46"/>
        <v>183235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2474</v>
      </c>
      <c r="Y31" s="52">
        <f t="shared" si="25"/>
        <v>0</v>
      </c>
      <c r="Z31" s="537">
        <f t="shared" si="26"/>
        <v>139464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243</v>
      </c>
      <c r="C32" s="537">
        <f t="shared" si="13"/>
        <v>250</v>
      </c>
      <c r="D32" s="45">
        <f t="shared" si="49"/>
        <v>0</v>
      </c>
      <c r="E32" s="45">
        <f t="shared" si="14"/>
        <v>0</v>
      </c>
      <c r="F32" s="537">
        <f t="shared" si="15"/>
        <v>2219</v>
      </c>
      <c r="G32" s="52">
        <f t="shared" si="0"/>
        <v>0</v>
      </c>
      <c r="H32" s="537">
        <f t="shared" si="16"/>
        <v>41738</v>
      </c>
      <c r="I32" s="380">
        <f t="shared" si="1"/>
        <v>0</v>
      </c>
      <c r="J32" s="66">
        <f t="shared" si="17"/>
        <v>0</v>
      </c>
      <c r="K32" s="537">
        <f t="shared" si="18"/>
        <v>2410</v>
      </c>
      <c r="L32" s="52">
        <f t="shared" si="19"/>
        <v>0</v>
      </c>
      <c r="M32" s="537">
        <f t="shared" si="20"/>
        <v>178435</v>
      </c>
      <c r="N32" s="380">
        <f t="shared" si="2"/>
        <v>0</v>
      </c>
      <c r="O32" s="64">
        <f t="shared" si="48"/>
        <v>1869</v>
      </c>
      <c r="P32" s="537">
        <f t="shared" si="45"/>
        <v>2189</v>
      </c>
      <c r="Q32" s="537">
        <f t="shared" si="46"/>
        <v>183235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2474</v>
      </c>
      <c r="Y32" s="52">
        <f t="shared" si="25"/>
        <v>0</v>
      </c>
      <c r="Z32" s="537">
        <f t="shared" si="26"/>
        <v>139464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243</v>
      </c>
      <c r="C33" s="537">
        <f t="shared" si="13"/>
        <v>250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2219</v>
      </c>
      <c r="G33" s="52">
        <f t="shared" ref="G33:G35" si="56">F33-F32</f>
        <v>0</v>
      </c>
      <c r="H33" s="537">
        <f t="shared" si="16"/>
        <v>41738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2410</v>
      </c>
      <c r="L33" s="52">
        <f t="shared" ref="L33:L35" si="59">K33-K32</f>
        <v>0</v>
      </c>
      <c r="M33" s="537">
        <f t="shared" si="20"/>
        <v>178435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2189</v>
      </c>
      <c r="Q33" s="537">
        <f t="shared" si="46"/>
        <v>183235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2474</v>
      </c>
      <c r="Y33" s="52">
        <f t="shared" ref="Y33:Y35" si="66">X33-X32</f>
        <v>0</v>
      </c>
      <c r="Z33" s="537">
        <f t="shared" si="26"/>
        <v>139464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243</v>
      </c>
      <c r="C34" s="537">
        <f t="shared" si="13"/>
        <v>250</v>
      </c>
      <c r="D34" s="45">
        <f t="shared" si="54"/>
        <v>0</v>
      </c>
      <c r="E34" s="45">
        <f t="shared" si="55"/>
        <v>0</v>
      </c>
      <c r="F34" s="537">
        <f t="shared" si="15"/>
        <v>2219</v>
      </c>
      <c r="G34" s="52">
        <f t="shared" si="56"/>
        <v>0</v>
      </c>
      <c r="H34" s="537">
        <f t="shared" si="16"/>
        <v>41738</v>
      </c>
      <c r="I34" s="380">
        <f t="shared" si="57"/>
        <v>0</v>
      </c>
      <c r="J34" s="66">
        <f t="shared" si="58"/>
        <v>0</v>
      </c>
      <c r="K34" s="537">
        <f t="shared" si="18"/>
        <v>2410</v>
      </c>
      <c r="L34" s="52">
        <f t="shared" si="59"/>
        <v>0</v>
      </c>
      <c r="M34" s="537">
        <f t="shared" si="20"/>
        <v>178435</v>
      </c>
      <c r="N34" s="380">
        <f t="shared" si="60"/>
        <v>0</v>
      </c>
      <c r="O34" s="64">
        <f t="shared" si="48"/>
        <v>1869</v>
      </c>
      <c r="P34" s="537">
        <f t="shared" si="45"/>
        <v>2189</v>
      </c>
      <c r="Q34" s="537">
        <f t="shared" si="46"/>
        <v>183235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2474</v>
      </c>
      <c r="Y34" s="52">
        <f t="shared" si="66"/>
        <v>0</v>
      </c>
      <c r="Z34" s="537">
        <f t="shared" si="26"/>
        <v>139464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243</v>
      </c>
      <c r="C35" s="537">
        <f t="shared" si="13"/>
        <v>250</v>
      </c>
      <c r="D35" s="45">
        <f t="shared" si="54"/>
        <v>0</v>
      </c>
      <c r="E35" s="45">
        <f t="shared" si="55"/>
        <v>0</v>
      </c>
      <c r="F35" s="537">
        <f t="shared" si="15"/>
        <v>2219</v>
      </c>
      <c r="G35" s="52">
        <f t="shared" si="56"/>
        <v>0</v>
      </c>
      <c r="H35" s="537">
        <f t="shared" si="16"/>
        <v>41738</v>
      </c>
      <c r="I35" s="380">
        <f t="shared" si="57"/>
        <v>0</v>
      </c>
      <c r="J35" s="66">
        <f t="shared" si="58"/>
        <v>0</v>
      </c>
      <c r="K35" s="537">
        <f t="shared" si="18"/>
        <v>2410</v>
      </c>
      <c r="L35" s="52">
        <f t="shared" si="59"/>
        <v>0</v>
      </c>
      <c r="M35" s="537">
        <f t="shared" si="20"/>
        <v>178435</v>
      </c>
      <c r="N35" s="380">
        <f t="shared" si="60"/>
        <v>0</v>
      </c>
      <c r="O35" s="64">
        <f t="shared" si="48"/>
        <v>1869</v>
      </c>
      <c r="P35" s="537">
        <f t="shared" si="45"/>
        <v>2189</v>
      </c>
      <c r="Q35" s="537">
        <f t="shared" si="46"/>
        <v>183235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2474</v>
      </c>
      <c r="Y35" s="52">
        <f t="shared" si="66"/>
        <v>0</v>
      </c>
      <c r="Z35" s="537">
        <f t="shared" si="26"/>
        <v>139464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67.554761904761918</v>
      </c>
      <c r="U36" s="70">
        <f>SUM(U5:U35)</f>
        <v>20</v>
      </c>
      <c r="V36" s="62">
        <f>SUM(V5:V35)</f>
        <v>1568</v>
      </c>
      <c r="AE36" s="71" t="s">
        <v>379</v>
      </c>
      <c r="AG36" s="329"/>
      <c r="AH36" s="62">
        <f>SUM(AH5:AH35)</f>
        <v>33</v>
      </c>
      <c r="AL36" s="62">
        <f>SUM(AL5:AL35)</f>
        <v>20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78.400000000000006</v>
      </c>
      <c r="AH37" s="62">
        <f>AF37+AA37</f>
        <v>0</v>
      </c>
      <c r="AI37" s="306">
        <f>SUM(AI5:AI35)</f>
        <v>1601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M15" sqref="AM1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8164351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18.5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v>118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342.2</v>
      </c>
      <c r="BB12" s="21">
        <f t="shared" si="40"/>
        <v>0</v>
      </c>
      <c r="BC12" s="21">
        <f t="shared" si="32"/>
        <v>0</v>
      </c>
      <c r="BD12" s="21">
        <f t="shared" si="32"/>
        <v>-11.600000000000023</v>
      </c>
      <c r="BE12" s="24">
        <f t="shared" si="33"/>
        <v>-11.600000000000023</v>
      </c>
      <c r="BF12" s="96">
        <f t="shared" si="34"/>
        <v>11.600000000000023</v>
      </c>
      <c r="BG12" s="82">
        <f t="shared" si="4"/>
        <v>-11.600000000000023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118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342.2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118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342.2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7062</v>
      </c>
      <c r="L15" s="83">
        <f t="shared" si="41"/>
        <v>10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6"/>
        <v>-10</v>
      </c>
      <c r="AL15" s="312">
        <f t="shared" si="27"/>
        <v>0</v>
      </c>
      <c r="AM15" s="312">
        <f>'General information '!D14</f>
        <v>18.5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v>119</v>
      </c>
      <c r="AW15" s="5">
        <v>2.9</v>
      </c>
      <c r="AX15" s="201">
        <v>112</v>
      </c>
      <c r="AY15" s="409">
        <f t="shared" si="37"/>
        <v>137.70000000000002</v>
      </c>
      <c r="AZ15" s="409">
        <f t="shared" si="38"/>
        <v>130.9</v>
      </c>
      <c r="BA15" s="409">
        <f t="shared" si="39"/>
        <v>324.8</v>
      </c>
      <c r="BB15" s="21">
        <f t="shared" si="40"/>
        <v>0</v>
      </c>
      <c r="BC15" s="21">
        <f t="shared" si="32"/>
        <v>-5.5</v>
      </c>
      <c r="BD15" s="21">
        <f t="shared" si="32"/>
        <v>-17.399999999999977</v>
      </c>
      <c r="BE15" s="24">
        <f t="shared" si="33"/>
        <v>-22.899999999999977</v>
      </c>
      <c r="BF15" s="96">
        <f t="shared" si="34"/>
        <v>22.899999999999977</v>
      </c>
      <c r="BG15" s="82">
        <f t="shared" si="4"/>
        <v>-22.899999999999977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7062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f t="shared" si="29"/>
        <v>153</v>
      </c>
      <c r="AU16" s="408">
        <f t="shared" si="43"/>
        <v>1.1000000000000001</v>
      </c>
      <c r="AV16" s="201">
        <f t="shared" si="30"/>
        <v>119</v>
      </c>
      <c r="AW16" s="5">
        <v>2.9</v>
      </c>
      <c r="AX16" s="201">
        <f t="shared" si="31"/>
        <v>112</v>
      </c>
      <c r="AY16" s="409">
        <f t="shared" si="37"/>
        <v>137.70000000000002</v>
      </c>
      <c r="AZ16" s="409">
        <f t="shared" si="38"/>
        <v>130.9</v>
      </c>
      <c r="BA16" s="409">
        <f t="shared" si="39"/>
        <v>324.8</v>
      </c>
      <c r="BB16" s="21">
        <f t="shared" si="40"/>
        <v>0</v>
      </c>
      <c r="BC16" s="21">
        <f t="shared" si="32"/>
        <v>0</v>
      </c>
      <c r="BD16" s="21">
        <f t="shared" si="32"/>
        <v>0</v>
      </c>
      <c r="BE16" s="24">
        <f t="shared" si="33"/>
        <v>0</v>
      </c>
      <c r="BF16" s="96">
        <f t="shared" si="34"/>
        <v>0</v>
      </c>
      <c r="BG16" s="82">
        <f t="shared" si="4"/>
        <v>0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7062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f t="shared" si="29"/>
        <v>153</v>
      </c>
      <c r="AU17" s="408">
        <f t="shared" si="43"/>
        <v>1.1000000000000001</v>
      </c>
      <c r="AV17" s="201">
        <f t="shared" si="30"/>
        <v>119</v>
      </c>
      <c r="AW17" s="5">
        <v>2.9</v>
      </c>
      <c r="AX17" s="201">
        <f t="shared" si="31"/>
        <v>112</v>
      </c>
      <c r="AY17" s="409">
        <f t="shared" si="37"/>
        <v>137.70000000000002</v>
      </c>
      <c r="AZ17" s="409">
        <f t="shared" si="38"/>
        <v>130.9</v>
      </c>
      <c r="BA17" s="409">
        <f t="shared" si="39"/>
        <v>324.8</v>
      </c>
      <c r="BB17" s="21">
        <f t="shared" si="40"/>
        <v>0</v>
      </c>
      <c r="BC17" s="21">
        <f t="shared" si="32"/>
        <v>0</v>
      </c>
      <c r="BD17" s="21">
        <f t="shared" si="32"/>
        <v>0</v>
      </c>
      <c r="BE17" s="24">
        <f t="shared" si="33"/>
        <v>0</v>
      </c>
      <c r="BF17" s="96">
        <f t="shared" si="34"/>
        <v>0</v>
      </c>
      <c r="BG17" s="82">
        <f t="shared" si="4"/>
        <v>0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7062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153</v>
      </c>
      <c r="AU18" s="408">
        <f t="shared" si="43"/>
        <v>1.1000000000000001</v>
      </c>
      <c r="AV18" s="201">
        <f t="shared" si="30"/>
        <v>119</v>
      </c>
      <c r="AW18" s="5">
        <v>2.9</v>
      </c>
      <c r="AX18" s="201">
        <f t="shared" si="31"/>
        <v>112</v>
      </c>
      <c r="AY18" s="409">
        <f t="shared" si="37"/>
        <v>137.70000000000002</v>
      </c>
      <c r="AZ18" s="409">
        <f t="shared" si="38"/>
        <v>130.9</v>
      </c>
      <c r="BA18" s="409">
        <f t="shared" si="39"/>
        <v>324.8</v>
      </c>
      <c r="BB18" s="21">
        <f t="shared" si="40"/>
        <v>0</v>
      </c>
      <c r="BC18" s="21">
        <f t="shared" si="32"/>
        <v>0</v>
      </c>
      <c r="BD18" s="21">
        <f t="shared" si="32"/>
        <v>0</v>
      </c>
      <c r="BE18" s="24">
        <f t="shared" si="33"/>
        <v>0</v>
      </c>
      <c r="BF18" s="96">
        <f t="shared" si="34"/>
        <v>0</v>
      </c>
      <c r="BG18" s="82">
        <f t="shared" si="4"/>
        <v>0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7062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153</v>
      </c>
      <c r="AU19" s="408">
        <f t="shared" si="43"/>
        <v>1.1000000000000001</v>
      </c>
      <c r="AV19" s="201">
        <f t="shared" si="30"/>
        <v>119</v>
      </c>
      <c r="AW19" s="5">
        <v>2.9</v>
      </c>
      <c r="AX19" s="201">
        <f t="shared" si="31"/>
        <v>112</v>
      </c>
      <c r="AY19" s="409">
        <f>AS19*AT19</f>
        <v>137.70000000000002</v>
      </c>
      <c r="AZ19" s="409">
        <f>AU19*AV19</f>
        <v>130.9</v>
      </c>
      <c r="BA19" s="409">
        <f>AW19*AX19</f>
        <v>324.8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7062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153</v>
      </c>
      <c r="AU20" s="408">
        <f t="shared" si="43"/>
        <v>1.1000000000000001</v>
      </c>
      <c r="AV20" s="201">
        <f t="shared" si="30"/>
        <v>119</v>
      </c>
      <c r="AW20" s="5">
        <v>2.9</v>
      </c>
      <c r="AX20" s="201">
        <f t="shared" si="31"/>
        <v>112</v>
      </c>
      <c r="AY20" s="409">
        <f>AS20*AT20</f>
        <v>137.70000000000002</v>
      </c>
      <c r="AZ20" s="409">
        <f>AU20*AV20</f>
        <v>130.9</v>
      </c>
      <c r="BA20" s="409">
        <f>AW20*AX20</f>
        <v>324.8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7062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153</v>
      </c>
      <c r="AU21" s="408">
        <f t="shared" si="43"/>
        <v>1.1000000000000001</v>
      </c>
      <c r="AV21" s="201">
        <f t="shared" si="30"/>
        <v>119</v>
      </c>
      <c r="AW21" s="5">
        <v>2.9</v>
      </c>
      <c r="AX21" s="201">
        <f t="shared" si="31"/>
        <v>112</v>
      </c>
      <c r="AY21" s="409">
        <f>AS21*AT21</f>
        <v>137.70000000000002</v>
      </c>
      <c r="AZ21" s="409">
        <f>AU21*AV21</f>
        <v>130.9</v>
      </c>
      <c r="BA21" s="409">
        <f>AW21*AX21</f>
        <v>324.8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7062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153</v>
      </c>
      <c r="AU22" s="408">
        <f t="shared" si="43"/>
        <v>1.1000000000000001</v>
      </c>
      <c r="AV22" s="201">
        <f t="shared" si="30"/>
        <v>119</v>
      </c>
      <c r="AW22" s="5">
        <v>2.9</v>
      </c>
      <c r="AX22" s="201">
        <f t="shared" si="31"/>
        <v>112</v>
      </c>
      <c r="AY22" s="409">
        <f t="shared" si="37"/>
        <v>137.70000000000002</v>
      </c>
      <c r="AZ22" s="409">
        <f t="shared" si="38"/>
        <v>130.9</v>
      </c>
      <c r="BA22" s="409">
        <f t="shared" si="39"/>
        <v>324.8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628027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7062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f t="shared" si="49"/>
        <v>153</v>
      </c>
      <c r="AU23" s="408">
        <f t="shared" si="43"/>
        <v>1.1000000000000001</v>
      </c>
      <c r="AV23" s="201">
        <f t="shared" si="30"/>
        <v>119</v>
      </c>
      <c r="AW23" s="5">
        <v>2.9</v>
      </c>
      <c r="AX23" s="201">
        <f t="shared" si="31"/>
        <v>112</v>
      </c>
      <c r="AY23" s="409">
        <f t="shared" si="37"/>
        <v>137.70000000000002</v>
      </c>
      <c r="AZ23" s="409">
        <f t="shared" si="38"/>
        <v>130.9</v>
      </c>
      <c r="BA23" s="409">
        <f t="shared" si="39"/>
        <v>324.8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3"/>
        <v>0</v>
      </c>
      <c r="BF23" s="96">
        <f t="shared" si="34"/>
        <v>0</v>
      </c>
      <c r="BG23" s="82">
        <f t="shared" si="4"/>
        <v>0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628027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7062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f t="shared" si="49"/>
        <v>153</v>
      </c>
      <c r="AU24" s="408">
        <f t="shared" si="43"/>
        <v>1.1000000000000001</v>
      </c>
      <c r="AV24" s="201">
        <f t="shared" si="30"/>
        <v>119</v>
      </c>
      <c r="AW24" s="5">
        <v>2.9</v>
      </c>
      <c r="AX24" s="201">
        <f t="shared" si="31"/>
        <v>112</v>
      </c>
      <c r="AY24" s="409">
        <f t="shared" si="37"/>
        <v>137.70000000000002</v>
      </c>
      <c r="AZ24" s="409">
        <f t="shared" si="38"/>
        <v>130.9</v>
      </c>
      <c r="BA24" s="409">
        <f t="shared" si="39"/>
        <v>324.8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3"/>
        <v>0</v>
      </c>
      <c r="BF24" s="96">
        <f t="shared" si="34"/>
        <v>0</v>
      </c>
      <c r="BG24" s="82">
        <f t="shared" si="4"/>
        <v>0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628027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7062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153</v>
      </c>
      <c r="AU25" s="408">
        <f t="shared" si="43"/>
        <v>1.1000000000000001</v>
      </c>
      <c r="AV25" s="201">
        <f t="shared" si="30"/>
        <v>119</v>
      </c>
      <c r="AW25" s="5">
        <v>2.9</v>
      </c>
      <c r="AX25" s="201">
        <f t="shared" si="31"/>
        <v>112</v>
      </c>
      <c r="AY25" s="409">
        <f t="shared" si="37"/>
        <v>137.70000000000002</v>
      </c>
      <c r="AZ25" s="409">
        <f t="shared" si="38"/>
        <v>130.9</v>
      </c>
      <c r="BA25" s="409">
        <f t="shared" si="39"/>
        <v>324.8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3"/>
        <v>0</v>
      </c>
      <c r="BF25" s="96">
        <f t="shared" si="34"/>
        <v>0</v>
      </c>
      <c r="BG25" s="82">
        <f t="shared" si="4"/>
        <v>0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628027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7062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153</v>
      </c>
      <c r="AU26" s="408">
        <f t="shared" si="43"/>
        <v>1.1000000000000001</v>
      </c>
      <c r="AV26" s="201">
        <f t="shared" si="30"/>
        <v>119</v>
      </c>
      <c r="AW26" s="5">
        <v>2.9</v>
      </c>
      <c r="AX26" s="201">
        <f t="shared" si="31"/>
        <v>112</v>
      </c>
      <c r="AY26" s="409">
        <f t="shared" si="37"/>
        <v>137.70000000000002</v>
      </c>
      <c r="AZ26" s="409">
        <f t="shared" si="38"/>
        <v>130.9</v>
      </c>
      <c r="BA26" s="409">
        <f t="shared" si="39"/>
        <v>324.8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628027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7062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153</v>
      </c>
      <c r="AU27" s="408">
        <f t="shared" si="43"/>
        <v>1.1000000000000001</v>
      </c>
      <c r="AV27" s="201">
        <f t="shared" si="30"/>
        <v>119</v>
      </c>
      <c r="AW27" s="5">
        <v>2.9</v>
      </c>
      <c r="AX27" s="201">
        <f t="shared" si="31"/>
        <v>112</v>
      </c>
      <c r="AY27" s="409">
        <f t="shared" si="37"/>
        <v>137.70000000000002</v>
      </c>
      <c r="AZ27" s="409">
        <f t="shared" si="38"/>
        <v>130.9</v>
      </c>
      <c r="BA27" s="409">
        <f t="shared" si="39"/>
        <v>324.8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628027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7062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153</v>
      </c>
      <c r="AU28" s="408">
        <f t="shared" si="43"/>
        <v>1.1000000000000001</v>
      </c>
      <c r="AV28" s="201">
        <f t="shared" si="30"/>
        <v>119</v>
      </c>
      <c r="AW28" s="5">
        <v>2.9</v>
      </c>
      <c r="AX28" s="201">
        <f t="shared" si="31"/>
        <v>112</v>
      </c>
      <c r="AY28" s="409">
        <f t="shared" si="37"/>
        <v>137.70000000000002</v>
      </c>
      <c r="AZ28" s="409">
        <f t="shared" si="38"/>
        <v>130.9</v>
      </c>
      <c r="BA28" s="409">
        <f t="shared" si="39"/>
        <v>324.8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628027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7062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153</v>
      </c>
      <c r="AU29" s="408">
        <f t="shared" si="43"/>
        <v>1.1000000000000001</v>
      </c>
      <c r="AV29" s="201">
        <f t="shared" si="30"/>
        <v>119</v>
      </c>
      <c r="AW29" s="5">
        <v>2.9</v>
      </c>
      <c r="AX29" s="201">
        <f t="shared" si="31"/>
        <v>112</v>
      </c>
      <c r="AY29" s="409">
        <f t="shared" si="37"/>
        <v>137.70000000000002</v>
      </c>
      <c r="AZ29" s="409">
        <f t="shared" si="38"/>
        <v>130.9</v>
      </c>
      <c r="BA29" s="409">
        <f t="shared" si="39"/>
        <v>324.8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628027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7062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f t="shared" si="49"/>
        <v>153</v>
      </c>
      <c r="AU30" s="408">
        <f t="shared" si="43"/>
        <v>1.1000000000000001</v>
      </c>
      <c r="AV30" s="201">
        <f t="shared" si="30"/>
        <v>119</v>
      </c>
      <c r="AW30" s="5">
        <v>2.9</v>
      </c>
      <c r="AX30" s="201">
        <f t="shared" si="31"/>
        <v>112</v>
      </c>
      <c r="AY30" s="409">
        <f t="shared" si="37"/>
        <v>137.70000000000002</v>
      </c>
      <c r="AZ30" s="409">
        <f t="shared" si="38"/>
        <v>130.9</v>
      </c>
      <c r="BA30" s="409">
        <f t="shared" si="39"/>
        <v>324.8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628027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7062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153</v>
      </c>
      <c r="AU31" s="408">
        <f t="shared" si="43"/>
        <v>1.1000000000000001</v>
      </c>
      <c r="AV31" s="201">
        <f t="shared" si="30"/>
        <v>119</v>
      </c>
      <c r="AW31" s="5">
        <v>2.9</v>
      </c>
      <c r="AX31" s="201">
        <f t="shared" si="31"/>
        <v>112</v>
      </c>
      <c r="AY31" s="409">
        <f t="shared" si="37"/>
        <v>137.70000000000002</v>
      </c>
      <c r="AZ31" s="409">
        <f>AU31*AV31</f>
        <v>130.9</v>
      </c>
      <c r="BA31" s="409">
        <f t="shared" si="39"/>
        <v>324.8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628027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7062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153</v>
      </c>
      <c r="AU32" s="408">
        <f t="shared" si="43"/>
        <v>1.1000000000000001</v>
      </c>
      <c r="AV32" s="201">
        <f t="shared" si="30"/>
        <v>119</v>
      </c>
      <c r="AW32" s="5">
        <v>2.9</v>
      </c>
      <c r="AX32" s="201">
        <f t="shared" si="31"/>
        <v>112</v>
      </c>
      <c r="AY32" s="409">
        <f t="shared" si="37"/>
        <v>137.70000000000002</v>
      </c>
      <c r="AZ32" s="409">
        <f t="shared" si="38"/>
        <v>130.9</v>
      </c>
      <c r="BA32" s="409">
        <f t="shared" si="39"/>
        <v>324.8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628027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7062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153</v>
      </c>
      <c r="AU33" s="408">
        <f t="shared" si="43"/>
        <v>1.1000000000000001</v>
      </c>
      <c r="AV33" s="201">
        <f t="shared" si="30"/>
        <v>119</v>
      </c>
      <c r="AW33" s="5">
        <v>2.9</v>
      </c>
      <c r="AX33" s="201">
        <f t="shared" si="31"/>
        <v>112</v>
      </c>
      <c r="AY33" s="409">
        <f t="shared" si="37"/>
        <v>137.70000000000002</v>
      </c>
      <c r="AZ33" s="409">
        <f t="shared" si="38"/>
        <v>130.9</v>
      </c>
      <c r="BA33" s="409">
        <f t="shared" si="39"/>
        <v>324.8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628027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7062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153</v>
      </c>
      <c r="AU34" s="408">
        <f t="shared" si="43"/>
        <v>1.1000000000000001</v>
      </c>
      <c r="AV34" s="201">
        <f t="shared" si="30"/>
        <v>119</v>
      </c>
      <c r="AW34" s="5">
        <v>2.9</v>
      </c>
      <c r="AX34" s="201">
        <f t="shared" si="31"/>
        <v>112</v>
      </c>
      <c r="AY34" s="409">
        <f t="shared" ref="AY34:AY36" si="71">AS34*AT34</f>
        <v>137.70000000000002</v>
      </c>
      <c r="AZ34" s="409">
        <f t="shared" ref="AZ34:AZ36" si="72">AU34*AV34</f>
        <v>130.9</v>
      </c>
      <c r="BA34" s="409">
        <f t="shared" ref="BA34:BA36" si="73">AW34*AX34</f>
        <v>324.8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628027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7062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153</v>
      </c>
      <c r="AU35" s="408">
        <f t="shared" si="43"/>
        <v>1.1000000000000001</v>
      </c>
      <c r="AV35" s="201">
        <f t="shared" si="30"/>
        <v>119</v>
      </c>
      <c r="AW35" s="5">
        <v>2.9</v>
      </c>
      <c r="AX35" s="201">
        <f t="shared" si="31"/>
        <v>112</v>
      </c>
      <c r="AY35" s="409">
        <f t="shared" si="71"/>
        <v>137.70000000000002</v>
      </c>
      <c r="AZ35" s="409">
        <f t="shared" si="72"/>
        <v>130.9</v>
      </c>
      <c r="BA35" s="409">
        <f t="shared" si="73"/>
        <v>324.8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628027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7062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153</v>
      </c>
      <c r="AU36" s="408">
        <f t="shared" si="43"/>
        <v>1.1000000000000001</v>
      </c>
      <c r="AV36" s="201">
        <f t="shared" si="30"/>
        <v>119</v>
      </c>
      <c r="AW36" s="5">
        <v>2.9</v>
      </c>
      <c r="AX36" s="201">
        <f t="shared" si="31"/>
        <v>112</v>
      </c>
      <c r="AY36" s="409">
        <f t="shared" si="71"/>
        <v>137.70000000000002</v>
      </c>
      <c r="AZ36" s="409">
        <f t="shared" si="72"/>
        <v>130.9</v>
      </c>
      <c r="BA36" s="409">
        <f t="shared" si="73"/>
        <v>324.8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95</v>
      </c>
      <c r="I37" s="395">
        <f>SUM(I6:I36)</f>
        <v>95</v>
      </c>
      <c r="L37" s="258">
        <f>SUM(L7:L36)</f>
        <v>16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-16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95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95</v>
      </c>
      <c r="H39" s="1">
        <f>SUM(H38+C38)</f>
        <v>7500</v>
      </c>
      <c r="K39" s="1">
        <f>SUM(H39/G39)</f>
        <v>78.94736842105263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L13" sqref="L1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v>10728</v>
      </c>
      <c r="K9" s="276">
        <f t="shared" si="2"/>
        <v>1</v>
      </c>
      <c r="L9" s="503">
        <f t="shared" si="30"/>
        <v>365191</v>
      </c>
      <c r="M9" s="276">
        <f t="shared" si="31"/>
        <v>250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v>13829</v>
      </c>
      <c r="S9" s="276">
        <f t="shared" si="5"/>
        <v>9</v>
      </c>
      <c r="T9" s="503">
        <f t="shared" ref="T9:T33" si="32">T8+U9</f>
        <v>396762</v>
      </c>
      <c r="U9" s="276">
        <f t="shared" ref="U9:U30" si="33">V9*S9</f>
        <v>2250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10</v>
      </c>
      <c r="AA9" s="276">
        <f t="shared" si="22"/>
        <v>2500</v>
      </c>
      <c r="AB9" s="276">
        <f t="shared" si="23"/>
        <v>500</v>
      </c>
      <c r="AC9" s="276">
        <f t="shared" si="24"/>
        <v>250</v>
      </c>
      <c r="AD9" s="73">
        <f>ELEC!Q10</f>
        <v>4628.0000000006112</v>
      </c>
      <c r="AE9" s="73">
        <f t="shared" si="27"/>
        <v>462.80000000006112</v>
      </c>
      <c r="AF9" s="387">
        <f t="shared" si="28"/>
        <v>0.2892500000000382</v>
      </c>
      <c r="AG9" s="387">
        <f t="shared" si="28"/>
        <v>1.8078125000002389E-4</v>
      </c>
      <c r="AH9" s="388">
        <f t="shared" si="25"/>
        <v>249.99981921874999</v>
      </c>
      <c r="AI9" s="73">
        <f t="shared" si="29"/>
        <v>1191.1729957807481</v>
      </c>
      <c r="AJ9" s="278">
        <f t="shared" si="9"/>
        <v>0.25738396624472576</v>
      </c>
      <c r="AK9" s="278">
        <f t="shared" si="10"/>
        <v>119.11729957807481</v>
      </c>
      <c r="AL9">
        <f t="shared" si="26"/>
        <v>1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10728</v>
      </c>
      <c r="K10" s="276">
        <f t="shared" si="2"/>
        <v>0</v>
      </c>
      <c r="L10" s="503">
        <f t="shared" si="30"/>
        <v>365191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13829</v>
      </c>
      <c r="S10" s="276">
        <f t="shared" si="5"/>
        <v>0</v>
      </c>
      <c r="T10" s="503">
        <f t="shared" si="32"/>
        <v>396762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10728</v>
      </c>
      <c r="K11" s="276">
        <f t="shared" si="2"/>
        <v>0</v>
      </c>
      <c r="L11" s="503">
        <f t="shared" si="30"/>
        <v>365191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13829</v>
      </c>
      <c r="S11" s="276">
        <f t="shared" si="5"/>
        <v>0</v>
      </c>
      <c r="T11" s="503">
        <f t="shared" si="32"/>
        <v>396762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v>10734</v>
      </c>
      <c r="K12" s="276">
        <f t="shared" si="2"/>
        <v>6</v>
      </c>
      <c r="L12" s="503">
        <f>L11+M12</f>
        <v>366691</v>
      </c>
      <c r="M12" s="276">
        <f>N12*K12</f>
        <v>1500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v>13833</v>
      </c>
      <c r="S12" s="276">
        <f t="shared" si="5"/>
        <v>4</v>
      </c>
      <c r="T12" s="503">
        <f>T11+U12</f>
        <v>397762</v>
      </c>
      <c r="U12" s="276">
        <f>V12*S12</f>
        <v>1000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4904.0000000022701</v>
      </c>
      <c r="AE12" s="73">
        <f t="shared" si="27"/>
        <v>490.40000000022701</v>
      </c>
      <c r="AF12" s="387">
        <f t="shared" si="28"/>
        <v>0.30650000000014188</v>
      </c>
      <c r="AG12" s="387">
        <f t="shared" si="28"/>
        <v>1.9156250000008869E-4</v>
      </c>
      <c r="AH12" s="388">
        <f t="shared" si="25"/>
        <v>249.99980843750001</v>
      </c>
      <c r="AI12" s="73">
        <f t="shared" si="29"/>
        <v>1262.2109704647194</v>
      </c>
      <c r="AJ12" s="278">
        <f t="shared" si="9"/>
        <v>0.25738396624472576</v>
      </c>
      <c r="AK12" s="278">
        <f t="shared" si="10"/>
        <v>126.22109704647194</v>
      </c>
      <c r="AL12">
        <f t="shared" si="26"/>
        <v>1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f t="shared" si="16"/>
        <v>10734</v>
      </c>
      <c r="K13" s="276">
        <f t="shared" si="2"/>
        <v>0</v>
      </c>
      <c r="L13" s="503">
        <f t="shared" si="30"/>
        <v>366691</v>
      </c>
      <c r="M13" s="276">
        <f t="shared" si="31"/>
        <v>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13833</v>
      </c>
      <c r="S13" s="276">
        <f t="shared" si="5"/>
        <v>0</v>
      </c>
      <c r="T13" s="503">
        <f t="shared" si="32"/>
        <v>397762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0</v>
      </c>
      <c r="AA13" s="276">
        <f t="shared" si="22"/>
        <v>0</v>
      </c>
      <c r="AB13" s="276">
        <f t="shared" si="23"/>
        <v>500</v>
      </c>
      <c r="AC13" s="276">
        <f t="shared" si="24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5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6"/>
        <v>0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f t="shared" si="16"/>
        <v>10734</v>
      </c>
      <c r="K14" s="276">
        <f t="shared" si="2"/>
        <v>0</v>
      </c>
      <c r="L14" s="503">
        <f t="shared" si="30"/>
        <v>366691</v>
      </c>
      <c r="M14" s="276">
        <f t="shared" si="31"/>
        <v>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f t="shared" si="19"/>
        <v>13833</v>
      </c>
      <c r="S14" s="276">
        <f t="shared" si="5"/>
        <v>0</v>
      </c>
      <c r="T14" s="503">
        <f t="shared" si="32"/>
        <v>397762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0</v>
      </c>
      <c r="AA14" s="276">
        <f t="shared" si="22"/>
        <v>0</v>
      </c>
      <c r="AB14" s="276">
        <f t="shared" si="23"/>
        <v>500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6"/>
        <v>0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f t="shared" si="16"/>
        <v>10734</v>
      </c>
      <c r="K15" s="276">
        <f t="shared" si="2"/>
        <v>0</v>
      </c>
      <c r="L15" s="503">
        <f t="shared" si="30"/>
        <v>366691</v>
      </c>
      <c r="M15" s="276">
        <f t="shared" si="31"/>
        <v>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f t="shared" si="19"/>
        <v>13833</v>
      </c>
      <c r="S15" s="276">
        <f t="shared" si="5"/>
        <v>0</v>
      </c>
      <c r="T15" s="503">
        <f t="shared" si="32"/>
        <v>397762</v>
      </c>
      <c r="U15" s="276">
        <f t="shared" si="33"/>
        <v>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0</v>
      </c>
      <c r="AA15" s="276">
        <f t="shared" si="22"/>
        <v>0</v>
      </c>
      <c r="AB15" s="276">
        <f t="shared" si="23"/>
        <v>500</v>
      </c>
      <c r="AC15" s="276">
        <f t="shared" si="24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6"/>
        <v>0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10734</v>
      </c>
      <c r="K16" s="276">
        <f t="shared" si="2"/>
        <v>0</v>
      </c>
      <c r="L16" s="503">
        <f t="shared" si="30"/>
        <v>366691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13833</v>
      </c>
      <c r="S16" s="276">
        <f t="shared" si="5"/>
        <v>0</v>
      </c>
      <c r="T16" s="503">
        <f t="shared" si="32"/>
        <v>397762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10734</v>
      </c>
      <c r="K17" s="276">
        <f t="shared" si="2"/>
        <v>0</v>
      </c>
      <c r="L17" s="503">
        <f t="shared" si="30"/>
        <v>366691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13833</v>
      </c>
      <c r="S17" s="276">
        <f t="shared" si="5"/>
        <v>0</v>
      </c>
      <c r="T17" s="503">
        <f t="shared" si="32"/>
        <v>397762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10734</v>
      </c>
      <c r="K18" s="276">
        <f t="shared" si="2"/>
        <v>0</v>
      </c>
      <c r="L18" s="503">
        <f t="shared" si="30"/>
        <v>366691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13833</v>
      </c>
      <c r="S18" s="276">
        <f t="shared" si="5"/>
        <v>0</v>
      </c>
      <c r="T18" s="503">
        <f t="shared" si="32"/>
        <v>397762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10734</v>
      </c>
      <c r="K19" s="276">
        <f t="shared" si="2"/>
        <v>0</v>
      </c>
      <c r="L19" s="503">
        <f t="shared" si="30"/>
        <v>366691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13833</v>
      </c>
      <c r="S19" s="276">
        <f t="shared" si="5"/>
        <v>0</v>
      </c>
      <c r="T19" s="503">
        <f t="shared" si="32"/>
        <v>397762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f t="shared" si="16"/>
        <v>10734</v>
      </c>
      <c r="K20" s="276">
        <f t="shared" si="2"/>
        <v>0</v>
      </c>
      <c r="L20" s="503">
        <f t="shared" si="30"/>
        <v>366691</v>
      </c>
      <c r="M20" s="276">
        <f t="shared" si="31"/>
        <v>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f t="shared" si="19"/>
        <v>13833</v>
      </c>
      <c r="S20" s="276">
        <f t="shared" si="5"/>
        <v>0</v>
      </c>
      <c r="T20" s="503">
        <f t="shared" si="32"/>
        <v>397762</v>
      </c>
      <c r="U20" s="276">
        <f t="shared" si="33"/>
        <v>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0</v>
      </c>
      <c r="AA20" s="276">
        <f t="shared" si="22"/>
        <v>0</v>
      </c>
      <c r="AB20" s="276">
        <f t="shared" si="23"/>
        <v>500</v>
      </c>
      <c r="AC20" s="276">
        <f t="shared" si="24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5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6"/>
        <v>0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f t="shared" si="16"/>
        <v>10734</v>
      </c>
      <c r="K21" s="276">
        <f t="shared" si="2"/>
        <v>0</v>
      </c>
      <c r="L21" s="503">
        <f t="shared" si="30"/>
        <v>366691</v>
      </c>
      <c r="M21" s="276">
        <f t="shared" si="31"/>
        <v>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f t="shared" si="19"/>
        <v>13833</v>
      </c>
      <c r="S21" s="276">
        <f t="shared" si="5"/>
        <v>0</v>
      </c>
      <c r="T21" s="503">
        <f t="shared" si="32"/>
        <v>397762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0</v>
      </c>
      <c r="AA21" s="276">
        <f t="shared" si="22"/>
        <v>0</v>
      </c>
      <c r="AB21" s="276">
        <f t="shared" si="23"/>
        <v>500</v>
      </c>
      <c r="AC21" s="276">
        <f t="shared" si="24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5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6"/>
        <v>0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f t="shared" si="16"/>
        <v>10734</v>
      </c>
      <c r="K22" s="276">
        <f t="shared" si="2"/>
        <v>0</v>
      </c>
      <c r="L22" s="503">
        <f t="shared" si="30"/>
        <v>366691</v>
      </c>
      <c r="M22" s="276">
        <f t="shared" si="31"/>
        <v>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f t="shared" si="19"/>
        <v>13833</v>
      </c>
      <c r="S22" s="276">
        <f t="shared" si="5"/>
        <v>0</v>
      </c>
      <c r="T22" s="503">
        <f t="shared" si="32"/>
        <v>397762</v>
      </c>
      <c r="U22" s="276">
        <f t="shared" si="33"/>
        <v>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0</v>
      </c>
      <c r="AA22" s="276">
        <f t="shared" si="22"/>
        <v>0</v>
      </c>
      <c r="AB22" s="276">
        <f t="shared" si="23"/>
        <v>500</v>
      </c>
      <c r="AC22" s="276">
        <f t="shared" si="24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5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6"/>
        <v>0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10734</v>
      </c>
      <c r="K23" s="276">
        <f t="shared" si="2"/>
        <v>0</v>
      </c>
      <c r="L23" s="503">
        <f t="shared" si="30"/>
        <v>366691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13833</v>
      </c>
      <c r="S23" s="276">
        <f>R23-R22</f>
        <v>0</v>
      </c>
      <c r="T23" s="503">
        <f t="shared" si="32"/>
        <v>397762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10734</v>
      </c>
      <c r="K24" s="276">
        <f t="shared" si="2"/>
        <v>0</v>
      </c>
      <c r="L24" s="503">
        <f t="shared" si="30"/>
        <v>366691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13833</v>
      </c>
      <c r="S24" s="276">
        <f t="shared" si="5"/>
        <v>0</v>
      </c>
      <c r="T24" s="503">
        <f t="shared" si="32"/>
        <v>397762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10734</v>
      </c>
      <c r="K25" s="276">
        <f t="shared" si="2"/>
        <v>0</v>
      </c>
      <c r="L25" s="503">
        <f t="shared" si="30"/>
        <v>366691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13833</v>
      </c>
      <c r="S25" s="276">
        <f t="shared" si="5"/>
        <v>0</v>
      </c>
      <c r="T25" s="503">
        <f t="shared" si="32"/>
        <v>397762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10734</v>
      </c>
      <c r="K26" s="276">
        <f t="shared" si="2"/>
        <v>0</v>
      </c>
      <c r="L26" s="503">
        <f t="shared" si="30"/>
        <v>366691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13833</v>
      </c>
      <c r="S26" s="276">
        <f>R26-R25</f>
        <v>0</v>
      </c>
      <c r="T26" s="503">
        <f t="shared" si="32"/>
        <v>397762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f t="shared" si="16"/>
        <v>10734</v>
      </c>
      <c r="K27" s="276">
        <f t="shared" si="2"/>
        <v>0</v>
      </c>
      <c r="L27" s="503">
        <f t="shared" si="30"/>
        <v>366691</v>
      </c>
      <c r="M27" s="276">
        <f t="shared" si="31"/>
        <v>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f t="shared" si="19"/>
        <v>13833</v>
      </c>
      <c r="S27" s="276">
        <f t="shared" si="5"/>
        <v>0</v>
      </c>
      <c r="T27" s="503">
        <f t="shared" si="32"/>
        <v>397762</v>
      </c>
      <c r="U27" s="276">
        <f t="shared" si="33"/>
        <v>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0</v>
      </c>
      <c r="AA27" s="276">
        <f t="shared" si="22"/>
        <v>0</v>
      </c>
      <c r="AB27" s="276">
        <f t="shared" si="23"/>
        <v>500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6"/>
        <v>0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10734</v>
      </c>
      <c r="K28" s="276">
        <f t="shared" si="2"/>
        <v>0</v>
      </c>
      <c r="L28" s="503">
        <f t="shared" si="30"/>
        <v>366691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13833</v>
      </c>
      <c r="S28" s="276">
        <f t="shared" si="5"/>
        <v>0</v>
      </c>
      <c r="T28" s="503">
        <f t="shared" si="32"/>
        <v>397762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10734</v>
      </c>
      <c r="K29" s="276">
        <f t="shared" si="2"/>
        <v>0</v>
      </c>
      <c r="L29" s="503">
        <f t="shared" si="30"/>
        <v>366691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13833</v>
      </c>
      <c r="S29" s="276">
        <f t="shared" si="5"/>
        <v>0</v>
      </c>
      <c r="T29" s="503">
        <f t="shared" si="32"/>
        <v>397762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10734</v>
      </c>
      <c r="K30" s="276">
        <f t="shared" si="2"/>
        <v>0</v>
      </c>
      <c r="L30" s="503">
        <f t="shared" si="30"/>
        <v>366691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13833</v>
      </c>
      <c r="S30" s="276">
        <f t="shared" si="5"/>
        <v>0</v>
      </c>
      <c r="T30" s="503">
        <f t="shared" si="32"/>
        <v>397762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10734</v>
      </c>
      <c r="K31" s="276">
        <f t="shared" si="2"/>
        <v>0</v>
      </c>
      <c r="L31" s="503">
        <f t="shared" si="30"/>
        <v>366691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13833</v>
      </c>
      <c r="S31" s="276">
        <f t="shared" ref="S31:S33" si="42">R31-R30</f>
        <v>0</v>
      </c>
      <c r="T31" s="503">
        <f t="shared" si="32"/>
        <v>397762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10734</v>
      </c>
      <c r="K32" s="276">
        <f t="shared" si="2"/>
        <v>0</v>
      </c>
      <c r="L32" s="503">
        <f t="shared" si="30"/>
        <v>366691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13833</v>
      </c>
      <c r="S32" s="276">
        <f t="shared" si="42"/>
        <v>0</v>
      </c>
      <c r="T32" s="503">
        <f t="shared" si="32"/>
        <v>397762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10734</v>
      </c>
      <c r="K33" s="276">
        <f t="shared" si="2"/>
        <v>0</v>
      </c>
      <c r="L33" s="503">
        <f t="shared" si="30"/>
        <v>366691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13833</v>
      </c>
      <c r="S33" s="276">
        <f t="shared" si="42"/>
        <v>0</v>
      </c>
      <c r="T33" s="503">
        <f t="shared" si="32"/>
        <v>397762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66</v>
      </c>
      <c r="V34" s="40"/>
      <c r="X34">
        <v>341</v>
      </c>
      <c r="Z34" s="404">
        <f>SUM(Z3:Z33)</f>
        <v>66</v>
      </c>
      <c r="AF34" s="387">
        <f>SUM(AE34/1600)</f>
        <v>0</v>
      </c>
      <c r="AL34">
        <f>SUM(AL3:AL33)</f>
        <v>6</v>
      </c>
    </row>
    <row r="35" spans="1:38">
      <c r="C35" s="40">
        <f>SUM(C3:C33)</f>
        <v>0</v>
      </c>
      <c r="K35" s="40">
        <f>SUM(K3:K33)</f>
        <v>18</v>
      </c>
      <c r="S35" s="40">
        <f>SUM(S3:S33)</f>
        <v>48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V1" activePane="topRight" state="frozen"/>
      <selection pane="topRight" activeCell="A15" sqref="A15:XFD15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-2453.4193548387411</v>
      </c>
      <c r="AT8" s="340"/>
      <c r="AU8" s="548"/>
      <c r="AV8" s="485">
        <f t="shared" ref="AV8:AV31" si="43">IF(AT8&gt;0,AU8,AV7)</f>
        <v>1.1200000000000001</v>
      </c>
      <c r="AW8" s="279">
        <f>-SUM('B5'!AI7)</f>
        <v>-347</v>
      </c>
      <c r="AX8" s="279">
        <f t="shared" si="17"/>
        <v>-2106.4193548387411</v>
      </c>
      <c r="AY8" s="37">
        <f t="shared" si="37"/>
        <v>-2453.4193548387411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-234.04659498208235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1.1200000000000001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1.1200000000000001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1.1200000000000001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1191.1729957807481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230</v>
      </c>
      <c r="C12" s="203">
        <f t="shared" si="18"/>
        <v>4948.7096774193551</v>
      </c>
      <c r="D12">
        <f t="shared" si="19"/>
        <v>230</v>
      </c>
      <c r="E12" s="203">
        <f t="shared" si="18"/>
        <v>4948.7096774193551</v>
      </c>
      <c r="F12">
        <f t="shared" si="20"/>
        <v>230</v>
      </c>
      <c r="G12" s="203">
        <f t="shared" si="1"/>
        <v>4948.7096774193551</v>
      </c>
      <c r="H12" s="203">
        <f t="shared" si="21"/>
        <v>230</v>
      </c>
      <c r="I12" s="203">
        <f t="shared" si="2"/>
        <v>4948.7096774193551</v>
      </c>
      <c r="J12" s="203">
        <f t="shared" si="22"/>
        <v>230</v>
      </c>
      <c r="K12" s="203">
        <f t="shared" si="3"/>
        <v>4948.7096774193551</v>
      </c>
      <c r="L12" s="203">
        <f t="shared" si="23"/>
        <v>230</v>
      </c>
      <c r="M12" s="203">
        <f t="shared" si="4"/>
        <v>4948.7096774193551</v>
      </c>
      <c r="N12" s="203">
        <f t="shared" si="24"/>
        <v>230</v>
      </c>
      <c r="O12" s="203">
        <f t="shared" si="5"/>
        <v>4948.7096774193551</v>
      </c>
      <c r="P12" s="203">
        <f t="shared" si="25"/>
        <v>230</v>
      </c>
      <c r="Q12" s="203">
        <f t="shared" si="6"/>
        <v>4948.7096774193551</v>
      </c>
      <c r="R12" s="203">
        <f t="shared" si="26"/>
        <v>230</v>
      </c>
      <c r="S12" s="203">
        <f t="shared" si="7"/>
        <v>4948.7096774193551</v>
      </c>
      <c r="T12" s="203">
        <f t="shared" si="27"/>
        <v>230</v>
      </c>
      <c r="U12" s="203">
        <f t="shared" si="8"/>
        <v>4948.7096774193551</v>
      </c>
      <c r="V12" s="203">
        <f t="shared" si="28"/>
        <v>230</v>
      </c>
      <c r="W12" s="203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3">
        <f>'B5'!C11</f>
        <v>237</v>
      </c>
      <c r="AA12" s="203">
        <f t="shared" si="30"/>
        <v>2370</v>
      </c>
      <c r="AB12" s="203">
        <f t="shared" si="31"/>
        <v>237</v>
      </c>
      <c r="AC12" s="203">
        <f t="shared" si="30"/>
        <v>2370</v>
      </c>
      <c r="AD12" s="203">
        <f t="shared" si="32"/>
        <v>237</v>
      </c>
      <c r="AE12" s="203">
        <f t="shared" si="11"/>
        <v>2370</v>
      </c>
      <c r="AF12" s="203">
        <f t="shared" si="33"/>
        <v>237</v>
      </c>
      <c r="AG12" s="203">
        <f t="shared" si="12"/>
        <v>2370</v>
      </c>
      <c r="AH12" s="203">
        <f t="shared" si="34"/>
        <v>237</v>
      </c>
      <c r="AI12" s="203">
        <f t="shared" si="13"/>
        <v>2370</v>
      </c>
      <c r="AJ12" s="203">
        <f t="shared" si="35"/>
        <v>237</v>
      </c>
      <c r="AK12" s="203">
        <f t="shared" si="14"/>
        <v>2370</v>
      </c>
      <c r="AL12" s="203">
        <f t="shared" si="36"/>
        <v>237</v>
      </c>
      <c r="AM12" s="203">
        <f t="shared" si="15"/>
        <v>2370</v>
      </c>
      <c r="AN12" s="35">
        <f t="shared" si="16"/>
        <v>0.84642857142857142</v>
      </c>
      <c r="AO12" s="36">
        <f t="shared" si="39"/>
        <v>16590</v>
      </c>
      <c r="AP12" s="525"/>
      <c r="AQ12" s="223">
        <f t="shared" si="40"/>
        <v>0.76396478919665389</v>
      </c>
      <c r="AR12" s="38">
        <f t="shared" si="41"/>
        <v>71025.806451612909</v>
      </c>
      <c r="AS12" s="197">
        <f t="shared" si="42"/>
        <v>-1025.1935483870911</v>
      </c>
      <c r="AT12" s="340">
        <v>5082</v>
      </c>
      <c r="AU12" s="548">
        <v>1.0089999999999999</v>
      </c>
      <c r="AV12" s="485">
        <f t="shared" si="43"/>
        <v>1.0089999999999999</v>
      </c>
      <c r="AW12" s="279">
        <f>-SUM('B5'!AI11)</f>
        <v>-157</v>
      </c>
      <c r="AX12" s="279">
        <f t="shared" si="17"/>
        <v>-868.19354838709114</v>
      </c>
      <c r="AY12" s="37">
        <f t="shared" si="37"/>
        <v>-1025.1935483870911</v>
      </c>
      <c r="AZ12" s="100">
        <f>ELEC!A10</f>
        <v>0</v>
      </c>
      <c r="BA12" s="118">
        <f>'General information '!D11</f>
        <v>18.5</v>
      </c>
      <c r="BB12" s="378">
        <f>SUM('General information '!E11)</f>
        <v>0.75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-234.64690496943794</v>
      </c>
      <c r="BK12" s="538">
        <f>GEN!AF9</f>
        <v>0.2892500000000382</v>
      </c>
    </row>
    <row r="13" spans="1:63">
      <c r="A13" s="425">
        <f>ELEC!C11</f>
        <v>44659</v>
      </c>
      <c r="B13">
        <f>'B5'!B12</f>
        <v>230</v>
      </c>
      <c r="C13" s="203">
        <f t="shared" si="18"/>
        <v>4948.7096774193551</v>
      </c>
      <c r="D13">
        <f t="shared" si="19"/>
        <v>230</v>
      </c>
      <c r="E13" s="203">
        <f t="shared" si="18"/>
        <v>4948.7096774193551</v>
      </c>
      <c r="F13">
        <f t="shared" si="20"/>
        <v>230</v>
      </c>
      <c r="G13" s="203">
        <f t="shared" si="1"/>
        <v>4948.7096774193551</v>
      </c>
      <c r="H13" s="203">
        <f t="shared" si="21"/>
        <v>230</v>
      </c>
      <c r="I13" s="203">
        <f t="shared" si="2"/>
        <v>4948.7096774193551</v>
      </c>
      <c r="J13" s="203">
        <f t="shared" si="22"/>
        <v>230</v>
      </c>
      <c r="K13" s="203">
        <f t="shared" si="3"/>
        <v>4948.7096774193551</v>
      </c>
      <c r="L13" s="203">
        <f t="shared" si="23"/>
        <v>230</v>
      </c>
      <c r="M13" s="203">
        <f t="shared" si="4"/>
        <v>4948.7096774193551</v>
      </c>
      <c r="N13" s="203">
        <f t="shared" si="24"/>
        <v>230</v>
      </c>
      <c r="O13" s="203">
        <f t="shared" si="5"/>
        <v>4948.7096774193551</v>
      </c>
      <c r="P13" s="203">
        <f t="shared" si="25"/>
        <v>230</v>
      </c>
      <c r="Q13" s="203">
        <f t="shared" si="6"/>
        <v>4948.7096774193551</v>
      </c>
      <c r="R13" s="203">
        <f t="shared" si="26"/>
        <v>230</v>
      </c>
      <c r="S13" s="203">
        <f t="shared" si="7"/>
        <v>4948.7096774193551</v>
      </c>
      <c r="T13" s="203">
        <f t="shared" si="27"/>
        <v>230</v>
      </c>
      <c r="U13" s="203">
        <f t="shared" si="8"/>
        <v>4948.7096774193551</v>
      </c>
      <c r="V13" s="203">
        <f t="shared" si="28"/>
        <v>230</v>
      </c>
      <c r="W13" s="203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3">
        <f>'B5'!C12</f>
        <v>237</v>
      </c>
      <c r="AA13" s="203">
        <f t="shared" si="30"/>
        <v>2370</v>
      </c>
      <c r="AB13" s="203">
        <f t="shared" si="31"/>
        <v>237</v>
      </c>
      <c r="AC13" s="203">
        <f t="shared" si="30"/>
        <v>2370</v>
      </c>
      <c r="AD13" s="203">
        <f t="shared" si="32"/>
        <v>237</v>
      </c>
      <c r="AE13" s="203">
        <f t="shared" si="11"/>
        <v>2370</v>
      </c>
      <c r="AF13" s="203">
        <f t="shared" si="33"/>
        <v>237</v>
      </c>
      <c r="AG13" s="203">
        <f t="shared" si="12"/>
        <v>2370</v>
      </c>
      <c r="AH13" s="203">
        <f t="shared" si="34"/>
        <v>237</v>
      </c>
      <c r="AI13" s="203">
        <f t="shared" si="13"/>
        <v>2370</v>
      </c>
      <c r="AJ13" s="203">
        <f t="shared" si="35"/>
        <v>237</v>
      </c>
      <c r="AK13" s="203">
        <f t="shared" si="14"/>
        <v>2370</v>
      </c>
      <c r="AL13" s="203">
        <f t="shared" si="36"/>
        <v>237</v>
      </c>
      <c r="AM13" s="203">
        <f t="shared" si="15"/>
        <v>2370</v>
      </c>
      <c r="AN13" s="35">
        <f t="shared" si="16"/>
        <v>0.84642857142857142</v>
      </c>
      <c r="AO13" s="36">
        <f t="shared" si="39"/>
        <v>16590</v>
      </c>
      <c r="AP13" s="525"/>
      <c r="AQ13" s="223">
        <f t="shared" si="40"/>
        <v>0.76396478919665389</v>
      </c>
      <c r="AR13" s="38">
        <f t="shared" si="41"/>
        <v>71025.806451612909</v>
      </c>
      <c r="AS13" s="197">
        <f t="shared" si="42"/>
        <v>0</v>
      </c>
      <c r="AT13" s="340"/>
      <c r="AU13" s="548"/>
      <c r="AV13" s="485">
        <f t="shared" si="43"/>
        <v>1.0089999999999999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230</v>
      </c>
      <c r="C14" s="203">
        <f t="shared" si="18"/>
        <v>4948.7096774193551</v>
      </c>
      <c r="D14">
        <f t="shared" si="19"/>
        <v>230</v>
      </c>
      <c r="E14" s="203">
        <f t="shared" si="18"/>
        <v>4948.7096774193551</v>
      </c>
      <c r="F14">
        <f t="shared" si="20"/>
        <v>230</v>
      </c>
      <c r="G14" s="203">
        <f t="shared" si="1"/>
        <v>4948.7096774193551</v>
      </c>
      <c r="H14" s="203">
        <f t="shared" si="21"/>
        <v>230</v>
      </c>
      <c r="I14" s="203">
        <f t="shared" si="2"/>
        <v>4948.7096774193551</v>
      </c>
      <c r="J14" s="203">
        <f t="shared" si="22"/>
        <v>230</v>
      </c>
      <c r="K14" s="203">
        <f t="shared" si="3"/>
        <v>4948.7096774193551</v>
      </c>
      <c r="L14" s="203">
        <f t="shared" si="23"/>
        <v>230</v>
      </c>
      <c r="M14" s="203">
        <f t="shared" si="4"/>
        <v>4948.7096774193551</v>
      </c>
      <c r="N14" s="203">
        <f t="shared" si="24"/>
        <v>230</v>
      </c>
      <c r="O14" s="203">
        <f t="shared" si="5"/>
        <v>4948.7096774193551</v>
      </c>
      <c r="P14" s="203">
        <f t="shared" si="25"/>
        <v>230</v>
      </c>
      <c r="Q14" s="203">
        <f t="shared" si="6"/>
        <v>4948.7096774193551</v>
      </c>
      <c r="R14" s="203">
        <f t="shared" si="26"/>
        <v>230</v>
      </c>
      <c r="S14" s="203">
        <f t="shared" si="7"/>
        <v>4948.7096774193551</v>
      </c>
      <c r="T14" s="203">
        <f t="shared" si="27"/>
        <v>230</v>
      </c>
      <c r="U14" s="203">
        <f t="shared" si="8"/>
        <v>4948.7096774193551</v>
      </c>
      <c r="V14" s="203">
        <f t="shared" si="28"/>
        <v>230</v>
      </c>
      <c r="W14" s="203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3">
        <f>'B5'!C13</f>
        <v>237</v>
      </c>
      <c r="AA14" s="203">
        <f t="shared" si="30"/>
        <v>2370</v>
      </c>
      <c r="AB14" s="203">
        <f t="shared" si="31"/>
        <v>237</v>
      </c>
      <c r="AC14" s="203">
        <f t="shared" si="30"/>
        <v>2370</v>
      </c>
      <c r="AD14" s="203">
        <f t="shared" si="32"/>
        <v>237</v>
      </c>
      <c r="AE14" s="203">
        <f t="shared" si="11"/>
        <v>2370</v>
      </c>
      <c r="AF14" s="203">
        <f t="shared" si="33"/>
        <v>237</v>
      </c>
      <c r="AG14" s="203">
        <f t="shared" si="12"/>
        <v>2370</v>
      </c>
      <c r="AH14" s="203">
        <f t="shared" si="34"/>
        <v>237</v>
      </c>
      <c r="AI14" s="203">
        <f t="shared" si="13"/>
        <v>2370</v>
      </c>
      <c r="AJ14" s="203">
        <f t="shared" si="35"/>
        <v>237</v>
      </c>
      <c r="AK14" s="203">
        <f t="shared" si="14"/>
        <v>2370</v>
      </c>
      <c r="AL14" s="203">
        <f t="shared" si="36"/>
        <v>237</v>
      </c>
      <c r="AM14" s="203">
        <f t="shared" si="15"/>
        <v>2370</v>
      </c>
      <c r="AN14" s="35">
        <f t="shared" si="16"/>
        <v>0.84642857142857142</v>
      </c>
      <c r="AO14" s="36">
        <f t="shared" si="39"/>
        <v>16590</v>
      </c>
      <c r="AQ14" s="223">
        <f t="shared" si="40"/>
        <v>0.76396478919665389</v>
      </c>
      <c r="AR14" s="38">
        <f t="shared" si="41"/>
        <v>71025.806451612909</v>
      </c>
      <c r="AS14" s="197">
        <f t="shared" si="42"/>
        <v>0</v>
      </c>
      <c r="AT14" s="340"/>
      <c r="AU14" s="548"/>
      <c r="AV14" s="485">
        <f t="shared" si="43"/>
        <v>1.0089999999999999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1262.2109704647194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243</v>
      </c>
      <c r="C15" s="203">
        <f>B15*$B$4</f>
        <v>5228.4193548387093</v>
      </c>
      <c r="D15">
        <f t="shared" si="19"/>
        <v>243</v>
      </c>
      <c r="E15" s="203">
        <f t="shared" si="18"/>
        <v>5228.4193548387093</v>
      </c>
      <c r="F15">
        <f t="shared" si="20"/>
        <v>243</v>
      </c>
      <c r="G15" s="203">
        <f t="shared" si="1"/>
        <v>5228.4193548387093</v>
      </c>
      <c r="H15" s="203">
        <f t="shared" si="21"/>
        <v>243</v>
      </c>
      <c r="I15" s="203">
        <f t="shared" si="2"/>
        <v>5228.4193548387093</v>
      </c>
      <c r="J15" s="203">
        <f t="shared" si="22"/>
        <v>243</v>
      </c>
      <c r="K15" s="203">
        <f t="shared" si="3"/>
        <v>5228.4193548387093</v>
      </c>
      <c r="L15" s="203">
        <f t="shared" si="23"/>
        <v>243</v>
      </c>
      <c r="M15" s="203">
        <f t="shared" si="4"/>
        <v>5228.4193548387093</v>
      </c>
      <c r="N15" s="203">
        <f t="shared" si="24"/>
        <v>243</v>
      </c>
      <c r="O15" s="203">
        <f t="shared" si="5"/>
        <v>5228.4193548387093</v>
      </c>
      <c r="P15" s="203">
        <f t="shared" si="25"/>
        <v>243</v>
      </c>
      <c r="Q15" s="203">
        <f t="shared" si="6"/>
        <v>5228.4193548387093</v>
      </c>
      <c r="R15" s="203">
        <f t="shared" si="26"/>
        <v>243</v>
      </c>
      <c r="S15" s="203">
        <f t="shared" si="7"/>
        <v>5228.4193548387093</v>
      </c>
      <c r="T15" s="203">
        <f t="shared" si="27"/>
        <v>243</v>
      </c>
      <c r="U15" s="203">
        <f t="shared" si="8"/>
        <v>5228.4193548387093</v>
      </c>
      <c r="V15" s="203">
        <f t="shared" si="28"/>
        <v>243</v>
      </c>
      <c r="W15" s="203">
        <f t="shared" si="9"/>
        <v>5228.4193548387093</v>
      </c>
      <c r="X15" s="35">
        <f t="shared" si="10"/>
        <v>0.78387096774193554</v>
      </c>
      <c r="Y15" s="36">
        <f t="shared" si="29"/>
        <v>57512.61290322581</v>
      </c>
      <c r="Z15" s="203">
        <f>'B5'!C14</f>
        <v>250</v>
      </c>
      <c r="AA15" s="203">
        <f t="shared" si="30"/>
        <v>2500</v>
      </c>
      <c r="AB15" s="203">
        <f t="shared" si="31"/>
        <v>250</v>
      </c>
      <c r="AC15" s="203">
        <f t="shared" si="30"/>
        <v>2500</v>
      </c>
      <c r="AD15" s="203">
        <f t="shared" si="32"/>
        <v>250</v>
      </c>
      <c r="AE15" s="203">
        <f t="shared" si="11"/>
        <v>2500</v>
      </c>
      <c r="AF15" s="203">
        <f t="shared" si="33"/>
        <v>250</v>
      </c>
      <c r="AG15" s="203">
        <f t="shared" si="12"/>
        <v>2500</v>
      </c>
      <c r="AH15" s="203">
        <f t="shared" si="34"/>
        <v>250</v>
      </c>
      <c r="AI15" s="203">
        <f t="shared" si="13"/>
        <v>2500</v>
      </c>
      <c r="AJ15" s="203">
        <f t="shared" si="35"/>
        <v>250</v>
      </c>
      <c r="AK15" s="203">
        <f t="shared" si="14"/>
        <v>2500</v>
      </c>
      <c r="AL15" s="203">
        <f t="shared" si="36"/>
        <v>250</v>
      </c>
      <c r="AM15" s="203">
        <f t="shared" si="15"/>
        <v>2500</v>
      </c>
      <c r="AN15" s="35">
        <f t="shared" si="16"/>
        <v>0.8928571428571429</v>
      </c>
      <c r="AO15" s="36">
        <f t="shared" si="39"/>
        <v>17500</v>
      </c>
      <c r="AQ15" s="223">
        <f t="shared" si="40"/>
        <v>0.80684750890852763</v>
      </c>
      <c r="AR15" s="38">
        <f>Y15+AO15</f>
        <v>75012.612903225818</v>
      </c>
      <c r="AS15" s="197">
        <f t="shared" si="42"/>
        <v>-1113.1935483870911</v>
      </c>
      <c r="AT15" s="340">
        <v>5100</v>
      </c>
      <c r="AU15" s="548">
        <v>1.0089999999999999</v>
      </c>
      <c r="AV15" s="485">
        <f>IF(AT15&gt;0,AU15,AV14)</f>
        <v>1.0089999999999999</v>
      </c>
      <c r="AW15" s="279">
        <f>-SUM('B5'!AI14)</f>
        <v>-345</v>
      </c>
      <c r="AX15" s="279">
        <f t="shared" si="17"/>
        <v>-768.19354838709114</v>
      </c>
      <c r="AY15" s="37">
        <f t="shared" si="37"/>
        <v>-1113.1935483870911</v>
      </c>
      <c r="AZ15" s="100">
        <f>ELEC!A13</f>
        <v>0</v>
      </c>
      <c r="BA15" s="118">
        <f>'General information '!D14</f>
        <v>18.5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-192.04838709677279</v>
      </c>
      <c r="BK15" s="538">
        <f>GEN!AF12</f>
        <v>0.30650000000014188</v>
      </c>
    </row>
    <row r="16" spans="1:63">
      <c r="A16" s="425">
        <f>ELEC!C14</f>
        <v>44662</v>
      </c>
      <c r="B16">
        <f>'B5'!B15</f>
        <v>243</v>
      </c>
      <c r="C16" s="203">
        <f t="shared" si="18"/>
        <v>5228.4193548387093</v>
      </c>
      <c r="D16">
        <f t="shared" si="19"/>
        <v>243</v>
      </c>
      <c r="E16" s="203">
        <f t="shared" si="18"/>
        <v>5228.4193548387093</v>
      </c>
      <c r="F16">
        <f t="shared" si="20"/>
        <v>243</v>
      </c>
      <c r="G16" s="203">
        <f t="shared" si="1"/>
        <v>5228.4193548387093</v>
      </c>
      <c r="H16" s="203">
        <f t="shared" si="21"/>
        <v>243</v>
      </c>
      <c r="I16" s="203">
        <f t="shared" si="2"/>
        <v>5228.4193548387093</v>
      </c>
      <c r="J16" s="203">
        <f t="shared" si="22"/>
        <v>243</v>
      </c>
      <c r="K16" s="203">
        <f t="shared" si="3"/>
        <v>5228.4193548387093</v>
      </c>
      <c r="L16" s="203">
        <f t="shared" si="23"/>
        <v>243</v>
      </c>
      <c r="M16" s="203">
        <f t="shared" si="4"/>
        <v>5228.4193548387093</v>
      </c>
      <c r="N16" s="203">
        <f t="shared" si="24"/>
        <v>243</v>
      </c>
      <c r="O16" s="203">
        <f t="shared" si="5"/>
        <v>5228.4193548387093</v>
      </c>
      <c r="P16" s="203">
        <f t="shared" si="25"/>
        <v>243</v>
      </c>
      <c r="Q16" s="203">
        <f t="shared" si="6"/>
        <v>5228.4193548387093</v>
      </c>
      <c r="R16" s="203">
        <f t="shared" si="26"/>
        <v>243</v>
      </c>
      <c r="S16" s="203">
        <f t="shared" si="7"/>
        <v>5228.4193548387093</v>
      </c>
      <c r="T16" s="203">
        <f t="shared" si="27"/>
        <v>243</v>
      </c>
      <c r="U16" s="203">
        <f t="shared" si="8"/>
        <v>5228.4193548387093</v>
      </c>
      <c r="V16" s="203">
        <f t="shared" si="28"/>
        <v>243</v>
      </c>
      <c r="W16" s="203">
        <f t="shared" si="9"/>
        <v>5228.4193548387093</v>
      </c>
      <c r="X16" s="35">
        <f t="shared" si="10"/>
        <v>0.78387096774193554</v>
      </c>
      <c r="Y16" s="36">
        <f t="shared" si="29"/>
        <v>57512.61290322581</v>
      </c>
      <c r="Z16" s="203">
        <f>'B5'!C15</f>
        <v>250</v>
      </c>
      <c r="AA16" s="203">
        <f t="shared" si="30"/>
        <v>2500</v>
      </c>
      <c r="AB16" s="203">
        <f t="shared" si="31"/>
        <v>250</v>
      </c>
      <c r="AC16" s="203">
        <f t="shared" si="30"/>
        <v>2500</v>
      </c>
      <c r="AD16" s="203">
        <f t="shared" si="32"/>
        <v>250</v>
      </c>
      <c r="AE16" s="203">
        <f t="shared" si="11"/>
        <v>2500</v>
      </c>
      <c r="AF16" s="203">
        <f t="shared" si="33"/>
        <v>250</v>
      </c>
      <c r="AG16" s="203">
        <f t="shared" si="12"/>
        <v>2500</v>
      </c>
      <c r="AH16" s="203">
        <f t="shared" si="34"/>
        <v>250</v>
      </c>
      <c r="AI16" s="203">
        <f t="shared" si="13"/>
        <v>2500</v>
      </c>
      <c r="AJ16" s="203">
        <f t="shared" si="35"/>
        <v>250</v>
      </c>
      <c r="AK16" s="203">
        <f t="shared" si="14"/>
        <v>2500</v>
      </c>
      <c r="AL16" s="203">
        <f t="shared" si="36"/>
        <v>250</v>
      </c>
      <c r="AM16" s="203">
        <f t="shared" si="15"/>
        <v>2500</v>
      </c>
      <c r="AN16" s="35">
        <f t="shared" si="16"/>
        <v>0.8928571428571429</v>
      </c>
      <c r="AO16" s="36">
        <f t="shared" si="39"/>
        <v>17500</v>
      </c>
      <c r="AQ16" s="223">
        <f t="shared" si="40"/>
        <v>0.80684750890852763</v>
      </c>
      <c r="AR16" s="38">
        <f t="shared" si="41"/>
        <v>75012.612903225818</v>
      </c>
      <c r="AS16" s="197">
        <f t="shared" si="42"/>
        <v>0</v>
      </c>
      <c r="AT16" s="340"/>
      <c r="AU16" s="548"/>
      <c r="AV16" s="485">
        <f t="shared" ref="AV16:AV21" si="45">IF(AT16&gt;0,AU16,AV15)</f>
        <v>1.0089999999999999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44663</v>
      </c>
      <c r="B17">
        <f>'B5'!B16</f>
        <v>243</v>
      </c>
      <c r="C17" s="203">
        <f t="shared" si="18"/>
        <v>5228.4193548387093</v>
      </c>
      <c r="D17">
        <f t="shared" si="19"/>
        <v>243</v>
      </c>
      <c r="E17" s="203">
        <f t="shared" si="18"/>
        <v>5228.4193548387093</v>
      </c>
      <c r="F17">
        <f t="shared" si="20"/>
        <v>243</v>
      </c>
      <c r="G17" s="203">
        <f t="shared" si="1"/>
        <v>5228.4193548387093</v>
      </c>
      <c r="H17" s="203">
        <f t="shared" si="21"/>
        <v>243</v>
      </c>
      <c r="I17" s="203">
        <f t="shared" si="2"/>
        <v>5228.4193548387093</v>
      </c>
      <c r="J17" s="203">
        <f t="shared" si="22"/>
        <v>243</v>
      </c>
      <c r="K17" s="203">
        <f t="shared" si="3"/>
        <v>5228.4193548387093</v>
      </c>
      <c r="L17" s="203">
        <f t="shared" si="23"/>
        <v>243</v>
      </c>
      <c r="M17" s="203">
        <f t="shared" si="4"/>
        <v>5228.4193548387093</v>
      </c>
      <c r="N17" s="203">
        <f t="shared" si="24"/>
        <v>243</v>
      </c>
      <c r="O17" s="203">
        <f t="shared" si="5"/>
        <v>5228.4193548387093</v>
      </c>
      <c r="P17" s="203">
        <f t="shared" si="25"/>
        <v>243</v>
      </c>
      <c r="Q17" s="203">
        <f t="shared" si="6"/>
        <v>5228.4193548387093</v>
      </c>
      <c r="R17" s="203">
        <f t="shared" si="26"/>
        <v>243</v>
      </c>
      <c r="S17" s="203">
        <f t="shared" si="7"/>
        <v>5228.4193548387093</v>
      </c>
      <c r="T17" s="203">
        <f t="shared" si="27"/>
        <v>243</v>
      </c>
      <c r="U17" s="203">
        <f t="shared" si="8"/>
        <v>5228.4193548387093</v>
      </c>
      <c r="V17" s="203">
        <f t="shared" si="28"/>
        <v>243</v>
      </c>
      <c r="W17" s="203">
        <f t="shared" si="9"/>
        <v>5228.4193548387093</v>
      </c>
      <c r="X17" s="35">
        <f t="shared" si="10"/>
        <v>0.78387096774193554</v>
      </c>
      <c r="Y17" s="36">
        <f t="shared" si="29"/>
        <v>57512.61290322581</v>
      </c>
      <c r="Z17" s="203">
        <f>'B5'!C16</f>
        <v>250</v>
      </c>
      <c r="AA17" s="203">
        <f t="shared" si="30"/>
        <v>2500</v>
      </c>
      <c r="AB17" s="203">
        <f t="shared" si="31"/>
        <v>250</v>
      </c>
      <c r="AC17" s="203">
        <f t="shared" si="30"/>
        <v>2500</v>
      </c>
      <c r="AD17" s="203">
        <f t="shared" si="32"/>
        <v>250</v>
      </c>
      <c r="AE17" s="203">
        <f t="shared" si="11"/>
        <v>2500</v>
      </c>
      <c r="AF17" s="203">
        <f t="shared" si="33"/>
        <v>250</v>
      </c>
      <c r="AG17" s="203">
        <f t="shared" si="12"/>
        <v>2500</v>
      </c>
      <c r="AH17" s="203">
        <f t="shared" si="34"/>
        <v>250</v>
      </c>
      <c r="AI17" s="203">
        <f t="shared" si="13"/>
        <v>2500</v>
      </c>
      <c r="AJ17" s="203">
        <f t="shared" si="35"/>
        <v>250</v>
      </c>
      <c r="AK17" s="203">
        <f t="shared" si="14"/>
        <v>2500</v>
      </c>
      <c r="AL17" s="203">
        <f t="shared" si="36"/>
        <v>250</v>
      </c>
      <c r="AM17" s="203">
        <f t="shared" si="15"/>
        <v>2500</v>
      </c>
      <c r="AN17" s="35">
        <f t="shared" si="16"/>
        <v>0.8928571428571429</v>
      </c>
      <c r="AO17" s="36">
        <f>SUM(AA17+AC17+AE17+AG17+AI17+AK17+AM17)</f>
        <v>17500</v>
      </c>
      <c r="AQ17" s="223">
        <f t="shared" si="40"/>
        <v>0.80684750890852763</v>
      </c>
      <c r="AR17" s="38">
        <f t="shared" si="41"/>
        <v>75012.612903225818</v>
      </c>
      <c r="AS17" s="197">
        <f t="shared" si="42"/>
        <v>0</v>
      </c>
      <c r="AU17" s="3"/>
      <c r="AV17" s="485">
        <f t="shared" si="45"/>
        <v>1.0089999999999999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44664</v>
      </c>
      <c r="B18">
        <f>'B5'!B17</f>
        <v>243</v>
      </c>
      <c r="C18" s="203">
        <f t="shared" si="18"/>
        <v>5228.4193548387093</v>
      </c>
      <c r="D18">
        <f t="shared" si="19"/>
        <v>243</v>
      </c>
      <c r="E18" s="203">
        <f t="shared" si="18"/>
        <v>5228.4193548387093</v>
      </c>
      <c r="F18">
        <f t="shared" si="20"/>
        <v>243</v>
      </c>
      <c r="G18" s="203">
        <f t="shared" si="1"/>
        <v>5228.4193548387093</v>
      </c>
      <c r="H18" s="203">
        <f t="shared" si="21"/>
        <v>243</v>
      </c>
      <c r="I18" s="203">
        <f t="shared" si="2"/>
        <v>5228.4193548387093</v>
      </c>
      <c r="J18" s="203">
        <f t="shared" si="22"/>
        <v>243</v>
      </c>
      <c r="K18" s="203">
        <f t="shared" si="3"/>
        <v>5228.4193548387093</v>
      </c>
      <c r="L18" s="203">
        <f t="shared" si="23"/>
        <v>243</v>
      </c>
      <c r="M18" s="203">
        <f t="shared" si="4"/>
        <v>5228.4193548387093</v>
      </c>
      <c r="N18" s="203">
        <f t="shared" si="24"/>
        <v>243</v>
      </c>
      <c r="O18" s="203">
        <f t="shared" si="5"/>
        <v>5228.4193548387093</v>
      </c>
      <c r="P18" s="203">
        <f t="shared" si="25"/>
        <v>243</v>
      </c>
      <c r="Q18" s="203">
        <f t="shared" si="6"/>
        <v>5228.4193548387093</v>
      </c>
      <c r="R18" s="203">
        <f t="shared" si="26"/>
        <v>243</v>
      </c>
      <c r="S18" s="203">
        <f t="shared" si="7"/>
        <v>5228.4193548387093</v>
      </c>
      <c r="T18" s="203">
        <f t="shared" si="27"/>
        <v>243</v>
      </c>
      <c r="U18" s="203">
        <f t="shared" si="8"/>
        <v>5228.4193548387093</v>
      </c>
      <c r="V18" s="203">
        <f t="shared" si="28"/>
        <v>243</v>
      </c>
      <c r="W18" s="203">
        <f t="shared" si="9"/>
        <v>5228.4193548387093</v>
      </c>
      <c r="X18" s="35">
        <f t="shared" si="10"/>
        <v>0.78387096774193554</v>
      </c>
      <c r="Y18" s="36">
        <f t="shared" si="29"/>
        <v>57512.61290322581</v>
      </c>
      <c r="Z18" s="203">
        <f>'B5'!C17</f>
        <v>250</v>
      </c>
      <c r="AA18" s="203">
        <f t="shared" si="30"/>
        <v>2500</v>
      </c>
      <c r="AB18" s="203">
        <f t="shared" si="31"/>
        <v>250</v>
      </c>
      <c r="AC18" s="203">
        <f t="shared" si="30"/>
        <v>2500</v>
      </c>
      <c r="AD18" s="203">
        <f t="shared" si="32"/>
        <v>250</v>
      </c>
      <c r="AE18" s="203">
        <f t="shared" si="11"/>
        <v>2500</v>
      </c>
      <c r="AF18" s="203">
        <f t="shared" si="33"/>
        <v>250</v>
      </c>
      <c r="AG18" s="203">
        <f t="shared" si="12"/>
        <v>2500</v>
      </c>
      <c r="AH18" s="203">
        <f t="shared" si="34"/>
        <v>250</v>
      </c>
      <c r="AI18" s="203">
        <f t="shared" si="13"/>
        <v>2500</v>
      </c>
      <c r="AJ18" s="203">
        <f t="shared" si="35"/>
        <v>250</v>
      </c>
      <c r="AK18" s="203">
        <f t="shared" si="14"/>
        <v>2500</v>
      </c>
      <c r="AL18" s="203">
        <f t="shared" si="36"/>
        <v>250</v>
      </c>
      <c r="AM18" s="203">
        <f t="shared" si="15"/>
        <v>2500</v>
      </c>
      <c r="AN18" s="35">
        <f t="shared" si="16"/>
        <v>0.8928571428571429</v>
      </c>
      <c r="AO18" s="36">
        <f t="shared" si="39"/>
        <v>17500</v>
      </c>
      <c r="AQ18" s="223">
        <f t="shared" si="40"/>
        <v>0.80684750890852763</v>
      </c>
      <c r="AR18" s="38">
        <f t="shared" si="41"/>
        <v>75012.612903225818</v>
      </c>
      <c r="AS18" s="197">
        <f>SUM(AR18-AR17-AT18)</f>
        <v>0</v>
      </c>
      <c r="AT18" s="340"/>
      <c r="AU18" s="548"/>
      <c r="AV18" s="485">
        <f t="shared" si="45"/>
        <v>1.0089999999999999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44665</v>
      </c>
      <c r="B19">
        <f>'B5'!B18</f>
        <v>243</v>
      </c>
      <c r="C19" s="203">
        <f t="shared" si="18"/>
        <v>5228.4193548387093</v>
      </c>
      <c r="D19">
        <f t="shared" si="19"/>
        <v>243</v>
      </c>
      <c r="E19" s="203">
        <f t="shared" si="18"/>
        <v>5228.4193548387093</v>
      </c>
      <c r="F19">
        <f t="shared" si="20"/>
        <v>243</v>
      </c>
      <c r="G19" s="203">
        <f t="shared" si="1"/>
        <v>5228.4193548387093</v>
      </c>
      <c r="H19" s="203">
        <f t="shared" si="21"/>
        <v>243</v>
      </c>
      <c r="I19" s="203">
        <f t="shared" si="2"/>
        <v>5228.4193548387093</v>
      </c>
      <c r="J19" s="203">
        <f t="shared" si="22"/>
        <v>243</v>
      </c>
      <c r="K19" s="203">
        <f t="shared" si="3"/>
        <v>5228.4193548387093</v>
      </c>
      <c r="L19" s="203">
        <f t="shared" si="23"/>
        <v>243</v>
      </c>
      <c r="M19" s="203">
        <f t="shared" si="4"/>
        <v>5228.4193548387093</v>
      </c>
      <c r="N19" s="203">
        <f t="shared" si="24"/>
        <v>243</v>
      </c>
      <c r="O19" s="203">
        <f t="shared" si="5"/>
        <v>5228.4193548387093</v>
      </c>
      <c r="P19" s="203">
        <f t="shared" si="25"/>
        <v>243</v>
      </c>
      <c r="Q19" s="203">
        <f t="shared" si="6"/>
        <v>5228.4193548387093</v>
      </c>
      <c r="R19" s="203">
        <f t="shared" si="26"/>
        <v>243</v>
      </c>
      <c r="S19" s="203">
        <f t="shared" si="7"/>
        <v>5228.4193548387093</v>
      </c>
      <c r="T19" s="203">
        <f t="shared" si="27"/>
        <v>243</v>
      </c>
      <c r="U19" s="203">
        <f t="shared" si="8"/>
        <v>5228.4193548387093</v>
      </c>
      <c r="V19" s="203">
        <f t="shared" si="28"/>
        <v>243</v>
      </c>
      <c r="W19" s="203">
        <f t="shared" si="9"/>
        <v>5228.4193548387093</v>
      </c>
      <c r="X19" s="35">
        <f t="shared" si="10"/>
        <v>0.78387096774193554</v>
      </c>
      <c r="Y19" s="36">
        <f t="shared" si="29"/>
        <v>57512.61290322581</v>
      </c>
      <c r="Z19" s="203">
        <f>'B5'!C18</f>
        <v>250</v>
      </c>
      <c r="AA19" s="203">
        <f t="shared" si="30"/>
        <v>2500</v>
      </c>
      <c r="AB19" s="203">
        <f t="shared" si="31"/>
        <v>250</v>
      </c>
      <c r="AC19" s="203">
        <f t="shared" si="30"/>
        <v>2500</v>
      </c>
      <c r="AD19" s="203">
        <f t="shared" si="32"/>
        <v>250</v>
      </c>
      <c r="AE19" s="203">
        <f t="shared" si="11"/>
        <v>2500</v>
      </c>
      <c r="AF19" s="203">
        <f t="shared" si="33"/>
        <v>250</v>
      </c>
      <c r="AG19" s="203">
        <f t="shared" si="12"/>
        <v>2500</v>
      </c>
      <c r="AH19" s="203">
        <f t="shared" si="34"/>
        <v>250</v>
      </c>
      <c r="AI19" s="203">
        <f t="shared" si="13"/>
        <v>2500</v>
      </c>
      <c r="AJ19" s="203">
        <f t="shared" si="35"/>
        <v>250</v>
      </c>
      <c r="AK19" s="203">
        <f t="shared" si="14"/>
        <v>2500</v>
      </c>
      <c r="AL19" s="203">
        <f t="shared" si="36"/>
        <v>250</v>
      </c>
      <c r="AM19" s="203">
        <f t="shared" si="15"/>
        <v>2500</v>
      </c>
      <c r="AN19" s="35">
        <f t="shared" si="16"/>
        <v>0.8928571428571429</v>
      </c>
      <c r="AO19" s="36">
        <f t="shared" si="39"/>
        <v>17500</v>
      </c>
      <c r="AQ19" s="223">
        <f t="shared" si="40"/>
        <v>0.80684750890852763</v>
      </c>
      <c r="AR19" s="38">
        <f t="shared" si="41"/>
        <v>75012.612903225818</v>
      </c>
      <c r="AS19" s="197">
        <f t="shared" ref="AS19:AS32" si="47">SUM(AR19-AR18-AT19)</f>
        <v>0</v>
      </c>
      <c r="AT19" s="340"/>
      <c r="AU19" s="548"/>
      <c r="AV19" s="485">
        <f t="shared" si="45"/>
        <v>1.0089999999999999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243</v>
      </c>
      <c r="C20" s="203">
        <f t="shared" si="18"/>
        <v>5228.4193548387093</v>
      </c>
      <c r="D20">
        <f t="shared" si="19"/>
        <v>243</v>
      </c>
      <c r="E20" s="203">
        <f t="shared" si="18"/>
        <v>5228.4193548387093</v>
      </c>
      <c r="F20">
        <f t="shared" si="20"/>
        <v>243</v>
      </c>
      <c r="G20" s="203">
        <f t="shared" si="1"/>
        <v>5228.4193548387093</v>
      </c>
      <c r="H20" s="203">
        <f t="shared" si="21"/>
        <v>243</v>
      </c>
      <c r="I20" s="203">
        <f t="shared" si="2"/>
        <v>5228.4193548387093</v>
      </c>
      <c r="J20" s="203">
        <f t="shared" si="22"/>
        <v>243</v>
      </c>
      <c r="K20" s="203">
        <f t="shared" si="3"/>
        <v>5228.4193548387093</v>
      </c>
      <c r="L20" s="203">
        <f t="shared" si="23"/>
        <v>243</v>
      </c>
      <c r="M20" s="203">
        <f t="shared" si="4"/>
        <v>5228.4193548387093</v>
      </c>
      <c r="N20" s="203">
        <f t="shared" si="24"/>
        <v>243</v>
      </c>
      <c r="O20" s="203">
        <f t="shared" si="5"/>
        <v>5228.4193548387093</v>
      </c>
      <c r="P20" s="203">
        <f t="shared" si="25"/>
        <v>243</v>
      </c>
      <c r="Q20" s="203">
        <f t="shared" si="6"/>
        <v>5228.4193548387093</v>
      </c>
      <c r="R20" s="203">
        <f t="shared" si="26"/>
        <v>243</v>
      </c>
      <c r="S20" s="203">
        <f t="shared" si="7"/>
        <v>5228.4193548387093</v>
      </c>
      <c r="T20" s="203">
        <f t="shared" si="27"/>
        <v>243</v>
      </c>
      <c r="U20" s="203">
        <f t="shared" si="8"/>
        <v>5228.4193548387093</v>
      </c>
      <c r="V20" s="203">
        <f t="shared" si="28"/>
        <v>243</v>
      </c>
      <c r="W20" s="203">
        <f t="shared" si="9"/>
        <v>5228.4193548387093</v>
      </c>
      <c r="X20" s="35">
        <f t="shared" si="10"/>
        <v>0.78387096774193554</v>
      </c>
      <c r="Y20" s="36">
        <f t="shared" si="29"/>
        <v>57512.61290322581</v>
      </c>
      <c r="Z20" s="203">
        <f>'B5'!C19</f>
        <v>250</v>
      </c>
      <c r="AA20" s="203">
        <f t="shared" si="30"/>
        <v>2500</v>
      </c>
      <c r="AB20" s="203">
        <f t="shared" si="31"/>
        <v>250</v>
      </c>
      <c r="AC20" s="203">
        <f t="shared" si="30"/>
        <v>2500</v>
      </c>
      <c r="AD20" s="203">
        <f t="shared" si="32"/>
        <v>250</v>
      </c>
      <c r="AE20" s="203">
        <f t="shared" si="11"/>
        <v>2500</v>
      </c>
      <c r="AF20" s="203">
        <f t="shared" si="33"/>
        <v>250</v>
      </c>
      <c r="AG20" s="203">
        <f t="shared" si="12"/>
        <v>2500</v>
      </c>
      <c r="AH20" s="203">
        <f t="shared" si="34"/>
        <v>250</v>
      </c>
      <c r="AI20" s="203">
        <f t="shared" si="13"/>
        <v>2500</v>
      </c>
      <c r="AJ20" s="203">
        <f t="shared" si="35"/>
        <v>250</v>
      </c>
      <c r="AK20" s="203">
        <f t="shared" si="14"/>
        <v>2500</v>
      </c>
      <c r="AL20" s="203">
        <f t="shared" si="36"/>
        <v>250</v>
      </c>
      <c r="AM20" s="203">
        <f t="shared" si="15"/>
        <v>2500</v>
      </c>
      <c r="AN20" s="35">
        <f t="shared" si="16"/>
        <v>0.8928571428571429</v>
      </c>
      <c r="AO20" s="36">
        <f t="shared" si="39"/>
        <v>17500</v>
      </c>
      <c r="AQ20" s="223">
        <f t="shared" si="40"/>
        <v>0.80684750890852763</v>
      </c>
      <c r="AR20" s="38">
        <f t="shared" si="41"/>
        <v>75012.612903225818</v>
      </c>
      <c r="AS20" s="197">
        <f>SUM(AR20-AR19-AT20)</f>
        <v>0</v>
      </c>
      <c r="AT20" s="340"/>
      <c r="AU20" s="548"/>
      <c r="AV20" s="485">
        <f t="shared" si="45"/>
        <v>1.0089999999999999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243</v>
      </c>
      <c r="C21" s="203">
        <f t="shared" si="18"/>
        <v>5228.4193548387093</v>
      </c>
      <c r="D21">
        <f t="shared" si="19"/>
        <v>243</v>
      </c>
      <c r="E21" s="203">
        <f t="shared" si="18"/>
        <v>5228.4193548387093</v>
      </c>
      <c r="F21">
        <f t="shared" si="20"/>
        <v>243</v>
      </c>
      <c r="G21" s="203">
        <f t="shared" si="1"/>
        <v>5228.4193548387093</v>
      </c>
      <c r="H21" s="203">
        <f t="shared" si="21"/>
        <v>243</v>
      </c>
      <c r="I21" s="203">
        <f t="shared" si="2"/>
        <v>5228.4193548387093</v>
      </c>
      <c r="J21" s="203">
        <f t="shared" si="22"/>
        <v>243</v>
      </c>
      <c r="K21" s="203">
        <f t="shared" si="3"/>
        <v>5228.4193548387093</v>
      </c>
      <c r="L21" s="203">
        <f t="shared" si="23"/>
        <v>243</v>
      </c>
      <c r="M21" s="203">
        <f t="shared" si="4"/>
        <v>5228.4193548387093</v>
      </c>
      <c r="N21" s="203">
        <f t="shared" si="24"/>
        <v>243</v>
      </c>
      <c r="O21" s="203">
        <f t="shared" si="5"/>
        <v>5228.4193548387093</v>
      </c>
      <c r="P21" s="203">
        <f t="shared" si="25"/>
        <v>243</v>
      </c>
      <c r="Q21" s="203">
        <f t="shared" si="6"/>
        <v>5228.4193548387093</v>
      </c>
      <c r="R21" s="203">
        <f t="shared" si="26"/>
        <v>243</v>
      </c>
      <c r="S21" s="203">
        <f t="shared" si="7"/>
        <v>5228.4193548387093</v>
      </c>
      <c r="T21" s="203">
        <f t="shared" si="27"/>
        <v>243</v>
      </c>
      <c r="U21" s="203">
        <f t="shared" si="8"/>
        <v>5228.4193548387093</v>
      </c>
      <c r="V21" s="203">
        <f t="shared" si="28"/>
        <v>243</v>
      </c>
      <c r="W21" s="203">
        <f t="shared" si="9"/>
        <v>5228.4193548387093</v>
      </c>
      <c r="X21" s="35">
        <f t="shared" si="10"/>
        <v>0.78387096774193554</v>
      </c>
      <c r="Y21" s="36">
        <f t="shared" si="29"/>
        <v>57512.61290322581</v>
      </c>
      <c r="Z21" s="203">
        <f>'B5'!C20</f>
        <v>250</v>
      </c>
      <c r="AA21" s="203">
        <f t="shared" si="30"/>
        <v>2500</v>
      </c>
      <c r="AB21" s="203">
        <f t="shared" si="31"/>
        <v>250</v>
      </c>
      <c r="AC21" s="203">
        <f t="shared" si="30"/>
        <v>2500</v>
      </c>
      <c r="AD21" s="203">
        <f t="shared" si="32"/>
        <v>250</v>
      </c>
      <c r="AE21" s="203">
        <f t="shared" si="11"/>
        <v>2500</v>
      </c>
      <c r="AF21" s="203">
        <f t="shared" si="33"/>
        <v>250</v>
      </c>
      <c r="AG21" s="203">
        <f t="shared" si="12"/>
        <v>2500</v>
      </c>
      <c r="AH21" s="203">
        <f t="shared" si="34"/>
        <v>250</v>
      </c>
      <c r="AI21" s="203">
        <f t="shared" si="13"/>
        <v>2500</v>
      </c>
      <c r="AJ21" s="203">
        <f t="shared" si="35"/>
        <v>250</v>
      </c>
      <c r="AK21" s="203">
        <f t="shared" si="14"/>
        <v>2500</v>
      </c>
      <c r="AL21" s="203">
        <f t="shared" si="36"/>
        <v>250</v>
      </c>
      <c r="AM21" s="203">
        <f t="shared" si="15"/>
        <v>2500</v>
      </c>
      <c r="AN21" s="35">
        <f t="shared" si="16"/>
        <v>0.8928571428571429</v>
      </c>
      <c r="AO21" s="36">
        <f t="shared" si="39"/>
        <v>17500</v>
      </c>
      <c r="AQ21" s="223">
        <f t="shared" si="40"/>
        <v>0.80684750890852763</v>
      </c>
      <c r="AR21" s="38">
        <f t="shared" si="41"/>
        <v>75012.612903225818</v>
      </c>
      <c r="AS21" s="197">
        <f>SUM(AR21-AR20-AT21)</f>
        <v>0</v>
      </c>
      <c r="AT21" s="340"/>
      <c r="AU21" s="548"/>
      <c r="AV21" s="485">
        <f t="shared" si="45"/>
        <v>1.0089999999999999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243</v>
      </c>
      <c r="C22" s="203">
        <f t="shared" si="18"/>
        <v>5228.4193548387093</v>
      </c>
      <c r="D22">
        <f t="shared" si="19"/>
        <v>243</v>
      </c>
      <c r="E22" s="203">
        <f t="shared" si="18"/>
        <v>5228.4193548387093</v>
      </c>
      <c r="F22">
        <f t="shared" si="20"/>
        <v>243</v>
      </c>
      <c r="G22" s="203">
        <f t="shared" si="1"/>
        <v>5228.4193548387093</v>
      </c>
      <c r="H22" s="203">
        <f t="shared" si="21"/>
        <v>243</v>
      </c>
      <c r="I22" s="203">
        <f t="shared" si="2"/>
        <v>5228.4193548387093</v>
      </c>
      <c r="J22" s="203">
        <f t="shared" si="22"/>
        <v>243</v>
      </c>
      <c r="K22" s="203">
        <f t="shared" si="3"/>
        <v>5228.4193548387093</v>
      </c>
      <c r="L22" s="203">
        <f t="shared" si="23"/>
        <v>243</v>
      </c>
      <c r="M22" s="203">
        <f t="shared" si="4"/>
        <v>5228.4193548387093</v>
      </c>
      <c r="N22" s="203">
        <f t="shared" si="24"/>
        <v>243</v>
      </c>
      <c r="O22" s="203">
        <f t="shared" si="5"/>
        <v>5228.4193548387093</v>
      </c>
      <c r="P22" s="203">
        <f t="shared" si="25"/>
        <v>243</v>
      </c>
      <c r="Q22" s="203">
        <f t="shared" si="6"/>
        <v>5228.4193548387093</v>
      </c>
      <c r="R22" s="203">
        <f t="shared" si="26"/>
        <v>243</v>
      </c>
      <c r="S22" s="203">
        <f t="shared" si="7"/>
        <v>5228.4193548387093</v>
      </c>
      <c r="T22" s="203">
        <f t="shared" si="27"/>
        <v>243</v>
      </c>
      <c r="U22" s="203">
        <f t="shared" si="8"/>
        <v>5228.4193548387093</v>
      </c>
      <c r="V22" s="203">
        <f t="shared" si="28"/>
        <v>243</v>
      </c>
      <c r="W22" s="203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3">
        <f>'B5'!C21</f>
        <v>250</v>
      </c>
      <c r="AA22" s="203">
        <f t="shared" si="30"/>
        <v>2500</v>
      </c>
      <c r="AB22" s="203">
        <f t="shared" si="31"/>
        <v>250</v>
      </c>
      <c r="AC22" s="203">
        <f t="shared" si="30"/>
        <v>2500</v>
      </c>
      <c r="AD22" s="203">
        <f t="shared" si="32"/>
        <v>250</v>
      </c>
      <c r="AE22" s="203">
        <f t="shared" si="11"/>
        <v>2500</v>
      </c>
      <c r="AF22" s="203">
        <f t="shared" si="33"/>
        <v>250</v>
      </c>
      <c r="AG22" s="203">
        <f t="shared" si="12"/>
        <v>2500</v>
      </c>
      <c r="AH22" s="203">
        <f t="shared" si="34"/>
        <v>250</v>
      </c>
      <c r="AI22" s="203">
        <f t="shared" si="13"/>
        <v>2500</v>
      </c>
      <c r="AJ22" s="203">
        <f t="shared" si="35"/>
        <v>250</v>
      </c>
      <c r="AK22" s="203">
        <f t="shared" si="14"/>
        <v>2500</v>
      </c>
      <c r="AL22" s="203">
        <f t="shared" si="36"/>
        <v>250</v>
      </c>
      <c r="AM22" s="203">
        <f t="shared" si="15"/>
        <v>2500</v>
      </c>
      <c r="AN22" s="35">
        <f t="shared" si="16"/>
        <v>0.8928571428571429</v>
      </c>
      <c r="AO22" s="36">
        <f t="shared" si="39"/>
        <v>17500</v>
      </c>
      <c r="AQ22" s="223">
        <f t="shared" si="40"/>
        <v>0.80684750890852763</v>
      </c>
      <c r="AR22" s="38">
        <f t="shared" si="41"/>
        <v>75012.612903225818</v>
      </c>
      <c r="AS22" s="197">
        <f t="shared" si="47"/>
        <v>0</v>
      </c>
      <c r="AT22" s="340"/>
      <c r="AU22" s="548"/>
      <c r="AV22" s="485">
        <f t="shared" si="43"/>
        <v>1.0089999999999999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243</v>
      </c>
      <c r="C23" s="203">
        <f t="shared" si="18"/>
        <v>5228.4193548387093</v>
      </c>
      <c r="D23">
        <f t="shared" si="19"/>
        <v>243</v>
      </c>
      <c r="E23" s="203">
        <f t="shared" si="18"/>
        <v>5228.4193548387093</v>
      </c>
      <c r="F23">
        <f t="shared" si="20"/>
        <v>243</v>
      </c>
      <c r="G23" s="203">
        <f t="shared" si="1"/>
        <v>5228.4193548387093</v>
      </c>
      <c r="H23" s="203">
        <f t="shared" si="21"/>
        <v>243</v>
      </c>
      <c r="I23" s="203">
        <f t="shared" si="2"/>
        <v>5228.4193548387093</v>
      </c>
      <c r="J23" s="203">
        <f t="shared" si="22"/>
        <v>243</v>
      </c>
      <c r="K23" s="203">
        <f t="shared" si="3"/>
        <v>5228.4193548387093</v>
      </c>
      <c r="L23" s="203">
        <f t="shared" si="23"/>
        <v>243</v>
      </c>
      <c r="M23" s="203">
        <f t="shared" si="4"/>
        <v>5228.4193548387093</v>
      </c>
      <c r="N23" s="203">
        <f t="shared" si="24"/>
        <v>243</v>
      </c>
      <c r="O23" s="203">
        <f t="shared" si="5"/>
        <v>5228.4193548387093</v>
      </c>
      <c r="P23" s="203">
        <f t="shared" si="25"/>
        <v>243</v>
      </c>
      <c r="Q23" s="203">
        <f t="shared" si="6"/>
        <v>5228.4193548387093</v>
      </c>
      <c r="R23" s="203">
        <f t="shared" si="26"/>
        <v>243</v>
      </c>
      <c r="S23" s="203">
        <f t="shared" si="7"/>
        <v>5228.4193548387093</v>
      </c>
      <c r="T23" s="203">
        <f t="shared" si="27"/>
        <v>243</v>
      </c>
      <c r="U23" s="203">
        <f t="shared" si="8"/>
        <v>5228.4193548387093</v>
      </c>
      <c r="V23" s="203">
        <f t="shared" si="28"/>
        <v>243</v>
      </c>
      <c r="W23" s="203">
        <f t="shared" si="9"/>
        <v>5228.4193548387093</v>
      </c>
      <c r="X23" s="35">
        <f t="shared" si="10"/>
        <v>0.78387096774193554</v>
      </c>
      <c r="Y23" s="36">
        <f t="shared" si="29"/>
        <v>57512.61290322581</v>
      </c>
      <c r="Z23" s="203">
        <f>'B5'!C22</f>
        <v>250</v>
      </c>
      <c r="AA23" s="203">
        <f t="shared" si="30"/>
        <v>2500</v>
      </c>
      <c r="AB23" s="203">
        <f t="shared" si="31"/>
        <v>250</v>
      </c>
      <c r="AC23" s="203">
        <f t="shared" si="30"/>
        <v>2500</v>
      </c>
      <c r="AD23" s="203">
        <f t="shared" si="32"/>
        <v>250</v>
      </c>
      <c r="AE23" s="203">
        <f t="shared" si="11"/>
        <v>2500</v>
      </c>
      <c r="AF23" s="203">
        <f t="shared" si="33"/>
        <v>250</v>
      </c>
      <c r="AG23" s="203">
        <f t="shared" si="12"/>
        <v>2500</v>
      </c>
      <c r="AH23" s="203">
        <f t="shared" si="34"/>
        <v>250</v>
      </c>
      <c r="AI23" s="203">
        <f t="shared" si="13"/>
        <v>2500</v>
      </c>
      <c r="AJ23" s="203">
        <f t="shared" si="35"/>
        <v>250</v>
      </c>
      <c r="AK23" s="203">
        <f t="shared" si="14"/>
        <v>2500</v>
      </c>
      <c r="AL23" s="203">
        <f t="shared" si="36"/>
        <v>250</v>
      </c>
      <c r="AM23" s="203">
        <f t="shared" si="15"/>
        <v>2500</v>
      </c>
      <c r="AN23" s="35">
        <f t="shared" si="16"/>
        <v>0.8928571428571429</v>
      </c>
      <c r="AO23" s="36">
        <f t="shared" si="39"/>
        <v>17500</v>
      </c>
      <c r="AQ23" s="223">
        <f t="shared" si="40"/>
        <v>0.80684750890852763</v>
      </c>
      <c r="AR23" s="38">
        <f t="shared" si="41"/>
        <v>75012.612903225818</v>
      </c>
      <c r="AS23" s="197">
        <f t="shared" si="47"/>
        <v>0</v>
      </c>
      <c r="AT23" s="340"/>
      <c r="AU23" s="548"/>
      <c r="AV23" s="485">
        <f t="shared" si="43"/>
        <v>1.0089999999999999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44670</v>
      </c>
      <c r="B24">
        <f>'B5'!B23</f>
        <v>243</v>
      </c>
      <c r="C24" s="203">
        <f t="shared" si="18"/>
        <v>5228.4193548387093</v>
      </c>
      <c r="D24">
        <f t="shared" si="19"/>
        <v>243</v>
      </c>
      <c r="E24" s="203">
        <f t="shared" si="18"/>
        <v>5228.4193548387093</v>
      </c>
      <c r="F24">
        <f t="shared" si="20"/>
        <v>243</v>
      </c>
      <c r="G24" s="203">
        <f t="shared" si="1"/>
        <v>5228.4193548387093</v>
      </c>
      <c r="H24" s="203">
        <f t="shared" si="21"/>
        <v>243</v>
      </c>
      <c r="I24" s="203">
        <f t="shared" si="2"/>
        <v>5228.4193548387093</v>
      </c>
      <c r="J24" s="203">
        <f t="shared" si="22"/>
        <v>243</v>
      </c>
      <c r="K24" s="203">
        <f t="shared" si="3"/>
        <v>5228.4193548387093</v>
      </c>
      <c r="L24" s="203">
        <f t="shared" si="23"/>
        <v>243</v>
      </c>
      <c r="M24" s="203">
        <f t="shared" si="4"/>
        <v>5228.4193548387093</v>
      </c>
      <c r="N24" s="203">
        <f t="shared" si="24"/>
        <v>243</v>
      </c>
      <c r="O24" s="203">
        <f t="shared" si="5"/>
        <v>5228.4193548387093</v>
      </c>
      <c r="P24" s="203">
        <f t="shared" si="25"/>
        <v>243</v>
      </c>
      <c r="Q24" s="203">
        <f t="shared" si="6"/>
        <v>5228.4193548387093</v>
      </c>
      <c r="R24" s="203">
        <f t="shared" si="26"/>
        <v>243</v>
      </c>
      <c r="S24" s="203">
        <f t="shared" si="7"/>
        <v>5228.4193548387093</v>
      </c>
      <c r="T24" s="203">
        <f t="shared" si="27"/>
        <v>243</v>
      </c>
      <c r="U24" s="203">
        <f t="shared" si="8"/>
        <v>5228.4193548387093</v>
      </c>
      <c r="V24" s="203">
        <f t="shared" si="28"/>
        <v>243</v>
      </c>
      <c r="W24" s="203">
        <f t="shared" si="9"/>
        <v>5228.4193548387093</v>
      </c>
      <c r="X24" s="35">
        <f t="shared" si="10"/>
        <v>0.78387096774193554</v>
      </c>
      <c r="Y24" s="36">
        <f t="shared" si="29"/>
        <v>57512.61290322581</v>
      </c>
      <c r="Z24" s="203">
        <f>'B5'!C23</f>
        <v>250</v>
      </c>
      <c r="AA24" s="203">
        <f t="shared" si="30"/>
        <v>2500</v>
      </c>
      <c r="AB24" s="203">
        <f t="shared" si="31"/>
        <v>250</v>
      </c>
      <c r="AC24" s="203">
        <f t="shared" si="30"/>
        <v>2500</v>
      </c>
      <c r="AD24" s="203">
        <f t="shared" si="32"/>
        <v>250</v>
      </c>
      <c r="AE24" s="203">
        <f t="shared" si="11"/>
        <v>2500</v>
      </c>
      <c r="AF24" s="203">
        <f t="shared" si="33"/>
        <v>250</v>
      </c>
      <c r="AG24" s="203">
        <f t="shared" si="12"/>
        <v>2500</v>
      </c>
      <c r="AH24" s="203">
        <f t="shared" si="34"/>
        <v>250</v>
      </c>
      <c r="AI24" s="203">
        <f t="shared" si="13"/>
        <v>2500</v>
      </c>
      <c r="AJ24" s="203">
        <f t="shared" si="35"/>
        <v>250</v>
      </c>
      <c r="AK24" s="203">
        <f t="shared" si="14"/>
        <v>2500</v>
      </c>
      <c r="AL24" s="203">
        <f t="shared" si="36"/>
        <v>250</v>
      </c>
      <c r="AM24" s="203">
        <f t="shared" si="15"/>
        <v>2500</v>
      </c>
      <c r="AN24" s="35">
        <f t="shared" si="16"/>
        <v>0.8928571428571429</v>
      </c>
      <c r="AO24" s="36">
        <f t="shared" si="39"/>
        <v>17500</v>
      </c>
      <c r="AQ24" s="223">
        <f t="shared" si="40"/>
        <v>0.80684750890852763</v>
      </c>
      <c r="AR24" s="38">
        <f t="shared" si="41"/>
        <v>75012.612903225818</v>
      </c>
      <c r="AS24" s="197">
        <f t="shared" si="47"/>
        <v>0</v>
      </c>
      <c r="AT24" s="340"/>
      <c r="AU24" s="548"/>
      <c r="AV24" s="485">
        <f t="shared" si="43"/>
        <v>1.0089999999999999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44671</v>
      </c>
      <c r="B25">
        <f>'B5'!B24</f>
        <v>243</v>
      </c>
      <c r="C25" s="203">
        <f t="shared" si="18"/>
        <v>5228.4193548387093</v>
      </c>
      <c r="D25">
        <f t="shared" si="19"/>
        <v>243</v>
      </c>
      <c r="E25" s="203">
        <f t="shared" si="18"/>
        <v>5228.4193548387093</v>
      </c>
      <c r="F25">
        <f t="shared" si="20"/>
        <v>243</v>
      </c>
      <c r="G25" s="203">
        <f t="shared" si="1"/>
        <v>5228.4193548387093</v>
      </c>
      <c r="H25" s="203">
        <f t="shared" si="21"/>
        <v>243</v>
      </c>
      <c r="I25" s="203">
        <f t="shared" si="2"/>
        <v>5228.4193548387093</v>
      </c>
      <c r="J25" s="203">
        <f t="shared" si="22"/>
        <v>243</v>
      </c>
      <c r="K25" s="203">
        <f t="shared" si="3"/>
        <v>5228.4193548387093</v>
      </c>
      <c r="L25" s="203">
        <f t="shared" si="23"/>
        <v>243</v>
      </c>
      <c r="M25" s="203">
        <f t="shared" si="4"/>
        <v>5228.4193548387093</v>
      </c>
      <c r="N25" s="203">
        <f t="shared" si="24"/>
        <v>243</v>
      </c>
      <c r="O25" s="203">
        <f t="shared" si="5"/>
        <v>5228.4193548387093</v>
      </c>
      <c r="P25" s="203">
        <f t="shared" si="25"/>
        <v>243</v>
      </c>
      <c r="Q25" s="203">
        <f t="shared" si="6"/>
        <v>5228.4193548387093</v>
      </c>
      <c r="R25" s="203">
        <f t="shared" si="26"/>
        <v>243</v>
      </c>
      <c r="S25" s="203">
        <f t="shared" si="7"/>
        <v>5228.4193548387093</v>
      </c>
      <c r="T25" s="203">
        <f t="shared" si="27"/>
        <v>243</v>
      </c>
      <c r="U25" s="203">
        <f t="shared" si="8"/>
        <v>5228.4193548387093</v>
      </c>
      <c r="V25" s="203">
        <f t="shared" si="28"/>
        <v>243</v>
      </c>
      <c r="W25" s="203">
        <f t="shared" si="9"/>
        <v>5228.4193548387093</v>
      </c>
      <c r="X25" s="35">
        <f t="shared" si="10"/>
        <v>0.78387096774193554</v>
      </c>
      <c r="Y25" s="36">
        <f t="shared" si="29"/>
        <v>57512.61290322581</v>
      </c>
      <c r="Z25" s="203">
        <f>'B5'!C24</f>
        <v>250</v>
      </c>
      <c r="AA25" s="203">
        <f t="shared" si="30"/>
        <v>2500</v>
      </c>
      <c r="AB25" s="203">
        <f t="shared" si="31"/>
        <v>250</v>
      </c>
      <c r="AC25" s="203">
        <f t="shared" si="30"/>
        <v>2500</v>
      </c>
      <c r="AD25" s="203">
        <f t="shared" si="32"/>
        <v>250</v>
      </c>
      <c r="AE25" s="203">
        <f t="shared" si="11"/>
        <v>2500</v>
      </c>
      <c r="AF25" s="203">
        <f t="shared" si="33"/>
        <v>250</v>
      </c>
      <c r="AG25" s="203">
        <f t="shared" si="12"/>
        <v>2500</v>
      </c>
      <c r="AH25" s="203">
        <f t="shared" si="34"/>
        <v>250</v>
      </c>
      <c r="AI25" s="203">
        <f t="shared" si="13"/>
        <v>2500</v>
      </c>
      <c r="AJ25" s="203">
        <f t="shared" si="35"/>
        <v>250</v>
      </c>
      <c r="AK25" s="203">
        <f t="shared" si="14"/>
        <v>2500</v>
      </c>
      <c r="AL25" s="203">
        <f t="shared" si="36"/>
        <v>250</v>
      </c>
      <c r="AM25" s="203">
        <f t="shared" si="15"/>
        <v>2500</v>
      </c>
      <c r="AN25" s="35">
        <f t="shared" si="16"/>
        <v>0.8928571428571429</v>
      </c>
      <c r="AO25" s="36">
        <f t="shared" si="39"/>
        <v>17500</v>
      </c>
      <c r="AQ25" s="223">
        <f t="shared" si="40"/>
        <v>0.80684750890852763</v>
      </c>
      <c r="AR25" s="38">
        <f>Y25+AO25</f>
        <v>75012.612903225818</v>
      </c>
      <c r="AS25" s="197">
        <f t="shared" si="47"/>
        <v>0</v>
      </c>
      <c r="AT25" s="340"/>
      <c r="AU25" s="549"/>
      <c r="AV25" s="485">
        <f t="shared" si="43"/>
        <v>1.0089999999999999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44672</v>
      </c>
      <c r="B26">
        <f>'B5'!B25</f>
        <v>243</v>
      </c>
      <c r="C26" s="203">
        <f t="shared" si="18"/>
        <v>5228.4193548387093</v>
      </c>
      <c r="D26">
        <f t="shared" si="19"/>
        <v>243</v>
      </c>
      <c r="E26" s="203">
        <f t="shared" si="18"/>
        <v>5228.4193548387093</v>
      </c>
      <c r="F26">
        <f t="shared" si="20"/>
        <v>243</v>
      </c>
      <c r="G26" s="203">
        <f t="shared" si="1"/>
        <v>5228.4193548387093</v>
      </c>
      <c r="H26" s="203">
        <f t="shared" si="21"/>
        <v>243</v>
      </c>
      <c r="I26" s="203">
        <f t="shared" si="2"/>
        <v>5228.4193548387093</v>
      </c>
      <c r="J26" s="203">
        <f t="shared" si="22"/>
        <v>243</v>
      </c>
      <c r="K26" s="203">
        <f t="shared" si="3"/>
        <v>5228.4193548387093</v>
      </c>
      <c r="L26" s="203">
        <f t="shared" si="23"/>
        <v>243</v>
      </c>
      <c r="M26" s="203">
        <f t="shared" si="4"/>
        <v>5228.4193548387093</v>
      </c>
      <c r="N26" s="203">
        <f t="shared" si="24"/>
        <v>243</v>
      </c>
      <c r="O26" s="203">
        <f t="shared" si="5"/>
        <v>5228.4193548387093</v>
      </c>
      <c r="P26" s="203">
        <f t="shared" si="25"/>
        <v>243</v>
      </c>
      <c r="Q26" s="203">
        <f t="shared" si="6"/>
        <v>5228.4193548387093</v>
      </c>
      <c r="R26" s="203">
        <f t="shared" si="26"/>
        <v>243</v>
      </c>
      <c r="S26" s="203">
        <f t="shared" si="7"/>
        <v>5228.4193548387093</v>
      </c>
      <c r="T26" s="203">
        <f t="shared" si="27"/>
        <v>243</v>
      </c>
      <c r="U26" s="203">
        <f t="shared" si="8"/>
        <v>5228.4193548387093</v>
      </c>
      <c r="V26" s="203">
        <f t="shared" si="28"/>
        <v>243</v>
      </c>
      <c r="W26" s="203">
        <f t="shared" si="9"/>
        <v>5228.4193548387093</v>
      </c>
      <c r="X26" s="35">
        <f t="shared" si="10"/>
        <v>0.78387096774193554</v>
      </c>
      <c r="Y26" s="36">
        <f t="shared" si="29"/>
        <v>57512.61290322581</v>
      </c>
      <c r="Z26" s="203">
        <f>'B5'!C25</f>
        <v>250</v>
      </c>
      <c r="AA26" s="203">
        <f t="shared" si="30"/>
        <v>2500</v>
      </c>
      <c r="AB26" s="203">
        <f t="shared" si="31"/>
        <v>250</v>
      </c>
      <c r="AC26" s="203">
        <f t="shared" si="30"/>
        <v>2500</v>
      </c>
      <c r="AD26" s="203">
        <f t="shared" si="32"/>
        <v>250</v>
      </c>
      <c r="AE26" s="203">
        <f t="shared" si="11"/>
        <v>2500</v>
      </c>
      <c r="AF26" s="203">
        <f t="shared" si="33"/>
        <v>250</v>
      </c>
      <c r="AG26" s="203">
        <f t="shared" si="12"/>
        <v>2500</v>
      </c>
      <c r="AH26" s="203">
        <f t="shared" si="34"/>
        <v>250</v>
      </c>
      <c r="AI26" s="203">
        <f t="shared" si="13"/>
        <v>2500</v>
      </c>
      <c r="AJ26" s="203">
        <f t="shared" si="35"/>
        <v>250</v>
      </c>
      <c r="AK26" s="203">
        <f t="shared" si="14"/>
        <v>2500</v>
      </c>
      <c r="AL26" s="203">
        <f t="shared" si="36"/>
        <v>250</v>
      </c>
      <c r="AM26" s="203">
        <f t="shared" si="15"/>
        <v>2500</v>
      </c>
      <c r="AN26" s="35">
        <f t="shared" si="16"/>
        <v>0.8928571428571429</v>
      </c>
      <c r="AO26" s="36">
        <f t="shared" si="39"/>
        <v>17500</v>
      </c>
      <c r="AQ26" s="223">
        <f t="shared" si="40"/>
        <v>0.80684750890852763</v>
      </c>
      <c r="AR26" s="38">
        <f>Y26+AO26</f>
        <v>75012.612903225818</v>
      </c>
      <c r="AS26" s="197">
        <f t="shared" si="47"/>
        <v>0</v>
      </c>
      <c r="AT26" s="340"/>
      <c r="AU26" s="548"/>
      <c r="AV26" s="485">
        <f t="shared" si="43"/>
        <v>1.0089999999999999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243</v>
      </c>
      <c r="C27" s="203">
        <f t="shared" si="18"/>
        <v>5228.4193548387093</v>
      </c>
      <c r="D27">
        <f t="shared" si="19"/>
        <v>243</v>
      </c>
      <c r="E27" s="203">
        <f t="shared" si="18"/>
        <v>5228.4193548387093</v>
      </c>
      <c r="F27">
        <f t="shared" si="20"/>
        <v>243</v>
      </c>
      <c r="G27" s="203">
        <f t="shared" si="1"/>
        <v>5228.4193548387093</v>
      </c>
      <c r="H27" s="203">
        <f t="shared" si="21"/>
        <v>243</v>
      </c>
      <c r="I27" s="203">
        <f t="shared" si="2"/>
        <v>5228.4193548387093</v>
      </c>
      <c r="J27" s="203">
        <f t="shared" si="22"/>
        <v>243</v>
      </c>
      <c r="K27" s="203">
        <f t="shared" si="3"/>
        <v>5228.4193548387093</v>
      </c>
      <c r="L27" s="203">
        <f t="shared" si="23"/>
        <v>243</v>
      </c>
      <c r="M27" s="203">
        <f t="shared" si="4"/>
        <v>5228.4193548387093</v>
      </c>
      <c r="N27" s="203">
        <f t="shared" si="24"/>
        <v>243</v>
      </c>
      <c r="O27" s="203">
        <f t="shared" si="5"/>
        <v>5228.4193548387093</v>
      </c>
      <c r="P27" s="203">
        <f t="shared" si="25"/>
        <v>243</v>
      </c>
      <c r="Q27" s="203">
        <f t="shared" si="6"/>
        <v>5228.4193548387093</v>
      </c>
      <c r="R27" s="203">
        <f t="shared" si="26"/>
        <v>243</v>
      </c>
      <c r="S27" s="203">
        <f t="shared" si="7"/>
        <v>5228.4193548387093</v>
      </c>
      <c r="T27" s="203">
        <f t="shared" si="27"/>
        <v>243</v>
      </c>
      <c r="U27" s="203">
        <f t="shared" si="8"/>
        <v>5228.4193548387093</v>
      </c>
      <c r="V27" s="203">
        <f t="shared" si="28"/>
        <v>243</v>
      </c>
      <c r="W27" s="203">
        <f t="shared" si="9"/>
        <v>5228.4193548387093</v>
      </c>
      <c r="X27" s="35">
        <f t="shared" si="10"/>
        <v>0.78387096774193554</v>
      </c>
      <c r="Y27" s="36">
        <f t="shared" si="29"/>
        <v>57512.61290322581</v>
      </c>
      <c r="Z27" s="203">
        <f>'B5'!C26</f>
        <v>250</v>
      </c>
      <c r="AA27" s="203">
        <f t="shared" si="30"/>
        <v>2500</v>
      </c>
      <c r="AB27" s="203">
        <f t="shared" si="31"/>
        <v>250</v>
      </c>
      <c r="AC27" s="203">
        <f t="shared" si="30"/>
        <v>2500</v>
      </c>
      <c r="AD27" s="203">
        <f t="shared" si="32"/>
        <v>250</v>
      </c>
      <c r="AE27" s="203">
        <f t="shared" si="11"/>
        <v>2500</v>
      </c>
      <c r="AF27" s="203">
        <f t="shared" si="33"/>
        <v>250</v>
      </c>
      <c r="AG27" s="203">
        <f t="shared" si="12"/>
        <v>2500</v>
      </c>
      <c r="AH27" s="203">
        <f t="shared" si="34"/>
        <v>250</v>
      </c>
      <c r="AI27" s="203">
        <f t="shared" si="13"/>
        <v>2500</v>
      </c>
      <c r="AJ27" s="203">
        <f t="shared" si="35"/>
        <v>250</v>
      </c>
      <c r="AK27" s="203">
        <f t="shared" si="14"/>
        <v>2500</v>
      </c>
      <c r="AL27" s="203">
        <f t="shared" si="36"/>
        <v>250</v>
      </c>
      <c r="AM27" s="203">
        <f t="shared" si="15"/>
        <v>2500</v>
      </c>
      <c r="AN27" s="35">
        <f t="shared" si="16"/>
        <v>0.8928571428571429</v>
      </c>
      <c r="AO27" s="36">
        <f t="shared" si="39"/>
        <v>17500</v>
      </c>
      <c r="AQ27" s="223">
        <f t="shared" si="40"/>
        <v>0.80684750890852763</v>
      </c>
      <c r="AR27" s="38">
        <f t="shared" si="41"/>
        <v>75012.612903225818</v>
      </c>
      <c r="AS27" s="197">
        <f t="shared" si="47"/>
        <v>0</v>
      </c>
      <c r="AT27" s="340"/>
      <c r="AU27" s="548"/>
      <c r="AV27" s="485">
        <f t="shared" si="43"/>
        <v>1.0089999999999999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243</v>
      </c>
      <c r="C28" s="203">
        <f t="shared" si="18"/>
        <v>5228.4193548387093</v>
      </c>
      <c r="D28">
        <f t="shared" si="19"/>
        <v>243</v>
      </c>
      <c r="E28" s="203">
        <f t="shared" si="18"/>
        <v>5228.4193548387093</v>
      </c>
      <c r="F28">
        <f t="shared" si="20"/>
        <v>243</v>
      </c>
      <c r="G28" s="203">
        <f t="shared" si="1"/>
        <v>5228.4193548387093</v>
      </c>
      <c r="H28" s="203">
        <f t="shared" si="21"/>
        <v>243</v>
      </c>
      <c r="I28" s="203">
        <f t="shared" si="2"/>
        <v>5228.4193548387093</v>
      </c>
      <c r="J28" s="203">
        <f t="shared" si="22"/>
        <v>243</v>
      </c>
      <c r="K28" s="203">
        <f t="shared" si="3"/>
        <v>5228.4193548387093</v>
      </c>
      <c r="L28" s="203">
        <f t="shared" si="23"/>
        <v>243</v>
      </c>
      <c r="M28" s="203">
        <f t="shared" si="4"/>
        <v>5228.4193548387093</v>
      </c>
      <c r="N28" s="203">
        <f t="shared" si="24"/>
        <v>243</v>
      </c>
      <c r="O28" s="203">
        <f t="shared" si="5"/>
        <v>5228.4193548387093</v>
      </c>
      <c r="P28" s="203">
        <f t="shared" si="25"/>
        <v>243</v>
      </c>
      <c r="Q28" s="203">
        <f t="shared" si="6"/>
        <v>5228.4193548387093</v>
      </c>
      <c r="R28" s="203">
        <f t="shared" si="26"/>
        <v>243</v>
      </c>
      <c r="S28" s="203">
        <f t="shared" si="7"/>
        <v>5228.4193548387093</v>
      </c>
      <c r="T28" s="203">
        <f t="shared" si="27"/>
        <v>243</v>
      </c>
      <c r="U28" s="203">
        <f t="shared" si="8"/>
        <v>5228.4193548387093</v>
      </c>
      <c r="V28" s="203">
        <f t="shared" si="28"/>
        <v>243</v>
      </c>
      <c r="W28" s="203">
        <f t="shared" si="9"/>
        <v>5228.4193548387093</v>
      </c>
      <c r="X28" s="35">
        <f t="shared" si="10"/>
        <v>0.78387096774193554</v>
      </c>
      <c r="Y28" s="36">
        <f t="shared" si="29"/>
        <v>57512.61290322581</v>
      </c>
      <c r="Z28" s="203">
        <f>'B5'!C27</f>
        <v>250</v>
      </c>
      <c r="AA28" s="203">
        <f t="shared" si="30"/>
        <v>2500</v>
      </c>
      <c r="AB28" s="203">
        <f t="shared" si="31"/>
        <v>250</v>
      </c>
      <c r="AC28" s="203">
        <f t="shared" si="30"/>
        <v>2500</v>
      </c>
      <c r="AD28" s="203">
        <f t="shared" si="32"/>
        <v>250</v>
      </c>
      <c r="AE28" s="203">
        <f t="shared" si="11"/>
        <v>2500</v>
      </c>
      <c r="AF28" s="203">
        <f t="shared" si="33"/>
        <v>250</v>
      </c>
      <c r="AG28" s="203">
        <f t="shared" si="12"/>
        <v>2500</v>
      </c>
      <c r="AH28" s="203">
        <f t="shared" si="34"/>
        <v>250</v>
      </c>
      <c r="AI28" s="203">
        <f t="shared" si="13"/>
        <v>2500</v>
      </c>
      <c r="AJ28" s="203">
        <f t="shared" si="35"/>
        <v>250</v>
      </c>
      <c r="AK28" s="203">
        <f t="shared" si="14"/>
        <v>2500</v>
      </c>
      <c r="AL28" s="203">
        <f t="shared" si="36"/>
        <v>250</v>
      </c>
      <c r="AM28" s="203">
        <f t="shared" si="15"/>
        <v>2500</v>
      </c>
      <c r="AN28" s="35">
        <f t="shared" si="16"/>
        <v>0.8928571428571429</v>
      </c>
      <c r="AO28" s="36">
        <f t="shared" si="39"/>
        <v>17500</v>
      </c>
      <c r="AQ28" s="223">
        <f t="shared" si="40"/>
        <v>0.80684750890852763</v>
      </c>
      <c r="AR28" s="38">
        <f t="shared" si="41"/>
        <v>75012.612903225818</v>
      </c>
      <c r="AS28" s="197">
        <f t="shared" si="47"/>
        <v>0</v>
      </c>
      <c r="AT28" s="340"/>
      <c r="AU28" s="549"/>
      <c r="AV28" s="485">
        <f t="shared" si="43"/>
        <v>1.0089999999999999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243</v>
      </c>
      <c r="C29" s="203">
        <f t="shared" si="18"/>
        <v>5228.4193548387093</v>
      </c>
      <c r="D29">
        <f t="shared" si="19"/>
        <v>243</v>
      </c>
      <c r="E29" s="203">
        <f t="shared" si="18"/>
        <v>5228.4193548387093</v>
      </c>
      <c r="F29">
        <f t="shared" si="20"/>
        <v>243</v>
      </c>
      <c r="G29" s="203">
        <f t="shared" si="1"/>
        <v>5228.4193548387093</v>
      </c>
      <c r="H29" s="203">
        <f t="shared" si="21"/>
        <v>243</v>
      </c>
      <c r="I29" s="203">
        <f t="shared" si="2"/>
        <v>5228.4193548387093</v>
      </c>
      <c r="J29" s="203">
        <f t="shared" si="22"/>
        <v>243</v>
      </c>
      <c r="K29" s="203">
        <f t="shared" si="3"/>
        <v>5228.4193548387093</v>
      </c>
      <c r="L29" s="203">
        <f t="shared" si="23"/>
        <v>243</v>
      </c>
      <c r="M29" s="203">
        <f t="shared" si="4"/>
        <v>5228.4193548387093</v>
      </c>
      <c r="N29" s="203">
        <f t="shared" si="24"/>
        <v>243</v>
      </c>
      <c r="O29" s="203">
        <f t="shared" si="5"/>
        <v>5228.4193548387093</v>
      </c>
      <c r="P29" s="203">
        <f t="shared" si="25"/>
        <v>243</v>
      </c>
      <c r="Q29" s="203">
        <f t="shared" si="6"/>
        <v>5228.4193548387093</v>
      </c>
      <c r="R29" s="203">
        <f t="shared" si="26"/>
        <v>243</v>
      </c>
      <c r="S29" s="203">
        <f t="shared" si="7"/>
        <v>5228.4193548387093</v>
      </c>
      <c r="T29" s="203">
        <f t="shared" si="27"/>
        <v>243</v>
      </c>
      <c r="U29" s="203">
        <f t="shared" si="8"/>
        <v>5228.4193548387093</v>
      </c>
      <c r="V29" s="203">
        <f t="shared" si="28"/>
        <v>243</v>
      </c>
      <c r="W29" s="203">
        <f t="shared" si="9"/>
        <v>5228.4193548387093</v>
      </c>
      <c r="X29" s="35">
        <f t="shared" si="10"/>
        <v>0.78387096774193554</v>
      </c>
      <c r="Y29" s="36">
        <f t="shared" si="29"/>
        <v>57512.61290322581</v>
      </c>
      <c r="Z29" s="203">
        <f>'B5'!C28</f>
        <v>250</v>
      </c>
      <c r="AA29" s="203">
        <f t="shared" si="30"/>
        <v>2500</v>
      </c>
      <c r="AB29" s="203">
        <f t="shared" si="31"/>
        <v>250</v>
      </c>
      <c r="AC29" s="203">
        <f t="shared" si="30"/>
        <v>2500</v>
      </c>
      <c r="AD29" s="203">
        <f t="shared" si="32"/>
        <v>250</v>
      </c>
      <c r="AE29" s="203">
        <f t="shared" si="11"/>
        <v>2500</v>
      </c>
      <c r="AF29" s="203">
        <f t="shared" si="33"/>
        <v>250</v>
      </c>
      <c r="AG29" s="203">
        <f t="shared" si="12"/>
        <v>2500</v>
      </c>
      <c r="AH29" s="203">
        <f t="shared" si="34"/>
        <v>250</v>
      </c>
      <c r="AI29" s="203">
        <f t="shared" si="13"/>
        <v>2500</v>
      </c>
      <c r="AJ29" s="203">
        <f t="shared" si="35"/>
        <v>250</v>
      </c>
      <c r="AK29" s="203">
        <f t="shared" si="14"/>
        <v>2500</v>
      </c>
      <c r="AL29" s="203">
        <f t="shared" si="36"/>
        <v>250</v>
      </c>
      <c r="AM29" s="203">
        <f t="shared" si="15"/>
        <v>2500</v>
      </c>
      <c r="AN29" s="35">
        <f t="shared" si="16"/>
        <v>0.8928571428571429</v>
      </c>
      <c r="AO29" s="36">
        <f t="shared" si="39"/>
        <v>17500</v>
      </c>
      <c r="AQ29" s="223">
        <f t="shared" si="40"/>
        <v>0.80684750890852763</v>
      </c>
      <c r="AR29" s="38">
        <f t="shared" si="41"/>
        <v>75012.612903225818</v>
      </c>
      <c r="AS29" s="197">
        <f>SUM(AR29-AR28-AT29)</f>
        <v>0</v>
      </c>
      <c r="AT29" s="340"/>
      <c r="AU29" s="549"/>
      <c r="AV29" s="485">
        <f t="shared" si="43"/>
        <v>1.0089999999999999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243</v>
      </c>
      <c r="C30" s="203">
        <f t="shared" si="18"/>
        <v>5228.4193548387093</v>
      </c>
      <c r="D30">
        <f>SUM(B30)</f>
        <v>243</v>
      </c>
      <c r="E30" s="203">
        <f t="shared" si="18"/>
        <v>5228.4193548387093</v>
      </c>
      <c r="F30">
        <f>SUM(D30)</f>
        <v>243</v>
      </c>
      <c r="G30" s="203">
        <f t="shared" si="1"/>
        <v>5228.4193548387093</v>
      </c>
      <c r="H30" s="203">
        <f>SUM(F30)</f>
        <v>243</v>
      </c>
      <c r="I30" s="203">
        <f t="shared" si="2"/>
        <v>5228.4193548387093</v>
      </c>
      <c r="J30" s="203">
        <f>SUM(H30)</f>
        <v>243</v>
      </c>
      <c r="K30" s="203">
        <f t="shared" si="3"/>
        <v>5228.4193548387093</v>
      </c>
      <c r="L30" s="203">
        <f>SUM(J30)</f>
        <v>243</v>
      </c>
      <c r="M30" s="203">
        <f t="shared" si="4"/>
        <v>5228.4193548387093</v>
      </c>
      <c r="N30" s="203">
        <f>SUM(L30)</f>
        <v>243</v>
      </c>
      <c r="O30" s="203">
        <f t="shared" si="5"/>
        <v>5228.4193548387093</v>
      </c>
      <c r="P30" s="203">
        <f>SUM(N30)</f>
        <v>243</v>
      </c>
      <c r="Q30" s="203">
        <f t="shared" si="6"/>
        <v>5228.4193548387093</v>
      </c>
      <c r="R30" s="203">
        <f>SUM(P30)</f>
        <v>243</v>
      </c>
      <c r="S30" s="203">
        <f t="shared" si="7"/>
        <v>5228.4193548387093</v>
      </c>
      <c r="T30" s="203">
        <f>SUM(R30)</f>
        <v>243</v>
      </c>
      <c r="U30" s="203">
        <f t="shared" si="8"/>
        <v>5228.4193548387093</v>
      </c>
      <c r="V30" s="203">
        <f>SUM(T30)</f>
        <v>243</v>
      </c>
      <c r="W30" s="203">
        <f t="shared" si="9"/>
        <v>5228.4193548387093</v>
      </c>
      <c r="X30" s="35">
        <f>SUM(Y30/73370)</f>
        <v>0.78387096774193554</v>
      </c>
      <c r="Y30" s="36">
        <f>SUM(C30+E30+G30+I30+K30+M30+O30+Q30+S30+U30+W30)</f>
        <v>57512.61290322581</v>
      </c>
      <c r="Z30" s="203">
        <f>'B5'!C29</f>
        <v>250</v>
      </c>
      <c r="AA30" s="203">
        <f t="shared" si="30"/>
        <v>2500</v>
      </c>
      <c r="AB30" s="203">
        <f>SUM(Z30)</f>
        <v>250</v>
      </c>
      <c r="AC30" s="203">
        <f t="shared" si="30"/>
        <v>2500</v>
      </c>
      <c r="AD30" s="203">
        <f>SUM(AB30)</f>
        <v>250</v>
      </c>
      <c r="AE30" s="203">
        <f t="shared" si="11"/>
        <v>2500</v>
      </c>
      <c r="AF30" s="203">
        <f>SUM(AD30)</f>
        <v>250</v>
      </c>
      <c r="AG30" s="203">
        <f t="shared" si="12"/>
        <v>2500</v>
      </c>
      <c r="AH30" s="203">
        <f>SUM(AF30)</f>
        <v>250</v>
      </c>
      <c r="AI30" s="203">
        <f t="shared" si="13"/>
        <v>2500</v>
      </c>
      <c r="AJ30" s="203">
        <f>SUM(AH30)</f>
        <v>250</v>
      </c>
      <c r="AK30" s="203">
        <f t="shared" si="14"/>
        <v>2500</v>
      </c>
      <c r="AL30" s="203">
        <f>SUM(AJ30)</f>
        <v>250</v>
      </c>
      <c r="AM30" s="203">
        <f t="shared" si="15"/>
        <v>2500</v>
      </c>
      <c r="AN30" s="35">
        <f>SUM(AO30/19600)</f>
        <v>0.8928571428571429</v>
      </c>
      <c r="AO30" s="36">
        <f>SUM(AA30+AC30+AE30+AG30+AI30+AK30+AM30)</f>
        <v>17500</v>
      </c>
      <c r="AQ30" s="223">
        <f t="shared" si="40"/>
        <v>0.80684750890852763</v>
      </c>
      <c r="AR30" s="38">
        <f t="shared" si="41"/>
        <v>75012.612903225818</v>
      </c>
      <c r="AS30" s="197">
        <f>SUM(AR30-AR29-AT30)</f>
        <v>0</v>
      </c>
      <c r="AT30" s="340"/>
      <c r="AU30" s="549"/>
      <c r="AV30" s="485">
        <f t="shared" si="43"/>
        <v>1.0089999999999999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44677</v>
      </c>
      <c r="B31">
        <f>'B5'!B30</f>
        <v>243</v>
      </c>
      <c r="C31" s="203">
        <f t="shared" si="18"/>
        <v>5228.4193548387093</v>
      </c>
      <c r="D31">
        <f>SUM(B31)</f>
        <v>243</v>
      </c>
      <c r="E31" s="203">
        <f t="shared" si="18"/>
        <v>5228.4193548387093</v>
      </c>
      <c r="F31">
        <f>SUM(D31)</f>
        <v>243</v>
      </c>
      <c r="G31" s="203">
        <f t="shared" si="1"/>
        <v>5228.4193548387093</v>
      </c>
      <c r="H31" s="203">
        <f>SUM(F31)</f>
        <v>243</v>
      </c>
      <c r="I31" s="203">
        <f t="shared" si="2"/>
        <v>5228.4193548387093</v>
      </c>
      <c r="J31" s="203">
        <f>SUM(H31)</f>
        <v>243</v>
      </c>
      <c r="K31" s="203">
        <f t="shared" si="3"/>
        <v>5228.4193548387093</v>
      </c>
      <c r="L31" s="203">
        <f>SUM(J31)</f>
        <v>243</v>
      </c>
      <c r="M31" s="203">
        <f t="shared" si="4"/>
        <v>5228.4193548387093</v>
      </c>
      <c r="N31" s="203">
        <f>SUM(L31)</f>
        <v>243</v>
      </c>
      <c r="O31" s="203">
        <f t="shared" si="5"/>
        <v>5228.4193548387093</v>
      </c>
      <c r="P31" s="203">
        <f>SUM(N31)</f>
        <v>243</v>
      </c>
      <c r="Q31" s="203">
        <f t="shared" si="6"/>
        <v>5228.4193548387093</v>
      </c>
      <c r="R31" s="203">
        <f>SUM(P31)</f>
        <v>243</v>
      </c>
      <c r="S31" s="203">
        <f t="shared" si="7"/>
        <v>5228.4193548387093</v>
      </c>
      <c r="T31" s="203">
        <f>SUM(R31)</f>
        <v>243</v>
      </c>
      <c r="U31" s="203">
        <f t="shared" si="8"/>
        <v>5228.4193548387093</v>
      </c>
      <c r="V31" s="203">
        <f>SUM(T31)</f>
        <v>243</v>
      </c>
      <c r="W31" s="203">
        <f t="shared" si="9"/>
        <v>5228.4193548387093</v>
      </c>
      <c r="X31" s="35">
        <f>SUM(Y31/73370)</f>
        <v>0.78387096774193554</v>
      </c>
      <c r="Y31" s="36">
        <f>SUM(C31+E31+G31+I31+K31+M31+O31+Q31+S31+U31+W31)</f>
        <v>57512.61290322581</v>
      </c>
      <c r="Z31" s="203">
        <f>'B5'!C30</f>
        <v>250</v>
      </c>
      <c r="AA31" s="203">
        <f t="shared" si="30"/>
        <v>2500</v>
      </c>
      <c r="AB31" s="203">
        <f>SUM(Z31)</f>
        <v>250</v>
      </c>
      <c r="AC31" s="203">
        <f t="shared" si="30"/>
        <v>2500</v>
      </c>
      <c r="AD31" s="203">
        <f>SUM(AB31)</f>
        <v>250</v>
      </c>
      <c r="AE31" s="203">
        <f t="shared" si="11"/>
        <v>2500</v>
      </c>
      <c r="AF31" s="203">
        <f>SUM(AD31)</f>
        <v>250</v>
      </c>
      <c r="AG31" s="203">
        <f t="shared" si="12"/>
        <v>2500</v>
      </c>
      <c r="AH31" s="203">
        <f>SUM(AF31)</f>
        <v>250</v>
      </c>
      <c r="AI31" s="203">
        <f t="shared" si="13"/>
        <v>2500</v>
      </c>
      <c r="AJ31" s="203">
        <f>SUM(AH31)</f>
        <v>250</v>
      </c>
      <c r="AK31" s="203">
        <f t="shared" si="14"/>
        <v>2500</v>
      </c>
      <c r="AL31" s="203">
        <f>SUM(AJ31)</f>
        <v>250</v>
      </c>
      <c r="AM31" s="203">
        <f t="shared" si="15"/>
        <v>2500</v>
      </c>
      <c r="AN31" s="35">
        <f>SUM(AO31/19600)</f>
        <v>0.8928571428571429</v>
      </c>
      <c r="AO31" s="36">
        <f>SUM(AA31+AC31+AE31+AG31+AI31+AK31+AM31)</f>
        <v>17500</v>
      </c>
      <c r="AQ31" s="223">
        <f t="shared" si="40"/>
        <v>0.80684750890852763</v>
      </c>
      <c r="AR31" s="38">
        <f t="shared" si="41"/>
        <v>75012.612903225818</v>
      </c>
      <c r="AS31" s="197">
        <f t="shared" si="47"/>
        <v>0</v>
      </c>
      <c r="AT31" s="340"/>
      <c r="AU31" s="571"/>
      <c r="AV31" s="485">
        <f t="shared" si="43"/>
        <v>1.0089999999999999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243</v>
      </c>
      <c r="C32" s="203">
        <f t="shared" si="18"/>
        <v>5228.4193548387093</v>
      </c>
      <c r="D32">
        <f>SUM(B32)</f>
        <v>243</v>
      </c>
      <c r="E32" s="203">
        <f t="shared" si="18"/>
        <v>5228.4193548387093</v>
      </c>
      <c r="F32">
        <f>SUM(D32)</f>
        <v>243</v>
      </c>
      <c r="G32" s="203">
        <f t="shared" si="1"/>
        <v>5228.4193548387093</v>
      </c>
      <c r="H32" s="203">
        <f>SUM(F32)</f>
        <v>243</v>
      </c>
      <c r="I32" s="203">
        <f t="shared" si="2"/>
        <v>5228.4193548387093</v>
      </c>
      <c r="J32" s="203">
        <f>SUM(H32)</f>
        <v>243</v>
      </c>
      <c r="K32" s="203">
        <f t="shared" si="3"/>
        <v>5228.4193548387093</v>
      </c>
      <c r="L32" s="203">
        <f>SUM(J32)</f>
        <v>243</v>
      </c>
      <c r="M32" s="203">
        <f t="shared" si="4"/>
        <v>5228.4193548387093</v>
      </c>
      <c r="N32" s="203">
        <f>SUM(L32)</f>
        <v>243</v>
      </c>
      <c r="O32" s="203">
        <f t="shared" si="5"/>
        <v>5228.4193548387093</v>
      </c>
      <c r="P32" s="203">
        <f>SUM(N32)</f>
        <v>243</v>
      </c>
      <c r="Q32" s="203">
        <f t="shared" si="6"/>
        <v>5228.4193548387093</v>
      </c>
      <c r="R32" s="203">
        <f>SUM(P32)</f>
        <v>243</v>
      </c>
      <c r="S32" s="203">
        <f t="shared" si="7"/>
        <v>5228.4193548387093</v>
      </c>
      <c r="T32" s="203">
        <f>SUM(R32)</f>
        <v>243</v>
      </c>
      <c r="U32" s="203">
        <f t="shared" si="8"/>
        <v>5228.4193548387093</v>
      </c>
      <c r="V32" s="203">
        <f>SUM(T32)</f>
        <v>243</v>
      </c>
      <c r="W32" s="203">
        <f t="shared" si="9"/>
        <v>5228.4193548387093</v>
      </c>
      <c r="X32" s="35">
        <f>SUM(Y32/73370)</f>
        <v>0.78387096774193554</v>
      </c>
      <c r="Y32" s="36">
        <f>SUM(C32+E32+G32+I32+K32+M32+O32+Q32+S32+U32+W32)</f>
        <v>57512.61290322581</v>
      </c>
      <c r="Z32" s="203">
        <f>'B5'!C31</f>
        <v>250</v>
      </c>
      <c r="AA32" s="203">
        <f t="shared" si="30"/>
        <v>2500</v>
      </c>
      <c r="AB32" s="203">
        <f>SUM(Z32)</f>
        <v>250</v>
      </c>
      <c r="AC32" s="203">
        <f t="shared" si="30"/>
        <v>2500</v>
      </c>
      <c r="AD32" s="203">
        <f>SUM(AB32)</f>
        <v>250</v>
      </c>
      <c r="AE32" s="203">
        <f t="shared" si="11"/>
        <v>2500</v>
      </c>
      <c r="AF32" s="203">
        <f>SUM(AD32)</f>
        <v>250</v>
      </c>
      <c r="AG32" s="203">
        <f t="shared" si="12"/>
        <v>2500</v>
      </c>
      <c r="AH32" s="203">
        <f>SUM(AF32)</f>
        <v>250</v>
      </c>
      <c r="AI32" s="203">
        <f t="shared" si="13"/>
        <v>2500</v>
      </c>
      <c r="AJ32" s="203">
        <f>SUM(AH32)</f>
        <v>250</v>
      </c>
      <c r="AK32" s="203">
        <f t="shared" si="14"/>
        <v>2500</v>
      </c>
      <c r="AL32" s="203">
        <f>SUM(AJ32)</f>
        <v>250</v>
      </c>
      <c r="AM32" s="203">
        <f t="shared" si="15"/>
        <v>2500</v>
      </c>
      <c r="AN32" s="35">
        <f>SUM(AO32/19600)</f>
        <v>0.8928571428571429</v>
      </c>
      <c r="AO32" s="36">
        <f>SUM(AA32+AC32+AE32+AG32+AI32+AK32+AM32)</f>
        <v>17500</v>
      </c>
      <c r="AQ32" s="223">
        <f t="shared" si="40"/>
        <v>0.80684750890852763</v>
      </c>
      <c r="AR32" s="38">
        <f t="shared" si="41"/>
        <v>75012.612903225818</v>
      </c>
      <c r="AS32" s="197">
        <f t="shared" si="47"/>
        <v>0</v>
      </c>
      <c r="AT32" s="340"/>
      <c r="AU32" s="548"/>
      <c r="AV32" s="485">
        <f>IF(AT32&gt;0,AU32,AV31)</f>
        <v>1.0089999999999999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243</v>
      </c>
      <c r="C33" s="203">
        <f t="shared" si="18"/>
        <v>5228.4193548387093</v>
      </c>
      <c r="D33">
        <f>SUM(B33)</f>
        <v>243</v>
      </c>
      <c r="E33" s="203">
        <f t="shared" si="18"/>
        <v>5228.4193548387093</v>
      </c>
      <c r="F33">
        <f>SUM(D33)</f>
        <v>243</v>
      </c>
      <c r="G33" s="203">
        <f t="shared" si="1"/>
        <v>5228.4193548387093</v>
      </c>
      <c r="H33" s="203">
        <f>SUM(F33)</f>
        <v>243</v>
      </c>
      <c r="I33" s="203">
        <f t="shared" si="2"/>
        <v>5228.4193548387093</v>
      </c>
      <c r="J33" s="203">
        <f>SUM(H33)</f>
        <v>243</v>
      </c>
      <c r="K33" s="203">
        <f t="shared" si="3"/>
        <v>5228.4193548387093</v>
      </c>
      <c r="L33" s="203">
        <f>SUM(J33)</f>
        <v>243</v>
      </c>
      <c r="M33" s="203">
        <f t="shared" si="4"/>
        <v>5228.4193548387093</v>
      </c>
      <c r="N33" s="203">
        <f>SUM(L33)</f>
        <v>243</v>
      </c>
      <c r="O33" s="203">
        <f t="shared" si="5"/>
        <v>5228.4193548387093</v>
      </c>
      <c r="P33" s="203">
        <f>SUM(N33)</f>
        <v>243</v>
      </c>
      <c r="Q33" s="203">
        <f t="shared" si="6"/>
        <v>5228.4193548387093</v>
      </c>
      <c r="R33" s="203">
        <f>SUM(P33)</f>
        <v>243</v>
      </c>
      <c r="S33" s="203">
        <f t="shared" si="7"/>
        <v>5228.4193548387093</v>
      </c>
      <c r="T33" s="203">
        <f>SUM(R33)</f>
        <v>243</v>
      </c>
      <c r="U33" s="203">
        <f t="shared" si="8"/>
        <v>5228.4193548387093</v>
      </c>
      <c r="V33" s="203">
        <f>SUM(T33)</f>
        <v>243</v>
      </c>
      <c r="W33" s="203">
        <f t="shared" si="9"/>
        <v>5228.4193548387093</v>
      </c>
      <c r="X33" s="35">
        <f>SUM(Y33/73370)</f>
        <v>0.78387096774193554</v>
      </c>
      <c r="Y33" s="36">
        <f>SUM(C33+E33+G33+I33+K33+M33+O33+Q33+S33+U33+W33)</f>
        <v>57512.61290322581</v>
      </c>
      <c r="Z33" s="203">
        <f>'B5'!C32</f>
        <v>250</v>
      </c>
      <c r="AA33" s="203">
        <f t="shared" si="30"/>
        <v>2500</v>
      </c>
      <c r="AB33" s="203">
        <f>SUM(Z33)</f>
        <v>250</v>
      </c>
      <c r="AC33" s="203">
        <f t="shared" si="30"/>
        <v>2500</v>
      </c>
      <c r="AD33" s="203">
        <f>SUM(AB33)</f>
        <v>250</v>
      </c>
      <c r="AE33" s="203">
        <f t="shared" si="11"/>
        <v>2500</v>
      </c>
      <c r="AF33" s="203">
        <f>SUM(AD33)</f>
        <v>250</v>
      </c>
      <c r="AG33" s="203">
        <f t="shared" si="12"/>
        <v>2500</v>
      </c>
      <c r="AH33" s="203">
        <f>SUM(AF33)</f>
        <v>250</v>
      </c>
      <c r="AI33" s="203">
        <f t="shared" si="13"/>
        <v>2500</v>
      </c>
      <c r="AJ33" s="203">
        <f>SUM(AH33)</f>
        <v>250</v>
      </c>
      <c r="AK33" s="203">
        <f t="shared" si="14"/>
        <v>2500</v>
      </c>
      <c r="AL33" s="203">
        <f>SUM(AJ33)</f>
        <v>250</v>
      </c>
      <c r="AM33" s="203">
        <f t="shared" si="15"/>
        <v>2500</v>
      </c>
      <c r="AN33" s="35">
        <f>SUM(AO33/19600)</f>
        <v>0.8928571428571429</v>
      </c>
      <c r="AO33" s="36">
        <f>SUM(AA33+AC33+AE33+AG33+AI33+AK33+AM33)</f>
        <v>17500</v>
      </c>
      <c r="AQ33" s="223">
        <f t="shared" si="40"/>
        <v>0.80684750890852763</v>
      </c>
      <c r="AR33" s="38">
        <f t="shared" si="41"/>
        <v>75012.612903225818</v>
      </c>
      <c r="AS33" s="197">
        <f>SUM(AR33-AR32-AT33)</f>
        <v>0</v>
      </c>
      <c r="AT33" s="340"/>
      <c r="AU33" s="548"/>
      <c r="AV33" s="485">
        <f>IF(AT33&gt;0,AU33,AV32)</f>
        <v>1.0089999999999999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243</v>
      </c>
      <c r="C34" s="203">
        <f t="shared" ref="C34:C36" si="48">B34*$B$4</f>
        <v>5228.4193548387093</v>
      </c>
      <c r="D34">
        <f t="shared" ref="D34:D36" si="49">SUM(B34)</f>
        <v>243</v>
      </c>
      <c r="E34" s="203">
        <f t="shared" ref="E34:E36" si="50">D34*$B$4</f>
        <v>5228.4193548387093</v>
      </c>
      <c r="F34">
        <f t="shared" ref="F34:F36" si="51">SUM(D34)</f>
        <v>243</v>
      </c>
      <c r="G34" s="203">
        <f t="shared" ref="G34:G36" si="52">F34*$B$4</f>
        <v>5228.4193548387093</v>
      </c>
      <c r="H34" s="203">
        <f t="shared" ref="H34:H36" si="53">SUM(F34)</f>
        <v>243</v>
      </c>
      <c r="I34" s="203">
        <f t="shared" ref="I34:I36" si="54">H34*$B$4</f>
        <v>5228.4193548387093</v>
      </c>
      <c r="J34" s="203">
        <f t="shared" ref="J34:J36" si="55">SUM(H34)</f>
        <v>243</v>
      </c>
      <c r="K34" s="203">
        <f t="shared" ref="K34:K36" si="56">J34*$B$4</f>
        <v>5228.4193548387093</v>
      </c>
      <c r="L34" s="203">
        <f t="shared" ref="L34:L36" si="57">SUM(J34)</f>
        <v>243</v>
      </c>
      <c r="M34" s="203">
        <f t="shared" ref="M34:M36" si="58">L34*$B$4</f>
        <v>5228.4193548387093</v>
      </c>
      <c r="N34" s="203">
        <f t="shared" ref="N34:N36" si="59">SUM(L34)</f>
        <v>243</v>
      </c>
      <c r="O34" s="203">
        <f t="shared" ref="O34:O36" si="60">N34*$B$4</f>
        <v>5228.4193548387093</v>
      </c>
      <c r="P34" s="203">
        <f t="shared" ref="P34:P36" si="61">SUM(N34)</f>
        <v>243</v>
      </c>
      <c r="Q34" s="203">
        <f t="shared" ref="Q34:Q36" si="62">P34*$B$4</f>
        <v>5228.4193548387093</v>
      </c>
      <c r="R34" s="203">
        <f t="shared" ref="R34:R36" si="63">SUM(P34)</f>
        <v>243</v>
      </c>
      <c r="S34" s="203">
        <f t="shared" ref="S34:S36" si="64">R34*$B$4</f>
        <v>5228.4193548387093</v>
      </c>
      <c r="T34" s="203">
        <f t="shared" ref="T34:T36" si="65">SUM(R34)</f>
        <v>243</v>
      </c>
      <c r="U34" s="203">
        <f t="shared" ref="U34:U36" si="66">T34*$B$4</f>
        <v>5228.4193548387093</v>
      </c>
      <c r="V34" s="203">
        <f t="shared" ref="V34:V36" si="67">SUM(T34)</f>
        <v>243</v>
      </c>
      <c r="W34" s="203">
        <f t="shared" ref="W34:W36" si="68">V34*$B$4</f>
        <v>5228.4193548387093</v>
      </c>
      <c r="X34" s="35">
        <f t="shared" ref="X34:X36" si="69">SUM(Y34/73370)</f>
        <v>0.78387096774193554</v>
      </c>
      <c r="Y34" s="36">
        <f t="shared" ref="Y34:Y36" si="70">SUM(C34+E34+G34+I34+K34+M34+O34+Q34+S34+U34+W34)</f>
        <v>57512.61290322581</v>
      </c>
      <c r="Z34" s="203">
        <f>'B5'!C33</f>
        <v>250</v>
      </c>
      <c r="AA34" s="203">
        <f t="shared" ref="AA34:AA36" si="71">SUM(Z34*$Z$4)</f>
        <v>2500</v>
      </c>
      <c r="AB34" s="203">
        <f t="shared" ref="AB34:AB36" si="72">SUM(Z34)</f>
        <v>250</v>
      </c>
      <c r="AC34" s="203">
        <f t="shared" ref="AC34:AC36" si="73">SUM(AB34*$Z$4)</f>
        <v>2500</v>
      </c>
      <c r="AD34" s="203">
        <f t="shared" ref="AD34:AD36" si="74">SUM(AB34)</f>
        <v>250</v>
      </c>
      <c r="AE34" s="203">
        <f t="shared" ref="AE34:AE36" si="75">SUM(AD34*$Z$4)</f>
        <v>2500</v>
      </c>
      <c r="AF34" s="203">
        <f t="shared" ref="AF34:AF36" si="76">SUM(AD34)</f>
        <v>250</v>
      </c>
      <c r="AG34" s="203">
        <f t="shared" ref="AG34:AG36" si="77">SUM(AF34*$Z$4)</f>
        <v>2500</v>
      </c>
      <c r="AH34" s="203">
        <f t="shared" ref="AH34:AH36" si="78">SUM(AF34)</f>
        <v>250</v>
      </c>
      <c r="AI34" s="203">
        <f t="shared" ref="AI34:AI36" si="79">SUM(AH34*$Z$4)</f>
        <v>2500</v>
      </c>
      <c r="AJ34" s="203">
        <f t="shared" ref="AJ34:AJ36" si="80">SUM(AH34)</f>
        <v>250</v>
      </c>
      <c r="AK34" s="203">
        <f t="shared" ref="AK34:AK36" si="81">SUM(AJ34*$Z$4)</f>
        <v>2500</v>
      </c>
      <c r="AL34" s="203">
        <f t="shared" ref="AL34:AL36" si="82">SUM(AJ34)</f>
        <v>250</v>
      </c>
      <c r="AM34" s="203">
        <f t="shared" ref="AM34:AM36" si="83">SUM(AL34*$Z$4)</f>
        <v>2500</v>
      </c>
      <c r="AN34" s="35">
        <f t="shared" ref="AN34:AN36" si="84">SUM(AO34/19600)</f>
        <v>0.8928571428571429</v>
      </c>
      <c r="AO34" s="36">
        <f t="shared" ref="AO34:AO36" si="85">SUM(AA34+AC34+AE34+AG34+AI34+AK34+AM34)</f>
        <v>17500</v>
      </c>
      <c r="AQ34" s="223">
        <f t="shared" ref="AQ34:AQ36" si="86">SUM(AR34/92970)</f>
        <v>0.80684750890852763</v>
      </c>
      <c r="AR34" s="38">
        <f t="shared" ref="AR34:AR36" si="87">Y34+AO34</f>
        <v>75012.612903225818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1.0089999999999999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243</v>
      </c>
      <c r="C35" s="203">
        <f t="shared" si="48"/>
        <v>5228.4193548387093</v>
      </c>
      <c r="D35">
        <f t="shared" si="49"/>
        <v>243</v>
      </c>
      <c r="E35" s="203">
        <f t="shared" si="50"/>
        <v>5228.4193548387093</v>
      </c>
      <c r="F35">
        <f t="shared" si="51"/>
        <v>243</v>
      </c>
      <c r="G35" s="203">
        <f t="shared" si="52"/>
        <v>5228.4193548387093</v>
      </c>
      <c r="H35" s="203">
        <f t="shared" si="53"/>
        <v>243</v>
      </c>
      <c r="I35" s="203">
        <f t="shared" si="54"/>
        <v>5228.4193548387093</v>
      </c>
      <c r="J35" s="203">
        <f t="shared" si="55"/>
        <v>243</v>
      </c>
      <c r="K35" s="203">
        <f t="shared" si="56"/>
        <v>5228.4193548387093</v>
      </c>
      <c r="L35" s="203">
        <f t="shared" si="57"/>
        <v>243</v>
      </c>
      <c r="M35" s="203">
        <f t="shared" si="58"/>
        <v>5228.4193548387093</v>
      </c>
      <c r="N35" s="203">
        <f t="shared" si="59"/>
        <v>243</v>
      </c>
      <c r="O35" s="203">
        <f t="shared" si="60"/>
        <v>5228.4193548387093</v>
      </c>
      <c r="P35" s="203">
        <f t="shared" si="61"/>
        <v>243</v>
      </c>
      <c r="Q35" s="203">
        <f t="shared" si="62"/>
        <v>5228.4193548387093</v>
      </c>
      <c r="R35" s="203">
        <f t="shared" si="63"/>
        <v>243</v>
      </c>
      <c r="S35" s="203">
        <f t="shared" si="64"/>
        <v>5228.4193548387093</v>
      </c>
      <c r="T35" s="203">
        <f t="shared" si="65"/>
        <v>243</v>
      </c>
      <c r="U35" s="203">
        <f t="shared" si="66"/>
        <v>5228.4193548387093</v>
      </c>
      <c r="V35" s="203">
        <f t="shared" si="67"/>
        <v>243</v>
      </c>
      <c r="W35" s="203">
        <f t="shared" si="68"/>
        <v>5228.4193548387093</v>
      </c>
      <c r="X35" s="35">
        <f t="shared" si="69"/>
        <v>0.78387096774193554</v>
      </c>
      <c r="Y35" s="36">
        <f t="shared" si="70"/>
        <v>57512.61290322581</v>
      </c>
      <c r="Z35" s="203">
        <f>'B5'!C34</f>
        <v>250</v>
      </c>
      <c r="AA35" s="203">
        <f t="shared" si="71"/>
        <v>2500</v>
      </c>
      <c r="AB35" s="203">
        <f t="shared" si="72"/>
        <v>250</v>
      </c>
      <c r="AC35" s="203">
        <f t="shared" si="73"/>
        <v>2500</v>
      </c>
      <c r="AD35" s="203">
        <f t="shared" si="74"/>
        <v>250</v>
      </c>
      <c r="AE35" s="203">
        <f t="shared" si="75"/>
        <v>2500</v>
      </c>
      <c r="AF35" s="203">
        <f t="shared" si="76"/>
        <v>250</v>
      </c>
      <c r="AG35" s="203">
        <f t="shared" si="77"/>
        <v>2500</v>
      </c>
      <c r="AH35" s="203">
        <f t="shared" si="78"/>
        <v>250</v>
      </c>
      <c r="AI35" s="203">
        <f t="shared" si="79"/>
        <v>2500</v>
      </c>
      <c r="AJ35" s="203">
        <f t="shared" si="80"/>
        <v>250</v>
      </c>
      <c r="AK35" s="203">
        <f t="shared" si="81"/>
        <v>2500</v>
      </c>
      <c r="AL35" s="203">
        <f t="shared" si="82"/>
        <v>250</v>
      </c>
      <c r="AM35" s="203">
        <f t="shared" si="83"/>
        <v>2500</v>
      </c>
      <c r="AN35" s="35">
        <f t="shared" si="84"/>
        <v>0.8928571428571429</v>
      </c>
      <c r="AO35" s="36">
        <f t="shared" si="85"/>
        <v>17500</v>
      </c>
      <c r="AQ35" s="223">
        <f t="shared" si="86"/>
        <v>0.80684750890852763</v>
      </c>
      <c r="AR35" s="38">
        <f t="shared" si="87"/>
        <v>75012.612903225818</v>
      </c>
      <c r="AS35" s="197">
        <f t="shared" si="88"/>
        <v>0</v>
      </c>
      <c r="AT35" s="340"/>
      <c r="AU35" s="548"/>
      <c r="AV35" s="485">
        <f t="shared" si="89"/>
        <v>1.0089999999999999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243</v>
      </c>
      <c r="C36" s="203">
        <f t="shared" si="48"/>
        <v>5228.4193548387093</v>
      </c>
      <c r="D36">
        <f t="shared" si="49"/>
        <v>243</v>
      </c>
      <c r="E36" s="203">
        <f t="shared" si="50"/>
        <v>5228.4193548387093</v>
      </c>
      <c r="F36">
        <f t="shared" si="51"/>
        <v>243</v>
      </c>
      <c r="G36" s="203">
        <f t="shared" si="52"/>
        <v>5228.4193548387093</v>
      </c>
      <c r="H36" s="203">
        <f t="shared" si="53"/>
        <v>243</v>
      </c>
      <c r="I36" s="203">
        <f t="shared" si="54"/>
        <v>5228.4193548387093</v>
      </c>
      <c r="J36" s="203">
        <f t="shared" si="55"/>
        <v>243</v>
      </c>
      <c r="K36" s="203">
        <f t="shared" si="56"/>
        <v>5228.4193548387093</v>
      </c>
      <c r="L36" s="203">
        <f t="shared" si="57"/>
        <v>243</v>
      </c>
      <c r="M36" s="203">
        <f t="shared" si="58"/>
        <v>5228.4193548387093</v>
      </c>
      <c r="N36" s="203">
        <f t="shared" si="59"/>
        <v>243</v>
      </c>
      <c r="O36" s="203">
        <f t="shared" si="60"/>
        <v>5228.4193548387093</v>
      </c>
      <c r="P36" s="203">
        <f t="shared" si="61"/>
        <v>243</v>
      </c>
      <c r="Q36" s="203">
        <f t="shared" si="62"/>
        <v>5228.4193548387093</v>
      </c>
      <c r="R36" s="203">
        <f t="shared" si="63"/>
        <v>243</v>
      </c>
      <c r="S36" s="203">
        <f t="shared" si="64"/>
        <v>5228.4193548387093</v>
      </c>
      <c r="T36" s="203">
        <f t="shared" si="65"/>
        <v>243</v>
      </c>
      <c r="U36" s="203">
        <f t="shared" si="66"/>
        <v>5228.4193548387093</v>
      </c>
      <c r="V36" s="203">
        <f t="shared" si="67"/>
        <v>243</v>
      </c>
      <c r="W36" s="203">
        <f t="shared" si="68"/>
        <v>5228.4193548387093</v>
      </c>
      <c r="X36" s="35">
        <f t="shared" si="69"/>
        <v>0.78387096774193554</v>
      </c>
      <c r="Y36" s="36">
        <f t="shared" si="70"/>
        <v>57512.61290322581</v>
      </c>
      <c r="Z36" s="203">
        <f>'B5'!C35</f>
        <v>250</v>
      </c>
      <c r="AA36" s="203">
        <f t="shared" si="71"/>
        <v>2500</v>
      </c>
      <c r="AB36" s="203">
        <f t="shared" si="72"/>
        <v>250</v>
      </c>
      <c r="AC36" s="203">
        <f t="shared" si="73"/>
        <v>2500</v>
      </c>
      <c r="AD36" s="203">
        <f t="shared" si="74"/>
        <v>250</v>
      </c>
      <c r="AE36" s="203">
        <f t="shared" si="75"/>
        <v>2500</v>
      </c>
      <c r="AF36" s="203">
        <f t="shared" si="76"/>
        <v>250</v>
      </c>
      <c r="AG36" s="203">
        <f t="shared" si="77"/>
        <v>2500</v>
      </c>
      <c r="AH36" s="203">
        <f t="shared" si="78"/>
        <v>250</v>
      </c>
      <c r="AI36" s="203">
        <f t="shared" si="79"/>
        <v>2500</v>
      </c>
      <c r="AJ36" s="203">
        <f t="shared" si="80"/>
        <v>250</v>
      </c>
      <c r="AK36" s="203">
        <f t="shared" si="81"/>
        <v>2500</v>
      </c>
      <c r="AL36" s="203">
        <f t="shared" si="82"/>
        <v>250</v>
      </c>
      <c r="AM36" s="203">
        <f t="shared" si="83"/>
        <v>2500</v>
      </c>
      <c r="AN36" s="35">
        <f t="shared" si="84"/>
        <v>0.8928571428571429</v>
      </c>
      <c r="AO36" s="36">
        <f t="shared" si="85"/>
        <v>17500</v>
      </c>
      <c r="AQ36" s="223">
        <f t="shared" si="86"/>
        <v>0.80684750890852763</v>
      </c>
      <c r="AR36" s="38">
        <f t="shared" si="87"/>
        <v>75012.612903225818</v>
      </c>
      <c r="AS36" s="197">
        <f t="shared" si="88"/>
        <v>0</v>
      </c>
      <c r="AT36" s="340"/>
      <c r="AU36" s="548"/>
      <c r="AV36" s="485">
        <f t="shared" si="89"/>
        <v>1.0089999999999999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10182</v>
      </c>
      <c r="AU37" s="544">
        <f>SUM(AU6:AU36)/AS37</f>
        <v>1.0089999999999999</v>
      </c>
      <c r="AX37" s="203">
        <f>SUM(AX6:AX36)</f>
        <v>-8887.6774193548481</v>
      </c>
      <c r="AY37" s="203">
        <f>SUM(AY6:AY36)</f>
        <v>-10488.677419354848</v>
      </c>
    </row>
    <row r="38" spans="1:63">
      <c r="AS38" s="206"/>
      <c r="AT38" s="82">
        <f>+AT37*AU37</f>
        <v>10273.637999999999</v>
      </c>
    </row>
    <row r="40" spans="1:63">
      <c r="AS40" s="165">
        <f>SUM(AS6:AS36)/'EDl log'!A35</f>
        <v>-3496.2258064516159</v>
      </c>
      <c r="AT40" s="203"/>
    </row>
    <row r="41" spans="1:63">
      <c r="AX41">
        <v>43309</v>
      </c>
    </row>
    <row r="42" spans="1:63">
      <c r="AR42" s="203">
        <f>AR36-22000</f>
        <v>53012.612903225818</v>
      </c>
      <c r="AU42" s="203"/>
      <c r="AX42">
        <f>AX37/AX41</f>
        <v>-0.20521548452642288</v>
      </c>
    </row>
    <row r="43" spans="1:63">
      <c r="AR43">
        <f>AR42/5500</f>
        <v>9.6386568914956037</v>
      </c>
    </row>
    <row r="44" spans="1:63">
      <c r="AR44">
        <f>AR43*2</f>
        <v>19.277313782991207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zoomScale="70" zoomScaleNormal="70" workbookViewId="0">
      <selection activeCell="B19" sqref="B1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2125.3771290322898</v>
      </c>
      <c r="R6" s="285">
        <f t="shared" si="13"/>
        <v>2285.340268888564</v>
      </c>
      <c r="S6" s="287">
        <f>SUM(ELEC!N6)</f>
        <v>6534</v>
      </c>
      <c r="T6" s="321">
        <f t="shared" ref="T6:T30" si="16">IF(S6&gt;0,R6/S6,0)</f>
        <v>0.34976129000437162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1771.5436129032039</v>
      </c>
      <c r="R7" s="285">
        <f t="shared" si="13"/>
        <v>1969.9916615488644</v>
      </c>
      <c r="S7" s="287">
        <f>SUM(ELEC!N7)</f>
        <v>4892</v>
      </c>
      <c r="T7" s="321">
        <f t="shared" si="16"/>
        <v>0.40269657840328382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1658.8610967742061</v>
      </c>
      <c r="R8" s="285">
        <f t="shared" si="13"/>
        <v>1818.8242366304803</v>
      </c>
      <c r="S8" s="287">
        <f>SUM(ELEC!N8)</f>
        <v>5576</v>
      </c>
      <c r="T8" s="321">
        <f>IF(S8&gt;0,R8/S8,0)</f>
        <v>0.32618799078738886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v>1117038</v>
      </c>
      <c r="C9" s="254">
        <f t="shared" si="0"/>
        <v>287</v>
      </c>
      <c r="D9" s="295">
        <f t="shared" si="14"/>
        <v>288</v>
      </c>
      <c r="E9" s="295">
        <f t="shared" si="15"/>
        <v>1117039</v>
      </c>
      <c r="F9" s="623">
        <f t="shared" si="8"/>
        <v>161410</v>
      </c>
      <c r="G9" s="160">
        <f t="shared" si="1"/>
        <v>0</v>
      </c>
      <c r="H9" s="623">
        <v>554191</v>
      </c>
      <c r="I9" s="161">
        <f t="shared" si="2"/>
        <v>198</v>
      </c>
      <c r="J9" s="623">
        <v>401437</v>
      </c>
      <c r="K9" s="162">
        <f>J9-J8</f>
        <v>90</v>
      </c>
      <c r="L9" s="284">
        <f t="shared" si="3"/>
        <v>0</v>
      </c>
      <c r="M9" s="284">
        <f t="shared" si="4"/>
        <v>14.710447761194029</v>
      </c>
      <c r="N9" s="284">
        <f t="shared" si="5"/>
        <v>4.7761194029850742</v>
      </c>
      <c r="O9" s="284">
        <f t="shared" si="6"/>
        <v>159.96313985627418</v>
      </c>
      <c r="P9" s="285">
        <f t="shared" si="12"/>
        <v>179.44970702045327</v>
      </c>
      <c r="Q9" s="285">
        <f>SUM(-tanks!AX11*tanks!$AU$37)</f>
        <v>1760.7700967741914</v>
      </c>
      <c r="R9" s="285">
        <f>SUM(P9:Q9)</f>
        <v>1940.2198037946446</v>
      </c>
      <c r="S9" s="287">
        <f>SUM(ELEC!N9)</f>
        <v>4455</v>
      </c>
      <c r="T9" s="321">
        <f t="shared" si="16"/>
        <v>0.43551510747354538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1117038</v>
      </c>
      <c r="C10" s="254">
        <f t="shared" si="0"/>
        <v>0</v>
      </c>
      <c r="D10" s="295">
        <f t="shared" si="14"/>
        <v>0</v>
      </c>
      <c r="E10" s="295">
        <f t="shared" si="15"/>
        <v>1117038</v>
      </c>
      <c r="F10" s="623">
        <f t="shared" si="8"/>
        <v>161410</v>
      </c>
      <c r="G10" s="160">
        <f t="shared" si="1"/>
        <v>0</v>
      </c>
      <c r="H10" s="623">
        <f t="shared" si="9"/>
        <v>554191</v>
      </c>
      <c r="I10" s="161">
        <f t="shared" si="2"/>
        <v>0</v>
      </c>
      <c r="J10" s="623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876.00729032257482</v>
      </c>
      <c r="R10" s="285">
        <f t="shared" si="13"/>
        <v>1035.970430178849</v>
      </c>
      <c r="S10" s="287">
        <f>SUM(ELEC!N10)</f>
        <v>4790</v>
      </c>
      <c r="T10" s="321">
        <f t="shared" si="16"/>
        <v>0.2162777516031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1117038</v>
      </c>
      <c r="C11" s="254">
        <f t="shared" si="0"/>
        <v>0</v>
      </c>
      <c r="D11" s="295">
        <f t="shared" si="14"/>
        <v>0</v>
      </c>
      <c r="E11" s="295">
        <f t="shared" si="15"/>
        <v>1117038</v>
      </c>
      <c r="F11" s="623">
        <f t="shared" si="8"/>
        <v>161410</v>
      </c>
      <c r="G11" s="160">
        <f t="shared" si="1"/>
        <v>0</v>
      </c>
      <c r="H11" s="623">
        <f t="shared" si="9"/>
        <v>554191</v>
      </c>
      <c r="I11" s="161">
        <f t="shared" si="2"/>
        <v>0</v>
      </c>
      <c r="J11" s="623">
        <f t="shared" si="10"/>
        <v>401437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1117038</v>
      </c>
      <c r="C12" s="254">
        <f t="shared" si="0"/>
        <v>0</v>
      </c>
      <c r="D12" s="295">
        <f t="shared" si="14"/>
        <v>0</v>
      </c>
      <c r="E12" s="295">
        <f t="shared" si="15"/>
        <v>1117038</v>
      </c>
      <c r="F12" s="623">
        <f t="shared" si="8"/>
        <v>161410</v>
      </c>
      <c r="G12" s="160">
        <f t="shared" si="1"/>
        <v>0</v>
      </c>
      <c r="H12" s="623">
        <f t="shared" si="9"/>
        <v>554191</v>
      </c>
      <c r="I12" s="161">
        <f t="shared" si="2"/>
        <v>0</v>
      </c>
      <c r="J12" s="623">
        <f t="shared" si="10"/>
        <v>401437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v>1117309</v>
      </c>
      <c r="C13" s="254">
        <f t="shared" si="0"/>
        <v>271</v>
      </c>
      <c r="D13" s="295">
        <f t="shared" si="14"/>
        <v>271</v>
      </c>
      <c r="E13" s="295">
        <f t="shared" si="15"/>
        <v>1117309</v>
      </c>
      <c r="F13" s="623">
        <f t="shared" si="8"/>
        <v>161410</v>
      </c>
      <c r="G13" s="160">
        <f t="shared" si="1"/>
        <v>0</v>
      </c>
      <c r="H13" s="623">
        <v>554462</v>
      </c>
      <c r="I13" s="161">
        <f t="shared" si="2"/>
        <v>271</v>
      </c>
      <c r="J13" s="623">
        <f t="shared" si="10"/>
        <v>401437</v>
      </c>
      <c r="K13" s="162">
        <f t="shared" si="11"/>
        <v>0</v>
      </c>
      <c r="L13" s="284">
        <f t="shared" si="3"/>
        <v>0</v>
      </c>
      <c r="M13" s="284">
        <f t="shared" si="4"/>
        <v>20.133996683250416</v>
      </c>
      <c r="N13" s="284">
        <f t="shared" si="5"/>
        <v>0</v>
      </c>
      <c r="O13" s="284">
        <f t="shared" si="6"/>
        <v>159.96313985627418</v>
      </c>
      <c r="P13" s="285">
        <f t="shared" si="12"/>
        <v>180.0971365395246</v>
      </c>
      <c r="Q13" s="285">
        <f>SUM(-tanks!AX15*tanks!$AU$37)</f>
        <v>775.10729032257484</v>
      </c>
      <c r="R13" s="285">
        <f t="shared" si="13"/>
        <v>955.20442686209947</v>
      </c>
      <c r="S13" s="287">
        <f>SUM(ELEC!N13)</f>
        <v>5071</v>
      </c>
      <c r="T13" s="321">
        <f>IF(S13&gt;0,R13/S13,0)</f>
        <v>0.18836608693790169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f t="shared" si="7"/>
        <v>1117309</v>
      </c>
      <c r="C14" s="254">
        <f t="shared" si="0"/>
        <v>0</v>
      </c>
      <c r="D14" s="295">
        <f t="shared" si="14"/>
        <v>0</v>
      </c>
      <c r="E14" s="295">
        <f t="shared" si="15"/>
        <v>1117309</v>
      </c>
      <c r="F14" s="623">
        <f t="shared" si="8"/>
        <v>161410</v>
      </c>
      <c r="G14" s="160">
        <f t="shared" si="1"/>
        <v>0</v>
      </c>
      <c r="H14" s="623">
        <f t="shared" si="9"/>
        <v>554462</v>
      </c>
      <c r="I14" s="161">
        <f t="shared" si="2"/>
        <v>0</v>
      </c>
      <c r="J14" s="623">
        <f t="shared" si="10"/>
        <v>401437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f t="shared" si="7"/>
        <v>1117309</v>
      </c>
      <c r="C15" s="254">
        <f t="shared" si="0"/>
        <v>0</v>
      </c>
      <c r="D15" s="295">
        <f t="shared" si="14"/>
        <v>0</v>
      </c>
      <c r="E15" s="295">
        <f t="shared" si="15"/>
        <v>1117309</v>
      </c>
      <c r="F15" s="623">
        <f t="shared" si="8"/>
        <v>161410</v>
      </c>
      <c r="G15" s="160">
        <f t="shared" si="1"/>
        <v>0</v>
      </c>
      <c r="H15" s="623">
        <f t="shared" si="9"/>
        <v>554462</v>
      </c>
      <c r="I15" s="161">
        <f t="shared" si="2"/>
        <v>0</v>
      </c>
      <c r="J15" s="623">
        <f t="shared" si="10"/>
        <v>401437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1117309</v>
      </c>
      <c r="C16" s="254">
        <f t="shared" si="0"/>
        <v>0</v>
      </c>
      <c r="D16" s="295">
        <f t="shared" si="14"/>
        <v>0</v>
      </c>
      <c r="E16" s="295">
        <f t="shared" si="15"/>
        <v>1117309</v>
      </c>
      <c r="F16" s="623">
        <f t="shared" si="8"/>
        <v>161410</v>
      </c>
      <c r="G16" s="160">
        <f t="shared" si="1"/>
        <v>0</v>
      </c>
      <c r="H16" s="623">
        <f t="shared" si="9"/>
        <v>554462</v>
      </c>
      <c r="I16" s="161">
        <f t="shared" si="2"/>
        <v>0</v>
      </c>
      <c r="J16" s="623">
        <f t="shared" si="10"/>
        <v>401437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1117309</v>
      </c>
      <c r="C17" s="254">
        <f t="shared" si="0"/>
        <v>0</v>
      </c>
      <c r="D17" s="295">
        <f t="shared" si="14"/>
        <v>0</v>
      </c>
      <c r="E17" s="295">
        <f t="shared" si="15"/>
        <v>1117309</v>
      </c>
      <c r="F17" s="623">
        <f t="shared" si="8"/>
        <v>161410</v>
      </c>
      <c r="G17" s="160">
        <f>F17-F16</f>
        <v>0</v>
      </c>
      <c r="H17" s="623">
        <f t="shared" si="9"/>
        <v>554462</v>
      </c>
      <c r="I17" s="161">
        <f t="shared" si="2"/>
        <v>0</v>
      </c>
      <c r="J17" s="623">
        <f t="shared" si="10"/>
        <v>401437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1117309</v>
      </c>
      <c r="C18" s="254">
        <f>SUM(B18-B17)</f>
        <v>0</v>
      </c>
      <c r="D18" s="295">
        <f>SUM(G18+I18+K18)</f>
        <v>0</v>
      </c>
      <c r="E18" s="295">
        <f t="shared" si="15"/>
        <v>1117309</v>
      </c>
      <c r="F18" s="623">
        <f t="shared" si="8"/>
        <v>161410</v>
      </c>
      <c r="G18" s="160">
        <f t="shared" si="1"/>
        <v>0</v>
      </c>
      <c r="H18" s="623">
        <f t="shared" si="9"/>
        <v>554462</v>
      </c>
      <c r="I18" s="161">
        <f t="shared" si="2"/>
        <v>0</v>
      </c>
      <c r="J18" s="623">
        <f t="shared" si="10"/>
        <v>401437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1117309</v>
      </c>
      <c r="C19" s="254">
        <f t="shared" si="0"/>
        <v>0</v>
      </c>
      <c r="D19" s="295">
        <f t="shared" si="14"/>
        <v>0</v>
      </c>
      <c r="E19" s="295">
        <f t="shared" si="15"/>
        <v>1117309</v>
      </c>
      <c r="F19" s="623">
        <f t="shared" si="8"/>
        <v>161410</v>
      </c>
      <c r="G19" s="160">
        <f t="shared" si="1"/>
        <v>0</v>
      </c>
      <c r="H19" s="623">
        <f t="shared" si="9"/>
        <v>554462</v>
      </c>
      <c r="I19" s="161">
        <f t="shared" si="2"/>
        <v>0</v>
      </c>
      <c r="J19" s="623">
        <f t="shared" si="10"/>
        <v>401437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1117309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554462</v>
      </c>
      <c r="I20" s="161">
        <f t="shared" si="2"/>
        <v>0</v>
      </c>
      <c r="J20" s="623">
        <f t="shared" si="10"/>
        <v>401437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f t="shared" si="7"/>
        <v>1117309</v>
      </c>
      <c r="C21" s="254">
        <f t="shared" si="0"/>
        <v>0</v>
      </c>
      <c r="D21" s="295">
        <f t="shared" si="14"/>
        <v>0</v>
      </c>
      <c r="E21" s="295">
        <f t="shared" si="15"/>
        <v>1117309</v>
      </c>
      <c r="F21" s="623">
        <f t="shared" si="8"/>
        <v>161410</v>
      </c>
      <c r="G21" s="160">
        <f t="shared" si="1"/>
        <v>0</v>
      </c>
      <c r="H21" s="623">
        <f t="shared" si="9"/>
        <v>554462</v>
      </c>
      <c r="I21" s="161">
        <f t="shared" si="2"/>
        <v>0</v>
      </c>
      <c r="J21" s="623">
        <f t="shared" si="10"/>
        <v>401437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44670</v>
      </c>
      <c r="B22" s="623">
        <f t="shared" si="7"/>
        <v>1117309</v>
      </c>
      <c r="C22" s="254">
        <f t="shared" si="0"/>
        <v>0</v>
      </c>
      <c r="D22" s="295">
        <f t="shared" si="14"/>
        <v>0</v>
      </c>
      <c r="E22" s="295">
        <f t="shared" si="15"/>
        <v>1117309</v>
      </c>
      <c r="F22" s="623">
        <f t="shared" si="8"/>
        <v>161410</v>
      </c>
      <c r="G22" s="160">
        <f t="shared" si="1"/>
        <v>0</v>
      </c>
      <c r="H22" s="623">
        <f t="shared" si="9"/>
        <v>554462</v>
      </c>
      <c r="I22" s="161">
        <f t="shared" si="2"/>
        <v>0</v>
      </c>
      <c r="J22" s="623">
        <f t="shared" si="10"/>
        <v>401437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44671</v>
      </c>
      <c r="B23" s="623">
        <f t="shared" si="7"/>
        <v>1117309</v>
      </c>
      <c r="C23" s="254">
        <f t="shared" si="0"/>
        <v>0</v>
      </c>
      <c r="D23" s="295">
        <f t="shared" si="14"/>
        <v>0</v>
      </c>
      <c r="E23" s="295">
        <f t="shared" si="15"/>
        <v>1117309</v>
      </c>
      <c r="F23" s="623">
        <f t="shared" si="8"/>
        <v>161410</v>
      </c>
      <c r="G23" s="160">
        <f t="shared" si="1"/>
        <v>0</v>
      </c>
      <c r="H23" s="623">
        <f t="shared" si="9"/>
        <v>554462</v>
      </c>
      <c r="I23" s="161">
        <f t="shared" si="2"/>
        <v>0</v>
      </c>
      <c r="J23" s="623">
        <f t="shared" si="10"/>
        <v>401437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44672</v>
      </c>
      <c r="B24" s="623">
        <f t="shared" si="7"/>
        <v>1117309</v>
      </c>
      <c r="C24" s="254">
        <f t="shared" si="0"/>
        <v>0</v>
      </c>
      <c r="D24" s="295">
        <f t="shared" si="14"/>
        <v>0</v>
      </c>
      <c r="E24" s="295">
        <f t="shared" si="15"/>
        <v>1117309</v>
      </c>
      <c r="F24" s="623">
        <f t="shared" si="8"/>
        <v>161410</v>
      </c>
      <c r="G24" s="160">
        <f t="shared" si="1"/>
        <v>0</v>
      </c>
      <c r="H24" s="623">
        <f t="shared" si="9"/>
        <v>554462</v>
      </c>
      <c r="I24" s="161">
        <f t="shared" si="2"/>
        <v>0</v>
      </c>
      <c r="J24" s="623">
        <f t="shared" si="10"/>
        <v>401437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44673</v>
      </c>
      <c r="B25" s="623">
        <f t="shared" si="7"/>
        <v>1117309</v>
      </c>
      <c r="C25" s="254">
        <f t="shared" si="0"/>
        <v>0</v>
      </c>
      <c r="D25" s="295">
        <f t="shared" si="14"/>
        <v>0</v>
      </c>
      <c r="E25" s="295">
        <f t="shared" si="15"/>
        <v>1117309</v>
      </c>
      <c r="F25" s="623">
        <f t="shared" si="8"/>
        <v>161410</v>
      </c>
      <c r="G25" s="160">
        <f t="shared" si="1"/>
        <v>0</v>
      </c>
      <c r="H25" s="623">
        <f t="shared" si="9"/>
        <v>554462</v>
      </c>
      <c r="I25" s="161">
        <f t="shared" si="2"/>
        <v>0</v>
      </c>
      <c r="J25" s="623">
        <f t="shared" si="10"/>
        <v>401437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1117309</v>
      </c>
      <c r="C26" s="254">
        <f t="shared" si="0"/>
        <v>0</v>
      </c>
      <c r="D26" s="295">
        <f t="shared" si="14"/>
        <v>0</v>
      </c>
      <c r="E26" s="295">
        <f t="shared" si="15"/>
        <v>1117309</v>
      </c>
      <c r="F26" s="623">
        <f t="shared" si="8"/>
        <v>161410</v>
      </c>
      <c r="G26" s="160">
        <f t="shared" si="1"/>
        <v>0</v>
      </c>
      <c r="H26" s="623">
        <f t="shared" si="9"/>
        <v>554462</v>
      </c>
      <c r="I26" s="161">
        <f t="shared" si="2"/>
        <v>0</v>
      </c>
      <c r="J26" s="623">
        <f t="shared" si="10"/>
        <v>401437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401437</v>
      </c>
      <c r="X26" s="172" t="s">
        <v>199</v>
      </c>
      <c r="Y26" s="172">
        <v>80</v>
      </c>
      <c r="Z26" s="172">
        <v>1</v>
      </c>
      <c r="AA26" s="323">
        <f>(W26-V26)*Z26</f>
        <v>90</v>
      </c>
      <c r="AB26" s="323">
        <f>AA26*Y26</f>
        <v>7200</v>
      </c>
      <c r="AC26" s="244">
        <f>AC9</f>
        <v>1033333</v>
      </c>
      <c r="AD26" s="476">
        <f>SUM(K36)</f>
        <v>8.3643122676579917E-2</v>
      </c>
    </row>
    <row r="27" spans="1:32" ht="20.100000000000001" customHeight="1">
      <c r="A27" s="163">
        <f>ELEC!C27</f>
        <v>44675</v>
      </c>
      <c r="B27" s="623">
        <f t="shared" si="7"/>
        <v>1117309</v>
      </c>
      <c r="C27" s="254">
        <f t="shared" si="0"/>
        <v>0</v>
      </c>
      <c r="D27" s="295">
        <f t="shared" si="14"/>
        <v>0</v>
      </c>
      <c r="E27" s="295">
        <f t="shared" si="15"/>
        <v>1117309</v>
      </c>
      <c r="F27" s="623">
        <f t="shared" si="8"/>
        <v>161410</v>
      </c>
      <c r="G27" s="160">
        <f t="shared" si="1"/>
        <v>0</v>
      </c>
      <c r="H27" s="623">
        <f t="shared" si="9"/>
        <v>554462</v>
      </c>
      <c r="I27" s="161">
        <f t="shared" si="2"/>
        <v>0</v>
      </c>
      <c r="J27" s="623">
        <f t="shared" si="10"/>
        <v>401437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554462</v>
      </c>
      <c r="X27" s="172" t="s">
        <v>212</v>
      </c>
      <c r="Y27" s="172">
        <v>112</v>
      </c>
      <c r="Z27" s="172">
        <v>1</v>
      </c>
      <c r="AA27" s="323">
        <f>(W27-V27)*Z27</f>
        <v>987</v>
      </c>
      <c r="AB27" s="323">
        <f>SUM(AA27*Y27)</f>
        <v>110544</v>
      </c>
      <c r="AC27" s="244">
        <f>AC10</f>
        <v>6200000</v>
      </c>
      <c r="AD27" s="476">
        <f>SUM(I36)</f>
        <v>0.91728624535315983</v>
      </c>
    </row>
    <row r="28" spans="1:32" ht="20.100000000000001" customHeight="1">
      <c r="A28" s="163">
        <f>ELEC!C28</f>
        <v>44676</v>
      </c>
      <c r="B28" s="623">
        <f t="shared" si="7"/>
        <v>1117309</v>
      </c>
      <c r="C28" s="254">
        <f t="shared" si="0"/>
        <v>0</v>
      </c>
      <c r="D28" s="295">
        <f t="shared" si="14"/>
        <v>0</v>
      </c>
      <c r="E28" s="295">
        <f>B27+D28</f>
        <v>1117309</v>
      </c>
      <c r="F28" s="623">
        <f t="shared" si="8"/>
        <v>161410</v>
      </c>
      <c r="G28" s="160">
        <f t="shared" si="1"/>
        <v>0</v>
      </c>
      <c r="H28" s="623">
        <f t="shared" si="9"/>
        <v>554462</v>
      </c>
      <c r="I28" s="161">
        <f t="shared" si="2"/>
        <v>0</v>
      </c>
      <c r="J28" s="623">
        <f t="shared" si="10"/>
        <v>401437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1117309</v>
      </c>
      <c r="C29" s="254">
        <f t="shared" si="0"/>
        <v>0</v>
      </c>
      <c r="D29" s="295">
        <f t="shared" si="14"/>
        <v>0</v>
      </c>
      <c r="E29" s="295">
        <f>B28+D29</f>
        <v>1117309</v>
      </c>
      <c r="F29" s="623">
        <f t="shared" si="8"/>
        <v>161410</v>
      </c>
      <c r="G29" s="160">
        <f t="shared" si="1"/>
        <v>0</v>
      </c>
      <c r="H29" s="623">
        <f t="shared" si="9"/>
        <v>554462</v>
      </c>
      <c r="I29" s="161">
        <f t="shared" si="2"/>
        <v>0</v>
      </c>
      <c r="J29" s="623">
        <f t="shared" si="10"/>
        <v>401437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1077</v>
      </c>
      <c r="AB29" s="323">
        <f>SUM(AB26:AB28)</f>
        <v>117744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1117309</v>
      </c>
      <c r="C30" s="254">
        <f t="shared" si="0"/>
        <v>0</v>
      </c>
      <c r="D30" s="295">
        <f t="shared" si="14"/>
        <v>0</v>
      </c>
      <c r="E30" s="295">
        <f t="shared" si="15"/>
        <v>1117309</v>
      </c>
      <c r="F30" s="623">
        <f t="shared" si="8"/>
        <v>161410</v>
      </c>
      <c r="G30" s="160">
        <f t="shared" si="1"/>
        <v>0</v>
      </c>
      <c r="H30" s="623">
        <f t="shared" si="9"/>
        <v>554462</v>
      </c>
      <c r="I30" s="161">
        <f t="shared" si="2"/>
        <v>0</v>
      </c>
      <c r="J30" s="623">
        <f t="shared" si="10"/>
        <v>401437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7352077</v>
      </c>
      <c r="AC30" s="244"/>
    </row>
    <row r="31" spans="1:32" ht="20.100000000000001" customHeight="1">
      <c r="A31" s="163">
        <f>ELEC!C31</f>
        <v>44679</v>
      </c>
      <c r="B31" s="623">
        <f t="shared" si="7"/>
        <v>1117309</v>
      </c>
      <c r="C31" s="254">
        <f>SUM(B31-B30)</f>
        <v>0</v>
      </c>
      <c r="D31" s="295">
        <f t="shared" si="14"/>
        <v>0</v>
      </c>
      <c r="E31" s="295">
        <f>B30+D31</f>
        <v>1117309</v>
      </c>
      <c r="F31" s="623">
        <f t="shared" si="8"/>
        <v>161410</v>
      </c>
      <c r="G31" s="160">
        <f>F31-F30</f>
        <v>0</v>
      </c>
      <c r="H31" s="623">
        <f t="shared" si="9"/>
        <v>554462</v>
      </c>
      <c r="I31" s="161">
        <f>H31-H30</f>
        <v>0</v>
      </c>
      <c r="J31" s="623">
        <f t="shared" si="10"/>
        <v>401437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1117309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1117309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554462</v>
      </c>
      <c r="I32" s="161">
        <f t="shared" ref="I32:I34" si="24">H32-H31</f>
        <v>0</v>
      </c>
      <c r="J32" s="623">
        <f t="shared" si="10"/>
        <v>401437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66</v>
      </c>
      <c r="X32" s="222">
        <f>SUM(W32/A35)</f>
        <v>22</v>
      </c>
      <c r="Y32" s="250">
        <f>SUM(X32/1)</f>
        <v>22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1117309</v>
      </c>
      <c r="C33" s="254">
        <f t="shared" si="20"/>
        <v>0</v>
      </c>
      <c r="D33" s="295">
        <f t="shared" si="21"/>
        <v>0</v>
      </c>
      <c r="E33" s="295">
        <f t="shared" si="22"/>
        <v>1117309</v>
      </c>
      <c r="F33" s="623">
        <f t="shared" si="8"/>
        <v>161410</v>
      </c>
      <c r="G33" s="160">
        <f t="shared" si="23"/>
        <v>0</v>
      </c>
      <c r="H33" s="623">
        <f t="shared" si="9"/>
        <v>554462</v>
      </c>
      <c r="I33" s="161">
        <f t="shared" si="24"/>
        <v>0</v>
      </c>
      <c r="J33" s="623">
        <f t="shared" si="10"/>
        <v>401437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808728.47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1117309</v>
      </c>
      <c r="C34" s="254">
        <f t="shared" si="20"/>
        <v>0</v>
      </c>
      <c r="D34" s="295">
        <f t="shared" si="21"/>
        <v>0</v>
      </c>
      <c r="E34" s="295">
        <f t="shared" si="22"/>
        <v>1117309</v>
      </c>
      <c r="F34" s="623">
        <f t="shared" si="8"/>
        <v>161410</v>
      </c>
      <c r="G34" s="160">
        <f t="shared" si="23"/>
        <v>0</v>
      </c>
      <c r="H34" s="623">
        <f t="shared" si="9"/>
        <v>554462</v>
      </c>
      <c r="I34" s="161">
        <f t="shared" si="24"/>
        <v>0</v>
      </c>
      <c r="J34" s="623">
        <f t="shared" si="10"/>
        <v>401437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8160805.4699999997</v>
      </c>
      <c r="AC34" s="244">
        <f>SUM(AC30)</f>
        <v>0</v>
      </c>
    </row>
    <row r="35" spans="1:32" ht="15.75" thickBot="1">
      <c r="A35" s="501">
        <f>A37-COUNTIF(C4:C33,0)</f>
        <v>3</v>
      </c>
      <c r="C35" s="173">
        <f>SUM(C4:C34)/A35</f>
        <v>358.66666666666669</v>
      </c>
      <c r="D35" s="173"/>
      <c r="E35" s="173"/>
      <c r="F35" s="564"/>
      <c r="G35" s="564">
        <f>SUM(G4:G34)/A35</f>
        <v>0</v>
      </c>
      <c r="H35" s="173"/>
      <c r="I35" s="173">
        <f>SUM(I4:I34)/A35</f>
        <v>329</v>
      </c>
      <c r="K35" s="173">
        <f>SUM(K4:K34)/A35</f>
        <v>30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1.0009293680297398</v>
      </c>
      <c r="G36" s="225">
        <f>IF(C35&gt;0,G35/C35,0)</f>
        <v>0</v>
      </c>
      <c r="H36" s="212"/>
      <c r="I36" s="225">
        <f>SUM(I35/C35)</f>
        <v>0.91728624535315983</v>
      </c>
      <c r="J36" s="212"/>
      <c r="K36" s="225">
        <f>SUM(K35/C35)</f>
        <v>8.3643122676579917E-2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4876.9996683250411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4876.9996683250411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9"/>
      <c r="AC45" s="649"/>
      <c r="AD45" s="542"/>
      <c r="AE45" s="17"/>
      <c r="AF45" s="17"/>
    </row>
    <row r="46" spans="1:32">
      <c r="V46" s="649"/>
      <c r="W46" s="649"/>
      <c r="X46" s="649"/>
      <c r="Y46" s="649"/>
      <c r="Z46" s="508"/>
      <c r="AA46" s="508"/>
      <c r="AB46" s="649"/>
      <c r="AC46" s="649"/>
      <c r="AD46" s="542"/>
      <c r="AE46" s="17"/>
      <c r="AF46" s="17"/>
    </row>
    <row r="47" spans="1:32">
      <c r="V47" s="649"/>
      <c r="W47" s="649"/>
      <c r="X47" s="649"/>
      <c r="Y47" s="649"/>
      <c r="Z47" s="649"/>
      <c r="AA47" s="649"/>
      <c r="AB47" s="649"/>
      <c r="AC47" s="649"/>
      <c r="AD47" s="542"/>
      <c r="AE47" s="17"/>
      <c r="AF47" s="17"/>
    </row>
    <row r="48" spans="1:32">
      <c r="V48" s="650"/>
      <c r="W48" s="650"/>
      <c r="X48" s="651"/>
      <c r="Y48" s="651"/>
      <c r="Z48" s="651"/>
      <c r="AA48" s="509"/>
      <c r="AB48" s="649"/>
      <c r="AC48" s="649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J25" sqref="J2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>
        <v>21</v>
      </c>
      <c r="C11" s="37">
        <v>16</v>
      </c>
      <c r="D11" s="26">
        <f t="shared" si="0"/>
        <v>18.5</v>
      </c>
      <c r="E11" s="378">
        <v>0.75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>
        <v>22</v>
      </c>
      <c r="C14" s="37">
        <v>15</v>
      </c>
      <c r="D14" s="26">
        <f t="shared" si="3"/>
        <v>18.5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42.166666666666664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4790</v>
      </c>
      <c r="D8" s="3">
        <f t="shared" si="0"/>
        <v>161.99999999938882</v>
      </c>
      <c r="E8" s="3">
        <f>ELEC!Q10</f>
        <v>4628.0000000006112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-15.599999999999994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-11.600000000000023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5071</v>
      </c>
      <c r="D11" s="3">
        <f t="shared" si="0"/>
        <v>166.9999999977299</v>
      </c>
      <c r="E11" s="3">
        <f>ELEC!Q13</f>
        <v>4904.0000000022701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-22.899999999999977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10</v>
      </c>
      <c r="G12" s="3">
        <f>WATER!C15+WATER!H15</f>
        <v>0</v>
      </c>
      <c r="H12" s="3">
        <f>WATER!L15</f>
        <v>10</v>
      </c>
      <c r="I12" s="15">
        <f>WATER!BC15+WATER!BD15+WATER!BE16-Sheet1!G12</f>
        <v>-22.899999999999977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0"/>
      <c r="B1" s="677" t="s">
        <v>119</v>
      </c>
      <c r="C1" s="677" t="s">
        <v>118</v>
      </c>
      <c r="D1" s="682" t="s">
        <v>113</v>
      </c>
      <c r="E1" s="682" t="s">
        <v>114</v>
      </c>
      <c r="F1" s="683" t="s">
        <v>120</v>
      </c>
      <c r="G1" s="684" t="s">
        <v>75</v>
      </c>
      <c r="H1" s="685" t="s">
        <v>115</v>
      </c>
      <c r="I1" s="686" t="s">
        <v>116</v>
      </c>
      <c r="J1" s="685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1"/>
      <c r="B2" s="678"/>
      <c r="C2" s="678"/>
      <c r="D2" s="682"/>
      <c r="E2" s="682"/>
      <c r="F2" s="683"/>
      <c r="G2" s="684"/>
      <c r="H2" s="685"/>
      <c r="I2" s="687"/>
      <c r="J2" s="685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157</v>
      </c>
      <c r="C11" s="76">
        <f>'B5'!AH11</f>
        <v>0</v>
      </c>
      <c r="D11" s="76">
        <f>GEN!AI9</f>
        <v>1191.1729957807481</v>
      </c>
      <c r="E11" s="239">
        <f t="shared" si="0"/>
        <v>1348.1729957807481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4628.0000000006112</v>
      </c>
      <c r="J11" s="79">
        <f>ELEC!R10</f>
        <v>161.99999999938882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-11.600000000000023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345</v>
      </c>
      <c r="C14" s="76">
        <f>'B5'!AH14</f>
        <v>0</v>
      </c>
      <c r="D14" s="76">
        <f>GEN!AI12</f>
        <v>1262.2109704647194</v>
      </c>
      <c r="E14" s="239">
        <f t="shared" si="0"/>
        <v>1607.2109704647194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4904.0000000022701</v>
      </c>
      <c r="J14" s="79">
        <f>ELEC!R13</f>
        <v>166.9999999977299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10</v>
      </c>
      <c r="G15" s="78">
        <f>WATER!BG15</f>
        <v>-22.899999999999977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J25" sqref="J25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>
        <v>1.5</v>
      </c>
      <c r="C15" s="604">
        <v>8</v>
      </c>
      <c r="D15" s="604">
        <v>0</v>
      </c>
      <c r="E15" s="604">
        <v>0</v>
      </c>
      <c r="F15" s="604">
        <v>0</v>
      </c>
      <c r="G15" s="605">
        <v>0</v>
      </c>
      <c r="H15" s="610">
        <v>7062</v>
      </c>
      <c r="I15" s="477">
        <f t="shared" si="4"/>
        <v>10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7062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7062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7062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7062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7062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7062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7062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610">
        <f t="shared" si="1"/>
        <v>7062</v>
      </c>
      <c r="I23" s="477">
        <f t="shared" si="4"/>
        <v>0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610">
        <f t="shared" si="1"/>
        <v>7062</v>
      </c>
      <c r="I24" s="477">
        <f t="shared" si="4"/>
        <v>0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610">
        <f t="shared" si="1"/>
        <v>7062</v>
      </c>
      <c r="I25" s="477">
        <f t="shared" si="4"/>
        <v>0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7062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7062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7062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7062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7062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7062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7062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7062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7062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7062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7062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404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-402.60000000000014</v>
      </c>
      <c r="AB13" s="261">
        <f>O43</f>
        <v>16.699999999999996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16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21</v>
      </c>
      <c r="O16" s="261">
        <f>'General information '!C11</f>
        <v>16</v>
      </c>
      <c r="P16" s="261">
        <f t="shared" si="0"/>
        <v>0.19999999999999929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15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22</v>
      </c>
      <c r="O19" s="261">
        <f>'General information '!C14</f>
        <v>15</v>
      </c>
      <c r="P19" s="261">
        <f t="shared" si="0"/>
        <v>0.19999999999999929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0</v>
      </c>
      <c r="O20" s="261">
        <f>'General information '!C15</f>
        <v>0</v>
      </c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0</v>
      </c>
      <c r="O21" s="261">
        <f>'General information '!C16</f>
        <v>0</v>
      </c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0</v>
      </c>
      <c r="O22" s="261">
        <f>'General information '!C17</f>
        <v>0</v>
      </c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-1140.4000000000001</v>
      </c>
      <c r="AB23" s="134">
        <f>SUM(AB10:AB22)</f>
        <v>37.499999999999986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0</v>
      </c>
      <c r="O27" s="261">
        <f>'General information '!C22</f>
        <v>0</v>
      </c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0</v>
      </c>
      <c r="O28" s="261">
        <f>'General information '!C23</f>
        <v>0</v>
      </c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0</v>
      </c>
      <c r="O29" s="261">
        <f>'General information '!C24</f>
        <v>0</v>
      </c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0</v>
      </c>
      <c r="O34" s="261">
        <f>'General information '!C29</f>
        <v>0</v>
      </c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-402.60000000000014</v>
      </c>
      <c r="O43" s="119">
        <f>SUMIF(P10:P37,"&gt;0")</f>
        <v>16.699999999999996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-5004.4000000000015</v>
      </c>
      <c r="O86" s="142">
        <f>C43+G43+K43+O43+S43+W43+C81+G81+K81+O81+S81+W81</f>
        <v>37.299999999999983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95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10182</v>
      </c>
      <c r="C8" s="466">
        <f>SUM(tanks!AU37)</f>
        <v>1.0089999999999999</v>
      </c>
      <c r="D8" s="191">
        <f>SUM(B8*C8)*D4</f>
        <v>15487509.284999998</v>
      </c>
      <c r="E8" s="192">
        <f>SUM(D8/D4/F4)</f>
        <v>342.45459999999997</v>
      </c>
      <c r="F8" s="192">
        <f>SUM(E8*F4)</f>
        <v>10273.637999999999</v>
      </c>
      <c r="G8" s="570">
        <f>E8*$G$4</f>
        <v>3424.5459999999998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1077</v>
      </c>
      <c r="C10" s="181"/>
      <c r="D10" s="183">
        <f>'EDl log'!AB30</f>
        <v>7352077</v>
      </c>
      <c r="E10" s="182">
        <f>SUM(D10/D4/F4)</f>
        <v>162.56665561083472</v>
      </c>
      <c r="F10" s="182">
        <f>SUM(E10*F4)</f>
        <v>4876.9996683250411</v>
      </c>
      <c r="G10" s="478">
        <f>E10*$G$4</f>
        <v>1625.6665561083471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778.35458894416797</v>
      </c>
      <c r="F12" s="180">
        <f>SUM(F6:F10)</f>
        <v>23350.637668325042</v>
      </c>
      <c r="G12" s="179">
        <f>SUM(G6:G10)</f>
        <v>13250.212556108347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-66878.687443891642</v>
      </c>
      <c r="I14" s="406">
        <f>SUM(G12-I12)</f>
        <v>-37993.707164321764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42.166666666666664</v>
      </c>
      <c r="C16" s="415">
        <f>'[14]Utility Cost '!$B$16</f>
        <v>17.583333333333332</v>
      </c>
      <c r="D16" s="415"/>
      <c r="E16" s="576">
        <f>B16-C16</f>
        <v>24.583333333333332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66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-174</v>
      </c>
      <c r="F18" s="495">
        <f>B18-D18</f>
        <v>-136.66666666666666</v>
      </c>
    </row>
    <row r="19" spans="1:10">
      <c r="A19" s="489" t="s">
        <v>412</v>
      </c>
      <c r="B19" s="493">
        <f>GEN!AL34</f>
        <v>6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11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2022-04-11T06:32:50Z</dcterms:modified>
</cp:coreProperties>
</file>