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/>
  <c r="L36" i="1"/>
  <c r="O36" i="1" s="1"/>
  <c r="L35" i="1"/>
  <c r="O35" i="1"/>
  <c r="K35" i="1"/>
  <c r="N35" i="1" s="1"/>
  <c r="M34" i="1"/>
  <c r="P34" i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<sst xmlns="http://schemas.openxmlformats.org/spreadsheetml/2006/main" count="112" uniqueCount="45">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</sst>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10800</v>
      </c>
      <c r="F18" s="38">
        <f t="shared" si="1"/>
        <v>11.359820004894488</v>
      </c>
      <c r="G18" s="39">
        <f>'FS Desroches'!G25*0.51</f>
        <v>26.52</v>
      </c>
      <c r="H18" s="38">
        <f t="shared" si="2"/>
        <v>232.87671232876713</v>
      </c>
      <c r="I18" s="39">
        <f>'FS Desroches'!E25</f>
        <v>86.1</v>
      </c>
      <c r="J18" s="38">
        <f t="shared" si="3"/>
        <v>117.8082191780822</v>
      </c>
      <c r="K18" s="40">
        <f>'FS Desroches'!C25</f>
        <v>32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11610</v>
      </c>
      <c r="F19" s="38">
        <f t="shared" si="1"/>
        <v>11.359820004894488</v>
      </c>
      <c r="G19" s="39">
        <f>'FS Desroches'!G26*0.51</f>
        <v>30.09</v>
      </c>
      <c r="H19" s="38">
        <f t="shared" si="2"/>
        <v>232.87671232876713</v>
      </c>
      <c r="I19" s="39">
        <f>'FS Desroches'!E26</f>
        <v>97.1</v>
      </c>
      <c r="J19" s="38">
        <f t="shared" si="3"/>
        <v>117.8082191780822</v>
      </c>
      <c r="K19" s="40">
        <f>'FS Desroches'!C26</f>
        <v>28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11220</v>
      </c>
      <c r="F20" s="38">
        <f t="shared" si="1"/>
        <v>11.359820004894488</v>
      </c>
      <c r="G20" s="39">
        <f>'FS Desroches'!G27*0.51</f>
        <v>32.130000000000003</v>
      </c>
      <c r="H20" s="38">
        <f t="shared" si="2"/>
        <v>232.87671232876713</v>
      </c>
      <c r="I20" s="39">
        <f>'FS Desroches'!E27</f>
        <v>87</v>
      </c>
      <c r="J20" s="38">
        <f t="shared" si="3"/>
        <v>117.8082191780822</v>
      </c>
      <c r="K20" s="40">
        <f>'FS Desroches'!C27</f>
        <v>38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12190</v>
      </c>
      <c r="F21" s="38">
        <f t="shared" si="1"/>
        <v>11.359820004894488</v>
      </c>
      <c r="G21" s="39">
        <f>'FS Desroches'!G28*0.51</f>
        <v>28.560000000000002</v>
      </c>
      <c r="H21" s="38">
        <f t="shared" si="2"/>
        <v>232.87671232876713</v>
      </c>
      <c r="I21" s="39">
        <f>'FS Desroches'!E28</f>
        <v>92.3</v>
      </c>
      <c r="J21" s="38">
        <f t="shared" si="3"/>
        <v>117.8082191780822</v>
      </c>
      <c r="K21" s="40">
        <f>'FS Desroches'!C28</f>
        <v>43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12550</v>
      </c>
      <c r="F22" s="38">
        <f t="shared" si="1"/>
        <v>11.359820004894488</v>
      </c>
      <c r="G22" s="39">
        <f>'FS Desroches'!G29*0.51</f>
        <v>28.560000000000002</v>
      </c>
      <c r="H22" s="38">
        <f t="shared" si="2"/>
        <v>232.87671232876713</v>
      </c>
      <c r="I22" s="39">
        <f>'FS Desroches'!E29</f>
        <v>89.7</v>
      </c>
      <c r="J22" s="38">
        <f t="shared" si="3"/>
        <v>117.8082191780822</v>
      </c>
      <c r="K22" s="40">
        <f>'FS Desroches'!C29</f>
        <v>47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13430</v>
      </c>
      <c r="F23" s="38">
        <f t="shared" si="1"/>
        <v>11.359820004894488</v>
      </c>
      <c r="G23" s="39">
        <f>'FS Desroches'!G30*0.51</f>
        <v>35.700000000000003</v>
      </c>
      <c r="H23" s="38">
        <f t="shared" si="2"/>
        <v>232.87671232876713</v>
      </c>
      <c r="I23" s="39">
        <f>'FS Desroches'!E30</f>
        <v>107</v>
      </c>
      <c r="J23" s="38">
        <f t="shared" si="3"/>
        <v>117.8082191780822</v>
      </c>
      <c r="K23" s="40">
        <f>'FS Desroches'!C30</f>
        <v>42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14330</v>
      </c>
      <c r="F24" s="38">
        <f t="shared" si="1"/>
        <v>11.359820004894488</v>
      </c>
      <c r="G24" s="39">
        <f>'FS Desroches'!G31*0.51</f>
        <v>30.09</v>
      </c>
      <c r="H24" s="38">
        <f t="shared" si="2"/>
        <v>232.87671232876713</v>
      </c>
      <c r="I24" s="39">
        <f>'FS Desroches'!E31</f>
        <v>111.9</v>
      </c>
      <c r="J24" s="38">
        <f t="shared" si="3"/>
        <v>117.8082191780822</v>
      </c>
      <c r="K24" s="40">
        <f>'FS Desroches'!C31</f>
        <v>41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F16" zoomScale="102" zoomScaleNormal="102" workbookViewId="0">
      <selection activeCell="R30" sqref="R30:R31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>
        <v>0.37</v>
      </c>
      <c r="C25" s="22">
        <v>32</v>
      </c>
      <c r="D25" s="22">
        <v>74</v>
      </c>
      <c r="E25" s="23">
        <v>86.1</v>
      </c>
      <c r="F25" s="24">
        <v>10800</v>
      </c>
      <c r="G25" s="25">
        <v>52</v>
      </c>
      <c r="H25" s="26">
        <f t="shared" si="3"/>
        <v>2.6906249999999998</v>
      </c>
      <c r="I25" s="27">
        <f t="shared" si="4"/>
        <v>337.5</v>
      </c>
      <c r="J25" s="28">
        <f t="shared" si="5"/>
        <v>1.625</v>
      </c>
      <c r="K25" s="26">
        <f t="shared" si="0"/>
        <v>740.45999999999992</v>
      </c>
      <c r="L25" s="24">
        <f t="shared" si="1"/>
        <v>7020</v>
      </c>
      <c r="M25" s="28">
        <f t="shared" si="2"/>
        <v>397.8</v>
      </c>
      <c r="N25" s="26">
        <f t="shared" si="6"/>
        <v>10.006216216216215</v>
      </c>
      <c r="O25" s="27">
        <f t="shared" si="7"/>
        <v>94.86486486486487</v>
      </c>
      <c r="P25" s="28">
        <f t="shared" si="8"/>
        <v>5.3756756756756756</v>
      </c>
      <c r="Q25" s="22">
        <v>26.8</v>
      </c>
      <c r="R25" s="22" t="s">
        <v>42</v>
      </c>
      <c r="S25" s="22"/>
    </row>
    <row r="26" spans="1:19" x14ac:dyDescent="0.25">
      <c r="A26" s="20">
        <v>43755</v>
      </c>
      <c r="B26" s="21">
        <v>0.32</v>
      </c>
      <c r="C26" s="22">
        <v>28</v>
      </c>
      <c r="D26" s="22">
        <v>70</v>
      </c>
      <c r="E26" s="23">
        <v>97.1</v>
      </c>
      <c r="F26" s="24">
        <v>11610</v>
      </c>
      <c r="G26" s="25">
        <v>59</v>
      </c>
      <c r="H26" s="26">
        <f t="shared" si="3"/>
        <v>3.4678571428571425</v>
      </c>
      <c r="I26" s="27">
        <f t="shared" si="4"/>
        <v>414.64285714285717</v>
      </c>
      <c r="J26" s="28">
        <f t="shared" si="5"/>
        <v>2.1071428571428572</v>
      </c>
      <c r="K26" s="26">
        <f t="shared" si="0"/>
        <v>835.06</v>
      </c>
      <c r="L26" s="24">
        <f t="shared" si="1"/>
        <v>7546.5</v>
      </c>
      <c r="M26" s="28">
        <f t="shared" si="2"/>
        <v>451.35</v>
      </c>
      <c r="N26" s="26">
        <f t="shared" si="6"/>
        <v>11.92942857142857</v>
      </c>
      <c r="O26" s="27">
        <f t="shared" si="7"/>
        <v>107.80714285714286</v>
      </c>
      <c r="P26" s="28">
        <f t="shared" si="8"/>
        <v>6.447857142857143</v>
      </c>
      <c r="Q26" s="22">
        <v>26.8</v>
      </c>
      <c r="R26" s="22" t="s">
        <v>41</v>
      </c>
      <c r="S26" s="22"/>
    </row>
    <row r="27" spans="1:19" x14ac:dyDescent="0.25">
      <c r="A27" s="20">
        <v>43756</v>
      </c>
      <c r="B27" s="21">
        <v>0.41</v>
      </c>
      <c r="C27" s="22">
        <v>38</v>
      </c>
      <c r="D27" s="22">
        <v>97</v>
      </c>
      <c r="E27" s="23">
        <v>87</v>
      </c>
      <c r="F27" s="24">
        <v>11220</v>
      </c>
      <c r="G27" s="25">
        <v>63</v>
      </c>
      <c r="H27" s="26">
        <f t="shared" si="3"/>
        <v>2.2894736842105261</v>
      </c>
      <c r="I27" s="27">
        <f t="shared" si="4"/>
        <v>295.26315789473682</v>
      </c>
      <c r="J27" s="28">
        <f t="shared" si="5"/>
        <v>1.6578947368421053</v>
      </c>
      <c r="K27" s="26">
        <f t="shared" si="0"/>
        <v>748.19999999999993</v>
      </c>
      <c r="L27" s="24">
        <f t="shared" si="1"/>
        <v>7293</v>
      </c>
      <c r="M27" s="28">
        <f t="shared" si="2"/>
        <v>481.95</v>
      </c>
      <c r="N27" s="26">
        <f t="shared" si="6"/>
        <v>7.7134020618556693</v>
      </c>
      <c r="O27" s="27">
        <f t="shared" si="7"/>
        <v>75.185567010309285</v>
      </c>
      <c r="P27" s="28">
        <f t="shared" si="8"/>
        <v>4.9685567010309279</v>
      </c>
      <c r="Q27" s="22">
        <v>26.3</v>
      </c>
      <c r="R27" s="22" t="s">
        <v>41</v>
      </c>
      <c r="S27" s="22"/>
    </row>
    <row r="28" spans="1:19" x14ac:dyDescent="0.25">
      <c r="A28" s="20">
        <v>43757</v>
      </c>
      <c r="B28" s="21">
        <v>0.51</v>
      </c>
      <c r="C28" s="22">
        <v>43</v>
      </c>
      <c r="D28" s="22">
        <v>113</v>
      </c>
      <c r="E28" s="23">
        <v>92.3</v>
      </c>
      <c r="F28" s="24">
        <v>12190</v>
      </c>
      <c r="G28" s="25">
        <v>56</v>
      </c>
      <c r="H28" s="26">
        <f t="shared" si="3"/>
        <v>2.1465116279069765</v>
      </c>
      <c r="I28" s="27">
        <f t="shared" si="4"/>
        <v>283.48837209302326</v>
      </c>
      <c r="J28" s="28">
        <f t="shared" si="5"/>
        <v>1.3023255813953489</v>
      </c>
      <c r="K28" s="26">
        <f t="shared" si="0"/>
        <v>793.78</v>
      </c>
      <c r="L28" s="24">
        <f t="shared" si="1"/>
        <v>7923.5</v>
      </c>
      <c r="M28" s="28">
        <f t="shared" si="2"/>
        <v>428.40000000000003</v>
      </c>
      <c r="N28" s="26">
        <f t="shared" si="6"/>
        <v>7.024601769911504</v>
      </c>
      <c r="O28" s="27">
        <f t="shared" si="7"/>
        <v>70.119469026548671</v>
      </c>
      <c r="P28" s="28">
        <f t="shared" si="8"/>
        <v>3.7911504424778766</v>
      </c>
      <c r="Q28" s="22">
        <v>26.5</v>
      </c>
      <c r="R28" s="22" t="s">
        <v>42</v>
      </c>
      <c r="S28" s="22"/>
    </row>
    <row r="29" spans="1:19" x14ac:dyDescent="0.25">
      <c r="A29" s="20">
        <v>43758</v>
      </c>
      <c r="B29" s="21">
        <v>0.46</v>
      </c>
      <c r="C29" s="22">
        <v>47</v>
      </c>
      <c r="D29" s="22">
        <v>114</v>
      </c>
      <c r="E29" s="23">
        <v>89.7</v>
      </c>
      <c r="F29" s="24">
        <v>12550</v>
      </c>
      <c r="G29" s="25">
        <v>56</v>
      </c>
      <c r="H29" s="26">
        <f t="shared" si="3"/>
        <v>1.9085106382978725</v>
      </c>
      <c r="I29" s="27">
        <f t="shared" si="4"/>
        <v>267.02127659574467</v>
      </c>
      <c r="J29" s="28">
        <f t="shared" si="5"/>
        <v>1.1914893617021276</v>
      </c>
      <c r="K29" s="26">
        <f t="shared" si="0"/>
        <v>771.42</v>
      </c>
      <c r="L29" s="24">
        <f t="shared" si="1"/>
        <v>8157.5</v>
      </c>
      <c r="M29" s="28">
        <f t="shared" si="2"/>
        <v>428.40000000000003</v>
      </c>
      <c r="N29" s="26">
        <f t="shared" si="6"/>
        <v>6.7668421052631578</v>
      </c>
      <c r="O29" s="27">
        <f t="shared" si="7"/>
        <v>71.557017543859644</v>
      </c>
      <c r="P29" s="28">
        <f t="shared" si="8"/>
        <v>3.7578947368421054</v>
      </c>
      <c r="Q29" s="22">
        <v>26.7</v>
      </c>
      <c r="R29" s="22" t="s">
        <v>42</v>
      </c>
      <c r="S29" s="22"/>
    </row>
    <row r="30" spans="1:19" x14ac:dyDescent="0.25">
      <c r="A30" s="20">
        <v>43759</v>
      </c>
      <c r="B30" s="21">
        <v>0.49</v>
      </c>
      <c r="C30" s="22">
        <v>42</v>
      </c>
      <c r="D30" s="22">
        <v>107</v>
      </c>
      <c r="E30" s="23">
        <v>107</v>
      </c>
      <c r="F30" s="24">
        <v>13430</v>
      </c>
      <c r="G30" s="25">
        <v>70</v>
      </c>
      <c r="H30" s="26">
        <f t="shared" si="3"/>
        <v>2.5476190476190474</v>
      </c>
      <c r="I30" s="27">
        <v>297.10000000000002</v>
      </c>
      <c r="J30" s="28">
        <f t="shared" si="5"/>
        <v>1.6666666666666667</v>
      </c>
      <c r="K30" s="26">
        <f t="shared" si="0"/>
        <v>920.19999999999993</v>
      </c>
      <c r="L30" s="24">
        <f t="shared" si="1"/>
        <v>8729.5</v>
      </c>
      <c r="M30" s="28">
        <f t="shared" si="2"/>
        <v>535.5</v>
      </c>
      <c r="N30" s="26">
        <f t="shared" si="6"/>
        <v>8.6</v>
      </c>
      <c r="O30" s="27">
        <f t="shared" si="7"/>
        <v>81.584112149532714</v>
      </c>
      <c r="P30" s="28">
        <f t="shared" si="8"/>
        <v>5.0046728971962615</v>
      </c>
      <c r="Q30" s="22">
        <v>26.9</v>
      </c>
      <c r="R30" s="22" t="s">
        <v>42</v>
      </c>
      <c r="S30" s="22"/>
    </row>
    <row r="31" spans="1:19" x14ac:dyDescent="0.25">
      <c r="A31" s="20">
        <v>43760</v>
      </c>
      <c r="B31" s="21">
        <v>0.42</v>
      </c>
      <c r="C31" s="22">
        <v>41</v>
      </c>
      <c r="D31" s="22">
        <v>99</v>
      </c>
      <c r="E31" s="23">
        <v>111.9</v>
      </c>
      <c r="F31" s="24">
        <v>14330</v>
      </c>
      <c r="G31" s="25">
        <v>59</v>
      </c>
      <c r="H31" s="26">
        <f t="shared" si="3"/>
        <v>2.729268292682927</v>
      </c>
      <c r="I31" s="27">
        <v>424.07</v>
      </c>
      <c r="J31" s="28">
        <f t="shared" si="5"/>
        <v>1.4390243902439024</v>
      </c>
      <c r="K31" s="26">
        <f t="shared" si="0"/>
        <v>962.34</v>
      </c>
      <c r="L31" s="24">
        <f t="shared" si="1"/>
        <v>9314.5</v>
      </c>
      <c r="M31" s="28">
        <f t="shared" si="2"/>
        <v>451.35</v>
      </c>
      <c r="N31" s="26">
        <f t="shared" si="6"/>
        <v>9.7206060606060607</v>
      </c>
      <c r="O31" s="27">
        <f t="shared" si="7"/>
        <v>94.085858585858588</v>
      </c>
      <c r="P31" s="28">
        <f t="shared" si="8"/>
        <v>4.5590909090909095</v>
      </c>
      <c r="Q31" s="22">
        <v>26.5</v>
      </c>
      <c r="R31" s="22" t="s">
        <v>42</v>
      </c>
      <c r="S31" s="22"/>
    </row>
    <row r="32" spans="1:19" x14ac:dyDescent="0.25">
      <c r="A32" s="20">
        <v>43761</v>
      </c>
      <c r="B32" s="21" t="s">
        <v>40</v>
      </c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43762</v>
      </c>
      <c r="B33" s="21" t="s">
        <v>40</v>
      </c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43763</v>
      </c>
      <c r="B34" s="21" t="s">
        <v>40</v>
      </c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43764</v>
      </c>
      <c r="B35" s="21" t="s">
        <v>40</v>
      </c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43765</v>
      </c>
      <c r="B36" s="21" t="s">
        <v>40</v>
      </c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2019-10-23T00:23:11Z</dcterms:modified>
</cp:coreProperties>
</file>