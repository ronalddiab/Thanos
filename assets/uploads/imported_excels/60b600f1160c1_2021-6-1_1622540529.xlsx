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20" yWindow="195" windowWidth="14100" windowHeight="10425" tabRatio="581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BA36" i="5"/>
  <c r="AZ36"/>
  <c r="AU36"/>
  <c r="AY36"/>
  <c r="AS36"/>
  <c r="AE32" i="1"/>
  <c r="AF32" s="1"/>
  <c r="AD32"/>
  <c r="AC32"/>
  <c r="AA32"/>
  <c r="Z32"/>
  <c r="Y32"/>
  <c r="AB32" s="1"/>
  <c r="X32"/>
  <c r="R32"/>
  <c r="V32" s="1"/>
  <c r="Q32"/>
  <c r="P32"/>
  <c r="S32" s="1"/>
  <c r="T32" s="1"/>
  <c r="O32"/>
  <c r="N32"/>
  <c r="L32"/>
  <c r="I32"/>
  <c r="G32"/>
  <c r="J32" s="1"/>
  <c r="E32"/>
  <c r="D32"/>
  <c r="P28" i="3"/>
  <c r="K27" i="1"/>
  <c r="U32" l="1"/>
  <c r="AN18" i="2" l="1"/>
  <c r="F17" i="1" l="1"/>
  <c r="H17"/>
  <c r="C15" i="77"/>
  <c r="C16"/>
  <c r="C17"/>
  <c r="C18"/>
  <c r="C19"/>
  <c r="C14"/>
  <c r="A14" i="5"/>
  <c r="AN12" i="2" l="1"/>
  <c r="AN11"/>
  <c r="AN9" l="1"/>
  <c r="AN10"/>
  <c r="AN13"/>
  <c r="AN14"/>
  <c r="AN15"/>
  <c r="AN16"/>
  <c r="AN17"/>
  <c r="AN19"/>
  <c r="AN20"/>
  <c r="AN21"/>
  <c r="AN22"/>
  <c r="AN23"/>
  <c r="AN24"/>
  <c r="AN25"/>
  <c r="AN26"/>
  <c r="AN27"/>
  <c r="AN28"/>
  <c r="AN29"/>
  <c r="AN30"/>
  <c r="AN31"/>
  <c r="AN32"/>
  <c r="AN33"/>
  <c r="AN6" l="1"/>
  <c r="AN7"/>
  <c r="AO8" s="1"/>
  <c r="H7" i="82" s="1"/>
  <c r="AN8" i="2"/>
  <c r="P34" i="3"/>
  <c r="AS37" i="7"/>
  <c r="AU37" s="1"/>
  <c r="AT37"/>
  <c r="W16" i="76"/>
  <c r="W15"/>
  <c r="Y14"/>
  <c r="X14"/>
  <c r="W14"/>
  <c r="AD10"/>
  <c r="AD11"/>
  <c r="AD9"/>
  <c r="AB14"/>
  <c r="AB10"/>
  <c r="AC10"/>
  <c r="AB11"/>
  <c r="AC11"/>
  <c r="AC9"/>
  <c r="AB16"/>
  <c r="AC14"/>
  <c r="AB13"/>
  <c r="AB9"/>
  <c r="AA10"/>
  <c r="AA11"/>
  <c r="AA12"/>
  <c r="AA9"/>
  <c r="Y10"/>
  <c r="Y11"/>
  <c r="Y9"/>
  <c r="V10"/>
  <c r="W10"/>
  <c r="V11"/>
  <c r="W11"/>
  <c r="W9"/>
  <c r="V9"/>
  <c r="AT38" i="7" l="1"/>
  <c r="AO12" i="2"/>
  <c r="H11" i="82" s="1"/>
  <c r="AO7" i="2"/>
  <c r="E6" i="3"/>
  <c r="AO11" i="2" l="1"/>
  <c r="H10" i="82" s="1"/>
  <c r="AO10" i="2"/>
  <c r="H9" i="82" s="1"/>
  <c r="AO9" i="2"/>
  <c r="H8" i="82" s="1"/>
  <c r="D9" i="2" l="1"/>
  <c r="D10" s="1"/>
  <c r="D11" s="1"/>
  <c r="AO13"/>
  <c r="H12" i="82" s="1"/>
  <c r="AO14" i="2"/>
  <c r="H13" i="82" s="1"/>
  <c r="K5" i="73"/>
  <c r="G5"/>
  <c r="D5"/>
  <c r="AZ5" i="7"/>
  <c r="BA5"/>
  <c r="BB5"/>
  <c r="D12" i="2" l="1"/>
  <c r="D13" s="1"/>
  <c r="D14" s="1"/>
  <c r="E11"/>
  <c r="AO15"/>
  <c r="H14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O39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D15" i="2" l="1"/>
  <c r="AO16"/>
  <c r="H15" i="82" s="1"/>
  <c r="K34" i="76"/>
  <c r="N34" s="1"/>
  <c r="C34"/>
  <c r="AC34"/>
  <c r="AB34" s="1"/>
  <c r="A34"/>
  <c r="T4" i="3"/>
  <c r="T5"/>
  <c r="T6" s="1"/>
  <c r="T7" s="1"/>
  <c r="T8" s="1"/>
  <c r="T9" s="1"/>
  <c r="T10" s="1"/>
  <c r="T11" s="1"/>
  <c r="T13" s="1"/>
  <c r="T15" s="1"/>
  <c r="T16" s="1"/>
  <c r="T17" s="1"/>
  <c r="T18" s="1"/>
  <c r="T19" s="1"/>
  <c r="T20" s="1"/>
  <c r="T21" s="1"/>
  <c r="T3"/>
  <c r="R3"/>
  <c r="R4" s="1"/>
  <c r="R5" s="1"/>
  <c r="R6" s="1"/>
  <c r="R8" s="1"/>
  <c r="R9" s="1"/>
  <c r="R10" s="1"/>
  <c r="R11" s="1"/>
  <c r="R17" s="1"/>
  <c r="R18" s="1"/>
  <c r="R19" s="1"/>
  <c r="R20" s="1"/>
  <c r="R21" s="1"/>
  <c r="R29" s="1"/>
  <c r="R30" s="1"/>
  <c r="R31" s="1"/>
  <c r="R32" s="1"/>
  <c r="D24"/>
  <c r="D25" s="1"/>
  <c r="D26" s="1"/>
  <c r="D27" s="1"/>
  <c r="E33" s="1"/>
  <c r="B13"/>
  <c r="B25" s="1"/>
  <c r="B26" s="1"/>
  <c r="AJ33"/>
  <c r="A33"/>
  <c r="A33" i="2"/>
  <c r="AZ36" i="7" s="1"/>
  <c r="BB36"/>
  <c r="T27" i="3" l="1"/>
  <c r="T29" s="1"/>
  <c r="T30" s="1"/>
  <c r="T31" s="1"/>
  <c r="T32" s="1"/>
  <c r="T22"/>
  <c r="D16" i="2"/>
  <c r="AO17"/>
  <c r="H16" i="82" s="1"/>
  <c r="W26" i="76"/>
  <c r="I34"/>
  <c r="M34" s="1"/>
  <c r="W27"/>
  <c r="G34"/>
  <c r="L34" s="1"/>
  <c r="W28"/>
  <c r="S33" i="3"/>
  <c r="U33" s="1"/>
  <c r="C33"/>
  <c r="F33" s="1"/>
  <c r="B33" i="2"/>
  <c r="A5" i="7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6" i="73"/>
  <c r="K36"/>
  <c r="G36"/>
  <c r="D36"/>
  <c r="BA36" i="7" s="1"/>
  <c r="K7" i="5"/>
  <c r="A35" i="79"/>
  <c r="L35" s="1"/>
  <c r="A36"/>
  <c r="L36" s="1"/>
  <c r="H8"/>
  <c r="H9" s="1"/>
  <c r="H10" s="1"/>
  <c r="H12" s="1"/>
  <c r="H13" s="1"/>
  <c r="H15" s="1"/>
  <c r="H16" s="1"/>
  <c r="H17" s="1"/>
  <c r="H18" s="1"/>
  <c r="H19" s="1"/>
  <c r="H20" s="1"/>
  <c r="H22" s="1"/>
  <c r="H28" s="1"/>
  <c r="H29" s="1"/>
  <c r="H30" s="1"/>
  <c r="H32" s="1"/>
  <c r="H34" s="1"/>
  <c r="K34" i="5" s="1"/>
  <c r="H6" i="79"/>
  <c r="K6" i="5" s="1"/>
  <c r="AX19"/>
  <c r="AT11"/>
  <c r="AT17" s="1"/>
  <c r="AT18" s="1"/>
  <c r="AT19" s="1"/>
  <c r="AT21" s="1"/>
  <c r="AT22" s="1"/>
  <c r="AT25" s="1"/>
  <c r="AT26" s="1"/>
  <c r="AT29" s="1"/>
  <c r="AT33" s="1"/>
  <c r="AS6"/>
  <c r="AE7"/>
  <c r="AE8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2" s="1"/>
  <c r="AE33" s="1"/>
  <c r="AE34" s="1"/>
  <c r="AE35" s="1"/>
  <c r="AE36" s="1"/>
  <c r="AG6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2" s="1"/>
  <c r="AG33" s="1"/>
  <c r="AG34" s="1"/>
  <c r="AG35" s="1"/>
  <c r="AG36" s="1"/>
  <c r="AH36" s="1"/>
  <c r="AE6"/>
  <c r="AB7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10"/>
  <c r="Z11" s="1"/>
  <c r="Z12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6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36" s="1"/>
  <c r="AB6"/>
  <c r="Z6"/>
  <c r="Z7" s="1"/>
  <c r="X7"/>
  <c r="X11" s="1"/>
  <c r="X13" s="1"/>
  <c r="X15" s="1"/>
  <c r="X16" s="1"/>
  <c r="X17" s="1"/>
  <c r="X18" s="1"/>
  <c r="X19" s="1"/>
  <c r="X20" s="1"/>
  <c r="X21" s="1"/>
  <c r="X22" s="1"/>
  <c r="X23" s="1"/>
  <c r="X25" s="1"/>
  <c r="X26" s="1"/>
  <c r="X27" s="1"/>
  <c r="X28" s="1"/>
  <c r="X29" s="1"/>
  <c r="X30" s="1"/>
  <c r="X33" s="1"/>
  <c r="X34" s="1"/>
  <c r="X35" s="1"/>
  <c r="Y36" s="1"/>
  <c r="J32" i="82" s="1"/>
  <c r="G7" i="5"/>
  <c r="G9" s="1"/>
  <c r="G11" s="1"/>
  <c r="G13" s="1"/>
  <c r="G14" s="1"/>
  <c r="G15" s="1"/>
  <c r="G16" s="1"/>
  <c r="G17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3" s="1"/>
  <c r="G35" s="1"/>
  <c r="H36" s="1"/>
  <c r="A36"/>
  <c r="AR36" s="1"/>
  <c r="AM36"/>
  <c r="AN36"/>
  <c r="AP36"/>
  <c r="V6"/>
  <c r="V7" s="1"/>
  <c r="V8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5" s="1"/>
  <c r="V26" s="1"/>
  <c r="V27" s="1"/>
  <c r="V28" s="1"/>
  <c r="V29" s="1"/>
  <c r="V30" s="1"/>
  <c r="V32" s="1"/>
  <c r="V33" s="1"/>
  <c r="V34" s="1"/>
  <c r="V35" s="1"/>
  <c r="V36" s="1"/>
  <c r="W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P36" s="1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N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36" s="1"/>
  <c r="Q8" i="1"/>
  <c r="Q11" s="1"/>
  <c r="Q14" s="1"/>
  <c r="Q15" s="1"/>
  <c r="Q17" s="1"/>
  <c r="Q20" s="1"/>
  <c r="Q23" s="1"/>
  <c r="Q26" s="1"/>
  <c r="Q28" s="1"/>
  <c r="Q29" s="1"/>
  <c r="R35" s="1"/>
  <c r="P8"/>
  <c r="P11" s="1"/>
  <c r="P14" s="1"/>
  <c r="P15" s="1"/>
  <c r="P17" s="1"/>
  <c r="P20" s="1"/>
  <c r="P21" s="1"/>
  <c r="P23" s="1"/>
  <c r="P25" s="1"/>
  <c r="P26" s="1"/>
  <c r="P28" s="1"/>
  <c r="P29" s="1"/>
  <c r="P35" s="1"/>
  <c r="S35" s="1"/>
  <c r="T35" s="1"/>
  <c r="M7"/>
  <c r="M10" s="1"/>
  <c r="M13" s="1"/>
  <c r="M15" s="1"/>
  <c r="M16" s="1"/>
  <c r="M18" s="1"/>
  <c r="M19" s="1"/>
  <c r="M22" s="1"/>
  <c r="M24" s="1"/>
  <c r="M27" s="1"/>
  <c r="M28" s="1"/>
  <c r="M30" s="1"/>
  <c r="M31" s="1"/>
  <c r="N35" s="1"/>
  <c r="K7"/>
  <c r="K10" s="1"/>
  <c r="K13" s="1"/>
  <c r="K15" s="1"/>
  <c r="K16" s="1"/>
  <c r="K18" s="1"/>
  <c r="K19" s="1"/>
  <c r="K22" s="1"/>
  <c r="K24" s="1"/>
  <c r="K25" s="1"/>
  <c r="K28" s="1"/>
  <c r="K30" s="1"/>
  <c r="K31" s="1"/>
  <c r="L35" s="1"/>
  <c r="H6"/>
  <c r="H8"/>
  <c r="H9" s="1"/>
  <c r="H12" s="1"/>
  <c r="H14" s="1"/>
  <c r="H18" s="1"/>
  <c r="H21" s="1"/>
  <c r="H23" s="1"/>
  <c r="H24" s="1"/>
  <c r="H27" s="1"/>
  <c r="H29" s="1"/>
  <c r="H30" s="1"/>
  <c r="H34" s="1"/>
  <c r="I35" s="1"/>
  <c r="F6"/>
  <c r="F8" s="1"/>
  <c r="F9" s="1"/>
  <c r="F12" s="1"/>
  <c r="F14" s="1"/>
  <c r="F18" s="1"/>
  <c r="F20" s="1"/>
  <c r="F21" s="1"/>
  <c r="F23" s="1"/>
  <c r="F24" s="1"/>
  <c r="F27" s="1"/>
  <c r="F29" s="1"/>
  <c r="F30" s="1"/>
  <c r="F34" s="1"/>
  <c r="G35" s="1"/>
  <c r="Z5"/>
  <c r="Z6" s="1"/>
  <c r="Z7" s="1"/>
  <c r="Z8" s="1"/>
  <c r="Z9" s="1"/>
  <c r="Z10" s="1"/>
  <c r="Z11" s="1"/>
  <c r="Z12" s="1"/>
  <c r="Z13" s="1"/>
  <c r="Z14" s="1"/>
  <c r="Z16" s="1"/>
  <c r="Z17" s="1"/>
  <c r="Z18" s="1"/>
  <c r="Z19" s="1"/>
  <c r="Z20" s="1"/>
  <c r="Z21" s="1"/>
  <c r="Z22" s="1"/>
  <c r="Z23" s="1"/>
  <c r="Z24" s="1"/>
  <c r="Z27" s="1"/>
  <c r="Z29" s="1"/>
  <c r="Z30" s="1"/>
  <c r="Z31" s="1"/>
  <c r="Z33" s="1"/>
  <c r="Z34" s="1"/>
  <c r="AA35" s="1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7" s="1"/>
  <c r="X29" s="1"/>
  <c r="X30" s="1"/>
  <c r="X31" s="1"/>
  <c r="X33" s="1"/>
  <c r="X34" s="1"/>
  <c r="Y35" s="1"/>
  <c r="AB35" s="1"/>
  <c r="B36" i="7"/>
  <c r="A35" i="1"/>
  <c r="AJ35"/>
  <c r="AC6" i="2"/>
  <c r="AC12" s="1"/>
  <c r="AC13" s="1"/>
  <c r="AC14" s="1"/>
  <c r="AC15" s="1"/>
  <c r="AC17" s="1"/>
  <c r="AC18" s="1"/>
  <c r="AC20" s="1"/>
  <c r="AC21" s="1"/>
  <c r="AC22" s="1"/>
  <c r="AC23" s="1"/>
  <c r="AC24" s="1"/>
  <c r="AC25" s="1"/>
  <c r="AC26" s="1"/>
  <c r="AC27" s="1"/>
  <c r="AC29" s="1"/>
  <c r="AC30" s="1"/>
  <c r="AC31" s="1"/>
  <c r="AC32" s="1"/>
  <c r="AC33" s="1"/>
  <c r="AD33" s="1"/>
  <c r="AA12"/>
  <c r="AA13" s="1"/>
  <c r="AA14" s="1"/>
  <c r="AA15" s="1"/>
  <c r="AA17" s="1"/>
  <c r="AA18" s="1"/>
  <c r="AA20" s="1"/>
  <c r="AA21" s="1"/>
  <c r="AA22" s="1"/>
  <c r="AA23" s="1"/>
  <c r="AA24" s="1"/>
  <c r="AA25" s="1"/>
  <c r="AA26" s="1"/>
  <c r="AA27" s="1"/>
  <c r="AA29" s="1"/>
  <c r="AA30" s="1"/>
  <c r="AA31" s="1"/>
  <c r="AA32" s="1"/>
  <c r="AA33" s="1"/>
  <c r="AB33" s="1"/>
  <c r="W4"/>
  <c r="W5" s="1"/>
  <c r="W8" s="1"/>
  <c r="W9" s="1"/>
  <c r="W10" s="1"/>
  <c r="W11" s="1"/>
  <c r="X33" s="1"/>
  <c r="Q33"/>
  <c r="AD33" i="3" s="1"/>
  <c r="AI33" s="1"/>
  <c r="M33" i="2"/>
  <c r="E32" i="82" s="1"/>
  <c r="K33" i="2"/>
  <c r="F32" i="82" s="1"/>
  <c r="I33" i="2"/>
  <c r="G32" i="82" s="1"/>
  <c r="G33" i="2"/>
  <c r="I32" i="82" s="1"/>
  <c r="Y3" i="2"/>
  <c r="Y4" s="1"/>
  <c r="Y5" s="1"/>
  <c r="Y8" s="1"/>
  <c r="Y9" s="1"/>
  <c r="Y10" s="1"/>
  <c r="S3"/>
  <c r="F37" i="73"/>
  <c r="J35" i="1" l="1"/>
  <c r="Z33" i="2"/>
  <c r="Y11"/>
  <c r="AF36" i="5"/>
  <c r="AI36" s="1"/>
  <c r="O32" i="81"/>
  <c r="L32" i="82"/>
  <c r="D17" i="2"/>
  <c r="AO18"/>
  <c r="H17" i="82" s="1"/>
  <c r="K22" i="5"/>
  <c r="K31"/>
  <c r="K23"/>
  <c r="K15"/>
  <c r="K32"/>
  <c r="K24"/>
  <c r="K16"/>
  <c r="K8"/>
  <c r="I17" i="79"/>
  <c r="K14" i="5"/>
  <c r="H36" i="79"/>
  <c r="K36" i="5" s="1"/>
  <c r="K33"/>
  <c r="K25"/>
  <c r="K17"/>
  <c r="K9"/>
  <c r="K26"/>
  <c r="K18"/>
  <c r="K10"/>
  <c r="K30"/>
  <c r="K27"/>
  <c r="K19"/>
  <c r="K11"/>
  <c r="K28"/>
  <c r="K20"/>
  <c r="K12"/>
  <c r="K29"/>
  <c r="K21"/>
  <c r="K13"/>
  <c r="D34" i="76"/>
  <c r="E34" s="1"/>
  <c r="D36" i="7"/>
  <c r="AA36" i="5"/>
  <c r="AJ36"/>
  <c r="Q36"/>
  <c r="M32" i="81" s="1"/>
  <c r="E36" i="5"/>
  <c r="D36"/>
  <c r="I36"/>
  <c r="V35" i="1"/>
  <c r="Z36" i="7"/>
  <c r="AB36" s="1"/>
  <c r="AD36" s="1"/>
  <c r="U35" i="1"/>
  <c r="AL35"/>
  <c r="O33" i="2"/>
  <c r="L17" i="1"/>
  <c r="E26" i="3"/>
  <c r="AL36" i="5" l="1"/>
  <c r="K32" i="82"/>
  <c r="J36" i="5"/>
  <c r="L32" i="81" s="1"/>
  <c r="K32"/>
  <c r="D18" i="2"/>
  <c r="AO19"/>
  <c r="H18" i="82" s="1"/>
  <c r="I35" i="79"/>
  <c r="K35" i="5"/>
  <c r="D35" i="1"/>
  <c r="E35" s="1"/>
  <c r="F36" i="7"/>
  <c r="AF36"/>
  <c r="I36" i="79"/>
  <c r="Q15" i="2"/>
  <c r="D19" l="1"/>
  <c r="AO20"/>
  <c r="H19" i="82" s="1"/>
  <c r="H36" i="7"/>
  <c r="AH36"/>
  <c r="Q20" i="2"/>
  <c r="D20" l="1"/>
  <c r="AO21"/>
  <c r="H20" i="82" s="1"/>
  <c r="J36" i="7"/>
  <c r="AJ36"/>
  <c r="G15" i="73"/>
  <c r="D21" i="2" l="1"/>
  <c r="AO22"/>
  <c r="H21" i="82" s="1"/>
  <c r="L36" i="7"/>
  <c r="AL36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K43" l="1"/>
  <c r="J43"/>
  <c r="D22" i="2"/>
  <c r="AO23"/>
  <c r="H22" i="82" s="1"/>
  <c r="G43" i="74"/>
  <c r="F43"/>
  <c r="N36" i="7"/>
  <c r="D23" i="2" l="1"/>
  <c r="AO24"/>
  <c r="H23" i="82" s="1"/>
  <c r="P36" i="7"/>
  <c r="W13" i="76"/>
  <c r="V26"/>
  <c r="S3" i="3"/>
  <c r="BC5" i="7"/>
  <c r="BD5"/>
  <c r="BE5"/>
  <c r="BF5"/>
  <c r="BG5"/>
  <c r="BH5"/>
  <c r="A2" i="2"/>
  <c r="B2" s="1"/>
  <c r="AX4" i="1"/>
  <c r="D24" i="2" l="1"/>
  <c r="AO25"/>
  <c r="H24" i="82" s="1"/>
  <c r="R36" i="7"/>
  <c r="D25" i="2" l="1"/>
  <c r="AO26"/>
  <c r="H25" i="82" s="1"/>
  <c r="T36" i="7"/>
  <c r="D26" i="2" l="1"/>
  <c r="AO27"/>
  <c r="H26" i="82" s="1"/>
  <c r="V36" i="7"/>
  <c r="D27" i="2" l="1"/>
  <c r="AO28"/>
  <c r="H27" i="82" s="1"/>
  <c r="D28" i="2" l="1"/>
  <c r="AO29"/>
  <c r="H28" i="82" s="1"/>
  <c r="D29" i="2" l="1"/>
  <c r="AO30"/>
  <c r="H29" i="82" s="1"/>
  <c r="A32" i="2"/>
  <c r="B32" s="1"/>
  <c r="A31"/>
  <c r="B31" s="1"/>
  <c r="D30" l="1"/>
  <c r="AO31"/>
  <c r="H30" i="82" s="1"/>
  <c r="D31" i="73"/>
  <c r="A25" i="3"/>
  <c r="AJ25"/>
  <c r="D31" i="2" l="1"/>
  <c r="E31" s="1"/>
  <c r="AO33"/>
  <c r="H32" i="82" s="1"/>
  <c r="AO32" i="2"/>
  <c r="H31" i="82" s="1"/>
  <c r="A23" i="3"/>
  <c r="AJ23"/>
  <c r="A23" i="1"/>
  <c r="D32" i="2" l="1"/>
  <c r="D33" s="1"/>
  <c r="E33" s="1"/>
  <c r="N33" s="1"/>
  <c r="E32" i="81" s="1"/>
  <c r="I7" i="77"/>
  <c r="S34" i="76" l="1"/>
  <c r="R33" i="2"/>
  <c r="AI33" s="1"/>
  <c r="L30" i="82"/>
  <c r="L31"/>
  <c r="O30" i="81"/>
  <c r="O31"/>
  <c r="AC5" i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9" s="1"/>
  <c r="AC30" s="1"/>
  <c r="AC31" s="1"/>
  <c r="AC33" s="1"/>
  <c r="AC34" s="1"/>
  <c r="AD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9" s="1"/>
  <c r="AE30" s="1"/>
  <c r="AE31" s="1"/>
  <c r="AE33" s="1"/>
  <c r="AE34" s="1"/>
  <c r="AF35" s="1"/>
  <c r="AH35" s="1"/>
  <c r="AI35" s="1"/>
  <c r="O31" i="2"/>
  <c r="O32"/>
  <c r="S4"/>
  <c r="S5" s="1"/>
  <c r="S6" s="1"/>
  <c r="S7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33" s="1"/>
  <c r="AE33" s="1"/>
  <c r="U4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J31" i="3"/>
  <c r="AJ32"/>
  <c r="A31"/>
  <c r="A32"/>
  <c r="A34" i="73"/>
  <c r="A35"/>
  <c r="A34" i="5"/>
  <c r="AR34" s="1"/>
  <c r="A35"/>
  <c r="AR35" s="1"/>
  <c r="A33" i="1"/>
  <c r="A34"/>
  <c r="D18" i="77"/>
  <c r="U21" i="2" l="1"/>
  <c r="U22" s="1"/>
  <c r="U23" s="1"/>
  <c r="U24" s="1"/>
  <c r="U25" s="1"/>
  <c r="U26" s="1"/>
  <c r="U27" s="1"/>
  <c r="U28" s="1"/>
  <c r="U29" s="1"/>
  <c r="U30" s="1"/>
  <c r="U31" s="1"/>
  <c r="AW36" i="7"/>
  <c r="G32" i="81" s="1"/>
  <c r="AK35" i="1"/>
  <c r="AG35"/>
  <c r="AM35"/>
  <c r="S23" i="3"/>
  <c r="U23" s="1"/>
  <c r="E25"/>
  <c r="K29" i="76"/>
  <c r="M31" i="2"/>
  <c r="E30" i="82" s="1"/>
  <c r="M32" i="2"/>
  <c r="E31" i="82" s="1"/>
  <c r="K31" i="2"/>
  <c r="F30" i="82" s="1"/>
  <c r="I31" i="2"/>
  <c r="G30" i="82" s="1"/>
  <c r="G31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B31" i="7"/>
  <c r="AA34" i="1"/>
  <c r="AD34"/>
  <c r="AG34" s="1"/>
  <c r="AA33"/>
  <c r="AD33"/>
  <c r="AG33" s="1"/>
  <c r="AD31" i="2"/>
  <c r="AB31"/>
  <c r="X31"/>
  <c r="T31"/>
  <c r="Q31"/>
  <c r="AD31" i="3" s="1"/>
  <c r="AI31" s="1"/>
  <c r="U35" i="5"/>
  <c r="U34"/>
  <c r="U32" i="2" l="1"/>
  <c r="U33" s="1"/>
  <c r="V33" s="1"/>
  <c r="AF33" s="1"/>
  <c r="AG33" s="1"/>
  <c r="V31"/>
  <c r="E31" i="3"/>
  <c r="C23"/>
  <c r="K31" i="76"/>
  <c r="N31" s="1"/>
  <c r="S25" i="3"/>
  <c r="U25" s="1"/>
  <c r="C25"/>
  <c r="F25" s="1"/>
  <c r="Z31" i="2"/>
  <c r="AF31" s="1"/>
  <c r="Z32"/>
  <c r="I34" i="79"/>
  <c r="AL34" i="5"/>
  <c r="Y34" i="1"/>
  <c r="AB34" s="1"/>
  <c r="K32" i="2"/>
  <c r="F31" i="82" s="1"/>
  <c r="I32" i="2"/>
  <c r="G31" i="82" s="1"/>
  <c r="G32" i="2"/>
  <c r="I31" i="82" s="1"/>
  <c r="E32" i="2"/>
  <c r="R31"/>
  <c r="AI31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B32"/>
  <c r="D31"/>
  <c r="AM33" i="1"/>
  <c r="X32" i="2"/>
  <c r="AE31"/>
  <c r="T32"/>
  <c r="Q32"/>
  <c r="AB32"/>
  <c r="AD32"/>
  <c r="W35" i="5"/>
  <c r="N32" i="2" l="1"/>
  <c r="R32" s="1"/>
  <c r="AI32" s="1"/>
  <c r="E23" i="3"/>
  <c r="F23" s="1"/>
  <c r="S32"/>
  <c r="U32" s="1"/>
  <c r="S31"/>
  <c r="U31" s="1"/>
  <c r="C32"/>
  <c r="F32" s="1"/>
  <c r="C31"/>
  <c r="F31" s="1"/>
  <c r="AM34" i="1"/>
  <c r="AG31" i="2"/>
  <c r="V32"/>
  <c r="AF32" s="1"/>
  <c r="J31" i="82"/>
  <c r="E30" i="81"/>
  <c r="S32" i="76"/>
  <c r="K33"/>
  <c r="N33" s="1"/>
  <c r="N35" s="1"/>
  <c r="I32"/>
  <c r="M32" s="1"/>
  <c r="D31"/>
  <c r="E31" s="1"/>
  <c r="L32"/>
  <c r="G33"/>
  <c r="C33"/>
  <c r="AI35" i="5"/>
  <c r="AL35"/>
  <c r="U34" i="1"/>
  <c r="J34"/>
  <c r="AL34"/>
  <c r="Z35" i="7"/>
  <c r="AB34"/>
  <c r="B33"/>
  <c r="D32"/>
  <c r="F31"/>
  <c r="AE32" i="2"/>
  <c r="AD32" i="3"/>
  <c r="W6" i="5"/>
  <c r="L35" l="1"/>
  <c r="AK35" s="1"/>
  <c r="L36"/>
  <c r="AK36" s="1"/>
  <c r="AG32" i="2"/>
  <c r="E31" i="81"/>
  <c r="S33" i="76"/>
  <c r="I33"/>
  <c r="M33" s="1"/>
  <c r="M35" s="1"/>
  <c r="D32"/>
  <c r="E32" s="1"/>
  <c r="L33"/>
  <c r="L35" s="1"/>
  <c r="F32" i="7"/>
  <c r="AB35"/>
  <c r="H31"/>
  <c r="D33"/>
  <c r="AD34"/>
  <c r="B34"/>
  <c r="AI32" i="3"/>
  <c r="H7" i="77"/>
  <c r="D33" i="76" l="1"/>
  <c r="E33" s="1"/>
  <c r="AD35" i="7"/>
  <c r="AF34"/>
  <c r="D34"/>
  <c r="F33"/>
  <c r="J31"/>
  <c r="B35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H3" i="3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D24" i="73"/>
  <c r="AM24" i="5" s="1"/>
  <c r="AP24"/>
  <c r="AN24"/>
  <c r="N43" i="74" l="1"/>
  <c r="O43"/>
  <c r="S43"/>
  <c r="AB14" s="1"/>
  <c r="B14" i="77" s="1"/>
  <c r="R43" i="74"/>
  <c r="AA14" s="1"/>
  <c r="B15" i="77" s="1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1" i="2"/>
  <c r="R21" s="1"/>
  <c r="I22" i="1"/>
  <c r="E18" i="3"/>
  <c r="E19"/>
  <c r="I32" l="1"/>
  <c r="I31"/>
  <c r="AJ34" i="1"/>
  <c r="AK34" s="1"/>
  <c r="G31" i="81"/>
  <c r="L35" i="7"/>
  <c r="R32"/>
  <c r="P33"/>
  <c r="N34"/>
  <c r="AC17" i="76"/>
  <c r="AC18"/>
  <c r="AC19"/>
  <c r="R33" i="7" l="1"/>
  <c r="P34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K19" i="73" l="1"/>
  <c r="G19"/>
  <c r="K15" i="76"/>
  <c r="D14" i="73" l="1"/>
  <c r="L24" i="5" l="1"/>
  <c r="AK24" s="1"/>
  <c r="X78" i="74" l="1"/>
  <c r="AK38" i="5"/>
  <c r="F37"/>
  <c r="AB21" i="2" l="1"/>
  <c r="AE21" s="1"/>
  <c r="AD21"/>
  <c r="AF21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22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Q14" i="2"/>
  <c r="Q13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U7" s="1"/>
  <c r="G24" i="2"/>
  <c r="N18" i="1" l="1"/>
  <c r="Q16" i="2"/>
  <c r="S8" i="3"/>
  <c r="D9" i="1"/>
  <c r="E9" s="1"/>
  <c r="L18" l="1"/>
  <c r="N19"/>
  <c r="Q17" i="2"/>
  <c r="S9" i="3"/>
  <c r="L19" i="1" l="1"/>
  <c r="N20"/>
  <c r="Q18" i="2"/>
  <c r="S16" i="3"/>
  <c r="U16" s="1"/>
  <c r="Y13" i="76"/>
  <c r="L20" i="1" l="1"/>
  <c r="N21"/>
  <c r="Q19" i="2"/>
  <c r="L21" i="1" l="1"/>
  <c r="N22"/>
  <c r="L22" l="1"/>
  <c r="N24" l="1"/>
  <c r="Q22" i="2"/>
  <c r="C13" i="76"/>
  <c r="N25" i="1" l="1"/>
  <c r="L24"/>
  <c r="Q23" i="2"/>
  <c r="AD23" i="3" s="1"/>
  <c r="C14" i="76"/>
  <c r="AI23" i="3" l="1"/>
  <c r="N26" i="1"/>
  <c r="L25"/>
  <c r="Q24" i="2"/>
  <c r="C15" i="76"/>
  <c r="N27" i="1" l="1"/>
  <c r="L26"/>
  <c r="Q25" i="2"/>
  <c r="AD25" i="3" s="1"/>
  <c r="C16" i="76"/>
  <c r="D12" i="73"/>
  <c r="AB7" i="2"/>
  <c r="G5" i="76"/>
  <c r="AI25" i="3" l="1"/>
  <c r="N28" i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L31" i="1" l="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AB10" i="2" l="1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U12" l="1"/>
  <c r="C25" i="76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N29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O7" i="79"/>
  <c r="E26" i="2"/>
  <c r="M9" i="79" l="1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I15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A3" i="76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I3"/>
  <c r="E3"/>
  <c r="AJ6" i="5"/>
  <c r="AL6" s="1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B17" i="77"/>
  <c r="J9" i="63"/>
  <c r="K9" i="73"/>
  <c r="G9"/>
  <c r="C6" i="76"/>
  <c r="K4"/>
  <c r="AS36" i="1"/>
  <c r="AW38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4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U4" s="1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Z12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I14" i="1"/>
  <c r="I13"/>
  <c r="S10" i="3"/>
  <c r="U10" s="1"/>
  <c r="H12" i="5"/>
  <c r="S12" i="1"/>
  <c r="T12" s="1"/>
  <c r="AD10" i="2"/>
  <c r="AB12"/>
  <c r="X12"/>
  <c r="X13"/>
  <c r="K10"/>
  <c r="F9" i="82" s="1"/>
  <c r="I10" i="2"/>
  <c r="G9" i="82" s="1"/>
  <c r="G10" i="2"/>
  <c r="E10"/>
  <c r="S11" i="3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A12" i="7" l="1"/>
  <c r="AA13"/>
  <c r="AF3" i="2"/>
  <c r="AA36" i="7"/>
  <c r="AE36"/>
  <c r="AC36"/>
  <c r="AG36"/>
  <c r="AI36"/>
  <c r="AK36"/>
  <c r="AM36"/>
  <c r="AA10"/>
  <c r="C36"/>
  <c r="E36"/>
  <c r="G36"/>
  <c r="I36"/>
  <c r="K36"/>
  <c r="M36"/>
  <c r="O36"/>
  <c r="Q36"/>
  <c r="S36"/>
  <c r="U36"/>
  <c r="W36"/>
  <c r="A35" i="76"/>
  <c r="AF7" i="2"/>
  <c r="H9" i="65" s="1"/>
  <c r="AF4" i="2"/>
  <c r="B3" i="63" s="1"/>
  <c r="AF9" i="2"/>
  <c r="B8" i="63" s="1"/>
  <c r="AF10" i="2"/>
  <c r="H12" i="65" s="1"/>
  <c r="AF8" i="2"/>
  <c r="H10" i="65" s="1"/>
  <c r="AF11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J10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D7" i="76"/>
  <c r="E7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H5" i="65"/>
  <c r="E2" i="63"/>
  <c r="J21"/>
  <c r="X76" i="74"/>
  <c r="X58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8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U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Q12" i="2"/>
  <c r="AD10" i="3"/>
  <c r="Q11" i="2"/>
  <c r="M12"/>
  <c r="E11" i="82" s="1"/>
  <c r="G14" i="2"/>
  <c r="I13" i="82" s="1"/>
  <c r="I9"/>
  <c r="N11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AO36" i="7" l="1"/>
  <c r="AN36" s="1"/>
  <c r="Y36"/>
  <c r="U13" i="3"/>
  <c r="L11" i="82"/>
  <c r="O12" i="2"/>
  <c r="C35" i="76"/>
  <c r="F4" i="77"/>
  <c r="Y34" i="7"/>
  <c r="AO34"/>
  <c r="AN34" s="1"/>
  <c r="AO35"/>
  <c r="AN35" s="1"/>
  <c r="Y35"/>
  <c r="O6" i="81"/>
  <c r="O7" i="2"/>
  <c r="L20" i="82"/>
  <c r="O21" i="2"/>
  <c r="AI3" i="3"/>
  <c r="D5" i="65" s="1"/>
  <c r="K35" i="76"/>
  <c r="I35"/>
  <c r="G35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L13" i="76"/>
  <c r="D13"/>
  <c r="E13" s="1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AR36" i="7" l="1"/>
  <c r="AQ36" s="1"/>
  <c r="X36"/>
  <c r="AR35"/>
  <c r="X34"/>
  <c r="AR34"/>
  <c r="AF12" i="2"/>
  <c r="B11" i="63" s="1"/>
  <c r="AF5" i="2"/>
  <c r="H7" i="65" s="1"/>
  <c r="X35" i="7"/>
  <c r="F14" i="3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C7" i="3"/>
  <c r="AU13" i="5"/>
  <c r="AZ12"/>
  <c r="BC12" s="1"/>
  <c r="AH8" i="1"/>
  <c r="C8" i="65" s="1"/>
  <c r="AM7" i="1"/>
  <c r="F8" i="75" s="1"/>
  <c r="G8" s="1"/>
  <c r="AB7" i="1"/>
  <c r="Y8"/>
  <c r="AE10" i="7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Z13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X36" s="1"/>
  <c r="AY36" s="1"/>
  <c r="AQ34"/>
  <c r="AS35"/>
  <c r="AX35" s="1"/>
  <c r="AG12" i="2"/>
  <c r="AG5"/>
  <c r="H14" i="65"/>
  <c r="B4" i="63"/>
  <c r="AF13" i="2"/>
  <c r="H15" i="65" s="1"/>
  <c r="AQ35" i="7"/>
  <c r="J13" i="82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Z14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Q34" i="76" l="1"/>
  <c r="AG13" i="2"/>
  <c r="AF14"/>
  <c r="H16" i="65" s="1"/>
  <c r="B12" i="63"/>
  <c r="AY35" i="7"/>
  <c r="Q33" i="76"/>
  <c r="F16" i="3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Z15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N14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G14" i="2" l="1"/>
  <c r="B13" i="63"/>
  <c r="AF15" i="2"/>
  <c r="B14" i="63" s="1"/>
  <c r="G16" i="82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Z16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G15" i="2" l="1"/>
  <c r="U19" i="3"/>
  <c r="H17" i="65"/>
  <c r="AF16" i="2"/>
  <c r="B15" i="63" s="1"/>
  <c r="F18" i="3"/>
  <c r="T20" i="1"/>
  <c r="J16" i="82"/>
  <c r="S16" i="76"/>
  <c r="R15" i="2"/>
  <c r="AN7" i="7"/>
  <c r="O15" i="2"/>
  <c r="F9" i="3"/>
  <c r="I9"/>
  <c r="M33" i="79"/>
  <c r="M34" s="1"/>
  <c r="M35" s="1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17" i="63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M36" i="79" l="1"/>
  <c r="O36" s="1"/>
  <c r="O35"/>
  <c r="AG16" i="2"/>
  <c r="H18" i="65"/>
  <c r="AF17" i="2"/>
  <c r="B16" i="63" s="1"/>
  <c r="O34" i="79"/>
  <c r="T21" i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AE20" s="1"/>
  <c r="Z18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E18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AG17" i="2" l="1"/>
  <c r="H19" i="65"/>
  <c r="AF18" i="2"/>
  <c r="B17" i="63" s="1"/>
  <c r="F20" i="3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E19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G18" i="2" l="1"/>
  <c r="AF19"/>
  <c r="H21" i="65" s="1"/>
  <c r="H20"/>
  <c r="BC19" i="5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AR7" s="1"/>
  <c r="H25" i="5"/>
  <c r="C22" i="3"/>
  <c r="E22" s="1"/>
  <c r="F21"/>
  <c r="Y24" i="1"/>
  <c r="AB24" s="1"/>
  <c r="V22" i="2"/>
  <c r="T2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Z20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E20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G19" i="2" l="1"/>
  <c r="AF20"/>
  <c r="B19" i="63" s="1"/>
  <c r="B18"/>
  <c r="F22" i="3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AR11" s="1"/>
  <c r="AS12" s="1"/>
  <c r="V15" i="1"/>
  <c r="B14" i="65"/>
  <c r="E14" s="1"/>
  <c r="W14" i="1"/>
  <c r="G10" i="81"/>
  <c r="AJ13" i="1"/>
  <c r="AK13" s="1"/>
  <c r="Y8" i="7"/>
  <c r="AR8" s="1"/>
  <c r="AS8" s="1"/>
  <c r="X7"/>
  <c r="Y13"/>
  <c r="AR13" s="1"/>
  <c r="Y10"/>
  <c r="AR10" s="1"/>
  <c r="H26" i="5"/>
  <c r="Y25"/>
  <c r="Y25" i="1"/>
  <c r="AB25" s="1"/>
  <c r="AO18" i="7"/>
  <c r="Y15"/>
  <c r="AR15" s="1"/>
  <c r="AS15" s="1"/>
  <c r="V23" i="2"/>
  <c r="T24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X23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N20" i="2"/>
  <c r="R20" s="1"/>
  <c r="AI18"/>
  <c r="J20" i="65"/>
  <c r="C18" i="63"/>
  <c r="D18" s="1"/>
  <c r="E18" i="81"/>
  <c r="AQ7" i="7"/>
  <c r="X12"/>
  <c r="Y6"/>
  <c r="AR6" s="1"/>
  <c r="AS6" s="1"/>
  <c r="AG20" i="2" l="1"/>
  <c r="AS7" i="7"/>
  <c r="AS9"/>
  <c r="AS11"/>
  <c r="AS13"/>
  <c r="AS14"/>
  <c r="AS10"/>
  <c r="H22" i="65"/>
  <c r="BC15" i="7"/>
  <c r="AX12"/>
  <c r="T25" i="1"/>
  <c r="J21" i="82"/>
  <c r="D24" i="75"/>
  <c r="E24" s="1"/>
  <c r="O20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J21" i="65"/>
  <c r="AI19" i="2"/>
  <c r="E22"/>
  <c r="C19" i="63"/>
  <c r="D19" s="1"/>
  <c r="E19" i="81"/>
  <c r="X6" i="7"/>
  <c r="AQ6"/>
  <c r="AQ9"/>
  <c r="AQ12"/>
  <c r="BC8" l="1"/>
  <c r="BJ12"/>
  <c r="Q10" i="76"/>
  <c r="AX9" i="7"/>
  <c r="AF22" i="2"/>
  <c r="B21" i="63" s="1"/>
  <c r="AX15" i="7"/>
  <c r="AX14"/>
  <c r="AX11"/>
  <c r="AQ11"/>
  <c r="BC12"/>
  <c r="AQ15"/>
  <c r="F24" i="3"/>
  <c r="T26" i="1"/>
  <c r="J22" i="82"/>
  <c r="S22" i="76"/>
  <c r="I15" i="3"/>
  <c r="AQ8" i="7"/>
  <c r="BC9"/>
  <c r="AX8"/>
  <c r="AN19"/>
  <c r="U22" i="3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V25" i="2"/>
  <c r="T26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Z23"/>
  <c r="X25"/>
  <c r="A23" i="63"/>
  <c r="AE24" i="2"/>
  <c r="I25" i="65"/>
  <c r="E22" i="63"/>
  <c r="BE25" i="7"/>
  <c r="BG25" s="1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E23"/>
  <c r="J22" i="65"/>
  <c r="AI20" i="2"/>
  <c r="BC6" i="7"/>
  <c r="AX7"/>
  <c r="AY12"/>
  <c r="AG22" i="2" l="1"/>
  <c r="BJ7" i="7"/>
  <c r="Q5" i="76"/>
  <c r="H24" i="65"/>
  <c r="AF23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E27" i="3"/>
  <c r="C26"/>
  <c r="Y28" i="5"/>
  <c r="Y28" i="1"/>
  <c r="AB28" s="1"/>
  <c r="V26" i="2"/>
  <c r="T27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Z24"/>
  <c r="A24" i="63"/>
  <c r="AE25" i="2"/>
  <c r="X26"/>
  <c r="D25" i="65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E24"/>
  <c r="AY7" i="7"/>
  <c r="AG23" i="2" l="1"/>
  <c r="H25" i="65"/>
  <c r="AF24" i="2"/>
  <c r="H26" i="65" s="1"/>
  <c r="F26" i="3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AS18" s="1"/>
  <c r="V27" i="2"/>
  <c r="T28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Z25"/>
  <c r="X27"/>
  <c r="AE26"/>
  <c r="A25" i="63"/>
  <c r="AI24" i="3"/>
  <c r="D26" i="65" s="1"/>
  <c r="I27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E25"/>
  <c r="J24" i="65"/>
  <c r="AI22" i="2"/>
  <c r="E22" i="81"/>
  <c r="C22" i="63"/>
  <c r="D22" s="1"/>
  <c r="AG24" i="2" l="1"/>
  <c r="B23" i="63"/>
  <c r="AF25" i="2"/>
  <c r="H27" i="65" s="1"/>
  <c r="F27" i="3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8" i="2"/>
  <c r="T29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S19" s="1"/>
  <c r="AD27" i="2"/>
  <c r="AB28"/>
  <c r="Z26"/>
  <c r="X28"/>
  <c r="AE27"/>
  <c r="A26" i="63"/>
  <c r="D27" i="65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N25" i="2"/>
  <c r="R25" s="1"/>
  <c r="AG25" l="1"/>
  <c r="B24" i="63"/>
  <c r="AG26" i="2"/>
  <c r="AF26"/>
  <c r="H28" i="65" s="1"/>
  <c r="F28" i="3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29" i="2"/>
  <c r="T30"/>
  <c r="S30" i="3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E28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N26"/>
  <c r="R26" s="1"/>
  <c r="J26" i="65"/>
  <c r="AI24" i="2"/>
  <c r="E24" i="81"/>
  <c r="C24" i="63"/>
  <c r="D24" s="1"/>
  <c r="U30" i="3" l="1"/>
  <c r="S35"/>
  <c r="B25" i="63"/>
  <c r="AF27" i="2"/>
  <c r="H29" i="65" s="1"/>
  <c r="T31" i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C35" s="1"/>
  <c r="Y32" i="5"/>
  <c r="V30" i="2"/>
  <c r="BA32" i="5"/>
  <c r="BD32" s="1"/>
  <c r="AJ31"/>
  <c r="K27" i="82" s="1"/>
  <c r="AA31" i="5"/>
  <c r="U32"/>
  <c r="AF31" i="1"/>
  <c r="R31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X30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E25" i="81"/>
  <c r="C25" i="63"/>
  <c r="D25" s="1"/>
  <c r="J27" i="65"/>
  <c r="AI25" i="2"/>
  <c r="AG27" l="1"/>
  <c r="B26" i="63"/>
  <c r="AG28" i="2"/>
  <c r="AF28"/>
  <c r="H30" i="65" s="1"/>
  <c r="F30" i="3"/>
  <c r="O27" i="2"/>
  <c r="S28" i="76"/>
  <c r="I21" i="3"/>
  <c r="J28" i="82"/>
  <c r="AN25" i="7"/>
  <c r="AU29" i="5"/>
  <c r="AZ28"/>
  <c r="BC28" s="1"/>
  <c r="B22" i="65"/>
  <c r="Y22" i="7"/>
  <c r="AR22" s="1"/>
  <c r="AS22" s="1"/>
  <c r="Y33" i="5"/>
  <c r="Y37" s="1"/>
  <c r="X21" i="7"/>
  <c r="BA33" i="5"/>
  <c r="AA32"/>
  <c r="AJ32"/>
  <c r="K28" i="82" s="1"/>
  <c r="U33" i="5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E30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C26" i="63"/>
  <c r="D26" s="1"/>
  <c r="E26" i="81"/>
  <c r="J28" i="65"/>
  <c r="AI26" i="2"/>
  <c r="AF29" l="1"/>
  <c r="B28" i="63" s="1"/>
  <c r="B27"/>
  <c r="BD33" i="5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7" i="5"/>
  <c r="D1"/>
  <c r="AO27" i="7"/>
  <c r="Y23"/>
  <c r="AR23" s="1"/>
  <c r="AS23" s="1"/>
  <c r="AA33" i="5"/>
  <c r="AJ33"/>
  <c r="K29" i="82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0" i="2"/>
  <c r="A30" i="63"/>
  <c r="AI29" i="3"/>
  <c r="D31" i="65" s="1"/>
  <c r="AD30" i="3"/>
  <c r="I32" i="65"/>
  <c r="BE32" i="7"/>
  <c r="BG32" s="1"/>
  <c r="E29" i="63"/>
  <c r="J29" i="65"/>
  <c r="AI27" i="2"/>
  <c r="N29"/>
  <c r="R29" s="1"/>
  <c r="E30"/>
  <c r="C27" i="63"/>
  <c r="D27" s="1"/>
  <c r="E27" i="81"/>
  <c r="AG29" i="2" l="1"/>
  <c r="H31" i="65"/>
  <c r="AG30" i="2"/>
  <c r="AF30"/>
  <c r="H32" i="65" s="1"/>
  <c r="D34" i="75"/>
  <c r="E34" s="1"/>
  <c r="O29" i="2"/>
  <c r="S30" i="76"/>
  <c r="I24" i="3"/>
  <c r="AN27" i="7"/>
  <c r="B7" i="77"/>
  <c r="AU31" i="5"/>
  <c r="AZ30"/>
  <c r="BC30" s="1"/>
  <c r="V25" i="1"/>
  <c r="B24" i="65"/>
  <c r="Y24" i="7"/>
  <c r="AR24" s="1"/>
  <c r="AS24" s="1"/>
  <c r="X23"/>
  <c r="U37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D32" i="65" s="1"/>
  <c r="E30" i="63"/>
  <c r="I33" i="65"/>
  <c r="BE33" i="7"/>
  <c r="BG33" s="1"/>
  <c r="C28" i="63"/>
  <c r="D28" s="1"/>
  <c r="E28" i="81"/>
  <c r="N30" i="2"/>
  <c r="J30" i="65"/>
  <c r="AI28" i="2"/>
  <c r="B29" i="63" l="1"/>
  <c r="R30" i="2"/>
  <c r="S31" i="76"/>
  <c r="I26" i="3"/>
  <c r="O30" i="2"/>
  <c r="X24" i="7"/>
  <c r="AN28"/>
  <c r="AU32" i="5"/>
  <c r="AZ31"/>
  <c r="BC31" s="1"/>
  <c r="B25" i="65"/>
  <c r="V26" i="1"/>
  <c r="AO29" i="7"/>
  <c r="Y25"/>
  <c r="AR25" s="1"/>
  <c r="AS25" s="1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7" i="5" l="1"/>
  <c r="Z38" s="1"/>
  <c r="I27" i="3"/>
  <c r="D35" i="75"/>
  <c r="E35" s="1"/>
  <c r="AL36" i="1"/>
  <c r="AN29" i="7"/>
  <c r="AU33" i="5"/>
  <c r="AU34" s="1"/>
  <c r="AZ32"/>
  <c r="BC32" s="1"/>
  <c r="X25" i="7"/>
  <c r="B26" i="65"/>
  <c r="V27" i="1"/>
  <c r="Y26" i="7"/>
  <c r="AR26" s="1"/>
  <c r="AS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AU35" i="5" l="1"/>
  <c r="AZ35" s="1"/>
  <c r="AZ34"/>
  <c r="I28" i="3"/>
  <c r="X26" i="7"/>
  <c r="AN30"/>
  <c r="AZ33" i="5"/>
  <c r="D38" i="73"/>
  <c r="B16" i="77" s="1"/>
  <c r="E8"/>
  <c r="G8" s="1"/>
  <c r="K36" i="76"/>
  <c r="AO31" i="7"/>
  <c r="B27" i="65"/>
  <c r="V28" i="1"/>
  <c r="AJ33" i="7"/>
  <c r="AI33"/>
  <c r="AK32"/>
  <c r="AL32"/>
  <c r="AM32" s="1"/>
  <c r="V28"/>
  <c r="W28" s="1"/>
  <c r="U28"/>
  <c r="Y27"/>
  <c r="AR27" s="1"/>
  <c r="AS27" s="1"/>
  <c r="S29"/>
  <c r="T29"/>
  <c r="R30"/>
  <c r="Q30"/>
  <c r="C31" i="63"/>
  <c r="D31" s="1"/>
  <c r="J33" i="65"/>
  <c r="BC35" i="5" l="1"/>
  <c r="BC33"/>
  <c r="BC34"/>
  <c r="I29" i="3"/>
  <c r="AN31" i="7"/>
  <c r="E16" i="77"/>
  <c r="F7"/>
  <c r="G36" i="76"/>
  <c r="AD26"/>
  <c r="I36"/>
  <c r="AD27" s="1"/>
  <c r="E9" i="77"/>
  <c r="G9" s="1"/>
  <c r="V29" i="1"/>
  <c r="B28" i="65"/>
  <c r="F8" i="77"/>
  <c r="AK33" i="7"/>
  <c r="AL33"/>
  <c r="AM33" s="1"/>
  <c r="AO32"/>
  <c r="Y28"/>
  <c r="AR28" s="1"/>
  <c r="AS28" s="1"/>
  <c r="X27"/>
  <c r="V29"/>
  <c r="W29" s="1"/>
  <c r="U29"/>
  <c r="S30"/>
  <c r="T30"/>
  <c r="AD28" i="76" l="1"/>
  <c r="C36"/>
  <c r="I30" i="3"/>
  <c r="AN32" i="7"/>
  <c r="F9" i="77"/>
  <c r="B29" i="65"/>
  <c r="V30" i="1"/>
  <c r="AO33" i="7"/>
  <c r="X28"/>
  <c r="U30"/>
  <c r="V30"/>
  <c r="W30" s="1"/>
  <c r="Y29"/>
  <c r="AR29" s="1"/>
  <c r="AS29" s="1"/>
  <c r="T31"/>
  <c r="AN33" l="1"/>
  <c r="V31" i="1"/>
  <c r="B30" i="65"/>
  <c r="Y30" i="7"/>
  <c r="AR30" s="1"/>
  <c r="AS30" s="1"/>
  <c r="T32"/>
  <c r="U31"/>
  <c r="V31"/>
  <c r="W31" s="1"/>
  <c r="X29"/>
  <c r="X30" l="1"/>
  <c r="B31" i="65"/>
  <c r="Y31" i="7"/>
  <c r="AR31" s="1"/>
  <c r="AS31" s="1"/>
  <c r="T33"/>
  <c r="V32"/>
  <c r="W32" s="1"/>
  <c r="U32"/>
  <c r="B32" i="65" l="1"/>
  <c r="Y32" i="7"/>
  <c r="AR32" s="1"/>
  <c r="AS32" s="1"/>
  <c r="X31"/>
  <c r="U33"/>
  <c r="V33"/>
  <c r="W33" s="1"/>
  <c r="X32" l="1"/>
  <c r="B33" i="65"/>
  <c r="Y33" i="7"/>
  <c r="AR33" s="1"/>
  <c r="AS33" l="1"/>
  <c r="AS34"/>
  <c r="B34" i="65"/>
  <c r="X33" i="7"/>
  <c r="AS40" l="1"/>
  <c r="AX34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7" l="1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AA5"/>
  <c r="AH5" s="1"/>
  <c r="AD17" l="1"/>
  <c r="AA17"/>
  <c r="AH17" s="1"/>
  <c r="W5"/>
  <c r="B5" i="65"/>
  <c r="V36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BJ6" l="1"/>
  <c r="Q4" i="76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AY6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l="1"/>
  <c r="AX37" i="7"/>
  <c r="AM36" i="1"/>
  <c r="F35" i="75"/>
  <c r="G35" s="1"/>
  <c r="AY33" i="7"/>
  <c r="AY37" s="1"/>
  <c r="AH36" i="1"/>
  <c r="C34" i="65"/>
  <c r="E34" s="1"/>
  <c r="AI37" i="1" l="1"/>
  <c r="AX42" i="7" l="1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3" s="1"/>
  <c r="O34" s="1"/>
  <c r="O35" s="1"/>
  <c r="G34" i="65" l="1"/>
  <c r="I31" i="63" l="1"/>
  <c r="I12" i="77" l="1"/>
  <c r="H12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U6" l="1"/>
  <c r="AZ6" l="1"/>
  <c r="AU7"/>
  <c r="AZ7" s="1"/>
  <c r="BC6" l="1"/>
  <c r="BC7"/>
  <c r="BC8"/>
  <c r="X3" i="3" l="1"/>
  <c r="Y3" l="1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X23" s="1"/>
  <c r="Y23" s="1"/>
  <c r="Y20"/>
  <c r="Y21" s="1"/>
  <c r="Y22" l="1"/>
  <c r="X24" l="1"/>
  <c r="X25" s="1"/>
  <c r="Y25" s="1"/>
  <c r="Y24" l="1"/>
  <c r="X26" l="1"/>
  <c r="Y26" l="1"/>
  <c r="X28" l="1"/>
  <c r="Y27"/>
  <c r="X29" l="1"/>
  <c r="Y28"/>
  <c r="X30" l="1"/>
  <c r="X31" s="1"/>
  <c r="Y29"/>
  <c r="Y31" l="1"/>
  <c r="X32"/>
  <c r="X33" s="1"/>
  <c r="Y33" s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K33" i="3" l="1"/>
  <c r="AT35" i="1"/>
  <c r="Q22" i="3"/>
  <c r="P23"/>
  <c r="P24" s="1"/>
  <c r="AD7" i="5"/>
  <c r="K3" i="3"/>
  <c r="Q3"/>
  <c r="AQ5" i="1"/>
  <c r="AO5"/>
  <c r="AS5"/>
  <c r="N33" i="3" l="1"/>
  <c r="AB33" s="1"/>
  <c r="Z33"/>
  <c r="AT5" i="1"/>
  <c r="P25" i="3"/>
  <c r="P26" s="1"/>
  <c r="P27" s="1"/>
  <c r="P29" s="1"/>
  <c r="P30" s="1"/>
  <c r="P31" s="1"/>
  <c r="P32" s="1"/>
  <c r="P33" s="1"/>
  <c r="Q33" s="1"/>
  <c r="AD8" i="5"/>
  <c r="AS6" i="1"/>
  <c r="K4" i="3"/>
  <c r="Q4"/>
  <c r="AQ6" i="1"/>
  <c r="AO6"/>
  <c r="Z3" i="3"/>
  <c r="N3"/>
  <c r="AB3" s="1"/>
  <c r="AK33" l="1"/>
  <c r="AE33"/>
  <c r="AF33" s="1"/>
  <c r="AG33" s="1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BK10" i="7" s="1"/>
  <c r="F7" i="63"/>
  <c r="AS11" i="1"/>
  <c r="AQ11"/>
  <c r="AT10"/>
  <c r="AQ12" l="1"/>
  <c r="AD14" i="5"/>
  <c r="AO12" i="1"/>
  <c r="AS12"/>
  <c r="AK8" i="3"/>
  <c r="F8" i="63"/>
  <c r="AE8" i="3"/>
  <c r="AF8" s="1"/>
  <c r="Q10"/>
  <c r="K10"/>
  <c r="N9"/>
  <c r="AB9" s="1"/>
  <c r="Z9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F9" i="63"/>
  <c r="AK9" i="3"/>
  <c r="AE9"/>
  <c r="AF9" s="1"/>
  <c r="AS13" i="1"/>
  <c r="AD15" i="5"/>
  <c r="AG9" i="3" l="1"/>
  <c r="BK12" i="7"/>
  <c r="AT13" i="1"/>
  <c r="AU13" s="1"/>
  <c r="I10" i="81" s="1"/>
  <c r="AS14" i="1"/>
  <c r="AE10" i="3"/>
  <c r="AF10" s="1"/>
  <c r="AK10"/>
  <c r="F10" i="63"/>
  <c r="K12" i="3"/>
  <c r="Q12"/>
  <c r="AQ14" i="1"/>
  <c r="N11" i="3"/>
  <c r="AB11" s="1"/>
  <c r="Z1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N12"/>
  <c r="AB12" s="1"/>
  <c r="AO15" i="1"/>
  <c r="F11" i="63"/>
  <c r="AK11" i="3"/>
  <c r="AE11"/>
  <c r="AF11" s="1"/>
  <c r="AG11" l="1"/>
  <c r="BK14" i="7"/>
  <c r="AT15" i="1"/>
  <c r="AU15" s="1"/>
  <c r="I12" i="81" s="1"/>
  <c r="AD18" i="5"/>
  <c r="AQ16" i="1"/>
  <c r="F12" i="63"/>
  <c r="AK12" i="3"/>
  <c r="AE12"/>
  <c r="AF12" s="1"/>
  <c r="K14"/>
  <c r="Q14"/>
  <c r="AS16" i="1"/>
  <c r="AO16"/>
  <c r="Z13" i="3"/>
  <c r="N13"/>
  <c r="AB13" s="1"/>
  <c r="AG12" l="1"/>
  <c r="BK15" i="7"/>
  <c r="AT16" i="1"/>
  <c r="AU16" s="1"/>
  <c r="I13" i="81" s="1"/>
  <c r="Z14" i="3"/>
  <c r="N14"/>
  <c r="AB14" s="1"/>
  <c r="AD19" i="5"/>
  <c r="AS17" i="1"/>
  <c r="AO17"/>
  <c r="F13" i="63"/>
  <c r="AE13" i="3"/>
  <c r="AF13" s="1"/>
  <c r="AK13"/>
  <c r="AQ17" i="1"/>
  <c r="K15" i="3"/>
  <c r="Q15"/>
  <c r="AG13" l="1"/>
  <c r="BK16" i="7"/>
  <c r="AS18" i="1"/>
  <c r="F14" i="63"/>
  <c r="AK14" i="3"/>
  <c r="AE14"/>
  <c r="AF14" s="1"/>
  <c r="AG14" s="1"/>
  <c r="K16"/>
  <c r="Q16"/>
  <c r="Z15"/>
  <c r="N15"/>
  <c r="AB15" s="1"/>
  <c r="AO18" i="1"/>
  <c r="AD20" i="5"/>
  <c r="AQ18" i="1"/>
  <c r="AT17"/>
  <c r="AU17" s="1"/>
  <c r="I14" i="81" s="1"/>
  <c r="AD21" i="5" l="1"/>
  <c r="F15" i="63"/>
  <c r="AK15" i="3"/>
  <c r="AE15"/>
  <c r="AF15" s="1"/>
  <c r="AG15" s="1"/>
  <c r="AS19" i="1"/>
  <c r="K17" i="3"/>
  <c r="Q17"/>
  <c r="AQ19" i="1"/>
  <c r="AO19"/>
  <c r="Z16" i="3"/>
  <c r="N16"/>
  <c r="AB16" s="1"/>
  <c r="AT18" i="1"/>
  <c r="AU18" s="1"/>
  <c r="I15" i="81" s="1"/>
  <c r="AT19" i="1" l="1"/>
  <c r="AU19" s="1"/>
  <c r="I16" i="81" s="1"/>
  <c r="AO20" i="1"/>
  <c r="Z17" i="3"/>
  <c r="N17"/>
  <c r="AD22" i="5"/>
  <c r="AS20" i="1"/>
  <c r="AE16" i="3"/>
  <c r="AF16" s="1"/>
  <c r="AG16" s="1"/>
  <c r="AK16"/>
  <c r="F16" i="63"/>
  <c r="AQ20" i="1"/>
  <c r="K18" i="3"/>
  <c r="Q18"/>
  <c r="AD23" i="5" l="1"/>
  <c r="AO21" i="1"/>
  <c r="K19" i="3"/>
  <c r="Q19"/>
  <c r="Z18"/>
  <c r="N18"/>
  <c r="AB18" s="1"/>
  <c r="AS21" i="1"/>
  <c r="AE17" i="3"/>
  <c r="AF17" s="1"/>
  <c r="AG17" s="1"/>
  <c r="AK17"/>
  <c r="F17" i="63"/>
  <c r="AQ21" i="1"/>
  <c r="AT20"/>
  <c r="AU20" s="1"/>
  <c r="I17" i="81" s="1"/>
  <c r="K20" i="3" l="1"/>
  <c r="Q20"/>
  <c r="AD24" i="5"/>
  <c r="AS22" i="1"/>
  <c r="Z19" i="3"/>
  <c r="N19"/>
  <c r="AB19" s="1"/>
  <c r="AQ22" i="1"/>
  <c r="AO22"/>
  <c r="AK18" i="3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N20"/>
  <c r="AB20" s="1"/>
  <c r="AO23" i="1"/>
  <c r="AK19" i="3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N21"/>
  <c r="AB21" s="1"/>
  <c r="F20" i="63"/>
  <c r="AK20" i="3"/>
  <c r="AE20"/>
  <c r="AF20" s="1"/>
  <c r="AG20" s="1"/>
  <c r="AQ24" i="1"/>
  <c r="K22" i="3"/>
  <c r="N23" l="1"/>
  <c r="AB23" s="1"/>
  <c r="Z23"/>
  <c r="AO25" i="1"/>
  <c r="AS25"/>
  <c r="AD27" i="5"/>
  <c r="Z22" i="3"/>
  <c r="N22"/>
  <c r="AB22" s="1"/>
  <c r="AE21"/>
  <c r="AF21" s="1"/>
  <c r="AG21" s="1"/>
  <c r="F21" i="63"/>
  <c r="AK21" i="3"/>
  <c r="AQ25" i="1"/>
  <c r="AT24"/>
  <c r="AU24" s="1"/>
  <c r="I21" i="81" s="1"/>
  <c r="Q25" i="3" l="1"/>
  <c r="K25"/>
  <c r="AE23"/>
  <c r="AF23" s="1"/>
  <c r="AG23" s="1"/>
  <c r="AK23"/>
  <c r="AT25" i="1"/>
  <c r="AU25" s="1"/>
  <c r="I22" i="81" s="1"/>
  <c r="AD28" i="5"/>
  <c r="K24" i="3"/>
  <c r="Q24"/>
  <c r="AO26" i="1"/>
  <c r="AE22" i="3"/>
  <c r="AF22" s="1"/>
  <c r="AG22" s="1"/>
  <c r="F22" i="63"/>
  <c r="AK22" i="3"/>
  <c r="AQ26" i="1"/>
  <c r="AS26"/>
  <c r="N25" i="3" l="1"/>
  <c r="AB25" s="1"/>
  <c r="Z25"/>
  <c r="AO27" i="1"/>
  <c r="AS27"/>
  <c r="AD29" i="5"/>
  <c r="F23" i="63"/>
  <c r="AQ27" i="1"/>
  <c r="Z24" i="3"/>
  <c r="N24"/>
  <c r="AT26" i="1"/>
  <c r="AU26" s="1"/>
  <c r="I23" i="81" s="1"/>
  <c r="AE25" i="3" l="1"/>
  <c r="AF25" s="1"/>
  <c r="AG25" s="1"/>
  <c r="AK25"/>
  <c r="AT27" i="1"/>
  <c r="AU27" s="1"/>
  <c r="I24" i="81" s="1"/>
  <c r="AO28" i="1"/>
  <c r="AD30" i="5"/>
  <c r="AQ28" i="1"/>
  <c r="F24" i="63"/>
  <c r="AE24" i="3"/>
  <c r="AF24" s="1"/>
  <c r="AG24" s="1"/>
  <c r="AK24"/>
  <c r="AS28" i="1"/>
  <c r="K26" i="3"/>
  <c r="Z26" s="1"/>
  <c r="Q26"/>
  <c r="AD31" i="5" l="1"/>
  <c r="AO29" i="1"/>
  <c r="K27" i="3"/>
  <c r="Z27" s="1"/>
  <c r="Q27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K26" i="3"/>
  <c r="AE26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K27" i="3"/>
  <c r="AE27"/>
  <c r="AF27" s="1"/>
  <c r="AG27" s="1"/>
  <c r="F27" i="63"/>
  <c r="Z28" i="3"/>
  <c r="N28"/>
  <c r="AQ32" i="1" l="1"/>
  <c r="AD34" i="5"/>
  <c r="AO32" i="1"/>
  <c r="AE28" i="3"/>
  <c r="AF28" s="1"/>
  <c r="AG28" s="1"/>
  <c r="F28" i="63"/>
  <c r="AK28" i="3"/>
  <c r="K30"/>
  <c r="Q30"/>
  <c r="AS32" i="1"/>
  <c r="Z29" i="3"/>
  <c r="N29"/>
  <c r="AB29" s="1"/>
  <c r="AT31" i="1"/>
  <c r="AS33" l="1"/>
  <c r="AQ33"/>
  <c r="AK29" i="3"/>
  <c r="AE29"/>
  <c r="AF29" s="1"/>
  <c r="AG29" s="1"/>
  <c r="F29" i="63"/>
  <c r="Z30" i="3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0"/>
  <c r="AE30"/>
  <c r="AF30" s="1"/>
  <c r="AG30" s="1"/>
  <c r="F30" i="63"/>
  <c r="AQ34" i="1"/>
  <c r="AU32"/>
  <c r="I29" i="81" s="1"/>
  <c r="AT33" i="1"/>
  <c r="AT34" l="1"/>
  <c r="AE31" i="3"/>
  <c r="AF31" s="1"/>
  <c r="AG31" s="1"/>
  <c r="AK31"/>
  <c r="Z32"/>
  <c r="Z34" s="1"/>
  <c r="B18" i="77" s="1"/>
  <c r="W33" i="76" s="1"/>
  <c r="X33" s="1"/>
  <c r="Y33" s="1"/>
  <c r="N32" i="3"/>
  <c r="AB32" s="1"/>
  <c r="AU33" i="1"/>
  <c r="I30" i="81" s="1"/>
  <c r="AU34" i="1" l="1"/>
  <c r="I31" i="81" s="1"/>
  <c r="AU35" i="1"/>
  <c r="I32" i="81" s="1"/>
  <c r="E18" i="77"/>
  <c r="B19"/>
  <c r="F18"/>
  <c r="AK32" i="3"/>
  <c r="AE32"/>
  <c r="AF32" s="1"/>
  <c r="AG32" s="1"/>
  <c r="AU5" i="1" l="1"/>
  <c r="AU36" l="1"/>
  <c r="AU38" s="1"/>
  <c r="I2" i="81"/>
  <c r="F2" i="63" l="1"/>
  <c r="L3" i="3" l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AC33" s="1"/>
  <c r="AH33" s="1"/>
  <c r="M3" l="1"/>
  <c r="AA3" s="1"/>
  <c r="AC3" s="1"/>
  <c r="AH3" s="1"/>
  <c r="P6" i="5" l="1"/>
  <c r="N6"/>
  <c r="M4" i="3"/>
  <c r="AA4" s="1"/>
  <c r="AC4" s="1"/>
  <c r="AH4" s="1"/>
  <c r="C6" i="5"/>
  <c r="G2" i="63"/>
  <c r="Q6" i="5" l="1"/>
  <c r="M2" i="81" s="1"/>
  <c r="M5" i="3"/>
  <c r="AA5" s="1"/>
  <c r="AC5" s="1"/>
  <c r="AH5" s="1"/>
  <c r="P7" i="5"/>
  <c r="C7"/>
  <c r="N7"/>
  <c r="D6"/>
  <c r="E6"/>
  <c r="I6"/>
  <c r="G3" i="63"/>
  <c r="M6" i="3" l="1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5" i="81" s="1"/>
  <c r="M8" i="3"/>
  <c r="E9" i="5"/>
  <c r="D9"/>
  <c r="I9"/>
  <c r="G6" i="63"/>
  <c r="P10" i="5"/>
  <c r="C10"/>
  <c r="J8"/>
  <c r="L4" i="81" s="1"/>
  <c r="K4"/>
  <c r="N10" i="5"/>
  <c r="Q10" l="1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AV16" i="7" l="1"/>
  <c r="M10" i="3"/>
  <c r="AA10" s="1"/>
  <c r="AC10" s="1"/>
  <c r="AH10" s="1"/>
  <c r="N12" i="5"/>
  <c r="P12"/>
  <c r="C12"/>
  <c r="G8" i="63"/>
  <c r="I11" i="5"/>
  <c r="D11"/>
  <c r="E11"/>
  <c r="J10"/>
  <c r="L6" i="81" s="1"/>
  <c r="K6"/>
  <c r="Q11" i="5"/>
  <c r="H12" i="81" l="1"/>
  <c r="AV17" i="7"/>
  <c r="Q12" i="5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AV18" i="7" l="1"/>
  <c r="H13" i="81"/>
  <c r="Q13" i="5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H14" i="81" l="1"/>
  <c r="AV19" i="7"/>
  <c r="Q14" i="5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AV20" i="7"/>
  <c r="H15" i="8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H16" i="81" l="1"/>
  <c r="AV21" i="7"/>
  <c r="N17" i="5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AV22" i="7" l="1"/>
  <c r="H17" i="81"/>
  <c r="M16" i="3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AV23" i="7" l="1"/>
  <c r="H18" i="81"/>
  <c r="N19" i="5"/>
  <c r="M17" i="3"/>
  <c r="P19" i="5"/>
  <c r="K13" i="81"/>
  <c r="J17" i="5"/>
  <c r="L13" i="81" s="1"/>
  <c r="C19" i="5"/>
  <c r="G15" i="63"/>
  <c r="I18" i="5"/>
  <c r="D18"/>
  <c r="E18"/>
  <c r="Q18"/>
  <c r="M14" i="81" s="1"/>
  <c r="AV24" i="7" l="1"/>
  <c r="H19" i="81"/>
  <c r="Q19" i="5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AV25" i="7" l="1"/>
  <c r="H20" i="81"/>
  <c r="N21" i="5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AV26" i="7" l="1"/>
  <c r="H21" i="81"/>
  <c r="P22" i="5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AV27" i="7" l="1"/>
  <c r="H22" i="81"/>
  <c r="N23" i="5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H23" l="1"/>
  <c r="AV28" i="7"/>
  <c r="M22" i="3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H24" l="1"/>
  <c r="AV29" i="7"/>
  <c r="Q24" i="5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H25" i="81" l="1"/>
  <c r="AV30" i="7"/>
  <c r="Q25" i="5"/>
  <c r="M21" i="81" s="1"/>
  <c r="P26" i="5"/>
  <c r="C26"/>
  <c r="G22" i="63"/>
  <c r="I25" i="5"/>
  <c r="E25"/>
  <c r="D25"/>
  <c r="N26"/>
  <c r="K20" i="81"/>
  <c r="J24" i="5"/>
  <c r="L20" i="81" s="1"/>
  <c r="M24" i="3"/>
  <c r="AV31" i="7" l="1"/>
  <c r="H26" i="81"/>
  <c r="N27" i="5"/>
  <c r="P27"/>
  <c r="J25"/>
  <c r="L21" i="81" s="1"/>
  <c r="K21"/>
  <c r="C27" i="5"/>
  <c r="E26"/>
  <c r="G23" i="63"/>
  <c r="I26" i="5"/>
  <c r="D26"/>
  <c r="Q26"/>
  <c r="M22" i="81" s="1"/>
  <c r="H27" l="1"/>
  <c r="AV32" i="7"/>
  <c r="Q27" i="5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H28" i="81" l="1"/>
  <c r="AV33" i="7"/>
  <c r="D28" i="5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AV34" i="7"/>
  <c r="H29" i="81"/>
  <c r="D29" i="5"/>
  <c r="G26" i="63"/>
  <c r="I29" i="5"/>
  <c r="E29"/>
  <c r="J28"/>
  <c r="L24" i="81" s="1"/>
  <c r="K24"/>
  <c r="P30" i="5"/>
  <c r="M28" i="3"/>
  <c r="C30" i="5"/>
  <c r="N30"/>
  <c r="Q29"/>
  <c r="M25" i="81" s="1"/>
  <c r="H30" l="1"/>
  <c r="AV35" i="7"/>
  <c r="M29" i="3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H31" l="1"/>
  <c r="AV36" i="7"/>
  <c r="H32" i="81" s="1"/>
  <c r="E31" i="5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C37"/>
  <c r="I33"/>
  <c r="E33"/>
  <c r="E38" s="1"/>
  <c r="G30" i="63"/>
  <c r="I30" s="1"/>
  <c r="D33" i="5"/>
  <c r="N34"/>
  <c r="P34"/>
  <c r="K28" i="81"/>
  <c r="J32" i="5"/>
  <c r="L28" i="81" s="1"/>
  <c r="Q33" i="5"/>
  <c r="C35" l="1"/>
  <c r="P35"/>
  <c r="E34"/>
  <c r="D34"/>
  <c r="I34"/>
  <c r="M29" i="81"/>
  <c r="Q37" i="5"/>
  <c r="D37"/>
  <c r="D39"/>
  <c r="C38"/>
  <c r="B6" i="77"/>
  <c r="N35" i="5"/>
  <c r="I37"/>
  <c r="J33"/>
  <c r="L29" i="81" s="1"/>
  <c r="K29"/>
  <c r="Q34" i="5"/>
  <c r="M30" i="81" s="1"/>
  <c r="I38" i="5" l="1"/>
  <c r="O38"/>
  <c r="G6" i="77"/>
  <c r="D6"/>
  <c r="E6" s="1"/>
  <c r="F6" s="1"/>
  <c r="E35" i="5"/>
  <c r="I35"/>
  <c r="D35"/>
  <c r="K30" i="81"/>
  <c r="J34" i="5"/>
  <c r="L30" i="81" s="1"/>
  <c r="G39" i="5"/>
  <c r="AJ39"/>
  <c r="AM39" s="1"/>
  <c r="H39"/>
  <c r="Q35"/>
  <c r="M31" i="81" s="1"/>
  <c r="K39" i="5" l="1"/>
  <c r="K31" i="81"/>
  <c r="J35" i="5"/>
  <c r="L31" i="81" s="1"/>
  <c r="AC28" i="76" l="1"/>
  <c r="AC27"/>
  <c r="AC26" l="1"/>
  <c r="AC29" s="1"/>
  <c r="O34" l="1"/>
  <c r="P34" s="1"/>
  <c r="R34" s="1"/>
  <c r="T34" s="1"/>
  <c r="F32" i="81" s="1"/>
  <c r="AC33" i="76"/>
  <c r="AB33" s="1"/>
  <c r="O30"/>
  <c r="P30" s="1"/>
  <c r="R30" s="1"/>
  <c r="T30" s="1"/>
  <c r="F28" i="81" s="1"/>
  <c r="O22" i="76"/>
  <c r="P22" s="1"/>
  <c r="R22" s="1"/>
  <c r="T22" s="1"/>
  <c r="F20" i="81" s="1"/>
  <c r="O14" i="76"/>
  <c r="P14" s="1"/>
  <c r="R14" s="1"/>
  <c r="T14" s="1"/>
  <c r="F12" i="81" s="1"/>
  <c r="O6" i="76"/>
  <c r="P6" s="1"/>
  <c r="R6" s="1"/>
  <c r="T6" s="1"/>
  <c r="F4" i="81" s="1"/>
  <c r="O23" i="76"/>
  <c r="P23" s="1"/>
  <c r="R23" s="1"/>
  <c r="T23" s="1"/>
  <c r="F21" i="81" s="1"/>
  <c r="O7" i="76"/>
  <c r="P7" s="1"/>
  <c r="R7" s="1"/>
  <c r="T7" s="1"/>
  <c r="F5" i="81" s="1"/>
  <c r="O24" i="76"/>
  <c r="P24" s="1"/>
  <c r="R24" s="1"/>
  <c r="T24" s="1"/>
  <c r="F22" i="81" s="1"/>
  <c r="O16" i="76"/>
  <c r="P16" s="1"/>
  <c r="R16" s="1"/>
  <c r="T16" s="1"/>
  <c r="F14" i="81" s="1"/>
  <c r="O8" i="76"/>
  <c r="P8" s="1"/>
  <c r="R8" s="1"/>
  <c r="T8" s="1"/>
  <c r="F6" i="81" s="1"/>
  <c r="O25" i="76"/>
  <c r="P25" s="1"/>
  <c r="R25" s="1"/>
  <c r="T25" s="1"/>
  <c r="F23" i="81" s="1"/>
  <c r="O9" i="76"/>
  <c r="P9" s="1"/>
  <c r="R9" s="1"/>
  <c r="T9" s="1"/>
  <c r="F7" i="81" s="1"/>
  <c r="O31" i="76"/>
  <c r="P31" s="1"/>
  <c r="R31" s="1"/>
  <c r="T31" s="1"/>
  <c r="F29" i="81" s="1"/>
  <c r="O15" i="76"/>
  <c r="P15" s="1"/>
  <c r="R15" s="1"/>
  <c r="T15" s="1"/>
  <c r="F13" i="81" s="1"/>
  <c r="O33" i="76"/>
  <c r="O35" s="1"/>
  <c r="O17"/>
  <c r="O26"/>
  <c r="P26" s="1"/>
  <c r="R26" s="1"/>
  <c r="T26" s="1"/>
  <c r="F24" i="81" s="1"/>
  <c r="O18" i="76"/>
  <c r="P18" s="1"/>
  <c r="R18" s="1"/>
  <c r="T18" s="1"/>
  <c r="F16" i="81" s="1"/>
  <c r="O10" i="76"/>
  <c r="P10" s="1"/>
  <c r="R10" s="1"/>
  <c r="T10" s="1"/>
  <c r="F8" i="81" s="1"/>
  <c r="O27" i="76"/>
  <c r="P27" s="1"/>
  <c r="R27" s="1"/>
  <c r="T27" s="1"/>
  <c r="F25" i="81" s="1"/>
  <c r="O32" i="76"/>
  <c r="P32" s="1"/>
  <c r="R32" s="1"/>
  <c r="T32" s="1"/>
  <c r="F30" i="81" s="1"/>
  <c r="O19" i="76"/>
  <c r="P19" s="1"/>
  <c r="R19" s="1"/>
  <c r="T19" s="1"/>
  <c r="F17" i="81" s="1"/>
  <c r="O28" i="76"/>
  <c r="P28" s="1"/>
  <c r="R28" s="1"/>
  <c r="T28" s="1"/>
  <c r="F26" i="81" s="1"/>
  <c r="O20" i="76"/>
  <c r="P20" s="1"/>
  <c r="R20" s="1"/>
  <c r="T20" s="1"/>
  <c r="F18" i="81" s="1"/>
  <c r="O12" i="76"/>
  <c r="P12" s="1"/>
  <c r="R12" s="1"/>
  <c r="T12" s="1"/>
  <c r="F10" i="81" s="1"/>
  <c r="O4" i="76"/>
  <c r="P4" s="1"/>
  <c r="R4" s="1"/>
  <c r="T4" s="1"/>
  <c r="F2" i="81" s="1"/>
  <c r="O29" i="76"/>
  <c r="P29" s="1"/>
  <c r="R29" s="1"/>
  <c r="T29" s="1"/>
  <c r="F27" i="81" s="1"/>
  <c r="O21" i="76"/>
  <c r="P21" s="1"/>
  <c r="R21" s="1"/>
  <c r="T21" s="1"/>
  <c r="F19" i="81" s="1"/>
  <c r="O13" i="76"/>
  <c r="P13" s="1"/>
  <c r="R13" s="1"/>
  <c r="T13" s="1"/>
  <c r="F11" i="81" s="1"/>
  <c r="O5" i="76"/>
  <c r="O11"/>
  <c r="P11" s="1"/>
  <c r="R11" s="1"/>
  <c r="T11" s="1"/>
  <c r="F9" i="81" s="1"/>
  <c r="P17" i="76"/>
  <c r="R17" s="1"/>
  <c r="T17" s="1"/>
  <c r="F15" i="81" s="1"/>
  <c r="P5" i="76"/>
  <c r="R5" s="1"/>
  <c r="T5" s="1"/>
  <c r="F3" i="81" s="1"/>
  <c r="P33" i="76" l="1"/>
  <c r="R33" s="1"/>
  <c r="T33" s="1"/>
  <c r="F31" i="81" s="1"/>
  <c r="AD35" i="76"/>
  <c r="AB36" l="1"/>
  <c r="AB38" s="1"/>
  <c r="D10" i="77"/>
  <c r="E10" s="1"/>
  <c r="G10" s="1"/>
  <c r="G12" s="1"/>
  <c r="F10" l="1"/>
  <c r="F12" s="1"/>
  <c r="E12"/>
  <c r="H14"/>
  <c r="I14"/>
  <c r="AX5" i="1" l="1"/>
  <c r="AX6" l="1"/>
  <c r="J2" i="81"/>
  <c r="AS7" i="5"/>
  <c r="AY6"/>
  <c r="J3" i="81" l="1"/>
  <c r="AX7" i="1"/>
  <c r="AY7" i="5"/>
  <c r="BB7" s="1"/>
  <c r="BE7" s="1"/>
  <c r="AS8"/>
  <c r="BB6"/>
  <c r="BE6" s="1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AY9" l="1"/>
  <c r="BB9" s="1"/>
  <c r="BE9" s="1"/>
  <c r="AS10"/>
  <c r="I4" i="63"/>
  <c r="BF8" i="5"/>
  <c r="BG8" s="1"/>
  <c r="G8" i="65" s="1"/>
  <c r="J5" i="81"/>
  <c r="AX9" i="1"/>
  <c r="G5" i="65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BB26" i="5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AX35" s="1"/>
  <c r="J32" i="81" s="1"/>
  <c r="BF33" i="5"/>
  <c r="BG33" s="1"/>
  <c r="G33" i="65" s="1"/>
  <c r="I29" i="63"/>
  <c r="AY35" i="5" l="1"/>
  <c r="BB35" s="1"/>
  <c r="BE35" s="1"/>
  <c r="BF35" s="1"/>
  <c r="BG35" s="1"/>
  <c r="J31" i="81"/>
  <c r="AB6" i="3" l="1"/>
  <c r="AA6" l="1"/>
  <c r="AC6" s="1"/>
  <c r="AH6" s="1"/>
  <c r="AB7" l="1"/>
  <c r="AA7"/>
  <c r="AC7" s="1"/>
  <c r="AH7" s="1"/>
  <c r="AB8" l="1"/>
  <c r="U8"/>
  <c r="AA8" l="1"/>
  <c r="AC8" s="1"/>
  <c r="AH8" s="1"/>
  <c r="AB17"/>
  <c r="U17"/>
  <c r="AB24"/>
  <c r="U24"/>
  <c r="AA24" l="1"/>
  <c r="AC24" s="1"/>
  <c r="AH24" s="1"/>
  <c r="AA17"/>
  <c r="AC17" s="1"/>
  <c r="AH17" s="1"/>
  <c r="AB28"/>
  <c r="U28"/>
  <c r="AA28" l="1"/>
  <c r="AC28" s="1"/>
  <c r="AH28" s="1"/>
  <c r="AV5" i="7" l="1"/>
  <c r="AV6" s="1"/>
  <c r="H2" i="81" l="1"/>
  <c r="AV7" i="7"/>
  <c r="AW5"/>
  <c r="H3" i="81" l="1"/>
  <c r="AV8" i="7"/>
  <c r="AX5"/>
  <c r="H4" i="81" l="1"/>
  <c r="AV9" i="7"/>
  <c r="AY5"/>
  <c r="H5" i="81" l="1"/>
  <c r="AV10" i="7"/>
  <c r="H6" i="81" l="1"/>
  <c r="AV11" i="7"/>
  <c r="AV12" l="1"/>
  <c r="H7" i="81"/>
  <c r="AV13" i="7" l="1"/>
  <c r="H8" i="81"/>
  <c r="H9" l="1"/>
  <c r="AV14" i="7"/>
  <c r="AV15" l="1"/>
  <c r="H11" i="81" s="1"/>
  <c r="H10"/>
</calcChain>
</file>

<file path=xl/comments1.xml><?xml version="1.0" encoding="utf-8"?>
<comments xmlns="http://schemas.openxmlformats.org/spreadsheetml/2006/main">
  <authors>
    <author>amjad.abouhassan</author>
  </authors>
  <commentList>
    <comment ref="D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MDB power meter ooo
</t>
        </r>
      </text>
    </comment>
    <comment ref="D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MDB power meter ooo
</t>
        </r>
      </text>
    </comment>
    <comment ref="D8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MDB power meter ooo
</t>
        </r>
      </text>
    </comment>
  </commentList>
</comments>
</file>

<file path=xl/comments2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3.xml><?xml version="1.0" encoding="utf-8"?>
<comments xmlns="http://schemas.openxmlformats.org/spreadsheetml/2006/main">
  <authors>
    <author>suzan.abousleiman</author>
  </authors>
  <commentList>
    <comment ref="A19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records are not taken neither recorded - they copy paste 15th May record to 16th on the excel sheet they work on (Fixed manually)</t>
        </r>
      </text>
    </comment>
  </commentList>
</comments>
</file>

<file path=xl/comments4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5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<sst xmlns="http://schemas.openxmlformats.org/spreadsheetml/2006/main" count="664" uniqueCount="423">
  <si>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</si>
  <si>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</si>
  <si>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</si>
  <si>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</si>
  <si>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</si>
  <si>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</si>
  <si>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</si>
  <si>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</si>
  <si>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</si>
  <si>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</si>
  <si>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</si>
  <si>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</si>
  <si>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</si>
  <si>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</si>
  <si>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</si>
  <si>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</si>
  <si>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</si>
  <si>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</si>
  <si>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</si>
  <si>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</si>
  <si>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</si>
  <si>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</si>
  <si>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</si>
  <si>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</si>
  <si>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</si>
  <si>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</si>
  <si>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</si>
  <si>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</si>
  <si>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</si>
  <si>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</si>
  <si>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</si>
  <si>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</si>
  <si>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</si>
  <si>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</si>
  <si>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</si>
  <si>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</si>
  <si>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</si>
  <si>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</si>
  <si>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</si>
  <si>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</si>
  <si>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</si>
  <si>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</si>
  <si>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</si>
  <si>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</si>
  <si>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</si>
  <si>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</si>
  <si>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</si>
  <si>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</si>
  <si>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</si>
  <si>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</si>
  <si>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</si>
  <si>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</si>
  <si>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</si>
  <si>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</si>
  <si>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</si>
  <si>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</si>
  <si>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</si>
  <si>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</si>
  <si>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</si>
  <si>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</si>
  <si>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</si>
  <si>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</si>
  <si>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</si>
  <si>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</si>
  <si>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</si>
  <si>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</si>
  <si>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</si>
  <si>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</si>
  <si>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</si>
  <si>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</si>
  <si>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</si>
  <si>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</si>
  <si>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</si>
  <si>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</si>
  <si>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</si>
  <si>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</si>
  <si>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</si>
  <si>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</si>
  <si>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</si>
  <si>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</si>
  <si>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</si>
  <si>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</si>
  <si>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</si>
  <si>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</si>
  <si>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</si>
  <si>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</si>
  <si>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</si>
  <si>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</si>
  <si>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</si>
  <si>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</si>
  <si>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</si>
  <si>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</si>
  <si>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</si>
  <si>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</si>
  <si>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</si>
  <si>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</si>
  <si>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</si>
  <si>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</si>
  <si>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</si>
  <si>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</si>
  <si>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</si>
  <si>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</si>
  <si>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</si>
  <si>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</si>
  <si>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</si>
  <si>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</si>
  <si>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</si>
  <si>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</si>
  <si>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</si>
  <si>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</si>
  <si>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</si>
  <si>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</si>
  <si>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</si>
  <si>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</si>
  <si>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</si>
  <si>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</si>
  <si>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</si>
  <si>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</si>
  <si>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</si>
  <si>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</si>
  <si>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</si>
  <si>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</si>
  <si>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</si>
  <si>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</si>
  <si>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</si>
  <si>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</si>
  <si>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</si>
  <si>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</si>
  <si>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</si>
  <si>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</si>
  <si>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</si>
  <si>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</si>
  <si>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</si>
  <si>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</si>
  <si>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</si>
  <si>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</si>
  <si>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</si>
  <si>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</si>
  <si>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</si>
  <si>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</si>
  <si>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</si>
  <si>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</si>
  <si>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</si>
  <si>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</si>
  <si>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</si>
  <si>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</si>
  <si>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</si>
  <si>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</si>
  <si>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</si>
  <si>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</si>
  <si>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</si>
  <si>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</si>
  <si>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</si>
  <si>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</si>
  <si>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</si>
  <si>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</si>
  <si>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</si>
  <si>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</si>
  <si>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</si>
  <si>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</si>
  <si>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</si>
  <si>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</si>
  <si>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</si>
  <si>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</si>
  <si>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</si>
  <si>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</si>
  <si>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</si>
  <si>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</si>
  <si>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</si>
  <si>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</si>
  <si>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</si>
  <si>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</si>
  <si>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</si>
  <si>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</si>
  <si>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</si>
  <si>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</si>
  <si>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</si>
  <si>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</si>
  <si>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</si>
  <si>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</si>
  <si>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</si>
  <si>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</si>
  <si>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</si>
  <si>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</si>
  <si>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</si>
  <si>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</si>
  <si>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</si>
  <si>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</si>
  <si>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</si>
  <si>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</si>
  <si>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</si>
  <si>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</si>
  <si>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</si>
  <si>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</si>
  <si>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</si>
  <si>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</si>
  <si>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</si>
  <si>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</si>
  <si>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</si>
  <si>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</si>
  <si>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</si>
  <si>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</si>
  <si>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</si>
  <si>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</si>
  <si>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</si>
  <si>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</si>
  <si>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</si>
  <si>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</si>
  <si>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</si>
  <si>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</si>
  <si>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</si>
  <si>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</si>
  <si>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</si>
  <si>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</si>
  <si>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</si>
  <si>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</si>
  <si>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</si>
  <si>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</si>
  <si>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</si>
  <si>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</si>
  <si>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</si>
  <si>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</si>
  <si>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</si>
  <si>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</si>
  <si>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</si>
  <si>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</si>
  <si>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</si>
  <si>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</si>
  <si>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</si>
  <si>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</si>
  <si>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</si>
  <si>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</si>
  <si>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</si>
  <si>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</si>
  <si>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</si>
  <si>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</si>
  <si>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</si>
  <si>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</si>
  <si>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</si>
  <si>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</si>
  <si>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</si>
  <si>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</si>
  <si>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</si>
  <si>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</si>
  <si>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</si>
  <si>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</si>
  <si>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</si>
  <si>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</si>
  <si>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</si>
  <si>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</si>
  <si>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</si>
  <si>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</si>
  <si>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</si>
  <si>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</si>
  <si>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</si>
  <si>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</si>
  <si>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</si>
  <si>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</si>
  <si>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</si>
  <si>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</si>
  <si>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</si>
  <si>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</si>
  <si>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</si>
  <si>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</si>
  <si>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</si>
  <si>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</si>
  <si>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</si>
  <si>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</si>
  <si>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</si>
  <si>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</si>
  <si>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</si>
  <si>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</si>
  <si>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</si>
  <si>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</si>
  <si>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</si>
  <si>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</si>
  <si>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</si>
  <si>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</si>
  <si>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</si>
  <si>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</si>
  <si>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</si>
  <si>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</si>
  <si>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</si>
  <si>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</si>
  <si>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</si>
  <si>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</si>
  <si>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</si>
  <si>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</si>
  <si>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</si>
  <si>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</si>
  <si>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</si>
  <si>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</si>
  <si>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</si>
  <si>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</si>
  <si>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</si>
  <si>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</si>
  <si>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</si>
  <si>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</si>
  <si>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</si>
  <si>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</si>
  <si>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</si>
  <si>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</si>
  <si>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</si>
  <si>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</si>
  <si>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</si>
  <si>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</si>
  <si>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</si>
  <si>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</si>
  <si>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</si>
  <si>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</si>
  <si>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</si>
  <si>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</si>
  <si>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</si>
  <si>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</si>
  <si>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</si>
  <si>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</si>
  <si>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</si>
  <si>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</si>
  <si>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</si>
  <si>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</si>
  <si>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</si>
  <si>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</si>
  <si>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</si>
  <si>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</si>
  <si>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</si>
  <si>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</si>
  <si>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</si>
  <si>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</si>
  <si>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</si>
  <si>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</si>
  <si>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</si>
  <si>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</si>
  <si>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</si>
  <si>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</si>
  <si>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</si>
  <si>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</si>
  <si>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</si>
  <si>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</si>
  <si>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</si>
  <si>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</si>
  <si>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</si>
  <si>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</si>
  <si>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</si>
  <si>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</si>
  <si>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</si>
  <si>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</si>
  <si>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</si>
  <si>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</si>
  <si>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</si>
  <si>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</si>
  <si>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</si>
  <si>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</si>
  <si>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</si>
  <si>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</si>
  <si>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</si>
  <si>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</si>
  <si>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</si>
  <si>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</si>
  <si>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</si>
  <si>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</si>
  <si>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</si>
  <si>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</si>
  <si>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</si>
  <si>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</si>
  <si>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</si>
  <si>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</si>
  <si>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</si>
  <si>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</si>
  <si>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</si>
  <si>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</si>
  <si>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</si>
  <si>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</si>
  <si>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</si>
  <si>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</si>
  <si>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</si>
  <si>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</si>
  <si>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</si>
  <si>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</si>
  <si>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</si>
  <si>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</si>
  <si>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</si>
  <si>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</si>
  <si>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</si>
  <si>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</si>
  <si>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</si>
  <si>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</si>
  <si>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</si>
  <si>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</si>
  <si>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</si>
  <si>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</si>
  <si>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</si>
  <si>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</si>
  <si>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</si>
  <si>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</si>
  <si>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</si>
  <si>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</si>
  <si>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</si>
  <si>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</si>
  <si>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</si>
  <si>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</si>
  <si>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</si>
  <si>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</si>
  <si>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</si>
  <si>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</si>
  <si>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</si>
  <si>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</si>
  <si>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</si>
  <si>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</si>
  <si>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</si>
  <si>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</si>
  <si>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</si>
  <si>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</si>
  <si>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</si>
  <si>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</si>
  <si>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</si>
  <si>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</si>
  <si>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</si>
  <si>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>ok</t>
  </si>
  <si>
    <t xml:space="preserve">Normal </t>
  </si>
  <si>
    <t xml:space="preserve">Emergency </t>
  </si>
  <si>
    <t xml:space="preserve">Deference </t>
  </si>
  <si>
    <t xml:space="preserve">ATS 4 till power meter is for MDB 3 is replaced </t>
  </si>
  <si>
    <t>0,4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</si>
</sst>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2"/>
      <color indexed="81"/>
      <name val="Tahoma"/>
      <family val="2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/>
      <right style="thin">
        <color rgb="FFFF0000"/>
      </right>
      <top/>
      <bottom style="medium">
        <color indexed="64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7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43" fontId="0" fillId="0" borderId="1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43" xfId="0" applyNumberForma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73" fontId="0" fillId="30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73" fontId="0" fillId="2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1" fillId="3" borderId="0" xfId="0" applyNumberFormat="1" applyFont="1" applyFill="1" applyBorder="1" applyAlignment="1">
      <alignment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10" fontId="0" fillId="0" borderId="0" xfId="4" applyNumberFormat="1" applyFont="1"/>
    <xf numFmtId="10" fontId="0" fillId="0" borderId="43" xfId="4" applyNumberFormat="1" applyFont="1" applyBorder="1" applyAlignment="1">
      <alignment horizontal="center"/>
    </xf>
    <xf numFmtId="10" fontId="0" fillId="0" borderId="1" xfId="4" applyNumberFormat="1" applyFont="1" applyBorder="1" applyAlignment="1">
      <alignment horizontal="center" vertical="center"/>
    </xf>
    <xf numFmtId="10" fontId="0" fillId="0" borderId="0" xfId="4" applyNumberFormat="1" applyFont="1" applyBorder="1"/>
    <xf numFmtId="167" fontId="0" fillId="0" borderId="43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/>
    <xf numFmtId="9" fontId="18" fillId="14" borderId="1" xfId="4" applyFont="1" applyFill="1" applyBorder="1"/>
    <xf numFmtId="9" fontId="18" fillId="14" borderId="7" xfId="4" applyFont="1" applyFill="1" applyBorder="1"/>
    <xf numFmtId="1" fontId="24" fillId="14" borderId="7" xfId="0" applyNumberFormat="1" applyFont="1" applyFill="1" applyBorder="1"/>
    <xf numFmtId="0" fontId="0" fillId="14" borderId="1" xfId="0" applyFill="1" applyBorder="1"/>
    <xf numFmtId="2" fontId="24" fillId="14" borderId="7" xfId="0" applyNumberFormat="1" applyFont="1" applyFill="1" applyBorder="1"/>
    <xf numFmtId="0" fontId="24" fillId="14" borderId="12" xfId="0" applyFont="1" applyFill="1" applyBorder="1"/>
    <xf numFmtId="0" fontId="0" fillId="0" borderId="1" xfId="0" applyBorder="1" applyAlignment="1">
      <alignment horizontal="center" vertical="center"/>
    </xf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0" fontId="0" fillId="0" borderId="73" xfId="0" applyBorder="1" applyAlignment="1">
      <alignment horizontal="left"/>
    </xf>
    <xf numFmtId="0" fontId="0" fillId="0" borderId="76" xfId="0" applyBorder="1" applyAlignment="1">
      <alignment horizontal="left"/>
    </xf>
    <xf numFmtId="0" fontId="0" fillId="2" borderId="77" xfId="0" applyFont="1" applyFill="1" applyBorder="1"/>
    <xf numFmtId="14" fontId="0" fillId="0" borderId="76" xfId="0" applyNumberFormat="1" applyBorder="1" applyAlignment="1">
      <alignment horizontal="left"/>
    </xf>
    <xf numFmtId="0" fontId="0" fillId="0" borderId="77" xfId="0" applyBorder="1"/>
    <xf numFmtId="0" fontId="0" fillId="0" borderId="78" xfId="0" applyBorder="1"/>
    <xf numFmtId="0" fontId="0" fillId="0" borderId="79" xfId="0" applyBorder="1" applyAlignment="1">
      <alignment horizontal="left"/>
    </xf>
    <xf numFmtId="0" fontId="0" fillId="0" borderId="80" xfId="0" applyBorder="1" applyAlignment="1">
      <alignment horizontal="left"/>
    </xf>
    <xf numFmtId="0" fontId="0" fillId="0" borderId="8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0" applyNumberFormat="1" applyBorder="1" applyAlignment="1">
      <alignment horizontal="center"/>
    </xf>
    <xf numFmtId="43" fontId="0" fillId="0" borderId="43" xfId="1" applyFont="1" applyBorder="1" applyAlignment="1">
      <alignment horizontal="center"/>
    </xf>
    <xf numFmtId="0" fontId="0" fillId="24" borderId="43" xfId="0" applyFill="1" applyBorder="1" applyAlignment="1">
      <alignment horizontal="center"/>
    </xf>
    <xf numFmtId="43" fontId="0" fillId="24" borderId="43" xfId="0" applyNumberFormat="1" applyFill="1" applyBorder="1" applyAlignment="1">
      <alignment horizontal="center"/>
    </xf>
    <xf numFmtId="1" fontId="0" fillId="30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41" fontId="0" fillId="8" borderId="1" xfId="0" applyNumberFormat="1" applyFill="1" applyBorder="1" applyAlignment="1">
      <alignment wrapText="1"/>
    </xf>
    <xf numFmtId="0" fontId="0" fillId="0" borderId="15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2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Fill="1" applyBorder="1"/>
    <xf numFmtId="0" fontId="0" fillId="3" borderId="23" xfId="0" applyFill="1" applyBorder="1" applyAlignment="1">
      <alignment horizontal="center"/>
    </xf>
    <xf numFmtId="2" fontId="0" fillId="3" borderId="44" xfId="0" applyNumberFormat="1" applyFill="1" applyBorder="1"/>
    <xf numFmtId="43" fontId="0" fillId="11" borderId="24" xfId="0" applyNumberFormat="1" applyFill="1" applyBorder="1"/>
    <xf numFmtId="43" fontId="23" fillId="12" borderId="82" xfId="0" applyNumberFormat="1" applyFont="1" applyFill="1" applyBorder="1"/>
    <xf numFmtId="0" fontId="0" fillId="3" borderId="7" xfId="0" applyFill="1" applyBorder="1" applyAlignment="1">
      <alignment horizontal="center"/>
    </xf>
    <xf numFmtId="0" fontId="21" fillId="3" borderId="1" xfId="0" applyNumberFormat="1" applyFont="1" applyFill="1" applyBorder="1" applyAlignment="1">
      <alignment vertical="top" wrapText="1"/>
    </xf>
    <xf numFmtId="4" fontId="21" fillId="3" borderId="1" xfId="0" applyNumberFormat="1" applyFont="1" applyFill="1" applyBorder="1" applyAlignment="1">
      <alignment horizontal="center" vertical="top" wrapText="1"/>
    </xf>
    <xf numFmtId="2" fontId="0" fillId="3" borderId="1" xfId="0" applyNumberFormat="1" applyFill="1" applyBorder="1"/>
    <xf numFmtId="43" fontId="0" fillId="11" borderId="1" xfId="0" applyNumberFormat="1" applyFill="1" applyBorder="1"/>
    <xf numFmtId="43" fontId="23" fillId="12" borderId="1" xfId="0" applyNumberFormat="1" applyFont="1" applyFill="1" applyBorder="1"/>
    <xf numFmtId="178" fontId="0" fillId="0" borderId="0" xfId="0" applyNumberFormat="1"/>
    <xf numFmtId="178" fontId="0" fillId="0" borderId="1" xfId="0" applyNumberFormat="1" applyBorder="1"/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2" borderId="74" xfId="0" applyFont="1" applyFill="1" applyBorder="1" applyAlignment="1">
      <alignment horizontal="center"/>
    </xf>
    <xf numFmtId="0" fontId="0" fillId="2" borderId="75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>
                  <c:v>7873</c:v>
                </c:pt>
                <c:pt idx="1">
                  <c:v>8346</c:v>
                </c:pt>
                <c:pt idx="2">
                  <c:v>6548</c:v>
                </c:pt>
                <c:pt idx="3">
                  <c:v>7179</c:v>
                </c:pt>
                <c:pt idx="4">
                  <c:v>8383</c:v>
                </c:pt>
                <c:pt idx="5">
                  <c:v>4768</c:v>
                </c:pt>
                <c:pt idx="6">
                  <c:v>3912</c:v>
                </c:pt>
                <c:pt idx="7">
                  <c:v>8995.3999999999069</c:v>
                </c:pt>
                <c:pt idx="8">
                  <c:v>8249.8000000002794</c:v>
                </c:pt>
                <c:pt idx="9">
                  <c:v>9025.7999999998137</c:v>
                </c:pt>
                <c:pt idx="10">
                  <c:v>9481</c:v>
                </c:pt>
                <c:pt idx="11">
                  <c:v>9028</c:v>
                </c:pt>
                <c:pt idx="12">
                  <c:v>9411</c:v>
                </c:pt>
                <c:pt idx="13">
                  <c:v>9646</c:v>
                </c:pt>
                <c:pt idx="14">
                  <c:v>8868</c:v>
                </c:pt>
                <c:pt idx="15">
                  <c:v>7587</c:v>
                </c:pt>
                <c:pt idx="16">
                  <c:v>12839</c:v>
                </c:pt>
                <c:pt idx="17">
                  <c:v>10089</c:v>
                </c:pt>
                <c:pt idx="18">
                  <c:v>10297</c:v>
                </c:pt>
                <c:pt idx="19">
                  <c:v>15339</c:v>
                </c:pt>
                <c:pt idx="20">
                  <c:v>8897</c:v>
                </c:pt>
                <c:pt idx="21">
                  <c:v>10235</c:v>
                </c:pt>
                <c:pt idx="22">
                  <c:v>12191</c:v>
                </c:pt>
                <c:pt idx="23">
                  <c:v>8568</c:v>
                </c:pt>
                <c:pt idx="24">
                  <c:v>13728</c:v>
                </c:pt>
                <c:pt idx="25">
                  <c:v>9803</c:v>
                </c:pt>
                <c:pt idx="26">
                  <c:v>14177</c:v>
                </c:pt>
                <c:pt idx="27">
                  <c:v>11827</c:v>
                </c:pt>
                <c:pt idx="28">
                  <c:v>14989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92043520"/>
        <c:axId val="92057600"/>
      </c:lineChart>
      <c:catAx>
        <c:axId val="92043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57600"/>
        <c:crosses val="autoZero"/>
        <c:auto val="1"/>
        <c:lblAlgn val="ctr"/>
        <c:lblOffset val="100"/>
      </c:catAx>
      <c:valAx>
        <c:axId val="920576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43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1767</c:v>
                </c:pt>
                <c:pt idx="1">
                  <c:v>2387</c:v>
                </c:pt>
                <c:pt idx="2">
                  <c:v>2417</c:v>
                </c:pt>
                <c:pt idx="3">
                  <c:v>2266</c:v>
                </c:pt>
                <c:pt idx="4">
                  <c:v>1887</c:v>
                </c:pt>
                <c:pt idx="5">
                  <c:v>2086</c:v>
                </c:pt>
                <c:pt idx="6">
                  <c:v>1954</c:v>
                </c:pt>
                <c:pt idx="7">
                  <c:v>1746</c:v>
                </c:pt>
                <c:pt idx="8">
                  <c:v>1584</c:v>
                </c:pt>
                <c:pt idx="9">
                  <c:v>1552</c:v>
                </c:pt>
                <c:pt idx="10">
                  <c:v>1774</c:v>
                </c:pt>
                <c:pt idx="11">
                  <c:v>1803</c:v>
                </c:pt>
                <c:pt idx="12">
                  <c:v>1249</c:v>
                </c:pt>
                <c:pt idx="13">
                  <c:v>1667</c:v>
                </c:pt>
                <c:pt idx="14">
                  <c:v>1927</c:v>
                </c:pt>
                <c:pt idx="15">
                  <c:v>1696</c:v>
                </c:pt>
                <c:pt idx="16">
                  <c:v>697</c:v>
                </c:pt>
                <c:pt idx="17">
                  <c:v>2265</c:v>
                </c:pt>
                <c:pt idx="18">
                  <c:v>1742</c:v>
                </c:pt>
                <c:pt idx="19">
                  <c:v>1828</c:v>
                </c:pt>
                <c:pt idx="20">
                  <c:v>920</c:v>
                </c:pt>
                <c:pt idx="21">
                  <c:v>1307</c:v>
                </c:pt>
                <c:pt idx="22">
                  <c:v>968</c:v>
                </c:pt>
                <c:pt idx="23">
                  <c:v>1687</c:v>
                </c:pt>
                <c:pt idx="24">
                  <c:v>784</c:v>
                </c:pt>
                <c:pt idx="25">
                  <c:v>1982</c:v>
                </c:pt>
                <c:pt idx="26">
                  <c:v>739</c:v>
                </c:pt>
                <c:pt idx="27">
                  <c:v>1407</c:v>
                </c:pt>
                <c:pt idx="28">
                  <c:v>746</c:v>
                </c:pt>
                <c:pt idx="29">
                  <c:v>1787</c:v>
                </c:pt>
                <c:pt idx="30">
                  <c:v>813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92737920"/>
        <c:axId val="92739456"/>
      </c:lineChart>
      <c:catAx>
        <c:axId val="92737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39456"/>
        <c:crosses val="autoZero"/>
        <c:auto val="1"/>
        <c:lblAlgn val="ctr"/>
        <c:lblOffset val="100"/>
      </c:catAx>
      <c:valAx>
        <c:axId val="92739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37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531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92768128"/>
        <c:axId val="92769664"/>
      </c:lineChart>
      <c:catAx>
        <c:axId val="92768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69664"/>
        <c:crosses val="autoZero"/>
        <c:auto val="1"/>
        <c:lblAlgn val="ctr"/>
        <c:lblOffset val="100"/>
      </c:catAx>
      <c:valAx>
        <c:axId val="9276966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68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135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92794240"/>
        <c:axId val="92144768"/>
      </c:lineChart>
      <c:catAx>
        <c:axId val="92794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44768"/>
        <c:crosses val="autoZero"/>
        <c:auto val="1"/>
        <c:lblAlgn val="ctr"/>
        <c:lblOffset val="100"/>
      </c:catAx>
      <c:valAx>
        <c:axId val="9214476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94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178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206.4</c:v>
                </c:pt>
                <c:pt idx="1">
                  <c:v>289.5</c:v>
                </c:pt>
                <c:pt idx="2">
                  <c:v>198.6</c:v>
                </c:pt>
                <c:pt idx="3">
                  <c:v>253.8</c:v>
                </c:pt>
                <c:pt idx="4">
                  <c:v>198.66666666666666</c:v>
                </c:pt>
                <c:pt idx="5">
                  <c:v>231.5</c:v>
                </c:pt>
                <c:pt idx="6">
                  <c:v>196.5</c:v>
                </c:pt>
                <c:pt idx="7">
                  <c:v>221.57142857142858</c:v>
                </c:pt>
                <c:pt idx="8">
                  <c:v>227.25</c:v>
                </c:pt>
                <c:pt idx="9">
                  <c:v>257.625</c:v>
                </c:pt>
                <c:pt idx="10">
                  <c:v>203.14285714285714</c:v>
                </c:pt>
                <c:pt idx="11">
                  <c:v>241.22222222222223</c:v>
                </c:pt>
                <c:pt idx="12">
                  <c:v>247.625</c:v>
                </c:pt>
                <c:pt idx="13">
                  <c:v>210.5</c:v>
                </c:pt>
                <c:pt idx="14">
                  <c:v>233.8</c:v>
                </c:pt>
                <c:pt idx="15">
                  <c:v>242.09090909090909</c:v>
                </c:pt>
                <c:pt idx="16">
                  <c:v>227.5</c:v>
                </c:pt>
                <c:pt idx="17">
                  <c:v>191.90909090909091</c:v>
                </c:pt>
                <c:pt idx="18">
                  <c:v>213.2</c:v>
                </c:pt>
                <c:pt idx="19">
                  <c:v>201.66666666666666</c:v>
                </c:pt>
                <c:pt idx="20">
                  <c:v>217.88888888888889</c:v>
                </c:pt>
                <c:pt idx="21">
                  <c:v>179.21428571428572</c:v>
                </c:pt>
                <c:pt idx="22">
                  <c:v>202</c:v>
                </c:pt>
                <c:pt idx="23">
                  <c:v>196.4375</c:v>
                </c:pt>
                <c:pt idx="24">
                  <c:v>225</c:v>
                </c:pt>
                <c:pt idx="25">
                  <c:v>185.625</c:v>
                </c:pt>
                <c:pt idx="26">
                  <c:v>260</c:v>
                </c:pt>
                <c:pt idx="27">
                  <c:v>208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92177536"/>
        <c:axId val="92179072"/>
      </c:lineChart>
      <c:catAx>
        <c:axId val="92177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79072"/>
        <c:crosses val="autoZero"/>
        <c:auto val="1"/>
        <c:lblAlgn val="ctr"/>
        <c:lblOffset val="100"/>
      </c:catAx>
      <c:valAx>
        <c:axId val="921790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77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539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</c:v>
                </c:pt>
                <c:pt idx="26">
                  <c:v>0</c:v>
                </c:pt>
                <c:pt idx="27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92826624"/>
        <c:axId val="92836608"/>
      </c:lineChart>
      <c:catAx>
        <c:axId val="92826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836608"/>
        <c:crosses val="autoZero"/>
        <c:auto val="1"/>
        <c:lblAlgn val="ctr"/>
        <c:lblOffset val="100"/>
      </c:catAx>
      <c:valAx>
        <c:axId val="92836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826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93192960"/>
        <c:axId val="93194496"/>
      </c:lineChart>
      <c:catAx>
        <c:axId val="93192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94496"/>
        <c:crosses val="autoZero"/>
        <c:auto val="1"/>
        <c:lblAlgn val="ctr"/>
        <c:lblOffset val="100"/>
      </c:catAx>
      <c:valAx>
        <c:axId val="93194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92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7</c:v>
                </c:pt>
                <c:pt idx="1">
                  <c:v>0</c:v>
                </c:pt>
                <c:pt idx="2">
                  <c:v>289</c:v>
                </c:pt>
                <c:pt idx="3">
                  <c:v>0</c:v>
                </c:pt>
                <c:pt idx="4">
                  <c:v>295</c:v>
                </c:pt>
                <c:pt idx="5">
                  <c:v>0</c:v>
                </c:pt>
                <c:pt idx="6">
                  <c:v>293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341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435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93218688"/>
        <c:axId val="93220224"/>
      </c:lineChart>
      <c:catAx>
        <c:axId val="93218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20224"/>
        <c:crosses val="autoZero"/>
        <c:auto val="1"/>
        <c:lblAlgn val="ctr"/>
        <c:lblOffset val="100"/>
      </c:catAx>
      <c:valAx>
        <c:axId val="93220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18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23.5</c:v>
                </c:pt>
                <c:pt idx="1">
                  <c:v>23</c:v>
                </c:pt>
                <c:pt idx="2">
                  <c:v>24</c:v>
                </c:pt>
                <c:pt idx="3">
                  <c:v>22.5</c:v>
                </c:pt>
                <c:pt idx="4">
                  <c:v>23</c:v>
                </c:pt>
                <c:pt idx="5">
                  <c:v>22</c:v>
                </c:pt>
                <c:pt idx="6">
                  <c:v>23</c:v>
                </c:pt>
                <c:pt idx="7">
                  <c:v>24.5</c:v>
                </c:pt>
                <c:pt idx="8">
                  <c:v>24.5</c:v>
                </c:pt>
                <c:pt idx="9">
                  <c:v>22</c:v>
                </c:pt>
                <c:pt idx="10">
                  <c:v>21</c:v>
                </c:pt>
                <c:pt idx="11">
                  <c:v>22</c:v>
                </c:pt>
                <c:pt idx="12">
                  <c:v>21</c:v>
                </c:pt>
                <c:pt idx="13">
                  <c:v>22.5</c:v>
                </c:pt>
                <c:pt idx="14">
                  <c:v>23.5</c:v>
                </c:pt>
                <c:pt idx="15">
                  <c:v>21.5</c:v>
                </c:pt>
                <c:pt idx="16">
                  <c:v>22.5</c:v>
                </c:pt>
                <c:pt idx="17">
                  <c:v>23</c:v>
                </c:pt>
                <c:pt idx="18">
                  <c:v>23</c:v>
                </c:pt>
                <c:pt idx="19">
                  <c:v>23.5</c:v>
                </c:pt>
                <c:pt idx="20">
                  <c:v>24.5</c:v>
                </c:pt>
                <c:pt idx="21">
                  <c:v>24.5</c:v>
                </c:pt>
                <c:pt idx="22">
                  <c:v>23.5</c:v>
                </c:pt>
                <c:pt idx="23">
                  <c:v>24.5</c:v>
                </c:pt>
                <c:pt idx="24">
                  <c:v>24.5</c:v>
                </c:pt>
                <c:pt idx="25">
                  <c:v>24.5</c:v>
                </c:pt>
                <c:pt idx="26">
                  <c:v>23.5</c:v>
                </c:pt>
                <c:pt idx="27">
                  <c:v>24.5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93244800"/>
        <c:axId val="93267072"/>
      </c:lineChart>
      <c:catAx>
        <c:axId val="93244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67072"/>
        <c:crosses val="autoZero"/>
        <c:auto val="1"/>
        <c:lblAlgn val="ctr"/>
        <c:lblOffset val="100"/>
      </c:catAx>
      <c:valAx>
        <c:axId val="932670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44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887"/>
          <c:w val="0.1272403315177463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93308032"/>
        <c:axId val="93309568"/>
      </c:lineChart>
      <c:catAx>
        <c:axId val="93308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09568"/>
        <c:crosses val="autoZero"/>
        <c:auto val="1"/>
        <c:lblAlgn val="ctr"/>
        <c:lblOffset val="100"/>
      </c:catAx>
      <c:valAx>
        <c:axId val="93309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08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8</c:v>
                </c:pt>
                <c:pt idx="4">
                  <c:v>9</c:v>
                </c:pt>
                <c:pt idx="5">
                  <c:v>6</c:v>
                </c:pt>
                <c:pt idx="6">
                  <c:v>8.5</c:v>
                </c:pt>
                <c:pt idx="7">
                  <c:v>8.6000000000003638</c:v>
                </c:pt>
                <c:pt idx="8">
                  <c:v>8.8999999999996362</c:v>
                </c:pt>
                <c:pt idx="9">
                  <c:v>9</c:v>
                </c:pt>
                <c:pt idx="10">
                  <c:v>10</c:v>
                </c:pt>
                <c:pt idx="11">
                  <c:v>12</c:v>
                </c:pt>
                <c:pt idx="12">
                  <c:v>9</c:v>
                </c:pt>
                <c:pt idx="13">
                  <c:v>10</c:v>
                </c:pt>
                <c:pt idx="14">
                  <c:v>7</c:v>
                </c:pt>
                <c:pt idx="15">
                  <c:v>16</c:v>
                </c:pt>
                <c:pt idx="16">
                  <c:v>9</c:v>
                </c:pt>
                <c:pt idx="17">
                  <c:v>11</c:v>
                </c:pt>
                <c:pt idx="18">
                  <c:v>16</c:v>
                </c:pt>
                <c:pt idx="19">
                  <c:v>10</c:v>
                </c:pt>
                <c:pt idx="20">
                  <c:v>12</c:v>
                </c:pt>
                <c:pt idx="21">
                  <c:v>16</c:v>
                </c:pt>
                <c:pt idx="22">
                  <c:v>8</c:v>
                </c:pt>
                <c:pt idx="23">
                  <c:v>17</c:v>
                </c:pt>
                <c:pt idx="24">
                  <c:v>9</c:v>
                </c:pt>
                <c:pt idx="25">
                  <c:v>18</c:v>
                </c:pt>
                <c:pt idx="26">
                  <c:v>13</c:v>
                </c:pt>
                <c:pt idx="27">
                  <c:v>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93518464"/>
        <c:axId val="91951488"/>
      </c:lineChart>
      <c:catAx>
        <c:axId val="93518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51488"/>
        <c:crosses val="autoZero"/>
        <c:auto val="1"/>
        <c:lblAlgn val="ctr"/>
        <c:lblOffset val="100"/>
      </c:catAx>
      <c:valAx>
        <c:axId val="919514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18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1767</c:v>
                </c:pt>
                <c:pt idx="1">
                  <c:v>2387</c:v>
                </c:pt>
                <c:pt idx="2">
                  <c:v>2417</c:v>
                </c:pt>
                <c:pt idx="3">
                  <c:v>2266</c:v>
                </c:pt>
                <c:pt idx="4">
                  <c:v>1887</c:v>
                </c:pt>
                <c:pt idx="5">
                  <c:v>2086</c:v>
                </c:pt>
                <c:pt idx="6">
                  <c:v>1954</c:v>
                </c:pt>
                <c:pt idx="7">
                  <c:v>1746</c:v>
                </c:pt>
                <c:pt idx="8">
                  <c:v>1584</c:v>
                </c:pt>
                <c:pt idx="9">
                  <c:v>1552</c:v>
                </c:pt>
                <c:pt idx="10">
                  <c:v>1774</c:v>
                </c:pt>
                <c:pt idx="11">
                  <c:v>1803</c:v>
                </c:pt>
                <c:pt idx="12">
                  <c:v>1249</c:v>
                </c:pt>
                <c:pt idx="13">
                  <c:v>1667</c:v>
                </c:pt>
                <c:pt idx="14">
                  <c:v>1927</c:v>
                </c:pt>
                <c:pt idx="15">
                  <c:v>1696</c:v>
                </c:pt>
                <c:pt idx="16">
                  <c:v>697</c:v>
                </c:pt>
                <c:pt idx="17">
                  <c:v>2265</c:v>
                </c:pt>
                <c:pt idx="18">
                  <c:v>1742</c:v>
                </c:pt>
                <c:pt idx="19">
                  <c:v>1828</c:v>
                </c:pt>
                <c:pt idx="20">
                  <c:v>920</c:v>
                </c:pt>
                <c:pt idx="21">
                  <c:v>1307</c:v>
                </c:pt>
                <c:pt idx="22">
                  <c:v>968</c:v>
                </c:pt>
                <c:pt idx="23">
                  <c:v>1687</c:v>
                </c:pt>
                <c:pt idx="24">
                  <c:v>784</c:v>
                </c:pt>
                <c:pt idx="25">
                  <c:v>1982</c:v>
                </c:pt>
                <c:pt idx="26">
                  <c:v>739</c:v>
                </c:pt>
                <c:pt idx="27">
                  <c:v>1407</c:v>
                </c:pt>
                <c:pt idx="28">
                  <c:v>746</c:v>
                </c:pt>
                <c:pt idx="29">
                  <c:v>1787</c:v>
                </c:pt>
                <c:pt idx="30">
                  <c:v>813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93934336"/>
        <c:axId val="93935872"/>
      </c:lineChart>
      <c:catAx>
        <c:axId val="93934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935872"/>
        <c:crosses val="autoZero"/>
        <c:auto val="1"/>
        <c:lblAlgn val="ctr"/>
        <c:lblOffset val="100"/>
      </c:catAx>
      <c:valAx>
        <c:axId val="93935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934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10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169</c:v>
                </c:pt>
                <c:pt idx="1">
                  <c:v>195</c:v>
                </c:pt>
                <c:pt idx="2">
                  <c:v>153</c:v>
                </c:pt>
                <c:pt idx="3">
                  <c:v>141</c:v>
                </c:pt>
                <c:pt idx="4">
                  <c:v>95</c:v>
                </c:pt>
                <c:pt idx="5">
                  <c:v>164</c:v>
                </c:pt>
                <c:pt idx="6">
                  <c:v>155</c:v>
                </c:pt>
                <c:pt idx="7">
                  <c:v>166</c:v>
                </c:pt>
                <c:pt idx="8">
                  <c:v>156</c:v>
                </c:pt>
                <c:pt idx="9">
                  <c:v>112</c:v>
                </c:pt>
                <c:pt idx="10">
                  <c:v>82</c:v>
                </c:pt>
                <c:pt idx="11">
                  <c:v>137</c:v>
                </c:pt>
                <c:pt idx="12">
                  <c:v>154</c:v>
                </c:pt>
                <c:pt idx="13">
                  <c:v>115</c:v>
                </c:pt>
                <c:pt idx="14">
                  <c:v>89</c:v>
                </c:pt>
                <c:pt idx="15">
                  <c:v>139</c:v>
                </c:pt>
                <c:pt idx="16">
                  <c:v>115</c:v>
                </c:pt>
                <c:pt idx="17">
                  <c:v>93</c:v>
                </c:pt>
                <c:pt idx="18">
                  <c:v>136</c:v>
                </c:pt>
                <c:pt idx="19">
                  <c:v>95</c:v>
                </c:pt>
                <c:pt idx="20">
                  <c:v>63</c:v>
                </c:pt>
                <c:pt idx="21">
                  <c:v>209</c:v>
                </c:pt>
                <c:pt idx="22">
                  <c:v>129</c:v>
                </c:pt>
                <c:pt idx="23">
                  <c:v>69</c:v>
                </c:pt>
                <c:pt idx="24">
                  <c:v>211.20000000001164</c:v>
                </c:pt>
                <c:pt idx="25">
                  <c:v>90</c:v>
                </c:pt>
                <c:pt idx="26">
                  <c:v>114</c:v>
                </c:pt>
                <c:pt idx="27">
                  <c:v>106</c:v>
                </c:pt>
                <c:pt idx="28">
                  <c:v>136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93964928"/>
        <c:axId val="93991296"/>
      </c:lineChart>
      <c:catAx>
        <c:axId val="93964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991296"/>
        <c:crosses val="autoZero"/>
        <c:auto val="1"/>
        <c:lblAlgn val="ctr"/>
        <c:lblOffset val="100"/>
      </c:catAx>
      <c:valAx>
        <c:axId val="93991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964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887"/>
          <c:w val="0.135416885389360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94019968"/>
        <c:axId val="94021504"/>
      </c:lineChart>
      <c:catAx>
        <c:axId val="94019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21504"/>
        <c:crosses val="autoZero"/>
        <c:auto val="1"/>
        <c:lblAlgn val="ctr"/>
        <c:lblOffset val="100"/>
      </c:catAx>
      <c:valAx>
        <c:axId val="940215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19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887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>
                  <c:v>7873</c:v>
                </c:pt>
                <c:pt idx="1">
                  <c:v>8346</c:v>
                </c:pt>
                <c:pt idx="2">
                  <c:v>6548</c:v>
                </c:pt>
                <c:pt idx="3">
                  <c:v>7179</c:v>
                </c:pt>
                <c:pt idx="4">
                  <c:v>8383</c:v>
                </c:pt>
                <c:pt idx="5">
                  <c:v>4768</c:v>
                </c:pt>
                <c:pt idx="6">
                  <c:v>3912</c:v>
                </c:pt>
                <c:pt idx="7">
                  <c:v>8995.3999999999069</c:v>
                </c:pt>
                <c:pt idx="8">
                  <c:v>8249.8000000002794</c:v>
                </c:pt>
                <c:pt idx="9">
                  <c:v>9025.7999999998137</c:v>
                </c:pt>
                <c:pt idx="10">
                  <c:v>9481</c:v>
                </c:pt>
                <c:pt idx="11">
                  <c:v>9028</c:v>
                </c:pt>
                <c:pt idx="12">
                  <c:v>9411</c:v>
                </c:pt>
                <c:pt idx="13">
                  <c:v>9646</c:v>
                </c:pt>
                <c:pt idx="14">
                  <c:v>8868</c:v>
                </c:pt>
                <c:pt idx="15">
                  <c:v>7587</c:v>
                </c:pt>
                <c:pt idx="16">
                  <c:v>12839</c:v>
                </c:pt>
                <c:pt idx="17">
                  <c:v>10089</c:v>
                </c:pt>
                <c:pt idx="18">
                  <c:v>10297</c:v>
                </c:pt>
                <c:pt idx="19">
                  <c:v>15339</c:v>
                </c:pt>
                <c:pt idx="20">
                  <c:v>8897</c:v>
                </c:pt>
                <c:pt idx="21">
                  <c:v>10235</c:v>
                </c:pt>
                <c:pt idx="22">
                  <c:v>12191</c:v>
                </c:pt>
                <c:pt idx="23">
                  <c:v>8568</c:v>
                </c:pt>
                <c:pt idx="24">
                  <c:v>13728</c:v>
                </c:pt>
                <c:pt idx="25">
                  <c:v>9803</c:v>
                </c:pt>
                <c:pt idx="26">
                  <c:v>14177</c:v>
                </c:pt>
                <c:pt idx="27">
                  <c:v>11827</c:v>
                </c:pt>
                <c:pt idx="28">
                  <c:v>14989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93788416"/>
        <c:axId val="93794304"/>
      </c:lineChart>
      <c:catAx>
        <c:axId val="93788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94304"/>
        <c:crosses val="autoZero"/>
        <c:auto val="1"/>
        <c:lblAlgn val="ctr"/>
        <c:lblOffset val="100"/>
      </c:catAx>
      <c:valAx>
        <c:axId val="937943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88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1767</c:v>
                </c:pt>
                <c:pt idx="1">
                  <c:v>2387</c:v>
                </c:pt>
                <c:pt idx="2">
                  <c:v>2417</c:v>
                </c:pt>
                <c:pt idx="3">
                  <c:v>2266</c:v>
                </c:pt>
                <c:pt idx="4">
                  <c:v>1887</c:v>
                </c:pt>
                <c:pt idx="5">
                  <c:v>2086</c:v>
                </c:pt>
                <c:pt idx="6">
                  <c:v>1954</c:v>
                </c:pt>
                <c:pt idx="7">
                  <c:v>1746</c:v>
                </c:pt>
                <c:pt idx="8">
                  <c:v>1584</c:v>
                </c:pt>
                <c:pt idx="9">
                  <c:v>1552</c:v>
                </c:pt>
                <c:pt idx="10">
                  <c:v>1774</c:v>
                </c:pt>
                <c:pt idx="11">
                  <c:v>1803</c:v>
                </c:pt>
                <c:pt idx="12">
                  <c:v>1249</c:v>
                </c:pt>
                <c:pt idx="13">
                  <c:v>1667</c:v>
                </c:pt>
                <c:pt idx="14">
                  <c:v>1927</c:v>
                </c:pt>
                <c:pt idx="15">
                  <c:v>1696</c:v>
                </c:pt>
                <c:pt idx="16">
                  <c:v>697</c:v>
                </c:pt>
                <c:pt idx="17">
                  <c:v>2265</c:v>
                </c:pt>
                <c:pt idx="18">
                  <c:v>1742</c:v>
                </c:pt>
                <c:pt idx="19">
                  <c:v>1828</c:v>
                </c:pt>
                <c:pt idx="20">
                  <c:v>920</c:v>
                </c:pt>
                <c:pt idx="21">
                  <c:v>1307</c:v>
                </c:pt>
                <c:pt idx="22">
                  <c:v>968</c:v>
                </c:pt>
                <c:pt idx="23">
                  <c:v>1687</c:v>
                </c:pt>
                <c:pt idx="24">
                  <c:v>784</c:v>
                </c:pt>
                <c:pt idx="25">
                  <c:v>1982</c:v>
                </c:pt>
                <c:pt idx="26">
                  <c:v>739</c:v>
                </c:pt>
                <c:pt idx="27">
                  <c:v>1407</c:v>
                </c:pt>
                <c:pt idx="28">
                  <c:v>746</c:v>
                </c:pt>
                <c:pt idx="29">
                  <c:v>1787</c:v>
                </c:pt>
                <c:pt idx="30">
                  <c:v>813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93822976"/>
        <c:axId val="93824512"/>
      </c:lineChart>
      <c:catAx>
        <c:axId val="93822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24512"/>
        <c:crosses val="autoZero"/>
        <c:auto val="1"/>
        <c:lblAlgn val="ctr"/>
        <c:lblOffset val="100"/>
      </c:catAx>
      <c:valAx>
        <c:axId val="93824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22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887"/>
          <c:w val="0.135416885389360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8</c:v>
                </c:pt>
                <c:pt idx="4">
                  <c:v>9</c:v>
                </c:pt>
                <c:pt idx="5">
                  <c:v>6</c:v>
                </c:pt>
                <c:pt idx="6">
                  <c:v>8.5</c:v>
                </c:pt>
                <c:pt idx="7">
                  <c:v>8.6000000000003638</c:v>
                </c:pt>
                <c:pt idx="8">
                  <c:v>8.8999999999996362</c:v>
                </c:pt>
                <c:pt idx="9">
                  <c:v>9</c:v>
                </c:pt>
                <c:pt idx="10">
                  <c:v>10</c:v>
                </c:pt>
                <c:pt idx="11">
                  <c:v>12</c:v>
                </c:pt>
                <c:pt idx="12">
                  <c:v>9</c:v>
                </c:pt>
                <c:pt idx="13">
                  <c:v>10</c:v>
                </c:pt>
                <c:pt idx="14">
                  <c:v>7</c:v>
                </c:pt>
                <c:pt idx="15">
                  <c:v>16</c:v>
                </c:pt>
                <c:pt idx="16">
                  <c:v>9</c:v>
                </c:pt>
                <c:pt idx="17">
                  <c:v>11</c:v>
                </c:pt>
                <c:pt idx="18">
                  <c:v>16</c:v>
                </c:pt>
                <c:pt idx="19">
                  <c:v>10</c:v>
                </c:pt>
                <c:pt idx="20">
                  <c:v>12</c:v>
                </c:pt>
                <c:pt idx="21">
                  <c:v>16</c:v>
                </c:pt>
                <c:pt idx="22">
                  <c:v>8</c:v>
                </c:pt>
                <c:pt idx="23">
                  <c:v>17</c:v>
                </c:pt>
                <c:pt idx="24">
                  <c:v>9</c:v>
                </c:pt>
                <c:pt idx="25">
                  <c:v>18</c:v>
                </c:pt>
                <c:pt idx="26">
                  <c:v>13</c:v>
                </c:pt>
                <c:pt idx="27">
                  <c:v>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94062080"/>
        <c:axId val="94063616"/>
      </c:lineChart>
      <c:catAx>
        <c:axId val="94062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63616"/>
        <c:crosses val="autoZero"/>
        <c:auto val="1"/>
        <c:lblAlgn val="ctr"/>
        <c:lblOffset val="100"/>
      </c:catAx>
      <c:valAx>
        <c:axId val="940636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62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3086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-1533.3870967741823</c:v>
                </c:pt>
                <c:pt idx="1">
                  <c:v>-850.03225806451519</c:v>
                </c:pt>
                <c:pt idx="2">
                  <c:v>-990.03225806450064</c:v>
                </c:pt>
                <c:pt idx="3">
                  <c:v>-1770.0645161290595</c:v>
                </c:pt>
                <c:pt idx="4">
                  <c:v>-1910.0645161290304</c:v>
                </c:pt>
                <c:pt idx="5">
                  <c:v>-1156.7096774193415</c:v>
                </c:pt>
                <c:pt idx="6">
                  <c:v>-2146.7419354838858</c:v>
                </c:pt>
                <c:pt idx="7">
                  <c:v>-2146.7419354838494</c:v>
                </c:pt>
                <c:pt idx="8">
                  <c:v>-1910.0645161290522</c:v>
                </c:pt>
                <c:pt idx="9">
                  <c:v>-2313.4193548386975</c:v>
                </c:pt>
                <c:pt idx="10">
                  <c:v>718.87096774193196</c:v>
                </c:pt>
                <c:pt idx="11">
                  <c:v>-2760.0967741935601</c:v>
                </c:pt>
                <c:pt idx="12">
                  <c:v>-2216.7419354838639</c:v>
                </c:pt>
                <c:pt idx="13">
                  <c:v>-1840.0645161290231</c:v>
                </c:pt>
                <c:pt idx="14">
                  <c:v>-1770.0645161290522</c:v>
                </c:pt>
                <c:pt idx="15">
                  <c:v>-3443.4516129031981</c:v>
                </c:pt>
                <c:pt idx="16">
                  <c:v>-2146.7419354838858</c:v>
                </c:pt>
                <c:pt idx="17">
                  <c:v>-2690.0967741935383</c:v>
                </c:pt>
                <c:pt idx="18">
                  <c:v>-2690.0967741935601</c:v>
                </c:pt>
                <c:pt idx="19">
                  <c:v>-1618.4451612903176</c:v>
                </c:pt>
                <c:pt idx="20">
                  <c:v>-2760.0967741935601</c:v>
                </c:pt>
                <c:pt idx="21">
                  <c:v>-3680.1290322580389</c:v>
                </c:pt>
                <c:pt idx="22">
                  <c:v>-1875.0645161290449</c:v>
                </c:pt>
                <c:pt idx="23">
                  <c:v>-2211.3225806451737</c:v>
                </c:pt>
                <c:pt idx="24">
                  <c:v>-2146.7419354838567</c:v>
                </c:pt>
                <c:pt idx="25">
                  <c:v>-4293.4838709677424</c:v>
                </c:pt>
                <c:pt idx="26">
                  <c:v>-3066.7741935483937</c:v>
                </c:pt>
                <c:pt idx="27">
                  <c:v>-2923.0967741935383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94084096"/>
        <c:axId val="94110464"/>
      </c:lineChart>
      <c:catAx>
        <c:axId val="94084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10464"/>
        <c:crosses val="autoZero"/>
        <c:auto val="1"/>
        <c:lblAlgn val="ctr"/>
        <c:lblOffset val="100"/>
      </c:catAx>
      <c:valAx>
        <c:axId val="941104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84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</c:v>
                </c:pt>
                <c:pt idx="26">
                  <c:v>0</c:v>
                </c:pt>
                <c:pt idx="27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94155904"/>
        <c:axId val="94157440"/>
      </c:lineChart>
      <c:catAx>
        <c:axId val="94155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57440"/>
        <c:crosses val="autoZero"/>
        <c:auto val="1"/>
        <c:lblAlgn val="ctr"/>
        <c:lblOffset val="100"/>
      </c:catAx>
      <c:valAx>
        <c:axId val="94157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55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10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94247552"/>
        <c:axId val="94253440"/>
      </c:lineChart>
      <c:catAx>
        <c:axId val="94247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53440"/>
        <c:crosses val="autoZero"/>
        <c:auto val="1"/>
        <c:lblAlgn val="ctr"/>
        <c:lblOffset val="100"/>
      </c:catAx>
      <c:valAx>
        <c:axId val="9425344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47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0351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94273920"/>
        <c:axId val="94275456"/>
      </c:lineChart>
      <c:catAx>
        <c:axId val="94273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75456"/>
        <c:crosses val="autoZero"/>
        <c:auto val="1"/>
        <c:lblAlgn val="ctr"/>
        <c:lblOffset val="100"/>
      </c:catAx>
      <c:valAx>
        <c:axId val="942754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73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94304128"/>
        <c:axId val="94305664"/>
      </c:lineChart>
      <c:catAx>
        <c:axId val="94304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05664"/>
        <c:crosses val="autoZero"/>
        <c:auto val="1"/>
        <c:lblAlgn val="ctr"/>
        <c:lblOffset val="100"/>
      </c:catAx>
      <c:valAx>
        <c:axId val="94305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04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124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7</c:v>
                </c:pt>
                <c:pt idx="1">
                  <c:v>0</c:v>
                </c:pt>
                <c:pt idx="2">
                  <c:v>289</c:v>
                </c:pt>
                <c:pt idx="3">
                  <c:v>0</c:v>
                </c:pt>
                <c:pt idx="4">
                  <c:v>295</c:v>
                </c:pt>
                <c:pt idx="5">
                  <c:v>0</c:v>
                </c:pt>
                <c:pt idx="6">
                  <c:v>293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341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435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94186880"/>
        <c:axId val="94225536"/>
      </c:lineChart>
      <c:catAx>
        <c:axId val="94186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25536"/>
        <c:crosses val="autoZero"/>
        <c:auto val="1"/>
        <c:lblAlgn val="ctr"/>
        <c:lblOffset val="100"/>
      </c:catAx>
      <c:valAx>
        <c:axId val="94225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86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887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23.5</c:v>
                </c:pt>
                <c:pt idx="1">
                  <c:v>23</c:v>
                </c:pt>
                <c:pt idx="2">
                  <c:v>24</c:v>
                </c:pt>
                <c:pt idx="3">
                  <c:v>22.5</c:v>
                </c:pt>
                <c:pt idx="4">
                  <c:v>23</c:v>
                </c:pt>
                <c:pt idx="5">
                  <c:v>22</c:v>
                </c:pt>
                <c:pt idx="6">
                  <c:v>23</c:v>
                </c:pt>
                <c:pt idx="7">
                  <c:v>24.5</c:v>
                </c:pt>
                <c:pt idx="8">
                  <c:v>24.5</c:v>
                </c:pt>
                <c:pt idx="9">
                  <c:v>22</c:v>
                </c:pt>
                <c:pt idx="10">
                  <c:v>21</c:v>
                </c:pt>
                <c:pt idx="11">
                  <c:v>22</c:v>
                </c:pt>
                <c:pt idx="12">
                  <c:v>21</c:v>
                </c:pt>
                <c:pt idx="13">
                  <c:v>22.5</c:v>
                </c:pt>
                <c:pt idx="14">
                  <c:v>23.5</c:v>
                </c:pt>
                <c:pt idx="15">
                  <c:v>21.5</c:v>
                </c:pt>
                <c:pt idx="16">
                  <c:v>22.5</c:v>
                </c:pt>
                <c:pt idx="17">
                  <c:v>23</c:v>
                </c:pt>
                <c:pt idx="18">
                  <c:v>23</c:v>
                </c:pt>
                <c:pt idx="19">
                  <c:v>23.5</c:v>
                </c:pt>
                <c:pt idx="20">
                  <c:v>24.5</c:v>
                </c:pt>
                <c:pt idx="21">
                  <c:v>24.5</c:v>
                </c:pt>
                <c:pt idx="22">
                  <c:v>23.5</c:v>
                </c:pt>
                <c:pt idx="23">
                  <c:v>24.5</c:v>
                </c:pt>
                <c:pt idx="24">
                  <c:v>24.5</c:v>
                </c:pt>
                <c:pt idx="25">
                  <c:v>24.5</c:v>
                </c:pt>
                <c:pt idx="26">
                  <c:v>23.5</c:v>
                </c:pt>
                <c:pt idx="27">
                  <c:v>24.5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94393472"/>
        <c:axId val="94395008"/>
      </c:lineChart>
      <c:catAx>
        <c:axId val="94393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95008"/>
        <c:crosses val="autoZero"/>
        <c:auto val="1"/>
        <c:lblAlgn val="ctr"/>
        <c:lblOffset val="100"/>
      </c:catAx>
      <c:valAx>
        <c:axId val="94395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93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1783"/>
          <c:w val="0.12343118198093513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94429184"/>
        <c:axId val="94430720"/>
      </c:lineChart>
      <c:catAx>
        <c:axId val="9442918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30720"/>
        <c:crosses val="autoZero"/>
        <c:auto val="1"/>
        <c:lblAlgn val="ctr"/>
        <c:lblOffset val="100"/>
      </c:catAx>
      <c:valAx>
        <c:axId val="9443072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29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7897"/>
          <c:w val="0.15690398532822741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206.4</c:v>
                </c:pt>
                <c:pt idx="1">
                  <c:v>289.5</c:v>
                </c:pt>
                <c:pt idx="2">
                  <c:v>198.6</c:v>
                </c:pt>
                <c:pt idx="3">
                  <c:v>253.8</c:v>
                </c:pt>
                <c:pt idx="4">
                  <c:v>198.66666666666666</c:v>
                </c:pt>
                <c:pt idx="5">
                  <c:v>231.5</c:v>
                </c:pt>
                <c:pt idx="6">
                  <c:v>196.5</c:v>
                </c:pt>
                <c:pt idx="7">
                  <c:v>221.57142857142858</c:v>
                </c:pt>
                <c:pt idx="8">
                  <c:v>227.25</c:v>
                </c:pt>
                <c:pt idx="9">
                  <c:v>257.625</c:v>
                </c:pt>
                <c:pt idx="10">
                  <c:v>203.14285714285714</c:v>
                </c:pt>
                <c:pt idx="11">
                  <c:v>241.22222222222223</c:v>
                </c:pt>
                <c:pt idx="12">
                  <c:v>247.625</c:v>
                </c:pt>
                <c:pt idx="13">
                  <c:v>210.5</c:v>
                </c:pt>
                <c:pt idx="14">
                  <c:v>233.8</c:v>
                </c:pt>
                <c:pt idx="15">
                  <c:v>242.09090909090909</c:v>
                </c:pt>
                <c:pt idx="16">
                  <c:v>227.5</c:v>
                </c:pt>
                <c:pt idx="17">
                  <c:v>191.90909090909091</c:v>
                </c:pt>
                <c:pt idx="18">
                  <c:v>213.2</c:v>
                </c:pt>
                <c:pt idx="19">
                  <c:v>201.66666666666666</c:v>
                </c:pt>
                <c:pt idx="20">
                  <c:v>217.88888888888889</c:v>
                </c:pt>
                <c:pt idx="21">
                  <c:v>179.21428571428572</c:v>
                </c:pt>
                <c:pt idx="22">
                  <c:v>202</c:v>
                </c:pt>
                <c:pt idx="23">
                  <c:v>196.4375</c:v>
                </c:pt>
                <c:pt idx="24">
                  <c:v>225</c:v>
                </c:pt>
                <c:pt idx="25">
                  <c:v>185.625</c:v>
                </c:pt>
                <c:pt idx="26">
                  <c:v>260</c:v>
                </c:pt>
                <c:pt idx="27">
                  <c:v>208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94327936"/>
        <c:axId val="94329472"/>
      </c:lineChart>
      <c:catAx>
        <c:axId val="94327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29472"/>
        <c:crosses val="autoZero"/>
        <c:auto val="1"/>
        <c:lblAlgn val="ctr"/>
        <c:lblOffset val="100"/>
      </c:catAx>
      <c:valAx>
        <c:axId val="943294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27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77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23.5</c:v>
                </c:pt>
                <c:pt idx="1">
                  <c:v>23</c:v>
                </c:pt>
                <c:pt idx="2">
                  <c:v>24</c:v>
                </c:pt>
                <c:pt idx="3">
                  <c:v>22.5</c:v>
                </c:pt>
                <c:pt idx="4">
                  <c:v>23</c:v>
                </c:pt>
                <c:pt idx="5">
                  <c:v>22</c:v>
                </c:pt>
                <c:pt idx="6">
                  <c:v>23</c:v>
                </c:pt>
                <c:pt idx="7">
                  <c:v>24.5</c:v>
                </c:pt>
                <c:pt idx="8">
                  <c:v>24.5</c:v>
                </c:pt>
                <c:pt idx="9">
                  <c:v>22</c:v>
                </c:pt>
                <c:pt idx="10">
                  <c:v>21</c:v>
                </c:pt>
                <c:pt idx="11">
                  <c:v>22</c:v>
                </c:pt>
                <c:pt idx="12">
                  <c:v>21</c:v>
                </c:pt>
                <c:pt idx="13">
                  <c:v>22.5</c:v>
                </c:pt>
                <c:pt idx="14">
                  <c:v>23.5</c:v>
                </c:pt>
                <c:pt idx="15">
                  <c:v>21.5</c:v>
                </c:pt>
                <c:pt idx="16">
                  <c:v>22.5</c:v>
                </c:pt>
                <c:pt idx="17">
                  <c:v>23</c:v>
                </c:pt>
                <c:pt idx="18">
                  <c:v>23</c:v>
                </c:pt>
                <c:pt idx="19">
                  <c:v>23.5</c:v>
                </c:pt>
                <c:pt idx="20">
                  <c:v>24.5</c:v>
                </c:pt>
                <c:pt idx="21">
                  <c:v>24.5</c:v>
                </c:pt>
                <c:pt idx="22">
                  <c:v>23.5</c:v>
                </c:pt>
                <c:pt idx="23">
                  <c:v>24.5</c:v>
                </c:pt>
                <c:pt idx="24">
                  <c:v>24.5</c:v>
                </c:pt>
                <c:pt idx="25">
                  <c:v>24.5</c:v>
                </c:pt>
                <c:pt idx="26">
                  <c:v>23.5</c:v>
                </c:pt>
                <c:pt idx="27">
                  <c:v>24.5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94493696"/>
        <c:axId val="94499584"/>
      </c:lineChart>
      <c:catAx>
        <c:axId val="94493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99584"/>
        <c:crosses val="autoZero"/>
        <c:auto val="1"/>
        <c:lblAlgn val="ctr"/>
        <c:lblOffset val="100"/>
      </c:catAx>
      <c:valAx>
        <c:axId val="94499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93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4634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40400896"/>
        <c:axId val="140406784"/>
      </c:lineChart>
      <c:catAx>
        <c:axId val="14040089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406784"/>
        <c:crosses val="autoZero"/>
        <c:auto val="1"/>
        <c:lblAlgn val="ctr"/>
        <c:lblOffset val="100"/>
      </c:catAx>
      <c:valAx>
        <c:axId val="14040678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400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789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174812</xdr:rowOff>
    </xdr:from>
    <xdr:to>
      <xdr:col>6</xdr:col>
      <xdr:colOff>609600</xdr:colOff>
      <xdr:row>49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34</xdr:row>
      <xdr:rowOff>183776</xdr:rowOff>
    </xdr:from>
    <xdr:to>
      <xdr:col>14</xdr:col>
      <xdr:colOff>125506</xdr:colOff>
      <xdr:row>49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34</xdr:row>
      <xdr:rowOff>46505</xdr:rowOff>
    </xdr:from>
    <xdr:to>
      <xdr:col>21</xdr:col>
      <xdr:colOff>289111</xdr:colOff>
      <xdr:row>48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34</xdr:row>
      <xdr:rowOff>131669</xdr:rowOff>
    </xdr:from>
    <xdr:to>
      <xdr:col>30</xdr:col>
      <xdr:colOff>230281</xdr:colOff>
      <xdr:row>49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48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PRIL%20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DEC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>
        <row r="35">
          <cell r="B35">
            <v>216</v>
          </cell>
          <cell r="AX35">
            <v>0.8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321050</v>
          </cell>
        </row>
        <row r="30">
          <cell r="W30">
            <v>0</v>
          </cell>
        </row>
      </sheetData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  <cell r="AW35">
            <v>-169</v>
          </cell>
          <cell r="AX35">
            <v>-1434.3870967742259</v>
          </cell>
          <cell r="AY35">
            <v>-1603.3870967742259</v>
          </cell>
          <cell r="AZ35">
            <v>0</v>
          </cell>
          <cell r="BA35">
            <v>23</v>
          </cell>
          <cell r="BB35">
            <v>0.56000000000000005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  <cell r="W26">
            <v>365756</v>
          </cell>
          <cell r="Y26">
            <v>80</v>
          </cell>
          <cell r="AA26">
            <v>21500</v>
          </cell>
          <cell r="AB26">
            <v>1720000</v>
          </cell>
          <cell r="AC26">
            <v>1033333</v>
          </cell>
          <cell r="AD26">
            <v>0.41224067185642516</v>
          </cell>
        </row>
        <row r="27">
          <cell r="V27">
            <v>468436</v>
          </cell>
          <cell r="W27">
            <v>492400</v>
          </cell>
          <cell r="Y27">
            <v>112</v>
          </cell>
          <cell r="AA27">
            <v>23964</v>
          </cell>
          <cell r="AB27">
            <v>2683968</v>
          </cell>
          <cell r="AC27">
            <v>6200000</v>
          </cell>
          <cell r="AD27">
            <v>0.45948537024964525</v>
          </cell>
        </row>
        <row r="28">
          <cell r="V28">
            <v>143963</v>
          </cell>
          <cell r="W28">
            <v>150653</v>
          </cell>
          <cell r="Y28">
            <v>320</v>
          </cell>
          <cell r="AA28">
            <v>6690</v>
          </cell>
          <cell r="AB28">
            <v>2140800</v>
          </cell>
          <cell r="AC28">
            <v>1000</v>
          </cell>
          <cell r="AD28">
            <v>0.12827395789392951</v>
          </cell>
        </row>
        <row r="29">
          <cell r="AA29">
            <v>52154</v>
          </cell>
        </row>
        <row r="30">
          <cell r="AB30">
            <v>6544768</v>
          </cell>
        </row>
        <row r="33">
          <cell r="W33">
            <v>240</v>
          </cell>
          <cell r="X33">
            <v>8</v>
          </cell>
          <cell r="Y33">
            <v>4</v>
          </cell>
          <cell r="AB33">
            <v>13779101</v>
          </cell>
          <cell r="AC33">
            <v>7234333</v>
          </cell>
        </row>
        <row r="35">
          <cell r="AB35">
            <v>9140.3655058043114</v>
          </cell>
        </row>
      </sheetData>
      <sheetData sheetId="13"/>
      <sheetData sheetId="14">
        <row r="43">
          <cell r="N43">
            <v>-30.300000000000008</v>
          </cell>
          <cell r="O43">
            <v>45.40000000000002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B117">
            <v>160.79831133240017</v>
          </cell>
          <cell r="C117">
            <v>172.73885330486587</v>
          </cell>
        </row>
      </sheetData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25.29999999999999</v>
          </cell>
        </row>
        <row r="15">
          <cell r="B15">
            <v>-54.600000000000009</v>
          </cell>
        </row>
        <row r="16">
          <cell r="B16">
            <v>22.516129032258064</v>
          </cell>
        </row>
        <row r="17">
          <cell r="B17">
            <v>1.9296774193548385E-2</v>
          </cell>
        </row>
        <row r="18">
          <cell r="B18">
            <v>119.48999999999978</v>
          </cell>
        </row>
        <row r="19">
          <cell r="B19">
            <v>3.8545161290322509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32" sqref="F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6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3" t="s">
        <v>401</v>
      </c>
      <c r="N1" s="494" t="s">
        <v>402</v>
      </c>
      <c r="O1" s="273" t="s">
        <v>344</v>
      </c>
    </row>
    <row r="2" spans="1:15">
      <c r="A2" t="s">
        <v>345</v>
      </c>
      <c r="B2">
        <v>1</v>
      </c>
      <c r="C2">
        <v>5</v>
      </c>
      <c r="D2">
        <v>2021</v>
      </c>
      <c r="E2" s="203">
        <f>ELEC!N3</f>
        <v>8346</v>
      </c>
      <c r="F2" s="330">
        <f>SUM('EDl log'!T4)</f>
        <v>0.20400203558990135</v>
      </c>
      <c r="G2" s="203">
        <f>-tanks!AW6</f>
        <v>195</v>
      </c>
      <c r="H2" s="330">
        <f>SUM(tanks!AV6)</f>
        <v>0.92</v>
      </c>
      <c r="I2" s="10">
        <f>('B5'!AU5)*0.51</f>
        <v>0</v>
      </c>
      <c r="J2" s="309">
        <f>'B5'!AX5/0.51</f>
        <v>1.5686274509803921</v>
      </c>
      <c r="K2" s="203">
        <f>WATER!I6</f>
        <v>7</v>
      </c>
      <c r="L2" s="331">
        <f>SUM(WATER!J6)</f>
        <v>34.562211981566819</v>
      </c>
      <c r="M2" s="331">
        <f>WATER!Q6</f>
        <v>0</v>
      </c>
      <c r="N2" s="495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5</v>
      </c>
      <c r="D3">
        <v>2021</v>
      </c>
      <c r="E3" s="203">
        <f>ELEC!N4</f>
        <v>6548</v>
      </c>
      <c r="F3" s="330">
        <f>SUM('EDl log'!T5)</f>
        <v>0.16036355170175473</v>
      </c>
      <c r="G3" s="203">
        <f>-tanks!AW7</f>
        <v>153</v>
      </c>
      <c r="H3" s="330">
        <f>SUM(tanks!AV7)</f>
        <v>0.92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5">
        <v>0.6</v>
      </c>
      <c r="O3" s="10">
        <f>ELEC!B4</f>
        <v>0</v>
      </c>
    </row>
    <row r="4" spans="1:15">
      <c r="A4" t="s">
        <v>345</v>
      </c>
      <c r="B4">
        <f t="shared" ref="B4:B32" si="0">B3+1</f>
        <v>3</v>
      </c>
      <c r="C4">
        <v>5</v>
      </c>
      <c r="D4">
        <v>2021</v>
      </c>
      <c r="E4" s="203">
        <f>ELEC!N5</f>
        <v>7179</v>
      </c>
      <c r="F4" s="330">
        <f>SUM('EDl log'!T6)</f>
        <v>0.16588668440669718</v>
      </c>
      <c r="G4" s="203">
        <f>-tanks!AW8</f>
        <v>141</v>
      </c>
      <c r="H4" s="330">
        <f>SUM(tanks!AV8)</f>
        <v>0.92</v>
      </c>
      <c r="I4" s="10">
        <f>('B5'!AU7)*0.51</f>
        <v>0</v>
      </c>
      <c r="J4" s="309">
        <f>'B5'!AX7/0.51</f>
        <v>1.5686274509803921</v>
      </c>
      <c r="K4" s="203">
        <f>WATER!I8</f>
        <v>289</v>
      </c>
      <c r="L4" s="331">
        <f>SUM(WATER!J8)</f>
        <v>0.83714700301372924</v>
      </c>
      <c r="M4" s="331">
        <f>WATER!Q8</f>
        <v>0</v>
      </c>
      <c r="N4" s="495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5</v>
      </c>
      <c r="D5">
        <v>2021</v>
      </c>
      <c r="E5" s="203">
        <f>ELEC!N6</f>
        <v>8383</v>
      </c>
      <c r="F5" s="330">
        <f>SUM('EDl log'!T7)</f>
        <v>0.23237075626537865</v>
      </c>
      <c r="G5" s="203">
        <f>-tanks!AW9</f>
        <v>95</v>
      </c>
      <c r="H5" s="330">
        <f>SUM(tanks!AV9)</f>
        <v>0.92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5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5</v>
      </c>
      <c r="D6">
        <v>2021</v>
      </c>
      <c r="E6" s="203">
        <f>ELEC!N7</f>
        <v>4768</v>
      </c>
      <c r="F6" s="330">
        <f>SUM('EDl log'!T8)</f>
        <v>0.43487050110636061</v>
      </c>
      <c r="G6" s="203">
        <f>-tanks!AW10</f>
        <v>164</v>
      </c>
      <c r="H6" s="330">
        <f>SUM(tanks!AV10)</f>
        <v>0.92</v>
      </c>
      <c r="I6" s="10">
        <f>('B5'!AU9)*0.51</f>
        <v>0</v>
      </c>
      <c r="J6" s="309">
        <f>'B5'!AX9/0.51</f>
        <v>1.5686274509803921</v>
      </c>
      <c r="K6" s="203">
        <f>WATER!I10</f>
        <v>295</v>
      </c>
      <c r="L6" s="331">
        <f>SUM(WATER!J10)</f>
        <v>0.82012028430836525</v>
      </c>
      <c r="M6" s="331">
        <f>WATER!Q10</f>
        <v>0</v>
      </c>
      <c r="N6" s="495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5</v>
      </c>
      <c r="D7">
        <v>2021</v>
      </c>
      <c r="E7" s="203">
        <f>ELEC!N8</f>
        <v>3912</v>
      </c>
      <c r="F7" s="330">
        <f>SUM('EDl log'!T9)</f>
        <v>0.33558217381110905</v>
      </c>
      <c r="G7" s="203">
        <f>-tanks!AW11</f>
        <v>155</v>
      </c>
      <c r="H7" s="330">
        <f>SUM(tanks!AV11)</f>
        <v>0.92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5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5</v>
      </c>
      <c r="D8">
        <v>2021</v>
      </c>
      <c r="E8" s="203">
        <f>ELEC!N9</f>
        <v>8995.3999999999069</v>
      </c>
      <c r="F8" s="330">
        <f>SUM('EDl log'!T10)</f>
        <v>0.25096510548153994</v>
      </c>
      <c r="G8" s="203">
        <f>-tanks!AW12</f>
        <v>166</v>
      </c>
      <c r="H8" s="330">
        <f>SUM(tanks!AV12)</f>
        <v>0.92</v>
      </c>
      <c r="I8" s="10">
        <f>('B5'!AU11)*0.51</f>
        <v>0</v>
      </c>
      <c r="J8" s="309">
        <f>'B5'!AX11/0.51</f>
        <v>1.5686274509803921</v>
      </c>
      <c r="K8" s="203">
        <f>WATER!I12</f>
        <v>293</v>
      </c>
      <c r="L8" s="331">
        <f>SUM(WATER!J12)</f>
        <v>0.82571837498623801</v>
      </c>
      <c r="M8" s="331">
        <f>WATER!Q12</f>
        <v>0</v>
      </c>
      <c r="N8" s="495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5</v>
      </c>
      <c r="D9">
        <v>2021</v>
      </c>
      <c r="E9" s="203">
        <f>ELEC!N10</f>
        <v>8249.8000000002794</v>
      </c>
      <c r="F9" s="330">
        <f>SUM('EDl log'!T11)</f>
        <v>0.27152165595263256</v>
      </c>
      <c r="G9" s="203">
        <f>-tanks!AW13</f>
        <v>156</v>
      </c>
      <c r="H9" s="330">
        <f>SUM(tanks!AV13)</f>
        <v>0.92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5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5</v>
      </c>
      <c r="D10">
        <v>2021</v>
      </c>
      <c r="E10" s="203">
        <f>ELEC!N11</f>
        <v>9025.7999999998137</v>
      </c>
      <c r="F10" s="330">
        <f>SUM('EDl log'!T12)</f>
        <v>0.22972422846894383</v>
      </c>
      <c r="G10" s="203">
        <f>-tanks!AW14</f>
        <v>112</v>
      </c>
      <c r="H10" s="330">
        <f>SUM(tanks!AV14)</f>
        <v>0.92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5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5</v>
      </c>
      <c r="D11">
        <v>2021</v>
      </c>
      <c r="E11" s="203">
        <f>ELEC!N12</f>
        <v>9481</v>
      </c>
      <c r="F11" s="330">
        <f>SUM('EDl log'!T13)</f>
        <v>0.26385508432672428</v>
      </c>
      <c r="G11" s="203">
        <f>-tanks!AW15</f>
        <v>82</v>
      </c>
      <c r="H11" s="330">
        <f>SUM(tanks!AV15)</f>
        <v>0.92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5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5</v>
      </c>
      <c r="D12">
        <v>2021</v>
      </c>
      <c r="E12" s="203">
        <f>ELEC!N13</f>
        <v>9028</v>
      </c>
      <c r="F12" s="330">
        <f>SUM('EDl log'!T14)</f>
        <v>-6.1922387661503438E-2</v>
      </c>
      <c r="G12" s="203">
        <f>-tanks!AW16</f>
        <v>137</v>
      </c>
      <c r="H12" s="330">
        <f>SUM(tanks!AV16)</f>
        <v>0.94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5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5</v>
      </c>
      <c r="D13">
        <v>2021</v>
      </c>
      <c r="E13" s="203">
        <f>ELEC!N14</f>
        <v>9411</v>
      </c>
      <c r="F13" s="330">
        <f>SUM('EDl log'!T15)</f>
        <v>0.30246818084167931</v>
      </c>
      <c r="G13" s="203">
        <f>-tanks!AW17</f>
        <v>154</v>
      </c>
      <c r="H13" s="330">
        <f>SUM(tanks!AV17)</f>
        <v>0.94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5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5</v>
      </c>
      <c r="D14">
        <v>2021</v>
      </c>
      <c r="E14" s="203">
        <f>ELEC!N15</f>
        <v>9646</v>
      </c>
      <c r="F14" s="330">
        <f>SUM('EDl log'!T16)</f>
        <v>0.24574873501019084</v>
      </c>
      <c r="G14" s="203">
        <f>-tanks!AW18</f>
        <v>115</v>
      </c>
      <c r="H14" s="330">
        <f>SUM(tanks!AV18)</f>
        <v>0.94</v>
      </c>
      <c r="I14" s="10">
        <f>('B5'!AU17)*0.51</f>
        <v>0</v>
      </c>
      <c r="J14" s="309">
        <f>'B5'!AX17/0.51</f>
        <v>1.5686274509803921</v>
      </c>
      <c r="K14" s="203">
        <f>WATER!I18</f>
        <v>341</v>
      </c>
      <c r="L14" s="331">
        <f>SUM(WATER!J18)</f>
        <v>0.70948822249550658</v>
      </c>
      <c r="M14" s="331">
        <f>WATER!Q18</f>
        <v>0</v>
      </c>
      <c r="N14" s="495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5</v>
      </c>
      <c r="D15">
        <v>2021</v>
      </c>
      <c r="E15" s="203">
        <f>ELEC!N16</f>
        <v>8868</v>
      </c>
      <c r="F15" s="330">
        <f>SUM('EDl log'!T17)</f>
        <v>0.22631526871971852</v>
      </c>
      <c r="G15" s="203">
        <f>-tanks!AW19</f>
        <v>89</v>
      </c>
      <c r="H15" s="330">
        <f>SUM(tanks!AV19)</f>
        <v>0.94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5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5</v>
      </c>
      <c r="D16">
        <v>2021</v>
      </c>
      <c r="E16" s="203">
        <f>ELEC!N17</f>
        <v>7587</v>
      </c>
      <c r="F16" s="330">
        <f>SUM('EDl log'!T18)</f>
        <v>0.25303215245177285</v>
      </c>
      <c r="G16" s="203">
        <f>-tanks!AW20</f>
        <v>139</v>
      </c>
      <c r="H16" s="330">
        <f>SUM(tanks!AV20)</f>
        <v>0.94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5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5</v>
      </c>
      <c r="D17">
        <v>2021</v>
      </c>
      <c r="E17" s="203">
        <f>ELEC!N18</f>
        <v>12839</v>
      </c>
      <c r="F17" s="330">
        <f>SUM('EDl log'!T19)</f>
        <v>0.27499654338091184</v>
      </c>
      <c r="G17" s="203">
        <f>-tanks!AW21</f>
        <v>115</v>
      </c>
      <c r="H17" s="330">
        <f>SUM(tanks!AV21)</f>
        <v>0.94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5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5</v>
      </c>
      <c r="D18">
        <v>2021</v>
      </c>
      <c r="E18" s="203">
        <f>ELEC!N19</f>
        <v>10089</v>
      </c>
      <c r="F18" s="330">
        <f>SUM('EDl log'!T20)</f>
        <v>0.23466029913187533</v>
      </c>
      <c r="G18" s="203">
        <f>-tanks!AW22</f>
        <v>93</v>
      </c>
      <c r="H18" s="330">
        <f>SUM(tanks!AV22)</f>
        <v>0.94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5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5</v>
      </c>
      <c r="D19">
        <v>2021</v>
      </c>
      <c r="E19" s="203">
        <f>ELEC!N20</f>
        <v>10297</v>
      </c>
      <c r="F19" s="330">
        <f>SUM('EDl log'!T21)</f>
        <v>0.27115644330068867</v>
      </c>
      <c r="G19" s="203">
        <f>-tanks!AW23</f>
        <v>136</v>
      </c>
      <c r="H19" s="330">
        <f>SUM(tanks!AV23)</f>
        <v>0.94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5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5</v>
      </c>
      <c r="D20">
        <v>2021</v>
      </c>
      <c r="E20" s="203">
        <f>ELEC!N21</f>
        <v>15339</v>
      </c>
      <c r="F20" s="330">
        <f>SUM('EDl log'!T22)</f>
        <v>0.18693042933304116</v>
      </c>
      <c r="G20" s="203">
        <f>-tanks!AW24</f>
        <v>95</v>
      </c>
      <c r="H20" s="330">
        <f>SUM(tanks!AV24)</f>
        <v>0.94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5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5</v>
      </c>
      <c r="D21">
        <v>2021</v>
      </c>
      <c r="E21" s="203">
        <f>ELEC!N22</f>
        <v>8897</v>
      </c>
      <c r="F21" s="330">
        <f>SUM('EDl log'!T23)</f>
        <v>0.19779986276821815</v>
      </c>
      <c r="G21" s="203">
        <f>-tanks!AW25</f>
        <v>63</v>
      </c>
      <c r="H21" s="330">
        <f>SUM(tanks!AV25)</f>
        <v>1.0029999999999999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5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5</v>
      </c>
      <c r="D22">
        <v>2021</v>
      </c>
      <c r="E22" s="203">
        <f>ELEC!N23</f>
        <v>10235</v>
      </c>
      <c r="F22" s="330">
        <f>SUM('EDl log'!T24)</f>
        <v>0.27201718132838976</v>
      </c>
      <c r="G22" s="203">
        <f>-tanks!AW26</f>
        <v>209</v>
      </c>
      <c r="H22" s="330">
        <f>SUM(tanks!AV26)</f>
        <v>1.0029999999999999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5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5</v>
      </c>
      <c r="D23">
        <v>2021</v>
      </c>
      <c r="E23" s="203">
        <f>ELEC!N24</f>
        <v>12191</v>
      </c>
      <c r="F23" s="330">
        <f>SUM('EDl log'!T25)</f>
        <v>0.30674378945614889</v>
      </c>
      <c r="G23" s="203">
        <f>-tanks!AW27</f>
        <v>129</v>
      </c>
      <c r="H23" s="330">
        <f>SUM(tanks!AV27)</f>
        <v>1.0029999999999999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5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5</v>
      </c>
      <c r="D24">
        <v>2021</v>
      </c>
      <c r="E24" s="203">
        <f>ELEC!N25</f>
        <v>8568</v>
      </c>
      <c r="F24" s="330">
        <f>SUM('EDl log'!T26)</f>
        <v>0.24552234726091582</v>
      </c>
      <c r="G24" s="203">
        <f>-tanks!AW28</f>
        <v>69</v>
      </c>
      <c r="H24" s="330">
        <f>SUM(tanks!AV28)</f>
        <v>1.0029999999999999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5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5</v>
      </c>
      <c r="D25">
        <v>2021</v>
      </c>
      <c r="E25" s="203">
        <f>ELEC!N26</f>
        <v>13728</v>
      </c>
      <c r="F25" s="330">
        <f>SUM('EDl log'!T27)</f>
        <v>0.15952196075665989</v>
      </c>
      <c r="G25" s="203">
        <f>-tanks!AW29</f>
        <v>211.20000000001164</v>
      </c>
      <c r="H25" s="330">
        <f>SUM(tanks!AV29)</f>
        <v>1.0029999999999999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5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5</v>
      </c>
      <c r="D26">
        <v>2021</v>
      </c>
      <c r="E26" s="203">
        <f>ELEC!N27</f>
        <v>9803</v>
      </c>
      <c r="F26" s="330">
        <f>SUM('EDl log'!T28)</f>
        <v>0.24102459440001209</v>
      </c>
      <c r="G26" s="203">
        <f>-tanks!AW30</f>
        <v>90</v>
      </c>
      <c r="H26" s="330">
        <f>SUM(tanks!AV30)</f>
        <v>1.0029999999999999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5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5</v>
      </c>
      <c r="D27">
        <v>2021</v>
      </c>
      <c r="E27" s="203">
        <f>ELEC!N28</f>
        <v>14177</v>
      </c>
      <c r="F27" s="330">
        <f>SUM('EDl log'!T29)</f>
        <v>0.30640618007741205</v>
      </c>
      <c r="G27" s="203">
        <f>-tanks!AW31</f>
        <v>114</v>
      </c>
      <c r="H27" s="330">
        <f>SUM(tanks!AV31)</f>
        <v>1.0029999999999999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5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5</v>
      </c>
      <c r="D28">
        <v>2021</v>
      </c>
      <c r="E28" s="203">
        <f>ELEC!N29</f>
        <v>11827</v>
      </c>
      <c r="F28" s="330">
        <f>SUM('EDl log'!T30)</f>
        <v>0.27061739599908252</v>
      </c>
      <c r="G28" s="203">
        <f>-tanks!AW32</f>
        <v>106</v>
      </c>
      <c r="H28" s="330">
        <f>SUM(tanks!AV32)</f>
        <v>1.0029999999999999</v>
      </c>
      <c r="I28" s="10">
        <f>('B5'!AU31)*0.51</f>
        <v>0</v>
      </c>
      <c r="J28" s="309">
        <f>'B5'!AX31/0.51</f>
        <v>1.5686274509803921</v>
      </c>
      <c r="K28" s="203">
        <f>WATER!I32</f>
        <v>435</v>
      </c>
      <c r="L28" s="331">
        <f>SUM(WATER!J32)</f>
        <v>0.55617352614015569</v>
      </c>
      <c r="M28" s="331">
        <f>WATER!Q32</f>
        <v>0</v>
      </c>
      <c r="N28" s="495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5</v>
      </c>
      <c r="D29">
        <v>2021</v>
      </c>
      <c r="E29" s="203">
        <f>ELEC!N30</f>
        <v>14989</v>
      </c>
      <c r="F29" s="330">
        <f>SUM('EDl log'!T31)</f>
        <v>0.19788083857297634</v>
      </c>
      <c r="G29" s="203">
        <f>-tanks!AW33</f>
        <v>136</v>
      </c>
      <c r="H29" s="330">
        <f>SUM(tanks!AV33)</f>
        <v>1.0029999999999999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5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5</v>
      </c>
      <c r="D30">
        <v>2021</v>
      </c>
      <c r="E30" s="203">
        <f>ELEC!N31</f>
        <v>17183.002</v>
      </c>
      <c r="F30" s="330">
        <f>SUM('EDl log'!T32)</f>
        <v>0.14037141935386857</v>
      </c>
      <c r="G30" s="203">
        <f>-tanks!AW34</f>
        <v>99</v>
      </c>
      <c r="H30" s="330">
        <f>SUM(tanks!AV34)</f>
        <v>1.0029999999999999</v>
      </c>
      <c r="I30" s="10">
        <f>('B5'!AU33)*0.51</f>
        <v>0</v>
      </c>
      <c r="J30" s="309">
        <f>'B5'!AX33/0.51</f>
        <v>1.5686274509803921</v>
      </c>
      <c r="K30" s="203">
        <f>WATER!I34</f>
        <v>122</v>
      </c>
      <c r="L30" s="331">
        <f>SUM(WATER!J34)</f>
        <v>1.9830777366472765</v>
      </c>
      <c r="M30" s="331">
        <f>WATER!Q34</f>
        <v>0</v>
      </c>
      <c r="N30" s="495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5</v>
      </c>
      <c r="D31">
        <v>2021</v>
      </c>
      <c r="E31" s="203">
        <f>ELEC!N32</f>
        <v>8610</v>
      </c>
      <c r="F31" s="330">
        <f>SUM('EDl log'!T33)</f>
        <v>0.40793393831114033</v>
      </c>
      <c r="G31" s="203">
        <f>-tanks!AW35</f>
        <v>41</v>
      </c>
      <c r="H31" s="330">
        <f>SUM(tanks!AV35)</f>
        <v>1.0029999999999999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5">
        <v>0.6</v>
      </c>
      <c r="O31" s="10">
        <f>ELEC!B32</f>
        <v>0</v>
      </c>
    </row>
    <row r="32" spans="1:15">
      <c r="A32" t="s">
        <v>345</v>
      </c>
      <c r="B32">
        <f t="shared" si="0"/>
        <v>31</v>
      </c>
      <c r="C32">
        <v>5</v>
      </c>
      <c r="D32">
        <v>2022</v>
      </c>
      <c r="E32" s="203">
        <f>ELEC!N33</f>
        <v>19416</v>
      </c>
      <c r="F32" s="330">
        <f>SUM('EDl log'!T34)</f>
        <v>0.20289123695380254</v>
      </c>
      <c r="G32" s="203">
        <f>-tanks!AW36</f>
        <v>306</v>
      </c>
      <c r="H32" s="330">
        <f>SUM(tanks!AV36)</f>
        <v>1.0029999999999999</v>
      </c>
      <c r="I32" s="10">
        <f>('B5'!AU35)*0.51</f>
        <v>0</v>
      </c>
      <c r="J32" s="309">
        <f>'B5'!AX35/0.51</f>
        <v>1.5686274509803921</v>
      </c>
      <c r="K32" s="203">
        <f>WATER!I36</f>
        <v>148</v>
      </c>
      <c r="L32" s="331">
        <f>SUM(WATER!J36)</f>
        <v>1.6346992153443767</v>
      </c>
      <c r="M32" s="331">
        <f>WATER!Q36</f>
        <v>0</v>
      </c>
      <c r="N32" s="495">
        <v>1.6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>
      <selection activeCell="P20" sqref="P2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5</v>
      </c>
      <c r="D2">
        <v>2021</v>
      </c>
      <c r="E2" s="203">
        <f>ELEC!M3</f>
        <v>2194</v>
      </c>
      <c r="F2" s="203">
        <f>ELEC!K3</f>
        <v>1280</v>
      </c>
      <c r="G2" s="203">
        <f>ELEC!I3</f>
        <v>882</v>
      </c>
      <c r="H2" s="203">
        <f>ELEC!E3</f>
        <v>3356</v>
      </c>
      <c r="I2" s="203">
        <f>ELEC!G3</f>
        <v>634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5</v>
      </c>
      <c r="D3">
        <v>2021</v>
      </c>
      <c r="E3" s="203">
        <f>ELEC!M4</f>
        <v>1698</v>
      </c>
      <c r="F3" s="203">
        <f>ELEC!K4</f>
        <v>912</v>
      </c>
      <c r="G3" s="203">
        <f>ELEC!I4</f>
        <v>692</v>
      </c>
      <c r="H3" s="203">
        <f>ELEC!E4</f>
        <v>2632</v>
      </c>
      <c r="I3" s="203">
        <f>ELEC!G4</f>
        <v>614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32" si="0">B3+1</f>
        <v>3</v>
      </c>
      <c r="C4">
        <v>5</v>
      </c>
      <c r="D4">
        <v>2021</v>
      </c>
      <c r="E4" s="203">
        <f>ELEC!M5</f>
        <v>1276</v>
      </c>
      <c r="F4" s="203">
        <f>ELEC!K5</f>
        <v>920</v>
      </c>
      <c r="G4" s="203">
        <f>ELEC!I5</f>
        <v>804</v>
      </c>
      <c r="H4" s="203">
        <f>ELEC!E5</f>
        <v>3588</v>
      </c>
      <c r="I4" s="203">
        <f>ELEC!G5</f>
        <v>591</v>
      </c>
      <c r="J4" s="203">
        <f>WATER!Y8</f>
        <v>82</v>
      </c>
      <c r="K4" s="203">
        <f>WATER!AJ8</f>
        <v>36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5</v>
      </c>
      <c r="D5">
        <v>2021</v>
      </c>
      <c r="E5" s="203">
        <f>ELEC!M6</f>
        <v>1652</v>
      </c>
      <c r="F5" s="203">
        <f>ELEC!K6</f>
        <v>2336</v>
      </c>
      <c r="G5" s="203">
        <f>ELEC!I6</f>
        <v>788</v>
      </c>
      <c r="H5" s="203">
        <f>ELEC!E6</f>
        <v>2984</v>
      </c>
      <c r="I5" s="203">
        <f>ELEC!G6</f>
        <v>623</v>
      </c>
      <c r="J5" s="203">
        <f>WATER!Y9</f>
        <v>1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5</v>
      </c>
      <c r="D6">
        <v>2021</v>
      </c>
      <c r="E6" s="203">
        <f>ELEC!M7</f>
        <v>1880</v>
      </c>
      <c r="F6" s="203">
        <f>ELEC!K7</f>
        <v>1312</v>
      </c>
      <c r="G6" s="203">
        <f>ELEC!I7</f>
        <v>912</v>
      </c>
      <c r="H6" s="203">
        <f>ELEC!E7</f>
        <v>0</v>
      </c>
      <c r="I6" s="203">
        <f>ELEC!G7</f>
        <v>664</v>
      </c>
      <c r="J6" s="203">
        <f>WATER!Y10</f>
        <v>105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5</v>
      </c>
      <c r="D7">
        <v>2021</v>
      </c>
      <c r="E7" s="203">
        <f>ELEC!M8</f>
        <v>1498</v>
      </c>
      <c r="F7" s="203">
        <f>ELEC!K8</f>
        <v>924</v>
      </c>
      <c r="G7" s="203">
        <f>ELEC!I8</f>
        <v>792</v>
      </c>
      <c r="H7" s="203">
        <f>ELEC!AO8</f>
        <v>5767</v>
      </c>
      <c r="I7" s="203">
        <f>ELEC!G8</f>
        <v>698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5</v>
      </c>
      <c r="D8">
        <v>2021</v>
      </c>
      <c r="E8" s="203">
        <f>ELEC!M9</f>
        <v>1848</v>
      </c>
      <c r="F8" s="203">
        <f>ELEC!K9</f>
        <v>1228</v>
      </c>
      <c r="G8" s="203">
        <f>ELEC!I9</f>
        <v>968</v>
      </c>
      <c r="H8" s="203">
        <f>ELEC!AO9</f>
        <v>4201</v>
      </c>
      <c r="I8" s="203">
        <f>ELEC!G9</f>
        <v>750.39999999990687</v>
      </c>
      <c r="J8" s="203">
        <f>WATER!Y12</f>
        <v>145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5</v>
      </c>
      <c r="D9">
        <v>2021</v>
      </c>
      <c r="E9" s="203">
        <f>ELEC!M10</f>
        <v>1638</v>
      </c>
      <c r="F9" s="203">
        <f>ELEC!K10</f>
        <v>1186</v>
      </c>
      <c r="G9" s="203">
        <f>ELEC!I10</f>
        <v>792</v>
      </c>
      <c r="H9" s="203">
        <f>ELEC!AO10</f>
        <v>3953</v>
      </c>
      <c r="I9" s="203">
        <f>ELEC!G10</f>
        <v>680.8000000002794</v>
      </c>
      <c r="J9" s="203">
        <f>WATER!Y13</f>
        <v>0</v>
      </c>
      <c r="K9" s="203">
        <f>WATER!AJ13</f>
        <v>32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5</v>
      </c>
      <c r="D10">
        <v>2021</v>
      </c>
      <c r="E10" s="203">
        <f>ELEC!M11</f>
        <v>1780</v>
      </c>
      <c r="F10" s="203">
        <f>ELEC!K11</f>
        <v>1272</v>
      </c>
      <c r="G10" s="203">
        <f>ELEC!I11</f>
        <v>796</v>
      </c>
      <c r="H10" s="203">
        <f>ELEC!AO11</f>
        <v>4500</v>
      </c>
      <c r="I10" s="203">
        <f>ELEC!G11</f>
        <v>677.79999999981374</v>
      </c>
      <c r="J10" s="203">
        <f>WATER!Y14</f>
        <v>26</v>
      </c>
      <c r="K10" s="203">
        <f>WATER!AJ14</f>
        <v>11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5</v>
      </c>
      <c r="D11">
        <v>2021</v>
      </c>
      <c r="E11" s="203">
        <f>ELEC!M12</f>
        <v>1812</v>
      </c>
      <c r="F11" s="203">
        <f>ELEC!K12</f>
        <v>3382</v>
      </c>
      <c r="G11" s="203">
        <f>ELEC!I12</f>
        <v>836</v>
      </c>
      <c r="H11" s="203">
        <f>ELEC!AO12</f>
        <v>2791</v>
      </c>
      <c r="I11" s="203">
        <f>ELEC!G12</f>
        <v>660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5</v>
      </c>
      <c r="D12">
        <v>2021</v>
      </c>
      <c r="E12" s="203">
        <f>ELEC!M13</f>
        <v>1774</v>
      </c>
      <c r="F12" s="203">
        <f>ELEC!K13</f>
        <v>2956</v>
      </c>
      <c r="G12" s="203">
        <f>ELEC!I13</f>
        <v>906</v>
      </c>
      <c r="H12" s="203">
        <f>ELEC!AO13</f>
        <v>2692</v>
      </c>
      <c r="I12" s="203">
        <f>ELEC!G13</f>
        <v>700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5</v>
      </c>
      <c r="D13">
        <v>2021</v>
      </c>
      <c r="E13" s="203">
        <f>ELEC!M14</f>
        <v>1894</v>
      </c>
      <c r="F13" s="203">
        <f>ELEC!K14</f>
        <v>3444</v>
      </c>
      <c r="G13" s="203">
        <f>ELEC!I14</f>
        <v>910</v>
      </c>
      <c r="H13" s="203">
        <f>ELEC!AO14</f>
        <v>2489</v>
      </c>
      <c r="I13" s="203">
        <f>ELEC!G14</f>
        <v>674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5</v>
      </c>
      <c r="D14">
        <v>2021</v>
      </c>
      <c r="E14" s="203">
        <f>ELEC!M15</f>
        <v>1736</v>
      </c>
      <c r="F14" s="203">
        <f>ELEC!K15</f>
        <v>4104</v>
      </c>
      <c r="G14" s="203">
        <f>ELEC!I15</f>
        <v>788</v>
      </c>
      <c r="H14" s="203">
        <f>ELEC!AO15</f>
        <v>2415</v>
      </c>
      <c r="I14" s="203">
        <f>ELEC!G15</f>
        <v>603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5</v>
      </c>
      <c r="D15">
        <v>2021</v>
      </c>
      <c r="E15" s="203">
        <f>ELEC!M16</f>
        <v>1296</v>
      </c>
      <c r="F15" s="203">
        <f>ELEC!K16</f>
        <v>3042</v>
      </c>
      <c r="G15" s="203">
        <f>ELEC!I16</f>
        <v>748</v>
      </c>
      <c r="H15" s="203">
        <f>ELEC!AO16</f>
        <v>3136</v>
      </c>
      <c r="I15" s="203">
        <f>ELEC!G16</f>
        <v>646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5</v>
      </c>
      <c r="D16">
        <v>2021</v>
      </c>
      <c r="E16" s="203">
        <f>ELEC!M17</f>
        <v>1584</v>
      </c>
      <c r="F16" s="203">
        <f>ELEC!K17</f>
        <v>2474</v>
      </c>
      <c r="G16" s="203">
        <f>ELEC!I17</f>
        <v>836</v>
      </c>
      <c r="H16" s="203">
        <f>ELEC!AO17</f>
        <v>2032</v>
      </c>
      <c r="I16" s="203">
        <f>ELEC!G17</f>
        <v>661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5</v>
      </c>
      <c r="D17">
        <v>2021</v>
      </c>
      <c r="E17" s="203">
        <f>ELEC!M18</f>
        <v>2340</v>
      </c>
      <c r="F17" s="203">
        <f>ELEC!K18</f>
        <v>5432</v>
      </c>
      <c r="G17" s="203">
        <f>ELEC!I18</f>
        <v>1032</v>
      </c>
      <c r="H17" s="203">
        <f>ELEC!AO18</f>
        <v>3443</v>
      </c>
      <c r="I17" s="203">
        <f>ELEC!G18</f>
        <v>592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5</v>
      </c>
      <c r="D18">
        <v>2021</v>
      </c>
      <c r="E18" s="203">
        <f>ELEC!M19</f>
        <v>2048</v>
      </c>
      <c r="F18" s="203">
        <f>ELEC!K19</f>
        <v>2824</v>
      </c>
      <c r="G18" s="203">
        <f>ELEC!I19</f>
        <v>836</v>
      </c>
      <c r="H18" s="203">
        <f>ELEC!AO19</f>
        <v>3701</v>
      </c>
      <c r="I18" s="203">
        <f>ELEC!G19</f>
        <v>680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5</v>
      </c>
      <c r="D19">
        <v>2021</v>
      </c>
      <c r="E19" s="203">
        <f>ELEC!M20</f>
        <v>1882</v>
      </c>
      <c r="F19" s="203">
        <f>ELEC!K20</f>
        <v>3480</v>
      </c>
      <c r="G19" s="203">
        <f>ELEC!I20</f>
        <v>1684</v>
      </c>
      <c r="H19" s="203">
        <f>ELEC!AO20</f>
        <v>2450</v>
      </c>
      <c r="I19" s="203">
        <f>ELEC!G20</f>
        <v>801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5</v>
      </c>
      <c r="D20">
        <v>2021</v>
      </c>
      <c r="E20" s="203">
        <f>ELEC!M21</f>
        <v>2524</v>
      </c>
      <c r="F20" s="203">
        <f>ELEC!K21</f>
        <v>6644</v>
      </c>
      <c r="G20" s="203">
        <f>ELEC!I21</f>
        <v>1176</v>
      </c>
      <c r="H20" s="203">
        <f>ELEC!AO21</f>
        <v>3949</v>
      </c>
      <c r="I20" s="203">
        <f>ELEC!G21</f>
        <v>1046</v>
      </c>
      <c r="J20" s="203">
        <f>WATER!Y24</f>
        <v>60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5</v>
      </c>
      <c r="D21">
        <v>2021</v>
      </c>
      <c r="E21" s="203">
        <f>ELEC!M22</f>
        <v>1502</v>
      </c>
      <c r="F21" s="203">
        <f>ELEC!K22</f>
        <v>3922</v>
      </c>
      <c r="G21" s="203">
        <f>ELEC!I22</f>
        <v>582</v>
      </c>
      <c r="H21" s="203">
        <f>ELEC!AO22</f>
        <v>2418</v>
      </c>
      <c r="I21" s="203">
        <f>ELEC!G22</f>
        <v>473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5</v>
      </c>
      <c r="D22">
        <v>2021</v>
      </c>
      <c r="E22" s="203">
        <f>ELEC!M23</f>
        <v>1992</v>
      </c>
      <c r="F22" s="203">
        <f>ELEC!K23</f>
        <v>4110</v>
      </c>
      <c r="G22" s="203">
        <f>ELEC!I23</f>
        <v>774</v>
      </c>
      <c r="H22" s="203">
        <f>ELEC!AO23</f>
        <v>2787</v>
      </c>
      <c r="I22" s="203">
        <f>ELEC!G23</f>
        <v>572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5</v>
      </c>
      <c r="D23">
        <v>2021</v>
      </c>
      <c r="E23" s="203">
        <f>ELEC!M24</f>
        <v>2186</v>
      </c>
      <c r="F23" s="203">
        <f>ELEC!K24</f>
        <v>5208</v>
      </c>
      <c r="G23" s="203">
        <f>ELEC!I24</f>
        <v>846</v>
      </c>
      <c r="H23" s="203">
        <f>ELEC!AO24</f>
        <v>3243</v>
      </c>
      <c r="I23" s="203">
        <f>ELEC!G24</f>
        <v>708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5</v>
      </c>
      <c r="D24">
        <v>2021</v>
      </c>
      <c r="E24" s="203">
        <f>ELEC!M25</f>
        <v>1698</v>
      </c>
      <c r="F24" s="203">
        <f>ELEC!K25</f>
        <v>3084</v>
      </c>
      <c r="G24" s="203">
        <f>ELEC!I25</f>
        <v>762</v>
      </c>
      <c r="H24" s="203">
        <f>ELEC!AO25</f>
        <v>2306</v>
      </c>
      <c r="I24" s="203">
        <f>ELEC!G25</f>
        <v>718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5</v>
      </c>
      <c r="D25">
        <v>2021</v>
      </c>
      <c r="E25" s="203">
        <f>ELEC!M26</f>
        <v>2230</v>
      </c>
      <c r="F25" s="203">
        <f>ELEC!K26</f>
        <v>6256</v>
      </c>
      <c r="G25" s="203">
        <f>ELEC!I26</f>
        <v>952</v>
      </c>
      <c r="H25" s="203">
        <f>ELEC!AO26</f>
        <v>3528</v>
      </c>
      <c r="I25" s="203">
        <f>ELEC!G26</f>
        <v>762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5</v>
      </c>
      <c r="D26">
        <v>2021</v>
      </c>
      <c r="E26" s="203">
        <f>ELEC!M27</f>
        <v>2102</v>
      </c>
      <c r="F26" s="203">
        <f>ELEC!K27</f>
        <v>3580</v>
      </c>
      <c r="G26" s="203">
        <f>ELEC!I27</f>
        <v>876</v>
      </c>
      <c r="H26" s="203">
        <f>ELEC!AO27</f>
        <v>2482</v>
      </c>
      <c r="I26" s="203">
        <f>ELEC!G27</f>
        <v>763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5</v>
      </c>
      <c r="D27">
        <v>2021</v>
      </c>
      <c r="E27" s="203">
        <f>ELEC!M28</f>
        <v>2448</v>
      </c>
      <c r="F27" s="203">
        <f>ELEC!K28</f>
        <v>6608</v>
      </c>
      <c r="G27" s="203">
        <f>ELEC!I28</f>
        <v>956</v>
      </c>
      <c r="H27" s="203">
        <f>ELEC!AO28</f>
        <v>3437</v>
      </c>
      <c r="I27" s="203">
        <f>ELEC!G28</f>
        <v>728</v>
      </c>
      <c r="J27" s="203">
        <f>WATER!Y31</f>
        <v>2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5</v>
      </c>
      <c r="D28">
        <v>2021</v>
      </c>
      <c r="E28" s="203">
        <f>ELEC!M29</f>
        <v>2160</v>
      </c>
      <c r="F28" s="203">
        <f>ELEC!K29</f>
        <v>5032</v>
      </c>
      <c r="G28" s="203">
        <f>ELEC!I29</f>
        <v>908</v>
      </c>
      <c r="H28" s="203">
        <f>ELEC!AO29</f>
        <v>2935</v>
      </c>
      <c r="I28" s="203">
        <f>ELEC!G29</f>
        <v>792</v>
      </c>
      <c r="J28" s="203">
        <f>WATER!Y32</f>
        <v>71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5</v>
      </c>
      <c r="D29">
        <v>2021</v>
      </c>
      <c r="E29" s="203">
        <f>ELEC!M30</f>
        <v>2452</v>
      </c>
      <c r="F29" s="203">
        <f>ELEC!K30</f>
        <v>7000</v>
      </c>
      <c r="G29" s="203">
        <f>ELEC!I30</f>
        <v>1060</v>
      </c>
      <c r="H29" s="203">
        <f>ELEC!AO30</f>
        <v>3737</v>
      </c>
      <c r="I29" s="203">
        <f>ELEC!G30</f>
        <v>740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5</v>
      </c>
      <c r="D30">
        <v>2021</v>
      </c>
      <c r="E30" s="203">
        <f>ELEC!M31</f>
        <v>2560</v>
      </c>
      <c r="F30" s="203">
        <f>ELEC!K31</f>
        <v>5500</v>
      </c>
      <c r="G30" s="203">
        <f>ELEC!I31</f>
        <v>1112</v>
      </c>
      <c r="H30" s="203">
        <f>ELEC!AO31</f>
        <v>3472</v>
      </c>
      <c r="I30" s="203">
        <f>ELEC!G31</f>
        <v>875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5</v>
      </c>
      <c r="D31">
        <v>2021</v>
      </c>
      <c r="E31" s="203">
        <f>ELEC!M32</f>
        <v>1560</v>
      </c>
      <c r="F31" s="203">
        <f>ELEC!K32</f>
        <v>3760</v>
      </c>
      <c r="G31" s="203">
        <f>ELEC!I32</f>
        <v>736</v>
      </c>
      <c r="H31" s="203">
        <f>ELEC!AO32</f>
        <v>2022</v>
      </c>
      <c r="I31" s="203">
        <f>ELEC!G32</f>
        <v>532</v>
      </c>
      <c r="J31" s="203">
        <f>WATER!Y35</f>
        <v>0</v>
      </c>
      <c r="K31" s="203">
        <f>WATER!AJ35</f>
        <v>0</v>
      </c>
      <c r="L31" s="10">
        <f>ELEC!B32</f>
        <v>0</v>
      </c>
    </row>
    <row r="32" spans="1:13">
      <c r="A32" t="s">
        <v>345</v>
      </c>
      <c r="B32">
        <f t="shared" si="0"/>
        <v>31</v>
      </c>
      <c r="C32">
        <v>5</v>
      </c>
      <c r="D32">
        <v>2021</v>
      </c>
      <c r="E32" s="203">
        <f>ELEC!M33</f>
        <v>3158</v>
      </c>
      <c r="F32" s="203">
        <f>ELEC!K33</f>
        <v>9050</v>
      </c>
      <c r="G32" s="203">
        <f>ELEC!I33</f>
        <v>1442</v>
      </c>
      <c r="H32" s="203">
        <f>ELEC!AO33</f>
        <v>4709</v>
      </c>
      <c r="I32" s="203">
        <f>ELEC!G33</f>
        <v>1057</v>
      </c>
      <c r="J32" s="203">
        <f>WATER!Y36</f>
        <v>131</v>
      </c>
      <c r="K32" s="203">
        <f>WATER!AJ36</f>
        <v>0</v>
      </c>
      <c r="L32" s="10">
        <f>ELEC!B33</f>
        <v>0</v>
      </c>
    </row>
    <row r="46" spans="4:4">
      <c r="D46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34"/>
  <sheetViews>
    <sheetView topLeftCell="O1" zoomScale="90" zoomScaleNormal="90" zoomScaleSheetLayoutView="100" workbookViewId="0">
      <pane ySplit="1" topLeftCell="A14" activePane="bottomLeft" state="frozen"/>
      <selection activeCell="C1" sqref="C1"/>
      <selection pane="bottomLeft" activeCell="R33" sqref="R33"/>
    </sheetView>
  </sheetViews>
  <sheetFormatPr defaultColWidth="9.140625" defaultRowHeight="15"/>
  <cols>
    <col min="1" max="1" width="7.7109375" style="465" bestFit="1" customWidth="1"/>
    <col min="2" max="2" width="10.28515625" style="473" bestFit="1" customWidth="1"/>
    <col min="3" max="3" width="11.5703125" style="465" customWidth="1"/>
    <col min="4" max="4" width="18" style="474" bestFit="1" customWidth="1"/>
    <col min="5" max="5" width="14.42578125" style="474" bestFit="1" customWidth="1"/>
    <col min="6" max="6" width="15.28515625" style="474" bestFit="1" customWidth="1"/>
    <col min="7" max="7" width="12" style="474" bestFit="1" customWidth="1"/>
    <col min="8" max="8" width="18" style="474" bestFit="1" customWidth="1"/>
    <col min="9" max="9" width="13" style="474" bestFit="1" customWidth="1"/>
    <col min="10" max="10" width="18" style="474" bestFit="1" customWidth="1"/>
    <col min="11" max="11" width="11.7109375" style="474" customWidth="1"/>
    <col min="12" max="12" width="18" style="474" bestFit="1" customWidth="1"/>
    <col min="13" max="13" width="12.5703125" style="474" bestFit="1" customWidth="1"/>
    <col min="14" max="14" width="15.42578125" style="465" bestFit="1" customWidth="1"/>
    <col min="15" max="15" width="13.140625" style="475" bestFit="1" customWidth="1"/>
    <col min="16" max="16" width="14.28515625" style="465" bestFit="1" customWidth="1"/>
    <col min="17" max="17" width="13.7109375" style="465" bestFit="1" customWidth="1"/>
    <col min="18" max="18" width="12.42578125" style="465" bestFit="1" customWidth="1"/>
    <col min="19" max="21" width="11.5703125" style="465" bestFit="1" customWidth="1"/>
    <col min="22" max="22" width="13.140625" style="465" bestFit="1" customWidth="1"/>
    <col min="23" max="25" width="11.5703125" style="465" bestFit="1" customWidth="1"/>
    <col min="26" max="26" width="13.140625" style="465" bestFit="1" customWidth="1"/>
    <col min="27" max="29" width="11.5703125" style="465" bestFit="1" customWidth="1"/>
    <col min="30" max="30" width="13.140625" style="465" bestFit="1" customWidth="1"/>
    <col min="31" max="32" width="11.5703125" style="465" bestFit="1" customWidth="1"/>
    <col min="33" max="33" width="14.42578125" style="465" bestFit="1" customWidth="1"/>
    <col min="34" max="34" width="9.140625" style="465"/>
    <col min="35" max="35" width="9.7109375" style="465" bestFit="1" customWidth="1"/>
    <col min="36" max="36" width="9.140625" style="465"/>
    <col min="37" max="37" width="12.42578125" style="465" customWidth="1"/>
    <col min="38" max="38" width="11.42578125" style="465" customWidth="1"/>
    <col min="39" max="40" width="9.140625" style="465"/>
    <col min="41" max="41" width="21.140625" style="465" customWidth="1"/>
    <col min="42" max="16384" width="9.140625" style="465"/>
  </cols>
  <sheetData>
    <row r="1" spans="1:41" s="449" customFormat="1" ht="18.75" customHeight="1">
      <c r="A1" s="449" t="s">
        <v>19</v>
      </c>
      <c r="B1" s="450" t="s">
        <v>155</v>
      </c>
      <c r="C1" s="451"/>
      <c r="D1" s="452" t="s">
        <v>20</v>
      </c>
      <c r="E1" s="452" t="s">
        <v>21</v>
      </c>
      <c r="F1" s="452" t="s">
        <v>22</v>
      </c>
      <c r="G1" s="452" t="s">
        <v>23</v>
      </c>
      <c r="H1" s="452" t="s">
        <v>24</v>
      </c>
      <c r="I1" s="452" t="s">
        <v>25</v>
      </c>
      <c r="J1" s="452" t="s">
        <v>26</v>
      </c>
      <c r="K1" s="452" t="s">
        <v>27</v>
      </c>
      <c r="L1" s="452" t="s">
        <v>28</v>
      </c>
      <c r="M1" s="452" t="s">
        <v>29</v>
      </c>
      <c r="N1" s="453" t="s">
        <v>30</v>
      </c>
      <c r="O1" s="454" t="s">
        <v>156</v>
      </c>
      <c r="P1" s="455" t="s">
        <v>326</v>
      </c>
      <c r="Q1" s="453" t="s">
        <v>31</v>
      </c>
      <c r="R1" s="453" t="s">
        <v>32</v>
      </c>
      <c r="S1" s="453" t="s">
        <v>361</v>
      </c>
      <c r="T1" s="453" t="s">
        <v>33</v>
      </c>
      <c r="U1" s="453" t="s">
        <v>34</v>
      </c>
      <c r="V1" s="453" t="s">
        <v>35</v>
      </c>
      <c r="W1" s="453" t="s">
        <v>36</v>
      </c>
      <c r="X1" s="453" t="s">
        <v>33</v>
      </c>
      <c r="Y1" s="453" t="s">
        <v>37</v>
      </c>
      <c r="Z1" s="453" t="s">
        <v>38</v>
      </c>
      <c r="AA1" s="453" t="s">
        <v>39</v>
      </c>
      <c r="AB1" s="453" t="s">
        <v>33</v>
      </c>
      <c r="AC1" s="453" t="s">
        <v>77</v>
      </c>
      <c r="AD1" s="453" t="s">
        <v>40</v>
      </c>
      <c r="AE1" s="453" t="s">
        <v>41</v>
      </c>
      <c r="AF1" s="453" t="s">
        <v>42</v>
      </c>
      <c r="AG1" s="449" t="s">
        <v>132</v>
      </c>
    </row>
    <row r="2" spans="1:41">
      <c r="A2" s="456">
        <f>'General information '!F5</f>
        <v>0</v>
      </c>
      <c r="B2" s="450">
        <f t="shared" ref="B2" si="0">SUM(230*A2)</f>
        <v>0</v>
      </c>
      <c r="C2" s="457">
        <v>44316</v>
      </c>
      <c r="D2" s="444">
        <v>32819750</v>
      </c>
      <c r="E2" s="311">
        <v>3108</v>
      </c>
      <c r="F2" s="444">
        <v>4009734</v>
      </c>
      <c r="G2" s="312">
        <v>304</v>
      </c>
      <c r="H2" s="444">
        <v>17856136</v>
      </c>
      <c r="I2" s="312">
        <v>765</v>
      </c>
      <c r="J2" s="444">
        <v>29011666</v>
      </c>
      <c r="K2" s="312">
        <v>1972</v>
      </c>
      <c r="L2" s="444">
        <v>24175590</v>
      </c>
      <c r="M2" s="312">
        <v>1724</v>
      </c>
      <c r="N2" s="310">
        <v>7873</v>
      </c>
      <c r="O2" s="466">
        <v>0</v>
      </c>
      <c r="P2" s="599">
        <v>16972.835999999999</v>
      </c>
      <c r="Q2" s="448">
        <v>4976.9999999989523</v>
      </c>
      <c r="R2" s="448">
        <v>2896.0000000010477</v>
      </c>
      <c r="S2" s="444">
        <v>10175</v>
      </c>
      <c r="T2" s="468">
        <v>0</v>
      </c>
      <c r="U2" s="444">
        <v>429166</v>
      </c>
      <c r="V2" s="448">
        <v>0</v>
      </c>
      <c r="W2" s="444">
        <v>32312</v>
      </c>
      <c r="X2" s="469">
        <v>5</v>
      </c>
      <c r="Y2" s="444">
        <v>721364</v>
      </c>
      <c r="Z2" s="448">
        <v>825</v>
      </c>
      <c r="AA2" s="444">
        <v>35884</v>
      </c>
      <c r="AB2" s="448">
        <v>3</v>
      </c>
      <c r="AC2" s="444">
        <v>949998</v>
      </c>
      <c r="AD2" s="448">
        <v>560</v>
      </c>
      <c r="AE2" s="471">
        <v>8</v>
      </c>
      <c r="AF2" s="472">
        <v>1385</v>
      </c>
      <c r="AG2" s="464">
        <v>173.125</v>
      </c>
      <c r="AI2" s="465">
        <v>-999705.99999999895</v>
      </c>
    </row>
    <row r="3" spans="1:41">
      <c r="A3" s="456">
        <f>'General information '!F6</f>
        <v>0</v>
      </c>
      <c r="B3" s="450">
        <f>SUM(230*A3)</f>
        <v>0</v>
      </c>
      <c r="C3" s="457">
        <v>44317</v>
      </c>
      <c r="D3" s="444">
        <v>32823106</v>
      </c>
      <c r="E3" s="445">
        <f>D3-D2</f>
        <v>3356</v>
      </c>
      <c r="F3" s="444">
        <v>4010368</v>
      </c>
      <c r="G3" s="446">
        <f t="shared" ref="G3:G32" si="1">F3-F2</f>
        <v>634</v>
      </c>
      <c r="H3" s="444">
        <v>17857018</v>
      </c>
      <c r="I3" s="446">
        <f>H3-H2</f>
        <v>882</v>
      </c>
      <c r="J3" s="444">
        <v>29012946</v>
      </c>
      <c r="K3" s="446">
        <f>J3-J2</f>
        <v>1280</v>
      </c>
      <c r="L3" s="444">
        <v>24177784</v>
      </c>
      <c r="M3" s="446">
        <f>L3-L2</f>
        <v>2194</v>
      </c>
      <c r="N3" s="447">
        <f>M3+K3+I3+G3+E3</f>
        <v>8346</v>
      </c>
      <c r="O3" s="458">
        <f t="shared" ref="O3:O9" si="2">IF(B3&gt;0,N3/B3,0)</f>
        <v>0</v>
      </c>
      <c r="P3" s="591">
        <v>16976.762999999999</v>
      </c>
      <c r="Q3" s="467">
        <f t="shared" ref="Q3:Q12" si="3">(P3-P2)*1000</f>
        <v>3926.9999999996799</v>
      </c>
      <c r="R3" s="460">
        <f>+N3-Q3</f>
        <v>4419.0000000003201</v>
      </c>
      <c r="S3" s="444">
        <f>S2</f>
        <v>10175</v>
      </c>
      <c r="T3" s="461">
        <f t="shared" ref="T3:T30" si="4">S3-S2</f>
        <v>0</v>
      </c>
      <c r="U3" s="444">
        <v>429166</v>
      </c>
      <c r="V3" s="459">
        <f>U3-U2</f>
        <v>0</v>
      </c>
      <c r="W3" s="444">
        <v>32312</v>
      </c>
      <c r="X3" s="459">
        <f t="shared" ref="X3:X8" si="5">W3-W2</f>
        <v>0</v>
      </c>
      <c r="Y3" s="444">
        <f>Y2</f>
        <v>721364</v>
      </c>
      <c r="Z3" s="459">
        <f>Y3-Y2</f>
        <v>0</v>
      </c>
      <c r="AA3" s="444">
        <v>35889</v>
      </c>
      <c r="AB3" s="459">
        <f>AA3-AA2</f>
        <v>5</v>
      </c>
      <c r="AC3" s="444">
        <v>951030</v>
      </c>
      <c r="AD3" s="462">
        <f>AC3-AC2</f>
        <v>1032</v>
      </c>
      <c r="AE3" s="463">
        <f>AB3+X3+T3</f>
        <v>5</v>
      </c>
      <c r="AF3" s="472">
        <f t="shared" ref="AF3:AF30" si="6">V3+Z3+AD3</f>
        <v>1032</v>
      </c>
      <c r="AG3" s="464">
        <f t="shared" ref="AG3:AG9" si="7">IF(AE3&gt;0,AF3/AE3,0)</f>
        <v>206.4</v>
      </c>
    </row>
    <row r="4" spans="1:41">
      <c r="A4" s="456">
        <f>'General information '!F7</f>
        <v>0</v>
      </c>
      <c r="B4" s="450">
        <f t="shared" ref="B4:B30" si="8">SUM(230*A4)</f>
        <v>0</v>
      </c>
      <c r="C4" s="457">
        <v>44318</v>
      </c>
      <c r="D4" s="444">
        <v>32825738</v>
      </c>
      <c r="E4" s="311">
        <f>D4-D3</f>
        <v>2632</v>
      </c>
      <c r="F4" s="444">
        <v>4010982</v>
      </c>
      <c r="G4" s="312">
        <f t="shared" si="1"/>
        <v>614</v>
      </c>
      <c r="H4" s="444">
        <v>17857710</v>
      </c>
      <c r="I4" s="312">
        <f>H4-H3</f>
        <v>692</v>
      </c>
      <c r="J4" s="444">
        <v>29013858</v>
      </c>
      <c r="K4" s="312">
        <f>J4-J3</f>
        <v>912</v>
      </c>
      <c r="L4" s="444">
        <v>24179482</v>
      </c>
      <c r="M4" s="312">
        <f>L4-L3</f>
        <v>1698</v>
      </c>
      <c r="N4" s="310">
        <f>M4+K4+I4+G4+E4</f>
        <v>6548</v>
      </c>
      <c r="O4" s="466">
        <f t="shared" si="2"/>
        <v>0</v>
      </c>
      <c r="P4" s="591">
        <v>16978.758999999998</v>
      </c>
      <c r="Q4" s="467">
        <f t="shared" si="3"/>
        <v>1995.9999999991851</v>
      </c>
      <c r="R4" s="448">
        <f>N4-Q4</f>
        <v>4552.0000000008149</v>
      </c>
      <c r="S4" s="444">
        <f t="shared" ref="S4:U33" si="9">S3</f>
        <v>10175</v>
      </c>
      <c r="T4" s="468">
        <f t="shared" si="4"/>
        <v>0</v>
      </c>
      <c r="U4" s="444">
        <f t="shared" si="9"/>
        <v>429166</v>
      </c>
      <c r="V4" s="448">
        <f>U4-U3</f>
        <v>0</v>
      </c>
      <c r="W4" s="444">
        <f t="shared" ref="W4:W11" si="10">W3</f>
        <v>32312</v>
      </c>
      <c r="X4" s="448">
        <f t="shared" si="5"/>
        <v>0</v>
      </c>
      <c r="Y4" s="444">
        <f t="shared" ref="Y4:Y11" si="11">Y3</f>
        <v>721364</v>
      </c>
      <c r="Z4" s="448">
        <f>Y4-Y3</f>
        <v>0</v>
      </c>
      <c r="AA4" s="444">
        <v>35891</v>
      </c>
      <c r="AB4" s="469">
        <f>AA4-AA3</f>
        <v>2</v>
      </c>
      <c r="AC4" s="444">
        <v>951609</v>
      </c>
      <c r="AD4" s="470">
        <f>AC4-AC3</f>
        <v>579</v>
      </c>
      <c r="AE4" s="471">
        <f t="shared" ref="AE4:AE30" si="12">AB4+X4+T4</f>
        <v>2</v>
      </c>
      <c r="AF4" s="472">
        <f t="shared" si="6"/>
        <v>579</v>
      </c>
      <c r="AG4" s="464">
        <f t="shared" si="7"/>
        <v>289.5</v>
      </c>
      <c r="AK4" s="625"/>
      <c r="AL4" s="667" t="s">
        <v>421</v>
      </c>
      <c r="AM4" s="667"/>
      <c r="AN4" s="667"/>
      <c r="AO4" s="668"/>
    </row>
    <row r="5" spans="1:41">
      <c r="A5" s="456">
        <f>'General information '!F8</f>
        <v>0</v>
      </c>
      <c r="B5" s="450">
        <f>SUM(230*A5)</f>
        <v>0</v>
      </c>
      <c r="C5" s="457">
        <v>44319</v>
      </c>
      <c r="D5" s="444">
        <v>32829326</v>
      </c>
      <c r="E5" s="311">
        <f t="shared" ref="E5:E32" si="13">D5-D4</f>
        <v>3588</v>
      </c>
      <c r="F5" s="444">
        <v>4011573</v>
      </c>
      <c r="G5" s="312">
        <f t="shared" si="1"/>
        <v>591</v>
      </c>
      <c r="H5" s="444">
        <v>17858514</v>
      </c>
      <c r="I5" s="312">
        <f t="shared" ref="I5:I32" si="14">H5-H4</f>
        <v>804</v>
      </c>
      <c r="J5" s="444">
        <v>29014778</v>
      </c>
      <c r="K5" s="312">
        <f t="shared" ref="K5:K32" si="15">J5-J4</f>
        <v>920</v>
      </c>
      <c r="L5" s="444">
        <v>24180758</v>
      </c>
      <c r="M5" s="312">
        <f t="shared" ref="M5:M32" si="16">L5-L4</f>
        <v>1276</v>
      </c>
      <c r="N5" s="310">
        <f t="shared" ref="N5:N30" si="17">M5+K5+I5+G5+E5</f>
        <v>7179</v>
      </c>
      <c r="O5" s="466">
        <f t="shared" si="2"/>
        <v>0</v>
      </c>
      <c r="P5" s="591">
        <v>16981.778999999999</v>
      </c>
      <c r="Q5" s="467">
        <f>(P5-P4)*1000</f>
        <v>3020.0000000004366</v>
      </c>
      <c r="R5" s="448">
        <f>N5-Q5</f>
        <v>4158.9999999995634</v>
      </c>
      <c r="S5" s="444">
        <f t="shared" si="9"/>
        <v>10175</v>
      </c>
      <c r="T5" s="468">
        <f t="shared" si="4"/>
        <v>0</v>
      </c>
      <c r="U5" s="444">
        <f t="shared" si="9"/>
        <v>429166</v>
      </c>
      <c r="V5" s="448">
        <f t="shared" ref="V5:V30" si="18">U5-U4</f>
        <v>0</v>
      </c>
      <c r="W5" s="444">
        <f t="shared" si="10"/>
        <v>32312</v>
      </c>
      <c r="X5" s="448">
        <f t="shared" si="5"/>
        <v>0</v>
      </c>
      <c r="Y5" s="444">
        <f t="shared" si="11"/>
        <v>721364</v>
      </c>
      <c r="Z5" s="448">
        <f>Y5-Y4</f>
        <v>0</v>
      </c>
      <c r="AA5" s="444">
        <v>35896</v>
      </c>
      <c r="AB5" s="448">
        <f t="shared" ref="AB5:AB30" si="19">AA5-AA4</f>
        <v>5</v>
      </c>
      <c r="AC5" s="444">
        <v>952602</v>
      </c>
      <c r="AD5" s="448">
        <f t="shared" ref="AD5:AD16" si="20">AC5-AC4</f>
        <v>993</v>
      </c>
      <c r="AE5" s="471">
        <f t="shared" si="12"/>
        <v>5</v>
      </c>
      <c r="AF5" s="472">
        <f t="shared" si="6"/>
        <v>993</v>
      </c>
      <c r="AG5" s="464">
        <f t="shared" si="7"/>
        <v>198.6</v>
      </c>
      <c r="AI5" s="465">
        <f>R5-'EDl log'!B3</f>
        <v>-1004651.0000000005</v>
      </c>
      <c r="AK5" s="626"/>
      <c r="AL5" s="623" t="s">
        <v>419</v>
      </c>
      <c r="AM5" s="624" t="s">
        <v>418</v>
      </c>
      <c r="AN5" s="624" t="s">
        <v>391</v>
      </c>
      <c r="AO5" s="627" t="s">
        <v>420</v>
      </c>
    </row>
    <row r="6" spans="1:41">
      <c r="A6" s="456">
        <f>'General information '!F9</f>
        <v>0</v>
      </c>
      <c r="B6" s="450">
        <f t="shared" si="8"/>
        <v>0</v>
      </c>
      <c r="C6" s="457">
        <v>44320</v>
      </c>
      <c r="D6" s="444">
        <v>32832310</v>
      </c>
      <c r="E6" s="311">
        <f t="shared" si="13"/>
        <v>2984</v>
      </c>
      <c r="F6" s="444">
        <v>4012196</v>
      </c>
      <c r="G6" s="312">
        <f t="shared" si="1"/>
        <v>623</v>
      </c>
      <c r="H6" s="444">
        <v>17859302</v>
      </c>
      <c r="I6" s="312">
        <f t="shared" si="14"/>
        <v>788</v>
      </c>
      <c r="J6" s="444">
        <v>29017114</v>
      </c>
      <c r="K6" s="312">
        <f t="shared" si="15"/>
        <v>2336</v>
      </c>
      <c r="L6" s="444">
        <v>24182410</v>
      </c>
      <c r="M6" s="312">
        <f t="shared" si="16"/>
        <v>1652</v>
      </c>
      <c r="N6" s="310">
        <f t="shared" si="17"/>
        <v>8383</v>
      </c>
      <c r="O6" s="466">
        <f t="shared" si="2"/>
        <v>0</v>
      </c>
      <c r="P6" s="591">
        <v>16985.990000000002</v>
      </c>
      <c r="Q6" s="448">
        <f t="shared" si="3"/>
        <v>4211.0000000029686</v>
      </c>
      <c r="R6" s="448">
        <f t="shared" ref="R6:R12" si="21">N6-Q6</f>
        <v>4171.9999999970314</v>
      </c>
      <c r="S6" s="444">
        <f t="shared" si="9"/>
        <v>10175</v>
      </c>
      <c r="T6" s="468">
        <f t="shared" si="4"/>
        <v>0</v>
      </c>
      <c r="U6" s="444">
        <f t="shared" si="9"/>
        <v>429166</v>
      </c>
      <c r="V6" s="448">
        <f t="shared" si="18"/>
        <v>0</v>
      </c>
      <c r="W6" s="444">
        <v>32317</v>
      </c>
      <c r="X6" s="448">
        <f t="shared" si="5"/>
        <v>5</v>
      </c>
      <c r="Y6" s="444">
        <v>722633</v>
      </c>
      <c r="Z6" s="448">
        <f t="shared" ref="Z6:Z30" si="22">Y6-Y5</f>
        <v>1269</v>
      </c>
      <c r="AA6" s="444">
        <v>35896</v>
      </c>
      <c r="AB6" s="448">
        <f t="shared" si="19"/>
        <v>0</v>
      </c>
      <c r="AC6" s="444">
        <f t="shared" ref="AC6:AC33" si="23">AC5</f>
        <v>952602</v>
      </c>
      <c r="AD6" s="448">
        <f t="shared" si="20"/>
        <v>0</v>
      </c>
      <c r="AE6" s="471">
        <f t="shared" si="12"/>
        <v>5</v>
      </c>
      <c r="AF6" s="472">
        <f t="shared" si="6"/>
        <v>1269</v>
      </c>
      <c r="AG6" s="464">
        <f t="shared" si="7"/>
        <v>253.8</v>
      </c>
      <c r="AI6" s="465">
        <f>R6-'EDl log'!B4</f>
        <v>-1007025.000000003</v>
      </c>
      <c r="AK6" s="628">
        <v>44320</v>
      </c>
      <c r="AL6" s="17">
        <v>270643</v>
      </c>
      <c r="AM6" s="17">
        <v>409413</v>
      </c>
      <c r="AN6" s="17">
        <f>AM6+AL6</f>
        <v>680056</v>
      </c>
      <c r="AO6" s="629"/>
    </row>
    <row r="7" spans="1:41">
      <c r="A7" s="456">
        <f>'General information '!F10</f>
        <v>0</v>
      </c>
      <c r="B7" s="450">
        <f t="shared" si="8"/>
        <v>0</v>
      </c>
      <c r="C7" s="457">
        <v>44321</v>
      </c>
      <c r="D7" s="444">
        <v>32832310</v>
      </c>
      <c r="E7" s="311">
        <f t="shared" si="13"/>
        <v>0</v>
      </c>
      <c r="F7" s="444">
        <v>4012860</v>
      </c>
      <c r="G7" s="312">
        <f t="shared" si="1"/>
        <v>664</v>
      </c>
      <c r="H7" s="444">
        <v>17860214</v>
      </c>
      <c r="I7" s="312">
        <f t="shared" si="14"/>
        <v>912</v>
      </c>
      <c r="J7" s="444">
        <v>29018426</v>
      </c>
      <c r="K7" s="312">
        <f t="shared" si="15"/>
        <v>1312</v>
      </c>
      <c r="L7" s="444">
        <v>24184290</v>
      </c>
      <c r="M7" s="312">
        <f t="shared" si="16"/>
        <v>1880</v>
      </c>
      <c r="N7" s="310">
        <f t="shared" si="17"/>
        <v>4768</v>
      </c>
      <c r="O7" s="466">
        <f t="shared" si="2"/>
        <v>0</v>
      </c>
      <c r="P7" s="591">
        <v>16991.599999999999</v>
      </c>
      <c r="Q7" s="448">
        <f t="shared" si="3"/>
        <v>5609.9999999969441</v>
      </c>
      <c r="R7" s="448">
        <f t="shared" si="21"/>
        <v>-841.9999999969441</v>
      </c>
      <c r="S7" s="444">
        <f t="shared" si="9"/>
        <v>10175</v>
      </c>
      <c r="T7" s="468">
        <f t="shared" si="4"/>
        <v>0</v>
      </c>
      <c r="U7" s="444">
        <f t="shared" si="9"/>
        <v>429166</v>
      </c>
      <c r="V7" s="448">
        <f t="shared" si="18"/>
        <v>0</v>
      </c>
      <c r="W7" s="444">
        <v>32317</v>
      </c>
      <c r="X7" s="448">
        <f t="shared" si="5"/>
        <v>0</v>
      </c>
      <c r="Y7" s="444">
        <v>722652</v>
      </c>
      <c r="Z7" s="448">
        <f t="shared" si="22"/>
        <v>19</v>
      </c>
      <c r="AA7" s="444">
        <v>35905</v>
      </c>
      <c r="AB7" s="448">
        <f t="shared" si="19"/>
        <v>9</v>
      </c>
      <c r="AC7" s="444">
        <v>954371</v>
      </c>
      <c r="AD7" s="448">
        <f t="shared" si="20"/>
        <v>1769</v>
      </c>
      <c r="AE7" s="471">
        <f t="shared" si="12"/>
        <v>9</v>
      </c>
      <c r="AF7" s="472">
        <f t="shared" si="6"/>
        <v>1788</v>
      </c>
      <c r="AG7" s="464">
        <f t="shared" si="7"/>
        <v>198.66666666666666</v>
      </c>
      <c r="AI7" s="465">
        <f>R7-'EDl log'!B5</f>
        <v>-1014455.999999997</v>
      </c>
      <c r="AK7" s="628">
        <v>44321</v>
      </c>
      <c r="AL7" s="17">
        <v>270643</v>
      </c>
      <c r="AM7" s="17">
        <v>409413</v>
      </c>
      <c r="AN7" s="17">
        <f>AM7+AL7</f>
        <v>680056</v>
      </c>
      <c r="AO7" s="629">
        <f>AN7-AN6</f>
        <v>0</v>
      </c>
    </row>
    <row r="8" spans="1:41">
      <c r="A8" s="456">
        <f>'General information '!F11</f>
        <v>0</v>
      </c>
      <c r="B8" s="450">
        <f t="shared" si="8"/>
        <v>0</v>
      </c>
      <c r="C8" s="457">
        <v>44322</v>
      </c>
      <c r="D8" s="444">
        <v>32832310</v>
      </c>
      <c r="E8" s="311">
        <f t="shared" si="13"/>
        <v>0</v>
      </c>
      <c r="F8" s="639">
        <v>4013558</v>
      </c>
      <c r="G8" s="312">
        <f t="shared" si="1"/>
        <v>698</v>
      </c>
      <c r="H8" s="444">
        <v>17861006</v>
      </c>
      <c r="I8" s="312">
        <f t="shared" si="14"/>
        <v>792</v>
      </c>
      <c r="J8" s="639">
        <v>29019350</v>
      </c>
      <c r="K8" s="312">
        <f t="shared" si="15"/>
        <v>924</v>
      </c>
      <c r="L8" s="444">
        <v>24185788</v>
      </c>
      <c r="M8" s="312">
        <f t="shared" si="16"/>
        <v>1498</v>
      </c>
      <c r="N8" s="310">
        <f t="shared" si="17"/>
        <v>3912</v>
      </c>
      <c r="O8" s="466">
        <f t="shared" si="2"/>
        <v>0</v>
      </c>
      <c r="P8" s="591">
        <v>16995.081999999999</v>
      </c>
      <c r="Q8" s="448">
        <f t="shared" si="3"/>
        <v>3481.9999999999709</v>
      </c>
      <c r="R8" s="448">
        <f t="shared" si="21"/>
        <v>430.0000000000291</v>
      </c>
      <c r="S8" s="444">
        <v>10175</v>
      </c>
      <c r="T8" s="468">
        <f t="shared" si="4"/>
        <v>0</v>
      </c>
      <c r="U8" s="444">
        <f t="shared" si="9"/>
        <v>429166</v>
      </c>
      <c r="V8" s="448">
        <f t="shared" si="18"/>
        <v>0</v>
      </c>
      <c r="W8" s="444">
        <f t="shared" si="10"/>
        <v>32317</v>
      </c>
      <c r="X8" s="448">
        <f t="shared" si="5"/>
        <v>0</v>
      </c>
      <c r="Y8" s="444">
        <f t="shared" si="11"/>
        <v>722652</v>
      </c>
      <c r="Z8" s="448">
        <f t="shared" si="22"/>
        <v>0</v>
      </c>
      <c r="AA8" s="444">
        <v>35909</v>
      </c>
      <c r="AB8" s="448">
        <f t="shared" si="19"/>
        <v>4</v>
      </c>
      <c r="AC8" s="639">
        <v>955297</v>
      </c>
      <c r="AD8" s="448">
        <f t="shared" si="20"/>
        <v>926</v>
      </c>
      <c r="AE8" s="471">
        <f t="shared" si="12"/>
        <v>4</v>
      </c>
      <c r="AF8" s="472">
        <f t="shared" si="6"/>
        <v>926</v>
      </c>
      <c r="AG8" s="464">
        <f t="shared" si="7"/>
        <v>231.5</v>
      </c>
      <c r="AI8" s="465">
        <f>R8-'EDl log'!B6</f>
        <v>-1015450</v>
      </c>
      <c r="AK8" s="628">
        <v>44322</v>
      </c>
      <c r="AL8" s="17">
        <v>274499</v>
      </c>
      <c r="AM8" s="17">
        <v>411324</v>
      </c>
      <c r="AN8" s="17">
        <f>AM8+AL8</f>
        <v>685823</v>
      </c>
      <c r="AO8" s="629">
        <f>AN8-AN7</f>
        <v>5767</v>
      </c>
    </row>
    <row r="9" spans="1:41">
      <c r="A9" s="456">
        <f>'General information '!F12</f>
        <v>0</v>
      </c>
      <c r="B9" s="450">
        <f t="shared" si="8"/>
        <v>0</v>
      </c>
      <c r="C9" s="457">
        <v>44323</v>
      </c>
      <c r="D9" s="444">
        <f t="shared" ref="D9:D33" si="24">D8+AO9</f>
        <v>32836511</v>
      </c>
      <c r="E9" s="311">
        <f t="shared" si="13"/>
        <v>4201</v>
      </c>
      <c r="F9" s="444">
        <v>4014308.4</v>
      </c>
      <c r="G9" s="312">
        <f t="shared" si="1"/>
        <v>750.39999999990687</v>
      </c>
      <c r="H9" s="444">
        <v>17861974</v>
      </c>
      <c r="I9" s="312">
        <f t="shared" si="14"/>
        <v>968</v>
      </c>
      <c r="J9" s="444">
        <v>29020578</v>
      </c>
      <c r="K9" s="312">
        <f t="shared" si="15"/>
        <v>1228</v>
      </c>
      <c r="L9" s="444">
        <v>24187636</v>
      </c>
      <c r="M9" s="312">
        <f t="shared" si="16"/>
        <v>1848</v>
      </c>
      <c r="N9" s="310">
        <f t="shared" si="17"/>
        <v>8995.3999999999069</v>
      </c>
      <c r="O9" s="466">
        <f t="shared" si="2"/>
        <v>0</v>
      </c>
      <c r="P9" s="591">
        <v>17000.937000000002</v>
      </c>
      <c r="Q9" s="448">
        <f t="shared" si="3"/>
        <v>5855.0000000032014</v>
      </c>
      <c r="R9" s="448">
        <f t="shared" si="21"/>
        <v>3140.3999999967054</v>
      </c>
      <c r="S9" s="444">
        <f t="shared" si="9"/>
        <v>10175</v>
      </c>
      <c r="T9" s="468">
        <f t="shared" si="4"/>
        <v>0</v>
      </c>
      <c r="U9" s="444">
        <f t="shared" si="9"/>
        <v>429166</v>
      </c>
      <c r="V9" s="448">
        <f t="shared" si="18"/>
        <v>0</v>
      </c>
      <c r="W9" s="444">
        <f t="shared" si="10"/>
        <v>32317</v>
      </c>
      <c r="X9" s="448">
        <f t="shared" ref="X9:X30" si="25">W9-W8</f>
        <v>0</v>
      </c>
      <c r="Y9" s="444">
        <f t="shared" si="11"/>
        <v>722652</v>
      </c>
      <c r="Z9" s="448">
        <f t="shared" si="22"/>
        <v>0</v>
      </c>
      <c r="AA9" s="444">
        <v>35917</v>
      </c>
      <c r="AB9" s="448">
        <f t="shared" si="19"/>
        <v>8</v>
      </c>
      <c r="AC9" s="444">
        <v>956869</v>
      </c>
      <c r="AD9" s="448">
        <f t="shared" si="20"/>
        <v>1572</v>
      </c>
      <c r="AE9" s="471">
        <f t="shared" si="12"/>
        <v>8</v>
      </c>
      <c r="AF9" s="472">
        <f t="shared" si="6"/>
        <v>1572</v>
      </c>
      <c r="AG9" s="464">
        <f t="shared" si="7"/>
        <v>196.5</v>
      </c>
      <c r="AI9" s="465">
        <f>R9-'EDl log'!B7</f>
        <v>-1014626.6000000034</v>
      </c>
      <c r="AK9" s="628">
        <v>44323</v>
      </c>
      <c r="AL9" s="17">
        <v>277740</v>
      </c>
      <c r="AM9" s="17">
        <v>412284</v>
      </c>
      <c r="AN9" s="17">
        <f t="shared" ref="AN9:AN33" si="26">AM9+AL9</f>
        <v>690024</v>
      </c>
      <c r="AO9" s="629">
        <f t="shared" ref="AO9:AO33" si="27">AN9-AN8</f>
        <v>4201</v>
      </c>
    </row>
    <row r="10" spans="1:41">
      <c r="A10" s="456">
        <f>'General information '!F13</f>
        <v>0</v>
      </c>
      <c r="B10" s="450">
        <f t="shared" si="8"/>
        <v>0</v>
      </c>
      <c r="C10" s="457">
        <v>44324</v>
      </c>
      <c r="D10" s="444">
        <f t="shared" si="24"/>
        <v>32840464</v>
      </c>
      <c r="E10" s="311">
        <f t="shared" si="13"/>
        <v>3953</v>
      </c>
      <c r="F10" s="444">
        <v>4014989.2</v>
      </c>
      <c r="G10" s="312">
        <f t="shared" si="1"/>
        <v>680.8000000002794</v>
      </c>
      <c r="H10" s="444">
        <v>17862766</v>
      </c>
      <c r="I10" s="312">
        <f t="shared" si="14"/>
        <v>792</v>
      </c>
      <c r="J10" s="444">
        <v>29021764</v>
      </c>
      <c r="K10" s="312">
        <f t="shared" si="15"/>
        <v>1186</v>
      </c>
      <c r="L10" s="444">
        <v>24189274</v>
      </c>
      <c r="M10" s="312">
        <f t="shared" si="16"/>
        <v>1638</v>
      </c>
      <c r="N10" s="310">
        <f t="shared" si="17"/>
        <v>8249.8000000002794</v>
      </c>
      <c r="O10" s="466">
        <f t="shared" ref="O10:O30" si="28">IF(B10&gt;0,N10/B10,0)</f>
        <v>0</v>
      </c>
      <c r="P10" s="591">
        <v>17006.446</v>
      </c>
      <c r="Q10" s="448">
        <f t="shared" si="3"/>
        <v>5508.9999999981956</v>
      </c>
      <c r="R10" s="448">
        <f t="shared" si="21"/>
        <v>2740.8000000020838</v>
      </c>
      <c r="S10" s="444">
        <f t="shared" si="9"/>
        <v>10175</v>
      </c>
      <c r="T10" s="468">
        <f t="shared" si="4"/>
        <v>0</v>
      </c>
      <c r="U10" s="444">
        <f t="shared" si="9"/>
        <v>429166</v>
      </c>
      <c r="V10" s="448">
        <f t="shared" si="18"/>
        <v>0</v>
      </c>
      <c r="W10" s="444">
        <f t="shared" si="10"/>
        <v>32317</v>
      </c>
      <c r="X10" s="448">
        <f t="shared" si="25"/>
        <v>0</v>
      </c>
      <c r="Y10" s="444">
        <f t="shared" si="11"/>
        <v>722652</v>
      </c>
      <c r="Z10" s="448">
        <f t="shared" si="22"/>
        <v>0</v>
      </c>
      <c r="AA10" s="444">
        <v>35924</v>
      </c>
      <c r="AB10" s="448">
        <f t="shared" si="19"/>
        <v>7</v>
      </c>
      <c r="AC10" s="444">
        <v>958420</v>
      </c>
      <c r="AD10" s="448">
        <f t="shared" si="20"/>
        <v>1551</v>
      </c>
      <c r="AE10" s="471">
        <f t="shared" si="12"/>
        <v>7</v>
      </c>
      <c r="AF10" s="472">
        <f t="shared" si="6"/>
        <v>1551</v>
      </c>
      <c r="AG10" s="464">
        <f t="shared" ref="AG10:AG30" si="29">IF(AE10&gt;0,AF10/AE10,0)</f>
        <v>221.57142857142858</v>
      </c>
      <c r="AI10" s="465">
        <f>R10-'EDl log'!B8</f>
        <v>-1017112.1999999979</v>
      </c>
      <c r="AK10" s="628">
        <v>44324</v>
      </c>
      <c r="AL10" s="17">
        <v>280877</v>
      </c>
      <c r="AM10" s="17">
        <v>413100</v>
      </c>
      <c r="AN10" s="17">
        <f t="shared" si="26"/>
        <v>693977</v>
      </c>
      <c r="AO10" s="629">
        <f t="shared" si="27"/>
        <v>3953</v>
      </c>
    </row>
    <row r="11" spans="1:41">
      <c r="A11" s="456">
        <f>'General information '!F14</f>
        <v>0</v>
      </c>
      <c r="B11" s="450">
        <f>SUM(230*A11)</f>
        <v>0</v>
      </c>
      <c r="C11" s="457">
        <v>44325</v>
      </c>
      <c r="D11" s="444">
        <f t="shared" si="24"/>
        <v>32844964</v>
      </c>
      <c r="E11" s="311">
        <f>D11-D10</f>
        <v>4500</v>
      </c>
      <c r="F11" s="639">
        <v>4015667</v>
      </c>
      <c r="G11" s="312">
        <f t="shared" si="1"/>
        <v>677.79999999981374</v>
      </c>
      <c r="H11" s="444">
        <v>17863562</v>
      </c>
      <c r="I11" s="312">
        <f t="shared" si="14"/>
        <v>796</v>
      </c>
      <c r="J11" s="639">
        <v>29023036</v>
      </c>
      <c r="K11" s="312">
        <f t="shared" si="15"/>
        <v>1272</v>
      </c>
      <c r="L11" s="444">
        <v>24191054</v>
      </c>
      <c r="M11" s="312">
        <f t="shared" si="16"/>
        <v>1780</v>
      </c>
      <c r="N11" s="310">
        <f>M11+K11+I11+G11+E11</f>
        <v>9025.7999999998137</v>
      </c>
      <c r="O11" s="466">
        <f t="shared" si="28"/>
        <v>0</v>
      </c>
      <c r="P11" s="591">
        <v>17012.749</v>
      </c>
      <c r="Q11" s="448">
        <f t="shared" si="3"/>
        <v>6302.9999999998836</v>
      </c>
      <c r="R11" s="448">
        <f t="shared" si="21"/>
        <v>2722.7999999999302</v>
      </c>
      <c r="S11" s="444">
        <f t="shared" si="9"/>
        <v>10175</v>
      </c>
      <c r="T11" s="468">
        <f t="shared" si="4"/>
        <v>0</v>
      </c>
      <c r="U11" s="444">
        <f t="shared" si="9"/>
        <v>429166</v>
      </c>
      <c r="V11" s="448">
        <f t="shared" si="18"/>
        <v>0</v>
      </c>
      <c r="W11" s="444">
        <f t="shared" si="10"/>
        <v>32317</v>
      </c>
      <c r="X11" s="448">
        <f t="shared" si="25"/>
        <v>0</v>
      </c>
      <c r="Y11" s="444">
        <f t="shared" si="11"/>
        <v>722652</v>
      </c>
      <c r="Z11" s="448">
        <f t="shared" si="22"/>
        <v>0</v>
      </c>
      <c r="AA11" s="444">
        <v>35932</v>
      </c>
      <c r="AB11" s="448">
        <f t="shared" si="19"/>
        <v>8</v>
      </c>
      <c r="AC11" s="639">
        <v>960238</v>
      </c>
      <c r="AD11" s="448">
        <f t="shared" si="20"/>
        <v>1818</v>
      </c>
      <c r="AE11" s="471">
        <f t="shared" si="12"/>
        <v>8</v>
      </c>
      <c r="AF11" s="472">
        <f t="shared" si="6"/>
        <v>1818</v>
      </c>
      <c r="AG11" s="464">
        <f t="shared" si="29"/>
        <v>227.25</v>
      </c>
      <c r="AI11" s="465">
        <f>R11-'EDl log'!B9</f>
        <v>-1019084.2000000001</v>
      </c>
      <c r="AK11" s="628">
        <v>44325</v>
      </c>
      <c r="AL11" s="17">
        <v>284469</v>
      </c>
      <c r="AM11" s="17">
        <v>414008</v>
      </c>
      <c r="AN11" s="17">
        <f>AM11+AL11</f>
        <v>698477</v>
      </c>
      <c r="AO11" s="629">
        <f t="shared" si="27"/>
        <v>4500</v>
      </c>
    </row>
    <row r="12" spans="1:41">
      <c r="A12" s="456">
        <f>'General information '!F15</f>
        <v>0</v>
      </c>
      <c r="B12" s="450">
        <f t="shared" si="8"/>
        <v>0</v>
      </c>
      <c r="C12" s="457">
        <v>44326</v>
      </c>
      <c r="D12" s="444">
        <f t="shared" si="24"/>
        <v>32847755</v>
      </c>
      <c r="E12" s="311">
        <f t="shared" si="13"/>
        <v>2791</v>
      </c>
      <c r="F12" s="444">
        <v>4016327</v>
      </c>
      <c r="G12" s="312">
        <f t="shared" si="1"/>
        <v>660</v>
      </c>
      <c r="H12" s="444">
        <v>17864398</v>
      </c>
      <c r="I12" s="312">
        <f t="shared" si="14"/>
        <v>836</v>
      </c>
      <c r="J12" s="444">
        <v>29026418</v>
      </c>
      <c r="K12" s="312">
        <f t="shared" si="15"/>
        <v>3382</v>
      </c>
      <c r="L12" s="444">
        <v>24192866</v>
      </c>
      <c r="M12" s="312">
        <f t="shared" si="16"/>
        <v>1812</v>
      </c>
      <c r="N12" s="310">
        <f>M12+K12+I12+G12+E12</f>
        <v>9481</v>
      </c>
      <c r="O12" s="466">
        <f t="shared" si="28"/>
        <v>0</v>
      </c>
      <c r="P12" s="591">
        <v>17019.087</v>
      </c>
      <c r="Q12" s="448">
        <f t="shared" si="3"/>
        <v>6337.9999999997381</v>
      </c>
      <c r="R12" s="448">
        <f t="shared" si="21"/>
        <v>3143.0000000002619</v>
      </c>
      <c r="S12" s="444">
        <f t="shared" si="9"/>
        <v>10175</v>
      </c>
      <c r="T12" s="468">
        <f t="shared" si="4"/>
        <v>0</v>
      </c>
      <c r="U12" s="444">
        <f t="shared" si="9"/>
        <v>429166</v>
      </c>
      <c r="V12" s="448">
        <f t="shared" si="18"/>
        <v>0</v>
      </c>
      <c r="W12" s="444">
        <v>32325</v>
      </c>
      <c r="X12" s="448">
        <f t="shared" si="25"/>
        <v>8</v>
      </c>
      <c r="Y12" s="444">
        <v>724713</v>
      </c>
      <c r="Z12" s="448">
        <f t="shared" si="22"/>
        <v>2061</v>
      </c>
      <c r="AA12" s="444">
        <f t="shared" ref="AA12:AA33" si="30">AA11</f>
        <v>35932</v>
      </c>
      <c r="AB12" s="448">
        <f t="shared" si="19"/>
        <v>0</v>
      </c>
      <c r="AC12" s="444">
        <f t="shared" si="23"/>
        <v>960238</v>
      </c>
      <c r="AD12" s="448">
        <f t="shared" si="20"/>
        <v>0</v>
      </c>
      <c r="AE12" s="471">
        <f t="shared" si="12"/>
        <v>8</v>
      </c>
      <c r="AF12" s="472">
        <f t="shared" si="6"/>
        <v>2061</v>
      </c>
      <c r="AG12" s="464">
        <f t="shared" si="29"/>
        <v>257.625</v>
      </c>
      <c r="AI12" s="465">
        <f>R12-'EDl log'!B10</f>
        <v>-1020409.9999999998</v>
      </c>
      <c r="AK12" s="628">
        <v>44326</v>
      </c>
      <c r="AL12" s="17">
        <v>286090</v>
      </c>
      <c r="AM12" s="17">
        <v>415178</v>
      </c>
      <c r="AN12" s="17">
        <f>AM12+AL12</f>
        <v>701268</v>
      </c>
      <c r="AO12" s="629">
        <f t="shared" si="27"/>
        <v>2791</v>
      </c>
    </row>
    <row r="13" spans="1:41">
      <c r="A13" s="456">
        <f>'General information '!F16</f>
        <v>0</v>
      </c>
      <c r="B13" s="450">
        <f t="shared" si="8"/>
        <v>0</v>
      </c>
      <c r="C13" s="457">
        <v>44327</v>
      </c>
      <c r="D13" s="444">
        <f t="shared" si="24"/>
        <v>32850447</v>
      </c>
      <c r="E13" s="311">
        <f t="shared" si="13"/>
        <v>2692</v>
      </c>
      <c r="F13" s="444">
        <v>4017027</v>
      </c>
      <c r="G13" s="312">
        <f t="shared" si="1"/>
        <v>700</v>
      </c>
      <c r="H13" s="444">
        <v>17865304</v>
      </c>
      <c r="I13" s="312">
        <f t="shared" si="14"/>
        <v>906</v>
      </c>
      <c r="J13" s="444">
        <v>29029374</v>
      </c>
      <c r="K13" s="312">
        <f t="shared" si="15"/>
        <v>2956</v>
      </c>
      <c r="L13" s="444">
        <v>24194640</v>
      </c>
      <c r="M13" s="312">
        <f t="shared" si="16"/>
        <v>1774</v>
      </c>
      <c r="N13" s="310">
        <f t="shared" si="17"/>
        <v>9028</v>
      </c>
      <c r="O13" s="466">
        <f t="shared" si="28"/>
        <v>0</v>
      </c>
      <c r="P13" s="591">
        <v>17024.830999999998</v>
      </c>
      <c r="Q13" s="448">
        <f>(P13-P12)*1000</f>
        <v>5743.9999999987776</v>
      </c>
      <c r="R13" s="448">
        <f t="shared" ref="R13" si="31">N13-Q13</f>
        <v>3284.0000000012224</v>
      </c>
      <c r="S13" s="444">
        <f t="shared" si="9"/>
        <v>10175</v>
      </c>
      <c r="T13" s="468">
        <f t="shared" si="4"/>
        <v>0</v>
      </c>
      <c r="U13" s="444">
        <f t="shared" si="9"/>
        <v>429166</v>
      </c>
      <c r="V13" s="448">
        <f t="shared" si="18"/>
        <v>0</v>
      </c>
      <c r="W13" s="444">
        <v>32332</v>
      </c>
      <c r="X13" s="448">
        <f t="shared" si="25"/>
        <v>7</v>
      </c>
      <c r="Y13" s="444">
        <v>726135</v>
      </c>
      <c r="Z13" s="448">
        <f t="shared" si="22"/>
        <v>1422</v>
      </c>
      <c r="AA13" s="444">
        <f t="shared" si="30"/>
        <v>35932</v>
      </c>
      <c r="AB13" s="448">
        <f t="shared" si="19"/>
        <v>0</v>
      </c>
      <c r="AC13" s="444">
        <f t="shared" si="23"/>
        <v>960238</v>
      </c>
      <c r="AD13" s="448">
        <f t="shared" si="20"/>
        <v>0</v>
      </c>
      <c r="AE13" s="471">
        <f t="shared" si="12"/>
        <v>7</v>
      </c>
      <c r="AF13" s="472">
        <f t="shared" si="6"/>
        <v>1422</v>
      </c>
      <c r="AG13" s="464">
        <f t="shared" si="29"/>
        <v>203.14285714285714</v>
      </c>
      <c r="AI13" s="465">
        <f>R13-'EDl log'!B11</f>
        <v>-1021852.9999999988</v>
      </c>
      <c r="AK13" s="628">
        <v>44327</v>
      </c>
      <c r="AL13" s="17">
        <v>287725</v>
      </c>
      <c r="AM13" s="17">
        <v>416235</v>
      </c>
      <c r="AN13" s="17">
        <f t="shared" si="26"/>
        <v>703960</v>
      </c>
      <c r="AO13" s="629">
        <f t="shared" si="27"/>
        <v>2692</v>
      </c>
    </row>
    <row r="14" spans="1:41">
      <c r="A14" s="456">
        <f>'General information '!F17</f>
        <v>0</v>
      </c>
      <c r="B14" s="450">
        <f t="shared" si="8"/>
        <v>0</v>
      </c>
      <c r="C14" s="457">
        <v>44328</v>
      </c>
      <c r="D14" s="444">
        <f t="shared" si="24"/>
        <v>32852936</v>
      </c>
      <c r="E14" s="311">
        <f t="shared" si="13"/>
        <v>2489</v>
      </c>
      <c r="F14" s="444">
        <v>4017701</v>
      </c>
      <c r="G14" s="312">
        <f t="shared" si="1"/>
        <v>674</v>
      </c>
      <c r="H14" s="444">
        <v>17866214</v>
      </c>
      <c r="I14" s="312">
        <f t="shared" si="14"/>
        <v>910</v>
      </c>
      <c r="J14" s="444">
        <v>29032818</v>
      </c>
      <c r="K14" s="312">
        <f t="shared" si="15"/>
        <v>3444</v>
      </c>
      <c r="L14" s="444">
        <v>24196534</v>
      </c>
      <c r="M14" s="312">
        <f t="shared" si="16"/>
        <v>1894</v>
      </c>
      <c r="N14" s="310">
        <f t="shared" si="17"/>
        <v>9411</v>
      </c>
      <c r="O14" s="466">
        <f t="shared" si="28"/>
        <v>0</v>
      </c>
      <c r="P14" s="591">
        <v>17032.099999999999</v>
      </c>
      <c r="Q14" s="448">
        <f t="shared" ref="Q14:Q30" si="32">(P14-P13)*1000</f>
        <v>7269.0000000002328</v>
      </c>
      <c r="R14" s="448">
        <f t="shared" ref="R14:R30" si="33">N14-Q14</f>
        <v>2141.9999999997672</v>
      </c>
      <c r="S14" s="444">
        <f t="shared" si="9"/>
        <v>10175</v>
      </c>
      <c r="T14" s="468">
        <f t="shared" si="4"/>
        <v>0</v>
      </c>
      <c r="U14" s="444">
        <f t="shared" si="9"/>
        <v>429166</v>
      </c>
      <c r="V14" s="448">
        <f t="shared" si="18"/>
        <v>0</v>
      </c>
      <c r="W14" s="444">
        <v>32341</v>
      </c>
      <c r="X14" s="448">
        <f t="shared" si="25"/>
        <v>9</v>
      </c>
      <c r="Y14" s="444">
        <v>728306</v>
      </c>
      <c r="Z14" s="448">
        <f t="shared" si="22"/>
        <v>2171</v>
      </c>
      <c r="AA14" s="444">
        <f t="shared" si="30"/>
        <v>35932</v>
      </c>
      <c r="AB14" s="448">
        <f t="shared" si="19"/>
        <v>0</v>
      </c>
      <c r="AC14" s="444">
        <f t="shared" si="23"/>
        <v>960238</v>
      </c>
      <c r="AD14" s="448">
        <f t="shared" si="20"/>
        <v>0</v>
      </c>
      <c r="AE14" s="471">
        <f t="shared" si="12"/>
        <v>9</v>
      </c>
      <c r="AF14" s="472">
        <f t="shared" si="6"/>
        <v>2171</v>
      </c>
      <c r="AG14" s="464">
        <f t="shared" si="29"/>
        <v>241.22222222222223</v>
      </c>
      <c r="AI14" s="465">
        <f>R14-'EDl log'!B12</f>
        <v>-1024547.0000000002</v>
      </c>
      <c r="AK14" s="628">
        <v>44328</v>
      </c>
      <c r="AL14" s="17">
        <v>289550</v>
      </c>
      <c r="AM14" s="17">
        <v>416899</v>
      </c>
      <c r="AN14" s="17">
        <f t="shared" si="26"/>
        <v>706449</v>
      </c>
      <c r="AO14" s="629">
        <f t="shared" si="27"/>
        <v>2489</v>
      </c>
    </row>
    <row r="15" spans="1:41">
      <c r="A15" s="456">
        <f>'General information '!F18</f>
        <v>0</v>
      </c>
      <c r="B15" s="450">
        <f t="shared" si="8"/>
        <v>0</v>
      </c>
      <c r="C15" s="457">
        <v>44329</v>
      </c>
      <c r="D15" s="444">
        <f t="shared" si="24"/>
        <v>32855351</v>
      </c>
      <c r="E15" s="311">
        <f t="shared" si="13"/>
        <v>2415</v>
      </c>
      <c r="F15" s="444">
        <v>4018304</v>
      </c>
      <c r="G15" s="312">
        <f t="shared" si="1"/>
        <v>603</v>
      </c>
      <c r="H15" s="444">
        <v>17867002</v>
      </c>
      <c r="I15" s="312">
        <f t="shared" si="14"/>
        <v>788</v>
      </c>
      <c r="J15" s="444">
        <v>29036922</v>
      </c>
      <c r="K15" s="312">
        <f t="shared" si="15"/>
        <v>4104</v>
      </c>
      <c r="L15" s="444">
        <v>24198270</v>
      </c>
      <c r="M15" s="312">
        <f t="shared" si="16"/>
        <v>1736</v>
      </c>
      <c r="N15" s="310">
        <f t="shared" si="17"/>
        <v>9646</v>
      </c>
      <c r="O15" s="466">
        <f t="shared" si="28"/>
        <v>0</v>
      </c>
      <c r="P15" s="591">
        <v>17038.805</v>
      </c>
      <c r="Q15" s="448">
        <f>(P15-P14)*1000</f>
        <v>6705.0000000017462</v>
      </c>
      <c r="R15" s="448">
        <f t="shared" si="33"/>
        <v>2940.9999999982538</v>
      </c>
      <c r="S15" s="444">
        <f t="shared" si="9"/>
        <v>10175</v>
      </c>
      <c r="T15" s="468">
        <f t="shared" si="4"/>
        <v>0</v>
      </c>
      <c r="U15" s="444">
        <f t="shared" si="9"/>
        <v>429166</v>
      </c>
      <c r="V15" s="448">
        <f t="shared" si="18"/>
        <v>0</v>
      </c>
      <c r="W15" s="444">
        <v>32349</v>
      </c>
      <c r="X15" s="448">
        <f t="shared" si="25"/>
        <v>8</v>
      </c>
      <c r="Y15" s="444">
        <v>730287</v>
      </c>
      <c r="Z15" s="448">
        <f t="shared" si="22"/>
        <v>1981</v>
      </c>
      <c r="AA15" s="444">
        <f t="shared" si="30"/>
        <v>35932</v>
      </c>
      <c r="AB15" s="448">
        <f t="shared" si="19"/>
        <v>0</v>
      </c>
      <c r="AC15" s="444">
        <f t="shared" si="23"/>
        <v>960238</v>
      </c>
      <c r="AD15" s="448">
        <f t="shared" si="20"/>
        <v>0</v>
      </c>
      <c r="AE15" s="471">
        <f t="shared" si="12"/>
        <v>8</v>
      </c>
      <c r="AF15" s="472">
        <f t="shared" si="6"/>
        <v>1981</v>
      </c>
      <c r="AG15" s="464">
        <f t="shared" si="29"/>
        <v>247.625</v>
      </c>
      <c r="AI15" s="465">
        <f>R15-'EDl log'!B13</f>
        <v>-1025522.0000000017</v>
      </c>
      <c r="AK15" s="628">
        <v>44329</v>
      </c>
      <c r="AL15" s="17">
        <v>291124</v>
      </c>
      <c r="AM15" s="17">
        <v>417740</v>
      </c>
      <c r="AN15" s="17">
        <f t="shared" si="26"/>
        <v>708864</v>
      </c>
      <c r="AO15" s="629">
        <f t="shared" si="27"/>
        <v>2415</v>
      </c>
    </row>
    <row r="16" spans="1:41">
      <c r="A16" s="456">
        <f>'General information '!F19</f>
        <v>0</v>
      </c>
      <c r="B16" s="450">
        <f t="shared" si="8"/>
        <v>0</v>
      </c>
      <c r="C16" s="457">
        <v>44330</v>
      </c>
      <c r="D16" s="444">
        <f t="shared" si="24"/>
        <v>32858487</v>
      </c>
      <c r="E16" s="311">
        <f t="shared" si="13"/>
        <v>3136</v>
      </c>
      <c r="F16" s="444">
        <v>4018950</v>
      </c>
      <c r="G16" s="312">
        <f t="shared" si="1"/>
        <v>646</v>
      </c>
      <c r="H16" s="444">
        <v>17867750</v>
      </c>
      <c r="I16" s="312">
        <f t="shared" si="14"/>
        <v>748</v>
      </c>
      <c r="J16" s="444">
        <v>29039964</v>
      </c>
      <c r="K16" s="312">
        <f t="shared" si="15"/>
        <v>3042</v>
      </c>
      <c r="L16" s="444">
        <v>24199566</v>
      </c>
      <c r="M16" s="312">
        <f t="shared" si="16"/>
        <v>1296</v>
      </c>
      <c r="N16" s="310">
        <f t="shared" si="17"/>
        <v>8868</v>
      </c>
      <c r="O16" s="466">
        <f t="shared" si="28"/>
        <v>0</v>
      </c>
      <c r="P16" s="591">
        <v>17044.189999999999</v>
      </c>
      <c r="Q16" s="448">
        <f t="shared" si="32"/>
        <v>5384.9999999983993</v>
      </c>
      <c r="R16" s="448">
        <f t="shared" si="33"/>
        <v>3483.0000000016007</v>
      </c>
      <c r="S16" s="444">
        <f t="shared" si="9"/>
        <v>10175</v>
      </c>
      <c r="T16" s="468">
        <f t="shared" si="4"/>
        <v>0</v>
      </c>
      <c r="U16" s="444">
        <f t="shared" si="9"/>
        <v>429166</v>
      </c>
      <c r="V16" s="448">
        <f t="shared" si="18"/>
        <v>0</v>
      </c>
      <c r="W16" s="444">
        <v>32354</v>
      </c>
      <c r="X16" s="448">
        <f>W16-W15</f>
        <v>5</v>
      </c>
      <c r="Y16" s="444">
        <v>731328</v>
      </c>
      <c r="Z16" s="448">
        <f>Y16-Y15</f>
        <v>1041</v>
      </c>
      <c r="AA16" s="444">
        <v>35935</v>
      </c>
      <c r="AB16" s="448">
        <f>AA16-AA15</f>
        <v>3</v>
      </c>
      <c r="AC16" s="444">
        <v>960881</v>
      </c>
      <c r="AD16" s="448">
        <f t="shared" si="20"/>
        <v>643</v>
      </c>
      <c r="AE16" s="471">
        <f t="shared" si="12"/>
        <v>8</v>
      </c>
      <c r="AF16" s="472">
        <f t="shared" si="6"/>
        <v>1684</v>
      </c>
      <c r="AG16" s="464">
        <f t="shared" si="29"/>
        <v>210.5</v>
      </c>
      <c r="AI16" s="465">
        <f>R16-'EDl log'!B14</f>
        <v>-1026782.9999999984</v>
      </c>
      <c r="AK16" s="628">
        <v>44330</v>
      </c>
      <c r="AL16" s="17">
        <v>292977</v>
      </c>
      <c r="AM16" s="17">
        <v>419023</v>
      </c>
      <c r="AN16" s="17">
        <f t="shared" si="26"/>
        <v>712000</v>
      </c>
      <c r="AO16" s="629">
        <f t="shared" si="27"/>
        <v>3136</v>
      </c>
    </row>
    <row r="17" spans="1:41">
      <c r="A17" s="456">
        <f>'General information '!F20</f>
        <v>0</v>
      </c>
      <c r="B17" s="450">
        <f t="shared" si="8"/>
        <v>0</v>
      </c>
      <c r="C17" s="457">
        <v>44331</v>
      </c>
      <c r="D17" s="444">
        <f t="shared" si="24"/>
        <v>32860519</v>
      </c>
      <c r="E17" s="311">
        <f t="shared" si="13"/>
        <v>2032</v>
      </c>
      <c r="F17" s="444">
        <v>4019611</v>
      </c>
      <c r="G17" s="312">
        <f t="shared" si="1"/>
        <v>661</v>
      </c>
      <c r="H17" s="444">
        <v>17868586</v>
      </c>
      <c r="I17" s="312">
        <f t="shared" si="14"/>
        <v>836</v>
      </c>
      <c r="J17" s="444">
        <v>29042438</v>
      </c>
      <c r="K17" s="312">
        <f t="shared" si="15"/>
        <v>2474</v>
      </c>
      <c r="L17" s="444">
        <v>24201150</v>
      </c>
      <c r="M17" s="312">
        <f t="shared" si="16"/>
        <v>1584</v>
      </c>
      <c r="N17" s="310">
        <f t="shared" si="17"/>
        <v>7587</v>
      </c>
      <c r="O17" s="466">
        <f t="shared" si="28"/>
        <v>0</v>
      </c>
      <c r="P17" s="591">
        <v>17050.585999999999</v>
      </c>
      <c r="Q17" s="448">
        <f t="shared" si="32"/>
        <v>6396.0000000006403</v>
      </c>
      <c r="R17" s="448">
        <f t="shared" si="33"/>
        <v>1190.9999999993597</v>
      </c>
      <c r="S17" s="444">
        <f t="shared" si="9"/>
        <v>10175</v>
      </c>
      <c r="T17" s="468">
        <f t="shared" si="4"/>
        <v>0</v>
      </c>
      <c r="U17" s="444">
        <f t="shared" si="9"/>
        <v>429166</v>
      </c>
      <c r="V17" s="448">
        <f t="shared" si="18"/>
        <v>0</v>
      </c>
      <c r="W17" s="444">
        <v>32359</v>
      </c>
      <c r="X17" s="448">
        <f t="shared" si="25"/>
        <v>5</v>
      </c>
      <c r="Y17" s="639">
        <v>732497</v>
      </c>
      <c r="Z17" s="448">
        <f t="shared" si="22"/>
        <v>1169</v>
      </c>
      <c r="AA17" s="444">
        <f t="shared" si="30"/>
        <v>35935</v>
      </c>
      <c r="AB17" s="448">
        <f t="shared" si="19"/>
        <v>0</v>
      </c>
      <c r="AC17" s="444">
        <f t="shared" si="23"/>
        <v>960881</v>
      </c>
      <c r="AD17" s="448">
        <f t="shared" ref="AD17:AD30" si="34">AC17-AC16</f>
        <v>0</v>
      </c>
      <c r="AE17" s="471">
        <f t="shared" si="12"/>
        <v>5</v>
      </c>
      <c r="AF17" s="472">
        <f t="shared" si="6"/>
        <v>1169</v>
      </c>
      <c r="AG17" s="464">
        <f t="shared" si="29"/>
        <v>233.8</v>
      </c>
      <c r="AI17" s="465">
        <f>R17-'EDl log'!B15</f>
        <v>-1030324.0000000007</v>
      </c>
      <c r="AK17" s="628">
        <v>44331</v>
      </c>
      <c r="AL17" s="17">
        <v>294108</v>
      </c>
      <c r="AM17" s="17">
        <v>419924</v>
      </c>
      <c r="AN17" s="17">
        <f t="shared" si="26"/>
        <v>714032</v>
      </c>
      <c r="AO17" s="629">
        <f t="shared" si="27"/>
        <v>2032</v>
      </c>
    </row>
    <row r="18" spans="1:41">
      <c r="A18" s="456">
        <f>'General information '!F21</f>
        <v>0</v>
      </c>
      <c r="B18" s="450">
        <f t="shared" si="8"/>
        <v>0</v>
      </c>
      <c r="C18" s="457">
        <v>44332</v>
      </c>
      <c r="D18" s="444">
        <f t="shared" si="24"/>
        <v>32863962</v>
      </c>
      <c r="E18" s="311">
        <f t="shared" si="13"/>
        <v>3443</v>
      </c>
      <c r="F18" s="444">
        <v>4020203</v>
      </c>
      <c r="G18" s="312">
        <f t="shared" si="1"/>
        <v>592</v>
      </c>
      <c r="H18" s="444">
        <v>17869618</v>
      </c>
      <c r="I18" s="312">
        <f t="shared" si="14"/>
        <v>1032</v>
      </c>
      <c r="J18" s="639">
        <v>29047870</v>
      </c>
      <c r="K18" s="312">
        <f t="shared" si="15"/>
        <v>5432</v>
      </c>
      <c r="L18" s="444">
        <v>24203490</v>
      </c>
      <c r="M18" s="312">
        <f t="shared" si="16"/>
        <v>2340</v>
      </c>
      <c r="N18" s="310">
        <f t="shared" si="17"/>
        <v>12839</v>
      </c>
      <c r="O18" s="466">
        <f t="shared" si="28"/>
        <v>0</v>
      </c>
      <c r="P18" s="591">
        <v>17055.611000000001</v>
      </c>
      <c r="Q18" s="448">
        <f t="shared" si="32"/>
        <v>5025.0000000014552</v>
      </c>
      <c r="R18" s="448">
        <f t="shared" si="33"/>
        <v>7813.9999999985448</v>
      </c>
      <c r="S18" s="444">
        <f t="shared" si="9"/>
        <v>10175</v>
      </c>
      <c r="T18" s="468">
        <f t="shared" si="4"/>
        <v>0</v>
      </c>
      <c r="U18" s="444">
        <f t="shared" si="9"/>
        <v>429166</v>
      </c>
      <c r="V18" s="448">
        <f t="shared" si="18"/>
        <v>0</v>
      </c>
      <c r="W18" s="444">
        <v>32370</v>
      </c>
      <c r="X18" s="448">
        <f t="shared" si="25"/>
        <v>11</v>
      </c>
      <c r="Y18" s="444">
        <v>735160</v>
      </c>
      <c r="Z18" s="448">
        <f t="shared" si="22"/>
        <v>2663</v>
      </c>
      <c r="AA18" s="444">
        <f t="shared" si="30"/>
        <v>35935</v>
      </c>
      <c r="AB18" s="448">
        <f t="shared" si="19"/>
        <v>0</v>
      </c>
      <c r="AC18" s="444">
        <f t="shared" si="23"/>
        <v>960881</v>
      </c>
      <c r="AD18" s="448">
        <f t="shared" si="34"/>
        <v>0</v>
      </c>
      <c r="AE18" s="471">
        <f t="shared" si="12"/>
        <v>11</v>
      </c>
      <c r="AF18" s="472">
        <f t="shared" si="6"/>
        <v>2663</v>
      </c>
      <c r="AG18" s="464">
        <f t="shared" si="29"/>
        <v>242.09090909090909</v>
      </c>
      <c r="AI18" s="465">
        <f>R18-'EDl log'!B16</f>
        <v>-1025368.0000000014</v>
      </c>
      <c r="AK18" s="628">
        <v>44332</v>
      </c>
      <c r="AL18" s="17">
        <v>296883</v>
      </c>
      <c r="AM18" s="17">
        <v>420592</v>
      </c>
      <c r="AN18" s="17">
        <f t="shared" si="26"/>
        <v>717475</v>
      </c>
      <c r="AO18" s="629">
        <f t="shared" si="27"/>
        <v>3443</v>
      </c>
    </row>
    <row r="19" spans="1:41">
      <c r="A19" s="456">
        <f>'General information '!F22</f>
        <v>0</v>
      </c>
      <c r="B19" s="450">
        <f t="shared" si="8"/>
        <v>0</v>
      </c>
      <c r="C19" s="457">
        <v>44333</v>
      </c>
      <c r="D19" s="444">
        <f t="shared" si="24"/>
        <v>32867663</v>
      </c>
      <c r="E19" s="311">
        <f t="shared" si="13"/>
        <v>3701</v>
      </c>
      <c r="F19" s="444">
        <v>4020883</v>
      </c>
      <c r="G19" s="312">
        <f t="shared" si="1"/>
        <v>680</v>
      </c>
      <c r="H19" s="444">
        <v>17870454</v>
      </c>
      <c r="I19" s="312">
        <f t="shared" si="14"/>
        <v>836</v>
      </c>
      <c r="J19" s="444">
        <v>29050694</v>
      </c>
      <c r="K19" s="312">
        <f t="shared" si="15"/>
        <v>2824</v>
      </c>
      <c r="L19" s="444">
        <v>24205538</v>
      </c>
      <c r="M19" s="312">
        <f t="shared" si="16"/>
        <v>2048</v>
      </c>
      <c r="N19" s="310">
        <f t="shared" si="17"/>
        <v>10089</v>
      </c>
      <c r="O19" s="466">
        <f t="shared" si="28"/>
        <v>0</v>
      </c>
      <c r="P19" s="591">
        <v>17065.003000000001</v>
      </c>
      <c r="Q19" s="448">
        <f t="shared" si="32"/>
        <v>9391.9999999998254</v>
      </c>
      <c r="R19" s="448">
        <f t="shared" si="33"/>
        <v>697.00000000017462</v>
      </c>
      <c r="S19" s="444">
        <f t="shared" si="9"/>
        <v>10175</v>
      </c>
      <c r="T19" s="468">
        <f t="shared" si="4"/>
        <v>0</v>
      </c>
      <c r="U19" s="444">
        <f t="shared" si="9"/>
        <v>429166</v>
      </c>
      <c r="V19" s="448">
        <f t="shared" si="18"/>
        <v>0</v>
      </c>
      <c r="W19" s="444">
        <v>32376</v>
      </c>
      <c r="X19" s="448">
        <f t="shared" si="25"/>
        <v>6</v>
      </c>
      <c r="Y19" s="444">
        <v>736671</v>
      </c>
      <c r="Z19" s="448">
        <f t="shared" si="22"/>
        <v>1511</v>
      </c>
      <c r="AA19" s="444">
        <v>35939</v>
      </c>
      <c r="AB19" s="448">
        <f t="shared" si="19"/>
        <v>4</v>
      </c>
      <c r="AC19" s="444">
        <v>961645</v>
      </c>
      <c r="AD19" s="448">
        <f t="shared" si="34"/>
        <v>764</v>
      </c>
      <c r="AE19" s="471">
        <f t="shared" si="12"/>
        <v>10</v>
      </c>
      <c r="AF19" s="472">
        <f t="shared" si="6"/>
        <v>2275</v>
      </c>
      <c r="AG19" s="464">
        <f t="shared" si="29"/>
        <v>227.5</v>
      </c>
      <c r="AI19" s="465">
        <f>R19-'EDl log'!B17</f>
        <v>-1034411.9999999998</v>
      </c>
      <c r="AK19" s="628">
        <v>44333</v>
      </c>
      <c r="AL19" s="17">
        <v>299259</v>
      </c>
      <c r="AM19" s="17">
        <v>421917</v>
      </c>
      <c r="AN19" s="17">
        <f t="shared" si="26"/>
        <v>721176</v>
      </c>
      <c r="AO19" s="629">
        <f t="shared" si="27"/>
        <v>3701</v>
      </c>
    </row>
    <row r="20" spans="1:41">
      <c r="A20" s="456">
        <f>'General information '!F23</f>
        <v>0</v>
      </c>
      <c r="B20" s="450">
        <f t="shared" si="8"/>
        <v>0</v>
      </c>
      <c r="C20" s="457">
        <v>44334</v>
      </c>
      <c r="D20" s="444">
        <f t="shared" si="24"/>
        <v>32870113</v>
      </c>
      <c r="E20" s="311">
        <f t="shared" si="13"/>
        <v>2450</v>
      </c>
      <c r="F20" s="639">
        <v>4021684</v>
      </c>
      <c r="G20" s="312">
        <f t="shared" si="1"/>
        <v>801</v>
      </c>
      <c r="H20" s="444">
        <v>17872138</v>
      </c>
      <c r="I20" s="312">
        <f t="shared" si="14"/>
        <v>1684</v>
      </c>
      <c r="J20" s="639">
        <v>29054174</v>
      </c>
      <c r="K20" s="312">
        <f t="shared" si="15"/>
        <v>3480</v>
      </c>
      <c r="L20" s="444">
        <v>24207420</v>
      </c>
      <c r="M20" s="312">
        <f t="shared" si="16"/>
        <v>1882</v>
      </c>
      <c r="N20" s="310">
        <f t="shared" si="17"/>
        <v>10297</v>
      </c>
      <c r="O20" s="466">
        <f t="shared" si="28"/>
        <v>0</v>
      </c>
      <c r="P20" s="591">
        <v>17073.79</v>
      </c>
      <c r="Q20" s="448">
        <f>(P20-P19)*1000</f>
        <v>8787.0000000002619</v>
      </c>
      <c r="R20" s="448">
        <f t="shared" si="33"/>
        <v>1509.9999999997381</v>
      </c>
      <c r="S20" s="444">
        <f t="shared" si="9"/>
        <v>10175</v>
      </c>
      <c r="T20" s="468">
        <f t="shared" si="4"/>
        <v>0</v>
      </c>
      <c r="U20" s="444">
        <f t="shared" si="9"/>
        <v>429166</v>
      </c>
      <c r="V20" s="448">
        <f t="shared" si="18"/>
        <v>0</v>
      </c>
      <c r="W20" s="444">
        <v>32387</v>
      </c>
      <c r="X20" s="448">
        <f t="shared" si="25"/>
        <v>11</v>
      </c>
      <c r="Y20" s="639">
        <v>738782</v>
      </c>
      <c r="Z20" s="448">
        <f t="shared" si="22"/>
        <v>2111</v>
      </c>
      <c r="AA20" s="444">
        <f t="shared" si="30"/>
        <v>35939</v>
      </c>
      <c r="AB20" s="448">
        <f t="shared" si="19"/>
        <v>0</v>
      </c>
      <c r="AC20" s="444">
        <f t="shared" si="23"/>
        <v>961645</v>
      </c>
      <c r="AD20" s="448">
        <f t="shared" si="34"/>
        <v>0</v>
      </c>
      <c r="AE20" s="471">
        <f t="shared" si="12"/>
        <v>11</v>
      </c>
      <c r="AF20" s="472">
        <f t="shared" si="6"/>
        <v>2111</v>
      </c>
      <c r="AG20" s="464">
        <f t="shared" si="29"/>
        <v>191.90909090909091</v>
      </c>
      <c r="AI20" s="465">
        <f>R20-'EDl log'!B18</f>
        <v>-1035295.0000000002</v>
      </c>
      <c r="AK20" s="628">
        <v>44334</v>
      </c>
      <c r="AL20" s="17">
        <v>301110</v>
      </c>
      <c r="AM20" s="17">
        <v>422516</v>
      </c>
      <c r="AN20" s="17">
        <f t="shared" si="26"/>
        <v>723626</v>
      </c>
      <c r="AO20" s="629">
        <f t="shared" si="27"/>
        <v>2450</v>
      </c>
    </row>
    <row r="21" spans="1:41">
      <c r="A21" s="456">
        <f>'General information '!F24</f>
        <v>0</v>
      </c>
      <c r="B21" s="450">
        <f t="shared" si="8"/>
        <v>0</v>
      </c>
      <c r="C21" s="457">
        <v>44335</v>
      </c>
      <c r="D21" s="444">
        <f t="shared" si="24"/>
        <v>32874062</v>
      </c>
      <c r="E21" s="311">
        <f t="shared" si="13"/>
        <v>3949</v>
      </c>
      <c r="F21" s="639">
        <v>4022730</v>
      </c>
      <c r="G21" s="312">
        <f t="shared" si="1"/>
        <v>1046</v>
      </c>
      <c r="H21" s="444">
        <v>17873314</v>
      </c>
      <c r="I21" s="312">
        <f t="shared" si="14"/>
        <v>1176</v>
      </c>
      <c r="J21" s="639">
        <v>29060818</v>
      </c>
      <c r="K21" s="312">
        <f t="shared" si="15"/>
        <v>6644</v>
      </c>
      <c r="L21" s="444">
        <v>24209944</v>
      </c>
      <c r="M21" s="312">
        <f t="shared" si="16"/>
        <v>2524</v>
      </c>
      <c r="N21" s="310">
        <f t="shared" si="17"/>
        <v>15339</v>
      </c>
      <c r="O21" s="466">
        <f t="shared" si="28"/>
        <v>0</v>
      </c>
      <c r="P21" s="591">
        <v>17086.036</v>
      </c>
      <c r="Q21" s="448">
        <f t="shared" si="32"/>
        <v>12245.999999999185</v>
      </c>
      <c r="R21" s="448">
        <f t="shared" si="33"/>
        <v>3093.0000000008149</v>
      </c>
      <c r="S21" s="444">
        <f t="shared" si="9"/>
        <v>10175</v>
      </c>
      <c r="T21" s="468">
        <f t="shared" si="4"/>
        <v>0</v>
      </c>
      <c r="U21" s="444">
        <f t="shared" si="9"/>
        <v>429166</v>
      </c>
      <c r="V21" s="448">
        <f t="shared" si="18"/>
        <v>0</v>
      </c>
      <c r="W21" s="444">
        <v>32397</v>
      </c>
      <c r="X21" s="448">
        <f t="shared" si="25"/>
        <v>10</v>
      </c>
      <c r="Y21" s="639">
        <v>740914</v>
      </c>
      <c r="Z21" s="448">
        <f t="shared" si="22"/>
        <v>2132</v>
      </c>
      <c r="AA21" s="444">
        <f t="shared" si="30"/>
        <v>35939</v>
      </c>
      <c r="AB21" s="448">
        <f t="shared" si="19"/>
        <v>0</v>
      </c>
      <c r="AC21" s="444">
        <f t="shared" si="23"/>
        <v>961645</v>
      </c>
      <c r="AD21" s="448">
        <f t="shared" si="34"/>
        <v>0</v>
      </c>
      <c r="AE21" s="471">
        <f t="shared" si="12"/>
        <v>10</v>
      </c>
      <c r="AF21" s="472">
        <f t="shared" si="6"/>
        <v>2132</v>
      </c>
      <c r="AG21" s="464">
        <f t="shared" si="29"/>
        <v>213.2</v>
      </c>
      <c r="AI21" s="465">
        <f>R21-'EDl log'!B19</f>
        <v>-1034408.9999999992</v>
      </c>
      <c r="AK21" s="628">
        <v>44335</v>
      </c>
      <c r="AL21" s="652">
        <v>304137</v>
      </c>
      <c r="AM21" s="652">
        <v>423438</v>
      </c>
      <c r="AN21" s="17">
        <f t="shared" si="26"/>
        <v>727575</v>
      </c>
      <c r="AO21" s="629">
        <f t="shared" si="27"/>
        <v>3949</v>
      </c>
    </row>
    <row r="22" spans="1:41">
      <c r="A22" s="456">
        <f>'General information '!F25</f>
        <v>0</v>
      </c>
      <c r="B22" s="450">
        <f t="shared" si="8"/>
        <v>0</v>
      </c>
      <c r="C22" s="457">
        <v>44336</v>
      </c>
      <c r="D22" s="444">
        <f t="shared" si="24"/>
        <v>32876480</v>
      </c>
      <c r="E22" s="311">
        <f t="shared" si="13"/>
        <v>2418</v>
      </c>
      <c r="F22" s="444">
        <v>4023203</v>
      </c>
      <c r="G22" s="312">
        <f t="shared" si="1"/>
        <v>473</v>
      </c>
      <c r="H22" s="444">
        <v>17873896</v>
      </c>
      <c r="I22" s="312">
        <f t="shared" si="14"/>
        <v>582</v>
      </c>
      <c r="J22" s="444">
        <v>29064740</v>
      </c>
      <c r="K22" s="312">
        <f t="shared" si="15"/>
        <v>3922</v>
      </c>
      <c r="L22" s="444">
        <v>24211446</v>
      </c>
      <c r="M22" s="312">
        <f t="shared" si="16"/>
        <v>1502</v>
      </c>
      <c r="N22" s="310">
        <f t="shared" si="17"/>
        <v>8897</v>
      </c>
      <c r="O22" s="466">
        <f t="shared" si="28"/>
        <v>0</v>
      </c>
      <c r="P22" s="591">
        <v>17093.373</v>
      </c>
      <c r="Q22" s="448">
        <f t="shared" si="32"/>
        <v>7336.9999999995343</v>
      </c>
      <c r="R22" s="448">
        <f t="shared" si="33"/>
        <v>1560.0000000004657</v>
      </c>
      <c r="S22" s="444">
        <f t="shared" si="9"/>
        <v>10175</v>
      </c>
      <c r="T22" s="468">
        <f t="shared" si="4"/>
        <v>0</v>
      </c>
      <c r="U22" s="444">
        <f t="shared" si="9"/>
        <v>429166</v>
      </c>
      <c r="V22" s="448">
        <f t="shared" si="18"/>
        <v>0</v>
      </c>
      <c r="W22" s="444">
        <v>32412</v>
      </c>
      <c r="X22" s="448">
        <f t="shared" si="25"/>
        <v>15</v>
      </c>
      <c r="Y22" s="444">
        <v>743939</v>
      </c>
      <c r="Z22" s="448">
        <f t="shared" si="22"/>
        <v>3025</v>
      </c>
      <c r="AA22" s="444">
        <f t="shared" si="30"/>
        <v>35939</v>
      </c>
      <c r="AB22" s="448">
        <f t="shared" si="19"/>
        <v>0</v>
      </c>
      <c r="AC22" s="444">
        <f t="shared" si="23"/>
        <v>961645</v>
      </c>
      <c r="AD22" s="448">
        <f t="shared" si="34"/>
        <v>0</v>
      </c>
      <c r="AE22" s="471">
        <f t="shared" si="12"/>
        <v>15</v>
      </c>
      <c r="AF22" s="472">
        <f t="shared" si="6"/>
        <v>3025</v>
      </c>
      <c r="AG22" s="464">
        <f t="shared" si="29"/>
        <v>201.66666666666666</v>
      </c>
      <c r="AI22" s="465">
        <f>R22-'EDl log'!B20</f>
        <v>-1038206.9999999995</v>
      </c>
      <c r="AK22" s="628">
        <v>44336</v>
      </c>
      <c r="AL22" s="17">
        <v>305964</v>
      </c>
      <c r="AM22" s="17">
        <v>424029</v>
      </c>
      <c r="AN22" s="17">
        <f t="shared" si="26"/>
        <v>729993</v>
      </c>
      <c r="AO22" s="629">
        <f t="shared" si="27"/>
        <v>2418</v>
      </c>
    </row>
    <row r="23" spans="1:41">
      <c r="A23" s="456">
        <f>'General information '!F26</f>
        <v>0</v>
      </c>
      <c r="B23" s="450">
        <f t="shared" si="8"/>
        <v>0</v>
      </c>
      <c r="C23" s="457">
        <v>44337</v>
      </c>
      <c r="D23" s="444">
        <f t="shared" si="24"/>
        <v>32879267</v>
      </c>
      <c r="E23" s="311">
        <f t="shared" si="13"/>
        <v>2787</v>
      </c>
      <c r="F23" s="444">
        <v>4023775</v>
      </c>
      <c r="G23" s="312">
        <f t="shared" si="1"/>
        <v>572</v>
      </c>
      <c r="H23" s="444">
        <v>17874670</v>
      </c>
      <c r="I23" s="437">
        <f t="shared" si="14"/>
        <v>774</v>
      </c>
      <c r="J23" s="444">
        <v>29068850</v>
      </c>
      <c r="K23" s="312">
        <f t="shared" si="15"/>
        <v>4110</v>
      </c>
      <c r="L23" s="444">
        <v>24213438</v>
      </c>
      <c r="M23" s="312">
        <f t="shared" si="16"/>
        <v>1992</v>
      </c>
      <c r="N23" s="310">
        <f t="shared" si="17"/>
        <v>10235</v>
      </c>
      <c r="O23" s="466">
        <f t="shared" si="28"/>
        <v>0</v>
      </c>
      <c r="P23" s="591">
        <v>17101.325000000001</v>
      </c>
      <c r="Q23" s="448">
        <f t="shared" si="32"/>
        <v>7952.000000001135</v>
      </c>
      <c r="R23" s="448">
        <f t="shared" si="33"/>
        <v>2282.999999998865</v>
      </c>
      <c r="S23" s="444">
        <f t="shared" si="9"/>
        <v>10175</v>
      </c>
      <c r="T23" s="468">
        <f t="shared" si="4"/>
        <v>0</v>
      </c>
      <c r="U23" s="444">
        <f t="shared" si="9"/>
        <v>429166</v>
      </c>
      <c r="V23" s="448">
        <f t="shared" si="18"/>
        <v>0</v>
      </c>
      <c r="W23" s="444">
        <v>32421</v>
      </c>
      <c r="X23" s="448">
        <f t="shared" si="25"/>
        <v>9</v>
      </c>
      <c r="Y23" s="444">
        <v>745900</v>
      </c>
      <c r="Z23" s="448">
        <f t="shared" si="22"/>
        <v>1961</v>
      </c>
      <c r="AA23" s="444">
        <f t="shared" si="30"/>
        <v>35939</v>
      </c>
      <c r="AB23" s="448">
        <f t="shared" si="19"/>
        <v>0</v>
      </c>
      <c r="AC23" s="444">
        <f t="shared" si="23"/>
        <v>961645</v>
      </c>
      <c r="AD23" s="448">
        <f t="shared" si="34"/>
        <v>0</v>
      </c>
      <c r="AE23" s="471">
        <f t="shared" si="12"/>
        <v>9</v>
      </c>
      <c r="AF23" s="472">
        <f t="shared" si="6"/>
        <v>1961</v>
      </c>
      <c r="AG23" s="464">
        <f t="shared" si="29"/>
        <v>217.88888888888889</v>
      </c>
      <c r="AI23" s="465">
        <f>R23-'EDl log'!B21</f>
        <v>-1039226.0000000012</v>
      </c>
      <c r="AK23" s="628">
        <v>44337</v>
      </c>
      <c r="AL23" s="17">
        <v>308024</v>
      </c>
      <c r="AM23" s="17">
        <v>424756</v>
      </c>
      <c r="AN23" s="17">
        <f t="shared" si="26"/>
        <v>732780</v>
      </c>
      <c r="AO23" s="629">
        <f t="shared" si="27"/>
        <v>2787</v>
      </c>
    </row>
    <row r="24" spans="1:41">
      <c r="A24" s="456">
        <f>'General information '!F27</f>
        <v>0</v>
      </c>
      <c r="B24" s="450">
        <f t="shared" si="8"/>
        <v>0</v>
      </c>
      <c r="C24" s="457">
        <v>44338</v>
      </c>
      <c r="D24" s="444">
        <f t="shared" si="24"/>
        <v>32882510</v>
      </c>
      <c r="E24" s="311">
        <f t="shared" si="13"/>
        <v>3243</v>
      </c>
      <c r="F24" s="444">
        <v>4024483</v>
      </c>
      <c r="G24" s="312">
        <f t="shared" si="1"/>
        <v>708</v>
      </c>
      <c r="H24" s="444">
        <v>17875516</v>
      </c>
      <c r="I24" s="312">
        <f t="shared" si="14"/>
        <v>846</v>
      </c>
      <c r="J24" s="444">
        <v>29074058</v>
      </c>
      <c r="K24" s="312">
        <f t="shared" si="15"/>
        <v>5208</v>
      </c>
      <c r="L24" s="444">
        <v>24215624</v>
      </c>
      <c r="M24" s="312">
        <f t="shared" si="16"/>
        <v>2186</v>
      </c>
      <c r="N24" s="310">
        <f t="shared" si="17"/>
        <v>12191</v>
      </c>
      <c r="O24" s="466">
        <f t="shared" si="28"/>
        <v>0</v>
      </c>
      <c r="P24" s="591">
        <v>17111.871999999999</v>
      </c>
      <c r="Q24" s="448">
        <f t="shared" si="32"/>
        <v>10546.999999998661</v>
      </c>
      <c r="R24" s="448">
        <f t="shared" si="33"/>
        <v>1644.0000000013388</v>
      </c>
      <c r="S24" s="444">
        <f t="shared" si="9"/>
        <v>10175</v>
      </c>
      <c r="T24" s="468">
        <f t="shared" si="4"/>
        <v>0</v>
      </c>
      <c r="U24" s="444">
        <f t="shared" si="9"/>
        <v>429166</v>
      </c>
      <c r="V24" s="448">
        <f t="shared" si="18"/>
        <v>0</v>
      </c>
      <c r="W24" s="444">
        <v>32435</v>
      </c>
      <c r="X24" s="448">
        <f t="shared" si="25"/>
        <v>14</v>
      </c>
      <c r="Y24" s="444">
        <v>748409</v>
      </c>
      <c r="Z24" s="448">
        <f t="shared" si="22"/>
        <v>2509</v>
      </c>
      <c r="AA24" s="444">
        <f t="shared" si="30"/>
        <v>35939</v>
      </c>
      <c r="AB24" s="448">
        <f t="shared" si="19"/>
        <v>0</v>
      </c>
      <c r="AC24" s="444">
        <f t="shared" si="23"/>
        <v>961645</v>
      </c>
      <c r="AD24" s="448">
        <f t="shared" si="34"/>
        <v>0</v>
      </c>
      <c r="AE24" s="471">
        <f t="shared" si="12"/>
        <v>14</v>
      </c>
      <c r="AF24" s="472">
        <f t="shared" si="6"/>
        <v>2509</v>
      </c>
      <c r="AG24" s="464">
        <f t="shared" si="29"/>
        <v>179.21428571428572</v>
      </c>
      <c r="AI24" s="465">
        <f>R24-'EDl log'!B22</f>
        <v>-1041692.9999999986</v>
      </c>
      <c r="AK24" s="628">
        <v>44338</v>
      </c>
      <c r="AL24" s="17">
        <v>310775</v>
      </c>
      <c r="AM24" s="17">
        <v>425248</v>
      </c>
      <c r="AN24" s="17">
        <f t="shared" si="26"/>
        <v>736023</v>
      </c>
      <c r="AO24" s="629">
        <f t="shared" si="27"/>
        <v>3243</v>
      </c>
    </row>
    <row r="25" spans="1:41">
      <c r="A25" s="456">
        <f>'General information '!F28</f>
        <v>0</v>
      </c>
      <c r="B25" s="450">
        <f t="shared" si="8"/>
        <v>0</v>
      </c>
      <c r="C25" s="457">
        <v>44339</v>
      </c>
      <c r="D25" s="444">
        <f t="shared" si="24"/>
        <v>32884816</v>
      </c>
      <c r="E25" s="311">
        <f t="shared" si="13"/>
        <v>2306</v>
      </c>
      <c r="F25" s="444">
        <v>4025201</v>
      </c>
      <c r="G25" s="312">
        <f t="shared" si="1"/>
        <v>718</v>
      </c>
      <c r="H25" s="444">
        <v>17876278</v>
      </c>
      <c r="I25" s="312">
        <f t="shared" si="14"/>
        <v>762</v>
      </c>
      <c r="J25" s="444">
        <v>29077142</v>
      </c>
      <c r="K25" s="312">
        <f t="shared" si="15"/>
        <v>3084</v>
      </c>
      <c r="L25" s="444">
        <v>24217322</v>
      </c>
      <c r="M25" s="312">
        <f t="shared" si="16"/>
        <v>1698</v>
      </c>
      <c r="N25" s="310">
        <f t="shared" si="17"/>
        <v>8568</v>
      </c>
      <c r="O25" s="466">
        <f t="shared" si="28"/>
        <v>0</v>
      </c>
      <c r="P25" s="591">
        <v>17117.406999999999</v>
      </c>
      <c r="Q25" s="448">
        <f t="shared" si="32"/>
        <v>5534.9999999998545</v>
      </c>
      <c r="R25" s="448">
        <f t="shared" si="33"/>
        <v>3033.0000000001455</v>
      </c>
      <c r="S25" s="444">
        <f t="shared" si="9"/>
        <v>10175</v>
      </c>
      <c r="T25" s="468">
        <f t="shared" si="4"/>
        <v>0</v>
      </c>
      <c r="U25" s="444">
        <f t="shared" si="9"/>
        <v>429166</v>
      </c>
      <c r="V25" s="448">
        <f t="shared" si="18"/>
        <v>0</v>
      </c>
      <c r="W25" s="444">
        <v>32442</v>
      </c>
      <c r="X25" s="448">
        <f t="shared" si="25"/>
        <v>7</v>
      </c>
      <c r="Y25" s="444">
        <v>749823</v>
      </c>
      <c r="Z25" s="448">
        <f t="shared" si="22"/>
        <v>1414</v>
      </c>
      <c r="AA25" s="444">
        <f t="shared" si="30"/>
        <v>35939</v>
      </c>
      <c r="AB25" s="448">
        <f t="shared" si="19"/>
        <v>0</v>
      </c>
      <c r="AC25" s="444">
        <f t="shared" si="23"/>
        <v>961645</v>
      </c>
      <c r="AD25" s="448">
        <f t="shared" si="34"/>
        <v>0</v>
      </c>
      <c r="AE25" s="471">
        <f t="shared" si="12"/>
        <v>7</v>
      </c>
      <c r="AF25" s="472">
        <f t="shared" si="6"/>
        <v>1414</v>
      </c>
      <c r="AG25" s="464">
        <f t="shared" si="29"/>
        <v>202</v>
      </c>
      <c r="AI25" s="465">
        <f>R25-'EDl log'!B23</f>
        <v>-1041223.9999999999</v>
      </c>
      <c r="AK25" s="628">
        <v>44339</v>
      </c>
      <c r="AL25" s="17">
        <v>312222</v>
      </c>
      <c r="AM25" s="17">
        <v>426107</v>
      </c>
      <c r="AN25" s="17">
        <f t="shared" si="26"/>
        <v>738329</v>
      </c>
      <c r="AO25" s="629">
        <f t="shared" si="27"/>
        <v>2306</v>
      </c>
    </row>
    <row r="26" spans="1:41">
      <c r="A26" s="456">
        <f>'General information '!F29</f>
        <v>0</v>
      </c>
      <c r="B26" s="450">
        <f t="shared" si="8"/>
        <v>0</v>
      </c>
      <c r="C26" s="457">
        <v>44340</v>
      </c>
      <c r="D26" s="444">
        <f t="shared" si="24"/>
        <v>32888344</v>
      </c>
      <c r="E26" s="311">
        <f t="shared" si="13"/>
        <v>3528</v>
      </c>
      <c r="F26" s="444">
        <v>4025963</v>
      </c>
      <c r="G26" s="312">
        <f t="shared" si="1"/>
        <v>762</v>
      </c>
      <c r="H26" s="444">
        <v>17877230</v>
      </c>
      <c r="I26" s="312">
        <f t="shared" si="14"/>
        <v>952</v>
      </c>
      <c r="J26" s="444">
        <v>29083398</v>
      </c>
      <c r="K26" s="312">
        <f t="shared" si="15"/>
        <v>6256</v>
      </c>
      <c r="L26" s="444">
        <v>24219552</v>
      </c>
      <c r="M26" s="312">
        <f t="shared" si="16"/>
        <v>2230</v>
      </c>
      <c r="N26" s="310">
        <f t="shared" si="17"/>
        <v>13728</v>
      </c>
      <c r="O26" s="466">
        <f t="shared" si="28"/>
        <v>0</v>
      </c>
      <c r="P26" s="591">
        <v>17129.861000000001</v>
      </c>
      <c r="Q26" s="448">
        <f t="shared" si="32"/>
        <v>12454.000000001543</v>
      </c>
      <c r="R26" s="448">
        <f t="shared" si="33"/>
        <v>1273.9999999984575</v>
      </c>
      <c r="S26" s="444">
        <f t="shared" si="9"/>
        <v>10175</v>
      </c>
      <c r="T26" s="468">
        <f t="shared" si="4"/>
        <v>0</v>
      </c>
      <c r="U26" s="444">
        <f t="shared" si="9"/>
        <v>429166</v>
      </c>
      <c r="V26" s="448">
        <f t="shared" si="18"/>
        <v>0</v>
      </c>
      <c r="W26" s="444">
        <v>32458</v>
      </c>
      <c r="X26" s="448">
        <f t="shared" si="25"/>
        <v>16</v>
      </c>
      <c r="Y26" s="444">
        <v>752966</v>
      </c>
      <c r="Z26" s="448">
        <f t="shared" si="22"/>
        <v>3143</v>
      </c>
      <c r="AA26" s="444">
        <f t="shared" si="30"/>
        <v>35939</v>
      </c>
      <c r="AB26" s="448">
        <f t="shared" si="19"/>
        <v>0</v>
      </c>
      <c r="AC26" s="444">
        <f t="shared" si="23"/>
        <v>961645</v>
      </c>
      <c r="AD26" s="448">
        <f t="shared" si="34"/>
        <v>0</v>
      </c>
      <c r="AE26" s="471">
        <f t="shared" si="12"/>
        <v>16</v>
      </c>
      <c r="AF26" s="472">
        <f t="shared" si="6"/>
        <v>3143</v>
      </c>
      <c r="AG26" s="464">
        <f t="shared" si="29"/>
        <v>196.4375</v>
      </c>
      <c r="AI26" s="465">
        <f>R26-'EDl log'!B24</f>
        <v>-1044290.0000000015</v>
      </c>
      <c r="AK26" s="628">
        <v>44340</v>
      </c>
      <c r="AL26" s="17">
        <v>315305</v>
      </c>
      <c r="AM26" s="17">
        <v>426552</v>
      </c>
      <c r="AN26" s="17">
        <f t="shared" si="26"/>
        <v>741857</v>
      </c>
      <c r="AO26" s="629">
        <f t="shared" si="27"/>
        <v>3528</v>
      </c>
    </row>
    <row r="27" spans="1:41">
      <c r="A27" s="456">
        <f>'General information '!F30</f>
        <v>0</v>
      </c>
      <c r="B27" s="450">
        <f t="shared" si="8"/>
        <v>0</v>
      </c>
      <c r="C27" s="457">
        <v>44341</v>
      </c>
      <c r="D27" s="444">
        <f t="shared" si="24"/>
        <v>32890826</v>
      </c>
      <c r="E27" s="311">
        <f t="shared" si="13"/>
        <v>2482</v>
      </c>
      <c r="F27" s="444">
        <v>4026726</v>
      </c>
      <c r="G27" s="312">
        <f>F27-F26</f>
        <v>763</v>
      </c>
      <c r="H27" s="444">
        <v>17878106</v>
      </c>
      <c r="I27" s="312">
        <f t="shared" si="14"/>
        <v>876</v>
      </c>
      <c r="J27" s="444">
        <v>29086978</v>
      </c>
      <c r="K27" s="312">
        <f t="shared" si="15"/>
        <v>3580</v>
      </c>
      <c r="L27" s="444">
        <v>24221654</v>
      </c>
      <c r="M27" s="312">
        <f t="shared" si="16"/>
        <v>2102</v>
      </c>
      <c r="N27" s="310">
        <f t="shared" si="17"/>
        <v>9803</v>
      </c>
      <c r="O27" s="466">
        <f t="shared" si="28"/>
        <v>0</v>
      </c>
      <c r="P27" s="591">
        <v>17136.036</v>
      </c>
      <c r="Q27" s="448">
        <f t="shared" si="32"/>
        <v>6174.9999999992724</v>
      </c>
      <c r="R27" s="448">
        <f t="shared" si="33"/>
        <v>3628.0000000007276</v>
      </c>
      <c r="S27" s="444">
        <f t="shared" si="9"/>
        <v>10175</v>
      </c>
      <c r="T27" s="468">
        <f t="shared" si="4"/>
        <v>0</v>
      </c>
      <c r="U27" s="444">
        <f t="shared" si="9"/>
        <v>429166</v>
      </c>
      <c r="V27" s="448">
        <f t="shared" si="18"/>
        <v>0</v>
      </c>
      <c r="W27" s="444">
        <v>32465</v>
      </c>
      <c r="X27" s="448">
        <f t="shared" si="25"/>
        <v>7</v>
      </c>
      <c r="Y27" s="444">
        <v>754541</v>
      </c>
      <c r="Z27" s="448">
        <f t="shared" si="22"/>
        <v>1575</v>
      </c>
      <c r="AA27" s="444">
        <f t="shared" si="30"/>
        <v>35939</v>
      </c>
      <c r="AB27" s="448">
        <f t="shared" si="19"/>
        <v>0</v>
      </c>
      <c r="AC27" s="444">
        <f t="shared" si="23"/>
        <v>961645</v>
      </c>
      <c r="AD27" s="448">
        <f t="shared" si="34"/>
        <v>0</v>
      </c>
      <c r="AE27" s="471">
        <f t="shared" si="12"/>
        <v>7</v>
      </c>
      <c r="AF27" s="472">
        <f t="shared" si="6"/>
        <v>1575</v>
      </c>
      <c r="AG27" s="464">
        <f t="shared" si="29"/>
        <v>225</v>
      </c>
      <c r="AI27" s="465">
        <f>R27-'EDl log'!B25</f>
        <v>-1042903.9999999993</v>
      </c>
      <c r="AK27" s="628">
        <v>44341</v>
      </c>
      <c r="AL27" s="17">
        <v>316769</v>
      </c>
      <c r="AM27" s="17">
        <v>427570</v>
      </c>
      <c r="AN27" s="17">
        <f t="shared" si="26"/>
        <v>744339</v>
      </c>
      <c r="AO27" s="629">
        <f t="shared" si="27"/>
        <v>2482</v>
      </c>
    </row>
    <row r="28" spans="1:41">
      <c r="A28" s="456">
        <f>'General information '!F31</f>
        <v>0</v>
      </c>
      <c r="B28" s="450">
        <f t="shared" si="8"/>
        <v>0</v>
      </c>
      <c r="C28" s="457">
        <v>44342</v>
      </c>
      <c r="D28" s="444">
        <f t="shared" si="24"/>
        <v>32894263</v>
      </c>
      <c r="E28" s="311">
        <f t="shared" si="13"/>
        <v>3437</v>
      </c>
      <c r="F28" s="444">
        <v>4027454</v>
      </c>
      <c r="G28" s="312">
        <f t="shared" si="1"/>
        <v>728</v>
      </c>
      <c r="H28" s="444">
        <v>17879062</v>
      </c>
      <c r="I28" s="312">
        <f t="shared" si="14"/>
        <v>956</v>
      </c>
      <c r="J28" s="444">
        <v>29093586</v>
      </c>
      <c r="K28" s="312">
        <f t="shared" si="15"/>
        <v>6608</v>
      </c>
      <c r="L28" s="444">
        <v>24224102</v>
      </c>
      <c r="M28" s="312">
        <f t="shared" si="16"/>
        <v>2448</v>
      </c>
      <c r="N28" s="310">
        <f t="shared" si="17"/>
        <v>14177</v>
      </c>
      <c r="O28" s="466">
        <f t="shared" si="28"/>
        <v>0</v>
      </c>
      <c r="P28" s="591">
        <v>17149.121999999999</v>
      </c>
      <c r="Q28" s="448">
        <f t="shared" si="32"/>
        <v>13085.999999999331</v>
      </c>
      <c r="R28" s="448">
        <f t="shared" si="33"/>
        <v>1091.0000000006694</v>
      </c>
      <c r="S28" s="444">
        <f t="shared" si="9"/>
        <v>10175</v>
      </c>
      <c r="T28" s="468">
        <f t="shared" si="4"/>
        <v>0</v>
      </c>
      <c r="U28" s="444">
        <f t="shared" si="9"/>
        <v>429166</v>
      </c>
      <c r="V28" s="448">
        <f t="shared" si="18"/>
        <v>0</v>
      </c>
      <c r="W28" s="444">
        <v>32481</v>
      </c>
      <c r="X28" s="448">
        <f t="shared" si="25"/>
        <v>16</v>
      </c>
      <c r="Y28" s="444">
        <v>757511</v>
      </c>
      <c r="Z28" s="448">
        <f t="shared" si="22"/>
        <v>2970</v>
      </c>
      <c r="AA28" s="444">
        <v>35939</v>
      </c>
      <c r="AB28" s="448">
        <f t="shared" si="19"/>
        <v>0</v>
      </c>
      <c r="AC28" s="444">
        <v>961645</v>
      </c>
      <c r="AD28" s="448">
        <f t="shared" si="34"/>
        <v>0</v>
      </c>
      <c r="AE28" s="471">
        <f t="shared" si="12"/>
        <v>16</v>
      </c>
      <c r="AF28" s="472">
        <f t="shared" si="6"/>
        <v>2970</v>
      </c>
      <c r="AG28" s="464">
        <f t="shared" si="29"/>
        <v>185.625</v>
      </c>
      <c r="AI28" s="465">
        <f>R28-'EDl log'!B26</f>
        <v>-1047127.9999999993</v>
      </c>
      <c r="AK28" s="628">
        <v>44342</v>
      </c>
      <c r="AL28" s="17">
        <v>319879</v>
      </c>
      <c r="AM28" s="17">
        <v>427897</v>
      </c>
      <c r="AN28" s="17">
        <f t="shared" si="26"/>
        <v>747776</v>
      </c>
      <c r="AO28" s="629">
        <f t="shared" si="27"/>
        <v>3437</v>
      </c>
    </row>
    <row r="29" spans="1:41">
      <c r="A29" s="456">
        <f>'General information '!F32</f>
        <v>0</v>
      </c>
      <c r="B29" s="450">
        <f>SUM(230*A29)</f>
        <v>0</v>
      </c>
      <c r="C29" s="457">
        <v>44343</v>
      </c>
      <c r="D29" s="444">
        <f t="shared" si="24"/>
        <v>32897198</v>
      </c>
      <c r="E29" s="311">
        <f t="shared" si="13"/>
        <v>2935</v>
      </c>
      <c r="F29" s="444">
        <v>4028246</v>
      </c>
      <c r="G29" s="312">
        <f t="shared" si="1"/>
        <v>792</v>
      </c>
      <c r="H29" s="444">
        <v>17879970</v>
      </c>
      <c r="I29" s="312">
        <f t="shared" si="14"/>
        <v>908</v>
      </c>
      <c r="J29" s="444">
        <v>29098618</v>
      </c>
      <c r="K29" s="312">
        <f t="shared" si="15"/>
        <v>5032</v>
      </c>
      <c r="L29" s="444">
        <v>24226262</v>
      </c>
      <c r="M29" s="312">
        <f t="shared" si="16"/>
        <v>2160</v>
      </c>
      <c r="N29" s="310">
        <f t="shared" si="17"/>
        <v>11827</v>
      </c>
      <c r="O29" s="466">
        <f t="shared" si="28"/>
        <v>0</v>
      </c>
      <c r="P29" s="591">
        <v>17158.558000000001</v>
      </c>
      <c r="Q29" s="448">
        <f t="shared" si="32"/>
        <v>9436.0000000015134</v>
      </c>
      <c r="R29" s="448">
        <f t="shared" si="33"/>
        <v>2390.9999999984866</v>
      </c>
      <c r="S29" s="444">
        <f t="shared" si="9"/>
        <v>10175</v>
      </c>
      <c r="T29" s="468">
        <f t="shared" si="4"/>
        <v>0</v>
      </c>
      <c r="U29" s="444">
        <f t="shared" si="9"/>
        <v>429166</v>
      </c>
      <c r="V29" s="448">
        <f t="shared" si="18"/>
        <v>0</v>
      </c>
      <c r="W29" s="444">
        <v>32492</v>
      </c>
      <c r="X29" s="448">
        <f t="shared" si="25"/>
        <v>11</v>
      </c>
      <c r="Y29" s="444">
        <v>760371</v>
      </c>
      <c r="Z29" s="448">
        <f t="shared" si="22"/>
        <v>2860</v>
      </c>
      <c r="AA29" s="444">
        <f t="shared" si="30"/>
        <v>35939</v>
      </c>
      <c r="AB29" s="448">
        <f t="shared" si="19"/>
        <v>0</v>
      </c>
      <c r="AC29" s="444">
        <f t="shared" si="23"/>
        <v>961645</v>
      </c>
      <c r="AD29" s="448">
        <f t="shared" si="34"/>
        <v>0</v>
      </c>
      <c r="AE29" s="471">
        <f t="shared" si="12"/>
        <v>11</v>
      </c>
      <c r="AF29" s="472">
        <f t="shared" si="6"/>
        <v>2860</v>
      </c>
      <c r="AG29" s="464">
        <f t="shared" si="29"/>
        <v>260</v>
      </c>
      <c r="AI29" s="465">
        <f>R29-'EDl log'!B27</f>
        <v>-1046612.0000000015</v>
      </c>
      <c r="AK29" s="628">
        <v>44343</v>
      </c>
      <c r="AL29" s="17">
        <v>322078</v>
      </c>
      <c r="AM29" s="17">
        <v>428633</v>
      </c>
      <c r="AN29" s="17">
        <f t="shared" si="26"/>
        <v>750711</v>
      </c>
      <c r="AO29" s="629">
        <f t="shared" si="27"/>
        <v>2935</v>
      </c>
    </row>
    <row r="30" spans="1:41">
      <c r="A30" s="456">
        <f>'General information '!F33</f>
        <v>0</v>
      </c>
      <c r="B30" s="450">
        <f t="shared" si="8"/>
        <v>0</v>
      </c>
      <c r="C30" s="457">
        <v>44344</v>
      </c>
      <c r="D30" s="444">
        <f t="shared" si="24"/>
        <v>32900935</v>
      </c>
      <c r="E30" s="311">
        <f t="shared" si="13"/>
        <v>3737</v>
      </c>
      <c r="F30" s="444">
        <v>4028986</v>
      </c>
      <c r="G30" s="312">
        <f t="shared" si="1"/>
        <v>740</v>
      </c>
      <c r="H30" s="444">
        <v>17881030</v>
      </c>
      <c r="I30" s="312">
        <f t="shared" si="14"/>
        <v>1060</v>
      </c>
      <c r="J30" s="444">
        <v>29105618</v>
      </c>
      <c r="K30" s="312">
        <f t="shared" si="15"/>
        <v>7000</v>
      </c>
      <c r="L30" s="444">
        <v>24228714</v>
      </c>
      <c r="M30" s="312">
        <f t="shared" si="16"/>
        <v>2452</v>
      </c>
      <c r="N30" s="310">
        <f t="shared" si="17"/>
        <v>14989</v>
      </c>
      <c r="O30" s="466">
        <f t="shared" si="28"/>
        <v>0</v>
      </c>
      <c r="P30" s="591">
        <v>17172.512999999999</v>
      </c>
      <c r="Q30" s="448">
        <f t="shared" si="32"/>
        <v>13954.999999998108</v>
      </c>
      <c r="R30" s="448">
        <f t="shared" si="33"/>
        <v>1034.0000000018917</v>
      </c>
      <c r="S30" s="444">
        <f t="shared" si="9"/>
        <v>10175</v>
      </c>
      <c r="T30" s="468">
        <f t="shared" si="4"/>
        <v>0</v>
      </c>
      <c r="U30" s="444">
        <f t="shared" si="9"/>
        <v>429166</v>
      </c>
      <c r="V30" s="448">
        <f t="shared" si="18"/>
        <v>0</v>
      </c>
      <c r="W30" s="444">
        <v>32509</v>
      </c>
      <c r="X30" s="469">
        <f t="shared" si="25"/>
        <v>17</v>
      </c>
      <c r="Y30" s="444">
        <v>763907</v>
      </c>
      <c r="Z30" s="448">
        <f t="shared" si="22"/>
        <v>3536</v>
      </c>
      <c r="AA30" s="444">
        <f t="shared" si="30"/>
        <v>35939</v>
      </c>
      <c r="AB30" s="448">
        <f t="shared" si="19"/>
        <v>0</v>
      </c>
      <c r="AC30" s="444">
        <f t="shared" si="23"/>
        <v>961645</v>
      </c>
      <c r="AD30" s="448">
        <f t="shared" si="34"/>
        <v>0</v>
      </c>
      <c r="AE30" s="471">
        <f t="shared" si="12"/>
        <v>17</v>
      </c>
      <c r="AF30" s="472">
        <f t="shared" si="6"/>
        <v>3536</v>
      </c>
      <c r="AG30" s="464">
        <f t="shared" si="29"/>
        <v>208</v>
      </c>
      <c r="AI30" s="465">
        <f>R30-'EDl log'!B28</f>
        <v>-1049950.9999999981</v>
      </c>
      <c r="AK30" s="628">
        <v>44344</v>
      </c>
      <c r="AL30" s="17">
        <v>325374</v>
      </c>
      <c r="AM30" s="17">
        <v>429074</v>
      </c>
      <c r="AN30" s="17">
        <f t="shared" si="26"/>
        <v>754448</v>
      </c>
      <c r="AO30" s="629">
        <f t="shared" si="27"/>
        <v>3737</v>
      </c>
    </row>
    <row r="31" spans="1:41">
      <c r="A31" s="456">
        <f>'General information '!F34</f>
        <v>0</v>
      </c>
      <c r="B31" s="450">
        <f t="shared" ref="B31:B32" si="35">SUM(230*A31)</f>
        <v>0</v>
      </c>
      <c r="C31" s="457">
        <v>44345</v>
      </c>
      <c r="D31" s="444">
        <f t="shared" si="24"/>
        <v>32904407</v>
      </c>
      <c r="E31" s="311">
        <f t="shared" si="13"/>
        <v>3472</v>
      </c>
      <c r="F31" s="444">
        <v>4029861</v>
      </c>
      <c r="G31" s="312">
        <f t="shared" si="1"/>
        <v>875</v>
      </c>
      <c r="H31" s="444">
        <v>17882142</v>
      </c>
      <c r="I31" s="312">
        <f t="shared" si="14"/>
        <v>1112</v>
      </c>
      <c r="J31" s="444">
        <v>29111118</v>
      </c>
      <c r="K31" s="312">
        <f t="shared" si="15"/>
        <v>5500</v>
      </c>
      <c r="L31" s="444">
        <v>24231274</v>
      </c>
      <c r="M31" s="312">
        <f t="shared" si="16"/>
        <v>2560</v>
      </c>
      <c r="N31" s="310">
        <v>17183.002</v>
      </c>
      <c r="O31" s="466">
        <f t="shared" ref="O31:O32" si="36">IF(B31&gt;0,N31/B31,0)</f>
        <v>0</v>
      </c>
      <c r="P31" s="591">
        <v>17183.002</v>
      </c>
      <c r="Q31" s="448">
        <f t="shared" ref="Q31:Q32" si="37">(P31-P30)*1000</f>
        <v>10489.000000001397</v>
      </c>
      <c r="R31" s="448">
        <f t="shared" ref="R31:R32" si="38">N31-Q31</f>
        <v>6694.0019999986034</v>
      </c>
      <c r="S31" s="444">
        <f t="shared" si="9"/>
        <v>10175</v>
      </c>
      <c r="T31" s="468">
        <f t="shared" ref="T31:T32" si="39">S31-S30</f>
        <v>0</v>
      </c>
      <c r="U31" s="444">
        <f t="shared" si="9"/>
        <v>429166</v>
      </c>
      <c r="V31" s="448">
        <f t="shared" ref="V31:V32" si="40">U31-U30</f>
        <v>0</v>
      </c>
      <c r="W31" s="444">
        <v>32517</v>
      </c>
      <c r="X31" s="469">
        <f t="shared" ref="X31:X32" si="41">W31-W30</f>
        <v>8</v>
      </c>
      <c r="Y31" s="444">
        <v>765466</v>
      </c>
      <c r="Z31" s="448">
        <f t="shared" ref="Z31:Z32" si="42">Y31-Y30</f>
        <v>1559</v>
      </c>
      <c r="AA31" s="444">
        <f t="shared" si="30"/>
        <v>35939</v>
      </c>
      <c r="AB31" s="448">
        <f t="shared" ref="AB31:AB32" si="43">AA31-AA30</f>
        <v>0</v>
      </c>
      <c r="AC31" s="444">
        <f t="shared" si="23"/>
        <v>961645</v>
      </c>
      <c r="AD31" s="448">
        <f t="shared" ref="AD31:AD32" si="44">AC31-AC30</f>
        <v>0</v>
      </c>
      <c r="AE31" s="471">
        <f t="shared" ref="AE31:AE32" si="45">AB31+X31+T31</f>
        <v>8</v>
      </c>
      <c r="AF31" s="472">
        <f t="shared" ref="AF31:AF32" si="46">V31+Z31+AD31</f>
        <v>1559</v>
      </c>
      <c r="AG31" s="464">
        <f t="shared" ref="AG31:AG32" si="47">IF(AE31&gt;0,AF31/AE31,0)</f>
        <v>194.875</v>
      </c>
      <c r="AI31" s="465">
        <f>R31-'EDl log'!B29</f>
        <v>-1045029.9980000014</v>
      </c>
      <c r="AK31" s="628">
        <v>44345</v>
      </c>
      <c r="AL31" s="17">
        <v>327920</v>
      </c>
      <c r="AM31" s="17">
        <v>430000</v>
      </c>
      <c r="AN31" s="17">
        <f t="shared" si="26"/>
        <v>757920</v>
      </c>
      <c r="AO31" s="629">
        <f t="shared" si="27"/>
        <v>3472</v>
      </c>
    </row>
    <row r="32" spans="1:41">
      <c r="A32" s="456">
        <f>'General information '!F35</f>
        <v>0</v>
      </c>
      <c r="B32" s="450">
        <f t="shared" si="35"/>
        <v>0</v>
      </c>
      <c r="C32" s="457">
        <v>44346</v>
      </c>
      <c r="D32" s="444">
        <f t="shared" si="24"/>
        <v>32906429</v>
      </c>
      <c r="E32" s="311">
        <f t="shared" si="13"/>
        <v>2022</v>
      </c>
      <c r="F32" s="444">
        <v>4030393</v>
      </c>
      <c r="G32" s="312">
        <f t="shared" si="1"/>
        <v>532</v>
      </c>
      <c r="H32" s="444">
        <v>17882878</v>
      </c>
      <c r="I32" s="312">
        <f t="shared" si="14"/>
        <v>736</v>
      </c>
      <c r="J32" s="444">
        <v>29114878</v>
      </c>
      <c r="K32" s="312">
        <f t="shared" si="15"/>
        <v>3760</v>
      </c>
      <c r="L32" s="444">
        <v>24232834</v>
      </c>
      <c r="M32" s="312">
        <f t="shared" si="16"/>
        <v>1560</v>
      </c>
      <c r="N32" s="310">
        <f t="shared" ref="N32" si="48">M32+K32+I32+G32+E32</f>
        <v>8610</v>
      </c>
      <c r="O32" s="466">
        <f t="shared" si="36"/>
        <v>0</v>
      </c>
      <c r="P32" s="591">
        <v>17190.277999999998</v>
      </c>
      <c r="Q32" s="448">
        <f t="shared" si="37"/>
        <v>7275.9999999980209</v>
      </c>
      <c r="R32" s="448">
        <f t="shared" si="38"/>
        <v>1334.0000000019791</v>
      </c>
      <c r="S32" s="444">
        <f t="shared" si="9"/>
        <v>10175</v>
      </c>
      <c r="T32" s="468">
        <f t="shared" si="39"/>
        <v>0</v>
      </c>
      <c r="U32" s="444">
        <f t="shared" si="9"/>
        <v>429166</v>
      </c>
      <c r="V32" s="448">
        <f t="shared" si="40"/>
        <v>0</v>
      </c>
      <c r="W32" s="444">
        <v>32530</v>
      </c>
      <c r="X32" s="469">
        <f t="shared" si="41"/>
        <v>13</v>
      </c>
      <c r="Y32" s="444">
        <v>768095</v>
      </c>
      <c r="Z32" s="448">
        <f t="shared" si="42"/>
        <v>2629</v>
      </c>
      <c r="AA32" s="444">
        <f t="shared" si="30"/>
        <v>35939</v>
      </c>
      <c r="AB32" s="448">
        <f t="shared" si="43"/>
        <v>0</v>
      </c>
      <c r="AC32" s="444">
        <f t="shared" si="23"/>
        <v>961645</v>
      </c>
      <c r="AD32" s="448">
        <f t="shared" si="44"/>
        <v>0</v>
      </c>
      <c r="AE32" s="471">
        <f t="shared" si="45"/>
        <v>13</v>
      </c>
      <c r="AF32" s="472">
        <f t="shared" si="46"/>
        <v>2629</v>
      </c>
      <c r="AG32" s="464">
        <f t="shared" si="47"/>
        <v>202.23076923076923</v>
      </c>
      <c r="AI32" s="465">
        <f>R32-'EDl log'!B30</f>
        <v>-1051796.9999999981</v>
      </c>
      <c r="AK32" s="628">
        <v>44346</v>
      </c>
      <c r="AL32" s="17">
        <v>329553</v>
      </c>
      <c r="AM32" s="17">
        <v>430389</v>
      </c>
      <c r="AN32" s="17">
        <f t="shared" si="26"/>
        <v>759942</v>
      </c>
      <c r="AO32" s="629">
        <f t="shared" si="27"/>
        <v>2022</v>
      </c>
    </row>
    <row r="33" spans="1:41" ht="15.75" thickBot="1">
      <c r="A33" s="456">
        <f>'General information '!F36</f>
        <v>0</v>
      </c>
      <c r="B33" s="450">
        <f t="shared" ref="B33" si="49">SUM(230*A33)</f>
        <v>0</v>
      </c>
      <c r="C33" s="457">
        <v>44347</v>
      </c>
      <c r="D33" s="444">
        <f t="shared" si="24"/>
        <v>32911138</v>
      </c>
      <c r="E33" s="311">
        <f t="shared" ref="E33" si="50">D33-D32</f>
        <v>4709</v>
      </c>
      <c r="F33" s="444">
        <v>4031450</v>
      </c>
      <c r="G33" s="312">
        <f t="shared" ref="G33" si="51">F33-F32</f>
        <v>1057</v>
      </c>
      <c r="H33" s="444">
        <v>17884320</v>
      </c>
      <c r="I33" s="312">
        <f t="shared" ref="I33" si="52">H33-H32</f>
        <v>1442</v>
      </c>
      <c r="J33" s="444">
        <v>29123928</v>
      </c>
      <c r="K33" s="312">
        <f t="shared" ref="K33" si="53">J33-J32</f>
        <v>9050</v>
      </c>
      <c r="L33" s="444">
        <v>24235992</v>
      </c>
      <c r="M33" s="312">
        <f t="shared" ref="M33" si="54">L33-L32</f>
        <v>3158</v>
      </c>
      <c r="N33" s="310">
        <f t="shared" ref="N33" si="55">M33+K33+I33+G33+E33</f>
        <v>19416</v>
      </c>
      <c r="O33" s="466">
        <f t="shared" ref="O33" si="56">IF(B33&gt;0,N33/B33,0)</f>
        <v>0</v>
      </c>
      <c r="P33" s="591">
        <v>17207.452000000001</v>
      </c>
      <c r="Q33" s="448">
        <f t="shared" ref="Q33" si="57">(P33-P32)*1000</f>
        <v>17174.000000002707</v>
      </c>
      <c r="R33" s="448">
        <f t="shared" ref="R33" si="58">N33-Q33</f>
        <v>2241.9999999972933</v>
      </c>
      <c r="S33" s="444">
        <f t="shared" si="9"/>
        <v>10175</v>
      </c>
      <c r="T33" s="468">
        <f t="shared" ref="T33" si="59">S33-S32</f>
        <v>0</v>
      </c>
      <c r="U33" s="444">
        <f t="shared" si="9"/>
        <v>429166</v>
      </c>
      <c r="V33" s="448">
        <f t="shared" ref="V33" si="60">U33-U32</f>
        <v>0</v>
      </c>
      <c r="W33" s="444">
        <v>32542</v>
      </c>
      <c r="X33" s="469">
        <f t="shared" ref="X33" si="61">W33-W32</f>
        <v>12</v>
      </c>
      <c r="Y33" s="444">
        <v>770932</v>
      </c>
      <c r="Z33" s="448">
        <f t="shared" ref="Z33" si="62">Y33-Y32</f>
        <v>2837</v>
      </c>
      <c r="AA33" s="444">
        <f t="shared" si="30"/>
        <v>35939</v>
      </c>
      <c r="AB33" s="448">
        <f t="shared" ref="AB33" si="63">AA33-AA32</f>
        <v>0</v>
      </c>
      <c r="AC33" s="444">
        <f t="shared" si="23"/>
        <v>961645</v>
      </c>
      <c r="AD33" s="448">
        <f t="shared" ref="AD33" si="64">AC33-AC32</f>
        <v>0</v>
      </c>
      <c r="AE33" s="471">
        <f t="shared" ref="AE33" si="65">AB33+X33+T33</f>
        <v>12</v>
      </c>
      <c r="AF33" s="472">
        <f t="shared" ref="AF33" si="66">V33+Z33+AD33</f>
        <v>2837</v>
      </c>
      <c r="AG33" s="464">
        <f t="shared" ref="AG33" si="67">IF(AE33&gt;0,AF33/AE33,0)</f>
        <v>236.41666666666666</v>
      </c>
      <c r="AI33" s="465">
        <f>R33-'EDl log'!B31</f>
        <v>-1051635.0000000028</v>
      </c>
      <c r="AK33" s="628">
        <v>44347</v>
      </c>
      <c r="AL33" s="17">
        <v>333631</v>
      </c>
      <c r="AM33" s="17">
        <v>431020</v>
      </c>
      <c r="AN33" s="17">
        <f t="shared" si="26"/>
        <v>764651</v>
      </c>
      <c r="AO33" s="630">
        <f t="shared" si="27"/>
        <v>4709</v>
      </c>
    </row>
    <row r="34" spans="1:41">
      <c r="AK34" s="631"/>
      <c r="AL34" s="632"/>
      <c r="AM34" s="632"/>
      <c r="AN34" s="632"/>
      <c r="AO34" s="633"/>
    </row>
  </sheetData>
  <mergeCells count="1">
    <mergeCell ref="AL4:AO4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A1" zoomScale="90" zoomScaleNormal="90" workbookViewId="0">
      <pane ySplit="1" topLeftCell="A11" activePane="bottomLeft" state="frozen"/>
      <selection activeCell="K1" sqref="K1"/>
      <selection pane="bottomLeft" activeCell="AU35" sqref="AU35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77" t="s">
        <v>2</v>
      </c>
      <c r="G1" s="678"/>
      <c r="H1" s="678"/>
      <c r="I1" s="679"/>
      <c r="J1" s="282">
        <f>J36</f>
        <v>68.714285714285708</v>
      </c>
      <c r="K1" s="680" t="s">
        <v>4</v>
      </c>
      <c r="L1" s="681"/>
      <c r="M1" s="681"/>
      <c r="N1" s="681"/>
      <c r="O1" s="682"/>
      <c r="P1" s="671" t="s">
        <v>6</v>
      </c>
      <c r="Q1" s="672"/>
      <c r="R1" s="672"/>
      <c r="S1" s="672"/>
      <c r="T1" s="673"/>
      <c r="U1" s="397"/>
      <c r="V1" s="27" t="s">
        <v>104</v>
      </c>
      <c r="W1" s="398"/>
      <c r="X1" s="671" t="s">
        <v>8</v>
      </c>
      <c r="Y1" s="672"/>
      <c r="Z1" s="672"/>
      <c r="AA1" s="672"/>
      <c r="AB1" s="672"/>
      <c r="AC1" s="674" t="s">
        <v>10</v>
      </c>
      <c r="AD1" s="675"/>
      <c r="AE1" s="675"/>
      <c r="AF1" s="676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69"/>
      <c r="R2" s="670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44316</v>
      </c>
      <c r="B4" s="395">
        <v>239</v>
      </c>
      <c r="C4" s="395">
        <v>245</v>
      </c>
      <c r="D4" s="395">
        <v>6</v>
      </c>
      <c r="E4" s="395">
        <v>50.28</v>
      </c>
      <c r="F4" s="395">
        <v>1825</v>
      </c>
      <c r="G4" s="395">
        <v>1</v>
      </c>
      <c r="H4" s="395">
        <v>12185</v>
      </c>
      <c r="I4" s="395">
        <v>98</v>
      </c>
      <c r="J4" s="395">
        <v>98</v>
      </c>
      <c r="K4" s="395">
        <v>2315</v>
      </c>
      <c r="L4" s="395">
        <v>0</v>
      </c>
      <c r="M4" s="395">
        <v>170600</v>
      </c>
      <c r="N4" s="395">
        <v>0</v>
      </c>
      <c r="O4" s="395">
        <v>1869</v>
      </c>
      <c r="P4" s="395">
        <v>2079</v>
      </c>
      <c r="Q4" s="395">
        <v>174883</v>
      </c>
      <c r="R4" s="395">
        <v>71</v>
      </c>
      <c r="S4" s="395">
        <v>1</v>
      </c>
      <c r="T4" s="395">
        <v>0</v>
      </c>
      <c r="U4" s="395">
        <v>2</v>
      </c>
      <c r="V4" s="395">
        <v>169</v>
      </c>
      <c r="W4" s="395"/>
      <c r="X4" s="395">
        <v>2467</v>
      </c>
      <c r="Y4" s="395">
        <v>0</v>
      </c>
      <c r="Z4" s="395">
        <v>138841</v>
      </c>
      <c r="AA4" s="395">
        <v>0</v>
      </c>
      <c r="AB4" s="395">
        <v>0</v>
      </c>
      <c r="AC4" s="395">
        <v>1936</v>
      </c>
      <c r="AD4" s="395">
        <v>0</v>
      </c>
      <c r="AE4" s="395">
        <v>365520.8</v>
      </c>
      <c r="AF4" s="395">
        <v>0</v>
      </c>
      <c r="AG4" s="395">
        <v>0</v>
      </c>
      <c r="AH4" s="395">
        <v>0</v>
      </c>
      <c r="AI4" s="395">
        <v>169</v>
      </c>
      <c r="AJ4" s="395">
        <v>169</v>
      </c>
      <c r="AK4" s="395">
        <v>0</v>
      </c>
      <c r="AL4" s="395">
        <v>2</v>
      </c>
      <c r="AM4" s="395">
        <v>0</v>
      </c>
      <c r="AN4" s="395">
        <v>67</v>
      </c>
      <c r="AO4" s="395">
        <v>2010.0000000000002</v>
      </c>
      <c r="AP4" s="395">
        <v>55</v>
      </c>
      <c r="AQ4" s="395">
        <v>1650.0000000000002</v>
      </c>
      <c r="AR4" s="395">
        <v>61</v>
      </c>
      <c r="AS4" s="395">
        <v>1830</v>
      </c>
      <c r="AT4" s="395">
        <v>5490</v>
      </c>
      <c r="AU4" s="395">
        <v>0</v>
      </c>
      <c r="AV4" s="395"/>
      <c r="AW4" s="395"/>
      <c r="AX4" s="395">
        <f>[1]B5!AX35</f>
        <v>0.8</v>
      </c>
    </row>
    <row r="5" spans="1:52">
      <c r="A5" s="63">
        <f>ELEC!C3</f>
        <v>44317</v>
      </c>
      <c r="B5" s="584">
        <v>234</v>
      </c>
      <c r="C5" s="584">
        <v>240</v>
      </c>
      <c r="D5" s="45">
        <f>C4-C5</f>
        <v>5</v>
      </c>
      <c r="E5" s="45">
        <f>D5*8.38</f>
        <v>41.900000000000006</v>
      </c>
      <c r="F5" s="584">
        <v>1825</v>
      </c>
      <c r="G5" s="52">
        <f t="shared" ref="G5:G32" si="0">F5-F4</f>
        <v>0</v>
      </c>
      <c r="H5" s="584">
        <v>12220</v>
      </c>
      <c r="I5" s="396">
        <f t="shared" ref="I5:I32" si="1">SUM(H5-H4)</f>
        <v>35</v>
      </c>
      <c r="J5" s="66">
        <v>1</v>
      </c>
      <c r="K5" s="584">
        <v>2315</v>
      </c>
      <c r="L5" s="52">
        <f>K5-K4</f>
        <v>0</v>
      </c>
      <c r="M5" s="584">
        <v>170650</v>
      </c>
      <c r="N5" s="396">
        <f t="shared" ref="N5:N32" si="2">M5-M4</f>
        <v>50</v>
      </c>
      <c r="O5" s="64">
        <f>O4</f>
        <v>1869</v>
      </c>
      <c r="P5" s="584">
        <v>2080</v>
      </c>
      <c r="Q5" s="584">
        <v>174993</v>
      </c>
      <c r="R5" s="395">
        <f t="shared" ref="R5:R10" si="3">Q5-Q4</f>
        <v>110</v>
      </c>
      <c r="S5" s="52">
        <f t="shared" ref="S5:S32" si="4">SUM(P5-P4)</f>
        <v>1</v>
      </c>
      <c r="T5" s="67">
        <f>SUM(S5*$T$2)</f>
        <v>0</v>
      </c>
      <c r="U5" s="402">
        <f>SUM(G5+L5+S5)</f>
        <v>1</v>
      </c>
      <c r="V5" s="62">
        <f>R5+N5+I5:I5</f>
        <v>195</v>
      </c>
      <c r="W5" s="400">
        <f>SUM(V5/U5)</f>
        <v>195</v>
      </c>
      <c r="X5" s="584">
        <f>X4</f>
        <v>2467</v>
      </c>
      <c r="Y5" s="52">
        <f>X5-X4</f>
        <v>0</v>
      </c>
      <c r="Z5" s="584">
        <f>Z4</f>
        <v>138841</v>
      </c>
      <c r="AA5" s="65">
        <f t="shared" ref="AA5:AA32" si="5">Z5-Z4</f>
        <v>0</v>
      </c>
      <c r="AB5" s="284">
        <f>SUM(Y5*$AB$2)</f>
        <v>0</v>
      </c>
      <c r="AC5" s="584">
        <f>AC4</f>
        <v>1936</v>
      </c>
      <c r="AD5" s="45">
        <f t="shared" ref="AD5:AD32" si="6">AC5-AC4</f>
        <v>0</v>
      </c>
      <c r="AE5" s="584">
        <f>AE4</f>
        <v>365520.8</v>
      </c>
      <c r="AF5" s="306">
        <f>AE5-AE4</f>
        <v>0</v>
      </c>
      <c r="AG5" s="209">
        <f>IF(AD5&gt;0,AF5/AD5,0)</f>
        <v>0</v>
      </c>
      <c r="AH5" s="62">
        <f>AF5+AA5</f>
        <v>0</v>
      </c>
      <c r="AI5" s="318">
        <f>SUM(AH5+V5)</f>
        <v>195</v>
      </c>
      <c r="AJ5" s="318">
        <f>-tanks!AW6</f>
        <v>195</v>
      </c>
      <c r="AK5" s="318">
        <f>SUM(AJ5-AI5)</f>
        <v>0</v>
      </c>
      <c r="AL5" s="318">
        <f t="shared" ref="AL5:AL32" si="7">S5+L5+G5</f>
        <v>1</v>
      </c>
      <c r="AM5" s="318">
        <f>Y5+AD5</f>
        <v>0</v>
      </c>
      <c r="AN5" s="584">
        <f>AN4</f>
        <v>67</v>
      </c>
      <c r="AO5" s="320">
        <f>(AN5/100)*3000</f>
        <v>2010.0000000000002</v>
      </c>
      <c r="AP5" s="584">
        <f>AP4</f>
        <v>55</v>
      </c>
      <c r="AQ5" s="320">
        <f>(AP5/100)*3000</f>
        <v>1650.0000000000002</v>
      </c>
      <c r="AR5" s="584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44318</v>
      </c>
      <c r="B6" s="584">
        <v>231</v>
      </c>
      <c r="C6" s="584">
        <v>238</v>
      </c>
      <c r="D6" s="45">
        <f>C5-C6</f>
        <v>2</v>
      </c>
      <c r="E6" s="45">
        <f t="shared" ref="E6:E32" si="8">D6*8.38</f>
        <v>16.760000000000002</v>
      </c>
      <c r="F6" s="584">
        <f t="shared" ref="F6:F34" si="9">F5</f>
        <v>1825</v>
      </c>
      <c r="G6" s="52">
        <f t="shared" si="0"/>
        <v>0</v>
      </c>
      <c r="H6" s="584">
        <f t="shared" ref="H6:H34" si="10">H5</f>
        <v>12220</v>
      </c>
      <c r="I6" s="396">
        <f t="shared" si="1"/>
        <v>0</v>
      </c>
      <c r="J6" s="66">
        <f t="shared" ref="J6:J32" si="11">IF(G6&gt;0,I6/G6,0)</f>
        <v>0</v>
      </c>
      <c r="K6" s="584">
        <v>2316</v>
      </c>
      <c r="L6" s="52">
        <f t="shared" ref="L6:L32" si="12">K6-K5</f>
        <v>1</v>
      </c>
      <c r="M6" s="584">
        <v>170693</v>
      </c>
      <c r="N6" s="396">
        <f t="shared" si="2"/>
        <v>43</v>
      </c>
      <c r="O6" s="64">
        <f t="shared" ref="O6:Q31" si="13">O5</f>
        <v>1869</v>
      </c>
      <c r="P6" s="584">
        <v>2081</v>
      </c>
      <c r="Q6" s="584">
        <v>175103</v>
      </c>
      <c r="R6" s="395">
        <f t="shared" si="3"/>
        <v>110</v>
      </c>
      <c r="S6" s="52">
        <f t="shared" si="4"/>
        <v>1</v>
      </c>
      <c r="T6" s="67">
        <f>SUM(S6*$T$2)</f>
        <v>0</v>
      </c>
      <c r="U6" s="402">
        <f t="shared" ref="U6:U32" si="14">SUM(G6+L6+S6)</f>
        <v>2</v>
      </c>
      <c r="V6" s="62">
        <f t="shared" ref="V6:V32" si="15">R6+N6+I6:I6</f>
        <v>153</v>
      </c>
      <c r="W6" s="400">
        <f t="shared" ref="W6:W16" si="16">SUM(V6/U6)</f>
        <v>76.5</v>
      </c>
      <c r="X6" s="584">
        <f t="shared" ref="X6:X34" si="17">X5</f>
        <v>2467</v>
      </c>
      <c r="Y6" s="52">
        <f t="shared" ref="Y6:Y32" si="18">X6-X5</f>
        <v>0</v>
      </c>
      <c r="Z6" s="584">
        <f t="shared" ref="Z6:Z34" si="19">Z5</f>
        <v>138841</v>
      </c>
      <c r="AA6" s="65">
        <f t="shared" si="5"/>
        <v>0</v>
      </c>
      <c r="AB6" s="284">
        <f>SUM(Y6*$AB$2)</f>
        <v>0</v>
      </c>
      <c r="AC6" s="584">
        <f t="shared" ref="AC6:AE6" si="20">AC5</f>
        <v>1936</v>
      </c>
      <c r="AD6" s="45">
        <f t="shared" si="6"/>
        <v>0</v>
      </c>
      <c r="AE6" s="584">
        <f t="shared" si="20"/>
        <v>365520.8</v>
      </c>
      <c r="AF6" s="306">
        <f t="shared" ref="AF6:AF32" si="21">AE6-AE5</f>
        <v>0</v>
      </c>
      <c r="AG6" s="209">
        <f>IF(AD6&gt;0,AF6/AD6,0)</f>
        <v>0</v>
      </c>
      <c r="AH6" s="62">
        <f>AF6+AA6</f>
        <v>0</v>
      </c>
      <c r="AI6" s="318">
        <f t="shared" ref="AI6:AI32" si="22">SUM(AH6+V6)</f>
        <v>153</v>
      </c>
      <c r="AJ6" s="318">
        <f>-tanks!AW7</f>
        <v>153</v>
      </c>
      <c r="AK6" s="318">
        <f t="shared" ref="AK6:AK32" si="23">SUM(AJ6-AI6)</f>
        <v>0</v>
      </c>
      <c r="AL6" s="318">
        <f t="shared" si="7"/>
        <v>2</v>
      </c>
      <c r="AM6" s="318">
        <f t="shared" ref="AM6:AM32" si="24">Y6+AD6</f>
        <v>0</v>
      </c>
      <c r="AN6" s="584">
        <f t="shared" ref="AN6:AP6" si="25">AN5</f>
        <v>67</v>
      </c>
      <c r="AO6" s="320">
        <f t="shared" ref="AO6:AO26" si="26">(AN6/100)*3000</f>
        <v>2010.0000000000002</v>
      </c>
      <c r="AP6" s="584">
        <f t="shared" si="25"/>
        <v>55</v>
      </c>
      <c r="AQ6" s="320">
        <f t="shared" ref="AQ6:AQ24" si="27">(AP6/100)*3000</f>
        <v>1650.0000000000002</v>
      </c>
      <c r="AR6" s="584">
        <f t="shared" ref="AR6" si="28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9">IF(AV6&gt;0,AW6,AX5)</f>
        <v>0.8</v>
      </c>
    </row>
    <row r="7" spans="1:52">
      <c r="A7" s="63">
        <f>ELEC!C5</f>
        <v>44319</v>
      </c>
      <c r="B7" s="584">
        <v>228</v>
      </c>
      <c r="C7" s="584">
        <v>234</v>
      </c>
      <c r="D7" s="45">
        <f t="shared" ref="D7:D19" si="30">C6-C7</f>
        <v>4</v>
      </c>
      <c r="E7" s="45">
        <f t="shared" si="8"/>
        <v>33.520000000000003</v>
      </c>
      <c r="F7" s="584">
        <v>1827</v>
      </c>
      <c r="G7" s="52">
        <f t="shared" si="0"/>
        <v>2</v>
      </c>
      <c r="H7" s="584">
        <v>12328</v>
      </c>
      <c r="I7" s="396">
        <f t="shared" si="1"/>
        <v>108</v>
      </c>
      <c r="J7" s="66">
        <f t="shared" si="11"/>
        <v>54</v>
      </c>
      <c r="K7" s="584">
        <f t="shared" ref="K7:K31" si="31">K6</f>
        <v>2316</v>
      </c>
      <c r="L7" s="52">
        <f t="shared" si="12"/>
        <v>0</v>
      </c>
      <c r="M7" s="584">
        <f t="shared" ref="M7:M31" si="32">M6</f>
        <v>170693</v>
      </c>
      <c r="N7" s="396">
        <f t="shared" si="2"/>
        <v>0</v>
      </c>
      <c r="O7" s="64">
        <f t="shared" si="13"/>
        <v>1869</v>
      </c>
      <c r="P7" s="584">
        <v>2082</v>
      </c>
      <c r="Q7" s="584">
        <v>175136</v>
      </c>
      <c r="R7" s="395">
        <f t="shared" si="3"/>
        <v>33</v>
      </c>
      <c r="S7" s="52">
        <f t="shared" si="4"/>
        <v>1</v>
      </c>
      <c r="T7" s="67">
        <f t="shared" ref="T7:T32" si="33">SUM(S7*$T$2)</f>
        <v>0</v>
      </c>
      <c r="U7" s="402">
        <f t="shared" si="14"/>
        <v>3</v>
      </c>
      <c r="V7" s="62">
        <f t="shared" si="15"/>
        <v>141</v>
      </c>
      <c r="W7" s="400">
        <f t="shared" si="16"/>
        <v>47</v>
      </c>
      <c r="X7" s="584">
        <f t="shared" si="17"/>
        <v>2467</v>
      </c>
      <c r="Y7" s="52">
        <f t="shared" si="18"/>
        <v>0</v>
      </c>
      <c r="Z7" s="584">
        <f t="shared" si="19"/>
        <v>138841</v>
      </c>
      <c r="AA7" s="65">
        <f t="shared" si="5"/>
        <v>0</v>
      </c>
      <c r="AB7" s="284">
        <f t="shared" ref="AB7:AB17" si="34">SUM(Y7*$AB$2)</f>
        <v>0</v>
      </c>
      <c r="AC7" s="584">
        <f t="shared" ref="AC7:AE7" si="35">AC6</f>
        <v>1936</v>
      </c>
      <c r="AD7" s="45">
        <f t="shared" si="6"/>
        <v>0</v>
      </c>
      <c r="AE7" s="584">
        <f t="shared" si="35"/>
        <v>365520.8</v>
      </c>
      <c r="AF7" s="306">
        <f t="shared" si="21"/>
        <v>0</v>
      </c>
      <c r="AG7" s="209">
        <f t="shared" ref="AG7:AG32" si="36">IF(AD7&gt;0,AF7/AD7,0)</f>
        <v>0</v>
      </c>
      <c r="AH7" s="62">
        <f t="shared" ref="AH7:AH32" si="37">AF7+AA7</f>
        <v>0</v>
      </c>
      <c r="AI7" s="318">
        <f t="shared" si="22"/>
        <v>141</v>
      </c>
      <c r="AJ7" s="318">
        <f>-tanks!AW8</f>
        <v>141</v>
      </c>
      <c r="AK7" s="318">
        <f t="shared" si="23"/>
        <v>0</v>
      </c>
      <c r="AL7" s="318">
        <f t="shared" si="7"/>
        <v>3</v>
      </c>
      <c r="AM7" s="318">
        <f t="shared" si="24"/>
        <v>0</v>
      </c>
      <c r="AN7" s="584">
        <f t="shared" ref="AN7:AP7" si="38">AN6</f>
        <v>67</v>
      </c>
      <c r="AO7" s="320">
        <f t="shared" si="26"/>
        <v>2010.0000000000002</v>
      </c>
      <c r="AP7" s="584">
        <f t="shared" si="38"/>
        <v>55</v>
      </c>
      <c r="AQ7" s="320">
        <f t="shared" si="27"/>
        <v>1650.0000000000002</v>
      </c>
      <c r="AR7" s="584">
        <f t="shared" ref="AR7" si="39">AR6</f>
        <v>61</v>
      </c>
      <c r="AS7" s="320">
        <f t="shared" ref="AS7:AS32" si="40">(AR7/100)*3000</f>
        <v>1830</v>
      </c>
      <c r="AT7" s="320">
        <f t="shared" ref="AT7:AT23" si="41">SUM(AO7+AQ7+AS7)</f>
        <v>5490</v>
      </c>
      <c r="AU7" s="320">
        <f t="shared" ref="AU7:AU32" si="42">AT6-AT7+AV7</f>
        <v>0</v>
      </c>
      <c r="AV7" s="269"/>
      <c r="AW7" s="269"/>
      <c r="AX7" s="313">
        <f t="shared" si="29"/>
        <v>0.8</v>
      </c>
      <c r="AZ7" s="42" t="s">
        <v>413</v>
      </c>
    </row>
    <row r="8" spans="1:52">
      <c r="A8" s="63">
        <f>ELEC!C6</f>
        <v>44320</v>
      </c>
      <c r="B8" s="584">
        <v>222</v>
      </c>
      <c r="C8" s="584">
        <v>229</v>
      </c>
      <c r="D8" s="45">
        <f t="shared" si="30"/>
        <v>5</v>
      </c>
      <c r="E8" s="45">
        <f t="shared" si="8"/>
        <v>41.900000000000006</v>
      </c>
      <c r="F8" s="584">
        <f t="shared" si="9"/>
        <v>1827</v>
      </c>
      <c r="G8" s="52">
        <f t="shared" si="0"/>
        <v>0</v>
      </c>
      <c r="H8" s="584">
        <f t="shared" si="10"/>
        <v>12328</v>
      </c>
      <c r="I8" s="396">
        <f t="shared" si="1"/>
        <v>0</v>
      </c>
      <c r="J8" s="66">
        <f t="shared" si="11"/>
        <v>0</v>
      </c>
      <c r="K8" s="584">
        <v>2317</v>
      </c>
      <c r="L8" s="52">
        <f t="shared" si="12"/>
        <v>1</v>
      </c>
      <c r="M8" s="584">
        <v>170788</v>
      </c>
      <c r="N8" s="396">
        <f t="shared" si="2"/>
        <v>95</v>
      </c>
      <c r="O8" s="64">
        <f t="shared" si="13"/>
        <v>1869</v>
      </c>
      <c r="P8" s="584">
        <f t="shared" si="13"/>
        <v>2082</v>
      </c>
      <c r="Q8" s="584">
        <f t="shared" si="13"/>
        <v>175136</v>
      </c>
      <c r="R8" s="395">
        <f t="shared" si="3"/>
        <v>0</v>
      </c>
      <c r="S8" s="52">
        <f t="shared" si="4"/>
        <v>0</v>
      </c>
      <c r="T8" s="67">
        <f t="shared" si="33"/>
        <v>0</v>
      </c>
      <c r="U8" s="402">
        <f t="shared" si="14"/>
        <v>1</v>
      </c>
      <c r="V8" s="62">
        <f t="shared" si="15"/>
        <v>95</v>
      </c>
      <c r="W8" s="400">
        <f t="shared" si="16"/>
        <v>95</v>
      </c>
      <c r="X8" s="584">
        <f t="shared" si="17"/>
        <v>2467</v>
      </c>
      <c r="Y8" s="52">
        <f t="shared" si="18"/>
        <v>0</v>
      </c>
      <c r="Z8" s="584">
        <f t="shared" si="19"/>
        <v>138841</v>
      </c>
      <c r="AA8" s="65">
        <f t="shared" si="5"/>
        <v>0</v>
      </c>
      <c r="AB8" s="284">
        <f t="shared" si="34"/>
        <v>0</v>
      </c>
      <c r="AC8" s="584">
        <f t="shared" ref="AC8:AE8" si="43">AC7</f>
        <v>1936</v>
      </c>
      <c r="AD8" s="45">
        <f t="shared" si="6"/>
        <v>0</v>
      </c>
      <c r="AE8" s="584">
        <f t="shared" si="43"/>
        <v>365520.8</v>
      </c>
      <c r="AF8" s="306">
        <f t="shared" si="21"/>
        <v>0</v>
      </c>
      <c r="AG8" s="209">
        <f t="shared" si="36"/>
        <v>0</v>
      </c>
      <c r="AH8" s="62">
        <f t="shared" si="37"/>
        <v>0</v>
      </c>
      <c r="AI8" s="318">
        <f t="shared" si="22"/>
        <v>95</v>
      </c>
      <c r="AJ8" s="318">
        <f>-tanks!AW9</f>
        <v>95</v>
      </c>
      <c r="AK8" s="318">
        <f t="shared" si="23"/>
        <v>0</v>
      </c>
      <c r="AL8" s="318">
        <f t="shared" si="7"/>
        <v>1</v>
      </c>
      <c r="AM8" s="318">
        <f t="shared" si="24"/>
        <v>0</v>
      </c>
      <c r="AN8" s="584">
        <f t="shared" ref="AN8:AP8" si="44">AN7</f>
        <v>67</v>
      </c>
      <c r="AO8" s="320">
        <f t="shared" si="26"/>
        <v>2010.0000000000002</v>
      </c>
      <c r="AP8" s="584">
        <f t="shared" si="44"/>
        <v>55</v>
      </c>
      <c r="AQ8" s="320">
        <f t="shared" si="27"/>
        <v>1650.0000000000002</v>
      </c>
      <c r="AR8" s="584">
        <f t="shared" ref="AR8" si="45">AR7</f>
        <v>61</v>
      </c>
      <c r="AS8" s="320">
        <f t="shared" si="40"/>
        <v>1830</v>
      </c>
      <c r="AT8" s="320">
        <f t="shared" si="41"/>
        <v>5490</v>
      </c>
      <c r="AU8" s="320">
        <f t="shared" si="42"/>
        <v>0</v>
      </c>
      <c r="AV8" s="269"/>
      <c r="AW8" s="269"/>
      <c r="AX8" s="313">
        <f t="shared" si="29"/>
        <v>0.8</v>
      </c>
    </row>
    <row r="9" spans="1:52" ht="15.75" customHeight="1">
      <c r="A9" s="63">
        <f>ELEC!C7</f>
        <v>44321</v>
      </c>
      <c r="B9" s="584">
        <v>216</v>
      </c>
      <c r="C9" s="584">
        <v>222</v>
      </c>
      <c r="D9" s="45">
        <f t="shared" si="30"/>
        <v>7</v>
      </c>
      <c r="E9" s="45">
        <f t="shared" si="8"/>
        <v>58.660000000000004</v>
      </c>
      <c r="F9" s="584">
        <f t="shared" si="9"/>
        <v>1827</v>
      </c>
      <c r="G9" s="52">
        <f t="shared" si="0"/>
        <v>0</v>
      </c>
      <c r="H9" s="584">
        <f t="shared" si="10"/>
        <v>12328</v>
      </c>
      <c r="I9" s="396">
        <f t="shared" si="1"/>
        <v>0</v>
      </c>
      <c r="J9" s="66">
        <f t="shared" si="11"/>
        <v>0</v>
      </c>
      <c r="K9" s="584">
        <v>2318</v>
      </c>
      <c r="L9" s="52">
        <f t="shared" si="12"/>
        <v>1</v>
      </c>
      <c r="M9" s="584">
        <v>170851</v>
      </c>
      <c r="N9" s="396">
        <f t="shared" si="2"/>
        <v>63</v>
      </c>
      <c r="O9" s="64">
        <f t="shared" si="13"/>
        <v>1869</v>
      </c>
      <c r="P9" s="584">
        <v>2083</v>
      </c>
      <c r="Q9" s="584">
        <v>175237</v>
      </c>
      <c r="R9" s="395">
        <f t="shared" si="3"/>
        <v>101</v>
      </c>
      <c r="S9" s="52">
        <f t="shared" si="4"/>
        <v>1</v>
      </c>
      <c r="T9" s="67">
        <f t="shared" si="33"/>
        <v>0</v>
      </c>
      <c r="U9" s="402">
        <f t="shared" si="14"/>
        <v>2</v>
      </c>
      <c r="V9" s="62">
        <f t="shared" si="15"/>
        <v>164</v>
      </c>
      <c r="W9" s="400">
        <f t="shared" si="16"/>
        <v>82</v>
      </c>
      <c r="X9" s="584">
        <f t="shared" si="17"/>
        <v>2467</v>
      </c>
      <c r="Y9" s="52">
        <f t="shared" si="18"/>
        <v>0</v>
      </c>
      <c r="Z9" s="584">
        <f t="shared" si="19"/>
        <v>138841</v>
      </c>
      <c r="AA9" s="65">
        <f t="shared" si="5"/>
        <v>0</v>
      </c>
      <c r="AB9" s="284">
        <f t="shared" si="34"/>
        <v>0</v>
      </c>
      <c r="AC9" s="584">
        <f t="shared" ref="AC9:AE9" si="46">AC8</f>
        <v>1936</v>
      </c>
      <c r="AD9" s="45">
        <f t="shared" si="6"/>
        <v>0</v>
      </c>
      <c r="AE9" s="584">
        <f t="shared" si="46"/>
        <v>365520.8</v>
      </c>
      <c r="AF9" s="306">
        <f t="shared" si="21"/>
        <v>0</v>
      </c>
      <c r="AG9" s="209">
        <f t="shared" si="36"/>
        <v>0</v>
      </c>
      <c r="AH9" s="62">
        <f t="shared" si="37"/>
        <v>0</v>
      </c>
      <c r="AI9" s="318">
        <f t="shared" si="22"/>
        <v>164</v>
      </c>
      <c r="AJ9" s="318">
        <f>-tanks!AW10</f>
        <v>164</v>
      </c>
      <c r="AK9" s="318">
        <f t="shared" si="23"/>
        <v>0</v>
      </c>
      <c r="AL9" s="318">
        <f t="shared" si="7"/>
        <v>2</v>
      </c>
      <c r="AM9" s="318">
        <f t="shared" si="24"/>
        <v>0</v>
      </c>
      <c r="AN9" s="584">
        <f t="shared" ref="AN9:AP9" si="47">AN8</f>
        <v>67</v>
      </c>
      <c r="AO9" s="320">
        <f t="shared" si="26"/>
        <v>2010.0000000000002</v>
      </c>
      <c r="AP9" s="584">
        <f t="shared" si="47"/>
        <v>55</v>
      </c>
      <c r="AQ9" s="320">
        <f t="shared" si="27"/>
        <v>1650.0000000000002</v>
      </c>
      <c r="AR9" s="584">
        <f t="shared" ref="AR9" si="48">AR8</f>
        <v>61</v>
      </c>
      <c r="AS9" s="320">
        <f>(AR9/100)*3000</f>
        <v>1830</v>
      </c>
      <c r="AT9" s="320">
        <f t="shared" si="41"/>
        <v>5490</v>
      </c>
      <c r="AU9" s="320">
        <f t="shared" si="42"/>
        <v>0</v>
      </c>
      <c r="AV9" s="269"/>
      <c r="AW9" s="269"/>
      <c r="AX9" s="313">
        <f t="shared" si="29"/>
        <v>0.8</v>
      </c>
    </row>
    <row r="10" spans="1:52">
      <c r="A10" s="63">
        <f>ELEC!C8</f>
        <v>44322</v>
      </c>
      <c r="B10" s="584">
        <v>212</v>
      </c>
      <c r="C10" s="584">
        <v>219</v>
      </c>
      <c r="D10" s="45">
        <f t="shared" si="30"/>
        <v>3</v>
      </c>
      <c r="E10" s="45">
        <f t="shared" si="8"/>
        <v>25.14</v>
      </c>
      <c r="F10" s="584">
        <v>1828</v>
      </c>
      <c r="G10" s="52">
        <f t="shared" si="0"/>
        <v>1</v>
      </c>
      <c r="H10" s="584">
        <v>12442</v>
      </c>
      <c r="I10" s="396">
        <f t="shared" si="1"/>
        <v>114</v>
      </c>
      <c r="J10" s="66">
        <f t="shared" si="11"/>
        <v>114</v>
      </c>
      <c r="K10" s="584">
        <f t="shared" si="31"/>
        <v>2318</v>
      </c>
      <c r="L10" s="52">
        <f t="shared" si="12"/>
        <v>0</v>
      </c>
      <c r="M10" s="584">
        <f t="shared" si="32"/>
        <v>170851</v>
      </c>
      <c r="N10" s="396">
        <f t="shared" si="2"/>
        <v>0</v>
      </c>
      <c r="O10" s="64">
        <f t="shared" si="13"/>
        <v>1869</v>
      </c>
      <c r="P10" s="584">
        <v>2084</v>
      </c>
      <c r="Q10" s="584">
        <v>175278</v>
      </c>
      <c r="R10" s="395">
        <f t="shared" si="3"/>
        <v>41</v>
      </c>
      <c r="S10" s="52">
        <f t="shared" si="4"/>
        <v>1</v>
      </c>
      <c r="T10" s="67">
        <f t="shared" si="33"/>
        <v>0</v>
      </c>
      <c r="U10" s="402">
        <f t="shared" si="14"/>
        <v>2</v>
      </c>
      <c r="V10" s="62">
        <f t="shared" si="15"/>
        <v>155</v>
      </c>
      <c r="W10" s="400">
        <f t="shared" si="16"/>
        <v>77.5</v>
      </c>
      <c r="X10" s="584">
        <f t="shared" si="17"/>
        <v>2467</v>
      </c>
      <c r="Y10" s="52">
        <f t="shared" si="18"/>
        <v>0</v>
      </c>
      <c r="Z10" s="584">
        <f t="shared" si="19"/>
        <v>138841</v>
      </c>
      <c r="AA10" s="65">
        <f t="shared" si="5"/>
        <v>0</v>
      </c>
      <c r="AB10" s="284">
        <f t="shared" si="34"/>
        <v>0</v>
      </c>
      <c r="AC10" s="584">
        <f t="shared" ref="AC10:AE10" si="49">AC9</f>
        <v>1936</v>
      </c>
      <c r="AD10" s="45">
        <f t="shared" si="6"/>
        <v>0</v>
      </c>
      <c r="AE10" s="584">
        <f t="shared" si="49"/>
        <v>365520.8</v>
      </c>
      <c r="AF10" s="306">
        <f t="shared" si="21"/>
        <v>0</v>
      </c>
      <c r="AG10" s="209">
        <f t="shared" si="36"/>
        <v>0</v>
      </c>
      <c r="AH10" s="62">
        <f t="shared" si="37"/>
        <v>0</v>
      </c>
      <c r="AI10" s="318">
        <f>SUM(AH10+V10)</f>
        <v>155</v>
      </c>
      <c r="AJ10" s="318">
        <f>-tanks!AW11</f>
        <v>155</v>
      </c>
      <c r="AK10" s="318">
        <f t="shared" si="23"/>
        <v>0</v>
      </c>
      <c r="AL10" s="318">
        <f t="shared" si="7"/>
        <v>2</v>
      </c>
      <c r="AM10" s="318">
        <f t="shared" si="24"/>
        <v>0</v>
      </c>
      <c r="AN10" s="584">
        <f t="shared" ref="AN10:AP10" si="50">AN9</f>
        <v>67</v>
      </c>
      <c r="AO10" s="320">
        <f t="shared" si="26"/>
        <v>2010.0000000000002</v>
      </c>
      <c r="AP10" s="584">
        <f t="shared" si="50"/>
        <v>55</v>
      </c>
      <c r="AQ10" s="320">
        <f t="shared" si="27"/>
        <v>1650.0000000000002</v>
      </c>
      <c r="AR10" s="584">
        <f t="shared" ref="AR10" si="51">AR9</f>
        <v>61</v>
      </c>
      <c r="AS10" s="320">
        <f t="shared" si="40"/>
        <v>1830</v>
      </c>
      <c r="AT10" s="320">
        <f t="shared" si="41"/>
        <v>5490</v>
      </c>
      <c r="AU10" s="320">
        <f t="shared" si="42"/>
        <v>0</v>
      </c>
      <c r="AV10" s="269"/>
      <c r="AW10" s="269"/>
      <c r="AX10" s="313">
        <f t="shared" si="29"/>
        <v>0.8</v>
      </c>
    </row>
    <row r="11" spans="1:52">
      <c r="A11" s="63">
        <f>ELEC!C9</f>
        <v>44323</v>
      </c>
      <c r="B11" s="584">
        <v>205</v>
      </c>
      <c r="C11" s="584">
        <v>212</v>
      </c>
      <c r="D11" s="45">
        <f t="shared" si="30"/>
        <v>7</v>
      </c>
      <c r="E11" s="45">
        <f t="shared" si="8"/>
        <v>58.660000000000004</v>
      </c>
      <c r="F11" s="584">
        <v>1829</v>
      </c>
      <c r="G11" s="52">
        <f t="shared" si="0"/>
        <v>1</v>
      </c>
      <c r="H11" s="584">
        <v>12491</v>
      </c>
      <c r="I11" s="396">
        <f t="shared" si="1"/>
        <v>49</v>
      </c>
      <c r="J11" s="66">
        <f t="shared" si="11"/>
        <v>49</v>
      </c>
      <c r="K11" s="584">
        <v>2319</v>
      </c>
      <c r="L11" s="52">
        <f t="shared" si="12"/>
        <v>1</v>
      </c>
      <c r="M11" s="584">
        <v>170968</v>
      </c>
      <c r="N11" s="396">
        <f t="shared" si="2"/>
        <v>117</v>
      </c>
      <c r="O11" s="64">
        <f t="shared" si="13"/>
        <v>1869</v>
      </c>
      <c r="P11" s="584">
        <f t="shared" si="13"/>
        <v>2084</v>
      </c>
      <c r="Q11" s="584">
        <f t="shared" si="13"/>
        <v>175278</v>
      </c>
      <c r="R11" s="395">
        <f t="shared" ref="R11:R32" si="52">Q11-Q10</f>
        <v>0</v>
      </c>
      <c r="S11" s="52">
        <f t="shared" si="4"/>
        <v>0</v>
      </c>
      <c r="T11" s="67">
        <f t="shared" si="33"/>
        <v>0</v>
      </c>
      <c r="U11" s="402">
        <f t="shared" si="14"/>
        <v>2</v>
      </c>
      <c r="V11" s="62">
        <f t="shared" si="15"/>
        <v>166</v>
      </c>
      <c r="W11" s="400">
        <f t="shared" si="16"/>
        <v>83</v>
      </c>
      <c r="X11" s="584">
        <f t="shared" si="17"/>
        <v>2467</v>
      </c>
      <c r="Y11" s="52">
        <f t="shared" si="18"/>
        <v>0</v>
      </c>
      <c r="Z11" s="584">
        <f t="shared" si="19"/>
        <v>138841</v>
      </c>
      <c r="AA11" s="65">
        <f t="shared" si="5"/>
        <v>0</v>
      </c>
      <c r="AB11" s="284">
        <f t="shared" si="34"/>
        <v>0</v>
      </c>
      <c r="AC11" s="584">
        <f t="shared" ref="AC11:AE11" si="53">AC10</f>
        <v>1936</v>
      </c>
      <c r="AD11" s="45">
        <f t="shared" si="6"/>
        <v>0</v>
      </c>
      <c r="AE11" s="584">
        <f t="shared" si="53"/>
        <v>365520.8</v>
      </c>
      <c r="AF11" s="306">
        <f t="shared" si="21"/>
        <v>0</v>
      </c>
      <c r="AG11" s="209">
        <f t="shared" si="36"/>
        <v>0</v>
      </c>
      <c r="AH11" s="62">
        <f>AF11+AA11</f>
        <v>0</v>
      </c>
      <c r="AI11" s="318">
        <f>SUM(AH11+V11)</f>
        <v>166</v>
      </c>
      <c r="AJ11" s="318">
        <f>-tanks!AW12</f>
        <v>166</v>
      </c>
      <c r="AK11" s="318">
        <f t="shared" si="23"/>
        <v>0</v>
      </c>
      <c r="AL11" s="318">
        <f t="shared" si="7"/>
        <v>2</v>
      </c>
      <c r="AM11" s="318">
        <f t="shared" si="24"/>
        <v>0</v>
      </c>
      <c r="AN11" s="584">
        <f t="shared" ref="AN11:AP11" si="54">AN10</f>
        <v>67</v>
      </c>
      <c r="AO11" s="320">
        <f t="shared" si="26"/>
        <v>2010.0000000000002</v>
      </c>
      <c r="AP11" s="584">
        <f t="shared" si="54"/>
        <v>55</v>
      </c>
      <c r="AQ11" s="320">
        <f t="shared" si="27"/>
        <v>1650.0000000000002</v>
      </c>
      <c r="AR11" s="584">
        <f t="shared" ref="AR11" si="55">AR10</f>
        <v>61</v>
      </c>
      <c r="AS11" s="320">
        <f t="shared" si="40"/>
        <v>1830</v>
      </c>
      <c r="AT11" s="320">
        <f t="shared" si="41"/>
        <v>5490</v>
      </c>
      <c r="AU11" s="320">
        <f t="shared" si="42"/>
        <v>0</v>
      </c>
      <c r="AV11" s="269"/>
      <c r="AW11" s="269"/>
      <c r="AX11" s="313">
        <f t="shared" si="29"/>
        <v>0.8</v>
      </c>
    </row>
    <row r="12" spans="1:52">
      <c r="A12" s="63">
        <f>ELEC!C10</f>
        <v>44324</v>
      </c>
      <c r="B12" s="584">
        <v>198</v>
      </c>
      <c r="C12" s="584">
        <v>205</v>
      </c>
      <c r="D12" s="45">
        <f t="shared" si="30"/>
        <v>7</v>
      </c>
      <c r="E12" s="45">
        <f t="shared" si="8"/>
        <v>58.660000000000004</v>
      </c>
      <c r="F12" s="584">
        <f t="shared" si="9"/>
        <v>1829</v>
      </c>
      <c r="G12" s="52">
        <f t="shared" si="0"/>
        <v>0</v>
      </c>
      <c r="H12" s="584">
        <f t="shared" si="10"/>
        <v>12491</v>
      </c>
      <c r="I12" s="396">
        <f t="shared" si="1"/>
        <v>0</v>
      </c>
      <c r="J12" s="66">
        <f t="shared" si="11"/>
        <v>0</v>
      </c>
      <c r="K12" s="584">
        <v>2320</v>
      </c>
      <c r="L12" s="52">
        <f t="shared" si="12"/>
        <v>1</v>
      </c>
      <c r="M12" s="584">
        <v>171004</v>
      </c>
      <c r="N12" s="396">
        <f t="shared" si="2"/>
        <v>36</v>
      </c>
      <c r="O12" s="64">
        <f t="shared" si="13"/>
        <v>1869</v>
      </c>
      <c r="P12" s="584">
        <v>2085</v>
      </c>
      <c r="Q12" s="584">
        <v>175398</v>
      </c>
      <c r="R12" s="395">
        <f t="shared" si="52"/>
        <v>120</v>
      </c>
      <c r="S12" s="52">
        <f t="shared" si="4"/>
        <v>1</v>
      </c>
      <c r="T12" s="67">
        <f t="shared" si="33"/>
        <v>0</v>
      </c>
      <c r="U12" s="402">
        <f t="shared" si="14"/>
        <v>2</v>
      </c>
      <c r="V12" s="62">
        <f t="shared" si="15"/>
        <v>156</v>
      </c>
      <c r="W12" s="400">
        <f t="shared" si="16"/>
        <v>78</v>
      </c>
      <c r="X12" s="584">
        <f t="shared" si="17"/>
        <v>2467</v>
      </c>
      <c r="Y12" s="52">
        <f t="shared" si="18"/>
        <v>0</v>
      </c>
      <c r="Z12" s="584">
        <f t="shared" si="19"/>
        <v>138841</v>
      </c>
      <c r="AA12" s="65">
        <f t="shared" si="5"/>
        <v>0</v>
      </c>
      <c r="AB12" s="284">
        <f t="shared" si="34"/>
        <v>0</v>
      </c>
      <c r="AC12" s="584">
        <f t="shared" ref="AC12:AE12" si="56">AC11</f>
        <v>1936</v>
      </c>
      <c r="AD12" s="45">
        <f t="shared" si="6"/>
        <v>0</v>
      </c>
      <c r="AE12" s="584">
        <f t="shared" si="56"/>
        <v>365520.8</v>
      </c>
      <c r="AF12" s="306">
        <f t="shared" si="21"/>
        <v>0</v>
      </c>
      <c r="AG12" s="209">
        <f t="shared" si="36"/>
        <v>0</v>
      </c>
      <c r="AH12" s="62">
        <f t="shared" si="37"/>
        <v>0</v>
      </c>
      <c r="AI12" s="318">
        <f t="shared" si="22"/>
        <v>156</v>
      </c>
      <c r="AJ12" s="318">
        <f>-tanks!AW13</f>
        <v>156</v>
      </c>
      <c r="AK12" s="318">
        <f t="shared" si="23"/>
        <v>0</v>
      </c>
      <c r="AL12" s="318">
        <f t="shared" si="7"/>
        <v>2</v>
      </c>
      <c r="AM12" s="318">
        <f t="shared" si="24"/>
        <v>0</v>
      </c>
      <c r="AN12" s="584">
        <f t="shared" ref="AN12:AP12" si="57">AN11</f>
        <v>67</v>
      </c>
      <c r="AO12" s="320">
        <f t="shared" si="26"/>
        <v>2010.0000000000002</v>
      </c>
      <c r="AP12" s="584">
        <f t="shared" si="57"/>
        <v>55</v>
      </c>
      <c r="AQ12" s="320">
        <f t="shared" si="27"/>
        <v>1650.0000000000002</v>
      </c>
      <c r="AR12" s="584">
        <f t="shared" ref="AR12" si="58">AR11</f>
        <v>61</v>
      </c>
      <c r="AS12" s="320">
        <f t="shared" si="40"/>
        <v>1830</v>
      </c>
      <c r="AT12" s="320">
        <f t="shared" si="41"/>
        <v>5490</v>
      </c>
      <c r="AU12" s="320">
        <f t="shared" si="42"/>
        <v>0</v>
      </c>
      <c r="AV12" s="269"/>
      <c r="AW12" s="269"/>
      <c r="AX12" s="313">
        <f t="shared" si="29"/>
        <v>0.8</v>
      </c>
    </row>
    <row r="13" spans="1:52">
      <c r="A13" s="63">
        <f>ELEC!C11</f>
        <v>44325</v>
      </c>
      <c r="B13" s="584">
        <v>192</v>
      </c>
      <c r="C13" s="584">
        <v>198</v>
      </c>
      <c r="D13" s="45">
        <f t="shared" si="30"/>
        <v>7</v>
      </c>
      <c r="E13" s="45">
        <f t="shared" si="8"/>
        <v>58.660000000000004</v>
      </c>
      <c r="F13" s="584">
        <v>1830</v>
      </c>
      <c r="G13" s="52">
        <f t="shared" si="0"/>
        <v>1</v>
      </c>
      <c r="H13" s="584">
        <v>12563</v>
      </c>
      <c r="I13" s="396">
        <f t="shared" si="1"/>
        <v>72</v>
      </c>
      <c r="J13" s="66">
        <f t="shared" si="11"/>
        <v>72</v>
      </c>
      <c r="K13" s="584">
        <f t="shared" si="31"/>
        <v>2320</v>
      </c>
      <c r="L13" s="52">
        <f t="shared" si="12"/>
        <v>0</v>
      </c>
      <c r="M13" s="584">
        <f t="shared" si="32"/>
        <v>171004</v>
      </c>
      <c r="N13" s="396">
        <f t="shared" si="2"/>
        <v>0</v>
      </c>
      <c r="O13" s="64">
        <f t="shared" si="13"/>
        <v>1869</v>
      </c>
      <c r="P13" s="584">
        <v>2086</v>
      </c>
      <c r="Q13" s="584">
        <v>175438</v>
      </c>
      <c r="R13" s="395">
        <f t="shared" si="52"/>
        <v>40</v>
      </c>
      <c r="S13" s="52">
        <f t="shared" si="4"/>
        <v>1</v>
      </c>
      <c r="T13" s="67">
        <f t="shared" si="33"/>
        <v>0</v>
      </c>
      <c r="U13" s="402">
        <f t="shared" si="14"/>
        <v>2</v>
      </c>
      <c r="V13" s="62">
        <f>R13+N13+I13:I13</f>
        <v>112</v>
      </c>
      <c r="W13" s="400">
        <f t="shared" si="16"/>
        <v>56</v>
      </c>
      <c r="X13" s="584">
        <f t="shared" si="17"/>
        <v>2467</v>
      </c>
      <c r="Y13" s="52">
        <f t="shared" si="18"/>
        <v>0</v>
      </c>
      <c r="Z13" s="584">
        <f t="shared" si="19"/>
        <v>138841</v>
      </c>
      <c r="AA13" s="284">
        <f t="shared" si="5"/>
        <v>0</v>
      </c>
      <c r="AB13" s="284">
        <f t="shared" si="34"/>
        <v>0</v>
      </c>
      <c r="AC13" s="584">
        <f t="shared" ref="AC13:AE13" si="59">AC12</f>
        <v>1936</v>
      </c>
      <c r="AD13" s="45">
        <f t="shared" si="6"/>
        <v>0</v>
      </c>
      <c r="AE13" s="584">
        <f t="shared" si="59"/>
        <v>365520.8</v>
      </c>
      <c r="AF13" s="306">
        <f t="shared" si="21"/>
        <v>0</v>
      </c>
      <c r="AG13" s="209">
        <f t="shared" si="36"/>
        <v>0</v>
      </c>
      <c r="AH13" s="62">
        <f t="shared" si="37"/>
        <v>0</v>
      </c>
      <c r="AI13" s="318">
        <f t="shared" si="22"/>
        <v>112</v>
      </c>
      <c r="AJ13" s="318">
        <f>-tanks!AW14</f>
        <v>112</v>
      </c>
      <c r="AK13" s="318">
        <f t="shared" si="23"/>
        <v>0</v>
      </c>
      <c r="AL13" s="318">
        <f t="shared" si="7"/>
        <v>2</v>
      </c>
      <c r="AM13" s="318">
        <f t="shared" si="24"/>
        <v>0</v>
      </c>
      <c r="AN13" s="584">
        <f t="shared" ref="AN13:AP13" si="60">AN12</f>
        <v>67</v>
      </c>
      <c r="AO13" s="320">
        <f t="shared" si="26"/>
        <v>2010.0000000000002</v>
      </c>
      <c r="AP13" s="584">
        <f t="shared" si="60"/>
        <v>55</v>
      </c>
      <c r="AQ13" s="320">
        <f t="shared" si="27"/>
        <v>1650.0000000000002</v>
      </c>
      <c r="AR13" s="584">
        <f t="shared" ref="AR13" si="61">AR12</f>
        <v>61</v>
      </c>
      <c r="AS13" s="320">
        <f t="shared" si="40"/>
        <v>1830</v>
      </c>
      <c r="AT13" s="320">
        <f t="shared" si="41"/>
        <v>5490</v>
      </c>
      <c r="AU13" s="320">
        <f t="shared" si="42"/>
        <v>0</v>
      </c>
      <c r="AV13" s="269"/>
      <c r="AW13" s="269"/>
      <c r="AX13" s="313">
        <f t="shared" si="29"/>
        <v>0.8</v>
      </c>
    </row>
    <row r="14" spans="1:52">
      <c r="A14" s="63">
        <f>ELEC!C12</f>
        <v>44326</v>
      </c>
      <c r="B14" s="584">
        <v>184</v>
      </c>
      <c r="C14" s="584">
        <v>192</v>
      </c>
      <c r="D14" s="45">
        <f t="shared" si="30"/>
        <v>6</v>
      </c>
      <c r="E14" s="45">
        <f t="shared" si="8"/>
        <v>50.28</v>
      </c>
      <c r="F14" s="584">
        <f t="shared" si="9"/>
        <v>1830</v>
      </c>
      <c r="G14" s="52">
        <f t="shared" si="0"/>
        <v>0</v>
      </c>
      <c r="H14" s="584">
        <f t="shared" si="10"/>
        <v>12563</v>
      </c>
      <c r="I14" s="396">
        <f t="shared" si="1"/>
        <v>0</v>
      </c>
      <c r="J14" s="66">
        <f t="shared" si="11"/>
        <v>0</v>
      </c>
      <c r="K14" s="584">
        <v>2321</v>
      </c>
      <c r="L14" s="52">
        <f t="shared" si="12"/>
        <v>1</v>
      </c>
      <c r="M14" s="584">
        <v>171086</v>
      </c>
      <c r="N14" s="396">
        <f t="shared" si="2"/>
        <v>82</v>
      </c>
      <c r="O14" s="64">
        <f t="shared" si="13"/>
        <v>1869</v>
      </c>
      <c r="P14" s="584">
        <f t="shared" si="13"/>
        <v>2086</v>
      </c>
      <c r="Q14" s="584">
        <f t="shared" si="13"/>
        <v>175438</v>
      </c>
      <c r="R14" s="395">
        <f t="shared" si="52"/>
        <v>0</v>
      </c>
      <c r="S14" s="52">
        <f t="shared" si="4"/>
        <v>0</v>
      </c>
      <c r="T14" s="67">
        <f t="shared" si="33"/>
        <v>0</v>
      </c>
      <c r="U14" s="402">
        <f t="shared" si="14"/>
        <v>1</v>
      </c>
      <c r="V14" s="62">
        <f t="shared" si="15"/>
        <v>82</v>
      </c>
      <c r="W14" s="400">
        <f t="shared" si="16"/>
        <v>82</v>
      </c>
      <c r="X14" s="584">
        <f t="shared" si="17"/>
        <v>2467</v>
      </c>
      <c r="Y14" s="52">
        <f t="shared" si="18"/>
        <v>0</v>
      </c>
      <c r="Z14" s="584">
        <f t="shared" si="19"/>
        <v>138841</v>
      </c>
      <c r="AA14" s="65">
        <f t="shared" si="5"/>
        <v>0</v>
      </c>
      <c r="AB14" s="284">
        <f t="shared" si="34"/>
        <v>0</v>
      </c>
      <c r="AC14" s="584">
        <f t="shared" ref="AC14:AE14" si="62">AC13</f>
        <v>1936</v>
      </c>
      <c r="AD14" s="45">
        <f t="shared" si="6"/>
        <v>0</v>
      </c>
      <c r="AE14" s="584">
        <f t="shared" si="62"/>
        <v>365520.8</v>
      </c>
      <c r="AF14" s="306">
        <f>AE14-AE13</f>
        <v>0</v>
      </c>
      <c r="AG14" s="209">
        <f t="shared" si="36"/>
        <v>0</v>
      </c>
      <c r="AH14" s="62">
        <f>AF14+AA14</f>
        <v>0</v>
      </c>
      <c r="AI14" s="318">
        <f>SUM(AH14+V14)</f>
        <v>82</v>
      </c>
      <c r="AJ14" s="318">
        <f>-tanks!AW15</f>
        <v>82</v>
      </c>
      <c r="AK14" s="318">
        <f t="shared" si="23"/>
        <v>0</v>
      </c>
      <c r="AL14" s="318">
        <f t="shared" si="7"/>
        <v>1</v>
      </c>
      <c r="AM14" s="318">
        <f t="shared" si="24"/>
        <v>0</v>
      </c>
      <c r="AN14" s="584">
        <f t="shared" ref="AN14:AP14" si="63">AN13</f>
        <v>67</v>
      </c>
      <c r="AO14" s="320">
        <f t="shared" si="26"/>
        <v>2010.0000000000002</v>
      </c>
      <c r="AP14" s="584">
        <f t="shared" si="63"/>
        <v>55</v>
      </c>
      <c r="AQ14" s="320">
        <f t="shared" si="27"/>
        <v>1650.0000000000002</v>
      </c>
      <c r="AR14" s="584">
        <f t="shared" ref="AR14" si="64">AR13</f>
        <v>61</v>
      </c>
      <c r="AS14" s="320">
        <f t="shared" si="40"/>
        <v>1830</v>
      </c>
      <c r="AT14" s="320">
        <f t="shared" si="41"/>
        <v>5490</v>
      </c>
      <c r="AU14" s="320">
        <f t="shared" si="42"/>
        <v>0</v>
      </c>
      <c r="AV14" s="269"/>
      <c r="AW14" s="269"/>
      <c r="AX14" s="313">
        <f t="shared" si="29"/>
        <v>0.8</v>
      </c>
    </row>
    <row r="15" spans="1:52" ht="15" customHeight="1">
      <c r="A15" s="63">
        <f>ELEC!C13</f>
        <v>44327</v>
      </c>
      <c r="B15" s="584">
        <v>234</v>
      </c>
      <c r="C15" s="584">
        <v>241</v>
      </c>
      <c r="D15" s="45">
        <f t="shared" si="30"/>
        <v>-49</v>
      </c>
      <c r="E15" s="45">
        <f t="shared" si="8"/>
        <v>-410.62000000000006</v>
      </c>
      <c r="F15" s="584">
        <v>1831</v>
      </c>
      <c r="G15" s="52">
        <f t="shared" si="0"/>
        <v>1</v>
      </c>
      <c r="H15" s="584">
        <v>12644</v>
      </c>
      <c r="I15" s="396">
        <f t="shared" si="1"/>
        <v>81</v>
      </c>
      <c r="J15" s="66">
        <f t="shared" si="11"/>
        <v>81</v>
      </c>
      <c r="K15" s="584">
        <f t="shared" si="31"/>
        <v>2321</v>
      </c>
      <c r="L15" s="52">
        <f t="shared" si="12"/>
        <v>0</v>
      </c>
      <c r="M15" s="584">
        <f t="shared" si="32"/>
        <v>171086</v>
      </c>
      <c r="N15" s="396">
        <f t="shared" si="2"/>
        <v>0</v>
      </c>
      <c r="O15" s="64">
        <f t="shared" si="13"/>
        <v>1869</v>
      </c>
      <c r="P15" s="584">
        <f t="shared" si="13"/>
        <v>2086</v>
      </c>
      <c r="Q15" s="584">
        <f t="shared" si="13"/>
        <v>175438</v>
      </c>
      <c r="R15" s="395">
        <f t="shared" si="52"/>
        <v>0</v>
      </c>
      <c r="S15" s="52">
        <f t="shared" si="4"/>
        <v>0</v>
      </c>
      <c r="T15" s="67">
        <f t="shared" si="33"/>
        <v>0</v>
      </c>
      <c r="U15" s="402">
        <f t="shared" si="14"/>
        <v>1</v>
      </c>
      <c r="V15" s="62">
        <f t="shared" si="15"/>
        <v>81</v>
      </c>
      <c r="W15" s="400">
        <f t="shared" si="16"/>
        <v>81</v>
      </c>
      <c r="X15" s="584">
        <f t="shared" si="17"/>
        <v>2467</v>
      </c>
      <c r="Y15" s="52">
        <f t="shared" si="18"/>
        <v>0</v>
      </c>
      <c r="Z15" s="584">
        <v>138897</v>
      </c>
      <c r="AA15" s="65">
        <f t="shared" si="5"/>
        <v>56</v>
      </c>
      <c r="AB15" s="284">
        <f t="shared" si="34"/>
        <v>0</v>
      </c>
      <c r="AC15" s="584">
        <f t="shared" ref="AC15:AE15" si="65">AC14</f>
        <v>1936</v>
      </c>
      <c r="AD15" s="45">
        <f t="shared" si="6"/>
        <v>0</v>
      </c>
      <c r="AE15" s="584">
        <f t="shared" si="65"/>
        <v>365520.8</v>
      </c>
      <c r="AF15" s="306">
        <f t="shared" si="21"/>
        <v>0</v>
      </c>
      <c r="AG15" s="209">
        <f t="shared" si="36"/>
        <v>0</v>
      </c>
      <c r="AH15" s="62">
        <f t="shared" si="37"/>
        <v>56</v>
      </c>
      <c r="AI15" s="318">
        <f t="shared" si="22"/>
        <v>137</v>
      </c>
      <c r="AJ15" s="318">
        <f>-tanks!AW16</f>
        <v>137</v>
      </c>
      <c r="AK15" s="318">
        <f t="shared" si="23"/>
        <v>0</v>
      </c>
      <c r="AL15" s="318">
        <f t="shared" si="7"/>
        <v>1</v>
      </c>
      <c r="AM15" s="318">
        <f t="shared" si="24"/>
        <v>0</v>
      </c>
      <c r="AN15" s="584">
        <f t="shared" ref="AN15:AP15" si="66">AN14</f>
        <v>67</v>
      </c>
      <c r="AO15" s="320">
        <f t="shared" si="26"/>
        <v>2010.0000000000002</v>
      </c>
      <c r="AP15" s="584">
        <f t="shared" si="66"/>
        <v>55</v>
      </c>
      <c r="AQ15" s="320">
        <f t="shared" si="27"/>
        <v>1650.0000000000002</v>
      </c>
      <c r="AR15" s="584">
        <f t="shared" ref="AR15" si="67">AR14</f>
        <v>61</v>
      </c>
      <c r="AS15" s="320">
        <f t="shared" si="40"/>
        <v>1830</v>
      </c>
      <c r="AT15" s="320">
        <f t="shared" si="41"/>
        <v>5490</v>
      </c>
      <c r="AU15" s="320">
        <f t="shared" si="42"/>
        <v>0</v>
      </c>
      <c r="AV15" s="269"/>
      <c r="AW15" s="269"/>
      <c r="AX15" s="313">
        <f t="shared" si="29"/>
        <v>0.8</v>
      </c>
    </row>
    <row r="16" spans="1:52">
      <c r="A16" s="63">
        <f>ELEC!C14</f>
        <v>44328</v>
      </c>
      <c r="B16" s="584">
        <v>225</v>
      </c>
      <c r="C16" s="584">
        <v>232</v>
      </c>
      <c r="D16" s="45">
        <f t="shared" si="30"/>
        <v>9</v>
      </c>
      <c r="E16" s="45">
        <f t="shared" si="8"/>
        <v>75.42</v>
      </c>
      <c r="F16" s="584">
        <v>1832</v>
      </c>
      <c r="G16" s="52">
        <f t="shared" si="0"/>
        <v>1</v>
      </c>
      <c r="H16" s="584">
        <v>12721</v>
      </c>
      <c r="I16" s="396">
        <f t="shared" si="1"/>
        <v>77</v>
      </c>
      <c r="J16" s="66">
        <f t="shared" si="11"/>
        <v>77</v>
      </c>
      <c r="K16" s="584">
        <f t="shared" si="31"/>
        <v>2321</v>
      </c>
      <c r="L16" s="52">
        <f t="shared" si="12"/>
        <v>0</v>
      </c>
      <c r="M16" s="584">
        <f t="shared" si="32"/>
        <v>171086</v>
      </c>
      <c r="N16" s="396">
        <f t="shared" si="2"/>
        <v>0</v>
      </c>
      <c r="O16" s="64">
        <f t="shared" si="13"/>
        <v>1869</v>
      </c>
      <c r="P16" s="584">
        <v>2087</v>
      </c>
      <c r="Q16" s="584">
        <v>175515</v>
      </c>
      <c r="R16" s="395">
        <f t="shared" si="52"/>
        <v>77</v>
      </c>
      <c r="S16" s="52">
        <f t="shared" si="4"/>
        <v>1</v>
      </c>
      <c r="T16" s="67">
        <f t="shared" si="33"/>
        <v>0</v>
      </c>
      <c r="U16" s="402">
        <f t="shared" si="14"/>
        <v>2</v>
      </c>
      <c r="V16" s="62">
        <f t="shared" si="15"/>
        <v>154</v>
      </c>
      <c r="W16" s="400">
        <f t="shared" si="16"/>
        <v>77</v>
      </c>
      <c r="X16" s="584">
        <f t="shared" si="17"/>
        <v>2467</v>
      </c>
      <c r="Y16" s="52">
        <f t="shared" si="18"/>
        <v>0</v>
      </c>
      <c r="Z16" s="584">
        <f t="shared" si="19"/>
        <v>138897</v>
      </c>
      <c r="AA16" s="65">
        <f t="shared" si="5"/>
        <v>0</v>
      </c>
      <c r="AB16" s="284">
        <f t="shared" si="34"/>
        <v>0</v>
      </c>
      <c r="AC16" s="584">
        <f t="shared" ref="AC16:AE16" si="68">AC15</f>
        <v>1936</v>
      </c>
      <c r="AD16" s="45">
        <f t="shared" si="6"/>
        <v>0</v>
      </c>
      <c r="AE16" s="584">
        <f t="shared" si="68"/>
        <v>365520.8</v>
      </c>
      <c r="AF16" s="306">
        <f t="shared" si="21"/>
        <v>0</v>
      </c>
      <c r="AG16" s="209">
        <f t="shared" si="36"/>
        <v>0</v>
      </c>
      <c r="AH16" s="62">
        <f t="shared" si="37"/>
        <v>0</v>
      </c>
      <c r="AI16" s="318">
        <f t="shared" si="22"/>
        <v>154</v>
      </c>
      <c r="AJ16" s="318">
        <f>-tanks!AW17</f>
        <v>154</v>
      </c>
      <c r="AK16" s="318">
        <f t="shared" si="23"/>
        <v>0</v>
      </c>
      <c r="AL16" s="318">
        <f t="shared" si="7"/>
        <v>2</v>
      </c>
      <c r="AM16" s="318">
        <f t="shared" si="24"/>
        <v>0</v>
      </c>
      <c r="AN16" s="584">
        <f t="shared" ref="AN16:AP16" si="69">AN15</f>
        <v>67</v>
      </c>
      <c r="AO16" s="320">
        <f t="shared" si="26"/>
        <v>2010.0000000000002</v>
      </c>
      <c r="AP16" s="584">
        <f t="shared" si="69"/>
        <v>55</v>
      </c>
      <c r="AQ16" s="320">
        <f t="shared" si="27"/>
        <v>1650.0000000000002</v>
      </c>
      <c r="AR16" s="584">
        <f t="shared" ref="AR16" si="70">AR15</f>
        <v>61</v>
      </c>
      <c r="AS16" s="320">
        <f t="shared" si="40"/>
        <v>1830</v>
      </c>
      <c r="AT16" s="320">
        <f t="shared" si="41"/>
        <v>5490</v>
      </c>
      <c r="AU16" s="320">
        <f t="shared" si="42"/>
        <v>0</v>
      </c>
      <c r="AV16" s="269"/>
      <c r="AW16" s="269"/>
      <c r="AX16" s="313">
        <f t="shared" si="29"/>
        <v>0.8</v>
      </c>
    </row>
    <row r="17" spans="1:50">
      <c r="A17" s="63">
        <f>ELEC!C15</f>
        <v>44329</v>
      </c>
      <c r="B17" s="584">
        <v>218</v>
      </c>
      <c r="C17" s="584">
        <v>224</v>
      </c>
      <c r="D17" s="45">
        <f t="shared" si="30"/>
        <v>8</v>
      </c>
      <c r="E17" s="45">
        <f t="shared" si="8"/>
        <v>67.040000000000006</v>
      </c>
      <c r="F17" s="584">
        <f t="shared" si="9"/>
        <v>1832</v>
      </c>
      <c r="G17" s="52">
        <f t="shared" si="0"/>
        <v>0</v>
      </c>
      <c r="H17" s="584">
        <f t="shared" si="10"/>
        <v>12721</v>
      </c>
      <c r="I17" s="396">
        <f t="shared" si="1"/>
        <v>0</v>
      </c>
      <c r="J17" s="66">
        <f t="shared" si="11"/>
        <v>0</v>
      </c>
      <c r="K17" s="584">
        <v>2322</v>
      </c>
      <c r="L17" s="52">
        <f t="shared" si="12"/>
        <v>1</v>
      </c>
      <c r="M17" s="584">
        <v>171201</v>
      </c>
      <c r="N17" s="396">
        <f t="shared" si="2"/>
        <v>115</v>
      </c>
      <c r="O17" s="64">
        <f t="shared" si="13"/>
        <v>1869</v>
      </c>
      <c r="P17" s="584">
        <f t="shared" si="13"/>
        <v>2087</v>
      </c>
      <c r="Q17" s="584">
        <f t="shared" si="13"/>
        <v>175515</v>
      </c>
      <c r="R17" s="395">
        <f t="shared" si="52"/>
        <v>0</v>
      </c>
      <c r="S17" s="52">
        <f t="shared" si="4"/>
        <v>0</v>
      </c>
      <c r="T17" s="67">
        <f t="shared" si="33"/>
        <v>0</v>
      </c>
      <c r="U17" s="402">
        <f t="shared" si="14"/>
        <v>1</v>
      </c>
      <c r="V17" s="62">
        <f t="shared" si="15"/>
        <v>115</v>
      </c>
      <c r="W17" s="400"/>
      <c r="X17" s="584">
        <f t="shared" si="17"/>
        <v>2467</v>
      </c>
      <c r="Y17" s="52">
        <f t="shared" si="18"/>
        <v>0</v>
      </c>
      <c r="Z17" s="584">
        <f t="shared" si="19"/>
        <v>138897</v>
      </c>
      <c r="AA17" s="65">
        <f t="shared" si="5"/>
        <v>0</v>
      </c>
      <c r="AB17" s="284">
        <f t="shared" si="34"/>
        <v>0</v>
      </c>
      <c r="AC17" s="584">
        <f t="shared" ref="AC17:AE17" si="71">AC16</f>
        <v>1936</v>
      </c>
      <c r="AD17" s="45">
        <f t="shared" si="6"/>
        <v>0</v>
      </c>
      <c r="AE17" s="584">
        <f t="shared" si="71"/>
        <v>365520.8</v>
      </c>
      <c r="AF17" s="306">
        <f t="shared" si="21"/>
        <v>0</v>
      </c>
      <c r="AG17" s="209">
        <f t="shared" si="36"/>
        <v>0</v>
      </c>
      <c r="AH17" s="62">
        <f t="shared" si="37"/>
        <v>0</v>
      </c>
      <c r="AI17" s="318">
        <f t="shared" si="22"/>
        <v>115</v>
      </c>
      <c r="AJ17" s="318">
        <f>-tanks!AW18</f>
        <v>115</v>
      </c>
      <c r="AK17" s="318">
        <f t="shared" si="23"/>
        <v>0</v>
      </c>
      <c r="AL17" s="318">
        <f t="shared" si="7"/>
        <v>1</v>
      </c>
      <c r="AM17" s="318">
        <f t="shared" si="24"/>
        <v>0</v>
      </c>
      <c r="AN17" s="584">
        <f t="shared" ref="AN17:AP17" si="72">AN16</f>
        <v>67</v>
      </c>
      <c r="AO17" s="320">
        <f t="shared" si="26"/>
        <v>2010.0000000000002</v>
      </c>
      <c r="AP17" s="584">
        <f t="shared" si="72"/>
        <v>55</v>
      </c>
      <c r="AQ17" s="320">
        <f t="shared" si="27"/>
        <v>1650.0000000000002</v>
      </c>
      <c r="AR17" s="584">
        <f t="shared" ref="AR17" si="73">AR16</f>
        <v>61</v>
      </c>
      <c r="AS17" s="320">
        <f t="shared" si="40"/>
        <v>1830</v>
      </c>
      <c r="AT17" s="320">
        <f t="shared" si="41"/>
        <v>5490</v>
      </c>
      <c r="AU17" s="320">
        <f t="shared" si="42"/>
        <v>0</v>
      </c>
      <c r="AV17" s="269"/>
      <c r="AW17" s="269"/>
      <c r="AX17" s="313">
        <f t="shared" si="29"/>
        <v>0.8</v>
      </c>
    </row>
    <row r="18" spans="1:50">
      <c r="A18" s="63">
        <f>ELEC!C16</f>
        <v>44330</v>
      </c>
      <c r="B18" s="584">
        <v>212</v>
      </c>
      <c r="C18" s="584">
        <v>218</v>
      </c>
      <c r="D18" s="45">
        <f t="shared" si="30"/>
        <v>6</v>
      </c>
      <c r="E18" s="45">
        <f t="shared" si="8"/>
        <v>50.28</v>
      </c>
      <c r="F18" s="584">
        <f t="shared" si="9"/>
        <v>1832</v>
      </c>
      <c r="G18" s="52">
        <f t="shared" si="0"/>
        <v>0</v>
      </c>
      <c r="H18" s="584">
        <f t="shared" si="10"/>
        <v>12721</v>
      </c>
      <c r="I18" s="396">
        <f t="shared" si="1"/>
        <v>0</v>
      </c>
      <c r="J18" s="66">
        <f t="shared" si="11"/>
        <v>0</v>
      </c>
      <c r="K18" s="584">
        <f t="shared" si="31"/>
        <v>2322</v>
      </c>
      <c r="L18" s="52">
        <f t="shared" si="12"/>
        <v>0</v>
      </c>
      <c r="M18" s="584">
        <f t="shared" si="32"/>
        <v>171201</v>
      </c>
      <c r="N18" s="396">
        <f t="shared" si="2"/>
        <v>0</v>
      </c>
      <c r="O18" s="64">
        <v>1869</v>
      </c>
      <c r="P18" s="584">
        <v>2088</v>
      </c>
      <c r="Q18" s="584">
        <v>175604</v>
      </c>
      <c r="R18" s="395">
        <f t="shared" si="52"/>
        <v>89</v>
      </c>
      <c r="S18" s="52">
        <f t="shared" si="4"/>
        <v>1</v>
      </c>
      <c r="T18" s="67">
        <f t="shared" si="33"/>
        <v>0</v>
      </c>
      <c r="U18" s="402">
        <f t="shared" si="14"/>
        <v>1</v>
      </c>
      <c r="V18" s="62">
        <f t="shared" si="15"/>
        <v>89</v>
      </c>
      <c r="W18" s="400"/>
      <c r="X18" s="584">
        <f t="shared" si="17"/>
        <v>2467</v>
      </c>
      <c r="Y18" s="52">
        <f t="shared" si="18"/>
        <v>0</v>
      </c>
      <c r="Z18" s="584">
        <f t="shared" si="19"/>
        <v>138897</v>
      </c>
      <c r="AA18" s="65">
        <f t="shared" si="5"/>
        <v>0</v>
      </c>
      <c r="AB18" s="284">
        <f t="shared" ref="AB18:AB23" si="74">SUM(Y18*$AB$2)</f>
        <v>0</v>
      </c>
      <c r="AC18" s="584">
        <f t="shared" ref="AC18:AE18" si="75">AC17</f>
        <v>1936</v>
      </c>
      <c r="AD18" s="45">
        <f t="shared" si="6"/>
        <v>0</v>
      </c>
      <c r="AE18" s="584">
        <f t="shared" si="75"/>
        <v>365520.8</v>
      </c>
      <c r="AF18" s="306">
        <f t="shared" si="21"/>
        <v>0</v>
      </c>
      <c r="AG18" s="209">
        <f t="shared" si="36"/>
        <v>0</v>
      </c>
      <c r="AH18" s="62">
        <f t="shared" si="37"/>
        <v>0</v>
      </c>
      <c r="AI18" s="318">
        <f t="shared" si="22"/>
        <v>89</v>
      </c>
      <c r="AJ18" s="318">
        <f>-tanks!AW19</f>
        <v>89</v>
      </c>
      <c r="AK18" s="318">
        <f t="shared" si="23"/>
        <v>0</v>
      </c>
      <c r="AL18" s="318">
        <f t="shared" si="7"/>
        <v>1</v>
      </c>
      <c r="AM18" s="318">
        <f t="shared" si="24"/>
        <v>0</v>
      </c>
      <c r="AN18" s="584">
        <f t="shared" ref="AN18:AP18" si="76">AN17</f>
        <v>67</v>
      </c>
      <c r="AO18" s="320">
        <f t="shared" si="26"/>
        <v>2010.0000000000002</v>
      </c>
      <c r="AP18" s="584">
        <f t="shared" si="76"/>
        <v>55</v>
      </c>
      <c r="AQ18" s="320">
        <f t="shared" si="27"/>
        <v>1650.0000000000002</v>
      </c>
      <c r="AR18" s="584">
        <f t="shared" ref="AR18" si="77">AR17</f>
        <v>61</v>
      </c>
      <c r="AS18" s="320">
        <f t="shared" si="40"/>
        <v>1830</v>
      </c>
      <c r="AT18" s="320">
        <f t="shared" si="41"/>
        <v>5490</v>
      </c>
      <c r="AU18" s="320">
        <f t="shared" si="42"/>
        <v>0</v>
      </c>
      <c r="AV18" s="269"/>
      <c r="AW18" s="269"/>
      <c r="AX18" s="313">
        <f t="shared" si="29"/>
        <v>0.8</v>
      </c>
    </row>
    <row r="19" spans="1:50">
      <c r="A19" s="63">
        <f>ELEC!C17</f>
        <v>44331</v>
      </c>
      <c r="B19" s="584">
        <v>206</v>
      </c>
      <c r="C19" s="584">
        <v>213</v>
      </c>
      <c r="D19" s="45">
        <f t="shared" si="30"/>
        <v>5</v>
      </c>
      <c r="E19" s="45">
        <f t="shared" si="8"/>
        <v>41.900000000000006</v>
      </c>
      <c r="F19" s="584">
        <v>1833</v>
      </c>
      <c r="G19" s="52">
        <f t="shared" si="0"/>
        <v>1</v>
      </c>
      <c r="H19" s="584">
        <v>12810</v>
      </c>
      <c r="I19" s="396">
        <f t="shared" si="1"/>
        <v>89</v>
      </c>
      <c r="J19" s="66">
        <f t="shared" si="11"/>
        <v>89</v>
      </c>
      <c r="K19" s="584">
        <f t="shared" si="31"/>
        <v>2322</v>
      </c>
      <c r="L19" s="52">
        <f t="shared" si="12"/>
        <v>0</v>
      </c>
      <c r="M19" s="584">
        <f t="shared" si="32"/>
        <v>171201</v>
      </c>
      <c r="N19" s="396">
        <f t="shared" si="2"/>
        <v>0</v>
      </c>
      <c r="O19" s="64">
        <f t="shared" si="13"/>
        <v>1869</v>
      </c>
      <c r="P19" s="584">
        <v>2089</v>
      </c>
      <c r="Q19" s="584">
        <v>175654</v>
      </c>
      <c r="R19" s="395">
        <f t="shared" si="52"/>
        <v>50</v>
      </c>
      <c r="S19" s="52">
        <f t="shared" si="4"/>
        <v>1</v>
      </c>
      <c r="T19" s="67">
        <f t="shared" si="33"/>
        <v>0</v>
      </c>
      <c r="U19" s="402">
        <f t="shared" si="14"/>
        <v>2</v>
      </c>
      <c r="V19" s="62">
        <f t="shared" si="15"/>
        <v>139</v>
      </c>
      <c r="W19" s="400"/>
      <c r="X19" s="584">
        <f t="shared" si="17"/>
        <v>2467</v>
      </c>
      <c r="Y19" s="52">
        <f t="shared" si="18"/>
        <v>0</v>
      </c>
      <c r="Z19" s="584">
        <f t="shared" si="19"/>
        <v>138897</v>
      </c>
      <c r="AA19" s="65">
        <f t="shared" si="5"/>
        <v>0</v>
      </c>
      <c r="AB19" s="284">
        <f t="shared" si="74"/>
        <v>0</v>
      </c>
      <c r="AC19" s="584">
        <f t="shared" ref="AC19:AE19" si="78">AC18</f>
        <v>1936</v>
      </c>
      <c r="AD19" s="45">
        <f t="shared" si="6"/>
        <v>0</v>
      </c>
      <c r="AE19" s="584">
        <f t="shared" si="78"/>
        <v>365520.8</v>
      </c>
      <c r="AF19" s="306">
        <f t="shared" si="21"/>
        <v>0</v>
      </c>
      <c r="AG19" s="209">
        <f t="shared" si="36"/>
        <v>0</v>
      </c>
      <c r="AH19" s="62">
        <f t="shared" si="37"/>
        <v>0</v>
      </c>
      <c r="AI19" s="318">
        <f t="shared" si="22"/>
        <v>139</v>
      </c>
      <c r="AJ19" s="318">
        <f>-tanks!AW20</f>
        <v>139</v>
      </c>
      <c r="AK19" s="318">
        <f t="shared" si="23"/>
        <v>0</v>
      </c>
      <c r="AL19" s="318">
        <f t="shared" si="7"/>
        <v>2</v>
      </c>
      <c r="AM19" s="318">
        <f t="shared" si="24"/>
        <v>0</v>
      </c>
      <c r="AN19" s="584">
        <f t="shared" ref="AN19:AP19" si="79">AN18</f>
        <v>67</v>
      </c>
      <c r="AO19" s="320">
        <f t="shared" si="26"/>
        <v>2010.0000000000002</v>
      </c>
      <c r="AP19" s="584">
        <f t="shared" si="79"/>
        <v>55</v>
      </c>
      <c r="AQ19" s="320">
        <f t="shared" si="27"/>
        <v>1650.0000000000002</v>
      </c>
      <c r="AR19" s="584">
        <f t="shared" ref="AR19" si="80">AR18</f>
        <v>61</v>
      </c>
      <c r="AS19" s="320">
        <f t="shared" si="40"/>
        <v>1830</v>
      </c>
      <c r="AT19" s="320">
        <f t="shared" si="41"/>
        <v>5490</v>
      </c>
      <c r="AU19" s="320">
        <f t="shared" si="42"/>
        <v>0</v>
      </c>
      <c r="AV19" s="269"/>
      <c r="AW19" s="269"/>
      <c r="AX19" s="313">
        <f t="shared" si="29"/>
        <v>0.8</v>
      </c>
    </row>
    <row r="20" spans="1:50">
      <c r="A20" s="63">
        <f>ELEC!C18</f>
        <v>44332</v>
      </c>
      <c r="B20" s="584">
        <v>195</v>
      </c>
      <c r="C20" s="584">
        <v>201</v>
      </c>
      <c r="D20" s="45">
        <f>C19-C20</f>
        <v>12</v>
      </c>
      <c r="E20" s="45">
        <f t="shared" si="8"/>
        <v>100.56</v>
      </c>
      <c r="F20" s="584">
        <f t="shared" si="9"/>
        <v>1833</v>
      </c>
      <c r="G20" s="52">
        <f t="shared" si="0"/>
        <v>0</v>
      </c>
      <c r="H20" s="584">
        <v>12841</v>
      </c>
      <c r="I20" s="396">
        <f t="shared" si="1"/>
        <v>31</v>
      </c>
      <c r="J20" s="66">
        <f t="shared" si="11"/>
        <v>0</v>
      </c>
      <c r="K20" s="584">
        <v>2323</v>
      </c>
      <c r="L20" s="52">
        <f t="shared" si="12"/>
        <v>1</v>
      </c>
      <c r="M20" s="584">
        <v>171285</v>
      </c>
      <c r="N20" s="396">
        <f t="shared" si="2"/>
        <v>84</v>
      </c>
      <c r="O20" s="64">
        <f t="shared" si="13"/>
        <v>1869</v>
      </c>
      <c r="P20" s="584">
        <f t="shared" ref="P20:P35" si="81">P19</f>
        <v>2089</v>
      </c>
      <c r="Q20" s="584">
        <f t="shared" ref="Q20:Q32" si="82">Q19</f>
        <v>175654</v>
      </c>
      <c r="R20" s="395">
        <f t="shared" si="52"/>
        <v>0</v>
      </c>
      <c r="S20" s="52">
        <f t="shared" si="4"/>
        <v>0</v>
      </c>
      <c r="T20" s="67">
        <f t="shared" si="33"/>
        <v>0</v>
      </c>
      <c r="U20" s="402">
        <f t="shared" si="14"/>
        <v>1</v>
      </c>
      <c r="V20" s="62">
        <f t="shared" si="15"/>
        <v>115</v>
      </c>
      <c r="W20" s="400"/>
      <c r="X20" s="584">
        <f t="shared" si="17"/>
        <v>2467</v>
      </c>
      <c r="Y20" s="52">
        <f t="shared" si="18"/>
        <v>0</v>
      </c>
      <c r="Z20" s="584">
        <f t="shared" si="19"/>
        <v>138897</v>
      </c>
      <c r="AA20" s="65">
        <f t="shared" si="5"/>
        <v>0</v>
      </c>
      <c r="AB20" s="284">
        <f t="shared" si="74"/>
        <v>0</v>
      </c>
      <c r="AC20" s="584">
        <f t="shared" ref="AC20:AE20" si="83">AC19</f>
        <v>1936</v>
      </c>
      <c r="AD20" s="45">
        <f t="shared" si="6"/>
        <v>0</v>
      </c>
      <c r="AE20" s="584">
        <f t="shared" si="83"/>
        <v>365520.8</v>
      </c>
      <c r="AF20" s="306">
        <f t="shared" si="21"/>
        <v>0</v>
      </c>
      <c r="AG20" s="209">
        <f t="shared" si="36"/>
        <v>0</v>
      </c>
      <c r="AH20" s="62">
        <f t="shared" si="37"/>
        <v>0</v>
      </c>
      <c r="AI20" s="318">
        <f t="shared" si="22"/>
        <v>115</v>
      </c>
      <c r="AJ20" s="318">
        <f>-tanks!AW21</f>
        <v>115</v>
      </c>
      <c r="AK20" s="318">
        <f t="shared" si="23"/>
        <v>0</v>
      </c>
      <c r="AL20" s="318">
        <f t="shared" si="7"/>
        <v>1</v>
      </c>
      <c r="AM20" s="318">
        <f t="shared" si="24"/>
        <v>0</v>
      </c>
      <c r="AN20" s="584">
        <f t="shared" ref="AN20:AP20" si="84">AN19</f>
        <v>67</v>
      </c>
      <c r="AO20" s="320">
        <f t="shared" si="26"/>
        <v>2010.0000000000002</v>
      </c>
      <c r="AP20" s="584">
        <f t="shared" si="84"/>
        <v>55</v>
      </c>
      <c r="AQ20" s="320">
        <f t="shared" si="27"/>
        <v>1650.0000000000002</v>
      </c>
      <c r="AR20" s="584">
        <f t="shared" ref="AR20" si="85">AR19</f>
        <v>61</v>
      </c>
      <c r="AS20" s="320">
        <f t="shared" si="40"/>
        <v>1830</v>
      </c>
      <c r="AT20" s="320">
        <f t="shared" si="41"/>
        <v>5490</v>
      </c>
      <c r="AU20" s="320">
        <f t="shared" si="42"/>
        <v>0</v>
      </c>
      <c r="AV20" s="269"/>
      <c r="AW20" s="269"/>
      <c r="AX20" s="313">
        <f t="shared" si="29"/>
        <v>0.8</v>
      </c>
    </row>
    <row r="21" spans="1:50">
      <c r="A21" s="63">
        <f>ELEC!C19</f>
        <v>44333</v>
      </c>
      <c r="B21" s="584">
        <v>188</v>
      </c>
      <c r="C21" s="584">
        <v>194</v>
      </c>
      <c r="D21" s="45">
        <f t="shared" ref="D21:D32" si="86">C20-C21</f>
        <v>7</v>
      </c>
      <c r="E21" s="45">
        <f t="shared" si="8"/>
        <v>58.660000000000004</v>
      </c>
      <c r="F21" s="584">
        <f t="shared" si="9"/>
        <v>1833</v>
      </c>
      <c r="G21" s="52">
        <f t="shared" si="0"/>
        <v>0</v>
      </c>
      <c r="H21" s="584">
        <f t="shared" si="10"/>
        <v>12841</v>
      </c>
      <c r="I21" s="396">
        <f t="shared" si="1"/>
        <v>0</v>
      </c>
      <c r="J21" s="66">
        <f t="shared" si="11"/>
        <v>0</v>
      </c>
      <c r="K21" s="584">
        <v>2324</v>
      </c>
      <c r="L21" s="52">
        <f t="shared" si="12"/>
        <v>1</v>
      </c>
      <c r="M21" s="584">
        <v>171322</v>
      </c>
      <c r="N21" s="396">
        <f t="shared" si="2"/>
        <v>37</v>
      </c>
      <c r="O21" s="64">
        <f t="shared" si="13"/>
        <v>1869</v>
      </c>
      <c r="P21" s="584">
        <f t="shared" si="81"/>
        <v>2089</v>
      </c>
      <c r="Q21" s="584">
        <v>175710</v>
      </c>
      <c r="R21" s="395">
        <f t="shared" si="52"/>
        <v>56</v>
      </c>
      <c r="S21" s="52">
        <f t="shared" si="4"/>
        <v>0</v>
      </c>
      <c r="T21" s="67">
        <f t="shared" si="33"/>
        <v>0</v>
      </c>
      <c r="U21" s="402">
        <f t="shared" si="14"/>
        <v>1</v>
      </c>
      <c r="V21" s="62">
        <f t="shared" si="15"/>
        <v>93</v>
      </c>
      <c r="W21" s="400"/>
      <c r="X21" s="584">
        <f t="shared" si="17"/>
        <v>2467</v>
      </c>
      <c r="Y21" s="52">
        <f t="shared" si="18"/>
        <v>0</v>
      </c>
      <c r="Z21" s="584">
        <f t="shared" si="19"/>
        <v>138897</v>
      </c>
      <c r="AA21" s="65">
        <f t="shared" si="5"/>
        <v>0</v>
      </c>
      <c r="AB21" s="284">
        <f t="shared" si="74"/>
        <v>0</v>
      </c>
      <c r="AC21" s="584">
        <f t="shared" ref="AC21:AE21" si="87">AC20</f>
        <v>1936</v>
      </c>
      <c r="AD21" s="45">
        <f t="shared" si="6"/>
        <v>0</v>
      </c>
      <c r="AE21" s="584">
        <f t="shared" si="87"/>
        <v>365520.8</v>
      </c>
      <c r="AF21" s="306">
        <f t="shared" si="21"/>
        <v>0</v>
      </c>
      <c r="AG21" s="209">
        <f t="shared" si="36"/>
        <v>0</v>
      </c>
      <c r="AH21" s="62">
        <f t="shared" si="37"/>
        <v>0</v>
      </c>
      <c r="AI21" s="318">
        <f t="shared" si="22"/>
        <v>93</v>
      </c>
      <c r="AJ21" s="318">
        <f>-tanks!AW22</f>
        <v>93</v>
      </c>
      <c r="AK21" s="318">
        <f t="shared" si="23"/>
        <v>0</v>
      </c>
      <c r="AL21" s="318">
        <f t="shared" si="7"/>
        <v>1</v>
      </c>
      <c r="AM21" s="318">
        <f t="shared" si="24"/>
        <v>0</v>
      </c>
      <c r="AN21" s="584">
        <f t="shared" ref="AN21:AP21" si="88">AN20</f>
        <v>67</v>
      </c>
      <c r="AO21" s="320">
        <f t="shared" si="26"/>
        <v>2010.0000000000002</v>
      </c>
      <c r="AP21" s="584">
        <f t="shared" si="88"/>
        <v>55</v>
      </c>
      <c r="AQ21" s="320">
        <f t="shared" si="27"/>
        <v>1650.0000000000002</v>
      </c>
      <c r="AR21" s="584">
        <f t="shared" ref="AR21" si="89">AR20</f>
        <v>61</v>
      </c>
      <c r="AS21" s="320">
        <f t="shared" si="40"/>
        <v>1830</v>
      </c>
      <c r="AT21" s="320">
        <f t="shared" si="41"/>
        <v>5490</v>
      </c>
      <c r="AU21" s="320">
        <f t="shared" si="42"/>
        <v>0</v>
      </c>
      <c r="AV21" s="269"/>
      <c r="AW21" s="269"/>
      <c r="AX21" s="313">
        <f t="shared" si="29"/>
        <v>0.8</v>
      </c>
    </row>
    <row r="22" spans="1:50" ht="16.5" customHeight="1">
      <c r="A22" s="63">
        <f>ELEC!C20</f>
        <v>44334</v>
      </c>
      <c r="B22" s="584">
        <v>179</v>
      </c>
      <c r="C22" s="584">
        <v>186</v>
      </c>
      <c r="D22" s="45">
        <f t="shared" si="86"/>
        <v>8</v>
      </c>
      <c r="E22" s="45">
        <f t="shared" si="8"/>
        <v>67.040000000000006</v>
      </c>
      <c r="F22" s="584">
        <v>1835</v>
      </c>
      <c r="G22" s="52">
        <f t="shared" si="0"/>
        <v>2</v>
      </c>
      <c r="H22" s="584">
        <v>12933</v>
      </c>
      <c r="I22" s="396">
        <f t="shared" si="1"/>
        <v>92</v>
      </c>
      <c r="J22" s="66">
        <f t="shared" si="11"/>
        <v>46</v>
      </c>
      <c r="K22" s="584">
        <f t="shared" si="31"/>
        <v>2324</v>
      </c>
      <c r="L22" s="52">
        <f t="shared" si="12"/>
        <v>0</v>
      </c>
      <c r="M22" s="584">
        <f t="shared" si="32"/>
        <v>171322</v>
      </c>
      <c r="N22" s="396">
        <f t="shared" si="2"/>
        <v>0</v>
      </c>
      <c r="O22" s="64">
        <f t="shared" si="13"/>
        <v>1869</v>
      </c>
      <c r="P22" s="584">
        <v>2090</v>
      </c>
      <c r="Q22" s="584">
        <v>175754</v>
      </c>
      <c r="R22" s="395">
        <f t="shared" si="52"/>
        <v>44</v>
      </c>
      <c r="S22" s="52">
        <f t="shared" si="4"/>
        <v>1</v>
      </c>
      <c r="T22" s="67">
        <f t="shared" si="33"/>
        <v>0</v>
      </c>
      <c r="U22" s="402">
        <f t="shared" si="14"/>
        <v>3</v>
      </c>
      <c r="V22" s="62">
        <f t="shared" si="15"/>
        <v>136</v>
      </c>
      <c r="W22" s="400"/>
      <c r="X22" s="584">
        <f t="shared" si="17"/>
        <v>2467</v>
      </c>
      <c r="Y22" s="52">
        <f t="shared" si="18"/>
        <v>0</v>
      </c>
      <c r="Z22" s="584">
        <f t="shared" si="19"/>
        <v>138897</v>
      </c>
      <c r="AA22" s="65">
        <f t="shared" si="5"/>
        <v>0</v>
      </c>
      <c r="AB22" s="284">
        <f t="shared" si="74"/>
        <v>0</v>
      </c>
      <c r="AC22" s="584">
        <f t="shared" ref="AC22:AE22" si="90">AC21</f>
        <v>1936</v>
      </c>
      <c r="AD22" s="45">
        <f t="shared" si="6"/>
        <v>0</v>
      </c>
      <c r="AE22" s="584">
        <f t="shared" si="90"/>
        <v>365520.8</v>
      </c>
      <c r="AF22" s="306">
        <f t="shared" si="21"/>
        <v>0</v>
      </c>
      <c r="AG22" s="209">
        <f t="shared" si="36"/>
        <v>0</v>
      </c>
      <c r="AH22" s="62">
        <f t="shared" si="37"/>
        <v>0</v>
      </c>
      <c r="AI22" s="318">
        <f t="shared" si="22"/>
        <v>136</v>
      </c>
      <c r="AJ22" s="318">
        <f>-tanks!AW23</f>
        <v>136</v>
      </c>
      <c r="AK22" s="318">
        <f t="shared" si="23"/>
        <v>0</v>
      </c>
      <c r="AL22" s="318">
        <f t="shared" si="7"/>
        <v>3</v>
      </c>
      <c r="AM22" s="318">
        <f t="shared" si="24"/>
        <v>0</v>
      </c>
      <c r="AN22" s="584">
        <f t="shared" ref="AN22:AP22" si="91">AN21</f>
        <v>67</v>
      </c>
      <c r="AO22" s="320">
        <f t="shared" si="26"/>
        <v>2010.0000000000002</v>
      </c>
      <c r="AP22" s="584">
        <f t="shared" si="91"/>
        <v>55</v>
      </c>
      <c r="AQ22" s="320">
        <f t="shared" si="27"/>
        <v>1650.0000000000002</v>
      </c>
      <c r="AR22" s="584">
        <f t="shared" ref="AR22" si="92">AR21</f>
        <v>61</v>
      </c>
      <c r="AS22" s="320">
        <f t="shared" si="40"/>
        <v>1830</v>
      </c>
      <c r="AT22" s="320">
        <f t="shared" si="41"/>
        <v>5490</v>
      </c>
      <c r="AU22" s="320">
        <f t="shared" si="42"/>
        <v>0</v>
      </c>
      <c r="AV22" s="269"/>
      <c r="AW22" s="269"/>
      <c r="AX22" s="313">
        <f t="shared" si="29"/>
        <v>0.8</v>
      </c>
    </row>
    <row r="23" spans="1:50">
      <c r="A23" s="63">
        <f>ELEC!C21</f>
        <v>44335</v>
      </c>
      <c r="B23" s="584">
        <v>170</v>
      </c>
      <c r="C23" s="584">
        <v>178</v>
      </c>
      <c r="D23" s="45">
        <f t="shared" si="86"/>
        <v>8</v>
      </c>
      <c r="E23" s="45">
        <f t="shared" si="8"/>
        <v>67.040000000000006</v>
      </c>
      <c r="F23" s="584">
        <f t="shared" si="9"/>
        <v>1835</v>
      </c>
      <c r="G23" s="52">
        <f t="shared" si="0"/>
        <v>0</v>
      </c>
      <c r="H23" s="584">
        <f t="shared" si="10"/>
        <v>12933</v>
      </c>
      <c r="I23" s="396">
        <f t="shared" si="1"/>
        <v>0</v>
      </c>
      <c r="J23" s="66">
        <f t="shared" si="11"/>
        <v>0</v>
      </c>
      <c r="K23" s="584">
        <v>2325</v>
      </c>
      <c r="L23" s="52">
        <f t="shared" si="12"/>
        <v>1</v>
      </c>
      <c r="M23" s="584">
        <v>171417</v>
      </c>
      <c r="N23" s="396">
        <f t="shared" si="2"/>
        <v>95</v>
      </c>
      <c r="O23" s="64">
        <f t="shared" si="13"/>
        <v>1869</v>
      </c>
      <c r="P23" s="584">
        <f t="shared" si="81"/>
        <v>2090</v>
      </c>
      <c r="Q23" s="584">
        <f t="shared" si="82"/>
        <v>175754</v>
      </c>
      <c r="R23" s="395">
        <f t="shared" si="52"/>
        <v>0</v>
      </c>
      <c r="S23" s="52">
        <f t="shared" si="4"/>
        <v>0</v>
      </c>
      <c r="T23" s="67">
        <f t="shared" si="33"/>
        <v>0</v>
      </c>
      <c r="U23" s="402">
        <f t="shared" si="14"/>
        <v>1</v>
      </c>
      <c r="V23" s="62">
        <f t="shared" si="15"/>
        <v>95</v>
      </c>
      <c r="W23" s="400"/>
      <c r="X23" s="584">
        <f t="shared" si="17"/>
        <v>2467</v>
      </c>
      <c r="Y23" s="52">
        <f t="shared" si="18"/>
        <v>0</v>
      </c>
      <c r="Z23" s="584">
        <f t="shared" si="19"/>
        <v>138897</v>
      </c>
      <c r="AA23" s="65">
        <f t="shared" si="5"/>
        <v>0</v>
      </c>
      <c r="AB23" s="284">
        <f t="shared" si="74"/>
        <v>0</v>
      </c>
      <c r="AC23" s="584">
        <f t="shared" ref="AC23:AE23" si="93">AC22</f>
        <v>1936</v>
      </c>
      <c r="AD23" s="45">
        <f t="shared" si="6"/>
        <v>0</v>
      </c>
      <c r="AE23" s="584">
        <f t="shared" si="93"/>
        <v>365520.8</v>
      </c>
      <c r="AF23" s="306">
        <f t="shared" si="21"/>
        <v>0</v>
      </c>
      <c r="AG23" s="209">
        <f t="shared" si="36"/>
        <v>0</v>
      </c>
      <c r="AH23" s="62">
        <f t="shared" si="37"/>
        <v>0</v>
      </c>
      <c r="AI23" s="318">
        <f t="shared" ref="AI23" si="94">SUM(AH23+V23)</f>
        <v>95</v>
      </c>
      <c r="AJ23" s="318">
        <f>-tanks!AW24</f>
        <v>95</v>
      </c>
      <c r="AK23" s="318">
        <f t="shared" ref="AK23" si="95">SUM(AJ23-AI23)</f>
        <v>0</v>
      </c>
      <c r="AL23" s="318">
        <f t="shared" ref="AL23" si="96">S23+L23+G23</f>
        <v>1</v>
      </c>
      <c r="AM23" s="318">
        <f t="shared" ref="AM23" si="97">Y23+AD23</f>
        <v>0</v>
      </c>
      <c r="AN23" s="584">
        <f t="shared" ref="AN23:AP23" si="98">AN22</f>
        <v>67</v>
      </c>
      <c r="AO23" s="320">
        <f t="shared" si="26"/>
        <v>2010.0000000000002</v>
      </c>
      <c r="AP23" s="584">
        <f t="shared" si="98"/>
        <v>55</v>
      </c>
      <c r="AQ23" s="320">
        <f t="shared" si="27"/>
        <v>1650.0000000000002</v>
      </c>
      <c r="AR23" s="584">
        <f t="shared" ref="AR23" si="99">AR22</f>
        <v>61</v>
      </c>
      <c r="AS23" s="320">
        <f t="shared" si="40"/>
        <v>1830</v>
      </c>
      <c r="AT23" s="320">
        <f t="shared" si="41"/>
        <v>5490</v>
      </c>
      <c r="AU23" s="320">
        <f t="shared" si="42"/>
        <v>0</v>
      </c>
      <c r="AV23" s="269"/>
      <c r="AW23" s="269"/>
      <c r="AX23" s="313">
        <f t="shared" si="29"/>
        <v>0.8</v>
      </c>
    </row>
    <row r="24" spans="1:50">
      <c r="A24" s="63">
        <f>ELEC!C22</f>
        <v>44336</v>
      </c>
      <c r="B24" s="584">
        <v>203</v>
      </c>
      <c r="C24" s="584">
        <v>210</v>
      </c>
      <c r="D24" s="45">
        <f t="shared" si="86"/>
        <v>-32</v>
      </c>
      <c r="E24" s="45">
        <f t="shared" si="8"/>
        <v>-268.16000000000003</v>
      </c>
      <c r="F24" s="584">
        <f t="shared" si="9"/>
        <v>1835</v>
      </c>
      <c r="G24" s="52">
        <f t="shared" si="0"/>
        <v>0</v>
      </c>
      <c r="H24" s="584">
        <f t="shared" si="10"/>
        <v>12933</v>
      </c>
      <c r="I24" s="396">
        <f t="shared" si="1"/>
        <v>0</v>
      </c>
      <c r="J24" s="66">
        <f t="shared" si="11"/>
        <v>0</v>
      </c>
      <c r="K24" s="584">
        <f t="shared" si="31"/>
        <v>2325</v>
      </c>
      <c r="L24" s="52">
        <f t="shared" si="12"/>
        <v>0</v>
      </c>
      <c r="M24" s="584">
        <f t="shared" si="32"/>
        <v>171417</v>
      </c>
      <c r="N24" s="396">
        <f t="shared" si="2"/>
        <v>0</v>
      </c>
      <c r="O24" s="64">
        <f t="shared" si="13"/>
        <v>1869</v>
      </c>
      <c r="P24" s="584">
        <v>2091</v>
      </c>
      <c r="Q24" s="584">
        <v>175817</v>
      </c>
      <c r="R24" s="395">
        <f t="shared" si="52"/>
        <v>63</v>
      </c>
      <c r="S24" s="52">
        <f t="shared" si="4"/>
        <v>1</v>
      </c>
      <c r="T24" s="67">
        <f t="shared" si="33"/>
        <v>0</v>
      </c>
      <c r="U24" s="402">
        <f t="shared" si="14"/>
        <v>1</v>
      </c>
      <c r="V24" s="62">
        <f t="shared" si="15"/>
        <v>63</v>
      </c>
      <c r="W24" s="400"/>
      <c r="X24" s="584">
        <f t="shared" si="17"/>
        <v>2467</v>
      </c>
      <c r="Y24" s="52">
        <f t="shared" si="18"/>
        <v>0</v>
      </c>
      <c r="Z24" s="584">
        <f t="shared" si="19"/>
        <v>138897</v>
      </c>
      <c r="AA24" s="65">
        <f t="shared" si="5"/>
        <v>0</v>
      </c>
      <c r="AB24" s="284">
        <f t="shared" ref="AB24:AB32" si="100">SUM(Y24*$AB$2)</f>
        <v>0</v>
      </c>
      <c r="AC24" s="584">
        <f t="shared" ref="AC24:AE24" si="101">AC23</f>
        <v>1936</v>
      </c>
      <c r="AD24" s="45">
        <f t="shared" si="6"/>
        <v>0</v>
      </c>
      <c r="AE24" s="584">
        <f t="shared" si="101"/>
        <v>365520.8</v>
      </c>
      <c r="AF24" s="306">
        <f t="shared" si="21"/>
        <v>0</v>
      </c>
      <c r="AG24" s="209">
        <f t="shared" si="36"/>
        <v>0</v>
      </c>
      <c r="AH24" s="62">
        <f t="shared" si="37"/>
        <v>0</v>
      </c>
      <c r="AI24" s="318">
        <f t="shared" si="22"/>
        <v>63</v>
      </c>
      <c r="AJ24" s="318">
        <f>-tanks!AW25</f>
        <v>63</v>
      </c>
      <c r="AK24" s="318">
        <f t="shared" si="23"/>
        <v>0</v>
      </c>
      <c r="AL24" s="318">
        <f t="shared" si="7"/>
        <v>1</v>
      </c>
      <c r="AM24" s="318">
        <f t="shared" si="24"/>
        <v>0</v>
      </c>
      <c r="AN24" s="584">
        <f t="shared" ref="AN24:AP24" si="102">AN23</f>
        <v>67</v>
      </c>
      <c r="AO24" s="320">
        <f t="shared" si="26"/>
        <v>2010.0000000000002</v>
      </c>
      <c r="AP24" s="584">
        <f t="shared" si="102"/>
        <v>55</v>
      </c>
      <c r="AQ24" s="320">
        <f t="shared" si="27"/>
        <v>1650.0000000000002</v>
      </c>
      <c r="AR24" s="584">
        <f t="shared" ref="AR24" si="103">AR23</f>
        <v>61</v>
      </c>
      <c r="AS24" s="320">
        <f t="shared" si="40"/>
        <v>1830</v>
      </c>
      <c r="AT24" s="320">
        <f t="shared" ref="AT24:AT32" si="104">SUM(AO24+AQ24+AS24)</f>
        <v>5490</v>
      </c>
      <c r="AU24" s="320">
        <f t="shared" si="42"/>
        <v>0</v>
      </c>
      <c r="AV24" s="269"/>
      <c r="AW24" s="269"/>
      <c r="AX24" s="313">
        <f t="shared" si="29"/>
        <v>0.8</v>
      </c>
    </row>
    <row r="25" spans="1:50" ht="13.5" customHeight="1">
      <c r="A25" s="63">
        <f>ELEC!C23</f>
        <v>44337</v>
      </c>
      <c r="B25" s="584">
        <v>194</v>
      </c>
      <c r="C25" s="584">
        <v>201</v>
      </c>
      <c r="D25" s="45">
        <f t="shared" si="86"/>
        <v>9</v>
      </c>
      <c r="E25" s="45">
        <f t="shared" si="8"/>
        <v>75.42</v>
      </c>
      <c r="F25" s="584">
        <v>1836</v>
      </c>
      <c r="G25" s="52">
        <f t="shared" si="0"/>
        <v>1</v>
      </c>
      <c r="H25" s="584">
        <v>13065</v>
      </c>
      <c r="I25" s="396">
        <f t="shared" si="1"/>
        <v>132</v>
      </c>
      <c r="J25" s="66">
        <f t="shared" si="11"/>
        <v>132</v>
      </c>
      <c r="K25" s="584">
        <f t="shared" si="31"/>
        <v>2325</v>
      </c>
      <c r="L25" s="52">
        <f t="shared" si="12"/>
        <v>0</v>
      </c>
      <c r="M25" s="584">
        <v>171439</v>
      </c>
      <c r="N25" s="396">
        <f t="shared" si="2"/>
        <v>22</v>
      </c>
      <c r="O25" s="64">
        <f>O24</f>
        <v>1869</v>
      </c>
      <c r="P25" s="584">
        <f t="shared" si="81"/>
        <v>2091</v>
      </c>
      <c r="Q25" s="584">
        <v>175849</v>
      </c>
      <c r="R25" s="395">
        <f t="shared" si="52"/>
        <v>32</v>
      </c>
      <c r="S25" s="52">
        <f t="shared" si="4"/>
        <v>0</v>
      </c>
      <c r="T25" s="67">
        <f t="shared" si="33"/>
        <v>0</v>
      </c>
      <c r="U25" s="402">
        <f t="shared" si="14"/>
        <v>1</v>
      </c>
      <c r="V25" s="62">
        <f t="shared" si="15"/>
        <v>186</v>
      </c>
      <c r="W25" s="400"/>
      <c r="X25" s="584">
        <v>2468</v>
      </c>
      <c r="Y25" s="52">
        <f t="shared" si="18"/>
        <v>1</v>
      </c>
      <c r="Z25" s="584">
        <v>138920</v>
      </c>
      <c r="AA25" s="65">
        <f t="shared" si="5"/>
        <v>23</v>
      </c>
      <c r="AB25" s="284">
        <f t="shared" si="100"/>
        <v>0</v>
      </c>
      <c r="AC25" s="584">
        <f t="shared" ref="AC25:AE25" si="105">AC24</f>
        <v>1936</v>
      </c>
      <c r="AD25" s="45">
        <f t="shared" si="6"/>
        <v>0</v>
      </c>
      <c r="AE25" s="584">
        <f t="shared" si="105"/>
        <v>365520.8</v>
      </c>
      <c r="AF25" s="306">
        <f t="shared" si="21"/>
        <v>0</v>
      </c>
      <c r="AG25" s="209">
        <f t="shared" si="36"/>
        <v>0</v>
      </c>
      <c r="AH25" s="62">
        <f t="shared" si="37"/>
        <v>23</v>
      </c>
      <c r="AI25" s="318">
        <f t="shared" si="22"/>
        <v>209</v>
      </c>
      <c r="AJ25" s="318">
        <f>-tanks!AW26</f>
        <v>209</v>
      </c>
      <c r="AK25" s="318">
        <f t="shared" si="23"/>
        <v>0</v>
      </c>
      <c r="AL25" s="318">
        <f t="shared" si="7"/>
        <v>1</v>
      </c>
      <c r="AM25" s="318">
        <f t="shared" si="24"/>
        <v>1</v>
      </c>
      <c r="AN25" s="584">
        <f t="shared" ref="AN25:AP25" si="106">AN24</f>
        <v>67</v>
      </c>
      <c r="AO25" s="320">
        <f t="shared" si="26"/>
        <v>2010.0000000000002</v>
      </c>
      <c r="AP25" s="584">
        <f t="shared" si="106"/>
        <v>55</v>
      </c>
      <c r="AQ25" s="320">
        <f t="shared" ref="AQ25:AQ32" si="107">(AP25/100)*3000</f>
        <v>1650.0000000000002</v>
      </c>
      <c r="AR25" s="584">
        <f t="shared" ref="AR25" si="108">AR24</f>
        <v>61</v>
      </c>
      <c r="AS25" s="320">
        <f t="shared" si="40"/>
        <v>1830</v>
      </c>
      <c r="AT25" s="320">
        <f t="shared" si="104"/>
        <v>5490</v>
      </c>
      <c r="AU25" s="320">
        <f t="shared" si="42"/>
        <v>0</v>
      </c>
      <c r="AV25" s="269"/>
      <c r="AW25" s="269"/>
      <c r="AX25" s="313">
        <f t="shared" si="29"/>
        <v>0.8</v>
      </c>
    </row>
    <row r="26" spans="1:50" ht="14.25" customHeight="1">
      <c r="A26" s="63">
        <f>ELEC!C24</f>
        <v>44338</v>
      </c>
      <c r="B26" s="584">
        <v>182</v>
      </c>
      <c r="C26" s="584">
        <v>189</v>
      </c>
      <c r="D26" s="45">
        <f t="shared" si="86"/>
        <v>12</v>
      </c>
      <c r="E26" s="45">
        <f t="shared" si="8"/>
        <v>100.56</v>
      </c>
      <c r="F26" s="584">
        <v>1837</v>
      </c>
      <c r="G26" s="52">
        <f t="shared" si="0"/>
        <v>1</v>
      </c>
      <c r="H26" s="584">
        <v>13110</v>
      </c>
      <c r="I26" s="396">
        <f t="shared" si="1"/>
        <v>45</v>
      </c>
      <c r="J26" s="66">
        <f t="shared" si="11"/>
        <v>45</v>
      </c>
      <c r="K26" s="584">
        <v>2326</v>
      </c>
      <c r="L26" s="52">
        <f t="shared" si="12"/>
        <v>1</v>
      </c>
      <c r="M26" s="584">
        <v>171523</v>
      </c>
      <c r="N26" s="396">
        <f t="shared" si="2"/>
        <v>84</v>
      </c>
      <c r="O26" s="64">
        <f t="shared" si="13"/>
        <v>1869</v>
      </c>
      <c r="P26" s="584">
        <f t="shared" si="81"/>
        <v>2091</v>
      </c>
      <c r="Q26" s="584">
        <f t="shared" si="82"/>
        <v>175849</v>
      </c>
      <c r="R26" s="395">
        <f t="shared" si="52"/>
        <v>0</v>
      </c>
      <c r="S26" s="52">
        <f t="shared" si="4"/>
        <v>0</v>
      </c>
      <c r="T26" s="67">
        <f t="shared" si="33"/>
        <v>0</v>
      </c>
      <c r="U26" s="402">
        <f t="shared" si="14"/>
        <v>2</v>
      </c>
      <c r="V26" s="62">
        <f t="shared" si="15"/>
        <v>129</v>
      </c>
      <c r="W26" s="400"/>
      <c r="X26" s="584">
        <v>2468</v>
      </c>
      <c r="Y26" s="52">
        <f t="shared" si="18"/>
        <v>0</v>
      </c>
      <c r="Z26" s="584">
        <v>138920</v>
      </c>
      <c r="AA26" s="65">
        <f t="shared" si="5"/>
        <v>0</v>
      </c>
      <c r="AB26" s="284">
        <f t="shared" si="100"/>
        <v>0</v>
      </c>
      <c r="AC26" s="584">
        <f t="shared" ref="AC26:AE26" si="109">AC25</f>
        <v>1936</v>
      </c>
      <c r="AD26" s="45">
        <f t="shared" si="6"/>
        <v>0</v>
      </c>
      <c r="AE26" s="584">
        <f t="shared" si="109"/>
        <v>365520.8</v>
      </c>
      <c r="AF26" s="306">
        <f t="shared" si="21"/>
        <v>0</v>
      </c>
      <c r="AG26" s="209">
        <f t="shared" si="36"/>
        <v>0</v>
      </c>
      <c r="AH26" s="62">
        <f t="shared" si="37"/>
        <v>0</v>
      </c>
      <c r="AI26" s="318">
        <f t="shared" si="22"/>
        <v>129</v>
      </c>
      <c r="AJ26" s="318">
        <f>-tanks!AW27</f>
        <v>129</v>
      </c>
      <c r="AK26" s="318">
        <f t="shared" si="23"/>
        <v>0</v>
      </c>
      <c r="AL26" s="318">
        <f t="shared" si="7"/>
        <v>2</v>
      </c>
      <c r="AM26" s="318">
        <f t="shared" si="24"/>
        <v>0</v>
      </c>
      <c r="AN26" s="584">
        <f t="shared" ref="AN26:AP26" si="110">AN25</f>
        <v>67</v>
      </c>
      <c r="AO26" s="320">
        <f t="shared" si="26"/>
        <v>2010.0000000000002</v>
      </c>
      <c r="AP26" s="584">
        <f t="shared" si="110"/>
        <v>55</v>
      </c>
      <c r="AQ26" s="320">
        <f t="shared" si="107"/>
        <v>1650.0000000000002</v>
      </c>
      <c r="AR26" s="584">
        <f t="shared" ref="AR26" si="111">AR25</f>
        <v>61</v>
      </c>
      <c r="AS26" s="320">
        <f t="shared" si="40"/>
        <v>1830</v>
      </c>
      <c r="AT26" s="320">
        <f t="shared" si="104"/>
        <v>5490</v>
      </c>
      <c r="AU26" s="320">
        <f t="shared" si="42"/>
        <v>0</v>
      </c>
      <c r="AV26" s="269"/>
      <c r="AW26" s="269"/>
      <c r="AX26" s="313">
        <f t="shared" si="29"/>
        <v>0.8</v>
      </c>
    </row>
    <row r="27" spans="1:50">
      <c r="A27" s="63">
        <f>ELEC!C25</f>
        <v>44339</v>
      </c>
      <c r="B27" s="584">
        <v>176</v>
      </c>
      <c r="C27" s="584">
        <v>182.5</v>
      </c>
      <c r="D27" s="45">
        <f t="shared" si="86"/>
        <v>6.5</v>
      </c>
      <c r="E27" s="45">
        <f t="shared" si="8"/>
        <v>54.470000000000006</v>
      </c>
      <c r="F27" s="584">
        <f t="shared" si="9"/>
        <v>1837</v>
      </c>
      <c r="G27" s="52">
        <f t="shared" si="0"/>
        <v>0</v>
      </c>
      <c r="H27" s="584">
        <f t="shared" si="10"/>
        <v>13110</v>
      </c>
      <c r="I27" s="396">
        <f t="shared" si="1"/>
        <v>0</v>
      </c>
      <c r="J27" s="66">
        <f t="shared" si="11"/>
        <v>0</v>
      </c>
      <c r="K27" s="584">
        <f t="shared" si="31"/>
        <v>2326</v>
      </c>
      <c r="L27" s="52">
        <f t="shared" si="12"/>
        <v>0</v>
      </c>
      <c r="M27" s="584">
        <f t="shared" si="32"/>
        <v>171523</v>
      </c>
      <c r="N27" s="396">
        <f t="shared" si="2"/>
        <v>0</v>
      </c>
      <c r="O27" s="64">
        <f t="shared" si="13"/>
        <v>1869</v>
      </c>
      <c r="P27" s="584">
        <v>2092</v>
      </c>
      <c r="Q27" s="584">
        <v>175918</v>
      </c>
      <c r="R27" s="395">
        <f t="shared" si="52"/>
        <v>69</v>
      </c>
      <c r="S27" s="52">
        <f t="shared" si="4"/>
        <v>1</v>
      </c>
      <c r="T27" s="67">
        <f t="shared" si="33"/>
        <v>0</v>
      </c>
      <c r="U27" s="402">
        <f t="shared" si="14"/>
        <v>1</v>
      </c>
      <c r="V27" s="62">
        <f t="shared" si="15"/>
        <v>69</v>
      </c>
      <c r="W27" s="400"/>
      <c r="X27" s="584">
        <f t="shared" si="17"/>
        <v>2468</v>
      </c>
      <c r="Y27" s="52">
        <f t="shared" si="18"/>
        <v>0</v>
      </c>
      <c r="Z27" s="584">
        <f t="shared" si="19"/>
        <v>138920</v>
      </c>
      <c r="AA27" s="65">
        <f t="shared" si="5"/>
        <v>0</v>
      </c>
      <c r="AB27" s="284">
        <f t="shared" si="100"/>
        <v>0</v>
      </c>
      <c r="AC27" s="584">
        <f t="shared" ref="AC27:AE27" si="112">AC26</f>
        <v>1936</v>
      </c>
      <c r="AD27" s="45">
        <f t="shared" si="6"/>
        <v>0</v>
      </c>
      <c r="AE27" s="584">
        <f t="shared" si="112"/>
        <v>365520.8</v>
      </c>
      <c r="AF27" s="306">
        <f t="shared" si="21"/>
        <v>0</v>
      </c>
      <c r="AG27" s="209">
        <f t="shared" si="36"/>
        <v>0</v>
      </c>
      <c r="AH27" s="62">
        <f t="shared" si="37"/>
        <v>0</v>
      </c>
      <c r="AI27" s="318">
        <f t="shared" si="22"/>
        <v>69</v>
      </c>
      <c r="AJ27" s="318">
        <f>-tanks!AW28</f>
        <v>69</v>
      </c>
      <c r="AK27" s="318">
        <f t="shared" si="23"/>
        <v>0</v>
      </c>
      <c r="AL27" s="318">
        <f t="shared" si="7"/>
        <v>1</v>
      </c>
      <c r="AM27" s="318">
        <f t="shared" si="24"/>
        <v>0</v>
      </c>
      <c r="AN27" s="584">
        <f t="shared" ref="AN27:AP27" si="113">AN26</f>
        <v>67</v>
      </c>
      <c r="AO27" s="320">
        <f>(AN27/100)*3000</f>
        <v>2010.0000000000002</v>
      </c>
      <c r="AP27" s="584">
        <f t="shared" si="113"/>
        <v>55</v>
      </c>
      <c r="AQ27" s="320">
        <f t="shared" si="107"/>
        <v>1650.0000000000002</v>
      </c>
      <c r="AR27" s="584">
        <f t="shared" ref="AR27" si="114">AR26</f>
        <v>61</v>
      </c>
      <c r="AS27" s="320">
        <f t="shared" si="40"/>
        <v>1830</v>
      </c>
      <c r="AT27" s="320">
        <f t="shared" si="104"/>
        <v>5490</v>
      </c>
      <c r="AU27" s="320">
        <f t="shared" si="42"/>
        <v>0</v>
      </c>
      <c r="AV27" s="269"/>
      <c r="AW27" s="499"/>
      <c r="AX27" s="313">
        <f t="shared" si="29"/>
        <v>0.8</v>
      </c>
    </row>
    <row r="28" spans="1:50">
      <c r="A28" s="63">
        <f>ELEC!C26</f>
        <v>44340</v>
      </c>
      <c r="B28" s="584">
        <v>208</v>
      </c>
      <c r="C28" s="584">
        <v>215</v>
      </c>
      <c r="D28" s="45">
        <f t="shared" si="86"/>
        <v>-32.5</v>
      </c>
      <c r="E28" s="45">
        <f t="shared" si="8"/>
        <v>-272.35000000000002</v>
      </c>
      <c r="F28" s="584">
        <v>1838</v>
      </c>
      <c r="G28" s="52">
        <f t="shared" si="0"/>
        <v>1</v>
      </c>
      <c r="H28" s="584">
        <v>13198</v>
      </c>
      <c r="I28" s="396">
        <f t="shared" si="1"/>
        <v>88</v>
      </c>
      <c r="J28" s="66">
        <f t="shared" si="11"/>
        <v>88</v>
      </c>
      <c r="K28" s="584">
        <f t="shared" si="31"/>
        <v>2326</v>
      </c>
      <c r="L28" s="52">
        <f t="shared" si="12"/>
        <v>0</v>
      </c>
      <c r="M28" s="584">
        <f t="shared" si="32"/>
        <v>171523</v>
      </c>
      <c r="N28" s="396">
        <f t="shared" si="2"/>
        <v>0</v>
      </c>
      <c r="O28" s="64">
        <f t="shared" si="13"/>
        <v>1869</v>
      </c>
      <c r="P28" s="584">
        <f t="shared" si="81"/>
        <v>2092</v>
      </c>
      <c r="Q28" s="584">
        <f t="shared" si="82"/>
        <v>175918</v>
      </c>
      <c r="R28" s="395">
        <f t="shared" si="52"/>
        <v>0</v>
      </c>
      <c r="S28" s="52">
        <f t="shared" si="4"/>
        <v>0</v>
      </c>
      <c r="T28" s="67">
        <f t="shared" si="33"/>
        <v>0</v>
      </c>
      <c r="U28" s="402">
        <f t="shared" si="14"/>
        <v>1</v>
      </c>
      <c r="V28" s="62">
        <f t="shared" si="15"/>
        <v>88</v>
      </c>
      <c r="W28" s="400"/>
      <c r="X28" s="584">
        <v>2469</v>
      </c>
      <c r="Y28" s="52">
        <f t="shared" si="18"/>
        <v>1</v>
      </c>
      <c r="Z28" s="584">
        <v>138993</v>
      </c>
      <c r="AA28" s="65">
        <f t="shared" si="5"/>
        <v>73</v>
      </c>
      <c r="AB28" s="284">
        <f t="shared" si="100"/>
        <v>0</v>
      </c>
      <c r="AC28" s="584">
        <v>1936</v>
      </c>
      <c r="AD28" s="45">
        <f t="shared" si="6"/>
        <v>0</v>
      </c>
      <c r="AE28" s="584">
        <v>365571</v>
      </c>
      <c r="AF28" s="306">
        <f t="shared" si="21"/>
        <v>50.200000000011642</v>
      </c>
      <c r="AG28" s="209">
        <f t="shared" si="36"/>
        <v>0</v>
      </c>
      <c r="AH28" s="62">
        <f t="shared" si="37"/>
        <v>123.20000000001164</v>
      </c>
      <c r="AI28" s="318">
        <f t="shared" si="22"/>
        <v>211.20000000001164</v>
      </c>
      <c r="AJ28" s="318">
        <f>-tanks!AW29</f>
        <v>211.20000000001164</v>
      </c>
      <c r="AK28" s="318">
        <f t="shared" si="23"/>
        <v>0</v>
      </c>
      <c r="AL28" s="318">
        <f t="shared" si="7"/>
        <v>1</v>
      </c>
      <c r="AM28" s="318">
        <f t="shared" si="24"/>
        <v>1</v>
      </c>
      <c r="AN28" s="584">
        <f t="shared" ref="AN28:AP28" si="115">AN27</f>
        <v>67</v>
      </c>
      <c r="AO28" s="320">
        <f t="shared" ref="AO28:AO32" si="116">(AN28/100)*3000</f>
        <v>2010.0000000000002</v>
      </c>
      <c r="AP28" s="584">
        <f t="shared" si="115"/>
        <v>55</v>
      </c>
      <c r="AQ28" s="320">
        <f t="shared" si="107"/>
        <v>1650.0000000000002</v>
      </c>
      <c r="AR28" s="584">
        <f t="shared" ref="AR28" si="117">AR27</f>
        <v>61</v>
      </c>
      <c r="AS28" s="320">
        <f t="shared" si="40"/>
        <v>1830</v>
      </c>
      <c r="AT28" s="320">
        <f t="shared" si="104"/>
        <v>5490</v>
      </c>
      <c r="AU28" s="320">
        <f t="shared" si="42"/>
        <v>0</v>
      </c>
      <c r="AV28" s="269"/>
      <c r="AW28" s="269"/>
      <c r="AX28" s="313">
        <f t="shared" si="29"/>
        <v>0.8</v>
      </c>
    </row>
    <row r="29" spans="1:50">
      <c r="A29" s="63">
        <f>ELEC!C27</f>
        <v>44341</v>
      </c>
      <c r="B29" s="584">
        <v>201</v>
      </c>
      <c r="C29" s="584">
        <v>208</v>
      </c>
      <c r="D29" s="45">
        <f t="shared" si="86"/>
        <v>7</v>
      </c>
      <c r="E29" s="45">
        <f t="shared" si="8"/>
        <v>58.660000000000004</v>
      </c>
      <c r="F29" s="584">
        <f t="shared" si="9"/>
        <v>1838</v>
      </c>
      <c r="G29" s="52">
        <f t="shared" si="0"/>
        <v>0</v>
      </c>
      <c r="H29" s="584">
        <f t="shared" si="10"/>
        <v>13198</v>
      </c>
      <c r="I29" s="396">
        <f t="shared" si="1"/>
        <v>0</v>
      </c>
      <c r="J29" s="66">
        <f t="shared" si="11"/>
        <v>0</v>
      </c>
      <c r="K29" s="584">
        <v>2327</v>
      </c>
      <c r="L29" s="52">
        <f t="shared" si="12"/>
        <v>1</v>
      </c>
      <c r="M29" s="584">
        <v>171613</v>
      </c>
      <c r="N29" s="396">
        <f t="shared" si="2"/>
        <v>90</v>
      </c>
      <c r="O29" s="64">
        <f t="shared" si="13"/>
        <v>1869</v>
      </c>
      <c r="P29" s="584">
        <f t="shared" si="81"/>
        <v>2092</v>
      </c>
      <c r="Q29" s="584">
        <f t="shared" si="82"/>
        <v>175918</v>
      </c>
      <c r="R29" s="395">
        <f t="shared" si="52"/>
        <v>0</v>
      </c>
      <c r="S29" s="52">
        <f t="shared" si="4"/>
        <v>0</v>
      </c>
      <c r="T29" s="67">
        <f t="shared" si="33"/>
        <v>0</v>
      </c>
      <c r="U29" s="402">
        <f t="shared" si="14"/>
        <v>1</v>
      </c>
      <c r="V29" s="62">
        <f t="shared" si="15"/>
        <v>90</v>
      </c>
      <c r="W29" s="400"/>
      <c r="X29" s="584">
        <f t="shared" si="17"/>
        <v>2469</v>
      </c>
      <c r="Y29" s="52">
        <f t="shared" si="18"/>
        <v>0</v>
      </c>
      <c r="Z29" s="584">
        <f t="shared" si="19"/>
        <v>138993</v>
      </c>
      <c r="AA29" s="65">
        <f t="shared" si="5"/>
        <v>0</v>
      </c>
      <c r="AB29" s="284">
        <f t="shared" si="100"/>
        <v>0</v>
      </c>
      <c r="AC29" s="584">
        <f t="shared" ref="AC29:AE29" si="118">AC28</f>
        <v>1936</v>
      </c>
      <c r="AD29" s="45">
        <f t="shared" si="6"/>
        <v>0</v>
      </c>
      <c r="AE29" s="584">
        <f t="shared" si="118"/>
        <v>365571</v>
      </c>
      <c r="AF29" s="306">
        <f t="shared" si="21"/>
        <v>0</v>
      </c>
      <c r="AG29" s="209">
        <f t="shared" si="36"/>
        <v>0</v>
      </c>
      <c r="AH29" s="62">
        <f t="shared" si="37"/>
        <v>0</v>
      </c>
      <c r="AI29" s="318">
        <f t="shared" si="22"/>
        <v>90</v>
      </c>
      <c r="AJ29" s="318">
        <f>-tanks!AW30</f>
        <v>90</v>
      </c>
      <c r="AK29" s="318">
        <f t="shared" si="23"/>
        <v>0</v>
      </c>
      <c r="AL29" s="318">
        <f t="shared" si="7"/>
        <v>1</v>
      </c>
      <c r="AM29" s="318">
        <f t="shared" si="24"/>
        <v>0</v>
      </c>
      <c r="AN29" s="584">
        <f t="shared" ref="AN29:AP29" si="119">AN28</f>
        <v>67</v>
      </c>
      <c r="AO29" s="320">
        <f t="shared" si="116"/>
        <v>2010.0000000000002</v>
      </c>
      <c r="AP29" s="584">
        <f t="shared" si="119"/>
        <v>55</v>
      </c>
      <c r="AQ29" s="320">
        <f t="shared" si="107"/>
        <v>1650.0000000000002</v>
      </c>
      <c r="AR29" s="584">
        <f t="shared" ref="AR29" si="120">AR28</f>
        <v>61</v>
      </c>
      <c r="AS29" s="320">
        <f t="shared" si="40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9"/>
        <v>0.8</v>
      </c>
    </row>
    <row r="30" spans="1:50">
      <c r="A30" s="63">
        <f>ELEC!C28</f>
        <v>44342</v>
      </c>
      <c r="B30" s="584">
        <v>187</v>
      </c>
      <c r="C30" s="584">
        <v>194</v>
      </c>
      <c r="D30" s="45">
        <f t="shared" si="86"/>
        <v>14</v>
      </c>
      <c r="E30" s="45">
        <f t="shared" si="8"/>
        <v>117.32000000000001</v>
      </c>
      <c r="F30" s="584">
        <f t="shared" si="9"/>
        <v>1838</v>
      </c>
      <c r="G30" s="52">
        <f t="shared" si="0"/>
        <v>0</v>
      </c>
      <c r="H30" s="584">
        <f t="shared" si="10"/>
        <v>13198</v>
      </c>
      <c r="I30" s="396">
        <f t="shared" si="1"/>
        <v>0</v>
      </c>
      <c r="J30" s="66">
        <f t="shared" si="11"/>
        <v>0</v>
      </c>
      <c r="K30" s="584">
        <f t="shared" si="31"/>
        <v>2327</v>
      </c>
      <c r="L30" s="52">
        <f t="shared" si="12"/>
        <v>0</v>
      </c>
      <c r="M30" s="584">
        <f t="shared" si="32"/>
        <v>171613</v>
      </c>
      <c r="N30" s="396">
        <f t="shared" si="2"/>
        <v>0</v>
      </c>
      <c r="O30" s="64">
        <f t="shared" si="13"/>
        <v>1869</v>
      </c>
      <c r="P30" s="584">
        <v>2093</v>
      </c>
      <c r="Q30" s="584">
        <v>176032</v>
      </c>
      <c r="R30" s="395">
        <f t="shared" si="52"/>
        <v>114</v>
      </c>
      <c r="S30" s="52">
        <f t="shared" si="4"/>
        <v>1</v>
      </c>
      <c r="T30" s="67">
        <f t="shared" si="33"/>
        <v>0</v>
      </c>
      <c r="U30" s="402">
        <f t="shared" si="14"/>
        <v>1</v>
      </c>
      <c r="V30" s="62">
        <f t="shared" si="15"/>
        <v>114</v>
      </c>
      <c r="W30" s="400"/>
      <c r="X30" s="584">
        <f t="shared" si="17"/>
        <v>2469</v>
      </c>
      <c r="Y30" s="52">
        <f t="shared" si="18"/>
        <v>0</v>
      </c>
      <c r="Z30" s="584">
        <f t="shared" si="19"/>
        <v>138993</v>
      </c>
      <c r="AA30" s="65">
        <f t="shared" si="5"/>
        <v>0</v>
      </c>
      <c r="AB30" s="284">
        <f t="shared" si="100"/>
        <v>0</v>
      </c>
      <c r="AC30" s="584">
        <f t="shared" ref="AC30:AE30" si="121">AC29</f>
        <v>1936</v>
      </c>
      <c r="AD30" s="45">
        <f t="shared" si="6"/>
        <v>0</v>
      </c>
      <c r="AE30" s="584">
        <f t="shared" si="121"/>
        <v>365571</v>
      </c>
      <c r="AF30" s="306">
        <f t="shared" si="21"/>
        <v>0</v>
      </c>
      <c r="AG30" s="209">
        <f t="shared" si="36"/>
        <v>0</v>
      </c>
      <c r="AH30" s="62">
        <f t="shared" si="37"/>
        <v>0</v>
      </c>
      <c r="AI30" s="318">
        <f t="shared" si="22"/>
        <v>114</v>
      </c>
      <c r="AJ30" s="318">
        <f>-tanks!AW31</f>
        <v>114</v>
      </c>
      <c r="AK30" s="318">
        <f t="shared" si="23"/>
        <v>0</v>
      </c>
      <c r="AL30" s="318">
        <f t="shared" si="7"/>
        <v>1</v>
      </c>
      <c r="AM30" s="318">
        <f t="shared" si="24"/>
        <v>0</v>
      </c>
      <c r="AN30" s="584">
        <f t="shared" ref="AN30:AP30" si="122">AN29</f>
        <v>67</v>
      </c>
      <c r="AO30" s="320">
        <f t="shared" si="116"/>
        <v>2010.0000000000002</v>
      </c>
      <c r="AP30" s="584">
        <f t="shared" si="122"/>
        <v>55</v>
      </c>
      <c r="AQ30" s="320">
        <f t="shared" si="107"/>
        <v>1650.0000000000002</v>
      </c>
      <c r="AR30" s="584">
        <f t="shared" ref="AR30" si="123">AR29</f>
        <v>61</v>
      </c>
      <c r="AS30" s="320">
        <f t="shared" si="40"/>
        <v>1830</v>
      </c>
      <c r="AT30" s="320">
        <f t="shared" si="104"/>
        <v>5490</v>
      </c>
      <c r="AU30" s="320">
        <f t="shared" si="42"/>
        <v>0</v>
      </c>
      <c r="AV30" s="269"/>
      <c r="AW30" s="269"/>
      <c r="AX30" s="313">
        <f t="shared" si="29"/>
        <v>0.8</v>
      </c>
    </row>
    <row r="31" spans="1:50">
      <c r="A31" s="63">
        <f>ELEC!C29</f>
        <v>44343</v>
      </c>
      <c r="B31" s="584">
        <v>177</v>
      </c>
      <c r="C31" s="584">
        <v>184</v>
      </c>
      <c r="D31" s="45">
        <f t="shared" si="86"/>
        <v>10</v>
      </c>
      <c r="E31" s="45">
        <f t="shared" si="8"/>
        <v>83.800000000000011</v>
      </c>
      <c r="F31" s="584">
        <v>1839</v>
      </c>
      <c r="G31" s="52">
        <f t="shared" si="0"/>
        <v>1</v>
      </c>
      <c r="H31" s="584">
        <v>13281</v>
      </c>
      <c r="I31" s="396">
        <f t="shared" si="1"/>
        <v>83</v>
      </c>
      <c r="J31" s="66">
        <f t="shared" si="11"/>
        <v>83</v>
      </c>
      <c r="K31" s="584">
        <f t="shared" si="31"/>
        <v>2327</v>
      </c>
      <c r="L31" s="52">
        <f t="shared" si="12"/>
        <v>0</v>
      </c>
      <c r="M31" s="584">
        <f t="shared" si="32"/>
        <v>171613</v>
      </c>
      <c r="N31" s="396">
        <f t="shared" si="2"/>
        <v>0</v>
      </c>
      <c r="O31" s="64">
        <f t="shared" si="13"/>
        <v>1869</v>
      </c>
      <c r="P31" s="584">
        <v>2094</v>
      </c>
      <c r="Q31" s="584">
        <v>176055</v>
      </c>
      <c r="R31" s="395">
        <f t="shared" si="52"/>
        <v>23</v>
      </c>
      <c r="S31" s="52">
        <f t="shared" si="4"/>
        <v>1</v>
      </c>
      <c r="T31" s="67">
        <f t="shared" si="33"/>
        <v>0</v>
      </c>
      <c r="U31" s="402">
        <f t="shared" si="14"/>
        <v>2</v>
      </c>
      <c r="V31" s="62">
        <f t="shared" si="15"/>
        <v>106</v>
      </c>
      <c r="W31" s="400"/>
      <c r="X31" s="584">
        <f t="shared" si="17"/>
        <v>2469</v>
      </c>
      <c r="Y31" s="52">
        <f t="shared" si="18"/>
        <v>0</v>
      </c>
      <c r="Z31" s="584">
        <f t="shared" si="19"/>
        <v>138993</v>
      </c>
      <c r="AA31" s="65">
        <f t="shared" si="5"/>
        <v>0</v>
      </c>
      <c r="AB31" s="284">
        <f t="shared" si="100"/>
        <v>0</v>
      </c>
      <c r="AC31" s="584">
        <f t="shared" ref="AC31:AE31" si="124">AC30</f>
        <v>1936</v>
      </c>
      <c r="AD31" s="269">
        <f t="shared" si="6"/>
        <v>0</v>
      </c>
      <c r="AE31" s="584">
        <f t="shared" si="124"/>
        <v>365571</v>
      </c>
      <c r="AF31" s="306">
        <f t="shared" si="21"/>
        <v>0</v>
      </c>
      <c r="AG31" s="209">
        <f t="shared" si="36"/>
        <v>0</v>
      </c>
      <c r="AH31" s="62">
        <f t="shared" si="37"/>
        <v>0</v>
      </c>
      <c r="AI31" s="318">
        <f t="shared" si="22"/>
        <v>106</v>
      </c>
      <c r="AJ31" s="318">
        <f>-tanks!AW32</f>
        <v>106</v>
      </c>
      <c r="AK31" s="318">
        <f t="shared" si="23"/>
        <v>0</v>
      </c>
      <c r="AL31" s="318">
        <f t="shared" si="7"/>
        <v>2</v>
      </c>
      <c r="AM31" s="318">
        <f t="shared" si="24"/>
        <v>0</v>
      </c>
      <c r="AN31" s="584">
        <f t="shared" ref="AN31:AP31" si="125">AN30</f>
        <v>67</v>
      </c>
      <c r="AO31" s="320">
        <f t="shared" si="116"/>
        <v>2010.0000000000002</v>
      </c>
      <c r="AP31" s="584">
        <f t="shared" si="125"/>
        <v>55</v>
      </c>
      <c r="AQ31" s="320">
        <f t="shared" si="107"/>
        <v>1650.0000000000002</v>
      </c>
      <c r="AR31" s="584">
        <f t="shared" ref="AR31" si="126">AR30</f>
        <v>61</v>
      </c>
      <c r="AS31" s="320">
        <f t="shared" si="40"/>
        <v>1830</v>
      </c>
      <c r="AT31" s="320">
        <f t="shared" si="104"/>
        <v>5490</v>
      </c>
      <c r="AU31" s="320">
        <f t="shared" si="42"/>
        <v>0</v>
      </c>
      <c r="AV31" s="269"/>
      <c r="AW31" s="269"/>
      <c r="AX31" s="313">
        <f t="shared" si="29"/>
        <v>0.8</v>
      </c>
    </row>
    <row r="32" spans="1:50">
      <c r="A32" s="63">
        <f>ELEC!C30</f>
        <v>44344</v>
      </c>
      <c r="B32" s="584">
        <v>199</v>
      </c>
      <c r="C32" s="584">
        <v>206</v>
      </c>
      <c r="D32" s="45">
        <f t="shared" si="86"/>
        <v>-22</v>
      </c>
      <c r="E32" s="45">
        <f t="shared" si="8"/>
        <v>-184.36</v>
      </c>
      <c r="F32" s="584">
        <v>1840</v>
      </c>
      <c r="G32" s="52">
        <f t="shared" si="0"/>
        <v>1</v>
      </c>
      <c r="H32" s="584">
        <v>13312</v>
      </c>
      <c r="I32" s="396">
        <f t="shared" si="1"/>
        <v>31</v>
      </c>
      <c r="J32" s="66">
        <f t="shared" si="11"/>
        <v>31</v>
      </c>
      <c r="K32" s="584">
        <v>2328</v>
      </c>
      <c r="L32" s="52">
        <f t="shared" si="12"/>
        <v>1</v>
      </c>
      <c r="M32" s="584">
        <v>171718</v>
      </c>
      <c r="N32" s="396">
        <f t="shared" si="2"/>
        <v>105</v>
      </c>
      <c r="O32" s="64">
        <f t="shared" ref="O32:O33" si="127">O31</f>
        <v>1869</v>
      </c>
      <c r="P32" s="584">
        <f t="shared" si="81"/>
        <v>2094</v>
      </c>
      <c r="Q32" s="584">
        <f t="shared" si="82"/>
        <v>176055</v>
      </c>
      <c r="R32" s="395">
        <f t="shared" si="52"/>
        <v>0</v>
      </c>
      <c r="S32" s="52">
        <f t="shared" si="4"/>
        <v>0</v>
      </c>
      <c r="T32" s="67">
        <f t="shared" si="33"/>
        <v>0</v>
      </c>
      <c r="U32" s="402">
        <f t="shared" si="14"/>
        <v>2</v>
      </c>
      <c r="V32" s="62">
        <f t="shared" si="15"/>
        <v>136</v>
      </c>
      <c r="W32" s="400"/>
      <c r="X32" s="584">
        <f t="shared" si="17"/>
        <v>2469</v>
      </c>
      <c r="Y32" s="52">
        <f t="shared" si="18"/>
        <v>0</v>
      </c>
      <c r="Z32" s="584">
        <f t="shared" si="19"/>
        <v>138993</v>
      </c>
      <c r="AA32" s="65">
        <f t="shared" si="5"/>
        <v>0</v>
      </c>
      <c r="AB32" s="284">
        <f t="shared" si="100"/>
        <v>0</v>
      </c>
      <c r="AC32" s="584">
        <f t="shared" ref="AC32:AE33" si="128">AC31</f>
        <v>1936</v>
      </c>
      <c r="AD32" s="269">
        <f t="shared" si="6"/>
        <v>0</v>
      </c>
      <c r="AE32" s="584">
        <f t="shared" si="128"/>
        <v>365571</v>
      </c>
      <c r="AF32" s="306">
        <f t="shared" si="21"/>
        <v>0</v>
      </c>
      <c r="AG32" s="209">
        <f t="shared" si="36"/>
        <v>0</v>
      </c>
      <c r="AH32" s="62">
        <f t="shared" si="37"/>
        <v>0</v>
      </c>
      <c r="AI32" s="318">
        <f t="shared" si="22"/>
        <v>136</v>
      </c>
      <c r="AJ32" s="318">
        <f>-tanks!AW33</f>
        <v>136</v>
      </c>
      <c r="AK32" s="318">
        <f t="shared" si="23"/>
        <v>0</v>
      </c>
      <c r="AL32" s="318">
        <f t="shared" si="7"/>
        <v>2</v>
      </c>
      <c r="AM32" s="318">
        <f t="shared" si="24"/>
        <v>0</v>
      </c>
      <c r="AN32" s="584">
        <f t="shared" ref="AN32:AP32" si="129">AN31</f>
        <v>67</v>
      </c>
      <c r="AO32" s="320">
        <f t="shared" si="116"/>
        <v>2010.0000000000002</v>
      </c>
      <c r="AP32" s="584">
        <f t="shared" si="129"/>
        <v>55</v>
      </c>
      <c r="AQ32" s="320">
        <f t="shared" si="107"/>
        <v>1650.0000000000002</v>
      </c>
      <c r="AR32" s="584">
        <f t="shared" ref="AR32" si="130">AR31</f>
        <v>61</v>
      </c>
      <c r="AS32" s="320">
        <f t="shared" si="40"/>
        <v>1830</v>
      </c>
      <c r="AT32" s="320">
        <f t="shared" si="104"/>
        <v>5490</v>
      </c>
      <c r="AU32" s="320">
        <f t="shared" si="42"/>
        <v>0</v>
      </c>
      <c r="AV32" s="269"/>
      <c r="AW32" s="269"/>
      <c r="AX32" s="313">
        <f t="shared" si="29"/>
        <v>0.8</v>
      </c>
    </row>
    <row r="33" spans="1:50">
      <c r="A33" s="63">
        <f>ELEC!C31</f>
        <v>44345</v>
      </c>
      <c r="B33" s="584">
        <v>192</v>
      </c>
      <c r="C33" s="584">
        <v>198</v>
      </c>
      <c r="D33" s="45">
        <f t="shared" ref="D33:D34" si="131">C32-C33</f>
        <v>8</v>
      </c>
      <c r="E33" s="45">
        <f t="shared" ref="E33:E34" si="132">D33*8.38</f>
        <v>67.040000000000006</v>
      </c>
      <c r="F33" s="584">
        <v>1840</v>
      </c>
      <c r="G33" s="52">
        <f t="shared" ref="G33:G34" si="133">F33-F32</f>
        <v>0</v>
      </c>
      <c r="H33" s="584">
        <v>13312</v>
      </c>
      <c r="I33" s="396">
        <f t="shared" ref="I33:I34" si="134">SUM(H33-H32)</f>
        <v>0</v>
      </c>
      <c r="J33" s="66">
        <f t="shared" ref="J33:J34" si="135">IF(G33&gt;0,I33/G33,0)</f>
        <v>0</v>
      </c>
      <c r="K33" s="584">
        <v>2328</v>
      </c>
      <c r="L33" s="52">
        <f t="shared" ref="L33:L34" si="136">K33-K32</f>
        <v>0</v>
      </c>
      <c r="M33" s="584">
        <v>171718</v>
      </c>
      <c r="N33" s="396">
        <f t="shared" ref="N33:N34" si="137">M33-M32</f>
        <v>0</v>
      </c>
      <c r="O33" s="64">
        <f t="shared" si="127"/>
        <v>1869</v>
      </c>
      <c r="P33" s="584">
        <v>2095</v>
      </c>
      <c r="Q33" s="584">
        <v>176154</v>
      </c>
      <c r="R33" s="395">
        <f t="shared" ref="R33:R34" si="138">Q33-Q32</f>
        <v>99</v>
      </c>
      <c r="S33" s="52">
        <f t="shared" ref="S33:S34" si="139">SUM(P33-P32)</f>
        <v>1</v>
      </c>
      <c r="T33" s="67">
        <f t="shared" ref="T33:T34" si="140">SUM(S33*$T$2)</f>
        <v>0</v>
      </c>
      <c r="U33" s="402">
        <f t="shared" ref="U33:U34" si="141">SUM(G33+L33+S33)</f>
        <v>1</v>
      </c>
      <c r="V33" s="62">
        <f t="shared" ref="V33:V34" si="142">R33+N33+I33:I33</f>
        <v>99</v>
      </c>
      <c r="W33" s="400"/>
      <c r="X33" s="584">
        <f t="shared" si="17"/>
        <v>2469</v>
      </c>
      <c r="Y33" s="52">
        <f t="shared" ref="Y33:Y34" si="143">X33-X32</f>
        <v>0</v>
      </c>
      <c r="Z33" s="584">
        <f t="shared" si="19"/>
        <v>138993</v>
      </c>
      <c r="AA33" s="65">
        <f t="shared" ref="AA33:AA34" si="144">Z33-Z32</f>
        <v>0</v>
      </c>
      <c r="AB33" s="284">
        <f t="shared" ref="AB33:AB34" si="145">SUM(Y33*$AB$2)</f>
        <v>0</v>
      </c>
      <c r="AC33" s="584">
        <f t="shared" si="128"/>
        <v>1936</v>
      </c>
      <c r="AD33" s="269">
        <f t="shared" ref="AD33:AD34" si="146">AC33-AC32</f>
        <v>0</v>
      </c>
      <c r="AE33" s="584">
        <f t="shared" si="128"/>
        <v>365571</v>
      </c>
      <c r="AF33" s="306">
        <f t="shared" ref="AF33:AF34" si="147">AE33-AE32</f>
        <v>0</v>
      </c>
      <c r="AG33" s="209">
        <f t="shared" ref="AG33:AG34" si="148">IF(AD33&gt;0,AF33/AD33,0)</f>
        <v>0</v>
      </c>
      <c r="AH33" s="62">
        <f t="shared" ref="AH33:AH34" si="149">AF33+AA33</f>
        <v>0</v>
      </c>
      <c r="AI33" s="318">
        <f t="shared" ref="AI33:AI34" si="150">SUM(AH33+V33)</f>
        <v>99</v>
      </c>
      <c r="AJ33" s="318">
        <f>-tanks!AW34</f>
        <v>99</v>
      </c>
      <c r="AK33" s="318">
        <f t="shared" ref="AK33:AK34" si="151">SUM(AJ33-AI33)</f>
        <v>0</v>
      </c>
      <c r="AL33" s="318">
        <f t="shared" ref="AL33:AL34" si="152">S33+L33+G33</f>
        <v>1</v>
      </c>
      <c r="AM33" s="318">
        <f t="shared" ref="AM33:AM34" si="153">Y33+AD33</f>
        <v>0</v>
      </c>
      <c r="AN33" s="584">
        <f t="shared" ref="AN33:AP33" si="154">AN32</f>
        <v>67</v>
      </c>
      <c r="AO33" s="320">
        <f t="shared" ref="AO33:AO34" si="155">(AN33/100)*3000</f>
        <v>2010.0000000000002</v>
      </c>
      <c r="AP33" s="584">
        <f t="shared" si="154"/>
        <v>55</v>
      </c>
      <c r="AQ33" s="320">
        <f t="shared" ref="AQ33:AQ34" si="156">(AP33/100)*3000</f>
        <v>1650.0000000000002</v>
      </c>
      <c r="AR33" s="584">
        <f t="shared" ref="AR33" si="157">AR32</f>
        <v>61</v>
      </c>
      <c r="AS33" s="320">
        <f t="shared" ref="AS33:AS34" si="158">(AR33/100)*3000</f>
        <v>1830</v>
      </c>
      <c r="AT33" s="320">
        <f t="shared" ref="AT33:AT34" si="159">SUM(AO33+AQ33+AS33)</f>
        <v>5490</v>
      </c>
      <c r="AU33" s="320">
        <f t="shared" ref="AU33:AU34" si="160">AT32-AT33+AV33</f>
        <v>0</v>
      </c>
      <c r="AV33" s="269"/>
      <c r="AW33" s="269"/>
      <c r="AX33" s="313">
        <f t="shared" ref="AX33:AX34" si="161">IF(AV33&gt;0,AW33,AX32)</f>
        <v>0.8</v>
      </c>
    </row>
    <row r="34" spans="1:50">
      <c r="A34" s="63">
        <f>ELEC!C32</f>
        <v>44346</v>
      </c>
      <c r="B34" s="584">
        <v>181</v>
      </c>
      <c r="C34" s="584">
        <v>187</v>
      </c>
      <c r="D34" s="45">
        <f t="shared" si="131"/>
        <v>11</v>
      </c>
      <c r="E34" s="45">
        <f t="shared" si="132"/>
        <v>92.18</v>
      </c>
      <c r="F34" s="584">
        <f t="shared" si="9"/>
        <v>1840</v>
      </c>
      <c r="G34" s="52">
        <f t="shared" si="133"/>
        <v>0</v>
      </c>
      <c r="H34" s="584">
        <f t="shared" si="10"/>
        <v>13312</v>
      </c>
      <c r="I34" s="396">
        <f t="shared" si="134"/>
        <v>0</v>
      </c>
      <c r="J34" s="66">
        <f t="shared" si="135"/>
        <v>0</v>
      </c>
      <c r="K34" s="584">
        <v>2329</v>
      </c>
      <c r="L34" s="52">
        <f t="shared" si="136"/>
        <v>1</v>
      </c>
      <c r="M34" s="584">
        <v>171727</v>
      </c>
      <c r="N34" s="396">
        <f t="shared" si="137"/>
        <v>9</v>
      </c>
      <c r="O34" s="64">
        <f t="shared" ref="O34:O35" si="162">O33</f>
        <v>1869</v>
      </c>
      <c r="P34" s="584">
        <v>2096</v>
      </c>
      <c r="Q34" s="584">
        <v>176186</v>
      </c>
      <c r="R34" s="395">
        <f t="shared" si="138"/>
        <v>32</v>
      </c>
      <c r="S34" s="52">
        <f t="shared" si="139"/>
        <v>1</v>
      </c>
      <c r="T34" s="67">
        <f t="shared" si="140"/>
        <v>0</v>
      </c>
      <c r="U34" s="402">
        <f t="shared" si="141"/>
        <v>2</v>
      </c>
      <c r="V34" s="62">
        <f t="shared" si="142"/>
        <v>41</v>
      </c>
      <c r="W34" s="400"/>
      <c r="X34" s="584">
        <f t="shared" si="17"/>
        <v>2469</v>
      </c>
      <c r="Y34" s="52">
        <f t="shared" si="143"/>
        <v>0</v>
      </c>
      <c r="Z34" s="584">
        <f t="shared" si="19"/>
        <v>138993</v>
      </c>
      <c r="AA34" s="65">
        <f t="shared" si="144"/>
        <v>0</v>
      </c>
      <c r="AB34" s="284">
        <f t="shared" si="145"/>
        <v>0</v>
      </c>
      <c r="AC34" s="584">
        <f t="shared" ref="AC34:AE34" si="163">AC33</f>
        <v>1936</v>
      </c>
      <c r="AD34" s="269">
        <f t="shared" si="146"/>
        <v>0</v>
      </c>
      <c r="AE34" s="584">
        <f t="shared" si="163"/>
        <v>365571</v>
      </c>
      <c r="AF34" s="306">
        <f t="shared" si="147"/>
        <v>0</v>
      </c>
      <c r="AG34" s="209">
        <f t="shared" si="148"/>
        <v>0</v>
      </c>
      <c r="AH34" s="62">
        <f t="shared" si="149"/>
        <v>0</v>
      </c>
      <c r="AI34" s="318">
        <f t="shared" si="150"/>
        <v>41</v>
      </c>
      <c r="AJ34" s="318">
        <f>-tanks!AW35</f>
        <v>41</v>
      </c>
      <c r="AK34" s="318">
        <f t="shared" si="151"/>
        <v>0</v>
      </c>
      <c r="AL34" s="318">
        <f t="shared" si="152"/>
        <v>2</v>
      </c>
      <c r="AM34" s="318">
        <f t="shared" si="153"/>
        <v>0</v>
      </c>
      <c r="AN34" s="584">
        <f t="shared" ref="AN34:AP35" si="164">AN33</f>
        <v>67</v>
      </c>
      <c r="AO34" s="320">
        <f t="shared" si="155"/>
        <v>2010.0000000000002</v>
      </c>
      <c r="AP34" s="584">
        <f t="shared" si="164"/>
        <v>55</v>
      </c>
      <c r="AQ34" s="320">
        <f t="shared" si="156"/>
        <v>1650.0000000000002</v>
      </c>
      <c r="AR34" s="584">
        <f t="shared" ref="AR34:AR35" si="165">AR33</f>
        <v>61</v>
      </c>
      <c r="AS34" s="320">
        <f t="shared" si="158"/>
        <v>1830</v>
      </c>
      <c r="AT34" s="320">
        <f t="shared" si="159"/>
        <v>5490</v>
      </c>
      <c r="AU34" s="320">
        <f t="shared" si="160"/>
        <v>0</v>
      </c>
      <c r="AV34" s="269"/>
      <c r="AW34" s="269"/>
      <c r="AX34" s="313">
        <f t="shared" si="161"/>
        <v>0.8</v>
      </c>
    </row>
    <row r="35" spans="1:50">
      <c r="A35" s="63">
        <f>ELEC!C33</f>
        <v>44347</v>
      </c>
      <c r="B35" s="584">
        <v>207</v>
      </c>
      <c r="C35" s="584">
        <v>214</v>
      </c>
      <c r="D35" s="45">
        <f t="shared" ref="D35" si="166">C34-C35</f>
        <v>-27</v>
      </c>
      <c r="E35" s="45">
        <f t="shared" ref="E35" si="167">D35*8.38</f>
        <v>-226.26000000000002</v>
      </c>
      <c r="F35" s="584">
        <v>1841</v>
      </c>
      <c r="G35" s="52">
        <f t="shared" ref="G35" si="168">F35-F34</f>
        <v>1</v>
      </c>
      <c r="H35" s="584">
        <v>13408</v>
      </c>
      <c r="I35" s="396">
        <f t="shared" ref="I35" si="169">SUM(H35-H34)</f>
        <v>96</v>
      </c>
      <c r="J35" s="66">
        <f t="shared" ref="J35" si="170">IF(G35&gt;0,I35/G35,0)</f>
        <v>96</v>
      </c>
      <c r="K35" s="584">
        <v>2331</v>
      </c>
      <c r="L35" s="52">
        <f t="shared" ref="L35" si="171">K35-K34</f>
        <v>2</v>
      </c>
      <c r="M35" s="584">
        <v>171898</v>
      </c>
      <c r="N35" s="396">
        <f t="shared" ref="N35" si="172">M35-M34</f>
        <v>171</v>
      </c>
      <c r="O35" s="64">
        <f t="shared" si="162"/>
        <v>1869</v>
      </c>
      <c r="P35" s="584">
        <f t="shared" si="81"/>
        <v>2096</v>
      </c>
      <c r="Q35" s="584">
        <v>176206</v>
      </c>
      <c r="R35" s="395">
        <f t="shared" ref="R35" si="173">Q35-Q34</f>
        <v>20</v>
      </c>
      <c r="S35" s="52">
        <f t="shared" ref="S35" si="174">SUM(P35-P34)</f>
        <v>0</v>
      </c>
      <c r="T35" s="67">
        <f t="shared" ref="T35" si="175">SUM(S35*$T$2)</f>
        <v>0</v>
      </c>
      <c r="U35" s="402">
        <f t="shared" ref="U35" si="176">SUM(G35+L35+S35)</f>
        <v>3</v>
      </c>
      <c r="V35" s="62">
        <f t="shared" ref="V35" si="177">R35+N35+I35:I35</f>
        <v>287</v>
      </c>
      <c r="W35" s="400"/>
      <c r="X35" s="584">
        <v>2469</v>
      </c>
      <c r="Y35" s="52">
        <f t="shared" ref="Y35" si="178">X35-X34</f>
        <v>0</v>
      </c>
      <c r="Z35" s="584">
        <v>138993</v>
      </c>
      <c r="AA35" s="65">
        <f t="shared" ref="AA35" si="179">Z35-Z34</f>
        <v>0</v>
      </c>
      <c r="AB35" s="284">
        <f t="shared" ref="AB35" si="180">SUM(Y35*$AB$2)</f>
        <v>0</v>
      </c>
      <c r="AC35" s="584">
        <v>1937</v>
      </c>
      <c r="AD35" s="269">
        <f t="shared" ref="AD35" si="181">AC35-AC34</f>
        <v>1</v>
      </c>
      <c r="AE35" s="584">
        <v>365590</v>
      </c>
      <c r="AF35" s="306">
        <f t="shared" ref="AF35" si="182">AE35-AE34</f>
        <v>19</v>
      </c>
      <c r="AG35" s="209">
        <f t="shared" ref="AG35" si="183">IF(AD35&gt;0,AF35/AD35,0)</f>
        <v>19</v>
      </c>
      <c r="AH35" s="62">
        <f t="shared" ref="AH35" si="184">AF35+AA35</f>
        <v>19</v>
      </c>
      <c r="AI35" s="318">
        <f t="shared" ref="AI35" si="185">SUM(AH35+V35)</f>
        <v>306</v>
      </c>
      <c r="AJ35" s="318">
        <f>-tanks!AW37</f>
        <v>0</v>
      </c>
      <c r="AK35" s="318">
        <f t="shared" ref="AK35" si="186">SUM(AJ35-AI35)</f>
        <v>-306</v>
      </c>
      <c r="AL35" s="318">
        <f t="shared" ref="AL35" si="187">S35+L35+G35</f>
        <v>3</v>
      </c>
      <c r="AM35" s="318">
        <f t="shared" ref="AM35" si="188">Y35+AD35</f>
        <v>1</v>
      </c>
      <c r="AN35" s="584">
        <f t="shared" si="164"/>
        <v>67</v>
      </c>
      <c r="AO35" s="320">
        <f t="shared" ref="AO35" si="189">(AN35/100)*3000</f>
        <v>2010.0000000000002</v>
      </c>
      <c r="AP35" s="584">
        <f t="shared" si="164"/>
        <v>55</v>
      </c>
      <c r="AQ35" s="320">
        <f t="shared" ref="AQ35" si="190">(AP35/100)*3000</f>
        <v>1650.0000000000002</v>
      </c>
      <c r="AR35" s="584">
        <f t="shared" si="165"/>
        <v>61</v>
      </c>
      <c r="AS35" s="320">
        <f t="shared" ref="AS35" si="191">(AR35/100)*3000</f>
        <v>1830</v>
      </c>
      <c r="AT35" s="320">
        <f t="shared" ref="AT35" si="192">SUM(AO35+AQ35+AS35)</f>
        <v>5490</v>
      </c>
      <c r="AU35" s="320">
        <f t="shared" ref="AU35" si="193">AT34-AT35+AV35</f>
        <v>0</v>
      </c>
      <c r="AV35" s="269"/>
      <c r="AW35" s="269"/>
      <c r="AX35" s="313">
        <f t="shared" ref="AX35" si="194">IF(AV35&gt;0,AW35,AX34)</f>
        <v>0.8</v>
      </c>
    </row>
    <row r="36" spans="1:50">
      <c r="J36" s="283">
        <f>SUM(J5:J32)/(COUNT(J5:J32)-COUNTIF(J5:J32,0))</f>
        <v>68.714285714285708</v>
      </c>
      <c r="V36" s="62">
        <f>SUM(V5:V32)</f>
        <v>3417</v>
      </c>
      <c r="AE36" s="71" t="s">
        <v>383</v>
      </c>
      <c r="AG36" s="344"/>
      <c r="AH36" s="62">
        <f>SUM(AH5:AH32)</f>
        <v>202.20000000001164</v>
      </c>
      <c r="AL36" s="62">
        <f>SUM(AL5:AL32)</f>
        <v>43</v>
      </c>
      <c r="AM36" s="62">
        <f>SUM(AM5:AM32)</f>
        <v>2</v>
      </c>
      <c r="AP36" s="313"/>
      <c r="AQ36" s="313"/>
      <c r="AR36" s="313" t="s">
        <v>224</v>
      </c>
      <c r="AS36" s="313">
        <f>COUNT(AW5:AW32)</f>
        <v>0</v>
      </c>
      <c r="AT36" s="313"/>
      <c r="AU36" s="313">
        <f>SUM(AU5:AU32)</f>
        <v>0</v>
      </c>
      <c r="AV36" s="71">
        <f>SUM(AV5:AV32)</f>
        <v>0</v>
      </c>
      <c r="AW36" s="313" t="e">
        <f>SUM(AW5:AW32)/AS36</f>
        <v>#DIV/0!</v>
      </c>
    </row>
    <row r="37" spans="1:50">
      <c r="AH37" s="62">
        <f>AF37+AA37</f>
        <v>0</v>
      </c>
      <c r="AI37" s="321">
        <f>SUM(AI5:AI32)</f>
        <v>3619.2000000000116</v>
      </c>
      <c r="AP37" s="313"/>
      <c r="AQ37" s="313"/>
      <c r="AR37" s="313"/>
      <c r="AS37" s="313"/>
      <c r="AT37" s="313"/>
      <c r="AU37" s="313"/>
      <c r="AV37" s="313"/>
      <c r="AW37" s="313"/>
    </row>
    <row r="38" spans="1:50">
      <c r="AH38" s="62">
        <f>AF38+AA38</f>
        <v>0</v>
      </c>
      <c r="AP38" s="313"/>
      <c r="AQ38" s="313"/>
      <c r="AR38" s="313"/>
      <c r="AS38" s="313"/>
      <c r="AT38" s="313"/>
      <c r="AU38" s="313">
        <f>AU36*0.51</f>
        <v>0</v>
      </c>
      <c r="AV38" s="313">
        <f>AV36/0.51</f>
        <v>0</v>
      </c>
      <c r="AW38" s="313" t="e">
        <f>SUM(AW5:AW32)/AS36</f>
        <v>#DIV/0!</v>
      </c>
    </row>
    <row r="39" spans="1:50">
      <c r="AP39" s="313"/>
      <c r="AQ39" s="313"/>
      <c r="AR39" s="313"/>
      <c r="AS39" s="313"/>
      <c r="AT39" s="313"/>
      <c r="AU39" s="313"/>
      <c r="AV39" s="313">
        <f>AV36*0.51</f>
        <v>0</v>
      </c>
      <c r="AW39" s="313"/>
    </row>
    <row r="40" spans="1:50">
      <c r="AP40" s="313"/>
      <c r="AQ40" s="313"/>
      <c r="AR40" s="313"/>
      <c r="AS40" s="313"/>
      <c r="AT40" s="313"/>
      <c r="AU40" s="313"/>
      <c r="AV40" s="313"/>
      <c r="AW40" s="313"/>
    </row>
    <row r="41" spans="1:50">
      <c r="P41" s="69"/>
      <c r="Q41" s="69"/>
      <c r="R41" s="69"/>
      <c r="AP41" s="313"/>
      <c r="AQ41" s="313"/>
      <c r="AR41" s="313"/>
      <c r="AS41" s="313"/>
      <c r="AT41" s="313"/>
      <c r="AU41" s="313"/>
      <c r="AV41" s="313"/>
      <c r="AW41" s="313"/>
    </row>
    <row r="43" spans="1:50">
      <c r="AG43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K1" zoomScale="90" zoomScaleNormal="90" workbookViewId="0">
      <pane ySplit="3" topLeftCell="A22" activePane="bottomLeft" state="frozen"/>
      <selection pane="bottomLeft" activeCell="AY38" sqref="AY38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89" customWidth="1"/>
    <col min="14" max="14" width="10.7109375" style="491" customWidth="1"/>
    <col min="15" max="15" width="11.140625" style="489" customWidth="1"/>
    <col min="16" max="16" width="11.140625" style="491" customWidth="1"/>
    <col min="17" max="17" width="17.28515625" style="489" customWidth="1"/>
    <col min="18" max="18" width="10.85546875" style="489" customWidth="1"/>
    <col min="19" max="19" width="10.7109375" style="489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8057178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86" t="s">
        <v>95</v>
      </c>
      <c r="AS2" s="687"/>
      <c r="AT2" s="687"/>
      <c r="AU2" s="687"/>
      <c r="AV2" s="688"/>
      <c r="AW2" s="686" t="s">
        <v>96</v>
      </c>
      <c r="AX2" s="687"/>
      <c r="AY2" s="688"/>
      <c r="AZ2" s="686" t="s">
        <v>98</v>
      </c>
      <c r="BA2" s="687"/>
      <c r="BB2" s="688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08" t="s">
        <v>399</v>
      </c>
      <c r="N3" s="509"/>
      <c r="O3" s="510" t="s">
        <v>400</v>
      </c>
      <c r="P3" s="510"/>
      <c r="Q3" s="510" t="s">
        <v>396</v>
      </c>
      <c r="R3" s="510" t="s">
        <v>398</v>
      </c>
      <c r="S3" s="510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0" t="s">
        <v>394</v>
      </c>
      <c r="AC3" s="438" t="s">
        <v>393</v>
      </c>
      <c r="AD3" s="438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83" t="s">
        <v>126</v>
      </c>
      <c r="AO3" s="684"/>
      <c r="AP3" s="685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1"/>
      <c r="N4" s="511"/>
      <c r="O4" s="511"/>
      <c r="P4" s="511"/>
      <c r="Q4" s="511"/>
      <c r="R4" s="511"/>
      <c r="S4" s="511"/>
      <c r="T4" s="83"/>
      <c r="U4" s="83"/>
      <c r="V4" s="323"/>
      <c r="W4" s="324"/>
      <c r="X4" s="323"/>
      <c r="Y4" s="324"/>
      <c r="Z4" s="325"/>
      <c r="AA4" s="439"/>
      <c r="AB4" s="441"/>
      <c r="AC4" s="439"/>
      <c r="AD4" s="439"/>
      <c r="AE4" s="439"/>
      <c r="AF4" s="439"/>
      <c r="AG4" s="439"/>
      <c r="AH4" s="439"/>
      <c r="AI4" s="439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44346</v>
      </c>
      <c r="B5" s="410">
        <v>109443</v>
      </c>
      <c r="C5" s="410">
        <v>0</v>
      </c>
      <c r="D5" s="410">
        <v>0</v>
      </c>
      <c r="E5" s="410">
        <v>250</v>
      </c>
      <c r="F5" s="410"/>
      <c r="G5" s="410">
        <v>618491</v>
      </c>
      <c r="H5" s="410">
        <v>0</v>
      </c>
      <c r="I5" s="410">
        <v>0</v>
      </c>
      <c r="J5" s="410">
        <v>0</v>
      </c>
      <c r="K5" s="410">
        <v>6751</v>
      </c>
      <c r="L5" s="410">
        <v>0</v>
      </c>
      <c r="M5" s="410">
        <v>457.44</v>
      </c>
      <c r="N5" s="410">
        <v>0</v>
      </c>
      <c r="O5" s="410">
        <v>529.52</v>
      </c>
      <c r="P5" s="410">
        <v>0</v>
      </c>
      <c r="Q5" s="410">
        <v>0</v>
      </c>
      <c r="R5" s="410"/>
      <c r="S5" s="410"/>
      <c r="T5" s="410">
        <v>5171</v>
      </c>
      <c r="U5" s="410">
        <v>0</v>
      </c>
      <c r="V5" s="410">
        <v>470</v>
      </c>
      <c r="W5" s="410">
        <v>0</v>
      </c>
      <c r="X5" s="410">
        <v>151413</v>
      </c>
      <c r="Y5" s="410">
        <v>0</v>
      </c>
      <c r="Z5" s="410">
        <v>98768</v>
      </c>
      <c r="AA5" s="410">
        <v>0</v>
      </c>
      <c r="AB5" s="410">
        <v>261</v>
      </c>
      <c r="AC5" s="410">
        <v>731</v>
      </c>
      <c r="AD5" s="410">
        <v>0</v>
      </c>
      <c r="AE5" s="410">
        <v>229.78</v>
      </c>
      <c r="AF5" s="410">
        <v>0</v>
      </c>
      <c r="AG5" s="410">
        <v>2205.62</v>
      </c>
      <c r="AH5" s="410">
        <v>0</v>
      </c>
      <c r="AI5" s="410">
        <v>0</v>
      </c>
      <c r="AJ5" s="410">
        <v>0</v>
      </c>
      <c r="AK5" s="410">
        <v>0</v>
      </c>
      <c r="AL5" s="410">
        <v>0</v>
      </c>
      <c r="AM5" s="410">
        <v>23</v>
      </c>
      <c r="AN5" s="410">
        <v>0</v>
      </c>
      <c r="AO5" s="410"/>
      <c r="AP5" s="410">
        <v>0</v>
      </c>
      <c r="AQ5" s="410"/>
      <c r="AR5" s="410">
        <v>44346</v>
      </c>
      <c r="AS5" s="410">
        <v>0.9</v>
      </c>
      <c r="AT5" s="410">
        <v>80</v>
      </c>
      <c r="AU5" s="410">
        <v>1.1000000000000001</v>
      </c>
      <c r="AV5" s="410">
        <v>150</v>
      </c>
      <c r="AW5" s="410">
        <v>2.9</v>
      </c>
      <c r="AX5" s="410">
        <v>141</v>
      </c>
      <c r="AY5" s="410">
        <v>72</v>
      </c>
      <c r="AZ5" s="410">
        <v>165</v>
      </c>
      <c r="BA5" s="410">
        <v>408.9</v>
      </c>
      <c r="BB5" s="410">
        <v>-9</v>
      </c>
      <c r="BC5" s="410">
        <v>-2.2000000000000171</v>
      </c>
      <c r="BD5" s="410">
        <v>-11.600000000000023</v>
      </c>
      <c r="BE5" s="410">
        <v>-22.80000000000004</v>
      </c>
      <c r="BF5" s="410">
        <v>22.80000000000004</v>
      </c>
      <c r="BG5" s="410">
        <v>-22.80000000000004</v>
      </c>
    </row>
    <row r="6" spans="1:65" ht="15.75" thickBot="1">
      <c r="A6" s="6">
        <f>ELEC!C3</f>
        <v>44317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log'!$A$37))</f>
        <v>241.93548387096774</v>
      </c>
      <c r="F6" s="418"/>
      <c r="G6" s="5">
        <v>618498</v>
      </c>
      <c r="H6" s="5">
        <f>G6-G5</f>
        <v>7</v>
      </c>
      <c r="I6" s="5">
        <f t="shared" ref="I6:I33" si="0">C6+H6</f>
        <v>7</v>
      </c>
      <c r="J6" s="334">
        <f t="shared" ref="J6:J33" si="1">IF(I6&gt;0,E6/I6,0)</f>
        <v>34.562211981566819</v>
      </c>
      <c r="K6" s="5">
        <f>'Swimming Pool quality check '!H6</f>
        <v>6751</v>
      </c>
      <c r="L6" s="83">
        <v>0</v>
      </c>
      <c r="M6" s="410">
        <f>M5</f>
        <v>457.44</v>
      </c>
      <c r="N6" s="511">
        <f t="shared" ref="N6:N13" si="2">SUM(M6-M5)</f>
        <v>0</v>
      </c>
      <c r="O6" s="410">
        <f>O5</f>
        <v>529.52</v>
      </c>
      <c r="P6" s="511">
        <f t="shared" ref="P6:P13" si="3">SUM(O6-O5)</f>
        <v>0</v>
      </c>
      <c r="Q6" s="512">
        <f>P6+N6</f>
        <v>0</v>
      </c>
      <c r="R6" s="511"/>
      <c r="S6" s="511"/>
      <c r="T6" s="5">
        <f>T5</f>
        <v>5171</v>
      </c>
      <c r="U6" s="5">
        <f t="shared" ref="U6:U33" si="4">SUM(T6-T5)</f>
        <v>0</v>
      </c>
      <c r="V6" s="5">
        <f>V5</f>
        <v>470</v>
      </c>
      <c r="W6" s="324">
        <f>+V6-V5</f>
        <v>0</v>
      </c>
      <c r="X6" s="5">
        <v>151413</v>
      </c>
      <c r="Y6" s="324">
        <f>SUM(X6-X5)</f>
        <v>0</v>
      </c>
      <c r="Z6" s="5">
        <f>Z5</f>
        <v>98768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229.78</v>
      </c>
      <c r="AF6" s="83">
        <f>AE6-AE5</f>
        <v>0</v>
      </c>
      <c r="AG6" s="5">
        <f>AG5</f>
        <v>2205.62</v>
      </c>
      <c r="AH6" s="83">
        <f>AG6-AG5</f>
        <v>0</v>
      </c>
      <c r="AI6" s="83">
        <f>AF6+AH6</f>
        <v>0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23.5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44317</v>
      </c>
      <c r="AS6" s="424">
        <f t="shared" ref="AS6:AT21" si="6">AS5</f>
        <v>0.9</v>
      </c>
      <c r="AT6" s="201">
        <v>81</v>
      </c>
      <c r="AU6" s="425">
        <f>AU5</f>
        <v>1.1000000000000001</v>
      </c>
      <c r="AV6" s="201">
        <v>148</v>
      </c>
      <c r="AW6" s="5">
        <v>2.9</v>
      </c>
      <c r="AX6" s="201">
        <v>139</v>
      </c>
      <c r="AY6" s="426">
        <f t="shared" ref="AY6:AY33" si="7">AS6*AT6</f>
        <v>72.900000000000006</v>
      </c>
      <c r="AZ6" s="426">
        <f>AU6*AV6</f>
        <v>162.80000000000001</v>
      </c>
      <c r="BA6" s="426">
        <f>AW6*AX6</f>
        <v>403.09999999999997</v>
      </c>
      <c r="BB6" s="21">
        <f>AY6-AY5</f>
        <v>0.90000000000000568</v>
      </c>
      <c r="BC6" s="21">
        <f>AZ6-AZ5</f>
        <v>-2.1999999999999886</v>
      </c>
      <c r="BD6" s="21">
        <f>BA6-BA5</f>
        <v>-5.8000000000000114</v>
      </c>
      <c r="BE6" s="24">
        <f>SUM(BB6:BD6)</f>
        <v>-7.0999999999999943</v>
      </c>
      <c r="BF6" s="96">
        <f t="shared" ref="BF6:BF33" si="8">SUM(I6-BE6)</f>
        <v>14.099999999999994</v>
      </c>
      <c r="BG6" s="82">
        <f t="shared" ref="BG6:BG33" si="9">SUM(I6-BF6)</f>
        <v>-7.0999999999999943</v>
      </c>
      <c r="BI6" s="17"/>
      <c r="BJ6" s="17"/>
      <c r="BK6" s="17"/>
      <c r="BL6" s="17"/>
      <c r="BM6" s="17"/>
    </row>
    <row r="7" spans="1:65" ht="15.75" thickBot="1">
      <c r="A7" s="6">
        <f>ELEC!C4</f>
        <v>44318</v>
      </c>
      <c r="B7" s="5">
        <f t="shared" ref="B7:B36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log'!$A$37))</f>
        <v>241.93548387096774</v>
      </c>
      <c r="F7" s="418"/>
      <c r="G7" s="5">
        <f t="shared" ref="G7:G35" si="13">G6</f>
        <v>618498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6754</v>
      </c>
      <c r="L7" s="83">
        <f>K7-K6</f>
        <v>3</v>
      </c>
      <c r="M7" s="410">
        <f t="shared" ref="M7:M36" si="15">M6</f>
        <v>457.44</v>
      </c>
      <c r="N7" s="511">
        <f t="shared" si="2"/>
        <v>0</v>
      </c>
      <c r="O7" s="410">
        <f t="shared" ref="O7:O36" si="16">O6</f>
        <v>529.52</v>
      </c>
      <c r="P7" s="511">
        <f t="shared" si="3"/>
        <v>0</v>
      </c>
      <c r="Q7" s="512">
        <f>P7+N7</f>
        <v>0</v>
      </c>
      <c r="R7" s="511"/>
      <c r="S7" s="511"/>
      <c r="T7" s="5">
        <f t="shared" ref="T7:T36" si="17">T6</f>
        <v>5171</v>
      </c>
      <c r="U7" s="5">
        <f t="shared" si="4"/>
        <v>0</v>
      </c>
      <c r="V7" s="5">
        <f t="shared" ref="V7:V36" si="18">V6</f>
        <v>470</v>
      </c>
      <c r="W7" s="324">
        <f t="shared" ref="W7:W33" si="19">+V7-V6</f>
        <v>0</v>
      </c>
      <c r="X7" s="5">
        <f t="shared" ref="X7:X35" si="20">X6</f>
        <v>151413</v>
      </c>
      <c r="Y7" s="324">
        <f>SUM(X7-X6)</f>
        <v>0</v>
      </c>
      <c r="Z7" s="5">
        <f t="shared" ref="Z7:Z36" si="21">Z6</f>
        <v>98768</v>
      </c>
      <c r="AA7" s="83">
        <f t="shared" ref="AA7:AA33" si="22">Z7-Z6</f>
        <v>0</v>
      </c>
      <c r="AB7" s="5">
        <f t="shared" ref="AB7:AB36" si="23">AB6</f>
        <v>261</v>
      </c>
      <c r="AC7" s="5">
        <f t="shared" ref="AC7:AC36" si="24">AC6</f>
        <v>731</v>
      </c>
      <c r="AD7" s="83">
        <f>AC7-AC6</f>
        <v>0</v>
      </c>
      <c r="AE7" s="5">
        <f t="shared" ref="AE7:AE35" si="25">AE6</f>
        <v>229.78</v>
      </c>
      <c r="AF7" s="83">
        <f t="shared" ref="AF7:AF32" si="26">AE7-AE6</f>
        <v>0</v>
      </c>
      <c r="AG7" s="5">
        <f t="shared" ref="AG7:AG36" si="27">AG6</f>
        <v>2205.62</v>
      </c>
      <c r="AH7" s="83">
        <f t="shared" ref="AH7:AH33" si="28">AG7-AG6</f>
        <v>0</v>
      </c>
      <c r="AI7" s="83">
        <f t="shared" ref="AI7:AI33" si="29">AF7+AH7</f>
        <v>0</v>
      </c>
      <c r="AJ7" s="326">
        <f t="shared" ref="AJ7:AJ33" si="30">+Z7-Z6</f>
        <v>0</v>
      </c>
      <c r="AK7" s="327">
        <f>SUM(Y7-L7)</f>
        <v>-3</v>
      </c>
      <c r="AL7" s="327">
        <f t="shared" ref="AL7:AL33" si="31">SUM(AJ7-W7)</f>
        <v>0</v>
      </c>
      <c r="AM7" s="327">
        <f>'General information '!D7</f>
        <v>23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32">A7</f>
        <v>44318</v>
      </c>
      <c r="AS7" s="424">
        <f t="shared" si="6"/>
        <v>0.9</v>
      </c>
      <c r="AT7" s="201">
        <v>82</v>
      </c>
      <c r="AU7" s="425">
        <f>AU6</f>
        <v>1.1000000000000001</v>
      </c>
      <c r="AV7" s="201">
        <v>146</v>
      </c>
      <c r="AW7" s="5">
        <v>2.9</v>
      </c>
      <c r="AX7" s="201">
        <v>138</v>
      </c>
      <c r="AY7" s="426">
        <f t="shared" si="7"/>
        <v>73.8</v>
      </c>
      <c r="AZ7" s="426">
        <f t="shared" ref="AZ7:AZ33" si="33">AU7*AV7</f>
        <v>160.60000000000002</v>
      </c>
      <c r="BA7" s="426">
        <f t="shared" ref="BA7:BA33" si="34">AW7*AX7</f>
        <v>400.2</v>
      </c>
      <c r="BB7" s="21">
        <f t="shared" ref="BB7:BD33" si="35">AY7-AY6</f>
        <v>0.89999999999999147</v>
      </c>
      <c r="BC7" s="21">
        <f t="shared" ref="BC7:BD21" si="36">AZ7-AZ6</f>
        <v>-2.1999999999999886</v>
      </c>
      <c r="BD7" s="21">
        <f t="shared" si="36"/>
        <v>-2.8999999999999773</v>
      </c>
      <c r="BE7" s="24">
        <f t="shared" ref="BE7:BE33" si="37">SUM(BB7:BD7)</f>
        <v>-4.1999999999999744</v>
      </c>
      <c r="BF7" s="96">
        <f t="shared" si="8"/>
        <v>4.1999999999999744</v>
      </c>
      <c r="BG7" s="82">
        <f t="shared" si="9"/>
        <v>-4.1999999999999744</v>
      </c>
      <c r="BI7" s="86"/>
      <c r="BJ7" s="17"/>
      <c r="BK7" s="17"/>
      <c r="BL7" s="17"/>
      <c r="BM7" s="17"/>
    </row>
    <row r="8" spans="1:65" ht="15.75" thickBot="1">
      <c r="A8" s="6">
        <f>ELEC!C5</f>
        <v>44319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log'!$A$37))</f>
        <v>241.93548387096774</v>
      </c>
      <c r="F8" s="418"/>
      <c r="G8" s="5">
        <v>618787</v>
      </c>
      <c r="H8" s="5">
        <f t="shared" si="14"/>
        <v>289</v>
      </c>
      <c r="I8" s="5">
        <f t="shared" si="0"/>
        <v>289</v>
      </c>
      <c r="J8" s="334">
        <f t="shared" si="1"/>
        <v>0.83714700301372924</v>
      </c>
      <c r="K8" s="5">
        <f>'Swimming Pool quality check '!H8</f>
        <v>6754</v>
      </c>
      <c r="L8" s="83">
        <f>K8-K7</f>
        <v>0</v>
      </c>
      <c r="M8" s="410">
        <f t="shared" si="15"/>
        <v>457.44</v>
      </c>
      <c r="N8" s="511">
        <f t="shared" si="2"/>
        <v>0</v>
      </c>
      <c r="O8" s="410">
        <f t="shared" si="16"/>
        <v>529.52</v>
      </c>
      <c r="P8" s="511">
        <f t="shared" si="3"/>
        <v>0</v>
      </c>
      <c r="Q8" s="512">
        <f>P8+N8</f>
        <v>0</v>
      </c>
      <c r="R8" s="511"/>
      <c r="S8" s="511"/>
      <c r="T8" s="5">
        <f t="shared" si="17"/>
        <v>5171</v>
      </c>
      <c r="U8" s="5">
        <f t="shared" si="4"/>
        <v>0</v>
      </c>
      <c r="V8" s="5">
        <f t="shared" si="18"/>
        <v>470</v>
      </c>
      <c r="W8" s="324">
        <f t="shared" si="19"/>
        <v>0</v>
      </c>
      <c r="X8" s="5">
        <v>151495</v>
      </c>
      <c r="Y8" s="324">
        <f>SUM(X8-X7)</f>
        <v>82</v>
      </c>
      <c r="Z8" s="5">
        <v>98804</v>
      </c>
      <c r="AA8" s="83">
        <f t="shared" si="22"/>
        <v>36</v>
      </c>
      <c r="AB8" s="5">
        <f t="shared" si="23"/>
        <v>261</v>
      </c>
      <c r="AC8" s="5">
        <f t="shared" si="24"/>
        <v>731</v>
      </c>
      <c r="AD8" s="83">
        <f t="shared" ref="AD8:AD33" si="38">AC8-AC7</f>
        <v>0</v>
      </c>
      <c r="AE8" s="5">
        <f t="shared" si="25"/>
        <v>229.78</v>
      </c>
      <c r="AF8" s="83">
        <f t="shared" si="26"/>
        <v>0</v>
      </c>
      <c r="AG8" s="5">
        <f t="shared" si="27"/>
        <v>2205.62</v>
      </c>
      <c r="AH8" s="83">
        <f t="shared" si="28"/>
        <v>0</v>
      </c>
      <c r="AI8" s="83">
        <f t="shared" si="29"/>
        <v>0</v>
      </c>
      <c r="AJ8" s="326">
        <f t="shared" si="30"/>
        <v>36</v>
      </c>
      <c r="AK8" s="327">
        <f t="shared" ref="AK8:AK33" si="39">SUM(Y8-L8)</f>
        <v>82</v>
      </c>
      <c r="AL8" s="327">
        <f t="shared" si="31"/>
        <v>36</v>
      </c>
      <c r="AM8" s="327">
        <f>'General information '!D8</f>
        <v>24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32"/>
        <v>44319</v>
      </c>
      <c r="AS8" s="424">
        <f t="shared" si="6"/>
        <v>0.9</v>
      </c>
      <c r="AT8" s="201">
        <v>99</v>
      </c>
      <c r="AU8" s="425">
        <v>1.1000000000000001</v>
      </c>
      <c r="AV8" s="201">
        <v>170</v>
      </c>
      <c r="AW8" s="5">
        <v>2.9</v>
      </c>
      <c r="AX8" s="201">
        <v>158</v>
      </c>
      <c r="AY8" s="426">
        <f t="shared" si="7"/>
        <v>89.100000000000009</v>
      </c>
      <c r="AZ8" s="426">
        <f t="shared" si="33"/>
        <v>187.00000000000003</v>
      </c>
      <c r="BA8" s="426">
        <f t="shared" si="34"/>
        <v>458.2</v>
      </c>
      <c r="BB8" s="21">
        <f t="shared" si="35"/>
        <v>15.300000000000011</v>
      </c>
      <c r="BC8" s="21">
        <f t="shared" si="36"/>
        <v>26.400000000000006</v>
      </c>
      <c r="BD8" s="21">
        <f t="shared" si="36"/>
        <v>58</v>
      </c>
      <c r="BE8" s="24">
        <f t="shared" si="37"/>
        <v>99.700000000000017</v>
      </c>
      <c r="BF8" s="96">
        <f t="shared" si="8"/>
        <v>189.29999999999998</v>
      </c>
      <c r="BG8" s="82">
        <f t="shared" si="9"/>
        <v>99.700000000000017</v>
      </c>
      <c r="BI8" s="86"/>
      <c r="BJ8" s="17"/>
      <c r="BK8" s="17"/>
    </row>
    <row r="9" spans="1:65" ht="15.75" thickBot="1">
      <c r="A9" s="6">
        <f>ELEC!C6</f>
        <v>44320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log'!$A$37))</f>
        <v>241.93548387096774</v>
      </c>
      <c r="F9" s="418"/>
      <c r="G9" s="5">
        <f t="shared" si="13"/>
        <v>618787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6754</v>
      </c>
      <c r="L9" s="83">
        <f t="shared" ref="L9:L33" si="40">K9-K8</f>
        <v>0</v>
      </c>
      <c r="M9" s="410">
        <f t="shared" si="15"/>
        <v>457.44</v>
      </c>
      <c r="N9" s="511">
        <f t="shared" si="2"/>
        <v>0</v>
      </c>
      <c r="O9" s="410">
        <f t="shared" si="16"/>
        <v>529.52</v>
      </c>
      <c r="P9" s="511">
        <f t="shared" si="3"/>
        <v>0</v>
      </c>
      <c r="Q9" s="512">
        <f>P9+N9</f>
        <v>0</v>
      </c>
      <c r="R9" s="511"/>
      <c r="S9" s="511"/>
      <c r="T9" s="5">
        <f t="shared" si="17"/>
        <v>5171</v>
      </c>
      <c r="U9" s="5">
        <f t="shared" si="4"/>
        <v>0</v>
      </c>
      <c r="V9" s="5">
        <v>471</v>
      </c>
      <c r="W9" s="324">
        <f t="shared" si="19"/>
        <v>1</v>
      </c>
      <c r="X9" s="5">
        <v>151496</v>
      </c>
      <c r="Y9" s="324">
        <f t="shared" ref="Y9:Y33" si="41">SUM(X9-X8)</f>
        <v>1</v>
      </c>
      <c r="Z9" s="5">
        <v>98804</v>
      </c>
      <c r="AA9" s="83">
        <f t="shared" si="22"/>
        <v>0</v>
      </c>
      <c r="AB9" s="5">
        <f t="shared" si="23"/>
        <v>261</v>
      </c>
      <c r="AC9" s="5">
        <f t="shared" si="24"/>
        <v>731</v>
      </c>
      <c r="AD9" s="83">
        <f t="shared" si="38"/>
        <v>0</v>
      </c>
      <c r="AE9" s="5">
        <f t="shared" si="25"/>
        <v>229.78</v>
      </c>
      <c r="AF9" s="83">
        <f t="shared" si="26"/>
        <v>0</v>
      </c>
      <c r="AG9" s="5">
        <f t="shared" si="27"/>
        <v>2205.62</v>
      </c>
      <c r="AH9" s="83">
        <f t="shared" si="28"/>
        <v>0</v>
      </c>
      <c r="AI9" s="83">
        <f t="shared" si="29"/>
        <v>0</v>
      </c>
      <c r="AJ9" s="326">
        <f t="shared" si="30"/>
        <v>0</v>
      </c>
      <c r="AK9" s="327">
        <f t="shared" si="39"/>
        <v>1</v>
      </c>
      <c r="AL9" s="327">
        <f t="shared" si="31"/>
        <v>-1</v>
      </c>
      <c r="AM9" s="327">
        <f>'General information '!D9</f>
        <v>22.5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32"/>
        <v>44320</v>
      </c>
      <c r="AS9" s="424">
        <f t="shared" si="6"/>
        <v>0.9</v>
      </c>
      <c r="AT9" s="201">
        <v>82</v>
      </c>
      <c r="AU9" s="425">
        <f t="shared" ref="AU9:AU33" si="42">AU8</f>
        <v>1.1000000000000001</v>
      </c>
      <c r="AV9" s="201">
        <v>169</v>
      </c>
      <c r="AW9" s="5">
        <v>2.9</v>
      </c>
      <c r="AX9" s="201">
        <v>154</v>
      </c>
      <c r="AY9" s="426">
        <f t="shared" si="7"/>
        <v>73.8</v>
      </c>
      <c r="AZ9" s="426">
        <f t="shared" si="33"/>
        <v>185.9</v>
      </c>
      <c r="BA9" s="426">
        <f t="shared" si="34"/>
        <v>446.59999999999997</v>
      </c>
      <c r="BB9" s="21">
        <f t="shared" si="35"/>
        <v>-15.300000000000011</v>
      </c>
      <c r="BC9" s="21">
        <f t="shared" si="36"/>
        <v>-1.1000000000000227</v>
      </c>
      <c r="BD9" s="21">
        <f t="shared" si="36"/>
        <v>-11.600000000000023</v>
      </c>
      <c r="BE9" s="24">
        <f t="shared" si="37"/>
        <v>-28.000000000000057</v>
      </c>
      <c r="BF9" s="345">
        <f t="shared" si="8"/>
        <v>28.000000000000057</v>
      </c>
      <c r="BG9" s="82">
        <f t="shared" si="9"/>
        <v>-28.000000000000057</v>
      </c>
    </row>
    <row r="10" spans="1:65" ht="15.75" thickBot="1">
      <c r="A10" s="6">
        <f>ELEC!C7</f>
        <v>44321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log'!$A$37))</f>
        <v>241.93548387096774</v>
      </c>
      <c r="F10" s="418"/>
      <c r="G10" s="5">
        <v>619082</v>
      </c>
      <c r="H10" s="5">
        <f t="shared" si="14"/>
        <v>295</v>
      </c>
      <c r="I10" s="5">
        <f t="shared" si="0"/>
        <v>295</v>
      </c>
      <c r="J10" s="334">
        <f t="shared" si="1"/>
        <v>0.82012028430836525</v>
      </c>
      <c r="K10" s="5">
        <f>'Swimming Pool quality check '!H10</f>
        <v>6754</v>
      </c>
      <c r="L10" s="83">
        <f>K10-K9</f>
        <v>0</v>
      </c>
      <c r="M10" s="410">
        <f t="shared" si="15"/>
        <v>457.44</v>
      </c>
      <c r="N10" s="511">
        <f t="shared" si="2"/>
        <v>0</v>
      </c>
      <c r="O10" s="410">
        <f t="shared" si="16"/>
        <v>529.52</v>
      </c>
      <c r="P10" s="511">
        <f t="shared" si="3"/>
        <v>0</v>
      </c>
      <c r="Q10" s="512">
        <f>P10+N10</f>
        <v>0</v>
      </c>
      <c r="R10" s="511"/>
      <c r="S10" s="511"/>
      <c r="T10" s="5">
        <f t="shared" si="17"/>
        <v>5171</v>
      </c>
      <c r="U10" s="5">
        <f t="shared" si="4"/>
        <v>0</v>
      </c>
      <c r="V10" s="5">
        <f t="shared" si="18"/>
        <v>471</v>
      </c>
      <c r="W10" s="324">
        <f t="shared" si="19"/>
        <v>0</v>
      </c>
      <c r="X10" s="5">
        <v>151601</v>
      </c>
      <c r="Y10" s="324">
        <f t="shared" si="41"/>
        <v>105</v>
      </c>
      <c r="Z10" s="5">
        <f t="shared" si="21"/>
        <v>98804</v>
      </c>
      <c r="AA10" s="83">
        <f t="shared" si="22"/>
        <v>0</v>
      </c>
      <c r="AB10" s="5">
        <f t="shared" si="23"/>
        <v>261</v>
      </c>
      <c r="AC10" s="5">
        <f t="shared" si="24"/>
        <v>731</v>
      </c>
      <c r="AD10" s="83">
        <f t="shared" si="38"/>
        <v>0</v>
      </c>
      <c r="AE10" s="5">
        <f t="shared" si="25"/>
        <v>229.78</v>
      </c>
      <c r="AF10" s="83">
        <f t="shared" si="26"/>
        <v>0</v>
      </c>
      <c r="AG10" s="5">
        <f t="shared" si="27"/>
        <v>2205.62</v>
      </c>
      <c r="AH10" s="83">
        <f t="shared" si="28"/>
        <v>0</v>
      </c>
      <c r="AI10" s="83">
        <f t="shared" si="29"/>
        <v>0</v>
      </c>
      <c r="AJ10" s="326">
        <f t="shared" si="30"/>
        <v>0</v>
      </c>
      <c r="AK10" s="327">
        <f t="shared" si="39"/>
        <v>105</v>
      </c>
      <c r="AL10" s="327">
        <f t="shared" si="31"/>
        <v>0</v>
      </c>
      <c r="AM10" s="327">
        <f>'General information '!D10</f>
        <v>23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32"/>
        <v>44321</v>
      </c>
      <c r="AS10" s="424">
        <f t="shared" si="6"/>
        <v>0.9</v>
      </c>
      <c r="AT10" s="201">
        <v>104</v>
      </c>
      <c r="AU10" s="425">
        <f t="shared" si="42"/>
        <v>1.1000000000000001</v>
      </c>
      <c r="AV10" s="201">
        <v>167</v>
      </c>
      <c r="AW10" s="5">
        <v>2.9</v>
      </c>
      <c r="AX10" s="201">
        <v>177</v>
      </c>
      <c r="AY10" s="426">
        <f t="shared" si="7"/>
        <v>93.600000000000009</v>
      </c>
      <c r="AZ10" s="426">
        <f t="shared" si="33"/>
        <v>183.70000000000002</v>
      </c>
      <c r="BA10" s="426">
        <f t="shared" si="34"/>
        <v>513.29999999999995</v>
      </c>
      <c r="BB10" s="21">
        <f t="shared" si="35"/>
        <v>19.800000000000011</v>
      </c>
      <c r="BC10" s="21">
        <f t="shared" si="36"/>
        <v>-2.1999999999999886</v>
      </c>
      <c r="BD10" s="21">
        <f t="shared" si="36"/>
        <v>66.699999999999989</v>
      </c>
      <c r="BE10" s="24">
        <f t="shared" si="37"/>
        <v>84.300000000000011</v>
      </c>
      <c r="BF10" s="96">
        <f t="shared" si="8"/>
        <v>210.7</v>
      </c>
      <c r="BG10" s="82">
        <f t="shared" si="9"/>
        <v>84.300000000000011</v>
      </c>
    </row>
    <row r="11" spans="1:65" ht="15.75" thickBot="1">
      <c r="A11" s="6">
        <f>ELEC!C8</f>
        <v>44322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log'!$A$37))</f>
        <v>241.93548387096774</v>
      </c>
      <c r="F11" s="418"/>
      <c r="G11" s="5">
        <f t="shared" si="13"/>
        <v>619082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6760</v>
      </c>
      <c r="L11" s="83">
        <f t="shared" si="40"/>
        <v>6</v>
      </c>
      <c r="M11" s="410">
        <f t="shared" si="15"/>
        <v>457.44</v>
      </c>
      <c r="N11" s="511">
        <f t="shared" si="2"/>
        <v>0</v>
      </c>
      <c r="O11" s="410">
        <f t="shared" si="16"/>
        <v>529.52</v>
      </c>
      <c r="P11" s="511">
        <f t="shared" si="3"/>
        <v>0</v>
      </c>
      <c r="Q11" s="511">
        <f>SUM(P11+N11)</f>
        <v>0</v>
      </c>
      <c r="R11" s="511"/>
      <c r="S11" s="511"/>
      <c r="T11" s="5">
        <f t="shared" si="17"/>
        <v>5171</v>
      </c>
      <c r="U11" s="5">
        <f t="shared" si="4"/>
        <v>0</v>
      </c>
      <c r="V11" s="5">
        <f t="shared" si="18"/>
        <v>471</v>
      </c>
      <c r="W11" s="324">
        <f t="shared" si="19"/>
        <v>0</v>
      </c>
      <c r="X11" s="5">
        <f t="shared" si="20"/>
        <v>151601</v>
      </c>
      <c r="Y11" s="324">
        <f t="shared" si="41"/>
        <v>0</v>
      </c>
      <c r="Z11" s="5">
        <f t="shared" si="21"/>
        <v>98804</v>
      </c>
      <c r="AA11" s="83">
        <f t="shared" si="22"/>
        <v>0</v>
      </c>
      <c r="AB11" s="5">
        <f t="shared" si="23"/>
        <v>261</v>
      </c>
      <c r="AC11" s="5">
        <f t="shared" si="24"/>
        <v>731</v>
      </c>
      <c r="AD11" s="83">
        <f t="shared" si="38"/>
        <v>0</v>
      </c>
      <c r="AE11" s="5">
        <f t="shared" si="25"/>
        <v>229.78</v>
      </c>
      <c r="AF11" s="83">
        <f t="shared" si="26"/>
        <v>0</v>
      </c>
      <c r="AG11" s="5">
        <f t="shared" si="27"/>
        <v>2205.62</v>
      </c>
      <c r="AH11" s="83">
        <f t="shared" si="28"/>
        <v>0</v>
      </c>
      <c r="AI11" s="83">
        <f t="shared" si="29"/>
        <v>0</v>
      </c>
      <c r="AJ11" s="326">
        <f t="shared" si="30"/>
        <v>0</v>
      </c>
      <c r="AK11" s="327">
        <f t="shared" si="39"/>
        <v>-6</v>
      </c>
      <c r="AL11" s="327">
        <f t="shared" si="31"/>
        <v>0</v>
      </c>
      <c r="AM11" s="327">
        <f>'General information '!D11</f>
        <v>22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32"/>
        <v>44322</v>
      </c>
      <c r="AS11" s="424">
        <f t="shared" si="6"/>
        <v>0.9</v>
      </c>
      <c r="AT11" s="201">
        <f t="shared" si="6"/>
        <v>104</v>
      </c>
      <c r="AU11" s="425">
        <f t="shared" si="42"/>
        <v>1.1000000000000001</v>
      </c>
      <c r="AV11" s="201">
        <v>165</v>
      </c>
      <c r="AW11" s="5">
        <v>2.9</v>
      </c>
      <c r="AX11" s="201">
        <v>176</v>
      </c>
      <c r="AY11" s="426">
        <f t="shared" si="7"/>
        <v>93.600000000000009</v>
      </c>
      <c r="AZ11" s="426">
        <f t="shared" si="33"/>
        <v>181.50000000000003</v>
      </c>
      <c r="BA11" s="426">
        <f t="shared" si="34"/>
        <v>510.4</v>
      </c>
      <c r="BB11" s="21">
        <f t="shared" si="35"/>
        <v>0</v>
      </c>
      <c r="BC11" s="21">
        <f t="shared" si="36"/>
        <v>-2.1999999999999886</v>
      </c>
      <c r="BD11" s="21">
        <f t="shared" si="36"/>
        <v>-2.8999999999999773</v>
      </c>
      <c r="BE11" s="24">
        <f t="shared" si="37"/>
        <v>-5.0999999999999659</v>
      </c>
      <c r="BF11" s="96">
        <f t="shared" si="8"/>
        <v>5.0999999999999659</v>
      </c>
      <c r="BG11" s="82">
        <f t="shared" si="9"/>
        <v>-5.0999999999999659</v>
      </c>
    </row>
    <row r="12" spans="1:65" ht="15.75" thickBot="1">
      <c r="A12" s="6">
        <f>ELEC!C9</f>
        <v>44323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log'!$A$37))</f>
        <v>241.93548387096774</v>
      </c>
      <c r="F12" s="418"/>
      <c r="G12" s="5">
        <v>619375</v>
      </c>
      <c r="H12" s="5">
        <f t="shared" si="14"/>
        <v>293</v>
      </c>
      <c r="I12" s="5">
        <f t="shared" si="0"/>
        <v>293</v>
      </c>
      <c r="J12" s="334">
        <f t="shared" si="1"/>
        <v>0.82571837498623801</v>
      </c>
      <c r="K12" s="5">
        <f>'Swimming Pool quality check '!H12</f>
        <v>6760</v>
      </c>
      <c r="L12" s="83">
        <f t="shared" si="40"/>
        <v>0</v>
      </c>
      <c r="M12" s="410">
        <f t="shared" si="15"/>
        <v>457.44</v>
      </c>
      <c r="N12" s="511">
        <f t="shared" si="2"/>
        <v>0</v>
      </c>
      <c r="O12" s="410">
        <f t="shared" si="16"/>
        <v>529.52</v>
      </c>
      <c r="P12" s="511">
        <f t="shared" si="3"/>
        <v>0</v>
      </c>
      <c r="Q12" s="511">
        <f>SUM(P12+N12)</f>
        <v>0</v>
      </c>
      <c r="R12" s="511"/>
      <c r="S12" s="511"/>
      <c r="T12" s="5">
        <f t="shared" si="17"/>
        <v>5171</v>
      </c>
      <c r="U12" s="5">
        <f t="shared" si="4"/>
        <v>0</v>
      </c>
      <c r="V12" s="5">
        <f t="shared" si="18"/>
        <v>471</v>
      </c>
      <c r="W12" s="324">
        <f t="shared" si="19"/>
        <v>0</v>
      </c>
      <c r="X12" s="5">
        <v>151746</v>
      </c>
      <c r="Y12" s="324">
        <f t="shared" si="41"/>
        <v>145</v>
      </c>
      <c r="Z12" s="5">
        <f t="shared" si="21"/>
        <v>98804</v>
      </c>
      <c r="AA12" s="83">
        <f t="shared" si="22"/>
        <v>0</v>
      </c>
      <c r="AB12" s="5">
        <f t="shared" si="23"/>
        <v>261</v>
      </c>
      <c r="AC12" s="5">
        <f t="shared" si="24"/>
        <v>731</v>
      </c>
      <c r="AD12" s="83">
        <f t="shared" si="38"/>
        <v>0</v>
      </c>
      <c r="AE12" s="5">
        <f t="shared" si="25"/>
        <v>229.78</v>
      </c>
      <c r="AF12" s="83">
        <f t="shared" si="26"/>
        <v>0</v>
      </c>
      <c r="AG12" s="5">
        <f t="shared" si="27"/>
        <v>2205.62</v>
      </c>
      <c r="AH12" s="83">
        <f t="shared" si="28"/>
        <v>0</v>
      </c>
      <c r="AI12" s="83">
        <f t="shared" si="29"/>
        <v>0</v>
      </c>
      <c r="AJ12" s="326">
        <f t="shared" si="30"/>
        <v>0</v>
      </c>
      <c r="AK12" s="327">
        <f t="shared" si="39"/>
        <v>145</v>
      </c>
      <c r="AL12" s="327">
        <f t="shared" si="31"/>
        <v>0</v>
      </c>
      <c r="AM12" s="327">
        <f>'General information '!D12</f>
        <v>23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32"/>
        <v>44323</v>
      </c>
      <c r="AS12" s="424">
        <f t="shared" si="6"/>
        <v>0.9</v>
      </c>
      <c r="AT12" s="201">
        <v>86</v>
      </c>
      <c r="AU12" s="425">
        <f t="shared" si="42"/>
        <v>1.1000000000000001</v>
      </c>
      <c r="AV12" s="201">
        <v>163</v>
      </c>
      <c r="AW12" s="5">
        <v>2.9</v>
      </c>
      <c r="AX12" s="201">
        <v>201</v>
      </c>
      <c r="AY12" s="426">
        <f t="shared" si="7"/>
        <v>77.400000000000006</v>
      </c>
      <c r="AZ12" s="426">
        <f t="shared" si="33"/>
        <v>179.3</v>
      </c>
      <c r="BA12" s="426">
        <f t="shared" si="34"/>
        <v>582.9</v>
      </c>
      <c r="BB12" s="21">
        <f t="shared" si="35"/>
        <v>-16.200000000000003</v>
      </c>
      <c r="BC12" s="21">
        <f t="shared" si="36"/>
        <v>-2.2000000000000171</v>
      </c>
      <c r="BD12" s="21">
        <f t="shared" si="36"/>
        <v>72.5</v>
      </c>
      <c r="BE12" s="24">
        <f t="shared" si="37"/>
        <v>54.09999999999998</v>
      </c>
      <c r="BF12" s="96">
        <f t="shared" si="8"/>
        <v>238.90000000000003</v>
      </c>
      <c r="BG12" s="82">
        <f t="shared" si="9"/>
        <v>54.099999999999966</v>
      </c>
    </row>
    <row r="13" spans="1:65" ht="15.75" thickBot="1">
      <c r="A13" s="6">
        <f>ELEC!C10</f>
        <v>44324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log'!$A$37))</f>
        <v>241.93548387096774</v>
      </c>
      <c r="F13" s="418"/>
      <c r="G13" s="5">
        <f t="shared" si="13"/>
        <v>619375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6760</v>
      </c>
      <c r="L13" s="83">
        <f t="shared" si="40"/>
        <v>0</v>
      </c>
      <c r="M13" s="410">
        <f t="shared" si="15"/>
        <v>457.44</v>
      </c>
      <c r="N13" s="511">
        <f t="shared" si="2"/>
        <v>0</v>
      </c>
      <c r="O13" s="410">
        <f t="shared" si="16"/>
        <v>529.52</v>
      </c>
      <c r="P13" s="511">
        <f t="shared" si="3"/>
        <v>0</v>
      </c>
      <c r="Q13" s="511">
        <f>SUM(P13+N13)</f>
        <v>0</v>
      </c>
      <c r="R13" s="511"/>
      <c r="S13" s="511"/>
      <c r="T13" s="5">
        <f t="shared" si="17"/>
        <v>5171</v>
      </c>
      <c r="U13" s="5">
        <f t="shared" si="4"/>
        <v>0</v>
      </c>
      <c r="V13" s="5">
        <f t="shared" si="18"/>
        <v>471</v>
      </c>
      <c r="W13" s="324">
        <f t="shared" si="19"/>
        <v>0</v>
      </c>
      <c r="X13" s="5">
        <f t="shared" si="20"/>
        <v>151746</v>
      </c>
      <c r="Y13" s="324">
        <f t="shared" si="41"/>
        <v>0</v>
      </c>
      <c r="Z13" s="5">
        <v>98836</v>
      </c>
      <c r="AA13" s="83">
        <f t="shared" si="22"/>
        <v>32</v>
      </c>
      <c r="AB13" s="5">
        <f t="shared" si="23"/>
        <v>261</v>
      </c>
      <c r="AC13" s="5">
        <f t="shared" si="24"/>
        <v>731</v>
      </c>
      <c r="AD13" s="83">
        <f t="shared" si="38"/>
        <v>0</v>
      </c>
      <c r="AE13" s="5">
        <f t="shared" si="25"/>
        <v>229.78</v>
      </c>
      <c r="AF13" s="83">
        <f t="shared" si="26"/>
        <v>0</v>
      </c>
      <c r="AG13" s="5">
        <f t="shared" si="27"/>
        <v>2205.62</v>
      </c>
      <c r="AH13" s="83">
        <f t="shared" si="28"/>
        <v>0</v>
      </c>
      <c r="AI13" s="83">
        <f t="shared" si="29"/>
        <v>0</v>
      </c>
      <c r="AJ13" s="326">
        <f t="shared" si="30"/>
        <v>32</v>
      </c>
      <c r="AK13" s="327">
        <f t="shared" si="39"/>
        <v>0</v>
      </c>
      <c r="AL13" s="327">
        <f t="shared" si="31"/>
        <v>32</v>
      </c>
      <c r="AM13" s="327">
        <f>'General information '!D13</f>
        <v>24.5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32"/>
        <v>44324</v>
      </c>
      <c r="AS13" s="424">
        <f t="shared" si="6"/>
        <v>0.9</v>
      </c>
      <c r="AT13" s="201">
        <v>58</v>
      </c>
      <c r="AU13" s="425">
        <f t="shared" si="42"/>
        <v>1.1000000000000001</v>
      </c>
      <c r="AV13" s="201">
        <v>182</v>
      </c>
      <c r="AW13" s="5">
        <v>2.9</v>
      </c>
      <c r="AX13" s="201">
        <v>190</v>
      </c>
      <c r="AY13" s="426">
        <f t="shared" si="7"/>
        <v>52.2</v>
      </c>
      <c r="AZ13" s="426">
        <f t="shared" si="33"/>
        <v>200.20000000000002</v>
      </c>
      <c r="BA13" s="426">
        <f t="shared" si="34"/>
        <v>551</v>
      </c>
      <c r="BB13" s="21">
        <f t="shared" si="35"/>
        <v>-25.200000000000003</v>
      </c>
      <c r="BC13" s="21">
        <f t="shared" si="36"/>
        <v>20.900000000000006</v>
      </c>
      <c r="BD13" s="21">
        <f t="shared" si="36"/>
        <v>-31.899999999999977</v>
      </c>
      <c r="BE13" s="24">
        <f t="shared" si="37"/>
        <v>-36.199999999999974</v>
      </c>
      <c r="BF13" s="96">
        <f t="shared" si="8"/>
        <v>36.199999999999974</v>
      </c>
      <c r="BG13" s="82">
        <f t="shared" si="9"/>
        <v>-36.199999999999974</v>
      </c>
    </row>
    <row r="14" spans="1:65" ht="15.75" thickBot="1">
      <c r="A14" s="6">
        <f>ELEC!C11</f>
        <v>44325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log'!$A$37))</f>
        <v>241.93548387096774</v>
      </c>
      <c r="F14" s="418"/>
      <c r="G14" s="5">
        <f t="shared" si="13"/>
        <v>619375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6762</v>
      </c>
      <c r="L14" s="83">
        <f t="shared" si="40"/>
        <v>2</v>
      </c>
      <c r="M14" s="410">
        <f t="shared" si="15"/>
        <v>457.44</v>
      </c>
      <c r="N14" s="511">
        <f t="shared" ref="N14:N33" si="43">SUM(M14-M13)</f>
        <v>0</v>
      </c>
      <c r="O14" s="410">
        <f t="shared" si="16"/>
        <v>529.52</v>
      </c>
      <c r="P14" s="511">
        <f t="shared" ref="P14:P33" si="44">SUM(O14-O13)</f>
        <v>0</v>
      </c>
      <c r="Q14" s="511">
        <f t="shared" ref="Q14:Q33" si="45">SUM(P14+N14)</f>
        <v>0</v>
      </c>
      <c r="R14" s="511"/>
      <c r="S14" s="511"/>
      <c r="T14" s="5">
        <f t="shared" si="17"/>
        <v>5171</v>
      </c>
      <c r="U14" s="5">
        <f t="shared" si="4"/>
        <v>0</v>
      </c>
      <c r="V14" s="5">
        <f t="shared" si="18"/>
        <v>471</v>
      </c>
      <c r="W14" s="324">
        <f t="shared" si="19"/>
        <v>0</v>
      </c>
      <c r="X14" s="5">
        <v>151772</v>
      </c>
      <c r="Y14" s="324">
        <f t="shared" si="41"/>
        <v>26</v>
      </c>
      <c r="Z14" s="5">
        <v>98847</v>
      </c>
      <c r="AA14" s="83">
        <f t="shared" si="22"/>
        <v>11</v>
      </c>
      <c r="AB14" s="5">
        <f t="shared" si="23"/>
        <v>261</v>
      </c>
      <c r="AC14" s="5">
        <f t="shared" si="24"/>
        <v>731</v>
      </c>
      <c r="AD14" s="83">
        <f t="shared" si="38"/>
        <v>0</v>
      </c>
      <c r="AE14" s="5">
        <f t="shared" si="25"/>
        <v>229.78</v>
      </c>
      <c r="AF14" s="83">
        <f t="shared" si="26"/>
        <v>0</v>
      </c>
      <c r="AG14" s="5">
        <f t="shared" si="27"/>
        <v>2205.62</v>
      </c>
      <c r="AH14" s="83">
        <f t="shared" si="28"/>
        <v>0</v>
      </c>
      <c r="AI14" s="83">
        <f t="shared" si="29"/>
        <v>0</v>
      </c>
      <c r="AJ14" s="326">
        <f t="shared" si="30"/>
        <v>11</v>
      </c>
      <c r="AK14" s="327">
        <f t="shared" si="39"/>
        <v>24</v>
      </c>
      <c r="AL14" s="327">
        <f t="shared" si="31"/>
        <v>11</v>
      </c>
      <c r="AM14" s="327">
        <f>'General information '!D14</f>
        <v>24.5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32"/>
        <v>44325</v>
      </c>
      <c r="AS14" s="424">
        <f t="shared" si="6"/>
        <v>0.9</v>
      </c>
      <c r="AT14" s="201">
        <v>164</v>
      </c>
      <c r="AU14" s="425">
        <f t="shared" si="42"/>
        <v>1.1000000000000001</v>
      </c>
      <c r="AV14" s="201">
        <v>189</v>
      </c>
      <c r="AW14" s="5">
        <v>2.9</v>
      </c>
      <c r="AX14" s="201">
        <v>187</v>
      </c>
      <c r="AY14" s="426">
        <f t="shared" si="7"/>
        <v>147.6</v>
      </c>
      <c r="AZ14" s="426">
        <f t="shared" si="33"/>
        <v>207.9</v>
      </c>
      <c r="BA14" s="426">
        <f t="shared" si="34"/>
        <v>542.29999999999995</v>
      </c>
      <c r="BB14" s="21">
        <f t="shared" si="35"/>
        <v>95.399999999999991</v>
      </c>
      <c r="BC14" s="21">
        <f t="shared" si="36"/>
        <v>7.6999999999999886</v>
      </c>
      <c r="BD14" s="21">
        <f t="shared" si="36"/>
        <v>-8.7000000000000455</v>
      </c>
      <c r="BE14" s="24">
        <f t="shared" si="37"/>
        <v>94.399999999999935</v>
      </c>
      <c r="BF14" s="96">
        <f t="shared" si="8"/>
        <v>-94.399999999999935</v>
      </c>
      <c r="BG14" s="82">
        <f t="shared" si="9"/>
        <v>94.399999999999935</v>
      </c>
    </row>
    <row r="15" spans="1:65" ht="16.5" customHeight="1" thickBot="1">
      <c r="A15" s="6">
        <f>ELEC!C12</f>
        <v>44326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log'!$A$37))</f>
        <v>241.93548387096774</v>
      </c>
      <c r="F15" s="418"/>
      <c r="G15" s="5">
        <f t="shared" si="13"/>
        <v>619375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6762</v>
      </c>
      <c r="L15" s="83">
        <f t="shared" si="40"/>
        <v>0</v>
      </c>
      <c r="M15" s="410">
        <f t="shared" si="15"/>
        <v>457.44</v>
      </c>
      <c r="N15" s="511">
        <f t="shared" si="43"/>
        <v>0</v>
      </c>
      <c r="O15" s="410">
        <f t="shared" si="16"/>
        <v>529.52</v>
      </c>
      <c r="P15" s="511">
        <f t="shared" si="44"/>
        <v>0</v>
      </c>
      <c r="Q15" s="511">
        <f t="shared" si="45"/>
        <v>0</v>
      </c>
      <c r="R15" s="511"/>
      <c r="S15" s="511"/>
      <c r="T15" s="5">
        <f t="shared" si="17"/>
        <v>5171</v>
      </c>
      <c r="U15" s="5">
        <f t="shared" si="4"/>
        <v>0</v>
      </c>
      <c r="V15" s="5">
        <f t="shared" si="18"/>
        <v>471</v>
      </c>
      <c r="W15" s="324">
        <f t="shared" si="19"/>
        <v>0</v>
      </c>
      <c r="X15" s="5">
        <f t="shared" si="20"/>
        <v>151772</v>
      </c>
      <c r="Y15" s="324">
        <f t="shared" si="41"/>
        <v>0</v>
      </c>
      <c r="Z15" s="5">
        <f t="shared" si="21"/>
        <v>98847</v>
      </c>
      <c r="AA15" s="83">
        <f t="shared" si="22"/>
        <v>0</v>
      </c>
      <c r="AB15" s="5">
        <f t="shared" si="23"/>
        <v>261</v>
      </c>
      <c r="AC15" s="5">
        <f t="shared" si="24"/>
        <v>731</v>
      </c>
      <c r="AD15" s="83">
        <f t="shared" si="38"/>
        <v>0</v>
      </c>
      <c r="AE15" s="5">
        <f t="shared" si="25"/>
        <v>229.78</v>
      </c>
      <c r="AF15" s="83">
        <f t="shared" si="26"/>
        <v>0</v>
      </c>
      <c r="AG15" s="5">
        <f t="shared" si="27"/>
        <v>2205.62</v>
      </c>
      <c r="AH15" s="83">
        <f t="shared" si="28"/>
        <v>0</v>
      </c>
      <c r="AI15" s="83">
        <f t="shared" si="29"/>
        <v>0</v>
      </c>
      <c r="AJ15" s="326">
        <f t="shared" si="30"/>
        <v>0</v>
      </c>
      <c r="AK15" s="327">
        <f t="shared" si="39"/>
        <v>0</v>
      </c>
      <c r="AL15" s="327">
        <f t="shared" si="31"/>
        <v>0</v>
      </c>
      <c r="AM15" s="327">
        <f>'General information '!D15</f>
        <v>22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32"/>
        <v>44326</v>
      </c>
      <c r="AS15" s="424">
        <f t="shared" si="6"/>
        <v>0.9</v>
      </c>
      <c r="AT15" s="201">
        <v>169</v>
      </c>
      <c r="AU15" s="425">
        <f t="shared" si="42"/>
        <v>1.1000000000000001</v>
      </c>
      <c r="AV15" s="201">
        <v>188</v>
      </c>
      <c r="AW15" s="5">
        <v>2.9</v>
      </c>
      <c r="AX15" s="201">
        <v>181</v>
      </c>
      <c r="AY15" s="426">
        <f t="shared" si="7"/>
        <v>152.1</v>
      </c>
      <c r="AZ15" s="426">
        <f t="shared" si="33"/>
        <v>206.8</v>
      </c>
      <c r="BA15" s="426">
        <f t="shared" si="34"/>
        <v>524.9</v>
      </c>
      <c r="BB15" s="21">
        <f t="shared" si="35"/>
        <v>4.5</v>
      </c>
      <c r="BC15" s="21">
        <f t="shared" si="36"/>
        <v>-1.0999999999999943</v>
      </c>
      <c r="BD15" s="21">
        <f t="shared" si="36"/>
        <v>-17.399999999999977</v>
      </c>
      <c r="BE15" s="24">
        <f t="shared" si="37"/>
        <v>-13.999999999999972</v>
      </c>
      <c r="BF15" s="96">
        <f t="shared" si="8"/>
        <v>13.999999999999972</v>
      </c>
      <c r="BG15" s="82">
        <f t="shared" si="9"/>
        <v>-13.999999999999972</v>
      </c>
    </row>
    <row r="16" spans="1:65" ht="15.75" thickBot="1">
      <c r="A16" s="6">
        <f>ELEC!C13</f>
        <v>44327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log'!$A$37))</f>
        <v>241.93548387096774</v>
      </c>
      <c r="F16" s="418"/>
      <c r="G16" s="5">
        <f t="shared" si="13"/>
        <v>619375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6762</v>
      </c>
      <c r="L16" s="274">
        <f t="shared" si="40"/>
        <v>0</v>
      </c>
      <c r="M16" s="410">
        <f t="shared" si="15"/>
        <v>457.44</v>
      </c>
      <c r="N16" s="511">
        <f t="shared" si="43"/>
        <v>0</v>
      </c>
      <c r="O16" s="410">
        <f t="shared" si="16"/>
        <v>529.52</v>
      </c>
      <c r="P16" s="511">
        <f t="shared" si="44"/>
        <v>0</v>
      </c>
      <c r="Q16" s="511">
        <f t="shared" si="45"/>
        <v>0</v>
      </c>
      <c r="R16" s="513"/>
      <c r="S16" s="513"/>
      <c r="T16" s="5">
        <f t="shared" si="17"/>
        <v>5171</v>
      </c>
      <c r="U16" s="5">
        <f t="shared" si="4"/>
        <v>0</v>
      </c>
      <c r="V16" s="5">
        <f t="shared" si="18"/>
        <v>471</v>
      </c>
      <c r="W16" s="324">
        <f t="shared" si="19"/>
        <v>0</v>
      </c>
      <c r="X16" s="5">
        <f t="shared" si="20"/>
        <v>151772</v>
      </c>
      <c r="Y16" s="324">
        <f t="shared" si="41"/>
        <v>0</v>
      </c>
      <c r="Z16" s="5">
        <f t="shared" si="21"/>
        <v>98847</v>
      </c>
      <c r="AA16" s="83">
        <f t="shared" si="22"/>
        <v>0</v>
      </c>
      <c r="AB16" s="5">
        <f t="shared" si="23"/>
        <v>261</v>
      </c>
      <c r="AC16" s="5">
        <f t="shared" si="24"/>
        <v>731</v>
      </c>
      <c r="AD16" s="83">
        <f t="shared" si="38"/>
        <v>0</v>
      </c>
      <c r="AE16" s="5">
        <f t="shared" si="25"/>
        <v>229.78</v>
      </c>
      <c r="AF16" s="83">
        <f t="shared" si="26"/>
        <v>0</v>
      </c>
      <c r="AG16" s="5">
        <f t="shared" si="27"/>
        <v>2205.62</v>
      </c>
      <c r="AH16" s="83">
        <f t="shared" si="28"/>
        <v>0</v>
      </c>
      <c r="AI16" s="83">
        <f t="shared" si="29"/>
        <v>0</v>
      </c>
      <c r="AJ16" s="326">
        <f t="shared" si="30"/>
        <v>0</v>
      </c>
      <c r="AK16" s="327">
        <f t="shared" si="39"/>
        <v>0</v>
      </c>
      <c r="AL16" s="327">
        <f t="shared" si="31"/>
        <v>0</v>
      </c>
      <c r="AM16" s="327">
        <f>'General information '!D16</f>
        <v>21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32"/>
        <v>44327</v>
      </c>
      <c r="AS16" s="424">
        <f t="shared" si="6"/>
        <v>0.9</v>
      </c>
      <c r="AT16" s="201">
        <v>133</v>
      </c>
      <c r="AU16" s="425">
        <f t="shared" si="42"/>
        <v>1.1000000000000001</v>
      </c>
      <c r="AV16" s="201">
        <v>185</v>
      </c>
      <c r="AW16" s="5">
        <v>2.9</v>
      </c>
      <c r="AX16" s="201">
        <v>177</v>
      </c>
      <c r="AY16" s="426">
        <f t="shared" si="7"/>
        <v>119.7</v>
      </c>
      <c r="AZ16" s="426">
        <f t="shared" si="33"/>
        <v>203.50000000000003</v>
      </c>
      <c r="BA16" s="426">
        <f t="shared" si="34"/>
        <v>513.29999999999995</v>
      </c>
      <c r="BB16" s="21">
        <f t="shared" si="35"/>
        <v>-32.399999999999991</v>
      </c>
      <c r="BC16" s="21">
        <f t="shared" si="36"/>
        <v>-3.2999999999999829</v>
      </c>
      <c r="BD16" s="21">
        <f t="shared" si="36"/>
        <v>-11.600000000000023</v>
      </c>
      <c r="BE16" s="24">
        <f t="shared" si="37"/>
        <v>-47.3</v>
      </c>
      <c r="BF16" s="96">
        <f t="shared" si="8"/>
        <v>47.3</v>
      </c>
      <c r="BG16" s="82">
        <f t="shared" si="9"/>
        <v>-47.3</v>
      </c>
    </row>
    <row r="17" spans="1:61" ht="15.75" thickBot="1">
      <c r="A17" s="6">
        <f>ELEC!C14</f>
        <v>44328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log'!$A$37))</f>
        <v>241.93548387096774</v>
      </c>
      <c r="F17" s="418"/>
      <c r="G17" s="5">
        <f t="shared" si="13"/>
        <v>619375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6762</v>
      </c>
      <c r="L17" s="83">
        <f t="shared" si="40"/>
        <v>0</v>
      </c>
      <c r="M17" s="410">
        <f t="shared" si="15"/>
        <v>457.44</v>
      </c>
      <c r="N17" s="511">
        <f t="shared" si="43"/>
        <v>0</v>
      </c>
      <c r="O17" s="410">
        <f t="shared" si="16"/>
        <v>529.52</v>
      </c>
      <c r="P17" s="511">
        <f t="shared" si="44"/>
        <v>0</v>
      </c>
      <c r="Q17" s="511">
        <f t="shared" si="45"/>
        <v>0</v>
      </c>
      <c r="R17" s="511"/>
      <c r="S17" s="511"/>
      <c r="T17" s="5">
        <f t="shared" si="17"/>
        <v>5171</v>
      </c>
      <c r="U17" s="5">
        <f t="shared" si="4"/>
        <v>0</v>
      </c>
      <c r="V17" s="5">
        <f t="shared" si="18"/>
        <v>471</v>
      </c>
      <c r="W17" s="324">
        <f t="shared" si="19"/>
        <v>0</v>
      </c>
      <c r="X17" s="5">
        <f t="shared" si="20"/>
        <v>151772</v>
      </c>
      <c r="Y17" s="324">
        <f t="shared" si="41"/>
        <v>0</v>
      </c>
      <c r="Z17" s="5">
        <f t="shared" si="21"/>
        <v>98847</v>
      </c>
      <c r="AA17" s="83">
        <f t="shared" si="22"/>
        <v>0</v>
      </c>
      <c r="AB17" s="5">
        <f t="shared" si="23"/>
        <v>261</v>
      </c>
      <c r="AC17" s="5">
        <f t="shared" si="24"/>
        <v>731</v>
      </c>
      <c r="AD17" s="83">
        <f t="shared" si="38"/>
        <v>0</v>
      </c>
      <c r="AE17" s="5">
        <f t="shared" si="25"/>
        <v>229.78</v>
      </c>
      <c r="AF17" s="83">
        <f t="shared" si="26"/>
        <v>0</v>
      </c>
      <c r="AG17" s="5">
        <f t="shared" si="27"/>
        <v>2205.62</v>
      </c>
      <c r="AH17" s="83">
        <f t="shared" si="28"/>
        <v>0</v>
      </c>
      <c r="AI17" s="83">
        <f t="shared" si="29"/>
        <v>0</v>
      </c>
      <c r="AJ17" s="326">
        <f t="shared" si="30"/>
        <v>0</v>
      </c>
      <c r="AK17" s="327">
        <f>SUM(Y17-L17)</f>
        <v>0</v>
      </c>
      <c r="AL17" s="327">
        <f t="shared" si="31"/>
        <v>0</v>
      </c>
      <c r="AM17" s="327">
        <f>'General information '!D17</f>
        <v>22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32"/>
        <v>44328</v>
      </c>
      <c r="AS17" s="424">
        <f t="shared" si="6"/>
        <v>0.9</v>
      </c>
      <c r="AT17" s="201">
        <f t="shared" si="6"/>
        <v>133</v>
      </c>
      <c r="AU17" s="425">
        <f t="shared" si="42"/>
        <v>1.1000000000000001</v>
      </c>
      <c r="AV17" s="201">
        <v>184</v>
      </c>
      <c r="AW17" s="5">
        <v>2.9</v>
      </c>
      <c r="AX17" s="201">
        <v>172</v>
      </c>
      <c r="AY17" s="426">
        <f t="shared" si="7"/>
        <v>119.7</v>
      </c>
      <c r="AZ17" s="426">
        <f t="shared" si="33"/>
        <v>202.4</v>
      </c>
      <c r="BA17" s="426">
        <f t="shared" si="34"/>
        <v>498.8</v>
      </c>
      <c r="BB17" s="21">
        <f t="shared" si="35"/>
        <v>0</v>
      </c>
      <c r="BC17" s="21">
        <f t="shared" si="36"/>
        <v>-1.1000000000000227</v>
      </c>
      <c r="BD17" s="21">
        <f t="shared" si="36"/>
        <v>-14.499999999999943</v>
      </c>
      <c r="BE17" s="24">
        <f t="shared" si="37"/>
        <v>-15.599999999999966</v>
      </c>
      <c r="BF17" s="96">
        <f t="shared" si="8"/>
        <v>15.599999999999966</v>
      </c>
      <c r="BG17" s="82">
        <f t="shared" si="9"/>
        <v>-15.599999999999966</v>
      </c>
    </row>
    <row r="18" spans="1:61" ht="15.75" thickBot="1">
      <c r="A18" s="6">
        <f>ELEC!C15</f>
        <v>44329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log'!$A$37))</f>
        <v>241.93548387096774</v>
      </c>
      <c r="F18" s="418"/>
      <c r="G18" s="5">
        <v>619716</v>
      </c>
      <c r="H18" s="5">
        <f t="shared" si="14"/>
        <v>341</v>
      </c>
      <c r="I18" s="5">
        <f t="shared" si="0"/>
        <v>341</v>
      </c>
      <c r="J18" s="334">
        <f t="shared" si="1"/>
        <v>0.70948822249550658</v>
      </c>
      <c r="K18" s="5">
        <f>'Swimming Pool quality check '!H18</f>
        <v>6762</v>
      </c>
      <c r="L18" s="83">
        <f t="shared" si="40"/>
        <v>0</v>
      </c>
      <c r="M18" s="410">
        <f t="shared" si="15"/>
        <v>457.44</v>
      </c>
      <c r="N18" s="511">
        <f t="shared" si="43"/>
        <v>0</v>
      </c>
      <c r="O18" s="410">
        <f t="shared" si="16"/>
        <v>529.52</v>
      </c>
      <c r="P18" s="511">
        <f t="shared" si="44"/>
        <v>0</v>
      </c>
      <c r="Q18" s="511">
        <f t="shared" si="45"/>
        <v>0</v>
      </c>
      <c r="R18" s="511"/>
      <c r="S18" s="511"/>
      <c r="T18" s="5">
        <f t="shared" si="17"/>
        <v>5171</v>
      </c>
      <c r="U18" s="5">
        <f t="shared" si="4"/>
        <v>0</v>
      </c>
      <c r="V18" s="5">
        <f t="shared" si="18"/>
        <v>471</v>
      </c>
      <c r="W18" s="324">
        <f t="shared" si="19"/>
        <v>0</v>
      </c>
      <c r="X18" s="5">
        <f t="shared" si="20"/>
        <v>151772</v>
      </c>
      <c r="Y18" s="324">
        <f t="shared" si="41"/>
        <v>0</v>
      </c>
      <c r="Z18" s="5">
        <f t="shared" si="21"/>
        <v>98847</v>
      </c>
      <c r="AA18" s="83">
        <f t="shared" si="22"/>
        <v>0</v>
      </c>
      <c r="AB18" s="5">
        <f t="shared" si="23"/>
        <v>261</v>
      </c>
      <c r="AC18" s="5">
        <f t="shared" si="24"/>
        <v>731</v>
      </c>
      <c r="AD18" s="83">
        <f t="shared" si="38"/>
        <v>0</v>
      </c>
      <c r="AE18" s="5">
        <f t="shared" si="25"/>
        <v>229.78</v>
      </c>
      <c r="AF18" s="83">
        <f t="shared" si="26"/>
        <v>0</v>
      </c>
      <c r="AG18" s="5">
        <f t="shared" si="27"/>
        <v>2205.62</v>
      </c>
      <c r="AH18" s="83">
        <f t="shared" si="28"/>
        <v>0</v>
      </c>
      <c r="AI18" s="83">
        <f t="shared" si="29"/>
        <v>0</v>
      </c>
      <c r="AJ18" s="326">
        <f t="shared" si="30"/>
        <v>0</v>
      </c>
      <c r="AK18" s="327">
        <f>SUM(Y18-L18)</f>
        <v>0</v>
      </c>
      <c r="AL18" s="327">
        <f t="shared" si="31"/>
        <v>0</v>
      </c>
      <c r="AM18" s="327">
        <f>'General information '!D18</f>
        <v>21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32"/>
        <v>44329</v>
      </c>
      <c r="AS18" s="424">
        <f t="shared" si="6"/>
        <v>0.9</v>
      </c>
      <c r="AT18" s="201">
        <f t="shared" si="6"/>
        <v>133</v>
      </c>
      <c r="AU18" s="425">
        <f t="shared" si="42"/>
        <v>1.1000000000000001</v>
      </c>
      <c r="AV18" s="201">
        <v>184</v>
      </c>
      <c r="AW18" s="5">
        <v>2.9</v>
      </c>
      <c r="AX18" s="201">
        <v>161</v>
      </c>
      <c r="AY18" s="426">
        <f t="shared" si="7"/>
        <v>119.7</v>
      </c>
      <c r="AZ18" s="426">
        <f t="shared" si="33"/>
        <v>202.4</v>
      </c>
      <c r="BA18" s="426">
        <f t="shared" si="34"/>
        <v>466.9</v>
      </c>
      <c r="BB18" s="21">
        <f t="shared" si="35"/>
        <v>0</v>
      </c>
      <c r="BC18" s="21">
        <f t="shared" si="36"/>
        <v>0</v>
      </c>
      <c r="BD18" s="21">
        <f t="shared" si="36"/>
        <v>-31.900000000000034</v>
      </c>
      <c r="BE18" s="24">
        <f t="shared" si="37"/>
        <v>-31.900000000000034</v>
      </c>
      <c r="BF18" s="96">
        <f t="shared" si="8"/>
        <v>372.90000000000003</v>
      </c>
      <c r="BG18" s="82">
        <f t="shared" si="9"/>
        <v>-31.900000000000034</v>
      </c>
    </row>
    <row r="19" spans="1:61" ht="15.75" thickBot="1">
      <c r="A19" s="6">
        <f>ELEC!C16</f>
        <v>44330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log'!$A$37))</f>
        <v>241.93548387096774</v>
      </c>
      <c r="F19" s="418"/>
      <c r="G19" s="5">
        <f t="shared" si="13"/>
        <v>619716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6762</v>
      </c>
      <c r="L19" s="83">
        <f t="shared" si="40"/>
        <v>0</v>
      </c>
      <c r="M19" s="410">
        <f t="shared" si="15"/>
        <v>457.44</v>
      </c>
      <c r="N19" s="511">
        <f t="shared" si="43"/>
        <v>0</v>
      </c>
      <c r="O19" s="410">
        <f t="shared" si="16"/>
        <v>529.52</v>
      </c>
      <c r="P19" s="511">
        <f t="shared" si="44"/>
        <v>0</v>
      </c>
      <c r="Q19" s="511">
        <f t="shared" si="45"/>
        <v>0</v>
      </c>
      <c r="R19" s="511"/>
      <c r="S19" s="511"/>
      <c r="T19" s="5">
        <f t="shared" si="17"/>
        <v>5171</v>
      </c>
      <c r="U19" s="5">
        <f t="shared" si="4"/>
        <v>0</v>
      </c>
      <c r="V19" s="5">
        <f t="shared" si="18"/>
        <v>471</v>
      </c>
      <c r="W19" s="324">
        <f t="shared" si="19"/>
        <v>0</v>
      </c>
      <c r="X19" s="5">
        <f t="shared" si="20"/>
        <v>151772</v>
      </c>
      <c r="Y19" s="324">
        <f t="shared" si="41"/>
        <v>0</v>
      </c>
      <c r="Z19" s="5">
        <f t="shared" si="21"/>
        <v>98847</v>
      </c>
      <c r="AA19" s="83">
        <f t="shared" si="22"/>
        <v>0</v>
      </c>
      <c r="AB19" s="5">
        <f t="shared" si="23"/>
        <v>261</v>
      </c>
      <c r="AC19" s="5">
        <f t="shared" si="24"/>
        <v>731</v>
      </c>
      <c r="AD19" s="83">
        <f t="shared" si="38"/>
        <v>0</v>
      </c>
      <c r="AE19" s="5">
        <f t="shared" si="25"/>
        <v>229.78</v>
      </c>
      <c r="AF19" s="83">
        <f t="shared" si="26"/>
        <v>0</v>
      </c>
      <c r="AG19" s="5">
        <f t="shared" si="27"/>
        <v>2205.62</v>
      </c>
      <c r="AH19" s="83">
        <f t="shared" si="28"/>
        <v>0</v>
      </c>
      <c r="AI19" s="83">
        <f t="shared" si="29"/>
        <v>0</v>
      </c>
      <c r="AJ19" s="326">
        <f t="shared" si="30"/>
        <v>0</v>
      </c>
      <c r="AK19" s="327">
        <f t="shared" si="39"/>
        <v>0</v>
      </c>
      <c r="AL19" s="327">
        <f t="shared" si="31"/>
        <v>0</v>
      </c>
      <c r="AM19" s="327">
        <f>'General information '!D19</f>
        <v>22.5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32"/>
        <v>44330</v>
      </c>
      <c r="AS19" s="424">
        <f t="shared" si="6"/>
        <v>0.9</v>
      </c>
      <c r="AT19" s="201">
        <f t="shared" si="6"/>
        <v>133</v>
      </c>
      <c r="AU19" s="425">
        <f t="shared" si="42"/>
        <v>1.1000000000000001</v>
      </c>
      <c r="AV19" s="201">
        <v>183</v>
      </c>
      <c r="AW19" s="5">
        <v>2.9</v>
      </c>
      <c r="AX19" s="201">
        <f t="shared" ref="AX19" si="46">AX18</f>
        <v>161</v>
      </c>
      <c r="AY19" s="426">
        <f t="shared" ref="AY19:AY21" si="47">AS19*AT19</f>
        <v>119.7</v>
      </c>
      <c r="AZ19" s="426">
        <f t="shared" ref="AZ19:AZ21" si="48">AU19*AV19</f>
        <v>201.3</v>
      </c>
      <c r="BA19" s="426">
        <f t="shared" ref="BA19:BA21" si="49">AW19*AX19</f>
        <v>466.9</v>
      </c>
      <c r="BB19" s="21">
        <f t="shared" ref="BB19:BB20" si="50">AY19-AY18</f>
        <v>0</v>
      </c>
      <c r="BC19" s="21">
        <f t="shared" ref="BC19:BC20" si="51">AZ19-AZ18</f>
        <v>-1.0999999999999943</v>
      </c>
      <c r="BD19" s="21">
        <f t="shared" ref="BD19:BD20" si="52">BA19-BA18</f>
        <v>0</v>
      </c>
      <c r="BE19" s="24">
        <f t="shared" ref="BE19:BE20" si="53">SUM(BB19:BD19)</f>
        <v>-1.0999999999999943</v>
      </c>
      <c r="BF19" s="96">
        <f t="shared" si="8"/>
        <v>1.0999999999999943</v>
      </c>
      <c r="BG19" s="82">
        <f t="shared" si="9"/>
        <v>-1.0999999999999943</v>
      </c>
    </row>
    <row r="20" spans="1:61" ht="15.75" thickBot="1">
      <c r="A20" s="6">
        <f>ELEC!C17</f>
        <v>44331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log'!$A$37))</f>
        <v>241.93548387096774</v>
      </c>
      <c r="F20" s="418"/>
      <c r="G20" s="5">
        <f t="shared" si="13"/>
        <v>619716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6762</v>
      </c>
      <c r="L20" s="83">
        <f t="shared" si="40"/>
        <v>0</v>
      </c>
      <c r="M20" s="410">
        <f t="shared" si="15"/>
        <v>457.44</v>
      </c>
      <c r="N20" s="511">
        <f t="shared" si="43"/>
        <v>0</v>
      </c>
      <c r="O20" s="410">
        <f t="shared" si="16"/>
        <v>529.52</v>
      </c>
      <c r="P20" s="511">
        <f t="shared" si="44"/>
        <v>0</v>
      </c>
      <c r="Q20" s="511">
        <f t="shared" si="45"/>
        <v>0</v>
      </c>
      <c r="R20" s="511"/>
      <c r="S20" s="511"/>
      <c r="T20" s="5">
        <f t="shared" si="17"/>
        <v>5171</v>
      </c>
      <c r="U20" s="5">
        <f t="shared" si="4"/>
        <v>0</v>
      </c>
      <c r="V20" s="5">
        <f t="shared" si="18"/>
        <v>471</v>
      </c>
      <c r="W20" s="324">
        <f t="shared" si="19"/>
        <v>0</v>
      </c>
      <c r="X20" s="5">
        <f t="shared" si="20"/>
        <v>151772</v>
      </c>
      <c r="Y20" s="324">
        <f t="shared" si="41"/>
        <v>0</v>
      </c>
      <c r="Z20" s="5">
        <f t="shared" si="21"/>
        <v>98847</v>
      </c>
      <c r="AA20" s="83">
        <f t="shared" si="22"/>
        <v>0</v>
      </c>
      <c r="AB20" s="5">
        <f t="shared" si="23"/>
        <v>261</v>
      </c>
      <c r="AC20" s="5">
        <f t="shared" si="24"/>
        <v>731</v>
      </c>
      <c r="AD20" s="83">
        <f t="shared" si="38"/>
        <v>0</v>
      </c>
      <c r="AE20" s="5">
        <f t="shared" si="25"/>
        <v>229.78</v>
      </c>
      <c r="AF20" s="83">
        <f t="shared" si="26"/>
        <v>0</v>
      </c>
      <c r="AG20" s="5">
        <f t="shared" si="27"/>
        <v>2205.62</v>
      </c>
      <c r="AH20" s="83">
        <f t="shared" si="28"/>
        <v>0</v>
      </c>
      <c r="AI20" s="83">
        <f t="shared" si="29"/>
        <v>0</v>
      </c>
      <c r="AJ20" s="326">
        <f t="shared" si="30"/>
        <v>0</v>
      </c>
      <c r="AK20" s="327">
        <f t="shared" si="39"/>
        <v>0</v>
      </c>
      <c r="AL20" s="327">
        <f t="shared" si="31"/>
        <v>0</v>
      </c>
      <c r="AM20" s="327">
        <f>'General information '!D20</f>
        <v>23.5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32"/>
        <v>44331</v>
      </c>
      <c r="AS20" s="424">
        <f t="shared" si="6"/>
        <v>0.9</v>
      </c>
      <c r="AT20" s="201">
        <v>133</v>
      </c>
      <c r="AU20" s="425">
        <f t="shared" si="42"/>
        <v>1.1000000000000001</v>
      </c>
      <c r="AV20" s="201">
        <v>182</v>
      </c>
      <c r="AW20" s="5">
        <v>2.9</v>
      </c>
      <c r="AX20" s="201">
        <v>153</v>
      </c>
      <c r="AY20" s="426">
        <f t="shared" si="47"/>
        <v>119.7</v>
      </c>
      <c r="AZ20" s="426">
        <f t="shared" si="48"/>
        <v>200.20000000000002</v>
      </c>
      <c r="BA20" s="426">
        <f t="shared" si="49"/>
        <v>443.7</v>
      </c>
      <c r="BB20" s="21">
        <f t="shared" si="50"/>
        <v>0</v>
      </c>
      <c r="BC20" s="21">
        <f t="shared" si="51"/>
        <v>-1.0999999999999943</v>
      </c>
      <c r="BD20" s="21">
        <f t="shared" si="52"/>
        <v>-23.199999999999989</v>
      </c>
      <c r="BE20" s="24">
        <f t="shared" si="53"/>
        <v>-24.299999999999983</v>
      </c>
      <c r="BF20" s="96">
        <f t="shared" si="8"/>
        <v>24.299999999999983</v>
      </c>
      <c r="BG20" s="82">
        <f t="shared" si="9"/>
        <v>-24.299999999999983</v>
      </c>
    </row>
    <row r="21" spans="1:61" ht="15.75" thickBot="1">
      <c r="A21" s="6">
        <f>ELEC!C18</f>
        <v>44332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log'!$A$37))</f>
        <v>241.93548387096774</v>
      </c>
      <c r="F21" s="327"/>
      <c r="G21" s="5">
        <f t="shared" si="13"/>
        <v>619716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6766</v>
      </c>
      <c r="L21" s="83">
        <f t="shared" si="40"/>
        <v>4</v>
      </c>
      <c r="M21" s="410">
        <f t="shared" si="15"/>
        <v>457.44</v>
      </c>
      <c r="N21" s="511">
        <f t="shared" si="43"/>
        <v>0</v>
      </c>
      <c r="O21" s="410">
        <f t="shared" si="16"/>
        <v>529.52</v>
      </c>
      <c r="P21" s="511">
        <f t="shared" si="44"/>
        <v>0</v>
      </c>
      <c r="Q21" s="511">
        <f t="shared" si="45"/>
        <v>0</v>
      </c>
      <c r="R21" s="511"/>
      <c r="S21" s="511"/>
      <c r="T21" s="5">
        <f t="shared" si="17"/>
        <v>5171</v>
      </c>
      <c r="U21" s="5">
        <f t="shared" si="4"/>
        <v>0</v>
      </c>
      <c r="V21" s="5">
        <f t="shared" si="18"/>
        <v>471</v>
      </c>
      <c r="W21" s="324">
        <f t="shared" si="19"/>
        <v>0</v>
      </c>
      <c r="X21" s="5">
        <f t="shared" si="20"/>
        <v>151772</v>
      </c>
      <c r="Y21" s="324">
        <f>SUM(X21-X20)</f>
        <v>0</v>
      </c>
      <c r="Z21" s="5">
        <f t="shared" si="21"/>
        <v>98847</v>
      </c>
      <c r="AA21" s="83">
        <f t="shared" si="22"/>
        <v>0</v>
      </c>
      <c r="AB21" s="5">
        <f t="shared" si="23"/>
        <v>261</v>
      </c>
      <c r="AC21" s="5">
        <f t="shared" si="24"/>
        <v>731</v>
      </c>
      <c r="AD21" s="83">
        <f t="shared" si="38"/>
        <v>0</v>
      </c>
      <c r="AE21" s="5">
        <f t="shared" si="25"/>
        <v>229.78</v>
      </c>
      <c r="AF21" s="83">
        <f t="shared" si="26"/>
        <v>0</v>
      </c>
      <c r="AG21" s="5">
        <f t="shared" si="27"/>
        <v>2205.62</v>
      </c>
      <c r="AH21" s="83">
        <f t="shared" si="28"/>
        <v>0</v>
      </c>
      <c r="AI21" s="83">
        <f t="shared" si="29"/>
        <v>0</v>
      </c>
      <c r="AJ21" s="326">
        <f t="shared" si="30"/>
        <v>0</v>
      </c>
      <c r="AK21" s="327">
        <f>SUM(Y21-L21)</f>
        <v>-4</v>
      </c>
      <c r="AL21" s="327">
        <f t="shared" si="31"/>
        <v>0</v>
      </c>
      <c r="AM21" s="327">
        <f>'General information '!D21</f>
        <v>21.5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32"/>
        <v>44332</v>
      </c>
      <c r="AS21" s="424">
        <f t="shared" si="6"/>
        <v>0.9</v>
      </c>
      <c r="AT21" s="201">
        <f t="shared" si="6"/>
        <v>133</v>
      </c>
      <c r="AU21" s="425">
        <f t="shared" si="42"/>
        <v>1.1000000000000001</v>
      </c>
      <c r="AV21" s="201">
        <v>181</v>
      </c>
      <c r="AW21" s="5">
        <v>2.9</v>
      </c>
      <c r="AX21" s="201">
        <v>144</v>
      </c>
      <c r="AY21" s="426">
        <f t="shared" si="47"/>
        <v>119.7</v>
      </c>
      <c r="AZ21" s="426">
        <f t="shared" si="48"/>
        <v>199.10000000000002</v>
      </c>
      <c r="BA21" s="426">
        <f t="shared" si="49"/>
        <v>417.59999999999997</v>
      </c>
      <c r="BB21" s="21">
        <f t="shared" si="35"/>
        <v>0</v>
      </c>
      <c r="BC21" s="21">
        <f t="shared" si="36"/>
        <v>-1.0999999999999943</v>
      </c>
      <c r="BD21" s="21">
        <f t="shared" si="36"/>
        <v>-26.100000000000023</v>
      </c>
      <c r="BE21" s="24">
        <f t="shared" si="37"/>
        <v>-27.200000000000017</v>
      </c>
      <c r="BF21" s="96">
        <f t="shared" si="8"/>
        <v>27.200000000000017</v>
      </c>
      <c r="BG21" s="82">
        <f t="shared" si="9"/>
        <v>-27.200000000000017</v>
      </c>
    </row>
    <row r="22" spans="1:61" ht="15.75" thickBot="1">
      <c r="A22" s="6">
        <f>ELEC!C19</f>
        <v>44333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log'!$A$37))</f>
        <v>241.93548387096774</v>
      </c>
      <c r="F22" s="327"/>
      <c r="G22" s="5">
        <f t="shared" si="13"/>
        <v>619716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6766</v>
      </c>
      <c r="L22" s="83">
        <f t="shared" si="40"/>
        <v>0</v>
      </c>
      <c r="M22" s="410">
        <f t="shared" si="15"/>
        <v>457.44</v>
      </c>
      <c r="N22" s="511">
        <f t="shared" si="43"/>
        <v>0</v>
      </c>
      <c r="O22" s="410">
        <f t="shared" si="16"/>
        <v>529.52</v>
      </c>
      <c r="P22" s="511">
        <f t="shared" si="44"/>
        <v>0</v>
      </c>
      <c r="Q22" s="511">
        <f t="shared" si="45"/>
        <v>0</v>
      </c>
      <c r="R22" s="511"/>
      <c r="S22" s="511"/>
      <c r="T22" s="5">
        <f t="shared" si="17"/>
        <v>5171</v>
      </c>
      <c r="U22" s="5">
        <f t="shared" si="4"/>
        <v>0</v>
      </c>
      <c r="V22" s="5">
        <f t="shared" si="18"/>
        <v>471</v>
      </c>
      <c r="W22" s="324">
        <f t="shared" si="19"/>
        <v>0</v>
      </c>
      <c r="X22" s="5">
        <f t="shared" si="20"/>
        <v>151772</v>
      </c>
      <c r="Y22" s="324">
        <f t="shared" si="41"/>
        <v>0</v>
      </c>
      <c r="Z22" s="5">
        <f t="shared" si="21"/>
        <v>98847</v>
      </c>
      <c r="AA22" s="83">
        <f t="shared" si="22"/>
        <v>0</v>
      </c>
      <c r="AB22" s="5">
        <f t="shared" si="23"/>
        <v>261</v>
      </c>
      <c r="AC22" s="5">
        <f t="shared" si="24"/>
        <v>731</v>
      </c>
      <c r="AD22" s="83">
        <f t="shared" si="38"/>
        <v>0</v>
      </c>
      <c r="AE22" s="5">
        <f t="shared" si="25"/>
        <v>229.78</v>
      </c>
      <c r="AF22" s="83">
        <f t="shared" si="26"/>
        <v>0</v>
      </c>
      <c r="AG22" s="5">
        <f t="shared" si="27"/>
        <v>2205.62</v>
      </c>
      <c r="AH22" s="83">
        <f t="shared" si="28"/>
        <v>0</v>
      </c>
      <c r="AI22" s="83">
        <f t="shared" si="29"/>
        <v>0</v>
      </c>
      <c r="AJ22" s="326">
        <f t="shared" si="30"/>
        <v>0</v>
      </c>
      <c r="AK22" s="327">
        <f t="shared" si="39"/>
        <v>0</v>
      </c>
      <c r="AL22" s="327">
        <f t="shared" si="31"/>
        <v>0</v>
      </c>
      <c r="AM22" s="327">
        <f>'General information '!D22</f>
        <v>22.5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32"/>
        <v>44333</v>
      </c>
      <c r="AS22" s="424">
        <f t="shared" ref="AS22:AT33" si="54">AS21</f>
        <v>0.9</v>
      </c>
      <c r="AT22" s="201">
        <f t="shared" si="54"/>
        <v>133</v>
      </c>
      <c r="AU22" s="425">
        <f t="shared" si="42"/>
        <v>1.1000000000000001</v>
      </c>
      <c r="AV22" s="201">
        <v>181</v>
      </c>
      <c r="AW22" s="5">
        <v>2.9</v>
      </c>
      <c r="AX22" s="201">
        <v>136</v>
      </c>
      <c r="AY22" s="426">
        <f t="shared" si="7"/>
        <v>119.7</v>
      </c>
      <c r="AZ22" s="426">
        <f t="shared" si="33"/>
        <v>199.10000000000002</v>
      </c>
      <c r="BA22" s="426">
        <f t="shared" si="34"/>
        <v>394.4</v>
      </c>
      <c r="BB22" s="21">
        <f>AY22-AY21</f>
        <v>0</v>
      </c>
      <c r="BC22" s="21">
        <f t="shared" si="35"/>
        <v>0</v>
      </c>
      <c r="BD22" s="21">
        <f t="shared" si="35"/>
        <v>-23.199999999999989</v>
      </c>
      <c r="BE22" s="24">
        <f t="shared" si="37"/>
        <v>-23.199999999999989</v>
      </c>
      <c r="BF22" s="96">
        <f t="shared" si="8"/>
        <v>23.199999999999989</v>
      </c>
      <c r="BG22" s="82">
        <f t="shared" si="9"/>
        <v>-23.199999999999989</v>
      </c>
    </row>
    <row r="23" spans="1:61" ht="15.75" thickBot="1">
      <c r="A23" s="6">
        <f>ELEC!C20</f>
        <v>44334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log'!$A$37))</f>
        <v>241.93548387096774</v>
      </c>
      <c r="F23" s="327"/>
      <c r="G23" s="5">
        <f t="shared" si="13"/>
        <v>619716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6768</v>
      </c>
      <c r="L23" s="274">
        <f t="shared" si="40"/>
        <v>2</v>
      </c>
      <c r="M23" s="410">
        <f t="shared" si="15"/>
        <v>457.44</v>
      </c>
      <c r="N23" s="511">
        <f t="shared" si="43"/>
        <v>0</v>
      </c>
      <c r="O23" s="410">
        <f t="shared" si="16"/>
        <v>529.52</v>
      </c>
      <c r="P23" s="511">
        <f t="shared" si="44"/>
        <v>0</v>
      </c>
      <c r="Q23" s="511">
        <f t="shared" si="45"/>
        <v>0</v>
      </c>
      <c r="R23" s="513"/>
      <c r="S23" s="513"/>
      <c r="T23" s="5">
        <f t="shared" si="17"/>
        <v>5171</v>
      </c>
      <c r="U23" s="5">
        <f t="shared" si="4"/>
        <v>0</v>
      </c>
      <c r="V23" s="5">
        <f t="shared" si="18"/>
        <v>471</v>
      </c>
      <c r="W23" s="324">
        <f t="shared" si="19"/>
        <v>0</v>
      </c>
      <c r="X23" s="5">
        <f t="shared" si="20"/>
        <v>151772</v>
      </c>
      <c r="Y23" s="324">
        <f t="shared" si="41"/>
        <v>0</v>
      </c>
      <c r="Z23" s="5">
        <f t="shared" si="21"/>
        <v>98847</v>
      </c>
      <c r="AA23" s="83">
        <f t="shared" si="22"/>
        <v>0</v>
      </c>
      <c r="AB23" s="5">
        <f t="shared" si="23"/>
        <v>261</v>
      </c>
      <c r="AC23" s="5">
        <f t="shared" si="24"/>
        <v>731</v>
      </c>
      <c r="AD23" s="83">
        <f t="shared" si="38"/>
        <v>0</v>
      </c>
      <c r="AE23" s="5">
        <f t="shared" si="25"/>
        <v>229.78</v>
      </c>
      <c r="AF23" s="83">
        <f t="shared" si="26"/>
        <v>0</v>
      </c>
      <c r="AG23" s="5">
        <f t="shared" si="27"/>
        <v>2205.62</v>
      </c>
      <c r="AH23" s="83">
        <f t="shared" si="28"/>
        <v>0</v>
      </c>
      <c r="AI23" s="83">
        <f t="shared" si="29"/>
        <v>0</v>
      </c>
      <c r="AJ23" s="326">
        <f t="shared" si="30"/>
        <v>0</v>
      </c>
      <c r="AK23" s="327">
        <f t="shared" si="39"/>
        <v>-2</v>
      </c>
      <c r="AL23" s="327">
        <f t="shared" si="31"/>
        <v>0</v>
      </c>
      <c r="AM23" s="327">
        <f>'General information '!D23</f>
        <v>23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32"/>
        <v>44334</v>
      </c>
      <c r="AS23" s="424">
        <f t="shared" si="54"/>
        <v>0.9</v>
      </c>
      <c r="AT23" s="201">
        <v>130</v>
      </c>
      <c r="AU23" s="425">
        <f t="shared" si="42"/>
        <v>1.1000000000000001</v>
      </c>
      <c r="AV23" s="201">
        <v>180</v>
      </c>
      <c r="AW23" s="5">
        <v>2.9</v>
      </c>
      <c r="AX23" s="201">
        <v>126</v>
      </c>
      <c r="AY23" s="426">
        <f t="shared" si="7"/>
        <v>117</v>
      </c>
      <c r="AZ23" s="426">
        <f t="shared" si="33"/>
        <v>198.00000000000003</v>
      </c>
      <c r="BA23" s="426">
        <f t="shared" si="34"/>
        <v>365.4</v>
      </c>
      <c r="BB23" s="21">
        <f t="shared" si="35"/>
        <v>-2.7000000000000028</v>
      </c>
      <c r="BC23" s="21">
        <f t="shared" si="35"/>
        <v>-1.0999999999999943</v>
      </c>
      <c r="BD23" s="21">
        <f t="shared" si="35"/>
        <v>-29</v>
      </c>
      <c r="BE23" s="24">
        <f t="shared" si="37"/>
        <v>-32.799999999999997</v>
      </c>
      <c r="BF23" s="96">
        <f t="shared" si="8"/>
        <v>32.799999999999997</v>
      </c>
      <c r="BG23" s="82">
        <f t="shared" si="9"/>
        <v>-32.799999999999997</v>
      </c>
    </row>
    <row r="24" spans="1:61" ht="15.75" thickBot="1">
      <c r="A24" s="6">
        <f>ELEC!C21</f>
        <v>44335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SUM((C24*$E$4)+(7500/'EDl log'!$A$37))</f>
        <v>241.93548387096774</v>
      </c>
      <c r="F24" s="327"/>
      <c r="G24" s="5">
        <f t="shared" si="13"/>
        <v>619716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'Swimming Pool quality check '!H24</f>
        <v>6769</v>
      </c>
      <c r="L24" s="274">
        <f t="shared" si="40"/>
        <v>1</v>
      </c>
      <c r="M24" s="410">
        <f t="shared" si="15"/>
        <v>457.44</v>
      </c>
      <c r="N24" s="511">
        <f t="shared" si="43"/>
        <v>0</v>
      </c>
      <c r="O24" s="410">
        <f t="shared" si="16"/>
        <v>529.52</v>
      </c>
      <c r="P24" s="511">
        <f t="shared" si="44"/>
        <v>0</v>
      </c>
      <c r="Q24" s="511">
        <f t="shared" si="45"/>
        <v>0</v>
      </c>
      <c r="R24" s="513"/>
      <c r="S24" s="513"/>
      <c r="T24" s="5">
        <f t="shared" si="17"/>
        <v>5171</v>
      </c>
      <c r="U24" s="5">
        <f t="shared" si="4"/>
        <v>0</v>
      </c>
      <c r="V24" s="5">
        <v>472</v>
      </c>
      <c r="W24" s="324">
        <f t="shared" si="19"/>
        <v>1</v>
      </c>
      <c r="X24" s="5">
        <v>151832</v>
      </c>
      <c r="Y24" s="324">
        <f t="shared" si="41"/>
        <v>60</v>
      </c>
      <c r="Z24" s="5">
        <f t="shared" si="21"/>
        <v>98847</v>
      </c>
      <c r="AA24" s="83">
        <f t="shared" si="22"/>
        <v>0</v>
      </c>
      <c r="AB24" s="5">
        <f t="shared" si="23"/>
        <v>261</v>
      </c>
      <c r="AC24" s="5">
        <f t="shared" si="24"/>
        <v>731</v>
      </c>
      <c r="AD24" s="83">
        <f t="shared" si="38"/>
        <v>0</v>
      </c>
      <c r="AE24" s="5">
        <f t="shared" si="25"/>
        <v>229.78</v>
      </c>
      <c r="AF24" s="83">
        <f t="shared" si="26"/>
        <v>0</v>
      </c>
      <c r="AG24" s="5">
        <f t="shared" si="27"/>
        <v>2205.62</v>
      </c>
      <c r="AH24" s="83">
        <f t="shared" si="28"/>
        <v>0</v>
      </c>
      <c r="AI24" s="83">
        <f t="shared" si="29"/>
        <v>0</v>
      </c>
      <c r="AJ24" s="326">
        <f t="shared" si="30"/>
        <v>0</v>
      </c>
      <c r="AK24" s="327">
        <f t="shared" si="39"/>
        <v>59</v>
      </c>
      <c r="AL24" s="327">
        <f t="shared" si="31"/>
        <v>-1</v>
      </c>
      <c r="AM24" s="327">
        <f>'General information '!D24</f>
        <v>23</v>
      </c>
      <c r="AN24" s="84">
        <f>'[2]General information '!H24</f>
        <v>0</v>
      </c>
      <c r="AO24" s="84"/>
      <c r="AP24" s="84">
        <f>'[2]General information '!J24</f>
        <v>0</v>
      </c>
      <c r="AR24" s="277">
        <f t="shared" si="32"/>
        <v>44335</v>
      </c>
      <c r="AS24" s="424">
        <f t="shared" si="54"/>
        <v>0.9</v>
      </c>
      <c r="AT24" s="201">
        <v>64</v>
      </c>
      <c r="AU24" s="425">
        <f t="shared" si="42"/>
        <v>1.1000000000000001</v>
      </c>
      <c r="AV24" s="201">
        <v>180</v>
      </c>
      <c r="AW24" s="5">
        <v>2.9</v>
      </c>
      <c r="AX24" s="201">
        <v>117</v>
      </c>
      <c r="AY24" s="426">
        <f t="shared" si="7"/>
        <v>57.6</v>
      </c>
      <c r="AZ24" s="426">
        <f t="shared" si="33"/>
        <v>198.00000000000003</v>
      </c>
      <c r="BA24" s="426">
        <f t="shared" si="34"/>
        <v>339.3</v>
      </c>
      <c r="BB24" s="21">
        <f t="shared" si="35"/>
        <v>-59.4</v>
      </c>
      <c r="BC24" s="21">
        <f t="shared" si="35"/>
        <v>0</v>
      </c>
      <c r="BD24" s="21">
        <f t="shared" si="35"/>
        <v>-26.099999999999966</v>
      </c>
      <c r="BE24" s="24">
        <f t="shared" si="37"/>
        <v>-85.499999999999972</v>
      </c>
      <c r="BF24" s="96">
        <f t="shared" si="8"/>
        <v>85.499999999999972</v>
      </c>
      <c r="BG24" s="82">
        <f t="shared" si="9"/>
        <v>-85.499999999999972</v>
      </c>
      <c r="BI24" s="82"/>
    </row>
    <row r="25" spans="1:61" ht="15.75" thickBot="1">
      <c r="A25" s="6">
        <f>ELEC!C22</f>
        <v>44336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log'!$A$37))</f>
        <v>241.93548387096774</v>
      </c>
      <c r="F25" s="327"/>
      <c r="G25" s="5">
        <f t="shared" si="13"/>
        <v>619716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6769</v>
      </c>
      <c r="L25" s="274">
        <f t="shared" si="40"/>
        <v>0</v>
      </c>
      <c r="M25" s="410">
        <f t="shared" si="15"/>
        <v>457.44</v>
      </c>
      <c r="N25" s="511">
        <f t="shared" si="43"/>
        <v>0</v>
      </c>
      <c r="O25" s="410">
        <f t="shared" si="16"/>
        <v>529.52</v>
      </c>
      <c r="P25" s="511">
        <f t="shared" si="44"/>
        <v>0</v>
      </c>
      <c r="Q25" s="511">
        <f t="shared" si="45"/>
        <v>0</v>
      </c>
      <c r="R25" s="513"/>
      <c r="S25" s="513"/>
      <c r="T25" s="5">
        <f t="shared" si="17"/>
        <v>5171</v>
      </c>
      <c r="U25" s="5">
        <f t="shared" si="4"/>
        <v>0</v>
      </c>
      <c r="V25" s="5">
        <f t="shared" si="18"/>
        <v>472</v>
      </c>
      <c r="W25" s="324">
        <f t="shared" si="19"/>
        <v>0</v>
      </c>
      <c r="X25" s="5">
        <f t="shared" si="20"/>
        <v>151832</v>
      </c>
      <c r="Y25" s="324">
        <f t="shared" si="41"/>
        <v>0</v>
      </c>
      <c r="Z25" s="5">
        <f t="shared" si="21"/>
        <v>98847</v>
      </c>
      <c r="AA25" s="83">
        <f t="shared" si="22"/>
        <v>0</v>
      </c>
      <c r="AB25" s="5">
        <f t="shared" si="23"/>
        <v>261</v>
      </c>
      <c r="AC25" s="5">
        <f t="shared" si="24"/>
        <v>731</v>
      </c>
      <c r="AD25" s="83">
        <f t="shared" si="38"/>
        <v>0</v>
      </c>
      <c r="AE25" s="5">
        <f t="shared" si="25"/>
        <v>229.78</v>
      </c>
      <c r="AF25" s="83">
        <f t="shared" si="26"/>
        <v>0</v>
      </c>
      <c r="AG25" s="5">
        <f t="shared" si="27"/>
        <v>2205.62</v>
      </c>
      <c r="AH25" s="83">
        <f t="shared" si="28"/>
        <v>0</v>
      </c>
      <c r="AI25" s="83">
        <f t="shared" si="29"/>
        <v>0</v>
      </c>
      <c r="AJ25" s="326">
        <f t="shared" si="30"/>
        <v>0</v>
      </c>
      <c r="AK25" s="327">
        <f t="shared" si="39"/>
        <v>0</v>
      </c>
      <c r="AL25" s="327">
        <f t="shared" si="31"/>
        <v>0</v>
      </c>
      <c r="AM25" s="327">
        <f>'General information '!D25</f>
        <v>23.5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32"/>
        <v>44336</v>
      </c>
      <c r="AS25" s="424">
        <f t="shared" si="54"/>
        <v>0.9</v>
      </c>
      <c r="AT25" s="201">
        <f t="shared" si="54"/>
        <v>64</v>
      </c>
      <c r="AU25" s="425">
        <f t="shared" si="42"/>
        <v>1.1000000000000001</v>
      </c>
      <c r="AV25" s="201">
        <v>179</v>
      </c>
      <c r="AW25" s="5">
        <v>2.9</v>
      </c>
      <c r="AX25" s="201">
        <v>111</v>
      </c>
      <c r="AY25" s="426">
        <f t="shared" si="7"/>
        <v>57.6</v>
      </c>
      <c r="AZ25" s="426">
        <f t="shared" si="33"/>
        <v>196.9</v>
      </c>
      <c r="BA25" s="426">
        <f t="shared" si="34"/>
        <v>321.89999999999998</v>
      </c>
      <c r="BB25" s="21">
        <f t="shared" si="35"/>
        <v>0</v>
      </c>
      <c r="BC25" s="21">
        <f t="shared" si="35"/>
        <v>-1.1000000000000227</v>
      </c>
      <c r="BD25" s="21">
        <f t="shared" si="35"/>
        <v>-17.400000000000034</v>
      </c>
      <c r="BE25" s="24">
        <f t="shared" si="37"/>
        <v>-18.500000000000057</v>
      </c>
      <c r="BF25" s="96">
        <f t="shared" si="8"/>
        <v>18.500000000000057</v>
      </c>
      <c r="BG25" s="82">
        <f t="shared" si="9"/>
        <v>-18.500000000000057</v>
      </c>
    </row>
    <row r="26" spans="1:61" ht="15.75" thickBot="1">
      <c r="A26" s="6">
        <f>ELEC!C23</f>
        <v>44337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log'!$A$37))</f>
        <v>241.93548387096774</v>
      </c>
      <c r="F26" s="327"/>
      <c r="G26" s="5">
        <f t="shared" si="13"/>
        <v>619716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6769</v>
      </c>
      <c r="L26" s="274">
        <f t="shared" si="40"/>
        <v>0</v>
      </c>
      <c r="M26" s="410">
        <f t="shared" si="15"/>
        <v>457.44</v>
      </c>
      <c r="N26" s="511">
        <f t="shared" si="43"/>
        <v>0</v>
      </c>
      <c r="O26" s="410">
        <f t="shared" si="16"/>
        <v>529.52</v>
      </c>
      <c r="P26" s="511">
        <f t="shared" si="44"/>
        <v>0</v>
      </c>
      <c r="Q26" s="511">
        <f t="shared" si="45"/>
        <v>0</v>
      </c>
      <c r="R26" s="513"/>
      <c r="S26" s="513"/>
      <c r="T26" s="5">
        <f t="shared" si="17"/>
        <v>5171</v>
      </c>
      <c r="U26" s="5">
        <f t="shared" si="4"/>
        <v>0</v>
      </c>
      <c r="V26" s="5">
        <f t="shared" si="18"/>
        <v>472</v>
      </c>
      <c r="W26" s="324">
        <f t="shared" si="19"/>
        <v>0</v>
      </c>
      <c r="X26" s="5">
        <f t="shared" si="20"/>
        <v>151832</v>
      </c>
      <c r="Y26" s="324">
        <f t="shared" si="41"/>
        <v>0</v>
      </c>
      <c r="Z26" s="5">
        <f t="shared" si="21"/>
        <v>98847</v>
      </c>
      <c r="AA26" s="83">
        <f t="shared" si="22"/>
        <v>0</v>
      </c>
      <c r="AB26" s="5">
        <f t="shared" si="23"/>
        <v>261</v>
      </c>
      <c r="AC26" s="5">
        <f t="shared" si="24"/>
        <v>731</v>
      </c>
      <c r="AD26" s="83">
        <f t="shared" si="38"/>
        <v>0</v>
      </c>
      <c r="AE26" s="5">
        <f t="shared" si="25"/>
        <v>229.78</v>
      </c>
      <c r="AF26" s="83">
        <f t="shared" si="26"/>
        <v>0</v>
      </c>
      <c r="AG26" s="5">
        <f t="shared" si="27"/>
        <v>2205.62</v>
      </c>
      <c r="AH26" s="83">
        <f t="shared" si="28"/>
        <v>0</v>
      </c>
      <c r="AI26" s="83">
        <f t="shared" si="29"/>
        <v>0</v>
      </c>
      <c r="AJ26" s="326">
        <f t="shared" si="30"/>
        <v>0</v>
      </c>
      <c r="AK26" s="327">
        <f>SUM(Y26-L26)</f>
        <v>0</v>
      </c>
      <c r="AL26" s="327">
        <f>SUM(AJ26-W26)</f>
        <v>0</v>
      </c>
      <c r="AM26" s="327">
        <f>'General information '!D26</f>
        <v>24.5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32"/>
        <v>44337</v>
      </c>
      <c r="AS26" s="424">
        <f t="shared" si="54"/>
        <v>0.9</v>
      </c>
      <c r="AT26" s="201">
        <f t="shared" si="54"/>
        <v>64</v>
      </c>
      <c r="AU26" s="425">
        <f t="shared" si="42"/>
        <v>1.1000000000000001</v>
      </c>
      <c r="AV26" s="201">
        <v>178</v>
      </c>
      <c r="AW26" s="5">
        <v>2.9</v>
      </c>
      <c r="AX26" s="201">
        <v>108</v>
      </c>
      <c r="AY26" s="426">
        <v>108</v>
      </c>
      <c r="AZ26" s="426">
        <f t="shared" si="33"/>
        <v>195.8</v>
      </c>
      <c r="BA26" s="426">
        <f t="shared" si="34"/>
        <v>313.2</v>
      </c>
      <c r="BB26" s="21">
        <f t="shared" si="35"/>
        <v>50.4</v>
      </c>
      <c r="BC26" s="21">
        <f t="shared" si="35"/>
        <v>-1.0999999999999943</v>
      </c>
      <c r="BD26" s="21">
        <f t="shared" si="35"/>
        <v>-8.6999999999999886</v>
      </c>
      <c r="BE26" s="24">
        <f t="shared" si="37"/>
        <v>40.600000000000016</v>
      </c>
      <c r="BF26" s="96">
        <f t="shared" si="8"/>
        <v>-40.600000000000016</v>
      </c>
      <c r="BG26" s="82">
        <f t="shared" si="9"/>
        <v>40.600000000000016</v>
      </c>
    </row>
    <row r="27" spans="1:61" ht="15.75" thickBot="1">
      <c r="A27" s="6">
        <f>ELEC!C24</f>
        <v>44338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log'!$A$37))</f>
        <v>241.93548387096774</v>
      </c>
      <c r="F27" s="327"/>
      <c r="G27" s="5">
        <f t="shared" si="13"/>
        <v>619716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6770</v>
      </c>
      <c r="L27" s="274">
        <f t="shared" si="40"/>
        <v>1</v>
      </c>
      <c r="M27" s="410">
        <f t="shared" si="15"/>
        <v>457.44</v>
      </c>
      <c r="N27" s="511">
        <f t="shared" si="43"/>
        <v>0</v>
      </c>
      <c r="O27" s="410">
        <f t="shared" si="16"/>
        <v>529.52</v>
      </c>
      <c r="P27" s="511">
        <f t="shared" si="44"/>
        <v>0</v>
      </c>
      <c r="Q27" s="511">
        <f t="shared" si="45"/>
        <v>0</v>
      </c>
      <c r="R27" s="513"/>
      <c r="S27" s="513"/>
      <c r="T27" s="5">
        <f t="shared" si="17"/>
        <v>5171</v>
      </c>
      <c r="U27" s="5">
        <f t="shared" si="4"/>
        <v>0</v>
      </c>
      <c r="V27" s="5">
        <f t="shared" si="18"/>
        <v>472</v>
      </c>
      <c r="W27" s="324">
        <f t="shared" si="19"/>
        <v>0</v>
      </c>
      <c r="X27" s="5">
        <f t="shared" si="20"/>
        <v>151832</v>
      </c>
      <c r="Y27" s="324">
        <f>SUM(X27-X26)</f>
        <v>0</v>
      </c>
      <c r="Z27" s="5">
        <f t="shared" si="21"/>
        <v>98847</v>
      </c>
      <c r="AA27" s="83">
        <f t="shared" si="22"/>
        <v>0</v>
      </c>
      <c r="AB27" s="5">
        <f t="shared" si="23"/>
        <v>261</v>
      </c>
      <c r="AC27" s="5">
        <f t="shared" si="24"/>
        <v>731</v>
      </c>
      <c r="AD27" s="83">
        <f t="shared" si="38"/>
        <v>0</v>
      </c>
      <c r="AE27" s="5">
        <f t="shared" si="25"/>
        <v>229.78</v>
      </c>
      <c r="AF27" s="83">
        <f t="shared" si="26"/>
        <v>0</v>
      </c>
      <c r="AG27" s="5">
        <f t="shared" si="27"/>
        <v>2205.62</v>
      </c>
      <c r="AH27" s="83">
        <f t="shared" si="28"/>
        <v>0</v>
      </c>
      <c r="AI27" s="83">
        <f t="shared" si="29"/>
        <v>0</v>
      </c>
      <c r="AJ27" s="326">
        <f t="shared" si="30"/>
        <v>0</v>
      </c>
      <c r="AK27" s="327">
        <f t="shared" si="39"/>
        <v>-1</v>
      </c>
      <c r="AL27" s="327">
        <f t="shared" si="31"/>
        <v>0</v>
      </c>
      <c r="AM27" s="327">
        <f>'General information '!D27</f>
        <v>24.5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32"/>
        <v>44338</v>
      </c>
      <c r="AS27" s="424">
        <f t="shared" si="54"/>
        <v>0.9</v>
      </c>
      <c r="AT27" s="201">
        <v>120</v>
      </c>
      <c r="AU27" s="425">
        <f t="shared" si="42"/>
        <v>1.1000000000000001</v>
      </c>
      <c r="AV27" s="201">
        <v>177</v>
      </c>
      <c r="AW27" s="5">
        <v>2.9</v>
      </c>
      <c r="AX27" s="201">
        <v>105</v>
      </c>
      <c r="AY27" s="426">
        <f t="shared" si="7"/>
        <v>108</v>
      </c>
      <c r="AZ27" s="426">
        <f t="shared" si="33"/>
        <v>194.70000000000002</v>
      </c>
      <c r="BA27" s="426">
        <f t="shared" si="34"/>
        <v>304.5</v>
      </c>
      <c r="BB27" s="21">
        <f t="shared" si="35"/>
        <v>0</v>
      </c>
      <c r="BC27" s="21">
        <f t="shared" si="35"/>
        <v>-1.0999999999999943</v>
      </c>
      <c r="BD27" s="21">
        <f t="shared" si="35"/>
        <v>-8.6999999999999886</v>
      </c>
      <c r="BE27" s="24">
        <f t="shared" si="37"/>
        <v>-9.7999999999999829</v>
      </c>
      <c r="BF27" s="96">
        <f t="shared" si="8"/>
        <v>9.7999999999999829</v>
      </c>
      <c r="BG27" s="82">
        <f t="shared" si="9"/>
        <v>-9.7999999999999829</v>
      </c>
    </row>
    <row r="28" spans="1:61" ht="15.75" thickBot="1">
      <c r="A28" s="6">
        <f>ELEC!C25</f>
        <v>44339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log'!$A$37))</f>
        <v>241.93548387096774</v>
      </c>
      <c r="F28" s="327"/>
      <c r="G28" s="5">
        <f t="shared" si="13"/>
        <v>619716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6770</v>
      </c>
      <c r="L28" s="274">
        <f t="shared" si="40"/>
        <v>0</v>
      </c>
      <c r="M28" s="410">
        <f t="shared" si="15"/>
        <v>457.44</v>
      </c>
      <c r="N28" s="511">
        <f t="shared" si="43"/>
        <v>0</v>
      </c>
      <c r="O28" s="410">
        <f t="shared" si="16"/>
        <v>529.52</v>
      </c>
      <c r="P28" s="511">
        <f t="shared" si="44"/>
        <v>0</v>
      </c>
      <c r="Q28" s="511">
        <f t="shared" si="45"/>
        <v>0</v>
      </c>
      <c r="R28" s="513"/>
      <c r="S28" s="513"/>
      <c r="T28" s="5">
        <f t="shared" si="17"/>
        <v>5171</v>
      </c>
      <c r="U28" s="5">
        <f t="shared" si="4"/>
        <v>0</v>
      </c>
      <c r="V28" s="5">
        <f t="shared" si="18"/>
        <v>472</v>
      </c>
      <c r="W28" s="324">
        <f t="shared" si="19"/>
        <v>0</v>
      </c>
      <c r="X28" s="5">
        <f t="shared" si="20"/>
        <v>151832</v>
      </c>
      <c r="Y28" s="324">
        <f t="shared" si="41"/>
        <v>0</v>
      </c>
      <c r="Z28" s="5">
        <f t="shared" si="21"/>
        <v>98847</v>
      </c>
      <c r="AA28" s="83">
        <f t="shared" si="22"/>
        <v>0</v>
      </c>
      <c r="AB28" s="5">
        <f t="shared" si="23"/>
        <v>261</v>
      </c>
      <c r="AC28" s="5">
        <f t="shared" si="24"/>
        <v>731</v>
      </c>
      <c r="AD28" s="83">
        <f t="shared" si="38"/>
        <v>0</v>
      </c>
      <c r="AE28" s="5">
        <f t="shared" si="25"/>
        <v>229.78</v>
      </c>
      <c r="AF28" s="83">
        <f t="shared" si="26"/>
        <v>0</v>
      </c>
      <c r="AG28" s="5">
        <f t="shared" si="27"/>
        <v>2205.62</v>
      </c>
      <c r="AH28" s="83">
        <f t="shared" si="28"/>
        <v>0</v>
      </c>
      <c r="AI28" s="83">
        <f t="shared" si="29"/>
        <v>0</v>
      </c>
      <c r="AJ28" s="326">
        <f t="shared" si="30"/>
        <v>0</v>
      </c>
      <c r="AK28" s="327">
        <f t="shared" si="39"/>
        <v>0</v>
      </c>
      <c r="AL28" s="327">
        <f t="shared" si="31"/>
        <v>0</v>
      </c>
      <c r="AM28" s="327">
        <f>'General information '!D28</f>
        <v>23.5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32"/>
        <v>44339</v>
      </c>
      <c r="AS28" s="424">
        <f t="shared" si="54"/>
        <v>0.9</v>
      </c>
      <c r="AT28" s="201">
        <v>120</v>
      </c>
      <c r="AU28" s="425">
        <f t="shared" si="42"/>
        <v>1.1000000000000001</v>
      </c>
      <c r="AV28" s="201">
        <v>176</v>
      </c>
      <c r="AW28" s="5">
        <v>2.9</v>
      </c>
      <c r="AX28" s="201">
        <v>102</v>
      </c>
      <c r="AY28" s="426">
        <f t="shared" si="7"/>
        <v>108</v>
      </c>
      <c r="AZ28" s="426">
        <f t="shared" si="33"/>
        <v>193.60000000000002</v>
      </c>
      <c r="BA28" s="426">
        <f t="shared" si="34"/>
        <v>295.8</v>
      </c>
      <c r="BB28" s="21">
        <f t="shared" si="35"/>
        <v>0</v>
      </c>
      <c r="BC28" s="21">
        <f t="shared" si="35"/>
        <v>-1.0999999999999943</v>
      </c>
      <c r="BD28" s="21">
        <f t="shared" si="35"/>
        <v>-8.6999999999999886</v>
      </c>
      <c r="BE28" s="24">
        <f t="shared" si="37"/>
        <v>-9.7999999999999829</v>
      </c>
      <c r="BF28" s="96">
        <f t="shared" si="8"/>
        <v>9.7999999999999829</v>
      </c>
      <c r="BG28" s="82">
        <f t="shared" si="9"/>
        <v>-9.7999999999999829</v>
      </c>
    </row>
    <row r="29" spans="1:61" ht="15.75" thickBot="1">
      <c r="A29" s="6">
        <f>ELEC!C26</f>
        <v>44340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log'!$A$37))</f>
        <v>241.93548387096774</v>
      </c>
      <c r="F29" s="327"/>
      <c r="G29" s="5">
        <f t="shared" si="13"/>
        <v>619716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6770</v>
      </c>
      <c r="L29" s="274">
        <f t="shared" si="40"/>
        <v>0</v>
      </c>
      <c r="M29" s="410">
        <f t="shared" si="15"/>
        <v>457.44</v>
      </c>
      <c r="N29" s="511">
        <f t="shared" si="43"/>
        <v>0</v>
      </c>
      <c r="O29" s="410">
        <f t="shared" si="16"/>
        <v>529.52</v>
      </c>
      <c r="P29" s="511">
        <f t="shared" si="44"/>
        <v>0</v>
      </c>
      <c r="Q29" s="511">
        <f t="shared" si="45"/>
        <v>0</v>
      </c>
      <c r="R29" s="513"/>
      <c r="S29" s="513"/>
      <c r="T29" s="5">
        <f t="shared" si="17"/>
        <v>5171</v>
      </c>
      <c r="U29" s="5">
        <f t="shared" si="4"/>
        <v>0</v>
      </c>
      <c r="V29" s="5">
        <f t="shared" si="18"/>
        <v>472</v>
      </c>
      <c r="W29" s="324">
        <f t="shared" si="19"/>
        <v>0</v>
      </c>
      <c r="X29" s="5">
        <f t="shared" si="20"/>
        <v>151832</v>
      </c>
      <c r="Y29" s="324">
        <f t="shared" si="41"/>
        <v>0</v>
      </c>
      <c r="Z29" s="5">
        <f t="shared" si="21"/>
        <v>98847</v>
      </c>
      <c r="AA29" s="83">
        <f t="shared" si="22"/>
        <v>0</v>
      </c>
      <c r="AB29" s="5">
        <f t="shared" si="23"/>
        <v>261</v>
      </c>
      <c r="AC29" s="5">
        <f t="shared" si="24"/>
        <v>731</v>
      </c>
      <c r="AD29" s="83">
        <f t="shared" si="38"/>
        <v>0</v>
      </c>
      <c r="AE29" s="5">
        <f t="shared" si="25"/>
        <v>229.78</v>
      </c>
      <c r="AF29" s="83">
        <f t="shared" si="26"/>
        <v>0</v>
      </c>
      <c r="AG29" s="5">
        <f t="shared" si="27"/>
        <v>2205.62</v>
      </c>
      <c r="AH29" s="83">
        <f t="shared" si="28"/>
        <v>0</v>
      </c>
      <c r="AI29" s="83">
        <f t="shared" si="29"/>
        <v>0</v>
      </c>
      <c r="AJ29" s="326">
        <f t="shared" si="30"/>
        <v>0</v>
      </c>
      <c r="AK29" s="327">
        <f t="shared" si="39"/>
        <v>0</v>
      </c>
      <c r="AL29" s="327">
        <f t="shared" si="31"/>
        <v>0</v>
      </c>
      <c r="AM29" s="327">
        <f>'General information '!D29</f>
        <v>24.5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32"/>
        <v>44340</v>
      </c>
      <c r="AS29" s="424">
        <f t="shared" si="54"/>
        <v>0.9</v>
      </c>
      <c r="AT29" s="201">
        <f t="shared" si="54"/>
        <v>120</v>
      </c>
      <c r="AU29" s="425">
        <f t="shared" si="42"/>
        <v>1.1000000000000001</v>
      </c>
      <c r="AV29" s="201">
        <v>175</v>
      </c>
      <c r="AW29" s="5">
        <v>2.9</v>
      </c>
      <c r="AX29" s="201">
        <v>115</v>
      </c>
      <c r="AY29" s="426">
        <f t="shared" si="7"/>
        <v>108</v>
      </c>
      <c r="AZ29" s="426">
        <f t="shared" si="33"/>
        <v>192.50000000000003</v>
      </c>
      <c r="BA29" s="426">
        <f t="shared" si="34"/>
        <v>333.5</v>
      </c>
      <c r="BB29" s="21">
        <f t="shared" si="35"/>
        <v>0</v>
      </c>
      <c r="BC29" s="21">
        <f t="shared" si="35"/>
        <v>-1.0999999999999943</v>
      </c>
      <c r="BD29" s="21">
        <f t="shared" si="35"/>
        <v>37.699999999999989</v>
      </c>
      <c r="BE29" s="24">
        <f t="shared" si="37"/>
        <v>36.599999999999994</v>
      </c>
      <c r="BF29" s="96">
        <f t="shared" si="8"/>
        <v>-36.599999999999994</v>
      </c>
      <c r="BG29" s="82">
        <f t="shared" si="9"/>
        <v>36.599999999999994</v>
      </c>
    </row>
    <row r="30" spans="1:61" ht="15.75" thickBot="1">
      <c r="A30" s="6">
        <f>ELEC!C27</f>
        <v>44341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log'!$A$37))</f>
        <v>241.93548387096774</v>
      </c>
      <c r="F30" s="327"/>
      <c r="G30" s="5">
        <f t="shared" si="13"/>
        <v>619716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6770</v>
      </c>
      <c r="L30" s="274">
        <f t="shared" si="40"/>
        <v>0</v>
      </c>
      <c r="M30" s="410">
        <f t="shared" si="15"/>
        <v>457.44</v>
      </c>
      <c r="N30" s="511">
        <f t="shared" si="43"/>
        <v>0</v>
      </c>
      <c r="O30" s="410">
        <f t="shared" si="16"/>
        <v>529.52</v>
      </c>
      <c r="P30" s="511">
        <f t="shared" si="44"/>
        <v>0</v>
      </c>
      <c r="Q30" s="511">
        <f t="shared" si="45"/>
        <v>0</v>
      </c>
      <c r="R30" s="513"/>
      <c r="S30" s="513"/>
      <c r="T30" s="5">
        <f t="shared" si="17"/>
        <v>5171</v>
      </c>
      <c r="U30" s="5">
        <f t="shared" si="4"/>
        <v>0</v>
      </c>
      <c r="V30" s="5">
        <f t="shared" si="18"/>
        <v>472</v>
      </c>
      <c r="W30" s="324">
        <f t="shared" si="19"/>
        <v>0</v>
      </c>
      <c r="X30" s="5">
        <f t="shared" si="20"/>
        <v>151832</v>
      </c>
      <c r="Y30" s="324">
        <f t="shared" si="41"/>
        <v>0</v>
      </c>
      <c r="Z30" s="5">
        <f t="shared" si="21"/>
        <v>98847</v>
      </c>
      <c r="AA30" s="83">
        <f t="shared" si="22"/>
        <v>0</v>
      </c>
      <c r="AB30" s="5">
        <f t="shared" si="23"/>
        <v>261</v>
      </c>
      <c r="AC30" s="5">
        <f t="shared" si="24"/>
        <v>731</v>
      </c>
      <c r="AD30" s="83">
        <f t="shared" si="38"/>
        <v>0</v>
      </c>
      <c r="AE30" s="5">
        <f t="shared" si="25"/>
        <v>229.78</v>
      </c>
      <c r="AF30" s="83">
        <f t="shared" si="26"/>
        <v>0</v>
      </c>
      <c r="AG30" s="5">
        <f t="shared" si="27"/>
        <v>2205.62</v>
      </c>
      <c r="AH30" s="83">
        <f t="shared" si="28"/>
        <v>0</v>
      </c>
      <c r="AI30" s="83">
        <f t="shared" si="29"/>
        <v>0</v>
      </c>
      <c r="AJ30" s="326">
        <f t="shared" si="30"/>
        <v>0</v>
      </c>
      <c r="AK30" s="327">
        <f t="shared" si="39"/>
        <v>0</v>
      </c>
      <c r="AL30" s="327">
        <f t="shared" si="31"/>
        <v>0</v>
      </c>
      <c r="AM30" s="327">
        <f>'General information '!D30</f>
        <v>24.5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32"/>
        <v>44341</v>
      </c>
      <c r="AS30" s="424">
        <f t="shared" si="54"/>
        <v>0.9</v>
      </c>
      <c r="AT30" s="201">
        <v>84</v>
      </c>
      <c r="AU30" s="425">
        <f t="shared" si="42"/>
        <v>1.1000000000000001</v>
      </c>
      <c r="AV30" s="201">
        <v>172</v>
      </c>
      <c r="AW30" s="5">
        <v>2.9</v>
      </c>
      <c r="AX30" s="201">
        <v>111</v>
      </c>
      <c r="AY30" s="426">
        <f t="shared" si="7"/>
        <v>75.600000000000009</v>
      </c>
      <c r="AZ30" s="426">
        <f t="shared" si="33"/>
        <v>189.20000000000002</v>
      </c>
      <c r="BA30" s="426">
        <f t="shared" si="34"/>
        <v>321.89999999999998</v>
      </c>
      <c r="BB30" s="21">
        <f t="shared" si="35"/>
        <v>-32.399999999999991</v>
      </c>
      <c r="BC30" s="21">
        <f t="shared" si="35"/>
        <v>-3.3000000000000114</v>
      </c>
      <c r="BD30" s="21">
        <f t="shared" si="35"/>
        <v>-11.600000000000023</v>
      </c>
      <c r="BE30" s="24">
        <f t="shared" si="37"/>
        <v>-47.300000000000026</v>
      </c>
      <c r="BF30" s="96">
        <f t="shared" si="8"/>
        <v>47.300000000000026</v>
      </c>
      <c r="BG30" s="82">
        <f t="shared" si="9"/>
        <v>-47.300000000000026</v>
      </c>
    </row>
    <row r="31" spans="1:61" ht="15.75" thickBot="1">
      <c r="A31" s="6">
        <f>ELEC!C28</f>
        <v>44342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log'!$A$37))</f>
        <v>241.93548387096774</v>
      </c>
      <c r="F31" s="327"/>
      <c r="G31" s="5">
        <f t="shared" si="13"/>
        <v>619716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6773</v>
      </c>
      <c r="L31" s="274">
        <f t="shared" si="40"/>
        <v>3</v>
      </c>
      <c r="M31" s="410">
        <f t="shared" si="15"/>
        <v>457.44</v>
      </c>
      <c r="N31" s="511">
        <f t="shared" si="43"/>
        <v>0</v>
      </c>
      <c r="O31" s="410">
        <f t="shared" si="16"/>
        <v>529.52</v>
      </c>
      <c r="P31" s="511">
        <f t="shared" si="44"/>
        <v>0</v>
      </c>
      <c r="Q31" s="511">
        <f t="shared" si="45"/>
        <v>0</v>
      </c>
      <c r="R31" s="513"/>
      <c r="S31" s="513"/>
      <c r="T31" s="5">
        <f t="shared" si="17"/>
        <v>5171</v>
      </c>
      <c r="U31" s="5">
        <f t="shared" si="4"/>
        <v>0</v>
      </c>
      <c r="V31" s="5">
        <v>474</v>
      </c>
      <c r="W31" s="324">
        <f t="shared" si="19"/>
        <v>2</v>
      </c>
      <c r="X31" s="5">
        <v>151834</v>
      </c>
      <c r="Y31" s="324">
        <f t="shared" si="41"/>
        <v>2</v>
      </c>
      <c r="Z31" s="5">
        <f t="shared" si="21"/>
        <v>98847</v>
      </c>
      <c r="AA31" s="83">
        <f t="shared" si="22"/>
        <v>0</v>
      </c>
      <c r="AB31" s="5">
        <f t="shared" si="23"/>
        <v>261</v>
      </c>
      <c r="AC31" s="5">
        <f t="shared" si="24"/>
        <v>731</v>
      </c>
      <c r="AD31" s="83">
        <f t="shared" si="38"/>
        <v>0</v>
      </c>
      <c r="AE31" s="5">
        <v>229.81</v>
      </c>
      <c r="AF31" s="83">
        <f t="shared" si="26"/>
        <v>3.0000000000001137E-2</v>
      </c>
      <c r="AG31" s="5">
        <v>2205.98</v>
      </c>
      <c r="AH31" s="83">
        <f>AG31-AG30</f>
        <v>0.36000000000012733</v>
      </c>
      <c r="AI31" s="83">
        <f>AF31+AH31</f>
        <v>0.39000000000012847</v>
      </c>
      <c r="AJ31" s="326">
        <f t="shared" si="30"/>
        <v>0</v>
      </c>
      <c r="AK31" s="327">
        <f t="shared" si="39"/>
        <v>-1</v>
      </c>
      <c r="AL31" s="327">
        <f t="shared" si="31"/>
        <v>-2</v>
      </c>
      <c r="AM31" s="327">
        <f>'General information '!D31</f>
        <v>24.5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32"/>
        <v>44342</v>
      </c>
      <c r="AS31" s="424">
        <f t="shared" si="54"/>
        <v>0.9</v>
      </c>
      <c r="AT31" s="201">
        <v>65</v>
      </c>
      <c r="AU31" s="425">
        <f t="shared" si="42"/>
        <v>1.1000000000000001</v>
      </c>
      <c r="AV31" s="201">
        <v>169</v>
      </c>
      <c r="AW31" s="5">
        <v>2.9</v>
      </c>
      <c r="AX31" s="201">
        <v>105</v>
      </c>
      <c r="AY31" s="426">
        <f t="shared" si="7"/>
        <v>58.5</v>
      </c>
      <c r="AZ31" s="426">
        <f t="shared" si="33"/>
        <v>185.9</v>
      </c>
      <c r="BA31" s="426">
        <f t="shared" si="34"/>
        <v>304.5</v>
      </c>
      <c r="BB31" s="21">
        <f t="shared" si="35"/>
        <v>-17.100000000000009</v>
      </c>
      <c r="BC31" s="21">
        <f t="shared" si="35"/>
        <v>-3.3000000000000114</v>
      </c>
      <c r="BD31" s="21">
        <f t="shared" si="35"/>
        <v>-17.399999999999977</v>
      </c>
      <c r="BE31" s="24">
        <f t="shared" si="37"/>
        <v>-37.799999999999997</v>
      </c>
      <c r="BF31" s="96">
        <f t="shared" si="8"/>
        <v>37.799999999999997</v>
      </c>
      <c r="BG31" s="82">
        <f t="shared" si="9"/>
        <v>-37.799999999999997</v>
      </c>
    </row>
    <row r="32" spans="1:61" ht="15.75" thickBot="1">
      <c r="A32" s="6">
        <f>ELEC!C29</f>
        <v>44343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log'!$A$37))</f>
        <v>241.93548387096774</v>
      </c>
      <c r="F32" s="327"/>
      <c r="G32" s="5">
        <v>620151</v>
      </c>
      <c r="H32" s="5">
        <f t="shared" si="14"/>
        <v>435</v>
      </c>
      <c r="I32" s="5">
        <f t="shared" si="0"/>
        <v>435</v>
      </c>
      <c r="J32" s="334">
        <f t="shared" si="1"/>
        <v>0.55617352614015569</v>
      </c>
      <c r="K32" s="5">
        <f>'Swimming Pool quality check '!H32</f>
        <v>6773</v>
      </c>
      <c r="L32" s="274">
        <f t="shared" si="40"/>
        <v>0</v>
      </c>
      <c r="M32" s="410">
        <f t="shared" si="15"/>
        <v>457.44</v>
      </c>
      <c r="N32" s="511">
        <f t="shared" si="43"/>
        <v>0</v>
      </c>
      <c r="O32" s="410">
        <f t="shared" si="16"/>
        <v>529.52</v>
      </c>
      <c r="P32" s="511">
        <f t="shared" si="44"/>
        <v>0</v>
      </c>
      <c r="Q32" s="511">
        <f t="shared" si="45"/>
        <v>0</v>
      </c>
      <c r="R32" s="513"/>
      <c r="S32" s="513"/>
      <c r="T32" s="5">
        <f t="shared" si="17"/>
        <v>5171</v>
      </c>
      <c r="U32" s="5">
        <f t="shared" si="4"/>
        <v>0</v>
      </c>
      <c r="V32" s="5">
        <f t="shared" si="18"/>
        <v>474</v>
      </c>
      <c r="W32" s="324">
        <f t="shared" si="19"/>
        <v>0</v>
      </c>
      <c r="X32" s="5">
        <v>151905</v>
      </c>
      <c r="Y32" s="324">
        <f t="shared" si="41"/>
        <v>71</v>
      </c>
      <c r="Z32" s="5">
        <f t="shared" si="21"/>
        <v>98847</v>
      </c>
      <c r="AA32" s="83">
        <f t="shared" si="22"/>
        <v>0</v>
      </c>
      <c r="AB32" s="5">
        <f t="shared" si="23"/>
        <v>261</v>
      </c>
      <c r="AC32" s="5">
        <f t="shared" si="24"/>
        <v>731</v>
      </c>
      <c r="AD32" s="83">
        <f t="shared" si="38"/>
        <v>0</v>
      </c>
      <c r="AE32" s="5">
        <f t="shared" si="25"/>
        <v>229.81</v>
      </c>
      <c r="AF32" s="83">
        <f t="shared" si="26"/>
        <v>0</v>
      </c>
      <c r="AG32" s="5">
        <f t="shared" si="27"/>
        <v>2205.98</v>
      </c>
      <c r="AH32" s="83">
        <f t="shared" si="28"/>
        <v>0</v>
      </c>
      <c r="AI32" s="83">
        <f t="shared" si="29"/>
        <v>0</v>
      </c>
      <c r="AJ32" s="326">
        <f t="shared" si="30"/>
        <v>0</v>
      </c>
      <c r="AK32" s="327">
        <f t="shared" si="39"/>
        <v>71</v>
      </c>
      <c r="AL32" s="327">
        <f t="shared" si="31"/>
        <v>0</v>
      </c>
      <c r="AM32" s="327">
        <f>'General information '!D32</f>
        <v>23.5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32"/>
        <v>44343</v>
      </c>
      <c r="AS32" s="424">
        <f t="shared" si="54"/>
        <v>0.9</v>
      </c>
      <c r="AT32" s="201">
        <v>120</v>
      </c>
      <c r="AU32" s="425">
        <f t="shared" si="42"/>
        <v>1.1000000000000001</v>
      </c>
      <c r="AV32" s="201">
        <v>168</v>
      </c>
      <c r="AW32" s="5">
        <v>2.9</v>
      </c>
      <c r="AX32" s="201">
        <v>117</v>
      </c>
      <c r="AY32" s="426">
        <f t="shared" si="7"/>
        <v>108</v>
      </c>
      <c r="AZ32" s="426">
        <f t="shared" si="33"/>
        <v>184.8</v>
      </c>
      <c r="BA32" s="426">
        <f t="shared" si="34"/>
        <v>339.3</v>
      </c>
      <c r="BB32" s="21">
        <f t="shared" si="35"/>
        <v>49.5</v>
      </c>
      <c r="BC32" s="21">
        <f t="shared" si="35"/>
        <v>-1.0999999999999943</v>
      </c>
      <c r="BD32" s="21">
        <f t="shared" si="35"/>
        <v>34.800000000000011</v>
      </c>
      <c r="BE32" s="24">
        <f t="shared" si="37"/>
        <v>83.200000000000017</v>
      </c>
      <c r="BF32" s="96">
        <f t="shared" si="8"/>
        <v>351.79999999999995</v>
      </c>
      <c r="BG32" s="82">
        <f t="shared" si="9"/>
        <v>83.200000000000045</v>
      </c>
    </row>
    <row r="33" spans="1:59" ht="15.75" thickBot="1">
      <c r="A33" s="6">
        <f>ELEC!C30</f>
        <v>44344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log'!$A$37))</f>
        <v>241.93548387096774</v>
      </c>
      <c r="F33" s="327"/>
      <c r="G33" s="5">
        <f t="shared" si="13"/>
        <v>620151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6774</v>
      </c>
      <c r="L33" s="274">
        <f t="shared" si="40"/>
        <v>1</v>
      </c>
      <c r="M33" s="410">
        <f t="shared" si="15"/>
        <v>457.44</v>
      </c>
      <c r="N33" s="511">
        <f t="shared" si="43"/>
        <v>0</v>
      </c>
      <c r="O33" s="410">
        <f t="shared" si="16"/>
        <v>529.52</v>
      </c>
      <c r="P33" s="511">
        <f t="shared" si="44"/>
        <v>0</v>
      </c>
      <c r="Q33" s="511">
        <f t="shared" si="45"/>
        <v>0</v>
      </c>
      <c r="R33" s="513"/>
      <c r="S33" s="513"/>
      <c r="T33" s="5">
        <f t="shared" si="17"/>
        <v>5171</v>
      </c>
      <c r="U33" s="5">
        <f t="shared" si="4"/>
        <v>0</v>
      </c>
      <c r="V33" s="5">
        <f t="shared" si="18"/>
        <v>474</v>
      </c>
      <c r="W33" s="324">
        <f t="shared" si="19"/>
        <v>0</v>
      </c>
      <c r="X33" s="5">
        <f t="shared" si="20"/>
        <v>151905</v>
      </c>
      <c r="Y33" s="324">
        <f t="shared" si="41"/>
        <v>0</v>
      </c>
      <c r="Z33" s="5">
        <f t="shared" si="21"/>
        <v>98847</v>
      </c>
      <c r="AA33" s="83">
        <f t="shared" si="22"/>
        <v>0</v>
      </c>
      <c r="AB33" s="5">
        <f t="shared" si="23"/>
        <v>261</v>
      </c>
      <c r="AC33" s="5">
        <f t="shared" si="24"/>
        <v>731</v>
      </c>
      <c r="AD33" s="83">
        <f t="shared" si="38"/>
        <v>0</v>
      </c>
      <c r="AE33" s="5">
        <f t="shared" si="25"/>
        <v>229.81</v>
      </c>
      <c r="AF33" s="83">
        <f>AE33-AE32</f>
        <v>0</v>
      </c>
      <c r="AG33" s="5">
        <f t="shared" si="27"/>
        <v>2205.98</v>
      </c>
      <c r="AH33" s="83">
        <f t="shared" si="28"/>
        <v>0</v>
      </c>
      <c r="AI33" s="83">
        <f t="shared" si="29"/>
        <v>0</v>
      </c>
      <c r="AJ33" s="326">
        <f t="shared" si="30"/>
        <v>0</v>
      </c>
      <c r="AK33" s="327">
        <f t="shared" si="39"/>
        <v>-1</v>
      </c>
      <c r="AL33" s="327">
        <f t="shared" si="31"/>
        <v>0</v>
      </c>
      <c r="AM33" s="327">
        <f>'General information '!D33</f>
        <v>24.5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32"/>
        <v>44344</v>
      </c>
      <c r="AS33" s="424">
        <f t="shared" si="54"/>
        <v>0.9</v>
      </c>
      <c r="AT33" s="201">
        <f t="shared" si="54"/>
        <v>120</v>
      </c>
      <c r="AU33" s="425">
        <f t="shared" si="42"/>
        <v>1.1000000000000001</v>
      </c>
      <c r="AV33" s="201">
        <v>167</v>
      </c>
      <c r="AW33" s="5">
        <v>2.9</v>
      </c>
      <c r="AX33" s="201">
        <v>103</v>
      </c>
      <c r="AY33" s="426">
        <f t="shared" si="7"/>
        <v>108</v>
      </c>
      <c r="AZ33" s="426">
        <f t="shared" si="33"/>
        <v>183.70000000000002</v>
      </c>
      <c r="BA33" s="426">
        <f t="shared" si="34"/>
        <v>298.7</v>
      </c>
      <c r="BB33" s="21">
        <f t="shared" si="35"/>
        <v>0</v>
      </c>
      <c r="BC33" s="21">
        <f t="shared" si="35"/>
        <v>-1.0999999999999943</v>
      </c>
      <c r="BD33" s="21">
        <f t="shared" si="35"/>
        <v>-40.600000000000023</v>
      </c>
      <c r="BE33" s="24">
        <f t="shared" si="37"/>
        <v>-41.700000000000017</v>
      </c>
      <c r="BF33" s="96">
        <f t="shared" si="8"/>
        <v>41.700000000000017</v>
      </c>
      <c r="BG33" s="82">
        <f t="shared" si="9"/>
        <v>-41.700000000000017</v>
      </c>
    </row>
    <row r="34" spans="1:59" ht="15.75" thickBot="1">
      <c r="A34" s="6">
        <f>ELEC!C31</f>
        <v>44345</v>
      </c>
      <c r="B34" s="5">
        <f t="shared" si="10"/>
        <v>109443</v>
      </c>
      <c r="C34" s="5">
        <f t="shared" ref="C34:C35" si="55">B34-B33</f>
        <v>0</v>
      </c>
      <c r="D34" s="419">
        <f t="shared" ref="D34:D35" si="56">C34/27</f>
        <v>0</v>
      </c>
      <c r="E34" s="333">
        <f>SUM((C34*$E$4)+(7500/'EDl log'!$A$37))</f>
        <v>241.93548387096774</v>
      </c>
      <c r="F34" s="327"/>
      <c r="G34" s="5">
        <v>620273</v>
      </c>
      <c r="H34" s="5">
        <f t="shared" ref="H34:H35" si="57">G34-G33</f>
        <v>122</v>
      </c>
      <c r="I34" s="5">
        <f t="shared" ref="I34:I35" si="58">C34+H34</f>
        <v>122</v>
      </c>
      <c r="J34" s="334">
        <f t="shared" ref="J34:J35" si="59">IF(I34&gt;0,E34/I34,0)</f>
        <v>1.9830777366472765</v>
      </c>
      <c r="K34" s="5">
        <f>'Swimming Pool quality check '!H34</f>
        <v>6774</v>
      </c>
      <c r="L34" s="274">
        <f t="shared" ref="L34:L35" si="60">K34-K33</f>
        <v>0</v>
      </c>
      <c r="M34" s="410">
        <f t="shared" si="15"/>
        <v>457.44</v>
      </c>
      <c r="N34" s="511">
        <f t="shared" ref="N34:N35" si="61">SUM(M34-M33)</f>
        <v>0</v>
      </c>
      <c r="O34" s="410">
        <f t="shared" si="16"/>
        <v>529.52</v>
      </c>
      <c r="P34" s="511">
        <f t="shared" ref="P34:P35" si="62">SUM(O34-O33)</f>
        <v>0</v>
      </c>
      <c r="Q34" s="511">
        <f t="shared" ref="Q34:Q35" si="63">SUM(P34+N34)</f>
        <v>0</v>
      </c>
      <c r="R34" s="513"/>
      <c r="S34" s="513"/>
      <c r="T34" s="5">
        <f t="shared" si="17"/>
        <v>5171</v>
      </c>
      <c r="U34" s="5">
        <f t="shared" ref="U34:U35" si="64">SUM(T34-T33)</f>
        <v>0</v>
      </c>
      <c r="V34" s="5">
        <f t="shared" si="18"/>
        <v>474</v>
      </c>
      <c r="W34" s="324">
        <f t="shared" ref="W34:W35" si="65">+V34-V33</f>
        <v>0</v>
      </c>
      <c r="X34" s="5">
        <f t="shared" si="20"/>
        <v>151905</v>
      </c>
      <c r="Y34" s="324">
        <f t="shared" ref="Y34:Y35" si="66">SUM(X34-X33)</f>
        <v>0</v>
      </c>
      <c r="Z34" s="5">
        <f t="shared" si="21"/>
        <v>98847</v>
      </c>
      <c r="AA34" s="83">
        <f t="shared" ref="AA34:AA35" si="67">Z34-Z33</f>
        <v>0</v>
      </c>
      <c r="AB34" s="5">
        <f t="shared" si="23"/>
        <v>261</v>
      </c>
      <c r="AC34" s="5">
        <f t="shared" si="24"/>
        <v>731</v>
      </c>
      <c r="AD34" s="83">
        <f t="shared" ref="AD34:AD35" si="68">AC34-AC33</f>
        <v>0</v>
      </c>
      <c r="AE34" s="5">
        <f t="shared" si="25"/>
        <v>229.81</v>
      </c>
      <c r="AF34" s="83">
        <f t="shared" ref="AF34:AF35" si="69">AE34-AE33</f>
        <v>0</v>
      </c>
      <c r="AG34" s="5">
        <f t="shared" si="27"/>
        <v>2205.98</v>
      </c>
      <c r="AH34" s="83">
        <f t="shared" ref="AH34:AH35" si="70">AG34-AG33</f>
        <v>0</v>
      </c>
      <c r="AI34" s="83">
        <f t="shared" ref="AI34:AI35" si="71">AF34+AH34</f>
        <v>0</v>
      </c>
      <c r="AJ34" s="326">
        <f t="shared" ref="AJ34:AJ35" si="72">+Z34-Z33</f>
        <v>0</v>
      </c>
      <c r="AK34" s="327">
        <f t="shared" ref="AK34:AK35" si="73">SUM(Y34-L34)</f>
        <v>0</v>
      </c>
      <c r="AL34" s="327">
        <f t="shared" ref="AL34:AL35" si="74">SUM(AJ34-W34)</f>
        <v>0</v>
      </c>
      <c r="AM34" s="327">
        <f>'General information '!D34</f>
        <v>24.5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6" si="75">A34</f>
        <v>44345</v>
      </c>
      <c r="AS34" s="424">
        <f t="shared" ref="AS34" si="76">AS33</f>
        <v>0.9</v>
      </c>
      <c r="AT34" s="201">
        <v>191</v>
      </c>
      <c r="AU34" s="425">
        <f t="shared" ref="AU34" si="77">AU33</f>
        <v>1.1000000000000001</v>
      </c>
      <c r="AV34" s="201">
        <v>167</v>
      </c>
      <c r="AW34" s="5">
        <v>2.9</v>
      </c>
      <c r="AX34" s="201">
        <v>92</v>
      </c>
      <c r="AY34" s="426">
        <f t="shared" ref="AY34:AY36" si="78">AS34*AT34</f>
        <v>171.9</v>
      </c>
      <c r="AZ34" s="426">
        <f t="shared" ref="AZ34:AZ36" si="79">AU34*AV34</f>
        <v>183.70000000000002</v>
      </c>
      <c r="BA34" s="426">
        <f t="shared" ref="BA34:BA36" si="80">AW34*AX34</f>
        <v>266.8</v>
      </c>
      <c r="BB34" s="21">
        <f t="shared" ref="BB34:BB35" si="81">AY34-AY33</f>
        <v>63.900000000000006</v>
      </c>
      <c r="BC34" s="21">
        <f t="shared" ref="BC34:BC35" si="82">AZ34-AZ33</f>
        <v>0</v>
      </c>
      <c r="BD34" s="21">
        <f t="shared" ref="BD34:BD35" si="83">BA34-BA33</f>
        <v>-31.899999999999977</v>
      </c>
      <c r="BE34" s="24">
        <f t="shared" ref="BE34:BE35" si="84">SUM(BB34:BD34)</f>
        <v>32.000000000000028</v>
      </c>
      <c r="BF34" s="96">
        <f t="shared" ref="BF34:BF35" si="85">SUM(I34-BE34)</f>
        <v>89.999999999999972</v>
      </c>
      <c r="BG34" s="82">
        <f t="shared" ref="BG34:BG35" si="86">SUM(I34-BF34)</f>
        <v>32.000000000000028</v>
      </c>
    </row>
    <row r="35" spans="1:59">
      <c r="A35" s="6">
        <f>ELEC!C32</f>
        <v>44346</v>
      </c>
      <c r="B35" s="5">
        <f t="shared" si="10"/>
        <v>109443</v>
      </c>
      <c r="C35" s="5">
        <f t="shared" si="55"/>
        <v>0</v>
      </c>
      <c r="D35" s="419">
        <f t="shared" si="56"/>
        <v>0</v>
      </c>
      <c r="E35" s="333">
        <f>SUM((C35*$E$4)+(7500/'EDl log'!$A$37))</f>
        <v>241.93548387096774</v>
      </c>
      <c r="F35" s="327"/>
      <c r="G35" s="5">
        <f t="shared" si="13"/>
        <v>620273</v>
      </c>
      <c r="H35" s="5">
        <f t="shared" si="57"/>
        <v>0</v>
      </c>
      <c r="I35" s="5">
        <f t="shared" si="58"/>
        <v>0</v>
      </c>
      <c r="J35" s="334">
        <f t="shared" si="59"/>
        <v>0</v>
      </c>
      <c r="K35" s="5">
        <f>'Swimming Pool quality check '!H35</f>
        <v>6775</v>
      </c>
      <c r="L35" s="274">
        <f t="shared" si="60"/>
        <v>1</v>
      </c>
      <c r="M35" s="410">
        <f t="shared" si="15"/>
        <v>457.44</v>
      </c>
      <c r="N35" s="511">
        <f t="shared" si="61"/>
        <v>0</v>
      </c>
      <c r="O35" s="410">
        <f t="shared" si="16"/>
        <v>529.52</v>
      </c>
      <c r="P35" s="511">
        <f t="shared" si="62"/>
        <v>0</v>
      </c>
      <c r="Q35" s="511">
        <f t="shared" si="63"/>
        <v>0</v>
      </c>
      <c r="R35" s="513"/>
      <c r="S35" s="513"/>
      <c r="T35" s="5">
        <f t="shared" si="17"/>
        <v>5171</v>
      </c>
      <c r="U35" s="5">
        <f t="shared" si="64"/>
        <v>0</v>
      </c>
      <c r="V35" s="5">
        <f t="shared" si="18"/>
        <v>474</v>
      </c>
      <c r="W35" s="324">
        <f t="shared" si="65"/>
        <v>0</v>
      </c>
      <c r="X35" s="5">
        <f t="shared" si="20"/>
        <v>151905</v>
      </c>
      <c r="Y35" s="324">
        <f t="shared" si="66"/>
        <v>0</v>
      </c>
      <c r="Z35" s="5">
        <v>98847</v>
      </c>
      <c r="AA35" s="83">
        <f t="shared" si="67"/>
        <v>0</v>
      </c>
      <c r="AB35" s="5">
        <f t="shared" si="23"/>
        <v>261</v>
      </c>
      <c r="AC35" s="5">
        <f t="shared" si="24"/>
        <v>731</v>
      </c>
      <c r="AD35" s="83">
        <f t="shared" si="68"/>
        <v>0</v>
      </c>
      <c r="AE35" s="5">
        <f t="shared" si="25"/>
        <v>229.81</v>
      </c>
      <c r="AF35" s="83">
        <f t="shared" si="69"/>
        <v>0</v>
      </c>
      <c r="AG35" s="5">
        <f t="shared" si="27"/>
        <v>2205.98</v>
      </c>
      <c r="AH35" s="83">
        <f t="shared" si="70"/>
        <v>0</v>
      </c>
      <c r="AI35" s="83">
        <f t="shared" si="71"/>
        <v>0</v>
      </c>
      <c r="AJ35" s="326">
        <f t="shared" si="72"/>
        <v>0</v>
      </c>
      <c r="AK35" s="327">
        <f t="shared" si="73"/>
        <v>-1</v>
      </c>
      <c r="AL35" s="327">
        <f t="shared" si="74"/>
        <v>0</v>
      </c>
      <c r="AM35" s="327">
        <f>'General information '!D35</f>
        <v>25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75"/>
        <v>44346</v>
      </c>
      <c r="AS35" s="607">
        <f t="shared" ref="AS35:AS36" si="87">AS34</f>
        <v>0.9</v>
      </c>
      <c r="AT35" s="202">
        <v>191</v>
      </c>
      <c r="AU35" s="608">
        <f t="shared" ref="AU35:AU36" si="88">AU34</f>
        <v>1.1000000000000001</v>
      </c>
      <c r="AV35" s="202">
        <v>165</v>
      </c>
      <c r="AW35" s="653">
        <v>2.9</v>
      </c>
      <c r="AX35" s="202">
        <v>81</v>
      </c>
      <c r="AY35" s="654">
        <f t="shared" si="78"/>
        <v>171.9</v>
      </c>
      <c r="AZ35" s="654">
        <f t="shared" si="79"/>
        <v>181.50000000000003</v>
      </c>
      <c r="BA35" s="654">
        <f t="shared" si="80"/>
        <v>234.9</v>
      </c>
      <c r="BB35" s="655">
        <f t="shared" si="81"/>
        <v>0</v>
      </c>
      <c r="BC35" s="655">
        <f t="shared" si="82"/>
        <v>-2.1999999999999886</v>
      </c>
      <c r="BD35" s="655">
        <f t="shared" si="83"/>
        <v>-31.900000000000006</v>
      </c>
      <c r="BE35" s="656">
        <f t="shared" si="84"/>
        <v>-34.099999999999994</v>
      </c>
      <c r="BF35" s="96">
        <f t="shared" si="85"/>
        <v>34.099999999999994</v>
      </c>
      <c r="BG35" s="82">
        <f t="shared" si="86"/>
        <v>-34.099999999999994</v>
      </c>
    </row>
    <row r="36" spans="1:59">
      <c r="A36" s="6">
        <f>ELEC!C33</f>
        <v>44347</v>
      </c>
      <c r="B36" s="5">
        <f t="shared" si="10"/>
        <v>109443</v>
      </c>
      <c r="C36" s="5">
        <f t="shared" ref="C36" si="89">B36-B35</f>
        <v>0</v>
      </c>
      <c r="D36" s="419">
        <f t="shared" ref="D36" si="90">C36/27</f>
        <v>0</v>
      </c>
      <c r="E36" s="333">
        <f>SUM((C36*$E$4)+(7500/'EDl log'!$A$37))</f>
        <v>241.93548387096774</v>
      </c>
      <c r="F36" s="327"/>
      <c r="G36" s="5">
        <v>620421</v>
      </c>
      <c r="H36" s="5">
        <f t="shared" ref="H36" si="91">G36-G35</f>
        <v>148</v>
      </c>
      <c r="I36" s="5">
        <f t="shared" ref="I36" si="92">C36+H36</f>
        <v>148</v>
      </c>
      <c r="J36" s="334">
        <f t="shared" ref="J36" si="93">IF(I36&gt;0,E36/I36,0)</f>
        <v>1.6346992153443767</v>
      </c>
      <c r="K36" s="5">
        <f>'Swimming Pool quality check '!H36</f>
        <v>6775</v>
      </c>
      <c r="L36" s="274">
        <f t="shared" ref="L36" si="94">K36-K35</f>
        <v>0</v>
      </c>
      <c r="M36" s="410">
        <f t="shared" si="15"/>
        <v>457.44</v>
      </c>
      <c r="N36" s="511">
        <f t="shared" ref="N36" si="95">SUM(M36-M35)</f>
        <v>0</v>
      </c>
      <c r="O36" s="410">
        <f t="shared" si="16"/>
        <v>529.52</v>
      </c>
      <c r="P36" s="511">
        <f t="shared" ref="P36" si="96">SUM(O36-O35)</f>
        <v>0</v>
      </c>
      <c r="Q36" s="511">
        <f t="shared" ref="Q36" si="97">SUM(P36+N36)</f>
        <v>0</v>
      </c>
      <c r="R36" s="513"/>
      <c r="S36" s="513"/>
      <c r="T36" s="5">
        <f t="shared" si="17"/>
        <v>5171</v>
      </c>
      <c r="U36" s="5">
        <f t="shared" ref="U36" si="98">SUM(T36-T35)</f>
        <v>0</v>
      </c>
      <c r="V36" s="5">
        <f t="shared" si="18"/>
        <v>474</v>
      </c>
      <c r="W36" s="324">
        <f t="shared" ref="W36" si="99">+V36-V35</f>
        <v>0</v>
      </c>
      <c r="X36" s="5">
        <v>152036</v>
      </c>
      <c r="Y36" s="324">
        <f t="shared" ref="Y36" si="100">SUM(X36-X35)</f>
        <v>131</v>
      </c>
      <c r="Z36" s="5">
        <f t="shared" si="21"/>
        <v>98847</v>
      </c>
      <c r="AA36" s="83">
        <f t="shared" ref="AA36" si="101">Z36-Z35</f>
        <v>0</v>
      </c>
      <c r="AB36" s="5">
        <f t="shared" si="23"/>
        <v>261</v>
      </c>
      <c r="AC36" s="5">
        <f t="shared" si="24"/>
        <v>731</v>
      </c>
      <c r="AD36" s="83">
        <f t="shared" ref="AD36" si="102">AC36-AC35</f>
        <v>0</v>
      </c>
      <c r="AE36" s="5">
        <f>AE35</f>
        <v>229.81</v>
      </c>
      <c r="AF36" s="83">
        <f t="shared" ref="AF36" si="103">AE36-AE35</f>
        <v>0</v>
      </c>
      <c r="AG36" s="5">
        <f t="shared" si="27"/>
        <v>2205.98</v>
      </c>
      <c r="AH36" s="83">
        <f t="shared" ref="AH36" si="104">AG36-AG35</f>
        <v>0</v>
      </c>
      <c r="AI36" s="83">
        <f t="shared" ref="AI36" si="105">AF36+AH36</f>
        <v>0</v>
      </c>
      <c r="AJ36" s="326">
        <f t="shared" ref="AJ36" si="106">+Z36-Z35</f>
        <v>0</v>
      </c>
      <c r="AK36" s="327">
        <f t="shared" ref="AK36" si="107">SUM(Y36-L36)</f>
        <v>131</v>
      </c>
      <c r="AL36" s="327">
        <f t="shared" ref="AL36" si="108">SUM(AJ36-W36)</f>
        <v>0</v>
      </c>
      <c r="AM36" s="327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77">
        <f t="shared" si="75"/>
        <v>44347</v>
      </c>
      <c r="AS36" s="658">
        <f t="shared" si="87"/>
        <v>0.9</v>
      </c>
      <c r="AT36" s="201">
        <v>156</v>
      </c>
      <c r="AU36" s="659">
        <f t="shared" si="88"/>
        <v>1.1000000000000001</v>
      </c>
      <c r="AV36" s="201">
        <v>162</v>
      </c>
      <c r="AW36" s="5">
        <v>2.9</v>
      </c>
      <c r="AX36" s="201">
        <v>106</v>
      </c>
      <c r="AY36" s="660">
        <f t="shared" si="78"/>
        <v>140.4</v>
      </c>
      <c r="AZ36" s="660">
        <f t="shared" si="79"/>
        <v>178.20000000000002</v>
      </c>
      <c r="BA36" s="660">
        <f t="shared" si="80"/>
        <v>307.39999999999998</v>
      </c>
      <c r="BB36" s="661"/>
      <c r="BC36" s="661"/>
      <c r="BD36" s="661"/>
      <c r="BE36" s="662"/>
      <c r="BF36" s="96"/>
      <c r="BG36" s="82"/>
    </row>
    <row r="37" spans="1:59">
      <c r="C37" s="412">
        <f>SUM(C6:C33)</f>
        <v>0</v>
      </c>
      <c r="D37" s="322">
        <f>SUM(D6:D33)</f>
        <v>0</v>
      </c>
      <c r="F37" s="414">
        <f>SUM(F6:F33)</f>
        <v>0</v>
      </c>
      <c r="H37" s="412">
        <f>SUM(H6:H33)</f>
        <v>1660</v>
      </c>
      <c r="I37" s="412">
        <f>SUM(I6:I33)</f>
        <v>1660</v>
      </c>
      <c r="L37" s="268">
        <f>SUM(L7:L33)</f>
        <v>23</v>
      </c>
      <c r="Q37" s="492">
        <f>SUM(Q5:Q33)</f>
        <v>0</v>
      </c>
      <c r="U37" s="409">
        <f>SUM(U6:U33)</f>
        <v>0</v>
      </c>
      <c r="X37" s="323"/>
      <c r="Y37" s="322">
        <f>SUM(Y6,Y33,Y31,Y29,Y27,Y25,Y23,Y21,Y19,Y17,Y15,Y13,Y11,Y9,Y7,Y34,Y35,Y36)</f>
        <v>134</v>
      </c>
      <c r="AJ37" s="322">
        <f>SUM(AJ6:AJ33)</f>
        <v>79</v>
      </c>
      <c r="AK37" s="327">
        <f>SUM(Y37-L37)</f>
        <v>111</v>
      </c>
      <c r="AL37" s="322">
        <f>SUM(AL6:AL33)</f>
        <v>75</v>
      </c>
      <c r="AP37" s="17"/>
      <c r="AQ37" s="17"/>
      <c r="AR37" s="17"/>
      <c r="AS37" s="226"/>
      <c r="AT37" s="657"/>
      <c r="AU37" s="226"/>
      <c r="AV37" s="17"/>
      <c r="AW37" s="227"/>
      <c r="AX37" s="227"/>
      <c r="AY37" s="227"/>
      <c r="AZ37" s="17"/>
      <c r="BA37" s="17"/>
      <c r="BB37" s="17"/>
      <c r="BC37" s="17"/>
      <c r="BD37" s="17"/>
    </row>
    <row r="38" spans="1:59">
      <c r="C38" s="1">
        <f>+C37*1.66</f>
        <v>0</v>
      </c>
      <c r="E38" s="332">
        <f>SUM(E6:E33)</f>
        <v>6774.1935483870975</v>
      </c>
      <c r="F38" s="417">
        <f>SUM(F6:F33)</f>
        <v>0</v>
      </c>
      <c r="H38" s="157">
        <v>7500</v>
      </c>
      <c r="I38" s="413">
        <f>SUM('General information '!G37/WATER!I37)</f>
        <v>0</v>
      </c>
      <c r="L38" s="157"/>
      <c r="O38" s="489">
        <f>SUM(Q37+I37)</f>
        <v>1660</v>
      </c>
      <c r="Z38" s="322">
        <f>SUM(Y37:AJ37)</f>
        <v>213</v>
      </c>
      <c r="AK38" s="327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5">
        <f>9*27</f>
        <v>243</v>
      </c>
      <c r="D39" s="414">
        <f>SUM(D6:D33)</f>
        <v>0</v>
      </c>
      <c r="F39" s="415">
        <f>SUM(F6:F33)</f>
        <v>0</v>
      </c>
      <c r="G39" s="1">
        <f>SUM(I37)</f>
        <v>1660</v>
      </c>
      <c r="H39" s="1">
        <f>SUM(H38+C38)</f>
        <v>7500</v>
      </c>
      <c r="K39" s="1">
        <f>SUM(H39/G39)</f>
        <v>4.5180722891566267</v>
      </c>
      <c r="AJ39" s="322">
        <f>SUM(C38-AK38)</f>
        <v>0</v>
      </c>
      <c r="AM39" s="34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zoomScale="120" zoomScaleNormal="120" workbookViewId="0">
      <pane ySplit="1" topLeftCell="A17" activePane="bottomLeft" state="frozen"/>
      <selection pane="bottomLeft" activeCell="AE33" sqref="AE33"/>
    </sheetView>
  </sheetViews>
  <sheetFormatPr defaultRowHeight="15"/>
  <cols>
    <col min="1" max="1" width="10.140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44316</v>
      </c>
      <c r="B2" s="270">
        <v>9893</v>
      </c>
      <c r="C2" s="270">
        <v>8</v>
      </c>
      <c r="D2" s="270">
        <v>386061</v>
      </c>
      <c r="E2" s="270">
        <v>1483.7000000000116</v>
      </c>
      <c r="F2" s="270">
        <v>185.46250000000146</v>
      </c>
      <c r="G2" s="270"/>
      <c r="H2" s="270">
        <v>9934</v>
      </c>
      <c r="I2" s="270" t="s">
        <v>417</v>
      </c>
      <c r="J2" s="270">
        <v>10698</v>
      </c>
      <c r="K2" s="270">
        <v>0</v>
      </c>
      <c r="L2" s="270">
        <v>357691</v>
      </c>
      <c r="M2" s="270">
        <v>0</v>
      </c>
      <c r="N2" s="270">
        <v>0</v>
      </c>
      <c r="O2" s="270"/>
      <c r="P2" s="270">
        <v>10873</v>
      </c>
      <c r="Q2" s="270" t="s">
        <v>417</v>
      </c>
      <c r="R2" s="270">
        <v>12150</v>
      </c>
      <c r="S2" s="270">
        <v>0</v>
      </c>
      <c r="T2" s="270">
        <v>438163</v>
      </c>
      <c r="U2" s="270">
        <v>0</v>
      </c>
      <c r="V2" s="270">
        <v>250</v>
      </c>
      <c r="W2" s="270"/>
      <c r="X2" s="270">
        <v>12192</v>
      </c>
      <c r="Y2" s="270" t="s">
        <v>417</v>
      </c>
      <c r="Z2" s="270">
        <v>8</v>
      </c>
      <c r="AA2" s="270">
        <v>1483.7000000000116</v>
      </c>
      <c r="AB2" s="270">
        <v>435.46250000000146</v>
      </c>
      <c r="AC2" s="270">
        <v>185.46250000000146</v>
      </c>
      <c r="AD2" s="270">
        <v>0</v>
      </c>
      <c r="AE2" s="270">
        <v>0</v>
      </c>
      <c r="AF2" s="270">
        <v>0</v>
      </c>
      <c r="AG2" s="270">
        <v>0</v>
      </c>
      <c r="AH2" s="270">
        <v>185.46250000000146</v>
      </c>
      <c r="AI2" s="270">
        <v>0</v>
      </c>
      <c r="AJ2" s="270">
        <v>0.25738396624472576</v>
      </c>
      <c r="AK2" s="270">
        <v>0</v>
      </c>
    </row>
    <row r="3" spans="1:37" ht="15.75" thickBot="1">
      <c r="A3" s="4">
        <f>ELEC!C3</f>
        <v>44317</v>
      </c>
      <c r="B3" s="534">
        <v>9899</v>
      </c>
      <c r="C3" s="287">
        <f>B3-B2</f>
        <v>6</v>
      </c>
      <c r="D3" s="535">
        <v>387090</v>
      </c>
      <c r="E3" s="287">
        <f>SUM(D3-D2)</f>
        <v>1029</v>
      </c>
      <c r="F3" s="287">
        <f t="shared" ref="F3:F30" si="0">IF(C3&gt;0,E3/C3,0)</f>
        <v>171.5</v>
      </c>
      <c r="G3" s="270">
        <f>[3]GEN!G32</f>
        <v>0</v>
      </c>
      <c r="H3" s="270">
        <f>H2</f>
        <v>9934</v>
      </c>
      <c r="I3" s="287" t="str">
        <f t="shared" ref="I3:I30" si="1">IF(B3-H3&lt;=0,"ok","oil change")</f>
        <v>ok</v>
      </c>
      <c r="J3" s="535">
        <f>J2</f>
        <v>10698</v>
      </c>
      <c r="K3" s="287">
        <f t="shared" ref="K3:K30" si="2">J3-J2</f>
        <v>0</v>
      </c>
      <c r="L3" s="535">
        <f>L2</f>
        <v>357691</v>
      </c>
      <c r="M3" s="287">
        <f>SUM(L3-L2)</f>
        <v>0</v>
      </c>
      <c r="N3" s="287">
        <f>IF(K3&gt;0,M3/K3,0)</f>
        <v>0</v>
      </c>
      <c r="O3" s="270">
        <f>[3]GEN!O32</f>
        <v>0</v>
      </c>
      <c r="P3" s="288">
        <f>P2</f>
        <v>10873</v>
      </c>
      <c r="Q3" s="287" t="str">
        <f t="shared" ref="Q3:Q17" si="3">IF(J3-P3&lt;=0,"ok","oil change")</f>
        <v>ok</v>
      </c>
      <c r="R3" s="535">
        <f>R2</f>
        <v>12150</v>
      </c>
      <c r="S3" s="287">
        <f t="shared" ref="S3:S30" si="4">R3-R2</f>
        <v>0</v>
      </c>
      <c r="T3" s="535">
        <f>T2</f>
        <v>438163</v>
      </c>
      <c r="U3" s="287">
        <f>V3*S3</f>
        <v>0</v>
      </c>
      <c r="V3" s="287">
        <v>250</v>
      </c>
      <c r="W3" s="270">
        <f>[3]GEN!W32</f>
        <v>0</v>
      </c>
      <c r="X3" s="288">
        <f>X2</f>
        <v>12192</v>
      </c>
      <c r="Y3" s="287" t="str">
        <f t="shared" ref="Y3:Y9" si="5">IF(R3-X3&lt;=0,"ok","oil change")</f>
        <v>ok</v>
      </c>
      <c r="Z3" s="287">
        <f t="shared" ref="Z3:Z30" si="6">C3+K3+S3</f>
        <v>6</v>
      </c>
      <c r="AA3" s="287">
        <f>U3+M3+E3</f>
        <v>1029</v>
      </c>
      <c r="AB3" s="287">
        <f>V3+N3+F3</f>
        <v>421.5</v>
      </c>
      <c r="AC3" s="287">
        <f>IF(Z3&gt;0,AA3/Z3,0)</f>
        <v>171.5</v>
      </c>
      <c r="AD3" s="73">
        <f>ELEC!Q3</f>
        <v>3926.9999999996799</v>
      </c>
      <c r="AE3" s="73">
        <f>SUM(AD3/Z3)</f>
        <v>654.49999999994668</v>
      </c>
      <c r="AF3" s="403">
        <f>SUM(AE3/1600)</f>
        <v>0.40906249999996669</v>
      </c>
      <c r="AG3" s="404">
        <f>SUM(360*AF3)</f>
        <v>147.26249999998799</v>
      </c>
      <c r="AH3" s="404">
        <f>SUM(AC3-AG3)</f>
        <v>24.237500000012005</v>
      </c>
      <c r="AI3" s="73">
        <f>AD3*AJ3</f>
        <v>1010.7468354429557</v>
      </c>
      <c r="AJ3" s="289">
        <f t="shared" ref="AJ3:AJ33" si="7">305/1185</f>
        <v>0.25738396624472576</v>
      </c>
      <c r="AK3" s="289">
        <f t="shared" ref="AK3:AK8" si="8">AI3/Z3</f>
        <v>168.45780590715927</v>
      </c>
    </row>
    <row r="4" spans="1:37" ht="15.75" thickBot="1">
      <c r="A4" s="4">
        <f>ELEC!C4</f>
        <v>44318</v>
      </c>
      <c r="B4" s="534">
        <v>9902</v>
      </c>
      <c r="C4" s="287">
        <f t="shared" ref="C4:C30" si="9">B4-B3</f>
        <v>3</v>
      </c>
      <c r="D4" s="535">
        <v>387585</v>
      </c>
      <c r="E4" s="287">
        <f t="shared" ref="E4:E30" si="10">SUM(D4-D3)</f>
        <v>495</v>
      </c>
      <c r="F4" s="287">
        <f t="shared" si="0"/>
        <v>165</v>
      </c>
      <c r="G4" s="196"/>
      <c r="H4" s="270">
        <v>9934</v>
      </c>
      <c r="I4" s="287" t="str">
        <f t="shared" si="1"/>
        <v>ok</v>
      </c>
      <c r="J4" s="535">
        <f t="shared" ref="J4:L33" si="11">J3</f>
        <v>10698</v>
      </c>
      <c r="K4" s="287">
        <f t="shared" si="2"/>
        <v>0</v>
      </c>
      <c r="L4" s="535">
        <f t="shared" si="11"/>
        <v>357691</v>
      </c>
      <c r="M4" s="287">
        <f t="shared" ref="M4:M30" si="12">SUM(L4-L3)</f>
        <v>0</v>
      </c>
      <c r="N4" s="287">
        <f t="shared" ref="N4:N30" si="13">IF(K4&gt;0,M4/K4,0)</f>
        <v>0</v>
      </c>
      <c r="O4" s="196"/>
      <c r="P4" s="288">
        <f t="shared" ref="P4:P33" si="14">P3</f>
        <v>10873</v>
      </c>
      <c r="Q4" s="287" t="str">
        <f t="shared" si="3"/>
        <v>ok</v>
      </c>
      <c r="R4" s="535">
        <f t="shared" ref="R4:R32" si="15">R3</f>
        <v>12150</v>
      </c>
      <c r="S4" s="287">
        <f t="shared" si="4"/>
        <v>0</v>
      </c>
      <c r="T4" s="535">
        <f t="shared" ref="T4:T32" si="16">T3</f>
        <v>438163</v>
      </c>
      <c r="U4" s="287">
        <f t="shared" ref="U4:U32" si="17">V4*S4</f>
        <v>0</v>
      </c>
      <c r="V4" s="287">
        <v>250</v>
      </c>
      <c r="W4" s="196"/>
      <c r="X4" s="288">
        <v>12192</v>
      </c>
      <c r="Y4" s="287" t="str">
        <f t="shared" si="5"/>
        <v>ok</v>
      </c>
      <c r="Z4" s="287">
        <f t="shared" si="6"/>
        <v>3</v>
      </c>
      <c r="AA4" s="287">
        <f t="shared" ref="AA4:AA30" si="18">U4+M4+E4</f>
        <v>495</v>
      </c>
      <c r="AB4" s="287">
        <f t="shared" ref="AB4:AB30" si="19">V4+N4+F4</f>
        <v>415</v>
      </c>
      <c r="AC4" s="287">
        <f t="shared" ref="AC4:AC30" si="20">IF(Z4&gt;0,AA4/Z4,0)</f>
        <v>165</v>
      </c>
      <c r="AD4" s="73">
        <f>ELEC!Q4</f>
        <v>1995.9999999991851</v>
      </c>
      <c r="AE4" s="73">
        <f>SUM(AD4/Z4)</f>
        <v>665.33333333306166</v>
      </c>
      <c r="AF4" s="403">
        <f>SUM(AE4/1600)</f>
        <v>0.41583333333316352</v>
      </c>
      <c r="AG4" s="404">
        <f>SUM(360*AF4)</f>
        <v>149.69999999993888</v>
      </c>
      <c r="AH4" s="404">
        <f t="shared" ref="AH4:AH30" si="21">SUM(AC4-AG4)</f>
        <v>15.300000000061118</v>
      </c>
      <c r="AI4" s="73">
        <f>AD4*AJ4</f>
        <v>513.73839662426292</v>
      </c>
      <c r="AJ4" s="289">
        <f t="shared" si="7"/>
        <v>0.25738396624472576</v>
      </c>
      <c r="AK4" s="289">
        <f t="shared" si="8"/>
        <v>171.24613220808763</v>
      </c>
    </row>
    <row r="5" spans="1:37" ht="15.75" thickBot="1">
      <c r="A5" s="4">
        <f>ELEC!C5</f>
        <v>44319</v>
      </c>
      <c r="B5" s="534">
        <v>9906</v>
      </c>
      <c r="C5" s="287">
        <f t="shared" si="9"/>
        <v>4</v>
      </c>
      <c r="D5" s="535">
        <v>388259</v>
      </c>
      <c r="E5" s="287">
        <f t="shared" si="10"/>
        <v>674</v>
      </c>
      <c r="F5" s="287">
        <f t="shared" si="0"/>
        <v>168.5</v>
      </c>
      <c r="G5" s="285"/>
      <c r="H5" s="270">
        <f t="shared" ref="H5:H33" si="22">H4</f>
        <v>9934</v>
      </c>
      <c r="I5" s="287" t="str">
        <f t="shared" si="1"/>
        <v>ok</v>
      </c>
      <c r="J5" s="535">
        <f t="shared" si="11"/>
        <v>10698</v>
      </c>
      <c r="K5" s="287">
        <f t="shared" si="2"/>
        <v>0</v>
      </c>
      <c r="L5" s="535">
        <f t="shared" si="11"/>
        <v>357691</v>
      </c>
      <c r="M5" s="287">
        <f t="shared" si="12"/>
        <v>0</v>
      </c>
      <c r="N5" s="287">
        <f t="shared" si="13"/>
        <v>0</v>
      </c>
      <c r="O5" s="196"/>
      <c r="P5" s="288">
        <f t="shared" si="14"/>
        <v>10873</v>
      </c>
      <c r="Q5" s="287" t="str">
        <f t="shared" si="3"/>
        <v>ok</v>
      </c>
      <c r="R5" s="535">
        <f t="shared" si="15"/>
        <v>12150</v>
      </c>
      <c r="S5" s="287">
        <f t="shared" si="4"/>
        <v>0</v>
      </c>
      <c r="T5" s="535">
        <f t="shared" si="16"/>
        <v>438163</v>
      </c>
      <c r="U5" s="287">
        <f t="shared" si="17"/>
        <v>0</v>
      </c>
      <c r="V5" s="287">
        <v>250</v>
      </c>
      <c r="W5" s="196"/>
      <c r="X5" s="288">
        <f t="shared" ref="X5:X33" si="23">X4</f>
        <v>12192</v>
      </c>
      <c r="Y5" s="287" t="str">
        <f t="shared" si="5"/>
        <v>ok</v>
      </c>
      <c r="Z5" s="287">
        <f t="shared" si="6"/>
        <v>4</v>
      </c>
      <c r="AA5" s="287">
        <f t="shared" si="18"/>
        <v>674</v>
      </c>
      <c r="AB5" s="287">
        <f t="shared" si="19"/>
        <v>418.5</v>
      </c>
      <c r="AC5" s="287">
        <f t="shared" si="20"/>
        <v>168.5</v>
      </c>
      <c r="AD5" s="73">
        <f>ELEC!Q5</f>
        <v>3020.0000000004366</v>
      </c>
      <c r="AE5" s="73">
        <f t="shared" ref="AE5:AE30" si="24">SUM(AD5/Z5)</f>
        <v>755.00000000010914</v>
      </c>
      <c r="AF5" s="403">
        <f t="shared" ref="AF5:AF30" si="25">SUM(AE5/1600)</f>
        <v>0.47187500000006821</v>
      </c>
      <c r="AG5" s="404">
        <f t="shared" ref="AG5:AG30" si="26">SUM(320*AF5)</f>
        <v>151.00000000002183</v>
      </c>
      <c r="AH5" s="404">
        <f t="shared" si="21"/>
        <v>17.499999999978172</v>
      </c>
      <c r="AI5" s="73">
        <f t="shared" ref="AI5:AI30" si="27">AD5*AJ5</f>
        <v>777.29957805918411</v>
      </c>
      <c r="AJ5" s="289">
        <f t="shared" si="7"/>
        <v>0.25738396624472576</v>
      </c>
      <c r="AK5" s="289">
        <f t="shared" si="8"/>
        <v>194.32489451479603</v>
      </c>
    </row>
    <row r="6" spans="1:37" ht="15.75" thickBot="1">
      <c r="A6" s="4">
        <f>ELEC!C6</f>
        <v>44320</v>
      </c>
      <c r="B6" s="534">
        <v>9914</v>
      </c>
      <c r="C6" s="287">
        <f t="shared" si="9"/>
        <v>8</v>
      </c>
      <c r="D6" s="535">
        <v>389826</v>
      </c>
      <c r="E6" s="287">
        <f t="shared" si="10"/>
        <v>1567</v>
      </c>
      <c r="F6" s="287">
        <f t="shared" si="0"/>
        <v>195.875</v>
      </c>
      <c r="G6" s="196"/>
      <c r="H6" s="270">
        <f t="shared" si="22"/>
        <v>9934</v>
      </c>
      <c r="I6" s="287" t="str">
        <f t="shared" si="1"/>
        <v>ok</v>
      </c>
      <c r="J6" s="535">
        <f t="shared" si="11"/>
        <v>10698</v>
      </c>
      <c r="K6" s="287">
        <f t="shared" si="2"/>
        <v>0</v>
      </c>
      <c r="L6" s="535">
        <f t="shared" si="11"/>
        <v>357691</v>
      </c>
      <c r="M6" s="287">
        <f>SUM(L6-L5)</f>
        <v>0</v>
      </c>
      <c r="N6" s="287">
        <f t="shared" si="13"/>
        <v>0</v>
      </c>
      <c r="O6" s="307"/>
      <c r="P6" s="288">
        <f t="shared" si="14"/>
        <v>10873</v>
      </c>
      <c r="Q6" s="287" t="str">
        <f t="shared" si="3"/>
        <v>ok</v>
      </c>
      <c r="R6" s="535">
        <f t="shared" si="15"/>
        <v>12150</v>
      </c>
      <c r="S6" s="287">
        <f t="shared" si="4"/>
        <v>0</v>
      </c>
      <c r="T6" s="535">
        <f t="shared" si="16"/>
        <v>438163</v>
      </c>
      <c r="U6" s="287">
        <f>V6*S6</f>
        <v>0</v>
      </c>
      <c r="V6" s="287">
        <v>250</v>
      </c>
      <c r="W6" s="307"/>
      <c r="X6" s="288">
        <f t="shared" si="23"/>
        <v>12192</v>
      </c>
      <c r="Y6" s="287" t="str">
        <f t="shared" si="5"/>
        <v>ok</v>
      </c>
      <c r="Z6" s="287">
        <f t="shared" si="6"/>
        <v>8</v>
      </c>
      <c r="AA6" s="287">
        <f t="shared" si="18"/>
        <v>1567</v>
      </c>
      <c r="AB6" s="287">
        <f t="shared" si="19"/>
        <v>445.875</v>
      </c>
      <c r="AC6" s="287">
        <f t="shared" si="20"/>
        <v>195.875</v>
      </c>
      <c r="AD6" s="73">
        <f>ELEC!Q6</f>
        <v>4211.0000000029686</v>
      </c>
      <c r="AE6" s="73">
        <f>SUM(AD6/Z6)</f>
        <v>526.37500000037107</v>
      </c>
      <c r="AF6" s="403">
        <f t="shared" si="25"/>
        <v>0.32898437500023192</v>
      </c>
      <c r="AG6" s="404">
        <f>SUM(320*AF6)</f>
        <v>105.27500000007421</v>
      </c>
      <c r="AH6" s="404">
        <f t="shared" si="21"/>
        <v>90.599999999925785</v>
      </c>
      <c r="AI6" s="73">
        <f t="shared" si="27"/>
        <v>1083.8438818573043</v>
      </c>
      <c r="AJ6" s="289">
        <f t="shared" si="7"/>
        <v>0.25738396624472576</v>
      </c>
      <c r="AK6" s="289">
        <f t="shared" si="8"/>
        <v>135.48048523216303</v>
      </c>
    </row>
    <row r="7" spans="1:37" ht="15.75" thickBot="1">
      <c r="A7" s="4">
        <f>ELEC!C7</f>
        <v>44321</v>
      </c>
      <c r="B7" s="534">
        <v>9923</v>
      </c>
      <c r="C7" s="287">
        <f t="shared" si="9"/>
        <v>9</v>
      </c>
      <c r="D7" s="535">
        <v>391322.9</v>
      </c>
      <c r="E7" s="287">
        <f t="shared" si="10"/>
        <v>1496.9000000000233</v>
      </c>
      <c r="F7" s="287">
        <f t="shared" si="0"/>
        <v>166.32222222222481</v>
      </c>
      <c r="G7" s="196"/>
      <c r="H7" s="270">
        <f t="shared" si="22"/>
        <v>9934</v>
      </c>
      <c r="I7" s="287" t="str">
        <f t="shared" si="1"/>
        <v>ok</v>
      </c>
      <c r="J7" s="535">
        <f t="shared" si="11"/>
        <v>10698</v>
      </c>
      <c r="K7" s="287">
        <f t="shared" si="2"/>
        <v>0</v>
      </c>
      <c r="L7" s="535">
        <f t="shared" si="11"/>
        <v>357691</v>
      </c>
      <c r="M7" s="287">
        <f t="shared" si="12"/>
        <v>0</v>
      </c>
      <c r="N7" s="287">
        <f t="shared" si="13"/>
        <v>0</v>
      </c>
      <c r="O7" s="307"/>
      <c r="P7" s="288">
        <f t="shared" si="14"/>
        <v>10873</v>
      </c>
      <c r="Q7" s="287" t="str">
        <f t="shared" si="3"/>
        <v>ok</v>
      </c>
      <c r="R7" s="535">
        <v>12150</v>
      </c>
      <c r="S7" s="287">
        <f t="shared" si="4"/>
        <v>0</v>
      </c>
      <c r="T7" s="535">
        <f t="shared" si="16"/>
        <v>438163</v>
      </c>
      <c r="U7" s="287">
        <f>V7*S7</f>
        <v>0</v>
      </c>
      <c r="V7" s="287">
        <v>250</v>
      </c>
      <c r="W7" s="196"/>
      <c r="X7" s="288">
        <f t="shared" si="23"/>
        <v>12192</v>
      </c>
      <c r="Y7" s="287" t="str">
        <f t="shared" si="5"/>
        <v>ok</v>
      </c>
      <c r="Z7" s="287">
        <f t="shared" si="6"/>
        <v>9</v>
      </c>
      <c r="AA7" s="287">
        <f>U7+M7+E7</f>
        <v>1496.9000000000233</v>
      </c>
      <c r="AB7" s="287">
        <f t="shared" si="19"/>
        <v>416.32222222222481</v>
      </c>
      <c r="AC7" s="287">
        <f t="shared" si="20"/>
        <v>166.32222222222481</v>
      </c>
      <c r="AD7" s="73">
        <f>ELEC!Q7</f>
        <v>5609.9999999969441</v>
      </c>
      <c r="AE7" s="73">
        <f t="shared" si="24"/>
        <v>623.33333333299379</v>
      </c>
      <c r="AF7" s="403">
        <f t="shared" si="25"/>
        <v>0.38958333333312112</v>
      </c>
      <c r="AG7" s="501" t="s">
        <v>403</v>
      </c>
      <c r="AH7" s="404" t="e">
        <f t="shared" si="21"/>
        <v>#VALUE!</v>
      </c>
      <c r="AI7" s="73">
        <f t="shared" si="27"/>
        <v>1443.924050632125</v>
      </c>
      <c r="AJ7" s="289">
        <f t="shared" si="7"/>
        <v>0.25738396624472576</v>
      </c>
      <c r="AK7" s="289">
        <f t="shared" si="8"/>
        <v>160.43600562579167</v>
      </c>
    </row>
    <row r="8" spans="1:37" ht="15.75" thickBot="1">
      <c r="A8" s="4">
        <f>ELEC!C8</f>
        <v>44322</v>
      </c>
      <c r="B8" s="534">
        <v>9929</v>
      </c>
      <c r="C8" s="287">
        <f t="shared" si="9"/>
        <v>6</v>
      </c>
      <c r="D8" s="535">
        <v>392266.5</v>
      </c>
      <c r="E8" s="287">
        <f t="shared" si="10"/>
        <v>943.59999999997672</v>
      </c>
      <c r="F8" s="287">
        <f t="shared" si="0"/>
        <v>157.26666666666279</v>
      </c>
      <c r="G8" s="196"/>
      <c r="H8" s="270">
        <f t="shared" si="22"/>
        <v>9934</v>
      </c>
      <c r="I8" s="287" t="str">
        <f t="shared" si="1"/>
        <v>ok</v>
      </c>
      <c r="J8" s="535">
        <f t="shared" si="11"/>
        <v>10698</v>
      </c>
      <c r="K8" s="287">
        <f t="shared" si="2"/>
        <v>0</v>
      </c>
      <c r="L8" s="535">
        <f t="shared" si="11"/>
        <v>357691</v>
      </c>
      <c r="M8" s="287">
        <f t="shared" si="12"/>
        <v>0</v>
      </c>
      <c r="N8" s="287">
        <f t="shared" si="13"/>
        <v>0</v>
      </c>
      <c r="O8" s="196"/>
      <c r="P8" s="288">
        <f t="shared" si="14"/>
        <v>10873</v>
      </c>
      <c r="Q8" s="287" t="str">
        <f t="shared" si="3"/>
        <v>ok</v>
      </c>
      <c r="R8" s="535">
        <f t="shared" si="15"/>
        <v>12150</v>
      </c>
      <c r="S8" s="287">
        <f t="shared" si="4"/>
        <v>0</v>
      </c>
      <c r="T8" s="535">
        <f t="shared" si="16"/>
        <v>438163</v>
      </c>
      <c r="U8" s="287">
        <f>V8*S8</f>
        <v>0</v>
      </c>
      <c r="V8" s="287">
        <v>250</v>
      </c>
      <c r="W8" s="196"/>
      <c r="X8" s="288">
        <f t="shared" si="23"/>
        <v>12192</v>
      </c>
      <c r="Y8" s="287" t="str">
        <f t="shared" si="5"/>
        <v>ok</v>
      </c>
      <c r="Z8" s="287">
        <f t="shared" si="6"/>
        <v>6</v>
      </c>
      <c r="AA8" s="287">
        <f t="shared" si="18"/>
        <v>943.59999999997672</v>
      </c>
      <c r="AB8" s="287">
        <f t="shared" si="19"/>
        <v>407.26666666666279</v>
      </c>
      <c r="AC8" s="287">
        <f t="shared" si="20"/>
        <v>157.26666666666279</v>
      </c>
      <c r="AD8" s="73">
        <f>ELEC!Q8</f>
        <v>3481.9999999999709</v>
      </c>
      <c r="AE8" s="73">
        <f t="shared" si="24"/>
        <v>580.33333333332848</v>
      </c>
      <c r="AF8" s="403">
        <f t="shared" si="25"/>
        <v>0.3627083333333303</v>
      </c>
      <c r="AG8" s="404">
        <f t="shared" si="26"/>
        <v>116.0666666666657</v>
      </c>
      <c r="AH8" s="404">
        <f t="shared" si="21"/>
        <v>41.19999999999709</v>
      </c>
      <c r="AI8" s="73">
        <f t="shared" si="27"/>
        <v>896.21097046412763</v>
      </c>
      <c r="AJ8" s="289">
        <f t="shared" si="7"/>
        <v>0.25738396624472576</v>
      </c>
      <c r="AK8" s="289">
        <f t="shared" si="8"/>
        <v>149.36849507735459</v>
      </c>
    </row>
    <row r="9" spans="1:37" ht="15.75" thickBot="1">
      <c r="A9" s="4">
        <f>ELEC!C9</f>
        <v>44323</v>
      </c>
      <c r="B9" s="534">
        <v>9937.5</v>
      </c>
      <c r="C9" s="287">
        <f t="shared" si="9"/>
        <v>8.5</v>
      </c>
      <c r="D9" s="535">
        <v>394000.4</v>
      </c>
      <c r="E9" s="287">
        <f t="shared" si="10"/>
        <v>1733.9000000000233</v>
      </c>
      <c r="F9" s="287">
        <f t="shared" si="0"/>
        <v>203.98823529412039</v>
      </c>
      <c r="G9" s="196"/>
      <c r="H9" s="270">
        <f t="shared" si="22"/>
        <v>9934</v>
      </c>
      <c r="I9" s="287" t="str">
        <f t="shared" si="1"/>
        <v>oil change</v>
      </c>
      <c r="J9" s="535">
        <f t="shared" si="11"/>
        <v>10698</v>
      </c>
      <c r="K9" s="287">
        <f t="shared" si="2"/>
        <v>0</v>
      </c>
      <c r="L9" s="535">
        <f t="shared" si="11"/>
        <v>357691</v>
      </c>
      <c r="M9" s="287">
        <f t="shared" si="12"/>
        <v>0</v>
      </c>
      <c r="N9" s="287">
        <f t="shared" si="13"/>
        <v>0</v>
      </c>
      <c r="O9" s="196"/>
      <c r="P9" s="288">
        <f t="shared" si="14"/>
        <v>10873</v>
      </c>
      <c r="Q9" s="287" t="str">
        <f t="shared" si="3"/>
        <v>ok</v>
      </c>
      <c r="R9" s="535">
        <f t="shared" si="15"/>
        <v>12150</v>
      </c>
      <c r="S9" s="287">
        <f t="shared" si="4"/>
        <v>0</v>
      </c>
      <c r="T9" s="535">
        <f t="shared" si="16"/>
        <v>438163</v>
      </c>
      <c r="U9" s="287">
        <f t="shared" si="17"/>
        <v>0</v>
      </c>
      <c r="V9" s="287">
        <v>250</v>
      </c>
      <c r="W9" s="196"/>
      <c r="X9" s="288">
        <f t="shared" si="23"/>
        <v>12192</v>
      </c>
      <c r="Y9" s="287" t="str">
        <f t="shared" si="5"/>
        <v>ok</v>
      </c>
      <c r="Z9" s="287">
        <f t="shared" si="6"/>
        <v>8.5</v>
      </c>
      <c r="AA9" s="287">
        <f t="shared" si="18"/>
        <v>1733.9000000000233</v>
      </c>
      <c r="AB9" s="287">
        <f t="shared" si="19"/>
        <v>453.98823529412039</v>
      </c>
      <c r="AC9" s="287">
        <f t="shared" si="20"/>
        <v>203.98823529412039</v>
      </c>
      <c r="AD9" s="73">
        <f>ELEC!Q9</f>
        <v>5855.0000000032014</v>
      </c>
      <c r="AE9" s="73">
        <f t="shared" si="24"/>
        <v>688.8235294121414</v>
      </c>
      <c r="AF9" s="403">
        <f t="shared" si="25"/>
        <v>0.43051470588258839</v>
      </c>
      <c r="AG9" s="404">
        <f t="shared" si="26"/>
        <v>137.76470588242827</v>
      </c>
      <c r="AH9" s="404">
        <f t="shared" si="21"/>
        <v>66.223529411692112</v>
      </c>
      <c r="AI9" s="73">
        <f t="shared" si="27"/>
        <v>1506.9831223636934</v>
      </c>
      <c r="AJ9" s="289">
        <v>0.25738396624472576</v>
      </c>
      <c r="AK9" s="289">
        <f t="shared" ref="AK9:AK16" si="28">IF(Z9&gt;0,AI9/Z9,0)</f>
        <v>177.29213204278744</v>
      </c>
    </row>
    <row r="10" spans="1:37" ht="15.75" thickBot="1">
      <c r="A10" s="4">
        <f>ELEC!C10</f>
        <v>44324</v>
      </c>
      <c r="B10" s="534">
        <v>9946.1</v>
      </c>
      <c r="C10" s="287">
        <f t="shared" si="9"/>
        <v>8.6000000000003638</v>
      </c>
      <c r="D10" s="535">
        <v>394894</v>
      </c>
      <c r="E10" s="287">
        <f t="shared" si="10"/>
        <v>893.59999999997672</v>
      </c>
      <c r="F10" s="287">
        <f t="shared" si="0"/>
        <v>103.90697674417895</v>
      </c>
      <c r="G10" s="196"/>
      <c r="H10" s="270">
        <f t="shared" si="22"/>
        <v>9934</v>
      </c>
      <c r="I10" s="287" t="str">
        <f t="shared" si="1"/>
        <v>oil change</v>
      </c>
      <c r="J10" s="535">
        <f t="shared" si="11"/>
        <v>10698</v>
      </c>
      <c r="K10" s="287">
        <f t="shared" si="2"/>
        <v>0</v>
      </c>
      <c r="L10" s="535">
        <f t="shared" si="11"/>
        <v>357691</v>
      </c>
      <c r="M10" s="287">
        <f t="shared" si="12"/>
        <v>0</v>
      </c>
      <c r="N10" s="287">
        <f t="shared" si="13"/>
        <v>0</v>
      </c>
      <c r="O10" s="196"/>
      <c r="P10" s="288">
        <f t="shared" si="14"/>
        <v>10873</v>
      </c>
      <c r="Q10" s="287" t="str">
        <f t="shared" si="3"/>
        <v>ok</v>
      </c>
      <c r="R10" s="535">
        <f t="shared" si="15"/>
        <v>12150</v>
      </c>
      <c r="S10" s="287">
        <f t="shared" si="4"/>
        <v>0</v>
      </c>
      <c r="T10" s="535">
        <f t="shared" si="16"/>
        <v>438163</v>
      </c>
      <c r="U10" s="287">
        <f t="shared" si="17"/>
        <v>0</v>
      </c>
      <c r="V10" s="287">
        <v>250</v>
      </c>
      <c r="W10" s="338"/>
      <c r="X10" s="288">
        <f t="shared" si="23"/>
        <v>12192</v>
      </c>
      <c r="Y10" s="287" t="str">
        <f t="shared" ref="Y10:Y20" si="29">IF(R10-X10&lt;=0,"ok","oil change")</f>
        <v>ok</v>
      </c>
      <c r="Z10" s="287">
        <f t="shared" si="6"/>
        <v>8.6000000000003638</v>
      </c>
      <c r="AA10" s="287">
        <f t="shared" si="18"/>
        <v>893.59999999997672</v>
      </c>
      <c r="AB10" s="287">
        <f t="shared" si="19"/>
        <v>353.90697674417896</v>
      </c>
      <c r="AC10" s="287">
        <f t="shared" si="20"/>
        <v>103.90697674417895</v>
      </c>
      <c r="AD10" s="73">
        <f>ELEC!Q10</f>
        <v>5508.9999999981956</v>
      </c>
      <c r="AE10" s="73">
        <f t="shared" si="24"/>
        <v>640.58139534860027</v>
      </c>
      <c r="AF10" s="403">
        <f t="shared" si="25"/>
        <v>0.40036337209287515</v>
      </c>
      <c r="AG10" s="404">
        <f t="shared" si="26"/>
        <v>128.11627906972004</v>
      </c>
      <c r="AH10" s="404">
        <f t="shared" si="21"/>
        <v>-24.209302325541088</v>
      </c>
      <c r="AI10" s="73">
        <f t="shared" si="27"/>
        <v>1417.9282700417298</v>
      </c>
      <c r="AJ10" s="289">
        <f t="shared" si="7"/>
        <v>0.25738396624472576</v>
      </c>
      <c r="AK10" s="289">
        <f t="shared" si="28"/>
        <v>164.87538023740348</v>
      </c>
    </row>
    <row r="11" spans="1:37" ht="15.75" thickBot="1">
      <c r="A11" s="4">
        <f>ELEC!C11</f>
        <v>44325</v>
      </c>
      <c r="B11" s="641">
        <v>9955</v>
      </c>
      <c r="C11" s="287">
        <f t="shared" si="9"/>
        <v>8.8999999999996362</v>
      </c>
      <c r="D11" s="270">
        <v>396250</v>
      </c>
      <c r="E11" s="287">
        <f t="shared" si="10"/>
        <v>1356</v>
      </c>
      <c r="F11" s="287">
        <f t="shared" si="0"/>
        <v>152.35955056180399</v>
      </c>
      <c r="G11" s="196"/>
      <c r="H11" s="270">
        <f t="shared" si="22"/>
        <v>9934</v>
      </c>
      <c r="I11" s="287" t="str">
        <f t="shared" si="1"/>
        <v>oil change</v>
      </c>
      <c r="J11" s="535">
        <f t="shared" si="11"/>
        <v>10698</v>
      </c>
      <c r="K11" s="287">
        <f t="shared" si="2"/>
        <v>0</v>
      </c>
      <c r="L11" s="535">
        <f t="shared" si="11"/>
        <v>357691</v>
      </c>
      <c r="M11" s="287">
        <f t="shared" si="12"/>
        <v>0</v>
      </c>
      <c r="N11" s="287">
        <f t="shared" si="13"/>
        <v>0</v>
      </c>
      <c r="O11" s="196"/>
      <c r="P11" s="288">
        <f t="shared" si="14"/>
        <v>10873</v>
      </c>
      <c r="Q11" s="287" t="str">
        <f t="shared" si="3"/>
        <v>ok</v>
      </c>
      <c r="R11" s="535">
        <f t="shared" si="15"/>
        <v>12150</v>
      </c>
      <c r="S11" s="287">
        <f t="shared" si="4"/>
        <v>0</v>
      </c>
      <c r="T11" s="535">
        <f t="shared" si="16"/>
        <v>438163</v>
      </c>
      <c r="U11" s="287">
        <f t="shared" si="17"/>
        <v>0</v>
      </c>
      <c r="V11" s="287">
        <v>250</v>
      </c>
      <c r="W11" s="338"/>
      <c r="X11" s="288">
        <f t="shared" si="23"/>
        <v>12192</v>
      </c>
      <c r="Y11" s="287" t="str">
        <f t="shared" si="29"/>
        <v>ok</v>
      </c>
      <c r="Z11" s="287">
        <f t="shared" si="6"/>
        <v>8.8999999999996362</v>
      </c>
      <c r="AA11" s="287">
        <f t="shared" si="18"/>
        <v>1356</v>
      </c>
      <c r="AB11" s="287">
        <f t="shared" si="19"/>
        <v>402.35955056180399</v>
      </c>
      <c r="AC11" s="287">
        <f t="shared" si="20"/>
        <v>152.35955056180399</v>
      </c>
      <c r="AD11" s="73">
        <f>ELEC!Q11</f>
        <v>6302.9999999998836</v>
      </c>
      <c r="AE11" s="73">
        <f t="shared" si="24"/>
        <v>708.20224719102714</v>
      </c>
      <c r="AF11" s="403">
        <f t="shared" si="25"/>
        <v>0.44262640449439195</v>
      </c>
      <c r="AG11" s="404">
        <f t="shared" si="26"/>
        <v>141.64044943820542</v>
      </c>
      <c r="AH11" s="404">
        <f t="shared" si="21"/>
        <v>10.719101123598563</v>
      </c>
      <c r="AI11" s="73">
        <f t="shared" si="27"/>
        <v>1622.2911392404765</v>
      </c>
      <c r="AJ11" s="289">
        <f t="shared" si="7"/>
        <v>0.25738396624472576</v>
      </c>
      <c r="AK11" s="289">
        <f t="shared" si="28"/>
        <v>182.27990328545425</v>
      </c>
    </row>
    <row r="12" spans="1:37" ht="15.75" thickBot="1">
      <c r="A12" s="4">
        <f>ELEC!C12</f>
        <v>44326</v>
      </c>
      <c r="B12" s="534">
        <v>9955</v>
      </c>
      <c r="C12" s="287">
        <f t="shared" si="9"/>
        <v>0</v>
      </c>
      <c r="D12" s="535">
        <v>396268</v>
      </c>
      <c r="E12" s="287">
        <f t="shared" si="10"/>
        <v>18</v>
      </c>
      <c r="F12" s="287">
        <f t="shared" si="0"/>
        <v>0</v>
      </c>
      <c r="G12" s="196"/>
      <c r="H12" s="270">
        <f t="shared" si="22"/>
        <v>9934</v>
      </c>
      <c r="I12" s="287" t="str">
        <f t="shared" si="1"/>
        <v>oil change</v>
      </c>
      <c r="J12" s="535">
        <f t="shared" si="11"/>
        <v>10698</v>
      </c>
      <c r="K12" s="287">
        <f t="shared" si="2"/>
        <v>0</v>
      </c>
      <c r="L12" s="535">
        <f t="shared" si="11"/>
        <v>357691</v>
      </c>
      <c r="M12" s="287">
        <f t="shared" si="12"/>
        <v>0</v>
      </c>
      <c r="N12" s="287">
        <f t="shared" si="13"/>
        <v>0</v>
      </c>
      <c r="O12" s="196"/>
      <c r="P12" s="288">
        <f t="shared" si="14"/>
        <v>10873</v>
      </c>
      <c r="Q12" s="287" t="str">
        <f t="shared" si="3"/>
        <v>ok</v>
      </c>
      <c r="R12" s="535">
        <v>12159</v>
      </c>
      <c r="S12" s="287">
        <f t="shared" si="4"/>
        <v>9</v>
      </c>
      <c r="T12" s="535">
        <v>440413</v>
      </c>
      <c r="U12" s="287">
        <f t="shared" si="17"/>
        <v>2250</v>
      </c>
      <c r="V12" s="287">
        <v>250</v>
      </c>
      <c r="W12" s="338"/>
      <c r="X12" s="288">
        <f t="shared" si="23"/>
        <v>12192</v>
      </c>
      <c r="Y12" s="287" t="str">
        <f t="shared" si="29"/>
        <v>ok</v>
      </c>
      <c r="Z12" s="287">
        <f t="shared" si="6"/>
        <v>9</v>
      </c>
      <c r="AA12" s="287">
        <f t="shared" si="18"/>
        <v>2268</v>
      </c>
      <c r="AB12" s="287">
        <f t="shared" si="19"/>
        <v>250</v>
      </c>
      <c r="AC12" s="287">
        <f t="shared" si="20"/>
        <v>252</v>
      </c>
      <c r="AD12" s="73">
        <f>ELEC!Q12</f>
        <v>6337.9999999997381</v>
      </c>
      <c r="AE12" s="73">
        <f t="shared" si="24"/>
        <v>704.22222222219307</v>
      </c>
      <c r="AF12" s="403">
        <f t="shared" si="25"/>
        <v>0.44013888888887065</v>
      </c>
      <c r="AG12" s="404">
        <f t="shared" si="26"/>
        <v>140.84444444443861</v>
      </c>
      <c r="AH12" s="404">
        <f t="shared" si="21"/>
        <v>111.15555555556139</v>
      </c>
      <c r="AI12" s="73">
        <f t="shared" si="27"/>
        <v>1631.2995780590045</v>
      </c>
      <c r="AJ12" s="289">
        <f t="shared" si="7"/>
        <v>0.25738396624472576</v>
      </c>
      <c r="AK12" s="289">
        <f t="shared" si="28"/>
        <v>181.25550867322272</v>
      </c>
    </row>
    <row r="13" spans="1:37" ht="15.75" thickBot="1">
      <c r="A13" s="4">
        <f>ELEC!C13</f>
        <v>44327</v>
      </c>
      <c r="B13" s="534">
        <f t="shared" ref="B13:B26" si="30">B12</f>
        <v>9955</v>
      </c>
      <c r="C13" s="287">
        <f t="shared" si="9"/>
        <v>0</v>
      </c>
      <c r="D13" s="535">
        <v>396271</v>
      </c>
      <c r="E13" s="287">
        <f t="shared" si="10"/>
        <v>3</v>
      </c>
      <c r="F13" s="287">
        <f t="shared" si="0"/>
        <v>0</v>
      </c>
      <c r="G13" s="196"/>
      <c r="H13" s="270">
        <f t="shared" si="22"/>
        <v>9934</v>
      </c>
      <c r="I13" s="287" t="str">
        <f t="shared" si="1"/>
        <v>oil change</v>
      </c>
      <c r="J13" s="535">
        <f t="shared" si="11"/>
        <v>10698</v>
      </c>
      <c r="K13" s="287">
        <f t="shared" si="2"/>
        <v>0</v>
      </c>
      <c r="L13" s="535">
        <f t="shared" si="11"/>
        <v>357691</v>
      </c>
      <c r="M13" s="287">
        <f t="shared" si="12"/>
        <v>0</v>
      </c>
      <c r="N13" s="287">
        <f t="shared" si="13"/>
        <v>0</v>
      </c>
      <c r="O13" s="196"/>
      <c r="P13" s="288">
        <f t="shared" si="14"/>
        <v>10873</v>
      </c>
      <c r="Q13" s="287" t="str">
        <f t="shared" si="3"/>
        <v>ok</v>
      </c>
      <c r="R13" s="535">
        <v>12169</v>
      </c>
      <c r="S13" s="287">
        <f t="shared" si="4"/>
        <v>10</v>
      </c>
      <c r="T13" s="535">
        <f t="shared" si="16"/>
        <v>440413</v>
      </c>
      <c r="U13" s="287">
        <f t="shared" si="17"/>
        <v>2500</v>
      </c>
      <c r="V13" s="287">
        <v>250</v>
      </c>
      <c r="W13" s="338"/>
      <c r="X13" s="288">
        <f t="shared" si="23"/>
        <v>12192</v>
      </c>
      <c r="Y13" s="287" t="str">
        <f t="shared" si="29"/>
        <v>ok</v>
      </c>
      <c r="Z13" s="287">
        <f t="shared" si="6"/>
        <v>10</v>
      </c>
      <c r="AA13" s="287">
        <f t="shared" si="18"/>
        <v>2503</v>
      </c>
      <c r="AB13" s="287">
        <f t="shared" si="19"/>
        <v>250</v>
      </c>
      <c r="AC13" s="287">
        <f t="shared" si="20"/>
        <v>250.3</v>
      </c>
      <c r="AD13" s="73">
        <f>ELEC!Q13</f>
        <v>5743.9999999987776</v>
      </c>
      <c r="AE13" s="73">
        <f t="shared" si="24"/>
        <v>574.39999999987776</v>
      </c>
      <c r="AF13" s="403">
        <f t="shared" si="25"/>
        <v>0.3589999999999236</v>
      </c>
      <c r="AG13" s="404">
        <f t="shared" si="26"/>
        <v>114.87999999997555</v>
      </c>
      <c r="AH13" s="404">
        <f t="shared" si="21"/>
        <v>135.42000000002446</v>
      </c>
      <c r="AI13" s="73">
        <f t="shared" si="27"/>
        <v>1478.41350210939</v>
      </c>
      <c r="AJ13" s="289">
        <f t="shared" si="7"/>
        <v>0.25738396624472576</v>
      </c>
      <c r="AK13" s="289">
        <f t="shared" si="28"/>
        <v>147.841350210939</v>
      </c>
    </row>
    <row r="14" spans="1:37" ht="15.75" thickBot="1">
      <c r="A14" s="4">
        <f>ELEC!C14</f>
        <v>44328</v>
      </c>
      <c r="B14" s="534">
        <v>9964</v>
      </c>
      <c r="C14" s="287">
        <f t="shared" si="9"/>
        <v>9</v>
      </c>
      <c r="D14" s="535">
        <v>397879</v>
      </c>
      <c r="E14" s="287">
        <f t="shared" si="10"/>
        <v>1608</v>
      </c>
      <c r="F14" s="287">
        <f t="shared" si="0"/>
        <v>178.66666666666666</v>
      </c>
      <c r="G14" s="196"/>
      <c r="H14" s="270">
        <f t="shared" si="22"/>
        <v>9934</v>
      </c>
      <c r="I14" s="287" t="str">
        <f t="shared" si="1"/>
        <v>oil change</v>
      </c>
      <c r="J14" s="535">
        <f t="shared" si="11"/>
        <v>10698</v>
      </c>
      <c r="K14" s="287">
        <f t="shared" si="2"/>
        <v>0</v>
      </c>
      <c r="L14" s="535">
        <f t="shared" si="11"/>
        <v>357691</v>
      </c>
      <c r="M14" s="287">
        <f t="shared" si="12"/>
        <v>0</v>
      </c>
      <c r="N14" s="287">
        <f t="shared" si="13"/>
        <v>0</v>
      </c>
      <c r="O14" s="196"/>
      <c r="P14" s="288">
        <f t="shared" si="14"/>
        <v>10873</v>
      </c>
      <c r="Q14" s="287" t="str">
        <f t="shared" si="3"/>
        <v>ok</v>
      </c>
      <c r="R14" s="535">
        <v>12172</v>
      </c>
      <c r="S14" s="287">
        <f t="shared" si="4"/>
        <v>3</v>
      </c>
      <c r="T14" s="535">
        <v>3669836</v>
      </c>
      <c r="U14" s="287">
        <f t="shared" si="17"/>
        <v>750</v>
      </c>
      <c r="V14" s="287">
        <v>250</v>
      </c>
      <c r="W14" s="338"/>
      <c r="X14" s="288">
        <f t="shared" si="23"/>
        <v>12192</v>
      </c>
      <c r="Y14" s="287" t="str">
        <f t="shared" si="29"/>
        <v>ok</v>
      </c>
      <c r="Z14" s="287">
        <f t="shared" si="6"/>
        <v>12</v>
      </c>
      <c r="AA14" s="287">
        <f t="shared" si="18"/>
        <v>2358</v>
      </c>
      <c r="AB14" s="287">
        <f t="shared" si="19"/>
        <v>428.66666666666663</v>
      </c>
      <c r="AC14" s="287">
        <f t="shared" si="20"/>
        <v>196.5</v>
      </c>
      <c r="AD14" s="73">
        <f>ELEC!Q14</f>
        <v>7269.0000000002328</v>
      </c>
      <c r="AE14" s="73">
        <f t="shared" si="24"/>
        <v>605.75000000001944</v>
      </c>
      <c r="AF14" s="403">
        <f t="shared" si="25"/>
        <v>0.37859375000001216</v>
      </c>
      <c r="AG14" s="404">
        <f t="shared" si="26"/>
        <v>121.1500000000039</v>
      </c>
      <c r="AH14" s="404">
        <f t="shared" si="21"/>
        <v>75.349999999996101</v>
      </c>
      <c r="AI14" s="73">
        <f t="shared" si="27"/>
        <v>1870.9240506329716</v>
      </c>
      <c r="AJ14" s="289">
        <f t="shared" si="7"/>
        <v>0.25738396624472576</v>
      </c>
      <c r="AK14" s="289">
        <f t="shared" si="28"/>
        <v>155.91033755274762</v>
      </c>
    </row>
    <row r="15" spans="1:37" ht="15.75" thickBot="1">
      <c r="A15" s="4">
        <f>ELEC!C15</f>
        <v>44329</v>
      </c>
      <c r="B15" s="534">
        <v>9973</v>
      </c>
      <c r="C15" s="287">
        <f t="shared" si="9"/>
        <v>9</v>
      </c>
      <c r="D15" s="535">
        <v>398972</v>
      </c>
      <c r="E15" s="287">
        <f t="shared" si="10"/>
        <v>1093</v>
      </c>
      <c r="F15" s="287">
        <f t="shared" si="0"/>
        <v>121.44444444444444</v>
      </c>
      <c r="G15" s="196"/>
      <c r="H15" s="270">
        <f t="shared" si="22"/>
        <v>9934</v>
      </c>
      <c r="I15" s="287" t="str">
        <f t="shared" si="1"/>
        <v>oil change</v>
      </c>
      <c r="J15" s="535">
        <f t="shared" si="11"/>
        <v>10698</v>
      </c>
      <c r="K15" s="287">
        <f t="shared" si="2"/>
        <v>0</v>
      </c>
      <c r="L15" s="535">
        <f t="shared" si="11"/>
        <v>357691</v>
      </c>
      <c r="M15" s="287">
        <f t="shared" si="12"/>
        <v>0</v>
      </c>
      <c r="N15" s="287">
        <f t="shared" si="13"/>
        <v>0</v>
      </c>
      <c r="O15" s="196"/>
      <c r="P15" s="288">
        <f t="shared" si="14"/>
        <v>10873</v>
      </c>
      <c r="Q15" s="287" t="str">
        <f t="shared" si="3"/>
        <v>ok</v>
      </c>
      <c r="R15" s="535">
        <v>12172</v>
      </c>
      <c r="S15" s="287">
        <f t="shared" si="4"/>
        <v>0</v>
      </c>
      <c r="T15" s="535">
        <f t="shared" si="16"/>
        <v>3669836</v>
      </c>
      <c r="U15" s="287">
        <f t="shared" si="17"/>
        <v>0</v>
      </c>
      <c r="V15" s="287">
        <v>250</v>
      </c>
      <c r="W15" s="338"/>
      <c r="X15" s="288">
        <f t="shared" si="23"/>
        <v>12192</v>
      </c>
      <c r="Y15" s="287" t="str">
        <f t="shared" si="29"/>
        <v>ok</v>
      </c>
      <c r="Z15" s="287">
        <f t="shared" si="6"/>
        <v>9</v>
      </c>
      <c r="AA15" s="287">
        <f t="shared" si="18"/>
        <v>1093</v>
      </c>
      <c r="AB15" s="287">
        <f t="shared" si="19"/>
        <v>371.44444444444446</v>
      </c>
      <c r="AC15" s="287">
        <f t="shared" si="20"/>
        <v>121.44444444444444</v>
      </c>
      <c r="AD15" s="73">
        <f>ELEC!Q15</f>
        <v>6705.0000000017462</v>
      </c>
      <c r="AE15" s="73">
        <f t="shared" si="24"/>
        <v>745.00000000019406</v>
      </c>
      <c r="AF15" s="403">
        <f t="shared" si="25"/>
        <v>0.4656250000001213</v>
      </c>
      <c r="AG15" s="404">
        <f t="shared" si="26"/>
        <v>149.00000000003882</v>
      </c>
      <c r="AH15" s="404">
        <f t="shared" si="21"/>
        <v>-27.555555555594381</v>
      </c>
      <c r="AI15" s="73">
        <f t="shared" si="27"/>
        <v>1725.7594936713356</v>
      </c>
      <c r="AJ15" s="289">
        <f t="shared" si="7"/>
        <v>0.25738396624472576</v>
      </c>
      <c r="AK15" s="289">
        <f t="shared" si="28"/>
        <v>191.75105485237063</v>
      </c>
    </row>
    <row r="16" spans="1:37" ht="15.75" thickBot="1">
      <c r="A16" s="4">
        <f>ELEC!C16</f>
        <v>44330</v>
      </c>
      <c r="B16" s="534">
        <v>9983</v>
      </c>
      <c r="C16" s="287">
        <f t="shared" si="9"/>
        <v>10</v>
      </c>
      <c r="D16" s="535">
        <v>400946</v>
      </c>
      <c r="E16" s="287">
        <f t="shared" si="10"/>
        <v>1974</v>
      </c>
      <c r="F16" s="287">
        <f t="shared" si="0"/>
        <v>197.4</v>
      </c>
      <c r="G16" s="196"/>
      <c r="H16" s="270">
        <f t="shared" si="22"/>
        <v>9934</v>
      </c>
      <c r="I16" s="287" t="str">
        <f t="shared" si="1"/>
        <v>oil change</v>
      </c>
      <c r="J16" s="535">
        <f t="shared" si="11"/>
        <v>10698</v>
      </c>
      <c r="K16" s="287">
        <f t="shared" si="2"/>
        <v>0</v>
      </c>
      <c r="L16" s="535">
        <f t="shared" si="11"/>
        <v>357691</v>
      </c>
      <c r="M16" s="287">
        <f t="shared" si="12"/>
        <v>0</v>
      </c>
      <c r="N16" s="287">
        <f t="shared" si="13"/>
        <v>0</v>
      </c>
      <c r="O16" s="196"/>
      <c r="P16" s="288">
        <f t="shared" si="14"/>
        <v>10873</v>
      </c>
      <c r="Q16" s="287" t="str">
        <f t="shared" si="3"/>
        <v>ok</v>
      </c>
      <c r="R16" s="535">
        <v>12172</v>
      </c>
      <c r="S16" s="287">
        <f t="shared" si="4"/>
        <v>0</v>
      </c>
      <c r="T16" s="535">
        <f t="shared" si="16"/>
        <v>3669836</v>
      </c>
      <c r="U16" s="287">
        <f t="shared" si="17"/>
        <v>0</v>
      </c>
      <c r="V16" s="287">
        <v>250</v>
      </c>
      <c r="W16" s="338"/>
      <c r="X16" s="288">
        <f t="shared" si="23"/>
        <v>12192</v>
      </c>
      <c r="Y16" s="287" t="str">
        <f t="shared" si="29"/>
        <v>ok</v>
      </c>
      <c r="Z16" s="287">
        <f t="shared" si="6"/>
        <v>10</v>
      </c>
      <c r="AA16" s="287">
        <f t="shared" si="18"/>
        <v>1974</v>
      </c>
      <c r="AB16" s="287">
        <f t="shared" si="19"/>
        <v>447.4</v>
      </c>
      <c r="AC16" s="287">
        <f t="shared" si="20"/>
        <v>197.4</v>
      </c>
      <c r="AD16" s="73">
        <f>ELEC!Q16</f>
        <v>5384.9999999983993</v>
      </c>
      <c r="AE16" s="73">
        <f t="shared" si="24"/>
        <v>538.49999999983993</v>
      </c>
      <c r="AF16" s="403">
        <f t="shared" si="25"/>
        <v>0.33656249999989996</v>
      </c>
      <c r="AG16" s="404">
        <f t="shared" si="26"/>
        <v>107.69999999996799</v>
      </c>
      <c r="AH16" s="404">
        <f t="shared" si="21"/>
        <v>89.70000000003202</v>
      </c>
      <c r="AI16" s="73">
        <f t="shared" si="27"/>
        <v>1386.0126582274363</v>
      </c>
      <c r="AJ16" s="289">
        <f t="shared" si="7"/>
        <v>0.25738396624472576</v>
      </c>
      <c r="AK16" s="289">
        <f t="shared" si="28"/>
        <v>138.60126582274364</v>
      </c>
    </row>
    <row r="17" spans="1:37" ht="15.75" thickBot="1">
      <c r="A17" s="4">
        <f>ELEC!C17</f>
        <v>44331</v>
      </c>
      <c r="B17" s="534">
        <v>9990</v>
      </c>
      <c r="C17" s="287">
        <f t="shared" si="9"/>
        <v>7</v>
      </c>
      <c r="D17" s="535">
        <v>402914</v>
      </c>
      <c r="E17" s="287">
        <f t="shared" si="10"/>
        <v>1968</v>
      </c>
      <c r="F17" s="287">
        <f t="shared" si="0"/>
        <v>281.14285714285717</v>
      </c>
      <c r="G17" s="196"/>
      <c r="H17" s="270">
        <f t="shared" si="22"/>
        <v>9934</v>
      </c>
      <c r="I17" s="287" t="str">
        <f t="shared" si="1"/>
        <v>oil change</v>
      </c>
      <c r="J17" s="535">
        <f t="shared" si="11"/>
        <v>10698</v>
      </c>
      <c r="K17" s="287">
        <f t="shared" si="2"/>
        <v>0</v>
      </c>
      <c r="L17" s="535">
        <f t="shared" si="11"/>
        <v>357691</v>
      </c>
      <c r="M17" s="287">
        <f t="shared" si="12"/>
        <v>0</v>
      </c>
      <c r="N17" s="287">
        <f t="shared" si="13"/>
        <v>0</v>
      </c>
      <c r="O17" s="196"/>
      <c r="P17" s="288">
        <f t="shared" si="14"/>
        <v>10873</v>
      </c>
      <c r="Q17" s="287" t="str">
        <f t="shared" si="3"/>
        <v>ok</v>
      </c>
      <c r="R17" s="535">
        <f t="shared" si="15"/>
        <v>12172</v>
      </c>
      <c r="S17" s="287">
        <f t="shared" si="4"/>
        <v>0</v>
      </c>
      <c r="T17" s="535">
        <f t="shared" si="16"/>
        <v>3669836</v>
      </c>
      <c r="U17" s="287">
        <f t="shared" si="17"/>
        <v>0</v>
      </c>
      <c r="V17" s="287">
        <v>250</v>
      </c>
      <c r="W17" s="338"/>
      <c r="X17" s="288">
        <f t="shared" si="23"/>
        <v>12192</v>
      </c>
      <c r="Y17" s="287" t="str">
        <f t="shared" si="29"/>
        <v>ok</v>
      </c>
      <c r="Z17" s="287">
        <f t="shared" si="6"/>
        <v>7</v>
      </c>
      <c r="AA17" s="287">
        <f t="shared" si="18"/>
        <v>1968</v>
      </c>
      <c r="AB17" s="287">
        <f t="shared" si="19"/>
        <v>531.14285714285711</v>
      </c>
      <c r="AC17" s="287">
        <f t="shared" si="20"/>
        <v>281.14285714285717</v>
      </c>
      <c r="AD17" s="73">
        <f>ELEC!Q17</f>
        <v>6396.0000000006403</v>
      </c>
      <c r="AE17" s="73">
        <f t="shared" si="24"/>
        <v>913.71428571437718</v>
      </c>
      <c r="AF17" s="403">
        <f t="shared" si="25"/>
        <v>0.57107142857148574</v>
      </c>
      <c r="AG17" s="404">
        <f t="shared" si="26"/>
        <v>182.74285714287544</v>
      </c>
      <c r="AH17" s="404">
        <f t="shared" si="21"/>
        <v>98.399999999981731</v>
      </c>
      <c r="AI17" s="73">
        <f t="shared" si="27"/>
        <v>1646.2278481014307</v>
      </c>
      <c r="AJ17" s="289">
        <f t="shared" si="7"/>
        <v>0.25738396624472576</v>
      </c>
      <c r="AK17" s="289">
        <f t="shared" ref="AK17:AK30" si="31">IF(Z17&gt;0,AI17/Z17,0)</f>
        <v>235.17540687163296</v>
      </c>
    </row>
    <row r="18" spans="1:37" ht="15.75" thickBot="1">
      <c r="A18" s="4">
        <f>ELEC!C18</f>
        <v>44332</v>
      </c>
      <c r="B18" s="534">
        <v>10006</v>
      </c>
      <c r="C18" s="287">
        <f t="shared" si="9"/>
        <v>16</v>
      </c>
      <c r="D18" s="535">
        <v>404363.8</v>
      </c>
      <c r="E18" s="287">
        <f t="shared" si="10"/>
        <v>1449.7999999999884</v>
      </c>
      <c r="F18" s="287">
        <f t="shared" si="0"/>
        <v>90.612499999999272</v>
      </c>
      <c r="G18" s="196"/>
      <c r="H18" s="270">
        <v>10105</v>
      </c>
      <c r="I18" s="287" t="str">
        <f t="shared" si="1"/>
        <v>ok</v>
      </c>
      <c r="J18" s="535">
        <f t="shared" si="11"/>
        <v>10698</v>
      </c>
      <c r="K18" s="287">
        <f t="shared" si="2"/>
        <v>0</v>
      </c>
      <c r="L18" s="535">
        <f t="shared" si="11"/>
        <v>357691</v>
      </c>
      <c r="M18" s="287">
        <f t="shared" si="12"/>
        <v>0</v>
      </c>
      <c r="N18" s="287">
        <f t="shared" si="13"/>
        <v>0</v>
      </c>
      <c r="O18" s="196"/>
      <c r="P18" s="288">
        <f t="shared" si="14"/>
        <v>10873</v>
      </c>
      <c r="Q18" s="287" t="str">
        <f>IF(J18-P14&lt;=0,"ok","oil change")</f>
        <v>ok</v>
      </c>
      <c r="R18" s="535">
        <f t="shared" si="15"/>
        <v>12172</v>
      </c>
      <c r="S18" s="287">
        <f t="shared" si="4"/>
        <v>0</v>
      </c>
      <c r="T18" s="535">
        <f t="shared" si="16"/>
        <v>3669836</v>
      </c>
      <c r="U18" s="287">
        <f t="shared" si="17"/>
        <v>0</v>
      </c>
      <c r="V18" s="287">
        <v>250</v>
      </c>
      <c r="W18" s="338"/>
      <c r="X18" s="288">
        <f t="shared" si="23"/>
        <v>12192</v>
      </c>
      <c r="Y18" s="287" t="str">
        <f t="shared" si="29"/>
        <v>ok</v>
      </c>
      <c r="Z18" s="287">
        <f t="shared" si="6"/>
        <v>16</v>
      </c>
      <c r="AA18" s="287">
        <f t="shared" si="18"/>
        <v>1449.7999999999884</v>
      </c>
      <c r="AB18" s="287">
        <f t="shared" si="19"/>
        <v>340.61249999999927</v>
      </c>
      <c r="AC18" s="287">
        <f t="shared" si="20"/>
        <v>90.612499999999272</v>
      </c>
      <c r="AD18" s="73">
        <f>ELEC!Q18</f>
        <v>5025.0000000014552</v>
      </c>
      <c r="AE18" s="73">
        <f t="shared" si="24"/>
        <v>314.06250000009095</v>
      </c>
      <c r="AF18" s="403">
        <f t="shared" si="25"/>
        <v>0.19628906250005684</v>
      </c>
      <c r="AG18" s="404">
        <f t="shared" si="26"/>
        <v>62.81250000001819</v>
      </c>
      <c r="AH18" s="404">
        <f t="shared" si="21"/>
        <v>27.799999999981083</v>
      </c>
      <c r="AI18" s="73">
        <f t="shared" si="27"/>
        <v>1293.3544303801216</v>
      </c>
      <c r="AJ18" s="289">
        <f t="shared" si="7"/>
        <v>0.25738396624472576</v>
      </c>
      <c r="AK18" s="289">
        <f t="shared" si="31"/>
        <v>80.834651898757599</v>
      </c>
    </row>
    <row r="19" spans="1:37" ht="15.75" thickBot="1">
      <c r="A19" s="4">
        <f>ELEC!C19</f>
        <v>44333</v>
      </c>
      <c r="B19" s="534">
        <v>10015</v>
      </c>
      <c r="C19" s="287">
        <f t="shared" si="9"/>
        <v>9</v>
      </c>
      <c r="D19" s="535">
        <v>405397</v>
      </c>
      <c r="E19" s="287">
        <f t="shared" si="10"/>
        <v>1033.2000000000116</v>
      </c>
      <c r="F19" s="287">
        <f t="shared" si="0"/>
        <v>114.80000000000129</v>
      </c>
      <c r="G19" s="196"/>
      <c r="H19" s="270">
        <f t="shared" si="22"/>
        <v>10105</v>
      </c>
      <c r="I19" s="287" t="str">
        <f t="shared" si="1"/>
        <v>ok</v>
      </c>
      <c r="J19" s="535">
        <f t="shared" si="11"/>
        <v>10698</v>
      </c>
      <c r="K19" s="287">
        <f t="shared" si="2"/>
        <v>0</v>
      </c>
      <c r="L19" s="535">
        <f t="shared" si="11"/>
        <v>357691</v>
      </c>
      <c r="M19" s="287">
        <f t="shared" si="12"/>
        <v>0</v>
      </c>
      <c r="N19" s="287">
        <f t="shared" si="13"/>
        <v>0</v>
      </c>
      <c r="O19" s="196"/>
      <c r="P19" s="288">
        <f t="shared" si="14"/>
        <v>10873</v>
      </c>
      <c r="Q19" s="287" t="str">
        <f t="shared" ref="Q19:Q30" si="32">IF(J19-P19&lt;=0,"ok","oil change")</f>
        <v>ok</v>
      </c>
      <c r="R19" s="535">
        <f t="shared" si="15"/>
        <v>12172</v>
      </c>
      <c r="S19" s="287">
        <f t="shared" si="4"/>
        <v>0</v>
      </c>
      <c r="T19" s="535">
        <f t="shared" si="16"/>
        <v>3669836</v>
      </c>
      <c r="U19" s="287">
        <f t="shared" si="17"/>
        <v>0</v>
      </c>
      <c r="V19" s="287">
        <v>250</v>
      </c>
      <c r="W19" s="338"/>
      <c r="X19" s="288">
        <f t="shared" si="23"/>
        <v>12192</v>
      </c>
      <c r="Y19" s="287" t="str">
        <f t="shared" si="29"/>
        <v>ok</v>
      </c>
      <c r="Z19" s="287">
        <f t="shared" si="6"/>
        <v>9</v>
      </c>
      <c r="AA19" s="287">
        <f t="shared" si="18"/>
        <v>1033.2000000000116</v>
      </c>
      <c r="AB19" s="287">
        <f t="shared" si="19"/>
        <v>364.80000000000132</v>
      </c>
      <c r="AC19" s="287">
        <f t="shared" si="20"/>
        <v>114.80000000000129</v>
      </c>
      <c r="AD19" s="73">
        <f>ELEC!Q19</f>
        <v>9391.9999999998254</v>
      </c>
      <c r="AE19" s="73">
        <f t="shared" si="24"/>
        <v>1043.5555555555361</v>
      </c>
      <c r="AF19" s="403">
        <f t="shared" si="25"/>
        <v>0.65222222222221005</v>
      </c>
      <c r="AG19" s="404">
        <f t="shared" si="26"/>
        <v>208.71111111110721</v>
      </c>
      <c r="AH19" s="404">
        <f t="shared" si="21"/>
        <v>-93.911111111105924</v>
      </c>
      <c r="AI19" s="73">
        <f t="shared" si="27"/>
        <v>2417.3502109704195</v>
      </c>
      <c r="AJ19" s="289">
        <f t="shared" si="7"/>
        <v>0.25738396624472576</v>
      </c>
      <c r="AK19" s="289">
        <f t="shared" si="31"/>
        <v>268.59446788560217</v>
      </c>
    </row>
    <row r="20" spans="1:37" ht="15.75" thickBot="1">
      <c r="A20" s="4">
        <f>ELEC!C20</f>
        <v>44334</v>
      </c>
      <c r="B20" s="534">
        <v>10026</v>
      </c>
      <c r="C20" s="287">
        <f>B20-B19</f>
        <v>11</v>
      </c>
      <c r="D20" s="270">
        <v>406672</v>
      </c>
      <c r="E20" s="287">
        <f t="shared" si="10"/>
        <v>1275</v>
      </c>
      <c r="F20" s="287">
        <f t="shared" si="0"/>
        <v>115.90909090909091</v>
      </c>
      <c r="G20" s="196"/>
      <c r="H20" s="270">
        <f t="shared" si="22"/>
        <v>10105</v>
      </c>
      <c r="I20" s="287" t="str">
        <f t="shared" si="1"/>
        <v>ok</v>
      </c>
      <c r="J20" s="535">
        <f t="shared" si="11"/>
        <v>10698</v>
      </c>
      <c r="K20" s="287">
        <f t="shared" si="2"/>
        <v>0</v>
      </c>
      <c r="L20" s="535">
        <f t="shared" si="11"/>
        <v>357691</v>
      </c>
      <c r="M20" s="287">
        <f t="shared" si="12"/>
        <v>0</v>
      </c>
      <c r="N20" s="287">
        <f t="shared" si="13"/>
        <v>0</v>
      </c>
      <c r="O20" s="196"/>
      <c r="P20" s="288">
        <f t="shared" si="14"/>
        <v>10873</v>
      </c>
      <c r="Q20" s="287" t="str">
        <f t="shared" si="32"/>
        <v>ok</v>
      </c>
      <c r="R20" s="535">
        <f t="shared" si="15"/>
        <v>12172</v>
      </c>
      <c r="S20" s="287">
        <f t="shared" si="4"/>
        <v>0</v>
      </c>
      <c r="T20" s="535">
        <f t="shared" si="16"/>
        <v>3669836</v>
      </c>
      <c r="U20" s="287">
        <f t="shared" si="17"/>
        <v>0</v>
      </c>
      <c r="V20" s="287">
        <v>250</v>
      </c>
      <c r="W20" s="338"/>
      <c r="X20" s="288">
        <f t="shared" si="23"/>
        <v>12192</v>
      </c>
      <c r="Y20" s="287" t="str">
        <f t="shared" si="29"/>
        <v>ok</v>
      </c>
      <c r="Z20" s="287">
        <f t="shared" si="6"/>
        <v>11</v>
      </c>
      <c r="AA20" s="287">
        <f t="shared" si="18"/>
        <v>1275</v>
      </c>
      <c r="AB20" s="287">
        <f t="shared" si="19"/>
        <v>365.90909090909088</v>
      </c>
      <c r="AC20" s="287">
        <f t="shared" si="20"/>
        <v>115.90909090909091</v>
      </c>
      <c r="AD20" s="73">
        <f>ELEC!Q20</f>
        <v>8787.0000000002619</v>
      </c>
      <c r="AE20" s="73">
        <f t="shared" si="24"/>
        <v>798.81818181820563</v>
      </c>
      <c r="AF20" s="403">
        <f t="shared" si="25"/>
        <v>0.49926136363637852</v>
      </c>
      <c r="AG20" s="404">
        <f t="shared" si="26"/>
        <v>159.76363636364113</v>
      </c>
      <c r="AH20" s="404">
        <f t="shared" si="21"/>
        <v>-43.85454545455022</v>
      </c>
      <c r="AI20" s="73">
        <f>AD20*AJ20</f>
        <v>2261.6329113924726</v>
      </c>
      <c r="AJ20" s="289">
        <f t="shared" si="7"/>
        <v>0.25738396624472576</v>
      </c>
      <c r="AK20" s="289">
        <f t="shared" si="31"/>
        <v>205.60299194477022</v>
      </c>
    </row>
    <row r="21" spans="1:37" ht="15.75" thickBot="1">
      <c r="A21" s="4">
        <f>ELEC!C21</f>
        <v>44335</v>
      </c>
      <c r="B21" s="534">
        <v>10042</v>
      </c>
      <c r="C21" s="287">
        <f t="shared" ref="C21" si="33">B21-B20</f>
        <v>16</v>
      </c>
      <c r="D21" s="270">
        <v>408288</v>
      </c>
      <c r="E21" s="287">
        <f t="shared" si="10"/>
        <v>1616</v>
      </c>
      <c r="F21" s="287">
        <f t="shared" si="0"/>
        <v>101</v>
      </c>
      <c r="G21" s="196"/>
      <c r="H21" s="270">
        <f t="shared" si="22"/>
        <v>10105</v>
      </c>
      <c r="I21" s="287" t="str">
        <f t="shared" si="1"/>
        <v>ok</v>
      </c>
      <c r="J21" s="535">
        <f t="shared" si="11"/>
        <v>10698</v>
      </c>
      <c r="K21" s="287">
        <f t="shared" si="2"/>
        <v>0</v>
      </c>
      <c r="L21" s="535">
        <f t="shared" si="11"/>
        <v>357691</v>
      </c>
      <c r="M21" s="287">
        <f t="shared" si="12"/>
        <v>0</v>
      </c>
      <c r="N21" s="287">
        <f t="shared" si="13"/>
        <v>0</v>
      </c>
      <c r="O21" s="196"/>
      <c r="P21" s="288">
        <f t="shared" si="14"/>
        <v>10873</v>
      </c>
      <c r="Q21" s="287" t="str">
        <f t="shared" si="32"/>
        <v>ok</v>
      </c>
      <c r="R21" s="535">
        <f t="shared" si="15"/>
        <v>12172</v>
      </c>
      <c r="S21" s="287">
        <f t="shared" si="4"/>
        <v>0</v>
      </c>
      <c r="T21" s="535">
        <f t="shared" si="16"/>
        <v>3669836</v>
      </c>
      <c r="U21" s="287">
        <f t="shared" si="17"/>
        <v>0</v>
      </c>
      <c r="V21" s="287">
        <v>250</v>
      </c>
      <c r="W21" s="196"/>
      <c r="X21" s="288">
        <f t="shared" si="23"/>
        <v>12192</v>
      </c>
      <c r="Y21" s="287" t="str">
        <f>Y20</f>
        <v>ok</v>
      </c>
      <c r="Z21" s="287">
        <f t="shared" si="6"/>
        <v>16</v>
      </c>
      <c r="AA21" s="287">
        <f t="shared" si="18"/>
        <v>1616</v>
      </c>
      <c r="AB21" s="287">
        <f t="shared" si="19"/>
        <v>351</v>
      </c>
      <c r="AC21" s="287">
        <f t="shared" si="20"/>
        <v>101</v>
      </c>
      <c r="AD21" s="73">
        <f>ELEC!Q21</f>
        <v>12245.999999999185</v>
      </c>
      <c r="AE21" s="73">
        <f t="shared" si="24"/>
        <v>765.37499999994907</v>
      </c>
      <c r="AF21" s="403">
        <f t="shared" si="25"/>
        <v>0.47835937499996817</v>
      </c>
      <c r="AG21" s="404">
        <f t="shared" si="26"/>
        <v>153.07499999998981</v>
      </c>
      <c r="AH21" s="404">
        <f t="shared" si="21"/>
        <v>-52.074999999989814</v>
      </c>
      <c r="AI21" s="73">
        <f t="shared" si="27"/>
        <v>3151.9240506327019</v>
      </c>
      <c r="AJ21" s="289">
        <f t="shared" si="7"/>
        <v>0.25738396624472576</v>
      </c>
      <c r="AK21" s="289">
        <f t="shared" si="31"/>
        <v>196.99525316454387</v>
      </c>
    </row>
    <row r="22" spans="1:37" ht="15.75" thickBot="1">
      <c r="A22" s="4">
        <f>ELEC!C22</f>
        <v>44336</v>
      </c>
      <c r="B22" s="534">
        <v>10052</v>
      </c>
      <c r="C22" s="287">
        <f t="shared" si="9"/>
        <v>10</v>
      </c>
      <c r="D22" s="535">
        <v>409524</v>
      </c>
      <c r="E22" s="287">
        <f>150*C22</f>
        <v>1500</v>
      </c>
      <c r="F22" s="287">
        <f t="shared" si="0"/>
        <v>150</v>
      </c>
      <c r="G22" s="196"/>
      <c r="H22" s="270">
        <f t="shared" si="22"/>
        <v>10105</v>
      </c>
      <c r="I22" s="287" t="str">
        <f t="shared" si="1"/>
        <v>ok</v>
      </c>
      <c r="J22" s="535">
        <f t="shared" si="11"/>
        <v>10698</v>
      </c>
      <c r="K22" s="287">
        <f t="shared" si="2"/>
        <v>0</v>
      </c>
      <c r="L22" s="535">
        <f t="shared" si="11"/>
        <v>357691</v>
      </c>
      <c r="M22" s="287">
        <f t="shared" si="12"/>
        <v>0</v>
      </c>
      <c r="N22" s="287">
        <f t="shared" si="13"/>
        <v>0</v>
      </c>
      <c r="O22" s="196"/>
      <c r="P22" s="288">
        <f t="shared" si="14"/>
        <v>10873</v>
      </c>
      <c r="Q22" s="287" t="str">
        <f t="shared" si="32"/>
        <v>ok</v>
      </c>
      <c r="R22" s="535">
        <v>12172</v>
      </c>
      <c r="S22" s="287">
        <f t="shared" si="4"/>
        <v>0</v>
      </c>
      <c r="T22" s="535">
        <f t="shared" si="16"/>
        <v>3669836</v>
      </c>
      <c r="U22" s="287">
        <f t="shared" si="17"/>
        <v>0</v>
      </c>
      <c r="V22" s="287">
        <v>250</v>
      </c>
      <c r="W22" s="196"/>
      <c r="X22" s="288">
        <f t="shared" si="23"/>
        <v>12192</v>
      </c>
      <c r="Y22" s="287" t="str">
        <f t="shared" ref="Y22:Y30" si="34">IF(R22-X22&lt;=0,"ok","oil change")</f>
        <v>ok</v>
      </c>
      <c r="Z22" s="287">
        <f t="shared" si="6"/>
        <v>10</v>
      </c>
      <c r="AA22" s="287">
        <f t="shared" si="18"/>
        <v>1500</v>
      </c>
      <c r="AB22" s="287">
        <f t="shared" si="19"/>
        <v>400</v>
      </c>
      <c r="AC22" s="287">
        <f t="shared" si="20"/>
        <v>150</v>
      </c>
      <c r="AD22" s="73">
        <f>ELEC!Q22</f>
        <v>7336.9999999995343</v>
      </c>
      <c r="AE22" s="73">
        <f t="shared" si="24"/>
        <v>733.69999999995343</v>
      </c>
      <c r="AF22" s="403">
        <f t="shared" si="25"/>
        <v>0.4585624999999709</v>
      </c>
      <c r="AG22" s="404">
        <f t="shared" si="26"/>
        <v>146.73999999999069</v>
      </c>
      <c r="AH22" s="404">
        <f t="shared" si="21"/>
        <v>3.2600000000093132</v>
      </c>
      <c r="AI22" s="73">
        <f t="shared" si="27"/>
        <v>1888.426160337433</v>
      </c>
      <c r="AJ22" s="289">
        <f t="shared" si="7"/>
        <v>0.25738396624472576</v>
      </c>
      <c r="AK22" s="289">
        <f t="shared" si="31"/>
        <v>188.8426160337433</v>
      </c>
    </row>
    <row r="23" spans="1:37" ht="15.75" thickBot="1">
      <c r="A23" s="4">
        <f>ELEC!C23</f>
        <v>44337</v>
      </c>
      <c r="B23" s="534">
        <v>10054</v>
      </c>
      <c r="C23" s="287">
        <f t="shared" si="9"/>
        <v>2</v>
      </c>
      <c r="D23" s="535">
        <v>409912</v>
      </c>
      <c r="E23" s="287">
        <f>150*C23</f>
        <v>300</v>
      </c>
      <c r="F23" s="287">
        <f t="shared" si="0"/>
        <v>150</v>
      </c>
      <c r="G23" s="196"/>
      <c r="H23" s="270">
        <f t="shared" si="22"/>
        <v>10105</v>
      </c>
      <c r="I23" s="287" t="str">
        <f t="shared" si="1"/>
        <v>ok</v>
      </c>
      <c r="J23" s="535">
        <f t="shared" si="11"/>
        <v>10698</v>
      </c>
      <c r="K23" s="287">
        <f t="shared" si="2"/>
        <v>0</v>
      </c>
      <c r="L23" s="535">
        <f t="shared" si="11"/>
        <v>357691</v>
      </c>
      <c r="M23" s="287">
        <f t="shared" si="12"/>
        <v>0</v>
      </c>
      <c r="N23" s="287">
        <f t="shared" si="13"/>
        <v>0</v>
      </c>
      <c r="O23" s="196"/>
      <c r="P23" s="288">
        <f t="shared" si="14"/>
        <v>10873</v>
      </c>
      <c r="Q23" s="287" t="str">
        <f t="shared" si="32"/>
        <v>ok</v>
      </c>
      <c r="R23" s="535">
        <v>12182</v>
      </c>
      <c r="S23" s="287">
        <f>R23-R22</f>
        <v>10</v>
      </c>
      <c r="T23" s="535">
        <v>369837</v>
      </c>
      <c r="U23" s="287">
        <f t="shared" si="17"/>
        <v>2500</v>
      </c>
      <c r="V23" s="287">
        <v>250</v>
      </c>
      <c r="W23" s="196"/>
      <c r="X23" s="288">
        <f t="shared" si="23"/>
        <v>12192</v>
      </c>
      <c r="Y23" s="287" t="str">
        <f t="shared" si="34"/>
        <v>ok</v>
      </c>
      <c r="Z23" s="287">
        <f t="shared" si="6"/>
        <v>12</v>
      </c>
      <c r="AA23" s="287">
        <f t="shared" si="18"/>
        <v>2800</v>
      </c>
      <c r="AB23" s="287">
        <f t="shared" si="19"/>
        <v>400</v>
      </c>
      <c r="AC23" s="287">
        <f t="shared" si="20"/>
        <v>233.33333333333334</v>
      </c>
      <c r="AD23" s="73">
        <f>ELEC!Q23</f>
        <v>7952.000000001135</v>
      </c>
      <c r="AE23" s="73">
        <f t="shared" si="24"/>
        <v>662.66666666676122</v>
      </c>
      <c r="AF23" s="403">
        <f t="shared" si="25"/>
        <v>0.41416666666672575</v>
      </c>
      <c r="AG23" s="404">
        <f t="shared" si="26"/>
        <v>132.53333333335223</v>
      </c>
      <c r="AH23" s="404">
        <f t="shared" si="21"/>
        <v>100.79999999998111</v>
      </c>
      <c r="AI23" s="73">
        <f t="shared" si="27"/>
        <v>2046.7172995783515</v>
      </c>
      <c r="AJ23" s="289">
        <f t="shared" si="7"/>
        <v>0.25738396624472576</v>
      </c>
      <c r="AK23" s="289">
        <f t="shared" si="31"/>
        <v>170.55977496486261</v>
      </c>
    </row>
    <row r="24" spans="1:37" ht="15.75" thickBot="1">
      <c r="A24" s="4">
        <f>ELEC!C24</f>
        <v>44338</v>
      </c>
      <c r="B24" s="534">
        <v>10054</v>
      </c>
      <c r="C24" s="287">
        <f t="shared" si="9"/>
        <v>0</v>
      </c>
      <c r="D24" s="535">
        <f t="shared" ref="D24:D27" si="35">D23</f>
        <v>409912</v>
      </c>
      <c r="E24" s="287">
        <f t="shared" si="10"/>
        <v>0</v>
      </c>
      <c r="F24" s="287">
        <f t="shared" si="0"/>
        <v>0</v>
      </c>
      <c r="G24" s="196"/>
      <c r="H24" s="270">
        <f t="shared" si="22"/>
        <v>10105</v>
      </c>
      <c r="I24" s="287" t="str">
        <f t="shared" si="1"/>
        <v>ok</v>
      </c>
      <c r="J24" s="535">
        <f t="shared" si="11"/>
        <v>10698</v>
      </c>
      <c r="K24" s="287">
        <f t="shared" si="2"/>
        <v>0</v>
      </c>
      <c r="L24" s="535">
        <f t="shared" si="11"/>
        <v>357691</v>
      </c>
      <c r="M24" s="287">
        <f t="shared" si="12"/>
        <v>0</v>
      </c>
      <c r="N24" s="287">
        <f t="shared" si="13"/>
        <v>0</v>
      </c>
      <c r="O24" s="196"/>
      <c r="P24" s="288">
        <f t="shared" si="14"/>
        <v>10873</v>
      </c>
      <c r="Q24" s="287" t="str">
        <f t="shared" si="32"/>
        <v>ok</v>
      </c>
      <c r="R24" s="535">
        <v>12198</v>
      </c>
      <c r="S24" s="287">
        <f t="shared" si="4"/>
        <v>16</v>
      </c>
      <c r="T24" s="535">
        <v>373837</v>
      </c>
      <c r="U24" s="287">
        <f t="shared" si="17"/>
        <v>4000</v>
      </c>
      <c r="V24" s="287">
        <v>250</v>
      </c>
      <c r="W24" s="196"/>
      <c r="X24" s="288">
        <f t="shared" si="23"/>
        <v>12192</v>
      </c>
      <c r="Y24" s="287" t="str">
        <f t="shared" si="34"/>
        <v>oil change</v>
      </c>
      <c r="Z24" s="287">
        <f t="shared" si="6"/>
        <v>16</v>
      </c>
      <c r="AA24" s="287">
        <f t="shared" si="18"/>
        <v>4000</v>
      </c>
      <c r="AB24" s="287">
        <f t="shared" si="19"/>
        <v>250</v>
      </c>
      <c r="AC24" s="287">
        <f t="shared" si="20"/>
        <v>250</v>
      </c>
      <c r="AD24" s="73">
        <f>ELEC!Q24</f>
        <v>10546.999999998661</v>
      </c>
      <c r="AE24" s="73">
        <f t="shared" si="24"/>
        <v>659.18749999991633</v>
      </c>
      <c r="AF24" s="403">
        <f t="shared" si="25"/>
        <v>0.4119921874999477</v>
      </c>
      <c r="AG24" s="404">
        <f t="shared" si="26"/>
        <v>131.83749999998327</v>
      </c>
      <c r="AH24" s="404">
        <f t="shared" si="21"/>
        <v>118.16250000001673</v>
      </c>
      <c r="AI24" s="73">
        <f t="shared" si="27"/>
        <v>2714.628691982778</v>
      </c>
      <c r="AJ24" s="289">
        <f t="shared" si="7"/>
        <v>0.25738396624472576</v>
      </c>
      <c r="AK24" s="289">
        <f t="shared" si="31"/>
        <v>169.66429324892363</v>
      </c>
    </row>
    <row r="25" spans="1:37" ht="15.75" thickBot="1">
      <c r="A25" s="4">
        <f>ELEC!C25</f>
        <v>44339</v>
      </c>
      <c r="B25" s="534">
        <f t="shared" si="30"/>
        <v>10054</v>
      </c>
      <c r="C25" s="287">
        <f t="shared" si="9"/>
        <v>0</v>
      </c>
      <c r="D25" s="535">
        <f t="shared" si="35"/>
        <v>409912</v>
      </c>
      <c r="E25" s="287">
        <f t="shared" si="10"/>
        <v>0</v>
      </c>
      <c r="F25" s="287">
        <f t="shared" si="0"/>
        <v>0</v>
      </c>
      <c r="G25" s="196"/>
      <c r="H25" s="270">
        <f t="shared" si="22"/>
        <v>10105</v>
      </c>
      <c r="I25" s="287" t="str">
        <f t="shared" si="1"/>
        <v>ok</v>
      </c>
      <c r="J25" s="535">
        <f t="shared" si="11"/>
        <v>10698</v>
      </c>
      <c r="K25" s="287">
        <f t="shared" si="2"/>
        <v>0</v>
      </c>
      <c r="L25" s="535">
        <f t="shared" si="11"/>
        <v>357691</v>
      </c>
      <c r="M25" s="287">
        <f t="shared" si="12"/>
        <v>0</v>
      </c>
      <c r="N25" s="287">
        <f t="shared" si="13"/>
        <v>0</v>
      </c>
      <c r="O25" s="196"/>
      <c r="P25" s="288">
        <f t="shared" si="14"/>
        <v>10873</v>
      </c>
      <c r="Q25" s="287" t="str">
        <f t="shared" si="32"/>
        <v>ok</v>
      </c>
      <c r="R25" s="535">
        <v>12206</v>
      </c>
      <c r="S25" s="287">
        <f t="shared" si="4"/>
        <v>8</v>
      </c>
      <c r="T25" s="535">
        <v>375837</v>
      </c>
      <c r="U25" s="287">
        <f t="shared" si="17"/>
        <v>2000</v>
      </c>
      <c r="V25" s="287">
        <v>250</v>
      </c>
      <c r="W25" s="196"/>
      <c r="X25" s="288">
        <f t="shared" si="23"/>
        <v>12192</v>
      </c>
      <c r="Y25" s="287" t="str">
        <f t="shared" si="34"/>
        <v>oil change</v>
      </c>
      <c r="Z25" s="287">
        <f t="shared" si="6"/>
        <v>8</v>
      </c>
      <c r="AA25" s="287">
        <f t="shared" si="18"/>
        <v>2000</v>
      </c>
      <c r="AB25" s="287">
        <f t="shared" si="19"/>
        <v>250</v>
      </c>
      <c r="AC25" s="287">
        <f t="shared" si="20"/>
        <v>250</v>
      </c>
      <c r="AD25" s="73">
        <f>ELEC!Q25</f>
        <v>5534.9999999998545</v>
      </c>
      <c r="AE25" s="73">
        <f t="shared" si="24"/>
        <v>691.87499999998181</v>
      </c>
      <c r="AF25" s="403">
        <f t="shared" si="25"/>
        <v>0.43242187499998863</v>
      </c>
      <c r="AG25" s="404">
        <f t="shared" si="26"/>
        <v>138.37499999999636</v>
      </c>
      <c r="AH25" s="404">
        <f t="shared" si="21"/>
        <v>111.62500000000364</v>
      </c>
      <c r="AI25" s="73">
        <f t="shared" si="27"/>
        <v>1424.6202531645197</v>
      </c>
      <c r="AJ25" s="289">
        <f t="shared" si="7"/>
        <v>0.25738396624472576</v>
      </c>
      <c r="AK25" s="289">
        <f t="shared" si="31"/>
        <v>178.07753164556496</v>
      </c>
    </row>
    <row r="26" spans="1:37" ht="15.75" thickBot="1">
      <c r="A26" s="4">
        <f>ELEC!C26</f>
        <v>44340</v>
      </c>
      <c r="B26" s="534">
        <f t="shared" si="30"/>
        <v>10054</v>
      </c>
      <c r="C26" s="287">
        <f t="shared" si="9"/>
        <v>0</v>
      </c>
      <c r="D26" s="535">
        <f t="shared" si="35"/>
        <v>409912</v>
      </c>
      <c r="E26" s="287">
        <f>SUM(D26-D25)</f>
        <v>0</v>
      </c>
      <c r="F26" s="287">
        <f t="shared" si="0"/>
        <v>0</v>
      </c>
      <c r="G26" s="196"/>
      <c r="H26" s="270">
        <f t="shared" si="22"/>
        <v>10105</v>
      </c>
      <c r="I26" s="287" t="str">
        <f t="shared" si="1"/>
        <v>ok</v>
      </c>
      <c r="J26" s="535">
        <f t="shared" si="11"/>
        <v>10698</v>
      </c>
      <c r="K26" s="287">
        <f t="shared" si="2"/>
        <v>0</v>
      </c>
      <c r="L26" s="535">
        <f t="shared" si="11"/>
        <v>357691</v>
      </c>
      <c r="M26" s="287">
        <f t="shared" si="12"/>
        <v>0</v>
      </c>
      <c r="N26" s="287">
        <f t="shared" si="13"/>
        <v>0</v>
      </c>
      <c r="O26" s="196"/>
      <c r="P26" s="288">
        <f t="shared" si="14"/>
        <v>10873</v>
      </c>
      <c r="Q26" s="287" t="str">
        <f t="shared" si="32"/>
        <v>ok</v>
      </c>
      <c r="R26" s="535">
        <v>12223</v>
      </c>
      <c r="S26" s="287">
        <f t="shared" si="4"/>
        <v>17</v>
      </c>
      <c r="T26" s="535">
        <v>380087</v>
      </c>
      <c r="U26" s="287">
        <f t="shared" si="17"/>
        <v>4250</v>
      </c>
      <c r="V26" s="287">
        <v>250</v>
      </c>
      <c r="W26" s="196"/>
      <c r="X26" s="288">
        <f t="shared" si="23"/>
        <v>12192</v>
      </c>
      <c r="Y26" s="287" t="str">
        <f t="shared" si="34"/>
        <v>oil change</v>
      </c>
      <c r="Z26" s="287">
        <f t="shared" si="6"/>
        <v>17</v>
      </c>
      <c r="AA26" s="287">
        <f t="shared" si="18"/>
        <v>4250</v>
      </c>
      <c r="AB26" s="287">
        <f t="shared" si="19"/>
        <v>250</v>
      </c>
      <c r="AC26" s="287">
        <f t="shared" si="20"/>
        <v>250</v>
      </c>
      <c r="AD26" s="73">
        <f>ELEC!Q26</f>
        <v>12454.000000001543</v>
      </c>
      <c r="AE26" s="73">
        <f t="shared" si="24"/>
        <v>732.5882352942084</v>
      </c>
      <c r="AF26" s="403">
        <f t="shared" si="25"/>
        <v>0.45786764705888028</v>
      </c>
      <c r="AG26" s="404">
        <f t="shared" si="26"/>
        <v>146.5176470588417</v>
      </c>
      <c r="AH26" s="404">
        <f t="shared" si="21"/>
        <v>103.4823529411583</v>
      </c>
      <c r="AI26" s="73">
        <f t="shared" si="27"/>
        <v>3205.4599156122117</v>
      </c>
      <c r="AJ26" s="289">
        <f t="shared" si="7"/>
        <v>0.25738396624472576</v>
      </c>
      <c r="AK26" s="289">
        <f t="shared" si="31"/>
        <v>188.55646562424775</v>
      </c>
    </row>
    <row r="27" spans="1:37" ht="15.75" thickBot="1">
      <c r="A27" s="4">
        <f>ELEC!C27</f>
        <v>44341</v>
      </c>
      <c r="B27" s="534">
        <v>10054</v>
      </c>
      <c r="C27" s="287">
        <f t="shared" si="9"/>
        <v>0</v>
      </c>
      <c r="D27" s="535">
        <f t="shared" si="35"/>
        <v>409912</v>
      </c>
      <c r="E27" s="287">
        <f t="shared" si="10"/>
        <v>0</v>
      </c>
      <c r="F27" s="287">
        <f t="shared" si="0"/>
        <v>0</v>
      </c>
      <c r="G27" s="196"/>
      <c r="H27" s="270">
        <f t="shared" si="22"/>
        <v>10105</v>
      </c>
      <c r="I27" s="287" t="str">
        <f>IF(B27-H27&lt;=0,"ok","oil change")</f>
        <v>ok</v>
      </c>
      <c r="J27" s="535">
        <f t="shared" si="11"/>
        <v>10698</v>
      </c>
      <c r="K27" s="287">
        <f t="shared" si="2"/>
        <v>0</v>
      </c>
      <c r="L27" s="535">
        <f t="shared" si="11"/>
        <v>357691</v>
      </c>
      <c r="M27" s="287">
        <f t="shared" si="12"/>
        <v>0</v>
      </c>
      <c r="N27" s="287">
        <f t="shared" si="13"/>
        <v>0</v>
      </c>
      <c r="O27" s="196"/>
      <c r="P27" s="288">
        <f t="shared" si="14"/>
        <v>10873</v>
      </c>
      <c r="Q27" s="287" t="str">
        <f t="shared" si="32"/>
        <v>ok</v>
      </c>
      <c r="R27" s="535">
        <v>12232</v>
      </c>
      <c r="S27" s="287">
        <f t="shared" si="4"/>
        <v>9</v>
      </c>
      <c r="T27" s="535">
        <f t="shared" si="16"/>
        <v>380087</v>
      </c>
      <c r="U27" s="287">
        <f t="shared" si="17"/>
        <v>2250</v>
      </c>
      <c r="V27" s="287">
        <v>250</v>
      </c>
      <c r="W27" s="196"/>
      <c r="X27" s="288">
        <v>12342</v>
      </c>
      <c r="Y27" s="287" t="str">
        <f t="shared" si="34"/>
        <v>ok</v>
      </c>
      <c r="Z27" s="287">
        <f t="shared" si="6"/>
        <v>9</v>
      </c>
      <c r="AA27" s="287">
        <f t="shared" si="18"/>
        <v>2250</v>
      </c>
      <c r="AB27" s="287">
        <f t="shared" si="19"/>
        <v>250</v>
      </c>
      <c r="AC27" s="287">
        <f t="shared" si="20"/>
        <v>250</v>
      </c>
      <c r="AD27" s="73">
        <f>ELEC!Q27</f>
        <v>6174.9999999992724</v>
      </c>
      <c r="AE27" s="73">
        <f t="shared" si="24"/>
        <v>686.11111111103025</v>
      </c>
      <c r="AF27" s="403">
        <f t="shared" si="25"/>
        <v>0.4288194444443939</v>
      </c>
      <c r="AG27" s="404">
        <f t="shared" si="26"/>
        <v>137.22222222220606</v>
      </c>
      <c r="AH27" s="404">
        <f t="shared" si="21"/>
        <v>112.77777777779394</v>
      </c>
      <c r="AI27" s="73">
        <f t="shared" si="27"/>
        <v>1589.3459915609942</v>
      </c>
      <c r="AJ27" s="289">
        <f t="shared" si="7"/>
        <v>0.25738396624472576</v>
      </c>
      <c r="AK27" s="289">
        <f t="shared" si="31"/>
        <v>176.5939990623327</v>
      </c>
    </row>
    <row r="28" spans="1:37" ht="15.75" thickBot="1">
      <c r="A28" s="4">
        <f>ELEC!C28</f>
        <v>44342</v>
      </c>
      <c r="B28" s="534">
        <v>10064</v>
      </c>
      <c r="C28" s="287">
        <f t="shared" si="9"/>
        <v>10</v>
      </c>
      <c r="D28" s="535">
        <v>411327</v>
      </c>
      <c r="E28" s="287">
        <f t="shared" si="10"/>
        <v>1415</v>
      </c>
      <c r="F28" s="287">
        <f t="shared" si="0"/>
        <v>141.5</v>
      </c>
      <c r="G28" s="285"/>
      <c r="H28" s="270">
        <f t="shared" si="22"/>
        <v>10105</v>
      </c>
      <c r="I28" s="287" t="str">
        <f t="shared" si="1"/>
        <v>ok</v>
      </c>
      <c r="J28" s="535">
        <f t="shared" si="11"/>
        <v>10698</v>
      </c>
      <c r="K28" s="287">
        <f t="shared" si="2"/>
        <v>0</v>
      </c>
      <c r="L28" s="535">
        <f t="shared" si="11"/>
        <v>357691</v>
      </c>
      <c r="M28" s="287">
        <f t="shared" si="12"/>
        <v>0</v>
      </c>
      <c r="N28" s="287">
        <f t="shared" si="13"/>
        <v>0</v>
      </c>
      <c r="O28" s="196"/>
      <c r="P28" s="288">
        <f t="shared" si="14"/>
        <v>10873</v>
      </c>
      <c r="Q28" s="287" t="str">
        <f t="shared" si="32"/>
        <v>ok</v>
      </c>
      <c r="R28" s="535">
        <v>12240</v>
      </c>
      <c r="S28" s="287">
        <f t="shared" si="4"/>
        <v>8</v>
      </c>
      <c r="T28" s="535">
        <v>382087</v>
      </c>
      <c r="U28" s="287">
        <f t="shared" si="17"/>
        <v>2000</v>
      </c>
      <c r="V28" s="287">
        <v>250</v>
      </c>
      <c r="W28" s="196"/>
      <c r="X28" s="288">
        <f t="shared" si="23"/>
        <v>12342</v>
      </c>
      <c r="Y28" s="287" t="str">
        <f t="shared" si="34"/>
        <v>ok</v>
      </c>
      <c r="Z28" s="287">
        <f t="shared" si="6"/>
        <v>18</v>
      </c>
      <c r="AA28" s="287">
        <f t="shared" si="18"/>
        <v>3415</v>
      </c>
      <c r="AB28" s="287">
        <f t="shared" si="19"/>
        <v>391.5</v>
      </c>
      <c r="AC28" s="287">
        <f t="shared" si="20"/>
        <v>189.72222222222223</v>
      </c>
      <c r="AD28" s="73">
        <f>ELEC!Q28</f>
        <v>13085.999999999331</v>
      </c>
      <c r="AE28" s="73">
        <f t="shared" si="24"/>
        <v>726.99999999996282</v>
      </c>
      <c r="AF28" s="403">
        <f t="shared" si="25"/>
        <v>0.45437499999997677</v>
      </c>
      <c r="AG28" s="404">
        <f t="shared" si="26"/>
        <v>145.39999999999256</v>
      </c>
      <c r="AH28" s="404">
        <f t="shared" si="21"/>
        <v>44.322222222229669</v>
      </c>
      <c r="AI28" s="73">
        <f t="shared" si="27"/>
        <v>3368.1265822783089</v>
      </c>
      <c r="AJ28" s="289">
        <f t="shared" si="7"/>
        <v>0.25738396624472576</v>
      </c>
      <c r="AK28" s="289">
        <f t="shared" si="31"/>
        <v>187.11814345990604</v>
      </c>
    </row>
    <row r="29" spans="1:37" ht="15.75" thickBot="1">
      <c r="A29" s="4">
        <f>ELEC!C29</f>
        <v>44343</v>
      </c>
      <c r="B29" s="534">
        <v>10077</v>
      </c>
      <c r="C29" s="287">
        <f t="shared" si="9"/>
        <v>13</v>
      </c>
      <c r="D29" s="535">
        <v>412973</v>
      </c>
      <c r="E29" s="287">
        <f>SUM(D29-D28)</f>
        <v>1646</v>
      </c>
      <c r="F29" s="287">
        <f t="shared" si="0"/>
        <v>126.61538461538461</v>
      </c>
      <c r="G29" s="196"/>
      <c r="H29" s="270">
        <f t="shared" si="22"/>
        <v>10105</v>
      </c>
      <c r="I29" s="287" t="str">
        <f t="shared" si="1"/>
        <v>ok</v>
      </c>
      <c r="J29" s="535">
        <f t="shared" si="11"/>
        <v>10698</v>
      </c>
      <c r="K29" s="287">
        <f t="shared" si="2"/>
        <v>0</v>
      </c>
      <c r="L29" s="535">
        <f t="shared" si="11"/>
        <v>357691</v>
      </c>
      <c r="M29" s="287">
        <f t="shared" si="12"/>
        <v>0</v>
      </c>
      <c r="N29" s="287">
        <f t="shared" si="13"/>
        <v>0</v>
      </c>
      <c r="O29" s="196"/>
      <c r="P29" s="288">
        <f t="shared" si="14"/>
        <v>10873</v>
      </c>
      <c r="Q29" s="287" t="str">
        <f t="shared" si="32"/>
        <v>ok</v>
      </c>
      <c r="R29" s="535">
        <f t="shared" si="15"/>
        <v>12240</v>
      </c>
      <c r="S29" s="287">
        <f t="shared" si="4"/>
        <v>0</v>
      </c>
      <c r="T29" s="535">
        <f t="shared" si="16"/>
        <v>382087</v>
      </c>
      <c r="U29" s="287">
        <f t="shared" si="17"/>
        <v>0</v>
      </c>
      <c r="V29" s="287">
        <v>250</v>
      </c>
      <c r="W29" s="196"/>
      <c r="X29" s="288">
        <f t="shared" si="23"/>
        <v>12342</v>
      </c>
      <c r="Y29" s="287" t="str">
        <f t="shared" si="34"/>
        <v>ok</v>
      </c>
      <c r="Z29" s="287">
        <f t="shared" si="6"/>
        <v>13</v>
      </c>
      <c r="AA29" s="287">
        <f t="shared" si="18"/>
        <v>1646</v>
      </c>
      <c r="AB29" s="287">
        <f t="shared" si="19"/>
        <v>376.61538461538464</v>
      </c>
      <c r="AC29" s="287">
        <f t="shared" si="20"/>
        <v>126.61538461538461</v>
      </c>
      <c r="AD29" s="73">
        <f>ELEC!Q29</f>
        <v>9436.0000000015134</v>
      </c>
      <c r="AE29" s="73">
        <f t="shared" si="24"/>
        <v>725.84615384627023</v>
      </c>
      <c r="AF29" s="403">
        <f t="shared" si="25"/>
        <v>0.4536538461539189</v>
      </c>
      <c r="AG29" s="404">
        <f t="shared" si="26"/>
        <v>145.16923076925406</v>
      </c>
      <c r="AH29" s="404">
        <f t="shared" si="21"/>
        <v>-18.553846153869443</v>
      </c>
      <c r="AI29" s="73">
        <f t="shared" si="27"/>
        <v>2428.6751054856218</v>
      </c>
      <c r="AJ29" s="289">
        <f t="shared" si="7"/>
        <v>0.25738396624472576</v>
      </c>
      <c r="AK29" s="289">
        <f t="shared" si="31"/>
        <v>186.82116196043245</v>
      </c>
    </row>
    <row r="30" spans="1:37" ht="15.75" thickBot="1">
      <c r="A30" s="4">
        <f>ELEC!C30</f>
        <v>44344</v>
      </c>
      <c r="B30" s="534">
        <v>10095</v>
      </c>
      <c r="C30" s="287">
        <f t="shared" si="9"/>
        <v>18</v>
      </c>
      <c r="D30" s="535">
        <v>414205</v>
      </c>
      <c r="E30" s="287">
        <f t="shared" si="10"/>
        <v>1232</v>
      </c>
      <c r="F30" s="287">
        <f t="shared" si="0"/>
        <v>68.444444444444443</v>
      </c>
      <c r="G30" s="196"/>
      <c r="H30" s="270">
        <f t="shared" si="22"/>
        <v>10105</v>
      </c>
      <c r="I30" s="287" t="str">
        <f t="shared" si="1"/>
        <v>ok</v>
      </c>
      <c r="J30" s="535">
        <f t="shared" si="11"/>
        <v>10698</v>
      </c>
      <c r="K30" s="287">
        <f t="shared" si="2"/>
        <v>0</v>
      </c>
      <c r="L30" s="535">
        <f t="shared" si="11"/>
        <v>357691</v>
      </c>
      <c r="M30" s="287">
        <f t="shared" si="12"/>
        <v>0</v>
      </c>
      <c r="N30" s="287">
        <f t="shared" si="13"/>
        <v>0</v>
      </c>
      <c r="O30" s="196"/>
      <c r="P30" s="288">
        <f t="shared" si="14"/>
        <v>10873</v>
      </c>
      <c r="Q30" s="287" t="str">
        <f t="shared" si="32"/>
        <v>ok</v>
      </c>
      <c r="R30" s="535">
        <f t="shared" si="15"/>
        <v>12240</v>
      </c>
      <c r="S30" s="287">
        <f t="shared" si="4"/>
        <v>0</v>
      </c>
      <c r="T30" s="535">
        <f t="shared" si="16"/>
        <v>382087</v>
      </c>
      <c r="U30" s="287">
        <f t="shared" si="17"/>
        <v>0</v>
      </c>
      <c r="V30" s="287">
        <v>250</v>
      </c>
      <c r="W30" s="285"/>
      <c r="X30" s="288">
        <f t="shared" si="23"/>
        <v>12342</v>
      </c>
      <c r="Y30" s="287" t="str">
        <f t="shared" si="34"/>
        <v>ok</v>
      </c>
      <c r="Z30" s="287">
        <f t="shared" si="6"/>
        <v>18</v>
      </c>
      <c r="AA30" s="287">
        <f t="shared" si="18"/>
        <v>1232</v>
      </c>
      <c r="AB30" s="287">
        <f t="shared" si="19"/>
        <v>318.44444444444446</v>
      </c>
      <c r="AC30" s="287">
        <f t="shared" si="20"/>
        <v>68.444444444444443</v>
      </c>
      <c r="AD30" s="73">
        <f>ELEC!Q30</f>
        <v>13954.999999998108</v>
      </c>
      <c r="AE30" s="73">
        <f t="shared" si="24"/>
        <v>775.27777777767267</v>
      </c>
      <c r="AF30" s="403">
        <f t="shared" si="25"/>
        <v>0.48454861111104541</v>
      </c>
      <c r="AG30" s="404">
        <f t="shared" si="26"/>
        <v>155.05555555553454</v>
      </c>
      <c r="AH30" s="404">
        <f t="shared" si="21"/>
        <v>-86.611111111090096</v>
      </c>
      <c r="AI30" s="73">
        <f t="shared" si="27"/>
        <v>3591.7932489446612</v>
      </c>
      <c r="AJ30" s="289">
        <f t="shared" si="7"/>
        <v>0.25738396624472576</v>
      </c>
      <c r="AK30" s="289">
        <f t="shared" si="31"/>
        <v>199.54406938581451</v>
      </c>
    </row>
    <row r="31" spans="1:37" ht="15.75" thickBot="1">
      <c r="A31" s="4">
        <f>ELEC!C31</f>
        <v>44345</v>
      </c>
      <c r="B31" s="534">
        <v>10109</v>
      </c>
      <c r="C31" s="287">
        <f t="shared" ref="C31:C32" si="36">B31-B30</f>
        <v>14</v>
      </c>
      <c r="D31" s="535">
        <v>415989</v>
      </c>
      <c r="E31" s="287">
        <f t="shared" ref="E31:E32" si="37">SUM(D31-D30)</f>
        <v>1784</v>
      </c>
      <c r="F31" s="287">
        <f t="shared" ref="F31:F32" si="38">IF(C31&gt;0,E31/C31,0)</f>
        <v>127.42857142857143</v>
      </c>
      <c r="G31" s="338"/>
      <c r="H31" s="270">
        <f t="shared" si="22"/>
        <v>10105</v>
      </c>
      <c r="I31" s="287" t="str">
        <f t="shared" ref="I31:I32" si="39">IF(B31-H31&lt;=0,"ok","oil change")</f>
        <v>oil change</v>
      </c>
      <c r="J31" s="535">
        <f t="shared" si="11"/>
        <v>10698</v>
      </c>
      <c r="K31" s="287">
        <f t="shared" ref="K31:K32" si="40">J31-J30</f>
        <v>0</v>
      </c>
      <c r="L31" s="535">
        <f t="shared" si="11"/>
        <v>357691</v>
      </c>
      <c r="M31" s="287">
        <f t="shared" ref="M31:M32" si="41">SUM(L31-L30)</f>
        <v>0</v>
      </c>
      <c r="N31" s="287">
        <f t="shared" ref="N31:N32" si="42">IF(K31&gt;0,M31/K31,0)</f>
        <v>0</v>
      </c>
      <c r="O31" s="338"/>
      <c r="P31" s="288">
        <f t="shared" si="14"/>
        <v>10873</v>
      </c>
      <c r="Q31" s="287" t="str">
        <f t="shared" ref="Q31:Q32" si="43">IF(J31-P31&lt;=0,"ok","oil change")</f>
        <v>ok</v>
      </c>
      <c r="R31" s="535">
        <f t="shared" si="15"/>
        <v>12240</v>
      </c>
      <c r="S31" s="287">
        <f t="shared" ref="S31:S32" si="44">R31-R30</f>
        <v>0</v>
      </c>
      <c r="T31" s="535">
        <f t="shared" si="16"/>
        <v>382087</v>
      </c>
      <c r="U31" s="287">
        <f t="shared" si="17"/>
        <v>0</v>
      </c>
      <c r="V31" s="287">
        <v>250</v>
      </c>
      <c r="W31" s="338"/>
      <c r="X31" s="288">
        <f t="shared" si="23"/>
        <v>12342</v>
      </c>
      <c r="Y31" s="287" t="str">
        <f t="shared" ref="Y31:Y32" si="45">IF(R31-X31&lt;=0,"ok","oil change")</f>
        <v>ok</v>
      </c>
      <c r="Z31" s="287">
        <f t="shared" ref="Z31:Z32" si="46">C31+K31+S31</f>
        <v>14</v>
      </c>
      <c r="AA31" s="287">
        <f t="shared" ref="AA31:AA32" si="47">U31+M31+E31</f>
        <v>1784</v>
      </c>
      <c r="AB31" s="287">
        <f t="shared" ref="AB31:AB32" si="48">V31+N31+F31</f>
        <v>377.42857142857144</v>
      </c>
      <c r="AC31" s="287">
        <f t="shared" ref="AC31:AC32" si="49">IF(Z31&gt;0,AA31/Z31,0)</f>
        <v>127.42857142857143</v>
      </c>
      <c r="AD31" s="73">
        <f>ELEC!Q31</f>
        <v>10489.000000001397</v>
      </c>
      <c r="AE31" s="73">
        <f t="shared" ref="AE31:AE32" si="50">SUM(AD31/Z31)</f>
        <v>749.21428571438548</v>
      </c>
      <c r="AF31" s="403">
        <f t="shared" ref="AF31:AF32" si="51">SUM(AE31/1600)</f>
        <v>0.46825892857149093</v>
      </c>
      <c r="AG31" s="501">
        <f t="shared" ref="AG31:AG32" si="52">SUM(320*AF31)</f>
        <v>149.84285714287711</v>
      </c>
      <c r="AH31" s="501">
        <f t="shared" ref="AH31:AH32" si="53">SUM(AC31-AG31)</f>
        <v>-22.414285714305677</v>
      </c>
      <c r="AI31" s="73">
        <f t="shared" ref="AI31:AI32" si="54">AD31*AJ31</f>
        <v>2699.7004219412879</v>
      </c>
      <c r="AJ31" s="289">
        <f t="shared" si="7"/>
        <v>0.25738396624472576</v>
      </c>
      <c r="AK31" s="289">
        <f t="shared" ref="AK31:AK32" si="55">IF(Z31&gt;0,AI31/Z31,0)</f>
        <v>192.83574442437771</v>
      </c>
    </row>
    <row r="32" spans="1:37" ht="15.75" thickBot="1">
      <c r="A32" s="4">
        <f>ELEC!C32</f>
        <v>44346</v>
      </c>
      <c r="B32" s="534">
        <v>10119</v>
      </c>
      <c r="C32" s="287">
        <f t="shared" si="36"/>
        <v>10</v>
      </c>
      <c r="D32" s="535">
        <v>417263</v>
      </c>
      <c r="E32" s="287">
        <f t="shared" si="37"/>
        <v>1274</v>
      </c>
      <c r="F32" s="287">
        <f t="shared" si="38"/>
        <v>127.4</v>
      </c>
      <c r="G32" s="338"/>
      <c r="H32" s="270">
        <f t="shared" si="22"/>
        <v>10105</v>
      </c>
      <c r="I32" s="287" t="str">
        <f t="shared" si="39"/>
        <v>oil change</v>
      </c>
      <c r="J32" s="535">
        <f t="shared" si="11"/>
        <v>10698</v>
      </c>
      <c r="K32" s="287">
        <f t="shared" si="40"/>
        <v>0</v>
      </c>
      <c r="L32" s="535">
        <f t="shared" si="11"/>
        <v>357691</v>
      </c>
      <c r="M32" s="287">
        <f t="shared" si="41"/>
        <v>0</v>
      </c>
      <c r="N32" s="287">
        <f t="shared" si="42"/>
        <v>0</v>
      </c>
      <c r="O32" s="338"/>
      <c r="P32" s="288">
        <f t="shared" si="14"/>
        <v>10873</v>
      </c>
      <c r="Q32" s="287" t="str">
        <f t="shared" si="43"/>
        <v>ok</v>
      </c>
      <c r="R32" s="535">
        <f t="shared" si="15"/>
        <v>12240</v>
      </c>
      <c r="S32" s="287">
        <f t="shared" si="44"/>
        <v>0</v>
      </c>
      <c r="T32" s="535">
        <f t="shared" si="16"/>
        <v>382087</v>
      </c>
      <c r="U32" s="287">
        <f t="shared" si="17"/>
        <v>0</v>
      </c>
      <c r="V32" s="287">
        <v>250</v>
      </c>
      <c r="W32" s="338"/>
      <c r="X32" s="288">
        <f t="shared" si="23"/>
        <v>12342</v>
      </c>
      <c r="Y32" s="287" t="str">
        <f t="shared" si="45"/>
        <v>ok</v>
      </c>
      <c r="Z32" s="287">
        <f t="shared" si="46"/>
        <v>10</v>
      </c>
      <c r="AA32" s="287">
        <f t="shared" si="47"/>
        <v>1274</v>
      </c>
      <c r="AB32" s="287">
        <f t="shared" si="48"/>
        <v>377.4</v>
      </c>
      <c r="AC32" s="287">
        <f t="shared" si="49"/>
        <v>127.4</v>
      </c>
      <c r="AD32" s="73">
        <f>ELEC!Q32</f>
        <v>7275.9999999980209</v>
      </c>
      <c r="AE32" s="73">
        <f t="shared" si="50"/>
        <v>727.59999999980209</v>
      </c>
      <c r="AF32" s="403">
        <f t="shared" si="51"/>
        <v>0.45474999999987631</v>
      </c>
      <c r="AG32" s="501">
        <f t="shared" si="52"/>
        <v>145.51999999996042</v>
      </c>
      <c r="AH32" s="501">
        <f t="shared" si="53"/>
        <v>-18.119999999960413</v>
      </c>
      <c r="AI32" s="73">
        <f t="shared" si="54"/>
        <v>1872.7257383961153</v>
      </c>
      <c r="AJ32" s="289">
        <f t="shared" si="7"/>
        <v>0.25738396624472576</v>
      </c>
      <c r="AK32" s="289">
        <f t="shared" si="55"/>
        <v>187.27257383961154</v>
      </c>
    </row>
    <row r="33" spans="1:37">
      <c r="A33" s="4">
        <f>ELEC!C33</f>
        <v>44347</v>
      </c>
      <c r="B33" s="534">
        <v>10123</v>
      </c>
      <c r="C33" s="287">
        <f t="shared" ref="C33" si="56">B33-B32</f>
        <v>4</v>
      </c>
      <c r="D33" s="535">
        <v>417630</v>
      </c>
      <c r="E33" s="287">
        <f t="shared" ref="E33" si="57">SUM(D33-D32)</f>
        <v>367</v>
      </c>
      <c r="F33" s="287">
        <f t="shared" ref="F33" si="58">IF(C33&gt;0,E33/C33,0)</f>
        <v>91.75</v>
      </c>
      <c r="G33" s="338"/>
      <c r="H33" s="270">
        <f t="shared" si="22"/>
        <v>10105</v>
      </c>
      <c r="I33" s="287" t="str">
        <f t="shared" ref="I33" si="59">IF(B33-H33&lt;=0,"ok","oil change")</f>
        <v>oil change</v>
      </c>
      <c r="J33" s="535">
        <f t="shared" si="11"/>
        <v>10698</v>
      </c>
      <c r="K33" s="287">
        <f t="shared" ref="K33" si="60">J33-J32</f>
        <v>0</v>
      </c>
      <c r="L33" s="535">
        <f t="shared" si="11"/>
        <v>357691</v>
      </c>
      <c r="M33" s="287">
        <f t="shared" ref="M33" si="61">SUM(L33-L32)</f>
        <v>0</v>
      </c>
      <c r="N33" s="287">
        <f t="shared" ref="N33" si="62">IF(K33&gt;0,M33/K33,0)</f>
        <v>0</v>
      </c>
      <c r="O33" s="338"/>
      <c r="P33" s="288">
        <f t="shared" si="14"/>
        <v>10873</v>
      </c>
      <c r="Q33" s="287" t="str">
        <f t="shared" ref="Q33" si="63">IF(J33-P33&lt;=0,"ok","oil change")</f>
        <v>ok</v>
      </c>
      <c r="R33" s="535">
        <v>12259</v>
      </c>
      <c r="S33" s="287">
        <f t="shared" ref="S33" si="64">R33-R32</f>
        <v>19</v>
      </c>
      <c r="T33" s="535">
        <v>386837</v>
      </c>
      <c r="U33" s="287">
        <f t="shared" ref="U33" si="65">V33*S33</f>
        <v>4750</v>
      </c>
      <c r="V33" s="287">
        <v>250</v>
      </c>
      <c r="W33" s="338"/>
      <c r="X33" s="288">
        <f t="shared" si="23"/>
        <v>12342</v>
      </c>
      <c r="Y33" s="287" t="str">
        <f t="shared" ref="Y33" si="66">IF(R33-X33&lt;=0,"ok","oil change")</f>
        <v>ok</v>
      </c>
      <c r="Z33" s="287">
        <f t="shared" ref="Z33" si="67">C33+K33+S33</f>
        <v>23</v>
      </c>
      <c r="AA33" s="287">
        <f t="shared" ref="AA33" si="68">U33+M33+E33</f>
        <v>5117</v>
      </c>
      <c r="AB33" s="287">
        <f t="shared" ref="AB33" si="69">V33+N33+F33</f>
        <v>341.75</v>
      </c>
      <c r="AC33" s="287">
        <f t="shared" ref="AC33" si="70">IF(Z33&gt;0,AA33/Z33,0)</f>
        <v>222.47826086956522</v>
      </c>
      <c r="AD33" s="73">
        <f>ELEC!Q33</f>
        <v>17174.000000002707</v>
      </c>
      <c r="AE33" s="73">
        <f t="shared" ref="AE33" si="71">SUM(AD33/Z33)</f>
        <v>746.69565217403067</v>
      </c>
      <c r="AF33" s="403">
        <f t="shared" ref="AF33" si="72">SUM(AE33/1600)</f>
        <v>0.46668478260876917</v>
      </c>
      <c r="AG33" s="501">
        <f t="shared" ref="AG33" si="73">SUM(320*AF33)</f>
        <v>149.33913043480612</v>
      </c>
      <c r="AH33" s="501">
        <f t="shared" ref="AH33" si="74">SUM(AC33-AG33)</f>
        <v>73.139130434759096</v>
      </c>
      <c r="AI33" s="73">
        <f t="shared" ref="AI33" si="75">AD33*AJ33</f>
        <v>4420.3122362876165</v>
      </c>
      <c r="AJ33" s="289">
        <f t="shared" si="7"/>
        <v>0.25738396624472576</v>
      </c>
      <c r="AK33" s="289">
        <f t="shared" ref="AK33" si="76">IF(Z33&gt;0,AI33/Z33,0)</f>
        <v>192.18748853424421</v>
      </c>
    </row>
    <row r="34" spans="1:37">
      <c r="H34" s="39"/>
      <c r="I34" s="267"/>
      <c r="M34" s="39"/>
      <c r="N34" s="39"/>
      <c r="O34" s="39"/>
      <c r="P34" s="82">
        <f>+O34/3</f>
        <v>0</v>
      </c>
      <c r="S34" s="39"/>
      <c r="T34" s="39"/>
      <c r="U34" s="40">
        <f>SUM(C35:S35)</f>
        <v>339</v>
      </c>
      <c r="V34" s="40"/>
      <c r="X34">
        <v>341</v>
      </c>
      <c r="Z34" s="421">
        <f>SUM(Z3:Z33)</f>
        <v>339</v>
      </c>
    </row>
    <row r="35" spans="1:37">
      <c r="C35" s="40">
        <f>SUM(C3:C33)</f>
        <v>230</v>
      </c>
      <c r="K35" s="40">
        <f>SUM(K3:K33)</f>
        <v>0</v>
      </c>
      <c r="S35" s="40">
        <f>SUM(S3:S33)</f>
        <v>109</v>
      </c>
      <c r="U35" s="40"/>
      <c r="V35" s="40"/>
      <c r="X35" s="40"/>
    </row>
  </sheetData>
  <conditionalFormatting sqref="K3:K33 S3:S33 Z3:Z33 C3:C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tabSelected="1" topLeftCell="A13" zoomScale="90" zoomScaleNormal="90" workbookViewId="0">
      <pane xSplit="1" topLeftCell="AD1" activePane="topRight" state="frozen"/>
      <selection pane="topRight" activeCell="AT36" sqref="AT36"/>
    </sheetView>
  </sheetViews>
  <sheetFormatPr defaultRowHeight="15"/>
  <cols>
    <col min="1" max="1" width="30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49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1.140625" bestFit="1" customWidth="1"/>
    <col min="47" max="47" width="11.28515625" style="663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7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7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91" t="s">
        <v>108</v>
      </c>
      <c r="AS3" s="691" t="s">
        <v>233</v>
      </c>
      <c r="AT3" s="689" t="s">
        <v>301</v>
      </c>
      <c r="AU3" s="690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92"/>
      <c r="AS4" s="692"/>
      <c r="AT4" s="3" t="s">
        <v>71</v>
      </c>
      <c r="AU4" s="664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3">
        <f>ELEC!C2</f>
        <v>44316</v>
      </c>
      <c r="B5" s="529">
        <v>239</v>
      </c>
      <c r="C5" s="529">
        <v>5142.3548387096771</v>
      </c>
      <c r="D5" s="529">
        <v>239</v>
      </c>
      <c r="E5" s="529">
        <v>5142.3548387096771</v>
      </c>
      <c r="F5" s="529">
        <v>239</v>
      </c>
      <c r="G5" s="529">
        <v>5142.3548387096771</v>
      </c>
      <c r="H5" s="529">
        <v>239</v>
      </c>
      <c r="I5" s="529">
        <v>5142.3548387096771</v>
      </c>
      <c r="J5" s="529">
        <v>239</v>
      </c>
      <c r="K5" s="529">
        <v>5142.3548387096771</v>
      </c>
      <c r="L5" s="529">
        <v>239</v>
      </c>
      <c r="M5" s="529">
        <v>5142.3548387096771</v>
      </c>
      <c r="N5" s="529">
        <v>239</v>
      </c>
      <c r="O5" s="529">
        <v>5142.3548387096771</v>
      </c>
      <c r="P5" s="529">
        <v>239</v>
      </c>
      <c r="Q5" s="529">
        <v>5142.3548387096771</v>
      </c>
      <c r="R5" s="529">
        <v>239</v>
      </c>
      <c r="S5" s="529">
        <v>5142.3548387096771</v>
      </c>
      <c r="T5" s="529">
        <v>239</v>
      </c>
      <c r="U5" s="529">
        <v>5142.3548387096771</v>
      </c>
      <c r="V5" s="529">
        <v>239</v>
      </c>
      <c r="W5" s="529">
        <v>5142.3548387096771</v>
      </c>
      <c r="X5" s="502">
        <v>0.77096774193548367</v>
      </c>
      <c r="Y5" s="529">
        <v>56565.90322580644</v>
      </c>
      <c r="Z5" s="529">
        <v>245</v>
      </c>
      <c r="AA5" s="529">
        <v>2450</v>
      </c>
      <c r="AB5" s="529">
        <v>245</v>
      </c>
      <c r="AC5" s="529">
        <v>2450</v>
      </c>
      <c r="AD5" s="529">
        <v>245</v>
      </c>
      <c r="AE5" s="529">
        <v>2450</v>
      </c>
      <c r="AF5" s="529">
        <v>245</v>
      </c>
      <c r="AG5" s="529">
        <v>2450</v>
      </c>
      <c r="AH5" s="529">
        <v>245</v>
      </c>
      <c r="AI5" s="529">
        <v>2450</v>
      </c>
      <c r="AJ5" s="529">
        <v>245</v>
      </c>
      <c r="AK5" s="529">
        <v>2450</v>
      </c>
      <c r="AL5" s="529">
        <v>245</v>
      </c>
      <c r="AM5" s="529">
        <v>2450</v>
      </c>
      <c r="AN5" s="502">
        <v>0.875</v>
      </c>
      <c r="AO5" s="529">
        <v>17150</v>
      </c>
      <c r="AP5" s="529"/>
      <c r="AQ5" s="502">
        <v>0.79289989486723067</v>
      </c>
      <c r="AR5" s="529">
        <v>73715.90322580644</v>
      </c>
      <c r="AS5" s="529">
        <v>0</v>
      </c>
      <c r="AT5" s="529"/>
      <c r="AV5" s="289">
        <f>[4]tanks!AV35</f>
        <v>0.92</v>
      </c>
      <c r="AW5" s="289">
        <f>[4]tanks!AW35</f>
        <v>-169</v>
      </c>
      <c r="AX5" s="289">
        <f>[4]tanks!AX35</f>
        <v>-1434.3870967742259</v>
      </c>
      <c r="AY5" s="289">
        <f>[4]tanks!AY35</f>
        <v>-1603.3870967742259</v>
      </c>
      <c r="AZ5" s="502">
        <f>[4]tanks!AZ35</f>
        <v>0</v>
      </c>
      <c r="BA5" s="289">
        <f>[4]tanks!BA35</f>
        <v>23</v>
      </c>
      <c r="BB5" s="502">
        <f>[4]tanks!BB35</f>
        <v>0.56000000000000005</v>
      </c>
      <c r="BC5" s="529">
        <f>[5]tanks!BC36</f>
        <v>0</v>
      </c>
      <c r="BD5" s="529">
        <f>[5]tanks!BD36</f>
        <v>19222</v>
      </c>
      <c r="BE5" s="529" t="e">
        <f>[5]tanks!BE36</f>
        <v>#REF!</v>
      </c>
      <c r="BF5" s="529">
        <f>[5]tanks!BF36</f>
        <v>0</v>
      </c>
      <c r="BG5" s="529" t="e">
        <f>[5]tanks!BG36</f>
        <v>#REF!</v>
      </c>
      <c r="BH5" s="529">
        <f>[6]tanks!BH36</f>
        <v>0</v>
      </c>
      <c r="BI5" s="203"/>
    </row>
    <row r="6" spans="1:63">
      <c r="A6" s="443">
        <f>ELEC!C3</f>
        <v>44317</v>
      </c>
      <c r="B6">
        <f>'B5'!B5</f>
        <v>234</v>
      </c>
      <c r="C6" s="203">
        <f>B6*$B$4</f>
        <v>5034.7741935483873</v>
      </c>
      <c r="D6">
        <f>SUM(B6)</f>
        <v>234</v>
      </c>
      <c r="E6" s="203">
        <f>D6*$B$4</f>
        <v>5034.7741935483873</v>
      </c>
      <c r="F6">
        <f>SUM(D6)</f>
        <v>234</v>
      </c>
      <c r="G6" s="203">
        <f t="shared" ref="G6:G33" si="1">F6*$B$4</f>
        <v>5034.7741935483873</v>
      </c>
      <c r="H6" s="203">
        <f>SUM(F6)</f>
        <v>234</v>
      </c>
      <c r="I6" s="203">
        <f t="shared" ref="I6:I33" si="2">H6*$B$4</f>
        <v>5034.7741935483873</v>
      </c>
      <c r="J6" s="203">
        <f>SUM(H6)</f>
        <v>234</v>
      </c>
      <c r="K6" s="203">
        <f t="shared" ref="K6:K33" si="3">J6*$B$4</f>
        <v>5034.7741935483873</v>
      </c>
      <c r="L6" s="203">
        <f>SUM(J6)</f>
        <v>234</v>
      </c>
      <c r="M6" s="203">
        <f t="shared" ref="M6:M33" si="4">L6*$B$4</f>
        <v>5034.7741935483873</v>
      </c>
      <c r="N6" s="203">
        <f>SUM(L6)</f>
        <v>234</v>
      </c>
      <c r="O6" s="203">
        <f t="shared" ref="O6:O33" si="5">N6*$B$4</f>
        <v>5034.7741935483873</v>
      </c>
      <c r="P6" s="203">
        <f>SUM(N6)</f>
        <v>234</v>
      </c>
      <c r="Q6" s="203">
        <f t="shared" ref="Q6:Q33" si="6">P6*$B$4</f>
        <v>5034.7741935483873</v>
      </c>
      <c r="R6" s="203">
        <f>SUM(P6)</f>
        <v>234</v>
      </c>
      <c r="S6" s="203">
        <f t="shared" ref="S6:S33" si="7">R6*$B$4</f>
        <v>5034.7741935483873</v>
      </c>
      <c r="T6" s="203">
        <f>SUM(R6)</f>
        <v>234</v>
      </c>
      <c r="U6" s="203">
        <f t="shared" ref="U6:U33" si="8">T6*$B$4</f>
        <v>5034.7741935483873</v>
      </c>
      <c r="V6" s="203">
        <f>SUM(T6)</f>
        <v>234</v>
      </c>
      <c r="W6" s="203">
        <f t="shared" ref="W6:W33" si="9">V6*$B$4</f>
        <v>5034.7741935483873</v>
      </c>
      <c r="X6" s="35">
        <f t="shared" ref="X6:X29" si="10">SUM(Y6/73370)</f>
        <v>0.75483870967741939</v>
      </c>
      <c r="Y6" s="36">
        <f>SUM(C6+E6+G6+I6+K6+M6+O6+Q6+S6+U6+W6)</f>
        <v>55382.516129032258</v>
      </c>
      <c r="Z6" s="203">
        <f>'B5'!C5</f>
        <v>240</v>
      </c>
      <c r="AA6" s="203">
        <f>SUM(Z6*$Z$4)</f>
        <v>2400</v>
      </c>
      <c r="AB6" s="203">
        <f>SUM(Z6)</f>
        <v>240</v>
      </c>
      <c r="AC6" s="203">
        <f>SUM(AB6*$Z$4)</f>
        <v>2400</v>
      </c>
      <c r="AD6" s="203">
        <f>SUM(AB6)</f>
        <v>240</v>
      </c>
      <c r="AE6" s="203">
        <f t="shared" ref="AE6:AE33" si="11">SUM(AD6*$Z$4)</f>
        <v>2400</v>
      </c>
      <c r="AF6" s="203">
        <f>SUM(AD6)</f>
        <v>240</v>
      </c>
      <c r="AG6" s="203">
        <f t="shared" ref="AG6:AG33" si="12">SUM(AF6*$Z$4)</f>
        <v>2400</v>
      </c>
      <c r="AH6" s="203">
        <f>SUM(AF6)</f>
        <v>240</v>
      </c>
      <c r="AI6" s="203">
        <f t="shared" ref="AI6:AI33" si="13">SUM(AH6*$Z$4)</f>
        <v>2400</v>
      </c>
      <c r="AJ6" s="203">
        <f>SUM(AH6)</f>
        <v>240</v>
      </c>
      <c r="AK6" s="203">
        <f t="shared" ref="AK6:AK33" si="14">SUM(AJ6*$Z$4)</f>
        <v>2400</v>
      </c>
      <c r="AL6" s="203">
        <f>SUM(AJ6)</f>
        <v>240</v>
      </c>
      <c r="AM6" s="203">
        <f t="shared" ref="AM6:AM33" si="15">SUM(AL6*$Z$4)</f>
        <v>2400</v>
      </c>
      <c r="AN6" s="35">
        <f t="shared" ref="AN6:AN29" si="16">SUM(AO6/19600)</f>
        <v>0.8571428571428571</v>
      </c>
      <c r="AO6" s="36">
        <f t="shared" ref="AO6:AO29" si="17">SUM(AA6+AC6+AE6+AG6+AI6+AK6+AM6)</f>
        <v>16800</v>
      </c>
      <c r="AQ6" s="223">
        <f>SUM(AR6/92970)</f>
        <v>0.77640654113189478</v>
      </c>
      <c r="AR6" s="38">
        <f>Y6+AO6</f>
        <v>72182.516129032258</v>
      </c>
      <c r="AS6" s="197">
        <f>SUM(AR6-AR5-AT6)</f>
        <v>-1533.3870967741823</v>
      </c>
      <c r="AT6" s="355"/>
      <c r="AU6" s="665"/>
      <c r="AV6" s="515">
        <f>IF(AT6&gt;0,AU6,AV5)</f>
        <v>0.92</v>
      </c>
      <c r="AW6" s="290">
        <f>-SUM('B5'!AI5)</f>
        <v>-195</v>
      </c>
      <c r="AX6" s="290">
        <f>-SUM(AW6-AS6)</f>
        <v>-1338.3870967741823</v>
      </c>
      <c r="AY6" s="37">
        <f>SUM(AX6+AW6)</f>
        <v>-1533.3870967741823</v>
      </c>
      <c r="AZ6" s="100">
        <f>ELEC!A3</f>
        <v>0</v>
      </c>
      <c r="BA6" s="118">
        <f>'General information '!D6</f>
        <v>23.5</v>
      </c>
      <c r="BB6" s="280">
        <f>SUM('General information '!E6)</f>
        <v>0.65</v>
      </c>
      <c r="BC6" s="3">
        <f>IF(AR3&gt;=AR6,0,1)</f>
        <v>0</v>
      </c>
      <c r="BD6" s="102">
        <v>19222</v>
      </c>
      <c r="BE6" s="14">
        <f>(305/1185)*ELEC!Q4</f>
        <v>513.73839662426292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-111.53225806451519</v>
      </c>
      <c r="BK6" s="585">
        <f>GEN!AF3</f>
        <v>0.40906249999996669</v>
      </c>
    </row>
    <row r="7" spans="1:63">
      <c r="A7" s="443">
        <f>ELEC!C4</f>
        <v>44318</v>
      </c>
      <c r="B7">
        <f>'B5'!B6</f>
        <v>231</v>
      </c>
      <c r="C7" s="203">
        <f t="shared" ref="C7:E33" si="18">B7*$B$4</f>
        <v>4970.2258064516127</v>
      </c>
      <c r="D7">
        <f t="shared" ref="D7:D29" si="19">SUM(B7)</f>
        <v>231</v>
      </c>
      <c r="E7" s="203">
        <f t="shared" si="18"/>
        <v>4970.2258064516127</v>
      </c>
      <c r="F7">
        <f t="shared" ref="F7:F29" si="20">SUM(D7)</f>
        <v>231</v>
      </c>
      <c r="G7" s="203">
        <f t="shared" si="1"/>
        <v>4970.2258064516127</v>
      </c>
      <c r="H7" s="203">
        <f t="shared" ref="H7:H29" si="21">SUM(F7)</f>
        <v>231</v>
      </c>
      <c r="I7" s="203">
        <f t="shared" si="2"/>
        <v>4970.2258064516127</v>
      </c>
      <c r="J7" s="203">
        <f t="shared" ref="J7:J29" si="22">SUM(H7)</f>
        <v>231</v>
      </c>
      <c r="K7" s="203">
        <f t="shared" si="3"/>
        <v>4970.2258064516127</v>
      </c>
      <c r="L7" s="203">
        <f t="shared" ref="L7:L29" si="23">SUM(J7)</f>
        <v>231</v>
      </c>
      <c r="M7" s="203">
        <f t="shared" si="4"/>
        <v>4970.2258064516127</v>
      </c>
      <c r="N7" s="203">
        <f t="shared" ref="N7:N29" si="24">SUM(L7)</f>
        <v>231</v>
      </c>
      <c r="O7" s="203">
        <f t="shared" si="5"/>
        <v>4970.2258064516127</v>
      </c>
      <c r="P7" s="203">
        <f t="shared" ref="P7:P29" si="25">SUM(N7)</f>
        <v>231</v>
      </c>
      <c r="Q7" s="203">
        <f t="shared" si="6"/>
        <v>4970.2258064516127</v>
      </c>
      <c r="R7" s="203">
        <f t="shared" ref="R7:R29" si="26">SUM(P7)</f>
        <v>231</v>
      </c>
      <c r="S7" s="203">
        <f t="shared" si="7"/>
        <v>4970.2258064516127</v>
      </c>
      <c r="T7" s="203">
        <f t="shared" ref="T7:T29" si="27">SUM(R7)</f>
        <v>231</v>
      </c>
      <c r="U7" s="203">
        <f t="shared" si="8"/>
        <v>4970.2258064516127</v>
      </c>
      <c r="V7" s="203">
        <f t="shared" ref="V7:V29" si="28">SUM(T7)</f>
        <v>231</v>
      </c>
      <c r="W7" s="203">
        <f t="shared" si="9"/>
        <v>4970.2258064516127</v>
      </c>
      <c r="X7" s="35">
        <f t="shared" si="10"/>
        <v>0.74516129032258061</v>
      </c>
      <c r="Y7" s="36">
        <f t="shared" ref="Y7:Y29" si="29">SUM(C7+E7+G7+I7+K7+M7+O7+Q7+S7+U7+W7)</f>
        <v>54672.483870967742</v>
      </c>
      <c r="Z7" s="203">
        <f>'B5'!C6</f>
        <v>238</v>
      </c>
      <c r="AA7" s="203">
        <f t="shared" ref="AA7:AC33" si="30">SUM(Z7*$Z$4)</f>
        <v>2380</v>
      </c>
      <c r="AB7" s="203">
        <f t="shared" ref="AB7:AB29" si="31">SUM(Z7)</f>
        <v>238</v>
      </c>
      <c r="AC7" s="203">
        <f t="shared" si="30"/>
        <v>2380</v>
      </c>
      <c r="AD7" s="203">
        <f t="shared" ref="AD7:AD29" si="32">SUM(AB7)</f>
        <v>238</v>
      </c>
      <c r="AE7" s="203">
        <f t="shared" si="11"/>
        <v>2380</v>
      </c>
      <c r="AF7" s="203">
        <f t="shared" ref="AF7:AF29" si="33">SUM(AD7)</f>
        <v>238</v>
      </c>
      <c r="AG7" s="203">
        <f t="shared" si="12"/>
        <v>2380</v>
      </c>
      <c r="AH7" s="203">
        <f t="shared" ref="AH7:AH29" si="34">SUM(AF7)</f>
        <v>238</v>
      </c>
      <c r="AI7" s="203">
        <f t="shared" si="13"/>
        <v>2380</v>
      </c>
      <c r="AJ7" s="203">
        <f t="shared" ref="AJ7:AJ29" si="35">SUM(AH7)</f>
        <v>238</v>
      </c>
      <c r="AK7" s="203">
        <f t="shared" si="14"/>
        <v>2380</v>
      </c>
      <c r="AL7" s="203">
        <f t="shared" ref="AL7:AL29" si="36">SUM(AJ7)</f>
        <v>238</v>
      </c>
      <c r="AM7" s="203">
        <f t="shared" si="15"/>
        <v>2380</v>
      </c>
      <c r="AN7" s="35">
        <f t="shared" si="16"/>
        <v>0.85</v>
      </c>
      <c r="AO7" s="36">
        <f t="shared" si="17"/>
        <v>16660</v>
      </c>
      <c r="AQ7" s="223">
        <f t="shared" ref="AQ7:AQ33" si="37">SUM(AR7/92970)</f>
        <v>0.76726345994372103</v>
      </c>
      <c r="AR7" s="38">
        <f t="shared" ref="AR7:AR36" si="38">Y7+AO7</f>
        <v>71332.483870967742</v>
      </c>
      <c r="AS7" s="197">
        <f t="shared" ref="AS7:AS36" si="39">SUM(AR7-AR6-AT7)</f>
        <v>-850.03225806451519</v>
      </c>
      <c r="AT7" s="355"/>
      <c r="AU7" s="665"/>
      <c r="AV7" s="515">
        <f>IF(AT7&gt;0,AU7,AV6)</f>
        <v>0.92</v>
      </c>
      <c r="AW7" s="290">
        <f>-SUM('B5'!AI6)</f>
        <v>-153</v>
      </c>
      <c r="AX7" s="290">
        <f t="shared" ref="AX7:AX33" si="40">-SUM(AW7-AS7)</f>
        <v>-697.03225806451519</v>
      </c>
      <c r="AY7" s="37">
        <f t="shared" ref="AY7:AY33" si="41">SUM(AX7+AW7)</f>
        <v>-850.03225806451519</v>
      </c>
      <c r="AZ7" s="100">
        <f>ELEC!A4</f>
        <v>0</v>
      </c>
      <c r="BA7" s="118">
        <f>'General information '!D7</f>
        <v>23</v>
      </c>
      <c r="BB7" s="394">
        <f>SUM('General information '!E7)</f>
        <v>0.67</v>
      </c>
      <c r="BC7" s="3">
        <v>0</v>
      </c>
      <c r="BD7" s="102">
        <v>19222</v>
      </c>
      <c r="BE7" s="14">
        <f>(305/1185)*ELEC!Q5</f>
        <v>777.29957805918411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2">AX7/BI7</f>
        <v>-46.468817204301011</v>
      </c>
      <c r="BK7" s="585">
        <f>GEN!AF4</f>
        <v>0.41583333333316352</v>
      </c>
    </row>
    <row r="8" spans="1:63">
      <c r="A8" s="443">
        <f>ELEC!C5</f>
        <v>44319</v>
      </c>
      <c r="B8">
        <f>'B5'!B7</f>
        <v>228</v>
      </c>
      <c r="C8" s="203">
        <f t="shared" si="18"/>
        <v>4905.677419354839</v>
      </c>
      <c r="D8">
        <f t="shared" si="19"/>
        <v>228</v>
      </c>
      <c r="E8" s="203">
        <f t="shared" si="18"/>
        <v>4905.677419354839</v>
      </c>
      <c r="F8">
        <f t="shared" si="20"/>
        <v>228</v>
      </c>
      <c r="G8" s="203">
        <f t="shared" si="1"/>
        <v>4905.677419354839</v>
      </c>
      <c r="H8" s="203">
        <f t="shared" si="21"/>
        <v>228</v>
      </c>
      <c r="I8" s="203">
        <f t="shared" si="2"/>
        <v>4905.677419354839</v>
      </c>
      <c r="J8" s="203">
        <f t="shared" si="22"/>
        <v>228</v>
      </c>
      <c r="K8" s="203">
        <f t="shared" si="3"/>
        <v>4905.677419354839</v>
      </c>
      <c r="L8" s="203">
        <f t="shared" si="23"/>
        <v>228</v>
      </c>
      <c r="M8" s="203">
        <f t="shared" si="4"/>
        <v>4905.677419354839</v>
      </c>
      <c r="N8" s="203">
        <f t="shared" si="24"/>
        <v>228</v>
      </c>
      <c r="O8" s="203">
        <f t="shared" si="5"/>
        <v>4905.677419354839</v>
      </c>
      <c r="P8" s="203">
        <f t="shared" si="25"/>
        <v>228</v>
      </c>
      <c r="Q8" s="203">
        <f t="shared" si="6"/>
        <v>4905.677419354839</v>
      </c>
      <c r="R8" s="203">
        <f t="shared" si="26"/>
        <v>228</v>
      </c>
      <c r="S8" s="203">
        <f t="shared" si="7"/>
        <v>4905.677419354839</v>
      </c>
      <c r="T8" s="203">
        <f t="shared" si="27"/>
        <v>228</v>
      </c>
      <c r="U8" s="203">
        <f t="shared" si="8"/>
        <v>4905.677419354839</v>
      </c>
      <c r="V8" s="203">
        <f t="shared" si="28"/>
        <v>228</v>
      </c>
      <c r="W8" s="203">
        <f t="shared" si="9"/>
        <v>4905.677419354839</v>
      </c>
      <c r="X8" s="35">
        <f t="shared" si="10"/>
        <v>0.73548387096774215</v>
      </c>
      <c r="Y8" s="36">
        <f t="shared" si="29"/>
        <v>53962.451612903242</v>
      </c>
      <c r="Z8" s="203">
        <f>'B5'!C7</f>
        <v>234</v>
      </c>
      <c r="AA8" s="203">
        <f t="shared" si="30"/>
        <v>2340</v>
      </c>
      <c r="AB8" s="203">
        <f t="shared" si="31"/>
        <v>234</v>
      </c>
      <c r="AC8" s="203">
        <f t="shared" si="30"/>
        <v>2340</v>
      </c>
      <c r="AD8" s="203">
        <f t="shared" si="32"/>
        <v>234</v>
      </c>
      <c r="AE8" s="203">
        <f t="shared" si="11"/>
        <v>2340</v>
      </c>
      <c r="AF8" s="203">
        <f t="shared" si="33"/>
        <v>234</v>
      </c>
      <c r="AG8" s="203">
        <f t="shared" si="12"/>
        <v>2340</v>
      </c>
      <c r="AH8" s="203">
        <f t="shared" si="34"/>
        <v>234</v>
      </c>
      <c r="AI8" s="203">
        <f t="shared" si="13"/>
        <v>2340</v>
      </c>
      <c r="AJ8" s="203">
        <f t="shared" si="35"/>
        <v>234</v>
      </c>
      <c r="AK8" s="203">
        <f t="shared" si="14"/>
        <v>2340</v>
      </c>
      <c r="AL8" s="203">
        <f t="shared" si="36"/>
        <v>234</v>
      </c>
      <c r="AM8" s="203">
        <f t="shared" si="15"/>
        <v>2340</v>
      </c>
      <c r="AN8" s="35">
        <f t="shared" si="16"/>
        <v>0.83571428571428574</v>
      </c>
      <c r="AO8" s="36">
        <f t="shared" si="17"/>
        <v>16380</v>
      </c>
      <c r="AQ8" s="223">
        <f t="shared" si="37"/>
        <v>0.75661451664949164</v>
      </c>
      <c r="AR8" s="38">
        <f t="shared" si="38"/>
        <v>70342.451612903242</v>
      </c>
      <c r="AS8" s="197">
        <f t="shared" si="39"/>
        <v>-990.03225806450064</v>
      </c>
      <c r="AT8" s="355"/>
      <c r="AU8" s="665"/>
      <c r="AV8" s="515">
        <f t="shared" ref="AV8:AV31" si="43">IF(AT8&gt;0,AU8,AV7)</f>
        <v>0.92</v>
      </c>
      <c r="AW8" s="290">
        <f>-SUM('B5'!AI7)</f>
        <v>-141</v>
      </c>
      <c r="AX8" s="290">
        <f t="shared" si="40"/>
        <v>-849.03225806450064</v>
      </c>
      <c r="AY8" s="37">
        <f t="shared" si="41"/>
        <v>-990.03225806450064</v>
      </c>
      <c r="AZ8" s="100">
        <f>ELEC!A5</f>
        <v>0</v>
      </c>
      <c r="BA8" s="118">
        <f>'General information '!D8</f>
        <v>24</v>
      </c>
      <c r="BB8" s="394">
        <f>SUM('General information '!E8)</f>
        <v>0.65</v>
      </c>
      <c r="BC8" s="3">
        <f t="shared" ref="BC8:BC33" si="44">IF(AR7&gt;=AR8,0,1)</f>
        <v>0</v>
      </c>
      <c r="BD8" s="102">
        <v>19222</v>
      </c>
      <c r="BE8" s="14">
        <f>(305/1185)*ELEC!Q6</f>
        <v>1083.8438818573043</v>
      </c>
      <c r="BF8" s="14"/>
      <c r="BG8" s="14" t="e">
        <f>#REF!-BE8</f>
        <v>#REF!</v>
      </c>
      <c r="BH8" s="11">
        <v>16</v>
      </c>
      <c r="BI8">
        <v>9</v>
      </c>
      <c r="BJ8">
        <f t="shared" si="42"/>
        <v>-94.336917562722292</v>
      </c>
      <c r="BK8" s="585">
        <f>GEN!AF5</f>
        <v>0.47187500000006821</v>
      </c>
    </row>
    <row r="9" spans="1:63">
      <c r="A9" s="443">
        <f>ELEC!C6</f>
        <v>44320</v>
      </c>
      <c r="B9">
        <f>'B5'!B8</f>
        <v>222</v>
      </c>
      <c r="C9" s="203">
        <f t="shared" si="18"/>
        <v>4776.5806451612898</v>
      </c>
      <c r="D9">
        <f t="shared" si="19"/>
        <v>222</v>
      </c>
      <c r="E9" s="203">
        <f t="shared" si="18"/>
        <v>4776.5806451612898</v>
      </c>
      <c r="F9">
        <f t="shared" si="20"/>
        <v>222</v>
      </c>
      <c r="G9" s="203">
        <f t="shared" si="1"/>
        <v>4776.5806451612898</v>
      </c>
      <c r="H9" s="203">
        <f t="shared" si="21"/>
        <v>222</v>
      </c>
      <c r="I9" s="203">
        <f t="shared" si="2"/>
        <v>4776.5806451612898</v>
      </c>
      <c r="J9" s="203">
        <f t="shared" si="22"/>
        <v>222</v>
      </c>
      <c r="K9" s="203">
        <f t="shared" si="3"/>
        <v>4776.5806451612898</v>
      </c>
      <c r="L9" s="203">
        <f t="shared" si="23"/>
        <v>222</v>
      </c>
      <c r="M9" s="203">
        <f t="shared" si="4"/>
        <v>4776.5806451612898</v>
      </c>
      <c r="N9" s="203">
        <f t="shared" si="24"/>
        <v>222</v>
      </c>
      <c r="O9" s="203">
        <f t="shared" si="5"/>
        <v>4776.5806451612898</v>
      </c>
      <c r="P9" s="203">
        <f t="shared" si="25"/>
        <v>222</v>
      </c>
      <c r="Q9" s="203">
        <f t="shared" si="6"/>
        <v>4776.5806451612898</v>
      </c>
      <c r="R9" s="203">
        <f t="shared" si="26"/>
        <v>222</v>
      </c>
      <c r="S9" s="203">
        <f t="shared" si="7"/>
        <v>4776.5806451612898</v>
      </c>
      <c r="T9" s="203">
        <f t="shared" si="27"/>
        <v>222</v>
      </c>
      <c r="U9" s="203">
        <f t="shared" si="8"/>
        <v>4776.5806451612898</v>
      </c>
      <c r="V9" s="203">
        <f t="shared" si="28"/>
        <v>222</v>
      </c>
      <c r="W9" s="203">
        <f t="shared" si="9"/>
        <v>4776.5806451612898</v>
      </c>
      <c r="X9" s="35">
        <f t="shared" si="10"/>
        <v>0.71612903225806424</v>
      </c>
      <c r="Y9" s="36">
        <f t="shared" si="29"/>
        <v>52542.387096774175</v>
      </c>
      <c r="Z9" s="203">
        <f>'B5'!C8</f>
        <v>229</v>
      </c>
      <c r="AA9" s="203">
        <f t="shared" si="30"/>
        <v>2290</v>
      </c>
      <c r="AB9" s="203">
        <f t="shared" si="31"/>
        <v>229</v>
      </c>
      <c r="AC9" s="203">
        <f t="shared" si="30"/>
        <v>2290</v>
      </c>
      <c r="AD9" s="203">
        <f t="shared" si="32"/>
        <v>229</v>
      </c>
      <c r="AE9" s="203">
        <f t="shared" si="11"/>
        <v>2290</v>
      </c>
      <c r="AF9" s="203">
        <f t="shared" si="33"/>
        <v>229</v>
      </c>
      <c r="AG9" s="203">
        <f t="shared" si="12"/>
        <v>2290</v>
      </c>
      <c r="AH9" s="203">
        <f t="shared" si="34"/>
        <v>229</v>
      </c>
      <c r="AI9" s="203">
        <f t="shared" si="13"/>
        <v>2290</v>
      </c>
      <c r="AJ9" s="203">
        <f t="shared" si="35"/>
        <v>229</v>
      </c>
      <c r="AK9" s="203">
        <f t="shared" si="14"/>
        <v>2290</v>
      </c>
      <c r="AL9" s="203">
        <f t="shared" si="36"/>
        <v>229</v>
      </c>
      <c r="AM9" s="203">
        <f t="shared" si="15"/>
        <v>2290</v>
      </c>
      <c r="AN9" s="35">
        <f t="shared" si="16"/>
        <v>0.81785714285714284</v>
      </c>
      <c r="AO9" s="36">
        <f>SUM(AA9+AC9+AE9+AG9+AI9+AK9+AM9)</f>
        <v>16030</v>
      </c>
      <c r="AQ9" s="223">
        <f t="shared" si="37"/>
        <v>0.73757542322011593</v>
      </c>
      <c r="AR9" s="38">
        <f t="shared" si="38"/>
        <v>68572.387096774182</v>
      </c>
      <c r="AS9" s="197">
        <f t="shared" si="39"/>
        <v>-1770.0645161290595</v>
      </c>
      <c r="AT9" s="488"/>
      <c r="AU9" s="665"/>
      <c r="AV9" s="515">
        <f t="shared" si="43"/>
        <v>0.92</v>
      </c>
      <c r="AW9" s="290">
        <f>-SUM('B5'!AI8)</f>
        <v>-95</v>
      </c>
      <c r="AX9" s="290">
        <f>-SUM(AW9-AS9)</f>
        <v>-1675.0645161290595</v>
      </c>
      <c r="AY9" s="37">
        <f t="shared" si="41"/>
        <v>-1770.0645161290595</v>
      </c>
      <c r="AZ9" s="100">
        <f>ELEC!A6</f>
        <v>0</v>
      </c>
      <c r="BA9" s="118">
        <f>'General information '!D9</f>
        <v>22.5</v>
      </c>
      <c r="BB9" s="394">
        <f>SUM('General information '!E9)</f>
        <v>0.44</v>
      </c>
      <c r="BC9" s="3">
        <f t="shared" si="44"/>
        <v>0</v>
      </c>
      <c r="BD9" s="102">
        <v>19222</v>
      </c>
      <c r="BE9" s="14">
        <f>(305/1185)*ELEC!Q7</f>
        <v>1443.924050632125</v>
      </c>
      <c r="BF9" s="14"/>
      <c r="BG9" s="14" t="e">
        <f>#REF!-BE9</f>
        <v>#REF!</v>
      </c>
      <c r="BH9" s="11">
        <v>18</v>
      </c>
      <c r="BI9">
        <v>6</v>
      </c>
      <c r="BJ9">
        <f t="shared" si="42"/>
        <v>-279.17741935484327</v>
      </c>
      <c r="BK9" s="585">
        <f>GEN!AF6</f>
        <v>0.32898437500023192</v>
      </c>
    </row>
    <row r="10" spans="1:63">
      <c r="A10" s="443">
        <f>ELEC!C7</f>
        <v>44321</v>
      </c>
      <c r="B10">
        <f>'B5'!B9</f>
        <v>216</v>
      </c>
      <c r="C10" s="203">
        <f t="shared" si="18"/>
        <v>4647.4838709677415</v>
      </c>
      <c r="D10">
        <f t="shared" si="19"/>
        <v>216</v>
      </c>
      <c r="E10" s="203">
        <f t="shared" si="18"/>
        <v>4647.4838709677415</v>
      </c>
      <c r="F10">
        <f t="shared" si="20"/>
        <v>216</v>
      </c>
      <c r="G10" s="203">
        <f t="shared" si="1"/>
        <v>4647.4838709677415</v>
      </c>
      <c r="H10" s="203">
        <f t="shared" si="21"/>
        <v>216</v>
      </c>
      <c r="I10" s="203">
        <f t="shared" si="2"/>
        <v>4647.4838709677415</v>
      </c>
      <c r="J10" s="203">
        <f t="shared" si="22"/>
        <v>216</v>
      </c>
      <c r="K10" s="203">
        <f t="shared" si="3"/>
        <v>4647.4838709677415</v>
      </c>
      <c r="L10" s="203">
        <f t="shared" si="23"/>
        <v>216</v>
      </c>
      <c r="M10" s="203">
        <f t="shared" si="4"/>
        <v>4647.4838709677415</v>
      </c>
      <c r="N10" s="203">
        <f t="shared" si="24"/>
        <v>216</v>
      </c>
      <c r="O10" s="203">
        <f t="shared" si="5"/>
        <v>4647.4838709677415</v>
      </c>
      <c r="P10" s="203">
        <f t="shared" si="25"/>
        <v>216</v>
      </c>
      <c r="Q10" s="203">
        <f t="shared" si="6"/>
        <v>4647.4838709677415</v>
      </c>
      <c r="R10" s="203">
        <f t="shared" si="26"/>
        <v>216</v>
      </c>
      <c r="S10" s="203">
        <f t="shared" si="7"/>
        <v>4647.4838709677415</v>
      </c>
      <c r="T10" s="203">
        <f t="shared" si="27"/>
        <v>216</v>
      </c>
      <c r="U10" s="203">
        <f t="shared" si="8"/>
        <v>4647.4838709677415</v>
      </c>
      <c r="V10" s="203">
        <f t="shared" si="28"/>
        <v>216</v>
      </c>
      <c r="W10" s="203">
        <f t="shared" si="9"/>
        <v>4647.4838709677415</v>
      </c>
      <c r="X10" s="35">
        <f t="shared" si="10"/>
        <v>0.6967741935483871</v>
      </c>
      <c r="Y10" s="36">
        <f t="shared" si="29"/>
        <v>51122.322580645159</v>
      </c>
      <c r="Z10" s="203">
        <f>'B5'!C9</f>
        <v>222</v>
      </c>
      <c r="AA10" s="203">
        <f t="shared" si="30"/>
        <v>2220</v>
      </c>
      <c r="AB10" s="203">
        <f t="shared" si="31"/>
        <v>222</v>
      </c>
      <c r="AC10" s="203">
        <f t="shared" si="30"/>
        <v>2220</v>
      </c>
      <c r="AD10" s="203">
        <f t="shared" si="32"/>
        <v>222</v>
      </c>
      <c r="AE10" s="203">
        <f t="shared" si="11"/>
        <v>2220</v>
      </c>
      <c r="AF10" s="203">
        <f t="shared" si="33"/>
        <v>222</v>
      </c>
      <c r="AG10" s="203">
        <f t="shared" si="12"/>
        <v>2220</v>
      </c>
      <c r="AH10" s="203">
        <f t="shared" si="34"/>
        <v>222</v>
      </c>
      <c r="AI10" s="203">
        <f t="shared" si="13"/>
        <v>2220</v>
      </c>
      <c r="AJ10" s="203">
        <f t="shared" si="35"/>
        <v>222</v>
      </c>
      <c r="AK10" s="203">
        <f t="shared" si="14"/>
        <v>2220</v>
      </c>
      <c r="AL10" s="203">
        <f t="shared" si="36"/>
        <v>222</v>
      </c>
      <c r="AM10" s="203">
        <f t="shared" si="15"/>
        <v>2220</v>
      </c>
      <c r="AN10" s="35">
        <f t="shared" si="16"/>
        <v>0.79285714285714282</v>
      </c>
      <c r="AO10" s="36">
        <f t="shared" si="17"/>
        <v>15540</v>
      </c>
      <c r="AQ10" s="223">
        <f t="shared" si="37"/>
        <v>0.71703046768468481</v>
      </c>
      <c r="AR10" s="38">
        <f t="shared" si="38"/>
        <v>66662.322580645152</v>
      </c>
      <c r="AS10" s="197">
        <f t="shared" si="39"/>
        <v>-1910.0645161290304</v>
      </c>
      <c r="AT10" s="355"/>
      <c r="AU10" s="665"/>
      <c r="AV10" s="515">
        <f>IF(AT10&gt;0,AU10,AV9)</f>
        <v>0.92</v>
      </c>
      <c r="AW10" s="290">
        <f>-SUM('B5'!AI9)</f>
        <v>-164</v>
      </c>
      <c r="AX10" s="290">
        <f>-SUM(AW10-AS10)</f>
        <v>-1746.0645161290304</v>
      </c>
      <c r="AY10" s="37">
        <f t="shared" si="41"/>
        <v>-1910.0645161290304</v>
      </c>
      <c r="AZ10" s="100">
        <f>ELEC!A7</f>
        <v>0</v>
      </c>
      <c r="BA10" s="118">
        <f>'General information '!D10</f>
        <v>23</v>
      </c>
      <c r="BB10" s="394">
        <f>SUM('General information '!E10)</f>
        <v>0.53</v>
      </c>
      <c r="BC10" s="3">
        <f t="shared" si="44"/>
        <v>0</v>
      </c>
      <c r="BD10" s="102">
        <v>19222</v>
      </c>
      <c r="BE10" s="14">
        <f>(305/1185)*ELEC!Q8</f>
        <v>896.21097046412763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2"/>
        <v>-249.43778801843291</v>
      </c>
      <c r="BK10" s="585">
        <f>GEN!AF7</f>
        <v>0.38958333333312112</v>
      </c>
    </row>
    <row r="11" spans="1:63">
      <c r="A11" s="443">
        <f>ELEC!C8</f>
        <v>44322</v>
      </c>
      <c r="B11">
        <f>'B5'!B10</f>
        <v>212</v>
      </c>
      <c r="C11" s="203">
        <f t="shared" si="18"/>
        <v>4561.4193548387093</v>
      </c>
      <c r="D11">
        <f>SUM(B11)</f>
        <v>212</v>
      </c>
      <c r="E11" s="203">
        <f t="shared" si="18"/>
        <v>4561.4193548387093</v>
      </c>
      <c r="F11">
        <f>SUM(D11)</f>
        <v>212</v>
      </c>
      <c r="G11" s="203">
        <f t="shared" si="1"/>
        <v>4561.4193548387093</v>
      </c>
      <c r="H11" s="203">
        <f>SUM(F11)</f>
        <v>212</v>
      </c>
      <c r="I11" s="203">
        <f t="shared" si="2"/>
        <v>4561.4193548387093</v>
      </c>
      <c r="J11" s="203">
        <f>SUM(H11)</f>
        <v>212</v>
      </c>
      <c r="K11" s="203">
        <f t="shared" si="3"/>
        <v>4561.4193548387093</v>
      </c>
      <c r="L11" s="203">
        <f>SUM(J11)</f>
        <v>212</v>
      </c>
      <c r="M11" s="203">
        <f t="shared" si="4"/>
        <v>4561.4193548387093</v>
      </c>
      <c r="N11" s="203">
        <f>SUM(L11)</f>
        <v>212</v>
      </c>
      <c r="O11" s="203">
        <f t="shared" si="5"/>
        <v>4561.4193548387093</v>
      </c>
      <c r="P11" s="203">
        <f>SUM(N11)</f>
        <v>212</v>
      </c>
      <c r="Q11" s="203">
        <f t="shared" si="6"/>
        <v>4561.4193548387093</v>
      </c>
      <c r="R11" s="203">
        <f>SUM(P11)</f>
        <v>212</v>
      </c>
      <c r="S11" s="203">
        <f t="shared" si="7"/>
        <v>4561.4193548387093</v>
      </c>
      <c r="T11" s="203">
        <f>SUM(R11)</f>
        <v>212</v>
      </c>
      <c r="U11" s="203">
        <f t="shared" si="8"/>
        <v>4561.4193548387093</v>
      </c>
      <c r="V11" s="203">
        <f>SUM(T11)</f>
        <v>212</v>
      </c>
      <c r="W11" s="203">
        <f t="shared" si="9"/>
        <v>4561.4193548387093</v>
      </c>
      <c r="X11" s="35">
        <f>SUM(Y11/73370)</f>
        <v>0.68387096774193556</v>
      </c>
      <c r="Y11" s="36">
        <f>SUM(C11+E11+G11+I11+K11+M11+O11+Q11+S11+U11+W11)</f>
        <v>50175.61290322581</v>
      </c>
      <c r="Z11" s="203">
        <f>'B5'!C10</f>
        <v>219</v>
      </c>
      <c r="AA11" s="203">
        <f t="shared" si="30"/>
        <v>2190</v>
      </c>
      <c r="AB11" s="203">
        <f>SUM(Z11)</f>
        <v>219</v>
      </c>
      <c r="AC11" s="203">
        <f t="shared" si="30"/>
        <v>2190</v>
      </c>
      <c r="AD11" s="203">
        <f>SUM(AB11)</f>
        <v>219</v>
      </c>
      <c r="AE11" s="203">
        <f t="shared" si="11"/>
        <v>2190</v>
      </c>
      <c r="AF11" s="203">
        <f>SUM(AD11)</f>
        <v>219</v>
      </c>
      <c r="AG11" s="203">
        <f t="shared" si="12"/>
        <v>2190</v>
      </c>
      <c r="AH11" s="203">
        <f>SUM(AF11)</f>
        <v>219</v>
      </c>
      <c r="AI11" s="203">
        <f t="shared" si="13"/>
        <v>2190</v>
      </c>
      <c r="AJ11" s="203">
        <f>SUM(AH11)</f>
        <v>219</v>
      </c>
      <c r="AK11" s="203">
        <f t="shared" si="14"/>
        <v>2190</v>
      </c>
      <c r="AL11" s="203">
        <f>SUM(AJ11)</f>
        <v>219</v>
      </c>
      <c r="AM11" s="203">
        <f t="shared" si="15"/>
        <v>2190</v>
      </c>
      <c r="AN11" s="35">
        <f>SUM(AO11/19600)</f>
        <v>0.78214285714285714</v>
      </c>
      <c r="AO11" s="36">
        <f t="shared" si="17"/>
        <v>15330</v>
      </c>
      <c r="AP11" s="557"/>
      <c r="AQ11" s="223">
        <f t="shared" si="37"/>
        <v>0.70458871574944404</v>
      </c>
      <c r="AR11" s="38">
        <f t="shared" si="38"/>
        <v>65505.61290322581</v>
      </c>
      <c r="AS11" s="197">
        <f t="shared" si="39"/>
        <v>-1156.7096774193415</v>
      </c>
      <c r="AT11" s="355"/>
      <c r="AU11" s="665"/>
      <c r="AV11" s="515">
        <f>IF(AT11&gt;0,AU11,AV10)</f>
        <v>0.92</v>
      </c>
      <c r="AW11" s="290">
        <f>-SUM('B5'!AI10)</f>
        <v>-155</v>
      </c>
      <c r="AX11" s="290">
        <f>-SUM(AW11-AS11)</f>
        <v>-1001.7096774193415</v>
      </c>
      <c r="AY11" s="37">
        <f t="shared" si="41"/>
        <v>-1156.7096774193415</v>
      </c>
      <c r="AZ11" s="100">
        <f>ELEC!A8</f>
        <v>0</v>
      </c>
      <c r="BA11" s="118">
        <f>'General information '!D11</f>
        <v>22</v>
      </c>
      <c r="BB11" s="394">
        <f>SUM('General information '!E11)</f>
        <v>0.64</v>
      </c>
      <c r="BC11" s="3">
        <f t="shared" si="44"/>
        <v>0</v>
      </c>
      <c r="BD11" s="102">
        <v>19222</v>
      </c>
      <c r="BE11" s="14">
        <f>(305/1185)*ELEC!Q9</f>
        <v>1506.9831223636934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2"/>
        <v>-107.71071800208816</v>
      </c>
      <c r="BK11" s="585">
        <f>GEN!AF8</f>
        <v>0.3627083333333303</v>
      </c>
    </row>
    <row r="12" spans="1:63">
      <c r="A12" s="443">
        <f>ELEC!C9</f>
        <v>44323</v>
      </c>
      <c r="B12">
        <f>'B5'!B11</f>
        <v>205</v>
      </c>
      <c r="C12" s="203">
        <f t="shared" si="18"/>
        <v>4410.8064516129034</v>
      </c>
      <c r="D12">
        <f t="shared" si="19"/>
        <v>205</v>
      </c>
      <c r="E12" s="203">
        <f t="shared" si="18"/>
        <v>4410.8064516129034</v>
      </c>
      <c r="F12">
        <f t="shared" si="20"/>
        <v>205</v>
      </c>
      <c r="G12" s="203">
        <f t="shared" si="1"/>
        <v>4410.8064516129034</v>
      </c>
      <c r="H12" s="203">
        <f t="shared" si="21"/>
        <v>205</v>
      </c>
      <c r="I12" s="203">
        <f t="shared" si="2"/>
        <v>4410.8064516129034</v>
      </c>
      <c r="J12" s="203">
        <f t="shared" si="22"/>
        <v>205</v>
      </c>
      <c r="K12" s="203">
        <f t="shared" si="3"/>
        <v>4410.8064516129034</v>
      </c>
      <c r="L12" s="203">
        <f t="shared" si="23"/>
        <v>205</v>
      </c>
      <c r="M12" s="203">
        <f t="shared" si="4"/>
        <v>4410.8064516129034</v>
      </c>
      <c r="N12" s="203">
        <f t="shared" si="24"/>
        <v>205</v>
      </c>
      <c r="O12" s="203">
        <f t="shared" si="5"/>
        <v>4410.8064516129034</v>
      </c>
      <c r="P12" s="203">
        <f t="shared" si="25"/>
        <v>205</v>
      </c>
      <c r="Q12" s="203">
        <f t="shared" si="6"/>
        <v>4410.8064516129034</v>
      </c>
      <c r="R12" s="203">
        <f t="shared" si="26"/>
        <v>205</v>
      </c>
      <c r="S12" s="203">
        <f t="shared" si="7"/>
        <v>4410.8064516129034</v>
      </c>
      <c r="T12" s="203">
        <f t="shared" si="27"/>
        <v>205</v>
      </c>
      <c r="U12" s="203">
        <f t="shared" si="8"/>
        <v>4410.8064516129034</v>
      </c>
      <c r="V12" s="203">
        <f t="shared" si="28"/>
        <v>205</v>
      </c>
      <c r="W12" s="203">
        <f t="shared" si="9"/>
        <v>4410.8064516129034</v>
      </c>
      <c r="X12" s="35">
        <f t="shared" si="10"/>
        <v>0.66129032258064502</v>
      </c>
      <c r="Y12" s="36">
        <f t="shared" si="29"/>
        <v>48518.870967741925</v>
      </c>
      <c r="Z12" s="203">
        <f>'B5'!C11</f>
        <v>212</v>
      </c>
      <c r="AA12" s="203">
        <f t="shared" si="30"/>
        <v>2120</v>
      </c>
      <c r="AB12" s="203">
        <f t="shared" si="31"/>
        <v>212</v>
      </c>
      <c r="AC12" s="203">
        <f t="shared" si="30"/>
        <v>2120</v>
      </c>
      <c r="AD12" s="203">
        <f t="shared" si="32"/>
        <v>212</v>
      </c>
      <c r="AE12" s="203">
        <f t="shared" si="11"/>
        <v>2120</v>
      </c>
      <c r="AF12" s="203">
        <f t="shared" si="33"/>
        <v>212</v>
      </c>
      <c r="AG12" s="203">
        <f t="shared" si="12"/>
        <v>2120</v>
      </c>
      <c r="AH12" s="203">
        <f t="shared" si="34"/>
        <v>212</v>
      </c>
      <c r="AI12" s="203">
        <f t="shared" si="13"/>
        <v>2120</v>
      </c>
      <c r="AJ12" s="203">
        <f t="shared" si="35"/>
        <v>212</v>
      </c>
      <c r="AK12" s="203">
        <f t="shared" si="14"/>
        <v>2120</v>
      </c>
      <c r="AL12" s="203">
        <f t="shared" si="36"/>
        <v>212</v>
      </c>
      <c r="AM12" s="203">
        <f t="shared" si="15"/>
        <v>2120</v>
      </c>
      <c r="AN12" s="35">
        <f t="shared" si="16"/>
        <v>0.75714285714285712</v>
      </c>
      <c r="AO12" s="36">
        <f t="shared" si="17"/>
        <v>14840</v>
      </c>
      <c r="AP12" s="557"/>
      <c r="AQ12" s="223">
        <f t="shared" si="37"/>
        <v>0.68149802051997332</v>
      </c>
      <c r="AR12" s="38">
        <f t="shared" si="38"/>
        <v>63358.870967741925</v>
      </c>
      <c r="AS12" s="197">
        <f t="shared" si="39"/>
        <v>-2146.7419354838858</v>
      </c>
      <c r="AT12" s="271"/>
      <c r="AU12" s="665"/>
      <c r="AV12" s="515">
        <f t="shared" si="43"/>
        <v>0.92</v>
      </c>
      <c r="AW12" s="290">
        <f>-SUM('B5'!AI11)</f>
        <v>-166</v>
      </c>
      <c r="AX12" s="290">
        <f t="shared" si="40"/>
        <v>-1980.7419354838858</v>
      </c>
      <c r="AY12" s="37">
        <f t="shared" si="41"/>
        <v>-2146.7419354838858</v>
      </c>
      <c r="AZ12" s="100">
        <f>ELEC!A9</f>
        <v>0</v>
      </c>
      <c r="BA12" s="118">
        <f>'General information '!D12</f>
        <v>23</v>
      </c>
      <c r="BB12" s="394">
        <f>SUM('General information '!E12)</f>
        <v>0.65</v>
      </c>
      <c r="BC12" s="3">
        <f t="shared" si="44"/>
        <v>0</v>
      </c>
      <c r="BD12" s="102">
        <v>19222</v>
      </c>
      <c r="BE12" s="14">
        <f>(305/1185)*ELEC!Q10</f>
        <v>1417.9282700417298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2"/>
        <v>-535.3356582387828</v>
      </c>
      <c r="BK12" s="585">
        <f>GEN!AF9</f>
        <v>0.43051470588258839</v>
      </c>
    </row>
    <row r="13" spans="1:63">
      <c r="A13" s="443">
        <f>ELEC!C10</f>
        <v>44324</v>
      </c>
      <c r="B13">
        <f>'B5'!B12</f>
        <v>198</v>
      </c>
      <c r="C13" s="203">
        <f t="shared" si="18"/>
        <v>4260.1935483870966</v>
      </c>
      <c r="D13">
        <f t="shared" si="19"/>
        <v>198</v>
      </c>
      <c r="E13" s="203">
        <f t="shared" si="18"/>
        <v>4260.1935483870966</v>
      </c>
      <c r="F13">
        <f t="shared" si="20"/>
        <v>198</v>
      </c>
      <c r="G13" s="203">
        <f t="shared" si="1"/>
        <v>4260.1935483870966</v>
      </c>
      <c r="H13" s="203">
        <f t="shared" si="21"/>
        <v>198</v>
      </c>
      <c r="I13" s="203">
        <f t="shared" si="2"/>
        <v>4260.1935483870966</v>
      </c>
      <c r="J13" s="203">
        <f t="shared" si="22"/>
        <v>198</v>
      </c>
      <c r="K13" s="203">
        <f t="shared" si="3"/>
        <v>4260.1935483870966</v>
      </c>
      <c r="L13" s="203">
        <f t="shared" si="23"/>
        <v>198</v>
      </c>
      <c r="M13" s="203">
        <f t="shared" si="4"/>
        <v>4260.1935483870966</v>
      </c>
      <c r="N13" s="203">
        <f t="shared" si="24"/>
        <v>198</v>
      </c>
      <c r="O13" s="203">
        <f t="shared" si="5"/>
        <v>4260.1935483870966</v>
      </c>
      <c r="P13" s="203">
        <f t="shared" si="25"/>
        <v>198</v>
      </c>
      <c r="Q13" s="203">
        <f t="shared" si="6"/>
        <v>4260.1935483870966</v>
      </c>
      <c r="R13" s="203">
        <f t="shared" si="26"/>
        <v>198</v>
      </c>
      <c r="S13" s="203">
        <f t="shared" si="7"/>
        <v>4260.1935483870966</v>
      </c>
      <c r="T13" s="203">
        <f t="shared" si="27"/>
        <v>198</v>
      </c>
      <c r="U13" s="203">
        <f t="shared" si="8"/>
        <v>4260.1935483870966</v>
      </c>
      <c r="V13" s="203">
        <f t="shared" si="28"/>
        <v>198</v>
      </c>
      <c r="W13" s="203">
        <f t="shared" si="9"/>
        <v>4260.1935483870966</v>
      </c>
      <c r="X13" s="35">
        <f t="shared" si="10"/>
        <v>0.63870967741935503</v>
      </c>
      <c r="Y13" s="36">
        <f t="shared" si="29"/>
        <v>46862.129032258075</v>
      </c>
      <c r="Z13" s="203">
        <f>'B5'!C12</f>
        <v>205</v>
      </c>
      <c r="AA13" s="203">
        <f t="shared" si="30"/>
        <v>2050</v>
      </c>
      <c r="AB13" s="203">
        <f t="shared" si="31"/>
        <v>205</v>
      </c>
      <c r="AC13" s="203">
        <f t="shared" si="30"/>
        <v>2050</v>
      </c>
      <c r="AD13" s="203">
        <f t="shared" si="32"/>
        <v>205</v>
      </c>
      <c r="AE13" s="203">
        <f t="shared" si="11"/>
        <v>2050</v>
      </c>
      <c r="AF13" s="203">
        <f t="shared" si="33"/>
        <v>205</v>
      </c>
      <c r="AG13" s="203">
        <f t="shared" si="12"/>
        <v>2050</v>
      </c>
      <c r="AH13" s="203">
        <f t="shared" si="34"/>
        <v>205</v>
      </c>
      <c r="AI13" s="203">
        <f t="shared" si="13"/>
        <v>2050</v>
      </c>
      <c r="AJ13" s="203">
        <f t="shared" si="35"/>
        <v>205</v>
      </c>
      <c r="AK13" s="203">
        <f t="shared" si="14"/>
        <v>2050</v>
      </c>
      <c r="AL13" s="203">
        <f t="shared" si="36"/>
        <v>205</v>
      </c>
      <c r="AM13" s="203">
        <f t="shared" si="15"/>
        <v>2050</v>
      </c>
      <c r="AN13" s="35">
        <f t="shared" si="16"/>
        <v>0.7321428571428571</v>
      </c>
      <c r="AO13" s="36">
        <f t="shared" si="17"/>
        <v>14350</v>
      </c>
      <c r="AP13" s="557"/>
      <c r="AQ13" s="223">
        <f t="shared" si="37"/>
        <v>0.65840732529050316</v>
      </c>
      <c r="AR13" s="38">
        <f t="shared" si="38"/>
        <v>61212.129032258075</v>
      </c>
      <c r="AS13" s="197">
        <f t="shared" si="39"/>
        <v>-2146.7419354838494</v>
      </c>
      <c r="AT13" s="271"/>
      <c r="AU13" s="665"/>
      <c r="AV13" s="515">
        <f t="shared" si="43"/>
        <v>0.92</v>
      </c>
      <c r="AW13" s="290">
        <f>-SUM('B5'!AI12)</f>
        <v>-156</v>
      </c>
      <c r="AX13" s="290">
        <f t="shared" si="40"/>
        <v>-1990.7419354838494</v>
      </c>
      <c r="AY13" s="37">
        <f t="shared" si="41"/>
        <v>-2146.7419354838494</v>
      </c>
      <c r="AZ13" s="100">
        <f>ELEC!A10</f>
        <v>0</v>
      </c>
      <c r="BA13" s="118">
        <f>'General information '!D13</f>
        <v>24.5</v>
      </c>
      <c r="BB13" s="394">
        <f>SUM('General information '!E13)</f>
        <v>0.52</v>
      </c>
      <c r="BC13" s="3">
        <f t="shared" si="44"/>
        <v>0</v>
      </c>
      <c r="BD13" s="102">
        <v>19222</v>
      </c>
      <c r="BE13" s="14">
        <f>(305/1185)*ELEC!Q11</f>
        <v>1622.2911392404765</v>
      </c>
      <c r="BF13" s="14"/>
      <c r="BG13" s="14" t="e">
        <f>#REF!-BE13</f>
        <v>#REF!</v>
      </c>
      <c r="BH13" s="11"/>
      <c r="BI13">
        <v>5</v>
      </c>
      <c r="BJ13">
        <f t="shared" si="42"/>
        <v>-398.14838709676985</v>
      </c>
      <c r="BK13" s="585">
        <f>GEN!AF10</f>
        <v>0.40036337209287515</v>
      </c>
    </row>
    <row r="14" spans="1:63">
      <c r="A14" s="443">
        <f>ELEC!C11</f>
        <v>44325</v>
      </c>
      <c r="B14">
        <f>'B5'!B13</f>
        <v>192</v>
      </c>
      <c r="C14" s="203">
        <f t="shared" si="18"/>
        <v>4131.0967741935483</v>
      </c>
      <c r="D14">
        <f t="shared" si="19"/>
        <v>192</v>
      </c>
      <c r="E14" s="203">
        <f t="shared" si="18"/>
        <v>4131.0967741935483</v>
      </c>
      <c r="F14">
        <f t="shared" si="20"/>
        <v>192</v>
      </c>
      <c r="G14" s="203">
        <f t="shared" si="1"/>
        <v>4131.0967741935483</v>
      </c>
      <c r="H14" s="203">
        <f t="shared" si="21"/>
        <v>192</v>
      </c>
      <c r="I14" s="203">
        <f t="shared" si="2"/>
        <v>4131.0967741935483</v>
      </c>
      <c r="J14" s="203">
        <f t="shared" si="22"/>
        <v>192</v>
      </c>
      <c r="K14" s="203">
        <f t="shared" si="3"/>
        <v>4131.0967741935483</v>
      </c>
      <c r="L14" s="203">
        <f t="shared" si="23"/>
        <v>192</v>
      </c>
      <c r="M14" s="203">
        <f t="shared" si="4"/>
        <v>4131.0967741935483</v>
      </c>
      <c r="N14" s="203">
        <f t="shared" si="24"/>
        <v>192</v>
      </c>
      <c r="O14" s="203">
        <f t="shared" si="5"/>
        <v>4131.0967741935483</v>
      </c>
      <c r="P14" s="203">
        <f t="shared" si="25"/>
        <v>192</v>
      </c>
      <c r="Q14" s="203">
        <f t="shared" si="6"/>
        <v>4131.0967741935483</v>
      </c>
      <c r="R14" s="203">
        <f t="shared" si="26"/>
        <v>192</v>
      </c>
      <c r="S14" s="203">
        <f t="shared" si="7"/>
        <v>4131.0967741935483</v>
      </c>
      <c r="T14" s="203">
        <f t="shared" si="27"/>
        <v>192</v>
      </c>
      <c r="U14" s="203">
        <f t="shared" si="8"/>
        <v>4131.0967741935483</v>
      </c>
      <c r="V14" s="203">
        <f t="shared" si="28"/>
        <v>192</v>
      </c>
      <c r="W14" s="203">
        <f t="shared" si="9"/>
        <v>4131.0967741935483</v>
      </c>
      <c r="X14" s="35">
        <f t="shared" si="10"/>
        <v>0.61935483870967734</v>
      </c>
      <c r="Y14" s="36">
        <f t="shared" si="29"/>
        <v>45442.064516129023</v>
      </c>
      <c r="Z14" s="203">
        <f>'B5'!C13</f>
        <v>198</v>
      </c>
      <c r="AA14" s="203">
        <f t="shared" si="30"/>
        <v>1980</v>
      </c>
      <c r="AB14" s="203">
        <f t="shared" si="31"/>
        <v>198</v>
      </c>
      <c r="AC14" s="203">
        <f t="shared" si="30"/>
        <v>1980</v>
      </c>
      <c r="AD14" s="203">
        <f t="shared" si="32"/>
        <v>198</v>
      </c>
      <c r="AE14" s="203">
        <f t="shared" si="11"/>
        <v>1980</v>
      </c>
      <c r="AF14" s="203">
        <f t="shared" si="33"/>
        <v>198</v>
      </c>
      <c r="AG14" s="203">
        <f t="shared" si="12"/>
        <v>1980</v>
      </c>
      <c r="AH14" s="203">
        <f t="shared" si="34"/>
        <v>198</v>
      </c>
      <c r="AI14" s="203">
        <f t="shared" si="13"/>
        <v>1980</v>
      </c>
      <c r="AJ14" s="203">
        <f t="shared" si="35"/>
        <v>198</v>
      </c>
      <c r="AK14" s="203">
        <f t="shared" si="14"/>
        <v>1980</v>
      </c>
      <c r="AL14" s="203">
        <f t="shared" si="36"/>
        <v>198</v>
      </c>
      <c r="AM14" s="203">
        <f t="shared" si="15"/>
        <v>1980</v>
      </c>
      <c r="AN14" s="35">
        <f t="shared" si="16"/>
        <v>0.70714285714285718</v>
      </c>
      <c r="AO14" s="36">
        <f t="shared" si="17"/>
        <v>13860</v>
      </c>
      <c r="AQ14" s="223">
        <f t="shared" si="37"/>
        <v>0.63786236975507182</v>
      </c>
      <c r="AR14" s="38">
        <f t="shared" si="38"/>
        <v>59302.064516129023</v>
      </c>
      <c r="AS14" s="197">
        <f t="shared" si="39"/>
        <v>-1910.0645161290522</v>
      </c>
      <c r="AT14" s="271"/>
      <c r="AU14" s="665"/>
      <c r="AV14" s="515">
        <f t="shared" si="43"/>
        <v>0.92</v>
      </c>
      <c r="AW14" s="290">
        <f>-SUM('B5'!AI13)</f>
        <v>-112</v>
      </c>
      <c r="AX14" s="290">
        <f t="shared" si="40"/>
        <v>-1798.0645161290522</v>
      </c>
      <c r="AY14" s="37">
        <f t="shared" si="41"/>
        <v>-1910.0645161290522</v>
      </c>
      <c r="AZ14" s="100">
        <f>ELEC!A11</f>
        <v>0</v>
      </c>
      <c r="BA14" s="118">
        <f>'General information '!D14</f>
        <v>24.5</v>
      </c>
      <c r="BB14" s="394">
        <f>SUM('General information '!E14)</f>
        <v>0.55000000000000004</v>
      </c>
      <c r="BC14" s="3">
        <f t="shared" si="44"/>
        <v>0</v>
      </c>
      <c r="BD14" s="102">
        <v>19222</v>
      </c>
      <c r="BE14" s="14">
        <f>(305/1185)*ELEC!Q12</f>
        <v>1631.2995780590045</v>
      </c>
      <c r="BF14" s="14"/>
      <c r="BG14" s="14" t="e">
        <f>#REF!-BE14</f>
        <v>#REF!</v>
      </c>
      <c r="BH14" s="11"/>
      <c r="BI14">
        <v>3</v>
      </c>
      <c r="BJ14">
        <f t="shared" si="42"/>
        <v>-599.35483870968403</v>
      </c>
      <c r="BK14" s="585">
        <f>GEN!AF11</f>
        <v>0.44262640449439195</v>
      </c>
    </row>
    <row r="15" spans="1:63" ht="13.5" customHeight="1">
      <c r="A15" s="443">
        <f>ELEC!C12</f>
        <v>44326</v>
      </c>
      <c r="B15">
        <f>'B5'!B14</f>
        <v>184</v>
      </c>
      <c r="C15" s="203">
        <f t="shared" si="18"/>
        <v>3958.9677419354839</v>
      </c>
      <c r="D15">
        <f t="shared" si="19"/>
        <v>184</v>
      </c>
      <c r="E15" s="203">
        <f t="shared" si="18"/>
        <v>3958.9677419354839</v>
      </c>
      <c r="F15">
        <f t="shared" si="20"/>
        <v>184</v>
      </c>
      <c r="G15" s="203">
        <f t="shared" si="1"/>
        <v>3958.9677419354839</v>
      </c>
      <c r="H15" s="203">
        <f t="shared" si="21"/>
        <v>184</v>
      </c>
      <c r="I15" s="203">
        <f t="shared" si="2"/>
        <v>3958.9677419354839</v>
      </c>
      <c r="J15" s="203">
        <f t="shared" si="22"/>
        <v>184</v>
      </c>
      <c r="K15" s="203">
        <f t="shared" si="3"/>
        <v>3958.9677419354839</v>
      </c>
      <c r="L15" s="203">
        <f t="shared" si="23"/>
        <v>184</v>
      </c>
      <c r="M15" s="203">
        <f t="shared" si="4"/>
        <v>3958.9677419354839</v>
      </c>
      <c r="N15" s="203">
        <f t="shared" si="24"/>
        <v>184</v>
      </c>
      <c r="O15" s="203">
        <f t="shared" si="5"/>
        <v>3958.9677419354839</v>
      </c>
      <c r="P15" s="203">
        <f t="shared" si="25"/>
        <v>184</v>
      </c>
      <c r="Q15" s="203">
        <f t="shared" si="6"/>
        <v>3958.9677419354839</v>
      </c>
      <c r="R15" s="203">
        <f t="shared" si="26"/>
        <v>184</v>
      </c>
      <c r="S15" s="203">
        <f t="shared" si="7"/>
        <v>3958.9677419354839</v>
      </c>
      <c r="T15" s="203">
        <f t="shared" si="27"/>
        <v>184</v>
      </c>
      <c r="U15" s="203">
        <f t="shared" si="8"/>
        <v>3958.9677419354839</v>
      </c>
      <c r="V15" s="203">
        <f t="shared" si="28"/>
        <v>184</v>
      </c>
      <c r="W15" s="203">
        <f t="shared" si="9"/>
        <v>3958.9677419354839</v>
      </c>
      <c r="X15" s="35">
        <f t="shared" si="10"/>
        <v>0.59354838709677427</v>
      </c>
      <c r="Y15" s="36">
        <f t="shared" si="29"/>
        <v>43548.645161290326</v>
      </c>
      <c r="Z15" s="203">
        <f>'B5'!C14</f>
        <v>192</v>
      </c>
      <c r="AA15" s="203">
        <f t="shared" si="30"/>
        <v>1920</v>
      </c>
      <c r="AB15" s="203">
        <f t="shared" si="31"/>
        <v>192</v>
      </c>
      <c r="AC15" s="203">
        <f t="shared" si="30"/>
        <v>1920</v>
      </c>
      <c r="AD15" s="203">
        <f t="shared" si="32"/>
        <v>192</v>
      </c>
      <c r="AE15" s="203">
        <f t="shared" si="11"/>
        <v>1920</v>
      </c>
      <c r="AF15" s="203">
        <f t="shared" si="33"/>
        <v>192</v>
      </c>
      <c r="AG15" s="203">
        <f t="shared" si="12"/>
        <v>1920</v>
      </c>
      <c r="AH15" s="203">
        <f t="shared" si="34"/>
        <v>192</v>
      </c>
      <c r="AI15" s="203">
        <f t="shared" si="13"/>
        <v>1920</v>
      </c>
      <c r="AJ15" s="203">
        <f t="shared" si="35"/>
        <v>192</v>
      </c>
      <c r="AK15" s="203">
        <f t="shared" si="14"/>
        <v>1920</v>
      </c>
      <c r="AL15" s="203">
        <f t="shared" si="36"/>
        <v>192</v>
      </c>
      <c r="AM15" s="203">
        <f t="shared" si="15"/>
        <v>1920</v>
      </c>
      <c r="AN15" s="35">
        <f t="shared" si="16"/>
        <v>0.68571428571428572</v>
      </c>
      <c r="AO15" s="36">
        <f t="shared" si="17"/>
        <v>13440</v>
      </c>
      <c r="AQ15" s="223">
        <f t="shared" si="37"/>
        <v>0.61297886588458994</v>
      </c>
      <c r="AR15" s="38">
        <f t="shared" si="38"/>
        <v>56988.645161290326</v>
      </c>
      <c r="AS15" s="197">
        <f t="shared" si="39"/>
        <v>-2313.4193548386975</v>
      </c>
      <c r="AT15" s="271"/>
      <c r="AU15" s="665"/>
      <c r="AV15" s="515">
        <f>IF(AT15&gt;0,AU15,AV14)</f>
        <v>0.92</v>
      </c>
      <c r="AW15" s="290">
        <f>-SUM('B5'!AI14)</f>
        <v>-82</v>
      </c>
      <c r="AX15" s="290">
        <f>-SUM(AW15-AS15)</f>
        <v>-2231.4193548386975</v>
      </c>
      <c r="AY15" s="37">
        <f t="shared" si="41"/>
        <v>-2313.4193548386975</v>
      </c>
      <c r="AZ15" s="100">
        <f>ELEC!A12</f>
        <v>0</v>
      </c>
      <c r="BA15" s="118">
        <f>'General information '!D15</f>
        <v>22</v>
      </c>
      <c r="BB15" s="394">
        <f>SUM('General information '!E15)</f>
        <v>0.53</v>
      </c>
      <c r="BC15" s="3">
        <f t="shared" si="44"/>
        <v>0</v>
      </c>
      <c r="BD15" s="102">
        <v>19222</v>
      </c>
      <c r="BE15" s="14">
        <f>(305/1185)*ELEC!Q13</f>
        <v>1478.41350210939</v>
      </c>
      <c r="BF15" s="14"/>
      <c r="BG15" s="14" t="e">
        <f>#REF!-BE15</f>
        <v>#REF!</v>
      </c>
      <c r="BH15" s="11"/>
      <c r="BI15">
        <v>4</v>
      </c>
      <c r="BJ15">
        <f t="shared" si="42"/>
        <v>-557.85483870967437</v>
      </c>
      <c r="BK15" s="585">
        <f>GEN!AF12</f>
        <v>0.44013888888887065</v>
      </c>
    </row>
    <row r="16" spans="1:63">
      <c r="A16" s="443">
        <f>ELEC!C13</f>
        <v>44327</v>
      </c>
      <c r="B16">
        <f>'B5'!B15</f>
        <v>234</v>
      </c>
      <c r="C16" s="203">
        <f t="shared" si="18"/>
        <v>5034.7741935483873</v>
      </c>
      <c r="D16">
        <f t="shared" si="19"/>
        <v>234</v>
      </c>
      <c r="E16" s="203">
        <f t="shared" si="18"/>
        <v>5034.7741935483873</v>
      </c>
      <c r="F16">
        <f t="shared" si="20"/>
        <v>234</v>
      </c>
      <c r="G16" s="203">
        <f t="shared" si="1"/>
        <v>5034.7741935483873</v>
      </c>
      <c r="H16" s="203">
        <f t="shared" si="21"/>
        <v>234</v>
      </c>
      <c r="I16" s="203">
        <f t="shared" si="2"/>
        <v>5034.7741935483873</v>
      </c>
      <c r="J16" s="203">
        <f t="shared" si="22"/>
        <v>234</v>
      </c>
      <c r="K16" s="203">
        <f t="shared" si="3"/>
        <v>5034.7741935483873</v>
      </c>
      <c r="L16" s="203">
        <f t="shared" si="23"/>
        <v>234</v>
      </c>
      <c r="M16" s="203">
        <f t="shared" si="4"/>
        <v>5034.7741935483873</v>
      </c>
      <c r="N16" s="203">
        <f t="shared" si="24"/>
        <v>234</v>
      </c>
      <c r="O16" s="203">
        <f t="shared" si="5"/>
        <v>5034.7741935483873</v>
      </c>
      <c r="P16" s="203">
        <f t="shared" si="25"/>
        <v>234</v>
      </c>
      <c r="Q16" s="203">
        <f t="shared" si="6"/>
        <v>5034.7741935483873</v>
      </c>
      <c r="R16" s="203">
        <f t="shared" si="26"/>
        <v>234</v>
      </c>
      <c r="S16" s="203">
        <f t="shared" si="7"/>
        <v>5034.7741935483873</v>
      </c>
      <c r="T16" s="203">
        <f t="shared" si="27"/>
        <v>234</v>
      </c>
      <c r="U16" s="203">
        <f t="shared" si="8"/>
        <v>5034.7741935483873</v>
      </c>
      <c r="V16" s="203">
        <f t="shared" si="28"/>
        <v>234</v>
      </c>
      <c r="W16" s="203">
        <f t="shared" si="9"/>
        <v>5034.7741935483873</v>
      </c>
      <c r="X16" s="35">
        <f t="shared" si="10"/>
        <v>0.75483870967741939</v>
      </c>
      <c r="Y16" s="36">
        <f t="shared" si="29"/>
        <v>55382.516129032258</v>
      </c>
      <c r="Z16" s="203">
        <f>'B5'!C15</f>
        <v>241</v>
      </c>
      <c r="AA16" s="203">
        <f t="shared" si="30"/>
        <v>2410</v>
      </c>
      <c r="AB16" s="203">
        <f t="shared" si="31"/>
        <v>241</v>
      </c>
      <c r="AC16" s="203">
        <f t="shared" si="30"/>
        <v>2410</v>
      </c>
      <c r="AD16" s="203">
        <f t="shared" si="32"/>
        <v>241</v>
      </c>
      <c r="AE16" s="203">
        <f t="shared" si="11"/>
        <v>2410</v>
      </c>
      <c r="AF16" s="203">
        <f t="shared" si="33"/>
        <v>241</v>
      </c>
      <c r="AG16" s="203">
        <f t="shared" si="12"/>
        <v>2410</v>
      </c>
      <c r="AH16" s="203">
        <f t="shared" si="34"/>
        <v>241</v>
      </c>
      <c r="AI16" s="203">
        <f t="shared" si="13"/>
        <v>2410</v>
      </c>
      <c r="AJ16" s="203">
        <f t="shared" si="35"/>
        <v>241</v>
      </c>
      <c r="AK16" s="203">
        <f t="shared" si="14"/>
        <v>2410</v>
      </c>
      <c r="AL16" s="203">
        <f t="shared" si="36"/>
        <v>241</v>
      </c>
      <c r="AM16" s="203">
        <f t="shared" si="15"/>
        <v>2410</v>
      </c>
      <c r="AN16" s="35">
        <f t="shared" si="16"/>
        <v>0.86071428571428577</v>
      </c>
      <c r="AO16" s="36">
        <f t="shared" si="17"/>
        <v>16870</v>
      </c>
      <c r="AQ16" s="223">
        <f t="shared" si="37"/>
        <v>0.77715947218492265</v>
      </c>
      <c r="AR16" s="38">
        <f t="shared" si="38"/>
        <v>72252.516129032258</v>
      </c>
      <c r="AS16" s="197">
        <f t="shared" si="39"/>
        <v>718.87096774193196</v>
      </c>
      <c r="AT16" s="355">
        <v>14545</v>
      </c>
      <c r="AU16" s="666">
        <v>0.94</v>
      </c>
      <c r="AV16" s="515">
        <f>IF(AT16&gt;0,AU16,AV15)</f>
        <v>0.94</v>
      </c>
      <c r="AW16" s="290">
        <f>-SUM('B5'!AI15)</f>
        <v>-137</v>
      </c>
      <c r="AX16" s="290">
        <f>-SUM(AW16-AS16)</f>
        <v>855.87096774193196</v>
      </c>
      <c r="AY16" s="37">
        <f t="shared" si="41"/>
        <v>718.87096774193196</v>
      </c>
      <c r="AZ16" s="100">
        <f>ELEC!A13</f>
        <v>0</v>
      </c>
      <c r="BA16" s="118">
        <f>'General information '!D16</f>
        <v>21</v>
      </c>
      <c r="BB16" s="394">
        <f>SUM('General information '!E16)</f>
        <v>0.74</v>
      </c>
      <c r="BC16" s="3">
        <f t="shared" si="44"/>
        <v>1</v>
      </c>
      <c r="BD16" s="102">
        <v>19222</v>
      </c>
      <c r="BE16" s="14">
        <f>(305/1185)*ELEC!Q14</f>
        <v>1870.9240506329716</v>
      </c>
      <c r="BF16" s="14"/>
      <c r="BG16" s="14" t="e">
        <f>#REF!-BE16</f>
        <v>#REF!</v>
      </c>
      <c r="BH16" s="11"/>
      <c r="BI16">
        <v>3</v>
      </c>
      <c r="BJ16">
        <f t="shared" si="42"/>
        <v>285.29032258064399</v>
      </c>
      <c r="BK16" s="585">
        <f>GEN!AF13</f>
        <v>0.3589999999999236</v>
      </c>
    </row>
    <row r="17" spans="1:64">
      <c r="A17" s="443">
        <f>ELEC!C14</f>
        <v>44328</v>
      </c>
      <c r="B17">
        <f>'B5'!B16</f>
        <v>225</v>
      </c>
      <c r="C17" s="203">
        <f t="shared" si="18"/>
        <v>4841.1290322580644</v>
      </c>
      <c r="D17">
        <f t="shared" si="19"/>
        <v>225</v>
      </c>
      <c r="E17" s="203">
        <f t="shared" si="18"/>
        <v>4841.1290322580644</v>
      </c>
      <c r="F17">
        <f t="shared" si="20"/>
        <v>225</v>
      </c>
      <c r="G17" s="203">
        <f t="shared" si="1"/>
        <v>4841.1290322580644</v>
      </c>
      <c r="H17" s="203">
        <f t="shared" si="21"/>
        <v>225</v>
      </c>
      <c r="I17" s="203">
        <f t="shared" si="2"/>
        <v>4841.1290322580644</v>
      </c>
      <c r="J17" s="203">
        <f t="shared" si="22"/>
        <v>225</v>
      </c>
      <c r="K17" s="203">
        <f t="shared" si="3"/>
        <v>4841.1290322580644</v>
      </c>
      <c r="L17" s="203">
        <f t="shared" si="23"/>
        <v>225</v>
      </c>
      <c r="M17" s="203">
        <f t="shared" si="4"/>
        <v>4841.1290322580644</v>
      </c>
      <c r="N17" s="203">
        <f t="shared" si="24"/>
        <v>225</v>
      </c>
      <c r="O17" s="203">
        <f t="shared" si="5"/>
        <v>4841.1290322580644</v>
      </c>
      <c r="P17" s="203">
        <f t="shared" si="25"/>
        <v>225</v>
      </c>
      <c r="Q17" s="203">
        <f t="shared" si="6"/>
        <v>4841.1290322580644</v>
      </c>
      <c r="R17" s="203">
        <f t="shared" si="26"/>
        <v>225</v>
      </c>
      <c r="S17" s="203">
        <f t="shared" si="7"/>
        <v>4841.1290322580644</v>
      </c>
      <c r="T17" s="203">
        <f t="shared" si="27"/>
        <v>225</v>
      </c>
      <c r="U17" s="203">
        <f t="shared" si="8"/>
        <v>4841.1290322580644</v>
      </c>
      <c r="V17" s="203">
        <f t="shared" si="28"/>
        <v>225</v>
      </c>
      <c r="W17" s="203">
        <f t="shared" si="9"/>
        <v>4841.1290322580644</v>
      </c>
      <c r="X17" s="35">
        <f t="shared" si="10"/>
        <v>0.72580645161290303</v>
      </c>
      <c r="Y17" s="36">
        <f t="shared" si="29"/>
        <v>53252.419354838697</v>
      </c>
      <c r="Z17" s="203">
        <f>'B5'!C16</f>
        <v>232</v>
      </c>
      <c r="AA17" s="203">
        <f t="shared" si="30"/>
        <v>2320</v>
      </c>
      <c r="AB17" s="203">
        <f t="shared" si="31"/>
        <v>232</v>
      </c>
      <c r="AC17" s="203">
        <f t="shared" si="30"/>
        <v>2320</v>
      </c>
      <c r="AD17" s="203">
        <f t="shared" si="32"/>
        <v>232</v>
      </c>
      <c r="AE17" s="203">
        <f t="shared" si="11"/>
        <v>2320</v>
      </c>
      <c r="AF17" s="203">
        <f t="shared" si="33"/>
        <v>232</v>
      </c>
      <c r="AG17" s="203">
        <f t="shared" si="12"/>
        <v>2320</v>
      </c>
      <c r="AH17" s="203">
        <f t="shared" si="34"/>
        <v>232</v>
      </c>
      <c r="AI17" s="203">
        <f t="shared" si="13"/>
        <v>2320</v>
      </c>
      <c r="AJ17" s="203">
        <f t="shared" si="35"/>
        <v>232</v>
      </c>
      <c r="AK17" s="203">
        <f t="shared" si="14"/>
        <v>2320</v>
      </c>
      <c r="AL17" s="203">
        <f t="shared" si="36"/>
        <v>232</v>
      </c>
      <c r="AM17" s="203">
        <f t="shared" si="15"/>
        <v>2320</v>
      </c>
      <c r="AN17" s="35">
        <f t="shared" si="16"/>
        <v>0.82857142857142863</v>
      </c>
      <c r="AO17" s="36">
        <f>SUM(AA17+AC17+AE17+AG17+AI17+AK17+AM17)</f>
        <v>16240</v>
      </c>
      <c r="AQ17" s="223">
        <f t="shared" si="37"/>
        <v>0.74747143546131756</v>
      </c>
      <c r="AR17" s="38">
        <f t="shared" si="38"/>
        <v>69492.419354838697</v>
      </c>
      <c r="AS17" s="197">
        <f t="shared" si="39"/>
        <v>-2760.0967741935601</v>
      </c>
      <c r="AT17" s="355"/>
      <c r="AU17" s="665"/>
      <c r="AV17" s="515">
        <f t="shared" si="43"/>
        <v>0.94</v>
      </c>
      <c r="AW17" s="290">
        <f>-SUM('B5'!AI16)</f>
        <v>-154</v>
      </c>
      <c r="AX17" s="290">
        <f t="shared" si="40"/>
        <v>-2606.0967741935601</v>
      </c>
      <c r="AY17" s="37">
        <f t="shared" si="41"/>
        <v>-2760.0967741935601</v>
      </c>
      <c r="AZ17" s="100">
        <f>ELEC!A14</f>
        <v>0</v>
      </c>
      <c r="BA17" s="118">
        <f>'General information '!D17</f>
        <v>22</v>
      </c>
      <c r="BB17" s="394">
        <f>SUM('General information '!E17)</f>
        <v>0.68</v>
      </c>
      <c r="BC17" s="3">
        <f t="shared" si="44"/>
        <v>0</v>
      </c>
      <c r="BD17" s="102">
        <v>19222</v>
      </c>
      <c r="BE17" s="14">
        <f>(305/1185)*ELEC!Q15</f>
        <v>1725.7594936713356</v>
      </c>
      <c r="BF17" s="14"/>
      <c r="BG17" s="14" t="e">
        <f>#REF!-BE17</f>
        <v>#REF!</v>
      </c>
      <c r="BH17" s="11"/>
    </row>
    <row r="18" spans="1:64">
      <c r="A18" s="443">
        <f>ELEC!C15</f>
        <v>44329</v>
      </c>
      <c r="B18">
        <f>'B5'!B17</f>
        <v>218</v>
      </c>
      <c r="C18" s="203">
        <f t="shared" si="18"/>
        <v>4690.5161290322576</v>
      </c>
      <c r="D18">
        <f t="shared" si="19"/>
        <v>218</v>
      </c>
      <c r="E18" s="203">
        <f t="shared" si="18"/>
        <v>4690.5161290322576</v>
      </c>
      <c r="F18">
        <f t="shared" si="20"/>
        <v>218</v>
      </c>
      <c r="G18" s="203">
        <f t="shared" si="1"/>
        <v>4690.5161290322576</v>
      </c>
      <c r="H18" s="203">
        <f t="shared" si="21"/>
        <v>218</v>
      </c>
      <c r="I18" s="203">
        <f t="shared" si="2"/>
        <v>4690.5161290322576</v>
      </c>
      <c r="J18" s="203">
        <f t="shared" si="22"/>
        <v>218</v>
      </c>
      <c r="K18" s="203">
        <f t="shared" si="3"/>
        <v>4690.5161290322576</v>
      </c>
      <c r="L18" s="203">
        <f t="shared" si="23"/>
        <v>218</v>
      </c>
      <c r="M18" s="203">
        <f t="shared" si="4"/>
        <v>4690.5161290322576</v>
      </c>
      <c r="N18" s="203">
        <f t="shared" si="24"/>
        <v>218</v>
      </c>
      <c r="O18" s="203">
        <f t="shared" si="5"/>
        <v>4690.5161290322576</v>
      </c>
      <c r="P18" s="203">
        <f t="shared" si="25"/>
        <v>218</v>
      </c>
      <c r="Q18" s="203">
        <f t="shared" si="6"/>
        <v>4690.5161290322576</v>
      </c>
      <c r="R18" s="203">
        <f t="shared" si="26"/>
        <v>218</v>
      </c>
      <c r="S18" s="203">
        <f t="shared" si="7"/>
        <v>4690.5161290322576</v>
      </c>
      <c r="T18" s="203">
        <f t="shared" si="27"/>
        <v>218</v>
      </c>
      <c r="U18" s="203">
        <f t="shared" si="8"/>
        <v>4690.5161290322576</v>
      </c>
      <c r="V18" s="203">
        <f t="shared" si="28"/>
        <v>218</v>
      </c>
      <c r="W18" s="203">
        <f t="shared" si="9"/>
        <v>4690.5161290322576</v>
      </c>
      <c r="X18" s="35">
        <f t="shared" si="10"/>
        <v>0.70322580645161281</v>
      </c>
      <c r="Y18" s="36">
        <f t="shared" si="29"/>
        <v>51595.677419354834</v>
      </c>
      <c r="Z18" s="203">
        <f>'B5'!C17</f>
        <v>224</v>
      </c>
      <c r="AA18" s="203">
        <f t="shared" si="30"/>
        <v>2240</v>
      </c>
      <c r="AB18" s="203">
        <f t="shared" si="31"/>
        <v>224</v>
      </c>
      <c r="AC18" s="203">
        <f t="shared" si="30"/>
        <v>2240</v>
      </c>
      <c r="AD18" s="203">
        <f t="shared" si="32"/>
        <v>224</v>
      </c>
      <c r="AE18" s="203">
        <f t="shared" si="11"/>
        <v>2240</v>
      </c>
      <c r="AF18" s="203">
        <f t="shared" si="33"/>
        <v>224</v>
      </c>
      <c r="AG18" s="203">
        <f t="shared" si="12"/>
        <v>2240</v>
      </c>
      <c r="AH18" s="203">
        <f t="shared" si="34"/>
        <v>224</v>
      </c>
      <c r="AI18" s="203">
        <f t="shared" si="13"/>
        <v>2240</v>
      </c>
      <c r="AJ18" s="203">
        <f t="shared" si="35"/>
        <v>224</v>
      </c>
      <c r="AK18" s="203">
        <f t="shared" si="14"/>
        <v>2240</v>
      </c>
      <c r="AL18" s="203">
        <f t="shared" si="36"/>
        <v>224</v>
      </c>
      <c r="AM18" s="203">
        <f t="shared" si="15"/>
        <v>2240</v>
      </c>
      <c r="AN18" s="35">
        <f t="shared" si="16"/>
        <v>0.8</v>
      </c>
      <c r="AO18" s="36">
        <f t="shared" si="17"/>
        <v>15680</v>
      </c>
      <c r="AQ18" s="223">
        <f t="shared" si="37"/>
        <v>0.7236278091788193</v>
      </c>
      <c r="AR18" s="38">
        <f t="shared" si="38"/>
        <v>67275.677419354834</v>
      </c>
      <c r="AS18" s="197">
        <f t="shared" si="39"/>
        <v>-2216.7419354838639</v>
      </c>
      <c r="AT18" s="271"/>
      <c r="AU18" s="665"/>
      <c r="AV18" s="515">
        <f>IF(AT18&gt;0,AU18,AV17)</f>
        <v>0.94</v>
      </c>
      <c r="AW18" s="290">
        <f>-SUM('B5'!AI17)</f>
        <v>-115</v>
      </c>
      <c r="AX18" s="290">
        <f t="shared" si="40"/>
        <v>-2101.7419354838639</v>
      </c>
      <c r="AY18" s="37">
        <f t="shared" si="41"/>
        <v>-2216.7419354838639</v>
      </c>
      <c r="AZ18" s="100">
        <f>ELEC!A15</f>
        <v>0</v>
      </c>
      <c r="BA18" s="118">
        <f>'General information '!D18</f>
        <v>21</v>
      </c>
      <c r="BB18" s="394">
        <f>SUM('General information '!E18)</f>
        <v>0.74</v>
      </c>
      <c r="BC18" s="3">
        <f t="shared" si="44"/>
        <v>0</v>
      </c>
      <c r="BD18" s="102">
        <v>19222</v>
      </c>
      <c r="BE18" s="14">
        <f>(305/1185)*ELEC!Q16</f>
        <v>1386.0126582274363</v>
      </c>
      <c r="BF18" s="14"/>
      <c r="BG18" s="14" t="e">
        <f>#REF!-BE18</f>
        <v>#REF!</v>
      </c>
      <c r="BH18" s="11"/>
    </row>
    <row r="19" spans="1:64">
      <c r="A19" s="443">
        <f>ELEC!C16</f>
        <v>44330</v>
      </c>
      <c r="B19">
        <f>'B5'!B18</f>
        <v>212</v>
      </c>
      <c r="C19" s="203">
        <f t="shared" si="18"/>
        <v>4561.4193548387093</v>
      </c>
      <c r="D19">
        <f t="shared" si="19"/>
        <v>212</v>
      </c>
      <c r="E19" s="203">
        <f t="shared" si="18"/>
        <v>4561.4193548387093</v>
      </c>
      <c r="F19">
        <f t="shared" si="20"/>
        <v>212</v>
      </c>
      <c r="G19" s="203">
        <f t="shared" si="1"/>
        <v>4561.4193548387093</v>
      </c>
      <c r="H19" s="203">
        <f t="shared" si="21"/>
        <v>212</v>
      </c>
      <c r="I19" s="203">
        <f t="shared" si="2"/>
        <v>4561.4193548387093</v>
      </c>
      <c r="J19" s="203">
        <f t="shared" si="22"/>
        <v>212</v>
      </c>
      <c r="K19" s="203">
        <f t="shared" si="3"/>
        <v>4561.4193548387093</v>
      </c>
      <c r="L19" s="203">
        <f t="shared" si="23"/>
        <v>212</v>
      </c>
      <c r="M19" s="203">
        <f t="shared" si="4"/>
        <v>4561.4193548387093</v>
      </c>
      <c r="N19" s="203">
        <f t="shared" si="24"/>
        <v>212</v>
      </c>
      <c r="O19" s="203">
        <f t="shared" si="5"/>
        <v>4561.4193548387093</v>
      </c>
      <c r="P19" s="203">
        <f t="shared" si="25"/>
        <v>212</v>
      </c>
      <c r="Q19" s="203">
        <f t="shared" si="6"/>
        <v>4561.4193548387093</v>
      </c>
      <c r="R19" s="203">
        <f t="shared" si="26"/>
        <v>212</v>
      </c>
      <c r="S19" s="203">
        <f t="shared" si="7"/>
        <v>4561.4193548387093</v>
      </c>
      <c r="T19" s="203">
        <f t="shared" si="27"/>
        <v>212</v>
      </c>
      <c r="U19" s="203">
        <f t="shared" si="8"/>
        <v>4561.4193548387093</v>
      </c>
      <c r="V19" s="203">
        <f t="shared" si="28"/>
        <v>212</v>
      </c>
      <c r="W19" s="203">
        <f t="shared" si="9"/>
        <v>4561.4193548387093</v>
      </c>
      <c r="X19" s="35">
        <f t="shared" si="10"/>
        <v>0.68387096774193556</v>
      </c>
      <c r="Y19" s="36">
        <f t="shared" si="29"/>
        <v>50175.61290322581</v>
      </c>
      <c r="Z19" s="203">
        <f>'B5'!C18</f>
        <v>218</v>
      </c>
      <c r="AA19" s="203">
        <f t="shared" si="30"/>
        <v>2180</v>
      </c>
      <c r="AB19" s="203">
        <f t="shared" si="31"/>
        <v>218</v>
      </c>
      <c r="AC19" s="203">
        <f t="shared" si="30"/>
        <v>2180</v>
      </c>
      <c r="AD19" s="203">
        <f t="shared" si="32"/>
        <v>218</v>
      </c>
      <c r="AE19" s="203">
        <f t="shared" si="11"/>
        <v>2180</v>
      </c>
      <c r="AF19" s="203">
        <f t="shared" si="33"/>
        <v>218</v>
      </c>
      <c r="AG19" s="203">
        <f t="shared" si="12"/>
        <v>2180</v>
      </c>
      <c r="AH19" s="203">
        <f t="shared" si="34"/>
        <v>218</v>
      </c>
      <c r="AI19" s="203">
        <f t="shared" si="13"/>
        <v>2180</v>
      </c>
      <c r="AJ19" s="203">
        <f t="shared" si="35"/>
        <v>218</v>
      </c>
      <c r="AK19" s="203">
        <f t="shared" si="14"/>
        <v>2180</v>
      </c>
      <c r="AL19" s="203">
        <f t="shared" si="36"/>
        <v>218</v>
      </c>
      <c r="AM19" s="203">
        <f t="shared" si="15"/>
        <v>2180</v>
      </c>
      <c r="AN19" s="35">
        <f t="shared" si="16"/>
        <v>0.77857142857142858</v>
      </c>
      <c r="AO19" s="36">
        <f t="shared" si="17"/>
        <v>15260</v>
      </c>
      <c r="AQ19" s="223">
        <f t="shared" si="37"/>
        <v>0.70383578469641617</v>
      </c>
      <c r="AR19" s="38">
        <f t="shared" si="38"/>
        <v>65435.61290322581</v>
      </c>
      <c r="AS19" s="197">
        <f t="shared" si="39"/>
        <v>-1840.0645161290231</v>
      </c>
      <c r="AT19" s="271"/>
      <c r="AU19" s="665"/>
      <c r="AV19" s="515">
        <f t="shared" si="43"/>
        <v>0.94</v>
      </c>
      <c r="AW19" s="290">
        <f>-SUM('B5'!AI18)</f>
        <v>-89</v>
      </c>
      <c r="AX19" s="290">
        <f t="shared" si="40"/>
        <v>-1751.0645161290231</v>
      </c>
      <c r="AY19" s="37">
        <f t="shared" si="41"/>
        <v>-1840.0645161290231</v>
      </c>
      <c r="AZ19" s="100">
        <f>ELEC!A16</f>
        <v>0</v>
      </c>
      <c r="BA19" s="118">
        <f>'General information '!D19</f>
        <v>22.5</v>
      </c>
      <c r="BB19" s="394">
        <f>SUM('General information '!E19)</f>
        <v>0.67</v>
      </c>
      <c r="BC19" s="3">
        <f t="shared" si="44"/>
        <v>0</v>
      </c>
      <c r="BD19" s="102">
        <v>19222</v>
      </c>
      <c r="BE19" s="14">
        <f>(305/1185)*ELEC!Q17</f>
        <v>1646.2278481014307</v>
      </c>
      <c r="BF19" s="14"/>
      <c r="BG19" s="14" t="e">
        <f>#REF!-BE19</f>
        <v>#REF!</v>
      </c>
      <c r="BH19" s="11"/>
      <c r="BJ19" s="203"/>
    </row>
    <row r="20" spans="1:64">
      <c r="A20" s="443">
        <f>ELEC!C17</f>
        <v>44331</v>
      </c>
      <c r="B20">
        <f>'B5'!B19</f>
        <v>206</v>
      </c>
      <c r="C20" s="203">
        <f t="shared" si="18"/>
        <v>4432.322580645161</v>
      </c>
      <c r="D20">
        <f t="shared" si="19"/>
        <v>206</v>
      </c>
      <c r="E20" s="203">
        <f t="shared" si="18"/>
        <v>4432.322580645161</v>
      </c>
      <c r="F20">
        <f t="shared" si="20"/>
        <v>206</v>
      </c>
      <c r="G20" s="203">
        <f t="shared" si="1"/>
        <v>4432.322580645161</v>
      </c>
      <c r="H20" s="203">
        <f t="shared" si="21"/>
        <v>206</v>
      </c>
      <c r="I20" s="203">
        <f t="shared" si="2"/>
        <v>4432.322580645161</v>
      </c>
      <c r="J20" s="203">
        <f t="shared" si="22"/>
        <v>206</v>
      </c>
      <c r="K20" s="203">
        <f t="shared" si="3"/>
        <v>4432.322580645161</v>
      </c>
      <c r="L20" s="203">
        <f t="shared" si="23"/>
        <v>206</v>
      </c>
      <c r="M20" s="203">
        <f t="shared" si="4"/>
        <v>4432.322580645161</v>
      </c>
      <c r="N20" s="203">
        <f t="shared" si="24"/>
        <v>206</v>
      </c>
      <c r="O20" s="203">
        <f t="shared" si="5"/>
        <v>4432.322580645161</v>
      </c>
      <c r="P20" s="203">
        <f t="shared" si="25"/>
        <v>206</v>
      </c>
      <c r="Q20" s="203">
        <f t="shared" si="6"/>
        <v>4432.322580645161</v>
      </c>
      <c r="R20" s="203">
        <f t="shared" si="26"/>
        <v>206</v>
      </c>
      <c r="S20" s="203">
        <f t="shared" si="7"/>
        <v>4432.322580645161</v>
      </c>
      <c r="T20" s="203">
        <f t="shared" si="27"/>
        <v>206</v>
      </c>
      <c r="U20" s="203">
        <f t="shared" si="8"/>
        <v>4432.322580645161</v>
      </c>
      <c r="V20" s="203">
        <f t="shared" si="28"/>
        <v>206</v>
      </c>
      <c r="W20" s="203">
        <f t="shared" si="9"/>
        <v>4432.322580645161</v>
      </c>
      <c r="X20" s="35">
        <f t="shared" si="10"/>
        <v>0.66451612903225787</v>
      </c>
      <c r="Y20" s="36">
        <f t="shared" si="29"/>
        <v>48755.548387096758</v>
      </c>
      <c r="Z20" s="203">
        <f>'B5'!C19</f>
        <v>213</v>
      </c>
      <c r="AA20" s="203">
        <f t="shared" si="30"/>
        <v>2130</v>
      </c>
      <c r="AB20" s="203">
        <f t="shared" si="31"/>
        <v>213</v>
      </c>
      <c r="AC20" s="203">
        <f t="shared" si="30"/>
        <v>2130</v>
      </c>
      <c r="AD20" s="203">
        <f t="shared" si="32"/>
        <v>213</v>
      </c>
      <c r="AE20" s="203">
        <f t="shared" si="11"/>
        <v>2130</v>
      </c>
      <c r="AF20" s="203">
        <f t="shared" si="33"/>
        <v>213</v>
      </c>
      <c r="AG20" s="203">
        <f t="shared" si="12"/>
        <v>2130</v>
      </c>
      <c r="AH20" s="203">
        <f t="shared" si="34"/>
        <v>213</v>
      </c>
      <c r="AI20" s="203">
        <f t="shared" si="13"/>
        <v>2130</v>
      </c>
      <c r="AJ20" s="203">
        <f t="shared" si="35"/>
        <v>213</v>
      </c>
      <c r="AK20" s="203">
        <f t="shared" si="14"/>
        <v>2130</v>
      </c>
      <c r="AL20" s="203">
        <f t="shared" si="36"/>
        <v>213</v>
      </c>
      <c r="AM20" s="203">
        <f t="shared" si="15"/>
        <v>2130</v>
      </c>
      <c r="AN20" s="35">
        <f t="shared" si="16"/>
        <v>0.76071428571428568</v>
      </c>
      <c r="AO20" s="36">
        <f t="shared" si="17"/>
        <v>14910</v>
      </c>
      <c r="AQ20" s="223">
        <f t="shared" si="37"/>
        <v>0.68479669126704057</v>
      </c>
      <c r="AR20" s="38">
        <f t="shared" si="38"/>
        <v>63665.548387096758</v>
      </c>
      <c r="AS20" s="197">
        <f t="shared" si="39"/>
        <v>-1770.0645161290522</v>
      </c>
      <c r="AT20" s="271"/>
      <c r="AU20" s="665"/>
      <c r="AV20" s="515">
        <f t="shared" si="43"/>
        <v>0.94</v>
      </c>
      <c r="AW20" s="290">
        <f>-SUM('B5'!AI19)</f>
        <v>-139</v>
      </c>
      <c r="AX20" s="290">
        <f t="shared" si="40"/>
        <v>-1631.0645161290522</v>
      </c>
      <c r="AY20" s="37">
        <f t="shared" si="41"/>
        <v>-1770.0645161290522</v>
      </c>
      <c r="AZ20" s="100">
        <f>ELEC!A17</f>
        <v>0</v>
      </c>
      <c r="BA20" s="118">
        <f>'General information '!D20</f>
        <v>23.5</v>
      </c>
      <c r="BB20" s="394">
        <f>SUM('General information '!E20)</f>
        <v>0.65</v>
      </c>
      <c r="BC20" s="3">
        <f t="shared" si="44"/>
        <v>0</v>
      </c>
      <c r="BD20" s="102">
        <v>19222</v>
      </c>
      <c r="BE20" s="14">
        <f>(305/1185)*ELEC!Q18</f>
        <v>1293.3544303801216</v>
      </c>
      <c r="BF20" s="14"/>
      <c r="BG20" s="14" t="e">
        <f>#REF!-BE20</f>
        <v>#REF!</v>
      </c>
      <c r="BH20" s="11"/>
      <c r="BL20" s="203"/>
    </row>
    <row r="21" spans="1:64">
      <c r="A21" s="443">
        <f>ELEC!C18</f>
        <v>44332</v>
      </c>
      <c r="B21">
        <f>'B5'!B20</f>
        <v>195</v>
      </c>
      <c r="C21" s="203">
        <f t="shared" si="18"/>
        <v>4195.6451612903229</v>
      </c>
      <c r="D21">
        <f t="shared" si="19"/>
        <v>195</v>
      </c>
      <c r="E21" s="203">
        <f t="shared" si="18"/>
        <v>4195.6451612903229</v>
      </c>
      <c r="F21">
        <f t="shared" si="20"/>
        <v>195</v>
      </c>
      <c r="G21" s="203">
        <f t="shared" si="1"/>
        <v>4195.6451612903229</v>
      </c>
      <c r="H21" s="203">
        <f t="shared" si="21"/>
        <v>195</v>
      </c>
      <c r="I21" s="203">
        <f t="shared" si="2"/>
        <v>4195.6451612903229</v>
      </c>
      <c r="J21" s="203">
        <f t="shared" si="22"/>
        <v>195</v>
      </c>
      <c r="K21" s="203">
        <f t="shared" si="3"/>
        <v>4195.6451612903229</v>
      </c>
      <c r="L21" s="203">
        <f t="shared" si="23"/>
        <v>195</v>
      </c>
      <c r="M21" s="203">
        <f t="shared" si="4"/>
        <v>4195.6451612903229</v>
      </c>
      <c r="N21" s="203">
        <f t="shared" si="24"/>
        <v>195</v>
      </c>
      <c r="O21" s="203">
        <f t="shared" si="5"/>
        <v>4195.6451612903229</v>
      </c>
      <c r="P21" s="203">
        <f t="shared" si="25"/>
        <v>195</v>
      </c>
      <c r="Q21" s="203">
        <f t="shared" si="6"/>
        <v>4195.6451612903229</v>
      </c>
      <c r="R21" s="203">
        <f t="shared" si="26"/>
        <v>195</v>
      </c>
      <c r="S21" s="203">
        <f t="shared" si="7"/>
        <v>4195.6451612903229</v>
      </c>
      <c r="T21" s="203">
        <f t="shared" si="27"/>
        <v>195</v>
      </c>
      <c r="U21" s="203">
        <f t="shared" si="8"/>
        <v>4195.6451612903229</v>
      </c>
      <c r="V21" s="203">
        <f t="shared" si="28"/>
        <v>195</v>
      </c>
      <c r="W21" s="203">
        <f t="shared" si="9"/>
        <v>4195.6451612903229</v>
      </c>
      <c r="X21" s="35">
        <f t="shared" si="10"/>
        <v>0.62903225806451624</v>
      </c>
      <c r="Y21" s="36">
        <f t="shared" si="29"/>
        <v>46152.09677419356</v>
      </c>
      <c r="Z21" s="203">
        <f>'B5'!C20</f>
        <v>201</v>
      </c>
      <c r="AA21" s="203">
        <f t="shared" si="30"/>
        <v>2010</v>
      </c>
      <c r="AB21" s="203">
        <f t="shared" si="31"/>
        <v>201</v>
      </c>
      <c r="AC21" s="203">
        <f t="shared" si="30"/>
        <v>2010</v>
      </c>
      <c r="AD21" s="203">
        <f t="shared" si="32"/>
        <v>201</v>
      </c>
      <c r="AE21" s="203">
        <f t="shared" si="11"/>
        <v>2010</v>
      </c>
      <c r="AF21" s="203">
        <f t="shared" si="33"/>
        <v>201</v>
      </c>
      <c r="AG21" s="203">
        <f t="shared" si="12"/>
        <v>2010</v>
      </c>
      <c r="AH21" s="203">
        <f t="shared" si="34"/>
        <v>201</v>
      </c>
      <c r="AI21" s="203">
        <f t="shared" si="13"/>
        <v>2010</v>
      </c>
      <c r="AJ21" s="203">
        <f t="shared" si="35"/>
        <v>201</v>
      </c>
      <c r="AK21" s="203">
        <f t="shared" si="14"/>
        <v>2010</v>
      </c>
      <c r="AL21" s="203">
        <f t="shared" si="36"/>
        <v>201</v>
      </c>
      <c r="AM21" s="203">
        <f t="shared" si="15"/>
        <v>2010</v>
      </c>
      <c r="AN21" s="35">
        <f t="shared" si="16"/>
        <v>0.71785714285714286</v>
      </c>
      <c r="AO21" s="36">
        <f t="shared" si="17"/>
        <v>14070</v>
      </c>
      <c r="AQ21" s="223">
        <f t="shared" si="37"/>
        <v>0.64775838199627367</v>
      </c>
      <c r="AR21" s="38">
        <f t="shared" si="38"/>
        <v>60222.09677419356</v>
      </c>
      <c r="AS21" s="197">
        <f t="shared" si="39"/>
        <v>-3443.4516129031981</v>
      </c>
      <c r="AT21" s="271"/>
      <c r="AU21" s="665"/>
      <c r="AV21" s="515">
        <f t="shared" si="43"/>
        <v>0.94</v>
      </c>
      <c r="AW21" s="290">
        <f>-SUM('B5'!AI20)</f>
        <v>-115</v>
      </c>
      <c r="AX21" s="290">
        <f t="shared" si="40"/>
        <v>-3328.4516129031981</v>
      </c>
      <c r="AY21" s="37">
        <f t="shared" si="41"/>
        <v>-3443.4516129031981</v>
      </c>
      <c r="AZ21" s="100">
        <f>ELEC!A18</f>
        <v>0</v>
      </c>
      <c r="BA21" s="118">
        <f>'General information '!D21</f>
        <v>21.5</v>
      </c>
      <c r="BB21" s="394">
        <f>SUM('General information '!E21)</f>
        <v>0.75</v>
      </c>
      <c r="BC21" s="3">
        <f t="shared" si="44"/>
        <v>0</v>
      </c>
      <c r="BD21" s="102">
        <v>19222</v>
      </c>
      <c r="BE21" s="14">
        <f>(305/1185)*ELEC!Q19</f>
        <v>2417.3502109704195</v>
      </c>
      <c r="BF21" s="14"/>
      <c r="BG21" s="14" t="e">
        <f>#REF!-BE21</f>
        <v>#REF!</v>
      </c>
      <c r="BH21" s="11"/>
    </row>
    <row r="22" spans="1:64">
      <c r="A22" s="443">
        <f>ELEC!C19</f>
        <v>44333</v>
      </c>
      <c r="B22">
        <f>'B5'!B21</f>
        <v>188</v>
      </c>
      <c r="C22" s="203">
        <f t="shared" si="18"/>
        <v>4045.0322580645161</v>
      </c>
      <c r="D22">
        <f t="shared" si="19"/>
        <v>188</v>
      </c>
      <c r="E22" s="203">
        <f t="shared" si="18"/>
        <v>4045.0322580645161</v>
      </c>
      <c r="F22">
        <f t="shared" si="20"/>
        <v>188</v>
      </c>
      <c r="G22" s="203">
        <f t="shared" si="1"/>
        <v>4045.0322580645161</v>
      </c>
      <c r="H22" s="203">
        <f t="shared" si="21"/>
        <v>188</v>
      </c>
      <c r="I22" s="203">
        <f t="shared" si="2"/>
        <v>4045.0322580645161</v>
      </c>
      <c r="J22" s="203">
        <f t="shared" si="22"/>
        <v>188</v>
      </c>
      <c r="K22" s="203">
        <f t="shared" si="3"/>
        <v>4045.0322580645161</v>
      </c>
      <c r="L22" s="203">
        <f t="shared" si="23"/>
        <v>188</v>
      </c>
      <c r="M22" s="203">
        <f t="shared" si="4"/>
        <v>4045.0322580645161</v>
      </c>
      <c r="N22" s="203">
        <f t="shared" si="24"/>
        <v>188</v>
      </c>
      <c r="O22" s="203">
        <f t="shared" si="5"/>
        <v>4045.0322580645161</v>
      </c>
      <c r="P22" s="203">
        <f t="shared" si="25"/>
        <v>188</v>
      </c>
      <c r="Q22" s="203">
        <f t="shared" si="6"/>
        <v>4045.0322580645161</v>
      </c>
      <c r="R22" s="203">
        <f t="shared" si="26"/>
        <v>188</v>
      </c>
      <c r="S22" s="203">
        <f t="shared" si="7"/>
        <v>4045.0322580645161</v>
      </c>
      <c r="T22" s="203">
        <f t="shared" si="27"/>
        <v>188</v>
      </c>
      <c r="U22" s="203">
        <f t="shared" si="8"/>
        <v>4045.0322580645161</v>
      </c>
      <c r="V22" s="203">
        <f t="shared" si="28"/>
        <v>188</v>
      </c>
      <c r="W22" s="203">
        <f t="shared" si="9"/>
        <v>4045.0322580645161</v>
      </c>
      <c r="X22" s="35">
        <f t="shared" si="10"/>
        <v>0.6064516129032258</v>
      </c>
      <c r="Y22" s="36">
        <f t="shared" si="29"/>
        <v>44495.354838709674</v>
      </c>
      <c r="Z22" s="203">
        <f>'B5'!C21</f>
        <v>194</v>
      </c>
      <c r="AA22" s="203">
        <f t="shared" si="30"/>
        <v>1940</v>
      </c>
      <c r="AB22" s="203">
        <f t="shared" si="31"/>
        <v>194</v>
      </c>
      <c r="AC22" s="203">
        <f t="shared" si="30"/>
        <v>1940</v>
      </c>
      <c r="AD22" s="203">
        <f t="shared" si="32"/>
        <v>194</v>
      </c>
      <c r="AE22" s="203">
        <f t="shared" si="11"/>
        <v>1940</v>
      </c>
      <c r="AF22" s="203">
        <f t="shared" si="33"/>
        <v>194</v>
      </c>
      <c r="AG22" s="203">
        <f t="shared" si="12"/>
        <v>1940</v>
      </c>
      <c r="AH22" s="203">
        <f t="shared" si="34"/>
        <v>194</v>
      </c>
      <c r="AI22" s="203">
        <f t="shared" si="13"/>
        <v>1940</v>
      </c>
      <c r="AJ22" s="203">
        <f t="shared" si="35"/>
        <v>194</v>
      </c>
      <c r="AK22" s="203">
        <f t="shared" si="14"/>
        <v>1940</v>
      </c>
      <c r="AL22" s="203">
        <f t="shared" si="36"/>
        <v>194</v>
      </c>
      <c r="AM22" s="203">
        <f t="shared" si="15"/>
        <v>1940</v>
      </c>
      <c r="AN22" s="35">
        <f t="shared" si="16"/>
        <v>0.69285714285714284</v>
      </c>
      <c r="AO22" s="36">
        <f t="shared" si="17"/>
        <v>13580</v>
      </c>
      <c r="AQ22" s="223">
        <f t="shared" si="37"/>
        <v>0.62466768676680295</v>
      </c>
      <c r="AR22" s="38">
        <f t="shared" si="38"/>
        <v>58075.354838709674</v>
      </c>
      <c r="AS22" s="197">
        <f t="shared" si="39"/>
        <v>-2146.7419354838858</v>
      </c>
      <c r="AT22" s="271"/>
      <c r="AU22" s="665"/>
      <c r="AV22" s="515">
        <f t="shared" si="43"/>
        <v>0.94</v>
      </c>
      <c r="AW22" s="290">
        <f>-SUM('B5'!AI21)</f>
        <v>-93</v>
      </c>
      <c r="AX22" s="290">
        <f t="shared" si="40"/>
        <v>-2053.7419354838858</v>
      </c>
      <c r="AY22" s="37">
        <f t="shared" si="41"/>
        <v>-2146.7419354838858</v>
      </c>
      <c r="AZ22" s="100">
        <f>ELEC!A19</f>
        <v>0</v>
      </c>
      <c r="BA22" s="118">
        <f>'General information '!D22</f>
        <v>22.5</v>
      </c>
      <c r="BB22" s="394">
        <f>SUM('General information '!E22)</f>
        <v>0.7</v>
      </c>
      <c r="BC22" s="3">
        <f t="shared" si="44"/>
        <v>0</v>
      </c>
      <c r="BD22" s="102">
        <v>19222</v>
      </c>
      <c r="BE22" s="14">
        <f>(305/1185)*ELEC!Q20</f>
        <v>2261.6329113924726</v>
      </c>
      <c r="BF22" s="14"/>
      <c r="BG22" s="14" t="e">
        <f>#REF!-BE22</f>
        <v>#REF!</v>
      </c>
      <c r="BH22" s="11"/>
    </row>
    <row r="23" spans="1:64">
      <c r="A23" s="443">
        <f>ELEC!C20</f>
        <v>44334</v>
      </c>
      <c r="B23">
        <f>'B5'!B22</f>
        <v>179</v>
      </c>
      <c r="C23" s="203">
        <f t="shared" si="18"/>
        <v>3851.3870967741937</v>
      </c>
      <c r="D23">
        <f t="shared" si="19"/>
        <v>179</v>
      </c>
      <c r="E23" s="203">
        <f t="shared" si="18"/>
        <v>3851.3870967741937</v>
      </c>
      <c r="F23">
        <f t="shared" si="20"/>
        <v>179</v>
      </c>
      <c r="G23" s="203">
        <f t="shared" si="1"/>
        <v>3851.3870967741937</v>
      </c>
      <c r="H23" s="203">
        <f t="shared" si="21"/>
        <v>179</v>
      </c>
      <c r="I23" s="203">
        <f t="shared" si="2"/>
        <v>3851.3870967741937</v>
      </c>
      <c r="J23" s="203">
        <f t="shared" si="22"/>
        <v>179</v>
      </c>
      <c r="K23" s="203">
        <f t="shared" si="3"/>
        <v>3851.3870967741937</v>
      </c>
      <c r="L23" s="203">
        <f t="shared" si="23"/>
        <v>179</v>
      </c>
      <c r="M23" s="203">
        <f t="shared" si="4"/>
        <v>3851.3870967741937</v>
      </c>
      <c r="N23" s="203">
        <f t="shared" si="24"/>
        <v>179</v>
      </c>
      <c r="O23" s="203">
        <f t="shared" si="5"/>
        <v>3851.3870967741937</v>
      </c>
      <c r="P23" s="203">
        <f t="shared" si="25"/>
        <v>179</v>
      </c>
      <c r="Q23" s="203">
        <f t="shared" si="6"/>
        <v>3851.3870967741937</v>
      </c>
      <c r="R23" s="203">
        <f t="shared" si="26"/>
        <v>179</v>
      </c>
      <c r="S23" s="203">
        <f t="shared" si="7"/>
        <v>3851.3870967741937</v>
      </c>
      <c r="T23" s="203">
        <f t="shared" si="27"/>
        <v>179</v>
      </c>
      <c r="U23" s="203">
        <f t="shared" si="8"/>
        <v>3851.3870967741937</v>
      </c>
      <c r="V23" s="203">
        <f t="shared" si="28"/>
        <v>179</v>
      </c>
      <c r="W23" s="203">
        <f t="shared" si="9"/>
        <v>3851.3870967741937</v>
      </c>
      <c r="X23" s="35">
        <f t="shared" si="10"/>
        <v>0.57741935483870976</v>
      </c>
      <c r="Y23" s="36">
        <f t="shared" si="29"/>
        <v>42365.258064516136</v>
      </c>
      <c r="Z23" s="203">
        <f>'B5'!C22</f>
        <v>186</v>
      </c>
      <c r="AA23" s="203">
        <f t="shared" si="30"/>
        <v>1860</v>
      </c>
      <c r="AB23" s="203">
        <f t="shared" si="31"/>
        <v>186</v>
      </c>
      <c r="AC23" s="203">
        <f t="shared" si="30"/>
        <v>1860</v>
      </c>
      <c r="AD23" s="203">
        <f t="shared" si="32"/>
        <v>186</v>
      </c>
      <c r="AE23" s="203">
        <f t="shared" si="11"/>
        <v>1860</v>
      </c>
      <c r="AF23" s="203">
        <f t="shared" si="33"/>
        <v>186</v>
      </c>
      <c r="AG23" s="203">
        <f t="shared" si="12"/>
        <v>1860</v>
      </c>
      <c r="AH23" s="203">
        <f t="shared" si="34"/>
        <v>186</v>
      </c>
      <c r="AI23" s="203">
        <f t="shared" si="13"/>
        <v>1860</v>
      </c>
      <c r="AJ23" s="203">
        <f t="shared" si="35"/>
        <v>186</v>
      </c>
      <c r="AK23" s="203">
        <f t="shared" si="14"/>
        <v>1860</v>
      </c>
      <c r="AL23" s="203">
        <f t="shared" si="36"/>
        <v>186</v>
      </c>
      <c r="AM23" s="203">
        <f t="shared" si="15"/>
        <v>1860</v>
      </c>
      <c r="AN23" s="35">
        <f t="shared" si="16"/>
        <v>0.66428571428571426</v>
      </c>
      <c r="AO23" s="36">
        <f t="shared" si="17"/>
        <v>13020</v>
      </c>
      <c r="AQ23" s="223">
        <f t="shared" si="37"/>
        <v>0.59573258109622607</v>
      </c>
      <c r="AR23" s="38">
        <f t="shared" si="38"/>
        <v>55385.258064516136</v>
      </c>
      <c r="AS23" s="197">
        <f t="shared" si="39"/>
        <v>-2690.0967741935383</v>
      </c>
      <c r="AT23" s="271"/>
      <c r="AU23" s="665"/>
      <c r="AV23" s="515">
        <f t="shared" si="43"/>
        <v>0.94</v>
      </c>
      <c r="AW23" s="290">
        <f>-SUM('B5'!AI22)</f>
        <v>-136</v>
      </c>
      <c r="AX23" s="290">
        <f t="shared" si="40"/>
        <v>-2554.0967741935383</v>
      </c>
      <c r="AY23" s="37">
        <f t="shared" si="41"/>
        <v>-2690.0967741935383</v>
      </c>
      <c r="AZ23" s="100">
        <f>ELEC!A20</f>
        <v>0</v>
      </c>
      <c r="BA23" s="118">
        <f>'General information '!D23</f>
        <v>23</v>
      </c>
      <c r="BB23" s="394">
        <f>SUM('General information '!E23)</f>
        <v>0.34</v>
      </c>
      <c r="BC23" s="3">
        <f t="shared" si="44"/>
        <v>0</v>
      </c>
      <c r="BD23" s="102">
        <v>19222</v>
      </c>
      <c r="BE23" s="14">
        <f>(305/1185)*ELEC!Q21</f>
        <v>3151.9240506327019</v>
      </c>
      <c r="BF23" s="14"/>
      <c r="BG23" s="14" t="e">
        <f>#REF!-BE23</f>
        <v>#REF!</v>
      </c>
      <c r="BH23" s="11"/>
    </row>
    <row r="24" spans="1:64">
      <c r="A24" s="443">
        <f>ELEC!C21</f>
        <v>44335</v>
      </c>
      <c r="B24">
        <f>'B5'!B23</f>
        <v>170</v>
      </c>
      <c r="C24" s="203">
        <f t="shared" si="18"/>
        <v>3657.7419354838707</v>
      </c>
      <c r="D24">
        <f t="shared" si="19"/>
        <v>170</v>
      </c>
      <c r="E24" s="203">
        <f t="shared" si="18"/>
        <v>3657.7419354838707</v>
      </c>
      <c r="F24">
        <f t="shared" si="20"/>
        <v>170</v>
      </c>
      <c r="G24" s="203">
        <f t="shared" si="1"/>
        <v>3657.7419354838707</v>
      </c>
      <c r="H24" s="203">
        <f t="shared" si="21"/>
        <v>170</v>
      </c>
      <c r="I24" s="203">
        <f t="shared" si="2"/>
        <v>3657.7419354838707</v>
      </c>
      <c r="J24" s="203">
        <f t="shared" si="22"/>
        <v>170</v>
      </c>
      <c r="K24" s="203">
        <f t="shared" si="3"/>
        <v>3657.7419354838707</v>
      </c>
      <c r="L24" s="203">
        <f t="shared" si="23"/>
        <v>170</v>
      </c>
      <c r="M24" s="203">
        <f t="shared" si="4"/>
        <v>3657.7419354838707</v>
      </c>
      <c r="N24" s="203">
        <f t="shared" si="24"/>
        <v>170</v>
      </c>
      <c r="O24" s="203">
        <f t="shared" si="5"/>
        <v>3657.7419354838707</v>
      </c>
      <c r="P24" s="203">
        <f t="shared" si="25"/>
        <v>170</v>
      </c>
      <c r="Q24" s="203">
        <f t="shared" si="6"/>
        <v>3657.7419354838707</v>
      </c>
      <c r="R24" s="203">
        <f t="shared" si="26"/>
        <v>170</v>
      </c>
      <c r="S24" s="203">
        <f t="shared" si="7"/>
        <v>3657.7419354838707</v>
      </c>
      <c r="T24" s="203">
        <f t="shared" si="27"/>
        <v>170</v>
      </c>
      <c r="U24" s="203">
        <f t="shared" si="8"/>
        <v>3657.7419354838707</v>
      </c>
      <c r="V24" s="203">
        <f t="shared" si="28"/>
        <v>170</v>
      </c>
      <c r="W24" s="203">
        <f t="shared" si="9"/>
        <v>3657.7419354838707</v>
      </c>
      <c r="X24" s="35">
        <f t="shared" si="10"/>
        <v>0.54838709677419351</v>
      </c>
      <c r="Y24" s="36">
        <f t="shared" si="29"/>
        <v>40235.161290322576</v>
      </c>
      <c r="Z24" s="203">
        <f>'B5'!C23</f>
        <v>178</v>
      </c>
      <c r="AA24" s="203">
        <f t="shared" si="30"/>
        <v>1780</v>
      </c>
      <c r="AB24" s="203">
        <f t="shared" si="31"/>
        <v>178</v>
      </c>
      <c r="AC24" s="203">
        <f t="shared" si="30"/>
        <v>1780</v>
      </c>
      <c r="AD24" s="203">
        <f t="shared" si="32"/>
        <v>178</v>
      </c>
      <c r="AE24" s="203">
        <f t="shared" si="11"/>
        <v>1780</v>
      </c>
      <c r="AF24" s="203">
        <f t="shared" si="33"/>
        <v>178</v>
      </c>
      <c r="AG24" s="203">
        <f t="shared" si="12"/>
        <v>1780</v>
      </c>
      <c r="AH24" s="203">
        <f t="shared" si="34"/>
        <v>178</v>
      </c>
      <c r="AI24" s="203">
        <f t="shared" si="13"/>
        <v>1780</v>
      </c>
      <c r="AJ24" s="203">
        <f t="shared" si="35"/>
        <v>178</v>
      </c>
      <c r="AK24" s="203">
        <f t="shared" si="14"/>
        <v>1780</v>
      </c>
      <c r="AL24" s="203">
        <f t="shared" si="36"/>
        <v>178</v>
      </c>
      <c r="AM24" s="203">
        <f t="shared" si="15"/>
        <v>1780</v>
      </c>
      <c r="AN24" s="35">
        <f t="shared" si="16"/>
        <v>0.63571428571428568</v>
      </c>
      <c r="AO24" s="36">
        <f t="shared" si="17"/>
        <v>12460</v>
      </c>
      <c r="AQ24" s="223">
        <f t="shared" si="37"/>
        <v>0.56679747542564884</v>
      </c>
      <c r="AR24" s="38">
        <f t="shared" si="38"/>
        <v>52695.161290322576</v>
      </c>
      <c r="AS24" s="197">
        <f t="shared" si="39"/>
        <v>-2690.0967741935601</v>
      </c>
      <c r="AT24" s="271"/>
      <c r="AU24" s="665"/>
      <c r="AV24" s="515">
        <f t="shared" si="43"/>
        <v>0.94</v>
      </c>
      <c r="AW24" s="290">
        <f>-SUM('B5'!AI23)</f>
        <v>-95</v>
      </c>
      <c r="AX24" s="290">
        <f t="shared" si="40"/>
        <v>-2595.0967741935601</v>
      </c>
      <c r="AY24" s="37">
        <f t="shared" si="41"/>
        <v>-2690.0967741935601</v>
      </c>
      <c r="AZ24" s="100">
        <f>ELEC!A21</f>
        <v>0</v>
      </c>
      <c r="BA24" s="118">
        <f>'General information '!D24</f>
        <v>23</v>
      </c>
      <c r="BB24" s="394">
        <f>SUM('General information '!E24)</f>
        <v>0.73</v>
      </c>
      <c r="BC24" s="3">
        <f t="shared" si="44"/>
        <v>0</v>
      </c>
      <c r="BD24" s="102">
        <v>19222</v>
      </c>
      <c r="BE24" s="14">
        <f>(305/1185)*ELEC!Q22</f>
        <v>1888.426160337433</v>
      </c>
      <c r="BF24" s="14"/>
      <c r="BG24" s="14" t="e">
        <f>#REF!-BE24</f>
        <v>#REF!</v>
      </c>
      <c r="BH24" s="11"/>
      <c r="BI24" t="s">
        <v>323</v>
      </c>
    </row>
    <row r="25" spans="1:64">
      <c r="A25" s="443">
        <f>ELEC!C22</f>
        <v>44336</v>
      </c>
      <c r="B25">
        <f>'B5'!B24</f>
        <v>203</v>
      </c>
      <c r="C25" s="203">
        <f t="shared" si="18"/>
        <v>4367.7741935483873</v>
      </c>
      <c r="D25">
        <f t="shared" si="19"/>
        <v>203</v>
      </c>
      <c r="E25" s="203">
        <f t="shared" si="18"/>
        <v>4367.7741935483873</v>
      </c>
      <c r="F25">
        <f t="shared" si="20"/>
        <v>203</v>
      </c>
      <c r="G25" s="203">
        <f t="shared" si="1"/>
        <v>4367.7741935483873</v>
      </c>
      <c r="H25" s="203">
        <f t="shared" si="21"/>
        <v>203</v>
      </c>
      <c r="I25" s="203">
        <f t="shared" si="2"/>
        <v>4367.7741935483873</v>
      </c>
      <c r="J25" s="203">
        <f t="shared" si="22"/>
        <v>203</v>
      </c>
      <c r="K25" s="203">
        <f t="shared" si="3"/>
        <v>4367.7741935483873</v>
      </c>
      <c r="L25" s="203">
        <f t="shared" si="23"/>
        <v>203</v>
      </c>
      <c r="M25" s="203">
        <f t="shared" si="4"/>
        <v>4367.7741935483873</v>
      </c>
      <c r="N25" s="203">
        <f t="shared" si="24"/>
        <v>203</v>
      </c>
      <c r="O25" s="203">
        <f t="shared" si="5"/>
        <v>4367.7741935483873</v>
      </c>
      <c r="P25" s="203">
        <f t="shared" si="25"/>
        <v>203</v>
      </c>
      <c r="Q25" s="203">
        <f t="shared" si="6"/>
        <v>4367.7741935483873</v>
      </c>
      <c r="R25" s="203">
        <f t="shared" si="26"/>
        <v>203</v>
      </c>
      <c r="S25" s="203">
        <f t="shared" si="7"/>
        <v>4367.7741935483873</v>
      </c>
      <c r="T25" s="203">
        <f t="shared" si="27"/>
        <v>203</v>
      </c>
      <c r="U25" s="203">
        <f t="shared" si="8"/>
        <v>4367.7741935483873</v>
      </c>
      <c r="V25" s="203">
        <f t="shared" si="28"/>
        <v>203</v>
      </c>
      <c r="W25" s="203">
        <f t="shared" si="9"/>
        <v>4367.7741935483873</v>
      </c>
      <c r="X25" s="35">
        <f t="shared" si="10"/>
        <v>0.65483870967741931</v>
      </c>
      <c r="Y25" s="36">
        <f t="shared" si="29"/>
        <v>48045.516129032258</v>
      </c>
      <c r="Z25" s="203">
        <f>'B5'!C24</f>
        <v>210</v>
      </c>
      <c r="AA25" s="203">
        <f t="shared" si="30"/>
        <v>2100</v>
      </c>
      <c r="AB25" s="203">
        <f t="shared" si="31"/>
        <v>210</v>
      </c>
      <c r="AC25" s="203">
        <f t="shared" si="30"/>
        <v>2100</v>
      </c>
      <c r="AD25" s="203">
        <f t="shared" si="32"/>
        <v>210</v>
      </c>
      <c r="AE25" s="203">
        <f t="shared" si="11"/>
        <v>2100</v>
      </c>
      <c r="AF25" s="203">
        <f t="shared" si="33"/>
        <v>210</v>
      </c>
      <c r="AG25" s="203">
        <f t="shared" si="12"/>
        <v>2100</v>
      </c>
      <c r="AH25" s="203">
        <f t="shared" si="34"/>
        <v>210</v>
      </c>
      <c r="AI25" s="203">
        <f t="shared" si="13"/>
        <v>2100</v>
      </c>
      <c r="AJ25" s="203">
        <f t="shared" si="35"/>
        <v>210</v>
      </c>
      <c r="AK25" s="203">
        <f t="shared" si="14"/>
        <v>2100</v>
      </c>
      <c r="AL25" s="203">
        <f t="shared" si="36"/>
        <v>210</v>
      </c>
      <c r="AM25" s="203">
        <f t="shared" si="15"/>
        <v>2100</v>
      </c>
      <c r="AN25" s="35">
        <f t="shared" si="16"/>
        <v>0.75</v>
      </c>
      <c r="AO25" s="36">
        <f t="shared" si="17"/>
        <v>14700</v>
      </c>
      <c r="AQ25" s="223">
        <f t="shared" si="37"/>
        <v>0.67490067902583906</v>
      </c>
      <c r="AR25" s="38">
        <f t="shared" si="38"/>
        <v>62745.516129032258</v>
      </c>
      <c r="AS25" s="197">
        <f t="shared" si="39"/>
        <v>-1618.4451612903176</v>
      </c>
      <c r="AT25" s="271">
        <v>11668.8</v>
      </c>
      <c r="AU25" s="666">
        <v>1.0029999999999999</v>
      </c>
      <c r="AV25" s="515">
        <f t="shared" si="43"/>
        <v>1.0029999999999999</v>
      </c>
      <c r="AW25" s="290">
        <f>-SUM('B5'!AI24)</f>
        <v>-63</v>
      </c>
      <c r="AX25" s="290">
        <f t="shared" si="40"/>
        <v>-1555.4451612903176</v>
      </c>
      <c r="AY25" s="37">
        <f t="shared" si="41"/>
        <v>-1618.4451612903176</v>
      </c>
      <c r="AZ25" s="100">
        <f>ELEC!A22</f>
        <v>0</v>
      </c>
      <c r="BA25" s="118">
        <f>'General information '!D25</f>
        <v>23.5</v>
      </c>
      <c r="BB25" s="394">
        <f>SUM('General information '!E25)</f>
        <v>0.77</v>
      </c>
      <c r="BC25" s="3">
        <f t="shared" si="44"/>
        <v>1</v>
      </c>
      <c r="BD25" s="102">
        <v>19222</v>
      </c>
      <c r="BE25" s="14">
        <f>(305/1185)*ELEC!Q23</f>
        <v>2046.7172995783515</v>
      </c>
      <c r="BF25" s="14"/>
      <c r="BG25" s="14" t="e">
        <f>#REF!-BE25</f>
        <v>#REF!</v>
      </c>
      <c r="BH25" s="11"/>
    </row>
    <row r="26" spans="1:64">
      <c r="A26" s="443">
        <f>ELEC!C23</f>
        <v>44337</v>
      </c>
      <c r="B26">
        <f>'B5'!B25</f>
        <v>194</v>
      </c>
      <c r="C26" s="203">
        <f t="shared" si="18"/>
        <v>4174.1290322580644</v>
      </c>
      <c r="D26">
        <f t="shared" si="19"/>
        <v>194</v>
      </c>
      <c r="E26" s="203">
        <f t="shared" si="18"/>
        <v>4174.1290322580644</v>
      </c>
      <c r="F26">
        <f t="shared" si="20"/>
        <v>194</v>
      </c>
      <c r="G26" s="203">
        <f t="shared" si="1"/>
        <v>4174.1290322580644</v>
      </c>
      <c r="H26" s="203">
        <f t="shared" si="21"/>
        <v>194</v>
      </c>
      <c r="I26" s="203">
        <f t="shared" si="2"/>
        <v>4174.1290322580644</v>
      </c>
      <c r="J26" s="203">
        <f t="shared" si="22"/>
        <v>194</v>
      </c>
      <c r="K26" s="203">
        <f t="shared" si="3"/>
        <v>4174.1290322580644</v>
      </c>
      <c r="L26" s="203">
        <f t="shared" si="23"/>
        <v>194</v>
      </c>
      <c r="M26" s="203">
        <f t="shared" si="4"/>
        <v>4174.1290322580644</v>
      </c>
      <c r="N26" s="203">
        <f t="shared" si="24"/>
        <v>194</v>
      </c>
      <c r="O26" s="203">
        <f t="shared" si="5"/>
        <v>4174.1290322580644</v>
      </c>
      <c r="P26" s="203">
        <f t="shared" si="25"/>
        <v>194</v>
      </c>
      <c r="Q26" s="203">
        <f t="shared" si="6"/>
        <v>4174.1290322580644</v>
      </c>
      <c r="R26" s="203">
        <f t="shared" si="26"/>
        <v>194</v>
      </c>
      <c r="S26" s="203">
        <f t="shared" si="7"/>
        <v>4174.1290322580644</v>
      </c>
      <c r="T26" s="203">
        <f t="shared" si="27"/>
        <v>194</v>
      </c>
      <c r="U26" s="203">
        <f t="shared" si="8"/>
        <v>4174.1290322580644</v>
      </c>
      <c r="V26" s="203">
        <f t="shared" si="28"/>
        <v>194</v>
      </c>
      <c r="W26" s="203">
        <f t="shared" si="9"/>
        <v>4174.1290322580644</v>
      </c>
      <c r="X26" s="35">
        <f t="shared" si="10"/>
        <v>0.62580645161290305</v>
      </c>
      <c r="Y26" s="36">
        <f t="shared" si="29"/>
        <v>45915.419354838697</v>
      </c>
      <c r="Z26" s="203">
        <f>'B5'!C25</f>
        <v>201</v>
      </c>
      <c r="AA26" s="203">
        <f t="shared" si="30"/>
        <v>2010</v>
      </c>
      <c r="AB26" s="203">
        <f t="shared" si="31"/>
        <v>201</v>
      </c>
      <c r="AC26" s="203">
        <f t="shared" si="30"/>
        <v>2010</v>
      </c>
      <c r="AD26" s="203">
        <f t="shared" si="32"/>
        <v>201</v>
      </c>
      <c r="AE26" s="203">
        <f t="shared" si="11"/>
        <v>2010</v>
      </c>
      <c r="AF26" s="203">
        <f t="shared" si="33"/>
        <v>201</v>
      </c>
      <c r="AG26" s="203">
        <f t="shared" si="12"/>
        <v>2010</v>
      </c>
      <c r="AH26" s="203">
        <f t="shared" si="34"/>
        <v>201</v>
      </c>
      <c r="AI26" s="203">
        <f t="shared" si="13"/>
        <v>2010</v>
      </c>
      <c r="AJ26" s="203">
        <f t="shared" si="35"/>
        <v>201</v>
      </c>
      <c r="AK26" s="203">
        <f t="shared" si="14"/>
        <v>2010</v>
      </c>
      <c r="AL26" s="203">
        <f t="shared" si="36"/>
        <v>201</v>
      </c>
      <c r="AM26" s="203">
        <f t="shared" si="15"/>
        <v>2010</v>
      </c>
      <c r="AN26" s="35">
        <f t="shared" si="16"/>
        <v>0.71785714285714286</v>
      </c>
      <c r="AO26" s="36">
        <f t="shared" si="17"/>
        <v>14070</v>
      </c>
      <c r="AQ26" s="223">
        <f t="shared" si="37"/>
        <v>0.64521264230223407</v>
      </c>
      <c r="AR26" s="38">
        <f t="shared" si="38"/>
        <v>59985.419354838697</v>
      </c>
      <c r="AS26" s="197">
        <f t="shared" si="39"/>
        <v>-2760.0967741935601</v>
      </c>
      <c r="AT26" s="271"/>
      <c r="AU26" s="665"/>
      <c r="AV26" s="515">
        <f t="shared" si="43"/>
        <v>1.0029999999999999</v>
      </c>
      <c r="AW26" s="290">
        <f>-SUM('B5'!AI25)</f>
        <v>-209</v>
      </c>
      <c r="AX26" s="290">
        <f t="shared" si="40"/>
        <v>-2551.0967741935601</v>
      </c>
      <c r="AY26" s="37">
        <f t="shared" si="41"/>
        <v>-2760.0967741935601</v>
      </c>
      <c r="AZ26" s="100">
        <f>ELEC!A23</f>
        <v>0</v>
      </c>
      <c r="BA26" s="118">
        <f>'General information '!D26</f>
        <v>24.5</v>
      </c>
      <c r="BB26" s="394">
        <f>SUM('General information '!E26)</f>
        <v>0.47</v>
      </c>
      <c r="BC26" s="3">
        <f t="shared" si="44"/>
        <v>0</v>
      </c>
      <c r="BD26" s="102">
        <v>19222</v>
      </c>
      <c r="BE26" s="14">
        <f>(305/1185)*ELEC!Q24</f>
        <v>2714.628691982778</v>
      </c>
      <c r="BF26" s="14"/>
      <c r="BG26" s="14" t="e">
        <f>#REF!-BE26</f>
        <v>#REF!</v>
      </c>
      <c r="BH26" s="11"/>
    </row>
    <row r="27" spans="1:64">
      <c r="A27" s="443">
        <f>ELEC!C24</f>
        <v>44338</v>
      </c>
      <c r="B27">
        <f>'B5'!B26</f>
        <v>182</v>
      </c>
      <c r="C27" s="203">
        <f t="shared" si="18"/>
        <v>3915.9354838709678</v>
      </c>
      <c r="D27">
        <f t="shared" si="19"/>
        <v>182</v>
      </c>
      <c r="E27" s="203">
        <f t="shared" si="18"/>
        <v>3915.9354838709678</v>
      </c>
      <c r="F27">
        <f t="shared" si="20"/>
        <v>182</v>
      </c>
      <c r="G27" s="203">
        <f t="shared" si="1"/>
        <v>3915.9354838709678</v>
      </c>
      <c r="H27" s="203">
        <f t="shared" si="21"/>
        <v>182</v>
      </c>
      <c r="I27" s="203">
        <f t="shared" si="2"/>
        <v>3915.9354838709678</v>
      </c>
      <c r="J27" s="203">
        <f t="shared" si="22"/>
        <v>182</v>
      </c>
      <c r="K27" s="203">
        <f t="shared" si="3"/>
        <v>3915.9354838709678</v>
      </c>
      <c r="L27" s="203">
        <f t="shared" si="23"/>
        <v>182</v>
      </c>
      <c r="M27" s="203">
        <f t="shared" si="4"/>
        <v>3915.9354838709678</v>
      </c>
      <c r="N27" s="203">
        <f t="shared" si="24"/>
        <v>182</v>
      </c>
      <c r="O27" s="203">
        <f t="shared" si="5"/>
        <v>3915.9354838709678</v>
      </c>
      <c r="P27" s="203">
        <f t="shared" si="25"/>
        <v>182</v>
      </c>
      <c r="Q27" s="203">
        <f t="shared" si="6"/>
        <v>3915.9354838709678</v>
      </c>
      <c r="R27" s="203">
        <f t="shared" si="26"/>
        <v>182</v>
      </c>
      <c r="S27" s="203">
        <f t="shared" si="7"/>
        <v>3915.9354838709678</v>
      </c>
      <c r="T27" s="203">
        <f t="shared" si="27"/>
        <v>182</v>
      </c>
      <c r="U27" s="203">
        <f t="shared" si="8"/>
        <v>3915.9354838709678</v>
      </c>
      <c r="V27" s="203">
        <f t="shared" si="28"/>
        <v>182</v>
      </c>
      <c r="W27" s="203">
        <f t="shared" si="9"/>
        <v>3915.9354838709678</v>
      </c>
      <c r="X27" s="35">
        <f t="shared" si="10"/>
        <v>0.58709677419354855</v>
      </c>
      <c r="Y27" s="36">
        <f t="shared" si="29"/>
        <v>43075.290322580659</v>
      </c>
      <c r="Z27" s="203">
        <f>'B5'!C26</f>
        <v>189</v>
      </c>
      <c r="AA27" s="203">
        <f t="shared" si="30"/>
        <v>1890</v>
      </c>
      <c r="AB27" s="203">
        <f t="shared" si="31"/>
        <v>189</v>
      </c>
      <c r="AC27" s="203">
        <f t="shared" si="30"/>
        <v>1890</v>
      </c>
      <c r="AD27" s="203">
        <f t="shared" si="32"/>
        <v>189</v>
      </c>
      <c r="AE27" s="203">
        <f t="shared" si="11"/>
        <v>1890</v>
      </c>
      <c r="AF27" s="203">
        <f t="shared" si="33"/>
        <v>189</v>
      </c>
      <c r="AG27" s="203">
        <f t="shared" si="12"/>
        <v>1890</v>
      </c>
      <c r="AH27" s="203">
        <f t="shared" si="34"/>
        <v>189</v>
      </c>
      <c r="AI27" s="203">
        <f t="shared" si="13"/>
        <v>1890</v>
      </c>
      <c r="AJ27" s="203">
        <f t="shared" si="35"/>
        <v>189</v>
      </c>
      <c r="AK27" s="203">
        <f t="shared" si="14"/>
        <v>1890</v>
      </c>
      <c r="AL27" s="203">
        <f t="shared" si="36"/>
        <v>189</v>
      </c>
      <c r="AM27" s="203">
        <f t="shared" si="15"/>
        <v>1890</v>
      </c>
      <c r="AN27" s="35">
        <f t="shared" si="16"/>
        <v>0.67500000000000004</v>
      </c>
      <c r="AO27" s="36">
        <f t="shared" si="17"/>
        <v>13230</v>
      </c>
      <c r="AQ27" s="223">
        <f t="shared" si="37"/>
        <v>0.6056285933374278</v>
      </c>
      <c r="AR27" s="38">
        <f t="shared" si="38"/>
        <v>56305.290322580659</v>
      </c>
      <c r="AS27" s="197">
        <f t="shared" si="39"/>
        <v>-3680.1290322580389</v>
      </c>
      <c r="AT27" s="271"/>
      <c r="AU27" s="665"/>
      <c r="AV27" s="515">
        <f t="shared" si="43"/>
        <v>1.0029999999999999</v>
      </c>
      <c r="AW27" s="290">
        <f>-SUM('B5'!AI26)</f>
        <v>-129</v>
      </c>
      <c r="AX27" s="290">
        <f t="shared" si="40"/>
        <v>-3551.1290322580389</v>
      </c>
      <c r="AY27" s="37">
        <f t="shared" si="41"/>
        <v>-3680.1290322580389</v>
      </c>
      <c r="AZ27" s="100">
        <f>ELEC!A24</f>
        <v>0</v>
      </c>
      <c r="BA27" s="118">
        <f>'General information '!D27</f>
        <v>24.5</v>
      </c>
      <c r="BB27" s="394">
        <f>SUM('General information '!E27)</f>
        <v>0.5</v>
      </c>
      <c r="BC27" s="3">
        <f t="shared" si="44"/>
        <v>0</v>
      </c>
      <c r="BD27" s="102">
        <v>19222</v>
      </c>
      <c r="BE27" s="14">
        <f>(305/1185)*ELEC!Q25</f>
        <v>1424.6202531645197</v>
      </c>
      <c r="BF27" s="14"/>
      <c r="BG27" s="14" t="e">
        <f>#REF!-BE27</f>
        <v>#REF!</v>
      </c>
      <c r="BH27" s="11"/>
    </row>
    <row r="28" spans="1:64">
      <c r="A28" s="443">
        <f>ELEC!C25</f>
        <v>44339</v>
      </c>
      <c r="B28">
        <f>'B5'!B27</f>
        <v>176</v>
      </c>
      <c r="C28" s="203">
        <f t="shared" si="18"/>
        <v>3786.8387096774195</v>
      </c>
      <c r="D28">
        <f t="shared" si="19"/>
        <v>176</v>
      </c>
      <c r="E28" s="203">
        <f t="shared" si="18"/>
        <v>3786.8387096774195</v>
      </c>
      <c r="F28">
        <f t="shared" si="20"/>
        <v>176</v>
      </c>
      <c r="G28" s="203">
        <f t="shared" si="1"/>
        <v>3786.8387096774195</v>
      </c>
      <c r="H28" s="203">
        <f t="shared" si="21"/>
        <v>176</v>
      </c>
      <c r="I28" s="203">
        <f t="shared" si="2"/>
        <v>3786.8387096774195</v>
      </c>
      <c r="J28" s="203">
        <f t="shared" si="22"/>
        <v>176</v>
      </c>
      <c r="K28" s="203">
        <f t="shared" si="3"/>
        <v>3786.8387096774195</v>
      </c>
      <c r="L28" s="203">
        <f t="shared" si="23"/>
        <v>176</v>
      </c>
      <c r="M28" s="203">
        <f t="shared" si="4"/>
        <v>3786.8387096774195</v>
      </c>
      <c r="N28" s="203">
        <f t="shared" si="24"/>
        <v>176</v>
      </c>
      <c r="O28" s="203">
        <f t="shared" si="5"/>
        <v>3786.8387096774195</v>
      </c>
      <c r="P28" s="203">
        <f t="shared" si="25"/>
        <v>176</v>
      </c>
      <c r="Q28" s="203">
        <f t="shared" si="6"/>
        <v>3786.8387096774195</v>
      </c>
      <c r="R28" s="203">
        <f t="shared" si="26"/>
        <v>176</v>
      </c>
      <c r="S28" s="203">
        <f t="shared" si="7"/>
        <v>3786.8387096774195</v>
      </c>
      <c r="T28" s="203">
        <f t="shared" si="27"/>
        <v>176</v>
      </c>
      <c r="U28" s="203">
        <f t="shared" si="8"/>
        <v>3786.8387096774195</v>
      </c>
      <c r="V28" s="203">
        <f t="shared" si="28"/>
        <v>176</v>
      </c>
      <c r="W28" s="203">
        <f t="shared" si="9"/>
        <v>3786.8387096774195</v>
      </c>
      <c r="X28" s="35">
        <f t="shared" si="10"/>
        <v>0.56774193548387097</v>
      </c>
      <c r="Y28" s="36">
        <f t="shared" si="29"/>
        <v>41655.225806451614</v>
      </c>
      <c r="Z28" s="203">
        <f>'B5'!C27</f>
        <v>182.5</v>
      </c>
      <c r="AA28" s="203">
        <f t="shared" si="30"/>
        <v>1825</v>
      </c>
      <c r="AB28" s="203">
        <f t="shared" si="31"/>
        <v>182.5</v>
      </c>
      <c r="AC28" s="203">
        <f t="shared" si="30"/>
        <v>1825</v>
      </c>
      <c r="AD28" s="203">
        <f t="shared" si="32"/>
        <v>182.5</v>
      </c>
      <c r="AE28" s="203">
        <f t="shared" si="11"/>
        <v>1825</v>
      </c>
      <c r="AF28" s="203">
        <f t="shared" si="33"/>
        <v>182.5</v>
      </c>
      <c r="AG28" s="203">
        <f t="shared" si="12"/>
        <v>1825</v>
      </c>
      <c r="AH28" s="203">
        <f t="shared" si="34"/>
        <v>182.5</v>
      </c>
      <c r="AI28" s="203">
        <f t="shared" si="13"/>
        <v>1825</v>
      </c>
      <c r="AJ28" s="203">
        <f t="shared" si="35"/>
        <v>182.5</v>
      </c>
      <c r="AK28" s="203">
        <f t="shared" si="14"/>
        <v>1825</v>
      </c>
      <c r="AL28" s="203">
        <f t="shared" si="36"/>
        <v>182.5</v>
      </c>
      <c r="AM28" s="203">
        <f t="shared" si="15"/>
        <v>1825</v>
      </c>
      <c r="AN28" s="35">
        <f t="shared" si="16"/>
        <v>0.6517857142857143</v>
      </c>
      <c r="AO28" s="36">
        <f t="shared" si="17"/>
        <v>12775</v>
      </c>
      <c r="AQ28" s="223">
        <f t="shared" si="37"/>
        <v>0.5854601033285104</v>
      </c>
      <c r="AR28" s="38">
        <f t="shared" si="38"/>
        <v>54430.225806451614</v>
      </c>
      <c r="AS28" s="197">
        <f t="shared" si="39"/>
        <v>-1875.0645161290449</v>
      </c>
      <c r="AT28" s="355"/>
      <c r="AU28" s="666"/>
      <c r="AV28" s="515">
        <f t="shared" si="43"/>
        <v>1.0029999999999999</v>
      </c>
      <c r="AW28" s="290">
        <f>-SUM('B5'!AI27)</f>
        <v>-69</v>
      </c>
      <c r="AX28" s="290">
        <f t="shared" si="40"/>
        <v>-1806.0645161290449</v>
      </c>
      <c r="AY28" s="37">
        <f t="shared" si="41"/>
        <v>-1875.0645161290449</v>
      </c>
      <c r="AZ28" s="100">
        <f>ELEC!A25</f>
        <v>0</v>
      </c>
      <c r="BA28" s="118">
        <f>'General information '!D28</f>
        <v>23.5</v>
      </c>
      <c r="BB28" s="394">
        <f>SUM('General information '!E28)</f>
        <v>0.55000000000000004</v>
      </c>
      <c r="BC28" s="3">
        <f t="shared" si="44"/>
        <v>0</v>
      </c>
      <c r="BD28" s="102">
        <v>19222</v>
      </c>
      <c r="BE28" s="14">
        <f>(305/1185)*ELEC!Q26</f>
        <v>3205.4599156122117</v>
      </c>
      <c r="BF28" s="14"/>
      <c r="BG28" s="14" t="e">
        <f>#REF!-BE28</f>
        <v>#REF!</v>
      </c>
      <c r="BH28" s="11"/>
    </row>
    <row r="29" spans="1:64">
      <c r="A29" s="443">
        <f>ELEC!C26</f>
        <v>44340</v>
      </c>
      <c r="B29">
        <f>'B5'!B28</f>
        <v>208</v>
      </c>
      <c r="C29" s="203">
        <f t="shared" si="18"/>
        <v>4475.3548387096771</v>
      </c>
      <c r="D29">
        <f t="shared" si="19"/>
        <v>208</v>
      </c>
      <c r="E29" s="203">
        <f t="shared" si="18"/>
        <v>4475.3548387096771</v>
      </c>
      <c r="F29">
        <f t="shared" si="20"/>
        <v>208</v>
      </c>
      <c r="G29" s="203">
        <f t="shared" si="1"/>
        <v>4475.3548387096771</v>
      </c>
      <c r="H29" s="203">
        <f t="shared" si="21"/>
        <v>208</v>
      </c>
      <c r="I29" s="203">
        <f t="shared" si="2"/>
        <v>4475.3548387096771</v>
      </c>
      <c r="J29" s="203">
        <f t="shared" si="22"/>
        <v>208</v>
      </c>
      <c r="K29" s="203">
        <f t="shared" si="3"/>
        <v>4475.3548387096771</v>
      </c>
      <c r="L29" s="203">
        <f t="shared" si="23"/>
        <v>208</v>
      </c>
      <c r="M29" s="203">
        <f t="shared" si="4"/>
        <v>4475.3548387096771</v>
      </c>
      <c r="N29" s="203">
        <f t="shared" si="24"/>
        <v>208</v>
      </c>
      <c r="O29" s="203">
        <f t="shared" si="5"/>
        <v>4475.3548387096771</v>
      </c>
      <c r="P29" s="203">
        <f t="shared" si="25"/>
        <v>208</v>
      </c>
      <c r="Q29" s="203">
        <f t="shared" si="6"/>
        <v>4475.3548387096771</v>
      </c>
      <c r="R29" s="203">
        <f t="shared" si="26"/>
        <v>208</v>
      </c>
      <c r="S29" s="203">
        <f t="shared" si="7"/>
        <v>4475.3548387096771</v>
      </c>
      <c r="T29" s="203">
        <f t="shared" si="27"/>
        <v>208</v>
      </c>
      <c r="U29" s="203">
        <f t="shared" si="8"/>
        <v>4475.3548387096771</v>
      </c>
      <c r="V29" s="203">
        <f t="shared" si="28"/>
        <v>208</v>
      </c>
      <c r="W29" s="203">
        <f t="shared" si="9"/>
        <v>4475.3548387096771</v>
      </c>
      <c r="X29" s="35">
        <f t="shared" si="10"/>
        <v>0.6709677419354837</v>
      </c>
      <c r="Y29" s="36">
        <f t="shared" si="29"/>
        <v>49228.90322580644</v>
      </c>
      <c r="Z29" s="203">
        <f>'B5'!C28</f>
        <v>215</v>
      </c>
      <c r="AA29" s="203">
        <f t="shared" si="30"/>
        <v>2150</v>
      </c>
      <c r="AB29" s="203">
        <f t="shared" si="31"/>
        <v>215</v>
      </c>
      <c r="AC29" s="203">
        <f t="shared" si="30"/>
        <v>2150</v>
      </c>
      <c r="AD29" s="203">
        <f t="shared" si="32"/>
        <v>215</v>
      </c>
      <c r="AE29" s="203">
        <f t="shared" si="11"/>
        <v>2150</v>
      </c>
      <c r="AF29" s="203">
        <f t="shared" si="33"/>
        <v>215</v>
      </c>
      <c r="AG29" s="203">
        <f t="shared" si="12"/>
        <v>2150</v>
      </c>
      <c r="AH29" s="203">
        <f t="shared" si="34"/>
        <v>215</v>
      </c>
      <c r="AI29" s="203">
        <f t="shared" si="13"/>
        <v>2150</v>
      </c>
      <c r="AJ29" s="203">
        <f t="shared" si="35"/>
        <v>215</v>
      </c>
      <c r="AK29" s="203">
        <f t="shared" si="14"/>
        <v>2150</v>
      </c>
      <c r="AL29" s="203">
        <f t="shared" si="36"/>
        <v>215</v>
      </c>
      <c r="AM29" s="203">
        <f t="shared" si="15"/>
        <v>2150</v>
      </c>
      <c r="AN29" s="35">
        <f t="shared" si="16"/>
        <v>0.7678571428571429</v>
      </c>
      <c r="AO29" s="36">
        <f t="shared" si="17"/>
        <v>15050</v>
      </c>
      <c r="AQ29" s="223">
        <f t="shared" si="37"/>
        <v>0.69139403276117495</v>
      </c>
      <c r="AR29" s="38">
        <f t="shared" si="38"/>
        <v>64278.90322580644</v>
      </c>
      <c r="AS29" s="197">
        <f t="shared" si="39"/>
        <v>-2211.3225806451737</v>
      </c>
      <c r="AT29" s="355">
        <v>12060</v>
      </c>
      <c r="AU29" s="666">
        <v>1.0029999999999999</v>
      </c>
      <c r="AV29" s="515">
        <f t="shared" si="43"/>
        <v>1.0029999999999999</v>
      </c>
      <c r="AW29" s="290">
        <f>-SUM('B5'!AI28)</f>
        <v>-211.20000000001164</v>
      </c>
      <c r="AX29" s="290">
        <f>-SUM(AW29-AS29)</f>
        <v>-2000.1225806451621</v>
      </c>
      <c r="AY29" s="37">
        <f t="shared" si="41"/>
        <v>-2211.3225806451737</v>
      </c>
      <c r="AZ29" s="100">
        <f>ELEC!A26</f>
        <v>0</v>
      </c>
      <c r="BA29" s="118">
        <f>'General information '!D29</f>
        <v>24.5</v>
      </c>
      <c r="BB29" s="394">
        <f>SUM('General information '!E29)</f>
        <v>0.55000000000000004</v>
      </c>
      <c r="BC29" s="3">
        <f t="shared" si="44"/>
        <v>1</v>
      </c>
      <c r="BD29" s="102">
        <v>19222</v>
      </c>
      <c r="BE29" s="14">
        <f>(305/1185)*ELEC!Q27</f>
        <v>1589.3459915609942</v>
      </c>
      <c r="BF29" s="14"/>
      <c r="BG29" s="14" t="e">
        <f>#REF!-BE29</f>
        <v>#REF!</v>
      </c>
      <c r="BH29" s="11"/>
    </row>
    <row r="30" spans="1:64">
      <c r="A30" s="443">
        <f>ELEC!C27</f>
        <v>44341</v>
      </c>
      <c r="B30">
        <f>'B5'!B29</f>
        <v>201</v>
      </c>
      <c r="C30" s="203">
        <f t="shared" si="18"/>
        <v>4324.7419354838712</v>
      </c>
      <c r="D30">
        <f t="shared" ref="D30:D33" si="45">SUM(B30)</f>
        <v>201</v>
      </c>
      <c r="E30" s="203">
        <f t="shared" si="18"/>
        <v>4324.7419354838712</v>
      </c>
      <c r="F30">
        <f t="shared" ref="F30:F33" si="46">SUM(D30)</f>
        <v>201</v>
      </c>
      <c r="G30" s="203">
        <f t="shared" si="1"/>
        <v>4324.7419354838712</v>
      </c>
      <c r="H30" s="203">
        <f t="shared" ref="H30:H33" si="47">SUM(F30)</f>
        <v>201</v>
      </c>
      <c r="I30" s="203">
        <f t="shared" si="2"/>
        <v>4324.7419354838712</v>
      </c>
      <c r="J30" s="203">
        <f t="shared" ref="J30:J33" si="48">SUM(H30)</f>
        <v>201</v>
      </c>
      <c r="K30" s="203">
        <f t="shared" si="3"/>
        <v>4324.7419354838712</v>
      </c>
      <c r="L30" s="203">
        <f t="shared" ref="L30:L33" si="49">SUM(J30)</f>
        <v>201</v>
      </c>
      <c r="M30" s="203">
        <f t="shared" si="4"/>
        <v>4324.7419354838712</v>
      </c>
      <c r="N30" s="203">
        <f t="shared" ref="N30:N33" si="50">SUM(L30)</f>
        <v>201</v>
      </c>
      <c r="O30" s="203">
        <f t="shared" si="5"/>
        <v>4324.7419354838712</v>
      </c>
      <c r="P30" s="203">
        <f t="shared" ref="P30:P33" si="51">SUM(N30)</f>
        <v>201</v>
      </c>
      <c r="Q30" s="203">
        <f t="shared" si="6"/>
        <v>4324.7419354838712</v>
      </c>
      <c r="R30" s="203">
        <f t="shared" ref="R30:R33" si="52">SUM(P30)</f>
        <v>201</v>
      </c>
      <c r="S30" s="203">
        <f t="shared" si="7"/>
        <v>4324.7419354838712</v>
      </c>
      <c r="T30" s="203">
        <f t="shared" ref="T30:T33" si="53">SUM(R30)</f>
        <v>201</v>
      </c>
      <c r="U30" s="203">
        <f t="shared" si="8"/>
        <v>4324.7419354838712</v>
      </c>
      <c r="V30" s="203">
        <f t="shared" ref="V30:V33" si="54">SUM(T30)</f>
        <v>201</v>
      </c>
      <c r="W30" s="203">
        <f t="shared" si="9"/>
        <v>4324.7419354838712</v>
      </c>
      <c r="X30" s="35">
        <f t="shared" ref="X30:X33" si="55">SUM(Y30/73370)</f>
        <v>0.64838709677419359</v>
      </c>
      <c r="Y30" s="36">
        <f t="shared" ref="Y30:Y33" si="56">SUM(C30+E30+G30+I30+K30+M30+O30+Q30+S30+U30+W30)</f>
        <v>47572.161290322583</v>
      </c>
      <c r="Z30" s="203">
        <f>'B5'!C29</f>
        <v>208</v>
      </c>
      <c r="AA30" s="203">
        <f t="shared" si="30"/>
        <v>2080</v>
      </c>
      <c r="AB30" s="203">
        <f t="shared" ref="AB30:AB33" si="57">SUM(Z30)</f>
        <v>208</v>
      </c>
      <c r="AC30" s="203">
        <f t="shared" si="30"/>
        <v>2080</v>
      </c>
      <c r="AD30" s="203">
        <f t="shared" ref="AD30:AD33" si="58">SUM(AB30)</f>
        <v>208</v>
      </c>
      <c r="AE30" s="203">
        <f t="shared" si="11"/>
        <v>2080</v>
      </c>
      <c r="AF30" s="203">
        <f t="shared" ref="AF30:AF33" si="59">SUM(AD30)</f>
        <v>208</v>
      </c>
      <c r="AG30" s="203">
        <f t="shared" si="12"/>
        <v>2080</v>
      </c>
      <c r="AH30" s="203">
        <f t="shared" ref="AH30:AH33" si="60">SUM(AF30)</f>
        <v>208</v>
      </c>
      <c r="AI30" s="203">
        <f t="shared" si="13"/>
        <v>2080</v>
      </c>
      <c r="AJ30" s="203">
        <f t="shared" ref="AJ30:AJ33" si="61">SUM(AH30)</f>
        <v>208</v>
      </c>
      <c r="AK30" s="203">
        <f t="shared" si="14"/>
        <v>2080</v>
      </c>
      <c r="AL30" s="203">
        <f t="shared" ref="AL30:AL33" si="62">SUM(AJ30)</f>
        <v>208</v>
      </c>
      <c r="AM30" s="203">
        <f t="shared" si="15"/>
        <v>2080</v>
      </c>
      <c r="AN30" s="35">
        <f t="shared" ref="AN30:AN33" si="63">SUM(AO30/19600)</f>
        <v>0.74285714285714288</v>
      </c>
      <c r="AO30" s="36">
        <f t="shared" ref="AO30:AO33" si="64">SUM(AA30+AC30+AE30+AG30+AI30+AK30+AM30)</f>
        <v>14560</v>
      </c>
      <c r="AQ30" s="223">
        <f t="shared" si="37"/>
        <v>0.66830333753170468</v>
      </c>
      <c r="AR30" s="38">
        <f t="shared" si="38"/>
        <v>62132.161290322583</v>
      </c>
      <c r="AS30" s="197">
        <f t="shared" si="39"/>
        <v>-2146.7419354838567</v>
      </c>
      <c r="AT30" s="355"/>
      <c r="AU30" s="665"/>
      <c r="AV30" s="515">
        <f t="shared" si="43"/>
        <v>1.0029999999999999</v>
      </c>
      <c r="AW30" s="290">
        <f>-SUM('B5'!AI29)</f>
        <v>-90</v>
      </c>
      <c r="AX30" s="290">
        <f>-SUM(AW30-AS30)</f>
        <v>-2056.7419354838567</v>
      </c>
      <c r="AY30" s="37">
        <f t="shared" si="41"/>
        <v>-2146.7419354838567</v>
      </c>
      <c r="AZ30" s="100">
        <f>ELEC!A27</f>
        <v>0</v>
      </c>
      <c r="BA30" s="118">
        <f>'General information '!D30</f>
        <v>24.5</v>
      </c>
      <c r="BB30" s="394">
        <f>SUM('General information '!E30)</f>
        <v>0.66</v>
      </c>
      <c r="BC30" s="3">
        <f t="shared" si="44"/>
        <v>0</v>
      </c>
      <c r="BD30" s="102">
        <v>19222</v>
      </c>
      <c r="BE30" s="14">
        <f>(305/1185)*ELEC!Q28</f>
        <v>3368.1265822783089</v>
      </c>
      <c r="BF30" s="14"/>
      <c r="BG30" s="14" t="e">
        <f>#REF!-BE30</f>
        <v>#REF!</v>
      </c>
      <c r="BH30" s="11"/>
    </row>
    <row r="31" spans="1:64">
      <c r="A31" s="443">
        <f>ELEC!C28</f>
        <v>44342</v>
      </c>
      <c r="B31">
        <f>'B5'!B30</f>
        <v>187</v>
      </c>
      <c r="C31" s="203">
        <f t="shared" si="18"/>
        <v>4023.516129032258</v>
      </c>
      <c r="D31">
        <f t="shared" si="45"/>
        <v>187</v>
      </c>
      <c r="E31" s="203">
        <f t="shared" si="18"/>
        <v>4023.516129032258</v>
      </c>
      <c r="F31">
        <f t="shared" si="46"/>
        <v>187</v>
      </c>
      <c r="G31" s="203">
        <f t="shared" si="1"/>
        <v>4023.516129032258</v>
      </c>
      <c r="H31" s="203">
        <f t="shared" si="47"/>
        <v>187</v>
      </c>
      <c r="I31" s="203">
        <f t="shared" si="2"/>
        <v>4023.516129032258</v>
      </c>
      <c r="J31" s="203">
        <f t="shared" si="48"/>
        <v>187</v>
      </c>
      <c r="K31" s="203">
        <f t="shared" si="3"/>
        <v>4023.516129032258</v>
      </c>
      <c r="L31" s="203">
        <f t="shared" si="49"/>
        <v>187</v>
      </c>
      <c r="M31" s="203">
        <f t="shared" si="4"/>
        <v>4023.516129032258</v>
      </c>
      <c r="N31" s="203">
        <f t="shared" si="50"/>
        <v>187</v>
      </c>
      <c r="O31" s="203">
        <f t="shared" si="5"/>
        <v>4023.516129032258</v>
      </c>
      <c r="P31" s="203">
        <f t="shared" si="51"/>
        <v>187</v>
      </c>
      <c r="Q31" s="203">
        <f t="shared" si="6"/>
        <v>4023.516129032258</v>
      </c>
      <c r="R31" s="203">
        <f t="shared" si="52"/>
        <v>187</v>
      </c>
      <c r="S31" s="203">
        <f t="shared" si="7"/>
        <v>4023.516129032258</v>
      </c>
      <c r="T31" s="203">
        <f t="shared" si="53"/>
        <v>187</v>
      </c>
      <c r="U31" s="203">
        <f t="shared" si="8"/>
        <v>4023.516129032258</v>
      </c>
      <c r="V31" s="203">
        <f t="shared" si="54"/>
        <v>187</v>
      </c>
      <c r="W31" s="203">
        <f t="shared" si="9"/>
        <v>4023.516129032258</v>
      </c>
      <c r="X31" s="35">
        <f t="shared" si="55"/>
        <v>0.60322580645161294</v>
      </c>
      <c r="Y31" s="36">
        <f t="shared" si="56"/>
        <v>44258.677419354841</v>
      </c>
      <c r="Z31" s="203">
        <f>'B5'!C30</f>
        <v>194</v>
      </c>
      <c r="AA31" s="203">
        <f t="shared" si="30"/>
        <v>1940</v>
      </c>
      <c r="AB31" s="203">
        <f t="shared" si="57"/>
        <v>194</v>
      </c>
      <c r="AC31" s="203">
        <f t="shared" si="30"/>
        <v>1940</v>
      </c>
      <c r="AD31" s="203">
        <f t="shared" si="58"/>
        <v>194</v>
      </c>
      <c r="AE31" s="203">
        <f t="shared" si="11"/>
        <v>1940</v>
      </c>
      <c r="AF31" s="203">
        <f t="shared" si="59"/>
        <v>194</v>
      </c>
      <c r="AG31" s="203">
        <f t="shared" si="12"/>
        <v>1940</v>
      </c>
      <c r="AH31" s="203">
        <f t="shared" si="60"/>
        <v>194</v>
      </c>
      <c r="AI31" s="203">
        <f t="shared" si="13"/>
        <v>1940</v>
      </c>
      <c r="AJ31" s="203">
        <f t="shared" si="61"/>
        <v>194</v>
      </c>
      <c r="AK31" s="203">
        <f t="shared" si="14"/>
        <v>1940</v>
      </c>
      <c r="AL31" s="203">
        <f t="shared" si="62"/>
        <v>194</v>
      </c>
      <c r="AM31" s="203">
        <f t="shared" si="15"/>
        <v>1940</v>
      </c>
      <c r="AN31" s="35">
        <f t="shared" si="63"/>
        <v>0.69285714285714284</v>
      </c>
      <c r="AO31" s="36">
        <f t="shared" si="64"/>
        <v>13580</v>
      </c>
      <c r="AQ31" s="223">
        <f t="shared" si="37"/>
        <v>0.62212194707276369</v>
      </c>
      <c r="AR31" s="38">
        <f t="shared" si="38"/>
        <v>57838.677419354841</v>
      </c>
      <c r="AS31" s="197">
        <f t="shared" si="39"/>
        <v>-4293.4838709677424</v>
      </c>
      <c r="AT31" s="355"/>
      <c r="AU31" s="665"/>
      <c r="AV31" s="515">
        <f t="shared" si="43"/>
        <v>1.0029999999999999</v>
      </c>
      <c r="AW31" s="290">
        <f>-SUM('B5'!AI30)</f>
        <v>-114</v>
      </c>
      <c r="AX31" s="290">
        <f t="shared" si="40"/>
        <v>-4179.4838709677424</v>
      </c>
      <c r="AY31" s="37">
        <f t="shared" si="41"/>
        <v>-4293.4838709677424</v>
      </c>
      <c r="AZ31" s="100">
        <f>ELEC!A28</f>
        <v>0</v>
      </c>
      <c r="BA31" s="118">
        <f>'General information '!D31</f>
        <v>24.5</v>
      </c>
      <c r="BB31" s="394">
        <f>SUM('General information '!E31)</f>
        <v>0.65</v>
      </c>
      <c r="BC31" s="3">
        <f t="shared" si="44"/>
        <v>0</v>
      </c>
      <c r="BD31" s="102">
        <v>19222</v>
      </c>
      <c r="BE31" s="14">
        <f>(305/1185)*ELEC!Q29</f>
        <v>2428.6751054856218</v>
      </c>
      <c r="BF31" s="14"/>
      <c r="BG31" s="14" t="e">
        <f>#REF!-BE31</f>
        <v>#REF!</v>
      </c>
      <c r="BH31" s="11"/>
    </row>
    <row r="32" spans="1:64">
      <c r="A32" s="443">
        <f>ELEC!C29</f>
        <v>44343</v>
      </c>
      <c r="B32">
        <f>'B5'!B31</f>
        <v>177</v>
      </c>
      <c r="C32" s="203">
        <f t="shared" si="18"/>
        <v>3808.3548387096776</v>
      </c>
      <c r="D32">
        <f t="shared" si="45"/>
        <v>177</v>
      </c>
      <c r="E32" s="203">
        <f t="shared" si="18"/>
        <v>3808.3548387096776</v>
      </c>
      <c r="F32">
        <f t="shared" si="46"/>
        <v>177</v>
      </c>
      <c r="G32" s="203">
        <f t="shared" si="1"/>
        <v>3808.3548387096776</v>
      </c>
      <c r="H32" s="203">
        <f t="shared" si="47"/>
        <v>177</v>
      </c>
      <c r="I32" s="203">
        <f t="shared" si="2"/>
        <v>3808.3548387096776</v>
      </c>
      <c r="J32" s="203">
        <f t="shared" si="48"/>
        <v>177</v>
      </c>
      <c r="K32" s="203">
        <f t="shared" si="3"/>
        <v>3808.3548387096776</v>
      </c>
      <c r="L32" s="203">
        <f t="shared" si="49"/>
        <v>177</v>
      </c>
      <c r="M32" s="203">
        <f t="shared" si="4"/>
        <v>3808.3548387096776</v>
      </c>
      <c r="N32" s="203">
        <f t="shared" si="50"/>
        <v>177</v>
      </c>
      <c r="O32" s="203">
        <f t="shared" si="5"/>
        <v>3808.3548387096776</v>
      </c>
      <c r="P32" s="203">
        <f t="shared" si="51"/>
        <v>177</v>
      </c>
      <c r="Q32" s="203">
        <f t="shared" si="6"/>
        <v>3808.3548387096776</v>
      </c>
      <c r="R32" s="203">
        <f t="shared" si="52"/>
        <v>177</v>
      </c>
      <c r="S32" s="203">
        <f t="shared" si="7"/>
        <v>3808.3548387096776</v>
      </c>
      <c r="T32" s="203">
        <f t="shared" si="53"/>
        <v>177</v>
      </c>
      <c r="U32" s="203">
        <f t="shared" si="8"/>
        <v>3808.3548387096776</v>
      </c>
      <c r="V32" s="203">
        <f t="shared" si="54"/>
        <v>177</v>
      </c>
      <c r="W32" s="203">
        <f t="shared" si="9"/>
        <v>3808.3548387096776</v>
      </c>
      <c r="X32" s="35">
        <f t="shared" si="55"/>
        <v>0.57096774193548383</v>
      </c>
      <c r="Y32" s="36">
        <f t="shared" si="56"/>
        <v>41891.903225806447</v>
      </c>
      <c r="Z32" s="203">
        <f>'B5'!C31</f>
        <v>184</v>
      </c>
      <c r="AA32" s="203">
        <f t="shared" si="30"/>
        <v>1840</v>
      </c>
      <c r="AB32" s="203">
        <f t="shared" si="57"/>
        <v>184</v>
      </c>
      <c r="AC32" s="203">
        <f t="shared" si="30"/>
        <v>1840</v>
      </c>
      <c r="AD32" s="203">
        <f t="shared" si="58"/>
        <v>184</v>
      </c>
      <c r="AE32" s="203">
        <f t="shared" si="11"/>
        <v>1840</v>
      </c>
      <c r="AF32" s="203">
        <f t="shared" si="59"/>
        <v>184</v>
      </c>
      <c r="AG32" s="203">
        <f t="shared" si="12"/>
        <v>1840</v>
      </c>
      <c r="AH32" s="203">
        <f t="shared" si="60"/>
        <v>184</v>
      </c>
      <c r="AI32" s="203">
        <f t="shared" si="13"/>
        <v>1840</v>
      </c>
      <c r="AJ32" s="203">
        <f t="shared" si="61"/>
        <v>184</v>
      </c>
      <c r="AK32" s="203">
        <f t="shared" si="14"/>
        <v>1840</v>
      </c>
      <c r="AL32" s="203">
        <f t="shared" si="62"/>
        <v>184</v>
      </c>
      <c r="AM32" s="203">
        <f t="shared" si="15"/>
        <v>1840</v>
      </c>
      <c r="AN32" s="35">
        <f t="shared" si="63"/>
        <v>0.65714285714285714</v>
      </c>
      <c r="AO32" s="36">
        <f t="shared" si="64"/>
        <v>12880</v>
      </c>
      <c r="AQ32" s="223">
        <f t="shared" si="37"/>
        <v>0.58913523960209147</v>
      </c>
      <c r="AR32" s="38">
        <f t="shared" si="38"/>
        <v>54771.903225806447</v>
      </c>
      <c r="AS32" s="197">
        <f t="shared" si="39"/>
        <v>-3066.7741935483937</v>
      </c>
      <c r="AT32" s="355"/>
      <c r="AU32" s="665"/>
      <c r="AV32" s="515">
        <f>IF(AT32&gt;0,AU32,AV31)</f>
        <v>1.0029999999999999</v>
      </c>
      <c r="AW32" s="290">
        <f>-SUM('B5'!AI31)</f>
        <v>-106</v>
      </c>
      <c r="AX32" s="290">
        <f t="shared" si="40"/>
        <v>-2960.7741935483937</v>
      </c>
      <c r="AY32" s="37">
        <f t="shared" si="41"/>
        <v>-3066.7741935483937</v>
      </c>
      <c r="AZ32" s="100">
        <f>ELEC!A29</f>
        <v>0</v>
      </c>
      <c r="BA32" s="118">
        <f>'General information '!D32</f>
        <v>23.5</v>
      </c>
      <c r="BB32" s="394">
        <f>SUM('General information '!E32)</f>
        <v>0.6</v>
      </c>
      <c r="BC32" s="3">
        <f t="shared" si="44"/>
        <v>0</v>
      </c>
      <c r="BD32" s="102">
        <v>19222</v>
      </c>
      <c r="BE32" s="14">
        <f>(305/1185)*ELEC!Q30</f>
        <v>3591.7932489446612</v>
      </c>
      <c r="BF32" s="14"/>
      <c r="BG32" s="14" t="e">
        <f>#REF!-BE32</f>
        <v>#REF!</v>
      </c>
      <c r="BH32" s="11"/>
    </row>
    <row r="33" spans="1:60">
      <c r="A33" s="443">
        <f>ELEC!C30</f>
        <v>44344</v>
      </c>
      <c r="B33">
        <f>'B5'!B32</f>
        <v>199</v>
      </c>
      <c r="C33" s="203">
        <f t="shared" si="18"/>
        <v>4281.7096774193551</v>
      </c>
      <c r="D33">
        <f t="shared" si="45"/>
        <v>199</v>
      </c>
      <c r="E33" s="203">
        <f t="shared" si="18"/>
        <v>4281.7096774193551</v>
      </c>
      <c r="F33">
        <f t="shared" si="46"/>
        <v>199</v>
      </c>
      <c r="G33" s="203">
        <f t="shared" si="1"/>
        <v>4281.7096774193551</v>
      </c>
      <c r="H33" s="203">
        <f t="shared" si="47"/>
        <v>199</v>
      </c>
      <c r="I33" s="203">
        <f t="shared" si="2"/>
        <v>4281.7096774193551</v>
      </c>
      <c r="J33" s="203">
        <f t="shared" si="48"/>
        <v>199</v>
      </c>
      <c r="K33" s="203">
        <f t="shared" si="3"/>
        <v>4281.7096774193551</v>
      </c>
      <c r="L33" s="203">
        <f t="shared" si="49"/>
        <v>199</v>
      </c>
      <c r="M33" s="203">
        <f t="shared" si="4"/>
        <v>4281.7096774193551</v>
      </c>
      <c r="N33" s="203">
        <f t="shared" si="50"/>
        <v>199</v>
      </c>
      <c r="O33" s="203">
        <f t="shared" si="5"/>
        <v>4281.7096774193551</v>
      </c>
      <c r="P33" s="203">
        <f t="shared" si="51"/>
        <v>199</v>
      </c>
      <c r="Q33" s="203">
        <f t="shared" si="6"/>
        <v>4281.7096774193551</v>
      </c>
      <c r="R33" s="203">
        <f t="shared" si="52"/>
        <v>199</v>
      </c>
      <c r="S33" s="203">
        <f t="shared" si="7"/>
        <v>4281.7096774193551</v>
      </c>
      <c r="T33" s="203">
        <f t="shared" si="53"/>
        <v>199</v>
      </c>
      <c r="U33" s="203">
        <f t="shared" si="8"/>
        <v>4281.7096774193551</v>
      </c>
      <c r="V33" s="203">
        <f t="shared" si="54"/>
        <v>199</v>
      </c>
      <c r="W33" s="203">
        <f t="shared" si="9"/>
        <v>4281.7096774193551</v>
      </c>
      <c r="X33" s="35">
        <f t="shared" si="55"/>
        <v>0.64193548387096777</v>
      </c>
      <c r="Y33" s="36">
        <f t="shared" si="56"/>
        <v>47098.806451612909</v>
      </c>
      <c r="Z33" s="203">
        <f>'B5'!C32</f>
        <v>206</v>
      </c>
      <c r="AA33" s="203">
        <f t="shared" si="30"/>
        <v>2060</v>
      </c>
      <c r="AB33" s="203">
        <f t="shared" si="57"/>
        <v>206</v>
      </c>
      <c r="AC33" s="203">
        <f t="shared" si="30"/>
        <v>2060</v>
      </c>
      <c r="AD33" s="203">
        <f t="shared" si="58"/>
        <v>206</v>
      </c>
      <c r="AE33" s="203">
        <f t="shared" si="11"/>
        <v>2060</v>
      </c>
      <c r="AF33" s="203">
        <f t="shared" si="59"/>
        <v>206</v>
      </c>
      <c r="AG33" s="203">
        <f t="shared" si="12"/>
        <v>2060</v>
      </c>
      <c r="AH33" s="203">
        <f t="shared" si="60"/>
        <v>206</v>
      </c>
      <c r="AI33" s="203">
        <f t="shared" si="13"/>
        <v>2060</v>
      </c>
      <c r="AJ33" s="203">
        <f t="shared" si="61"/>
        <v>206</v>
      </c>
      <c r="AK33" s="203">
        <f t="shared" si="14"/>
        <v>2060</v>
      </c>
      <c r="AL33" s="203">
        <f t="shared" si="62"/>
        <v>206</v>
      </c>
      <c r="AM33" s="203">
        <f t="shared" si="15"/>
        <v>2060</v>
      </c>
      <c r="AN33" s="35">
        <f t="shared" si="63"/>
        <v>0.73571428571428577</v>
      </c>
      <c r="AO33" s="36">
        <f t="shared" si="64"/>
        <v>14420</v>
      </c>
      <c r="AQ33" s="223">
        <f t="shared" si="37"/>
        <v>0.6617059960375703</v>
      </c>
      <c r="AR33" s="38">
        <f t="shared" si="38"/>
        <v>61518.806451612909</v>
      </c>
      <c r="AS33" s="197">
        <f t="shared" si="39"/>
        <v>-2923.0967741935383</v>
      </c>
      <c r="AT33" s="355">
        <v>9670</v>
      </c>
      <c r="AU33" s="665">
        <v>1.0029999999999999</v>
      </c>
      <c r="AV33" s="515">
        <f>IF(AT33&gt;0,AU33,AV32)</f>
        <v>1.0029999999999999</v>
      </c>
      <c r="AW33" s="290">
        <f>-SUM('B5'!AI32)</f>
        <v>-136</v>
      </c>
      <c r="AX33" s="290">
        <f t="shared" si="40"/>
        <v>-2787.0967741935383</v>
      </c>
      <c r="AY33" s="37">
        <f t="shared" si="41"/>
        <v>-2923.0967741935383</v>
      </c>
      <c r="AZ33" s="100">
        <f>ELEC!A30</f>
        <v>0</v>
      </c>
      <c r="BA33" s="118">
        <f>'General information '!D33</f>
        <v>24.5</v>
      </c>
      <c r="BB33" s="204">
        <f>SUM('General information '!E33)</f>
        <v>0.65</v>
      </c>
      <c r="BC33" s="3">
        <f t="shared" si="44"/>
        <v>1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3">
        <f>ELEC!C31</f>
        <v>44345</v>
      </c>
      <c r="B34">
        <f>'B5'!B33</f>
        <v>192</v>
      </c>
      <c r="C34" s="203">
        <f t="shared" ref="C34:C35" si="65">B34*$B$4</f>
        <v>4131.0967741935483</v>
      </c>
      <c r="D34">
        <f t="shared" ref="D34:D35" si="66">SUM(B34)</f>
        <v>192</v>
      </c>
      <c r="E34" s="203">
        <f t="shared" ref="E34:E35" si="67">D34*$B$4</f>
        <v>4131.0967741935483</v>
      </c>
      <c r="F34">
        <f t="shared" ref="F34:F35" si="68">SUM(D34)</f>
        <v>192</v>
      </c>
      <c r="G34" s="203">
        <f t="shared" ref="G34:G35" si="69">F34*$B$4</f>
        <v>4131.0967741935483</v>
      </c>
      <c r="H34" s="203">
        <f t="shared" ref="H34:H35" si="70">SUM(F34)</f>
        <v>192</v>
      </c>
      <c r="I34" s="203">
        <f t="shared" ref="I34:I35" si="71">H34*$B$4</f>
        <v>4131.0967741935483</v>
      </c>
      <c r="J34" s="203">
        <f t="shared" ref="J34:J35" si="72">SUM(H34)</f>
        <v>192</v>
      </c>
      <c r="K34" s="203">
        <f t="shared" ref="K34:K35" si="73">J34*$B$4</f>
        <v>4131.0967741935483</v>
      </c>
      <c r="L34" s="203">
        <f t="shared" ref="L34:L35" si="74">SUM(J34)</f>
        <v>192</v>
      </c>
      <c r="M34" s="203">
        <f t="shared" ref="M34:M35" si="75">L34*$B$4</f>
        <v>4131.0967741935483</v>
      </c>
      <c r="N34" s="203">
        <f t="shared" ref="N34:N35" si="76">SUM(L34)</f>
        <v>192</v>
      </c>
      <c r="O34" s="203">
        <f t="shared" ref="O34:O35" si="77">N34*$B$4</f>
        <v>4131.0967741935483</v>
      </c>
      <c r="P34" s="203">
        <f t="shared" ref="P34:P35" si="78">SUM(N34)</f>
        <v>192</v>
      </c>
      <c r="Q34" s="203">
        <f t="shared" ref="Q34:Q35" si="79">P34*$B$4</f>
        <v>4131.0967741935483</v>
      </c>
      <c r="R34" s="203">
        <f t="shared" ref="R34:R35" si="80">SUM(P34)</f>
        <v>192</v>
      </c>
      <c r="S34" s="203">
        <f t="shared" ref="S34:S35" si="81">R34*$B$4</f>
        <v>4131.0967741935483</v>
      </c>
      <c r="T34" s="203">
        <f t="shared" ref="T34:T35" si="82">SUM(R34)</f>
        <v>192</v>
      </c>
      <c r="U34" s="203">
        <f t="shared" ref="U34:U35" si="83">T34*$B$4</f>
        <v>4131.0967741935483</v>
      </c>
      <c r="V34" s="203">
        <f t="shared" ref="V34:V35" si="84">SUM(T34)</f>
        <v>192</v>
      </c>
      <c r="W34" s="203">
        <f t="shared" ref="W34:W35" si="85">V34*$B$4</f>
        <v>4131.0967741935483</v>
      </c>
      <c r="X34" s="35">
        <f t="shared" ref="X34:X35" si="86">SUM(Y34/73370)</f>
        <v>0.61935483870967734</v>
      </c>
      <c r="Y34" s="36">
        <f t="shared" ref="Y34:Y35" si="87">SUM(C34+E34+G34+I34+K34+M34+O34+Q34+S34+U34+W34)</f>
        <v>45442.064516129023</v>
      </c>
      <c r="Z34" s="203">
        <f>'B5'!C33</f>
        <v>198</v>
      </c>
      <c r="AA34" s="203">
        <f t="shared" ref="AA34:AA35" si="88">SUM(Z34*$Z$4)</f>
        <v>1980</v>
      </c>
      <c r="AB34" s="203">
        <f t="shared" ref="AB34:AB35" si="89">SUM(Z34)</f>
        <v>198</v>
      </c>
      <c r="AC34" s="203">
        <f t="shared" ref="AC34:AC35" si="90">SUM(AB34*$Z$4)</f>
        <v>1980</v>
      </c>
      <c r="AD34" s="203">
        <f t="shared" ref="AD34:AD35" si="91">SUM(AB34)</f>
        <v>198</v>
      </c>
      <c r="AE34" s="203">
        <f t="shared" ref="AE34:AE35" si="92">SUM(AD34*$Z$4)</f>
        <v>1980</v>
      </c>
      <c r="AF34" s="203">
        <f t="shared" ref="AF34:AF35" si="93">SUM(AD34)</f>
        <v>198</v>
      </c>
      <c r="AG34" s="203">
        <f t="shared" ref="AG34:AG35" si="94">SUM(AF34*$Z$4)</f>
        <v>1980</v>
      </c>
      <c r="AH34" s="203">
        <f t="shared" ref="AH34:AH35" si="95">SUM(AF34)</f>
        <v>198</v>
      </c>
      <c r="AI34" s="203">
        <f t="shared" ref="AI34:AI35" si="96">SUM(AH34*$Z$4)</f>
        <v>1980</v>
      </c>
      <c r="AJ34" s="203">
        <f t="shared" ref="AJ34:AJ35" si="97">SUM(AH34)</f>
        <v>198</v>
      </c>
      <c r="AK34" s="203">
        <f t="shared" ref="AK34:AK35" si="98">SUM(AJ34*$Z$4)</f>
        <v>1980</v>
      </c>
      <c r="AL34" s="203">
        <f t="shared" ref="AL34:AL35" si="99">SUM(AJ34)</f>
        <v>198</v>
      </c>
      <c r="AM34" s="203">
        <f t="shared" ref="AM34:AM35" si="100">SUM(AL34*$Z$4)</f>
        <v>1980</v>
      </c>
      <c r="AN34" s="35">
        <f t="shared" ref="AN34:AN35" si="101">SUM(AO34/19600)</f>
        <v>0.70714285714285718</v>
      </c>
      <c r="AO34" s="36">
        <f t="shared" ref="AO34:AO35" si="102">SUM(AA34+AC34+AE34+AG34+AI34+AK34+AM34)</f>
        <v>13860</v>
      </c>
      <c r="AQ34" s="223">
        <f t="shared" ref="AQ34:AQ35" si="103">SUM(AR34/92970)</f>
        <v>0.63786236975507182</v>
      </c>
      <c r="AR34" s="38">
        <f t="shared" si="38"/>
        <v>59302.064516129023</v>
      </c>
      <c r="AS34" s="197">
        <f t="shared" si="39"/>
        <v>-2216.7419354838858</v>
      </c>
      <c r="AT34" s="355"/>
      <c r="AU34" s="665"/>
      <c r="AV34" s="515">
        <f t="shared" ref="AV34:AV35" si="104">IF(AT34&gt;0,AU34,AV33)</f>
        <v>1.0029999999999999</v>
      </c>
      <c r="AW34" s="290">
        <f>-SUM('B5'!AI33)</f>
        <v>-99</v>
      </c>
      <c r="AX34" s="290">
        <f t="shared" ref="AX34:AX35" si="105">-SUM(AW34-AS34)</f>
        <v>-2117.7419354838858</v>
      </c>
      <c r="AY34" s="37">
        <f t="shared" ref="AY34:AY35" si="106">SUM(AX34+AW34)</f>
        <v>-2216.7419354838858</v>
      </c>
      <c r="AZ34" s="100">
        <f>ELEC!A31</f>
        <v>0</v>
      </c>
      <c r="BA34" s="118">
        <f>'General information '!D34</f>
        <v>24.5</v>
      </c>
      <c r="BB34" s="394">
        <f>SUM('General information '!E34)</f>
        <v>0.44</v>
      </c>
      <c r="BC34" s="3"/>
      <c r="BD34" s="102"/>
      <c r="BE34" s="14"/>
      <c r="BF34" s="14"/>
      <c r="BG34" s="14"/>
      <c r="BH34" s="11"/>
    </row>
    <row r="35" spans="1:60">
      <c r="A35" s="443">
        <f>ELEC!C32</f>
        <v>44346</v>
      </c>
      <c r="B35">
        <f>'B5'!B34</f>
        <v>181</v>
      </c>
      <c r="C35" s="203">
        <f t="shared" si="65"/>
        <v>3894.4193548387098</v>
      </c>
      <c r="D35">
        <f t="shared" si="66"/>
        <v>181</v>
      </c>
      <c r="E35" s="203">
        <f t="shared" si="67"/>
        <v>3894.4193548387098</v>
      </c>
      <c r="F35">
        <f t="shared" si="68"/>
        <v>181</v>
      </c>
      <c r="G35" s="203">
        <f t="shared" si="69"/>
        <v>3894.4193548387098</v>
      </c>
      <c r="H35" s="203">
        <f t="shared" si="70"/>
        <v>181</v>
      </c>
      <c r="I35" s="203">
        <f t="shared" si="71"/>
        <v>3894.4193548387098</v>
      </c>
      <c r="J35" s="203">
        <f t="shared" si="72"/>
        <v>181</v>
      </c>
      <c r="K35" s="203">
        <f t="shared" si="73"/>
        <v>3894.4193548387098</v>
      </c>
      <c r="L35" s="203">
        <f t="shared" si="74"/>
        <v>181</v>
      </c>
      <c r="M35" s="203">
        <f t="shared" si="75"/>
        <v>3894.4193548387098</v>
      </c>
      <c r="N35" s="203">
        <f t="shared" si="76"/>
        <v>181</v>
      </c>
      <c r="O35" s="203">
        <f t="shared" si="77"/>
        <v>3894.4193548387098</v>
      </c>
      <c r="P35" s="203">
        <f t="shared" si="78"/>
        <v>181</v>
      </c>
      <c r="Q35" s="203">
        <f t="shared" si="79"/>
        <v>3894.4193548387098</v>
      </c>
      <c r="R35" s="203">
        <f t="shared" si="80"/>
        <v>181</v>
      </c>
      <c r="S35" s="203">
        <f t="shared" si="81"/>
        <v>3894.4193548387098</v>
      </c>
      <c r="T35" s="203">
        <f t="shared" si="82"/>
        <v>181</v>
      </c>
      <c r="U35" s="203">
        <f t="shared" si="83"/>
        <v>3894.4193548387098</v>
      </c>
      <c r="V35" s="203">
        <f t="shared" si="84"/>
        <v>181</v>
      </c>
      <c r="W35" s="203">
        <f t="shared" si="85"/>
        <v>3894.4193548387098</v>
      </c>
      <c r="X35" s="35">
        <f t="shared" si="86"/>
        <v>0.58387096774193559</v>
      </c>
      <c r="Y35" s="36">
        <f t="shared" si="87"/>
        <v>42838.61290322581</v>
      </c>
      <c r="Z35" s="203">
        <f>'B5'!C34</f>
        <v>187</v>
      </c>
      <c r="AA35" s="203">
        <f t="shared" si="88"/>
        <v>1870</v>
      </c>
      <c r="AB35" s="203">
        <f t="shared" si="89"/>
        <v>187</v>
      </c>
      <c r="AC35" s="203">
        <f t="shared" si="90"/>
        <v>1870</v>
      </c>
      <c r="AD35" s="203">
        <f t="shared" si="91"/>
        <v>187</v>
      </c>
      <c r="AE35" s="203">
        <f t="shared" si="92"/>
        <v>1870</v>
      </c>
      <c r="AF35" s="203">
        <f t="shared" si="93"/>
        <v>187</v>
      </c>
      <c r="AG35" s="203">
        <f t="shared" si="94"/>
        <v>1870</v>
      </c>
      <c r="AH35" s="203">
        <f t="shared" si="95"/>
        <v>187</v>
      </c>
      <c r="AI35" s="203">
        <f t="shared" si="96"/>
        <v>1870</v>
      </c>
      <c r="AJ35" s="203">
        <f t="shared" si="97"/>
        <v>187</v>
      </c>
      <c r="AK35" s="203">
        <f t="shared" si="98"/>
        <v>1870</v>
      </c>
      <c r="AL35" s="203">
        <f t="shared" si="99"/>
        <v>187</v>
      </c>
      <c r="AM35" s="203">
        <f t="shared" si="100"/>
        <v>1870</v>
      </c>
      <c r="AN35" s="35">
        <f t="shared" si="101"/>
        <v>0.66785714285714282</v>
      </c>
      <c r="AO35" s="36">
        <f t="shared" si="102"/>
        <v>13090</v>
      </c>
      <c r="AQ35" s="223">
        <f t="shared" si="103"/>
        <v>0.60157699153733257</v>
      </c>
      <c r="AR35" s="38">
        <f t="shared" si="38"/>
        <v>55928.61290322581</v>
      </c>
      <c r="AS35" s="197">
        <f t="shared" si="39"/>
        <v>-3373.4516129032127</v>
      </c>
      <c r="AT35" s="355"/>
      <c r="AU35" s="665"/>
      <c r="AV35" s="587">
        <f t="shared" si="104"/>
        <v>1.0029999999999999</v>
      </c>
      <c r="AW35" s="290">
        <f>-SUM('B5'!AI34)</f>
        <v>-41</v>
      </c>
      <c r="AX35" s="290">
        <f t="shared" si="105"/>
        <v>-3332.4516129032127</v>
      </c>
      <c r="AY35" s="37">
        <f t="shared" si="106"/>
        <v>-3373.4516129032127</v>
      </c>
      <c r="AZ35" s="100">
        <f>ELEC!A32</f>
        <v>0</v>
      </c>
      <c r="BA35" s="118">
        <f>'General information '!D35</f>
        <v>25</v>
      </c>
      <c r="BB35" s="394">
        <f>SUM('General information '!E35)</f>
        <v>0.65</v>
      </c>
      <c r="BC35" s="3"/>
      <c r="BD35" s="102"/>
      <c r="BE35" s="14"/>
      <c r="BF35" s="14"/>
      <c r="BG35" s="14"/>
      <c r="BH35" s="11"/>
    </row>
    <row r="36" spans="1:60">
      <c r="A36" s="443">
        <f>ELEC!C33</f>
        <v>44347</v>
      </c>
      <c r="B36">
        <f>'B5'!B35</f>
        <v>207</v>
      </c>
      <c r="C36" s="203">
        <f t="shared" ref="C36" si="107">B36*$B$4</f>
        <v>4453.8387096774195</v>
      </c>
      <c r="D36">
        <f t="shared" ref="D36" si="108">SUM(B36)</f>
        <v>207</v>
      </c>
      <c r="E36" s="203">
        <f t="shared" ref="E36" si="109">D36*$B$4</f>
        <v>4453.8387096774195</v>
      </c>
      <c r="F36">
        <f t="shared" ref="F36" si="110">SUM(D36)</f>
        <v>207</v>
      </c>
      <c r="G36" s="203">
        <f t="shared" ref="G36" si="111">F36*$B$4</f>
        <v>4453.8387096774195</v>
      </c>
      <c r="H36" s="203">
        <f t="shared" ref="H36" si="112">SUM(F36)</f>
        <v>207</v>
      </c>
      <c r="I36" s="203">
        <f t="shared" ref="I36" si="113">H36*$B$4</f>
        <v>4453.8387096774195</v>
      </c>
      <c r="J36" s="203">
        <f t="shared" ref="J36" si="114">SUM(H36)</f>
        <v>207</v>
      </c>
      <c r="K36" s="203">
        <f t="shared" ref="K36" si="115">J36*$B$4</f>
        <v>4453.8387096774195</v>
      </c>
      <c r="L36" s="203">
        <f t="shared" ref="L36" si="116">SUM(J36)</f>
        <v>207</v>
      </c>
      <c r="M36" s="203">
        <f t="shared" ref="M36" si="117">L36*$B$4</f>
        <v>4453.8387096774195</v>
      </c>
      <c r="N36" s="203">
        <f t="shared" ref="N36" si="118">SUM(L36)</f>
        <v>207</v>
      </c>
      <c r="O36" s="203">
        <f t="shared" ref="O36" si="119">N36*$B$4</f>
        <v>4453.8387096774195</v>
      </c>
      <c r="P36" s="203">
        <f t="shared" ref="P36" si="120">SUM(N36)</f>
        <v>207</v>
      </c>
      <c r="Q36" s="203">
        <f t="shared" ref="Q36" si="121">P36*$B$4</f>
        <v>4453.8387096774195</v>
      </c>
      <c r="R36" s="203">
        <f t="shared" ref="R36" si="122">SUM(P36)</f>
        <v>207</v>
      </c>
      <c r="S36" s="203">
        <f t="shared" ref="S36" si="123">R36*$B$4</f>
        <v>4453.8387096774195</v>
      </c>
      <c r="T36" s="203">
        <f t="shared" ref="T36" si="124">SUM(R36)</f>
        <v>207</v>
      </c>
      <c r="U36" s="203">
        <f t="shared" ref="U36" si="125">T36*$B$4</f>
        <v>4453.8387096774195</v>
      </c>
      <c r="V36" s="203">
        <f t="shared" ref="V36" si="126">SUM(T36)</f>
        <v>207</v>
      </c>
      <c r="W36" s="203">
        <f t="shared" ref="W36" si="127">V36*$B$4</f>
        <v>4453.8387096774195</v>
      </c>
      <c r="X36" s="35">
        <f t="shared" ref="X36" si="128">SUM(Y36/73370)</f>
        <v>0.66774193548387084</v>
      </c>
      <c r="Y36" s="36">
        <f t="shared" ref="Y36" si="129">SUM(C36+E36+G36+I36+K36+M36+O36+Q36+S36+U36+W36)</f>
        <v>48992.225806451606</v>
      </c>
      <c r="Z36" s="203">
        <f>'B5'!C35</f>
        <v>214</v>
      </c>
      <c r="AA36" s="203">
        <f t="shared" ref="AA36" si="130">SUM(Z36*$Z$4)</f>
        <v>2140</v>
      </c>
      <c r="AB36" s="203">
        <f t="shared" ref="AB36" si="131">SUM(Z36)</f>
        <v>214</v>
      </c>
      <c r="AC36" s="203">
        <f t="shared" ref="AC36" si="132">SUM(AB36*$Z$4)</f>
        <v>2140</v>
      </c>
      <c r="AD36" s="203">
        <f t="shared" ref="AD36" si="133">SUM(AB36)</f>
        <v>214</v>
      </c>
      <c r="AE36" s="203">
        <f t="shared" ref="AE36" si="134">SUM(AD36*$Z$4)</f>
        <v>2140</v>
      </c>
      <c r="AF36" s="203">
        <f t="shared" ref="AF36" si="135">SUM(AD36)</f>
        <v>214</v>
      </c>
      <c r="AG36" s="203">
        <f t="shared" ref="AG36" si="136">SUM(AF36*$Z$4)</f>
        <v>2140</v>
      </c>
      <c r="AH36" s="203">
        <f t="shared" ref="AH36" si="137">SUM(AF36)</f>
        <v>214</v>
      </c>
      <c r="AI36" s="203">
        <f t="shared" ref="AI36" si="138">SUM(AH36*$Z$4)</f>
        <v>2140</v>
      </c>
      <c r="AJ36" s="203">
        <f t="shared" ref="AJ36" si="139">SUM(AH36)</f>
        <v>214</v>
      </c>
      <c r="AK36" s="203">
        <f t="shared" ref="AK36" si="140">SUM(AJ36*$Z$4)</f>
        <v>2140</v>
      </c>
      <c r="AL36" s="203">
        <f t="shared" ref="AL36" si="141">SUM(AJ36)</f>
        <v>214</v>
      </c>
      <c r="AM36" s="203">
        <f t="shared" ref="AM36" si="142">SUM(AL36*$Z$4)</f>
        <v>2140</v>
      </c>
      <c r="AN36" s="35">
        <f t="shared" ref="AN36" si="143">SUM(AO36/19600)</f>
        <v>0.76428571428571423</v>
      </c>
      <c r="AO36" s="36">
        <f t="shared" ref="AO36" si="144">SUM(AA36+AC36+AE36+AG36+AI36+AK36+AM36)</f>
        <v>14980</v>
      </c>
      <c r="AQ36" s="223">
        <f t="shared" ref="AQ36" si="145">SUM(AR36/92970)</f>
        <v>0.68809536201410781</v>
      </c>
      <c r="AR36" s="38">
        <f t="shared" si="38"/>
        <v>63972.225806451606</v>
      </c>
      <c r="AS36" s="197">
        <f t="shared" si="39"/>
        <v>-4016.3870967742041</v>
      </c>
      <c r="AT36" s="355">
        <v>12060</v>
      </c>
      <c r="AU36" s="665">
        <v>1.0029999999999999</v>
      </c>
      <c r="AV36" s="587">
        <f t="shared" ref="AV36" si="146">IF(AT36&gt;0,AU36,AV35)</f>
        <v>1.0029999999999999</v>
      </c>
      <c r="AW36" s="290">
        <f>-SUM('B5'!AI35)</f>
        <v>-306</v>
      </c>
      <c r="AX36" s="290">
        <f t="shared" ref="AX36" si="147">-SUM(AW36-AS36)</f>
        <v>-3710.3870967742041</v>
      </c>
      <c r="AY36" s="37">
        <f t="shared" ref="AY36" si="148">SUM(AX36+AW36)</f>
        <v>-4016.3870967742041</v>
      </c>
      <c r="AZ36" s="100">
        <f>ELEC!A33</f>
        <v>0</v>
      </c>
      <c r="BA36" s="118">
        <f>'General information '!D36</f>
        <v>25.5</v>
      </c>
      <c r="BB36" s="394">
        <f>SUM('General information '!E36)</f>
        <v>0.75</v>
      </c>
      <c r="BC36" s="3"/>
      <c r="BD36" s="102"/>
      <c r="BE36" s="14"/>
      <c r="BF36" s="14"/>
      <c r="BG36" s="14"/>
      <c r="BH36" s="11"/>
    </row>
    <row r="37" spans="1:60">
      <c r="AQ37" s="20"/>
      <c r="AR37" s="477" t="s">
        <v>225</v>
      </c>
      <c r="AS37" s="482">
        <f>COUNT(AT6:AT36)</f>
        <v>5</v>
      </c>
      <c r="AT37" s="203">
        <f>SUM(AT6:AT36)</f>
        <v>60003.8</v>
      </c>
      <c r="AU37" s="663">
        <f>SUM(AU6:AU36)/AS37</f>
        <v>0.99039999999999995</v>
      </c>
      <c r="AX37" s="203">
        <f>SUM(AX6:AX36)</f>
        <v>-65682.277419354825</v>
      </c>
      <c r="AY37" s="203">
        <f>SUM(AY6:AY36)</f>
        <v>-69747.477419354836</v>
      </c>
    </row>
    <row r="38" spans="1:60">
      <c r="AS38" s="206"/>
      <c r="AT38" s="82">
        <f>+AT37*AU37</f>
        <v>59427.76352</v>
      </c>
    </row>
    <row r="40" spans="1:60">
      <c r="AS40" s="165">
        <f>SUM(AS6:AS36)/'EDl log'!A35</f>
        <v>-2249.9186264308014</v>
      </c>
      <c r="AT40" s="203"/>
    </row>
    <row r="41" spans="1:60">
      <c r="AX41">
        <v>43309</v>
      </c>
    </row>
    <row r="42" spans="1:60">
      <c r="AR42" s="203"/>
      <c r="AX42">
        <f>AX37/AX41</f>
        <v>-1.5165964907837823</v>
      </c>
    </row>
  </sheetData>
  <mergeCells count="3">
    <mergeCell ref="AT3:AU3"/>
    <mergeCell ref="AS3:AS4"/>
    <mergeCell ref="AR3:AR4"/>
  </mergeCells>
  <conditionalFormatting sqref="AW6:AX36">
    <cfRule type="cellIs" dxfId="3" priority="5" stopIfTrue="1" operator="greaterThan">
      <formula>0</formula>
    </cfRule>
  </conditionalFormatting>
  <conditionalFormatting sqref="AT6:AU36">
    <cfRule type="cellIs" dxfId="2" priority="3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A10" zoomScale="70" zoomScaleNormal="70" workbookViewId="0">
      <selection activeCell="B34" sqref="B3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609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20.100000000000001" customHeight="1" thickBot="1">
      <c r="A3" s="163">
        <f>ELEC!C2</f>
        <v>44316</v>
      </c>
      <c r="B3" s="264">
        <v>1008810</v>
      </c>
      <c r="C3" s="264">
        <v>1767</v>
      </c>
      <c r="D3" s="264">
        <v>1767</v>
      </c>
      <c r="E3" s="264">
        <v>1008810</v>
      </c>
      <c r="F3" s="264">
        <v>150653</v>
      </c>
      <c r="G3" s="264">
        <v>103</v>
      </c>
      <c r="H3" s="264">
        <v>492400</v>
      </c>
      <c r="I3" s="264">
        <v>690</v>
      </c>
      <c r="J3" s="264">
        <v>365756</v>
      </c>
      <c r="K3" s="264">
        <v>974</v>
      </c>
      <c r="L3" s="264">
        <v>21.864013266998342</v>
      </c>
      <c r="M3" s="264">
        <v>51.263681592039802</v>
      </c>
      <c r="N3" s="264">
        <v>51.688225538971807</v>
      </c>
      <c r="O3" s="264">
        <v>159.96313985627418</v>
      </c>
      <c r="P3" s="264">
        <v>284.7790602542841</v>
      </c>
      <c r="Q3" s="264">
        <v>1348.3238709677726</v>
      </c>
      <c r="R3" s="264">
        <v>1633.1029312220567</v>
      </c>
      <c r="S3" s="264">
        <v>7873</v>
      </c>
      <c r="T3" s="264">
        <v>0.20743083084237987</v>
      </c>
      <c r="Z3" t="s">
        <v>214</v>
      </c>
      <c r="AA3">
        <v>0.1</v>
      </c>
    </row>
    <row r="4" spans="1:32" ht="20.100000000000001" customHeight="1">
      <c r="A4" s="163">
        <f>ELEC!C3</f>
        <v>44317</v>
      </c>
      <c r="B4" s="581">
        <v>1011197</v>
      </c>
      <c r="C4" s="264">
        <f t="shared" ref="C4:C30" si="0">SUM(B4-B3)</f>
        <v>2387</v>
      </c>
      <c r="D4" s="308">
        <f>SUM(G4+I4+K4)</f>
        <v>2388</v>
      </c>
      <c r="E4" s="308">
        <f>B3+D4</f>
        <v>1011198</v>
      </c>
      <c r="F4" s="588">
        <v>151092</v>
      </c>
      <c r="G4" s="160">
        <f t="shared" ref="G4:G30" si="1">F4-F3</f>
        <v>439</v>
      </c>
      <c r="H4" s="588">
        <v>493608</v>
      </c>
      <c r="I4" s="161">
        <f t="shared" ref="I4:I30" si="2">H4-H3</f>
        <v>1208</v>
      </c>
      <c r="J4" s="588">
        <v>366497</v>
      </c>
      <c r="K4" s="162">
        <f t="shared" ref="K4:K30" si="3">J4-J3</f>
        <v>741</v>
      </c>
      <c r="L4" s="296">
        <f t="shared" ref="L4:L13" si="4">SUM(G4*$Y$28)/1507.5</f>
        <v>93.187396351575458</v>
      </c>
      <c r="M4" s="296">
        <f t="shared" ref="M4:M13" si="5">SUM(I4*$Y$27)/1507.5</f>
        <v>89.748590381426197</v>
      </c>
      <c r="N4" s="296">
        <f t="shared" ref="N4:N13" si="6">SUM(K4*$Y$26)/1507.5</f>
        <v>39.323383084577117</v>
      </c>
      <c r="O4" s="296">
        <f>($AC$29/$A$37)/1507.5</f>
        <v>154.80303857058792</v>
      </c>
      <c r="P4" s="297">
        <f>SUM(L4:O4)</f>
        <v>377.06240838816666</v>
      </c>
      <c r="Q4" s="297">
        <f>SUM(-tanks!AX6*tanks!$AU$37)</f>
        <v>1325.53858064515</v>
      </c>
      <c r="R4" s="297">
        <f>SUM(P4:Q4)</f>
        <v>1702.6009890333166</v>
      </c>
      <c r="S4" s="299">
        <f>SUM(ELEC!N3)</f>
        <v>8346</v>
      </c>
      <c r="T4" s="336">
        <f>IF(S4&gt;0,R4/S4,0)</f>
        <v>0.20400203558990135</v>
      </c>
      <c r="U4" s="250"/>
      <c r="V4" s="251" t="str">
        <f>'[7]EDl log'!V21</f>
        <v xml:space="preserve">EDL </v>
      </c>
      <c r="W4" s="167">
        <v>44287</v>
      </c>
      <c r="X4" s="169"/>
      <c r="Y4" s="169"/>
      <c r="Z4" s="169" t="s">
        <v>202</v>
      </c>
      <c r="AA4" s="169"/>
      <c r="AB4" s="703"/>
      <c r="AC4" s="704"/>
    </row>
    <row r="5" spans="1:32" ht="20.100000000000001" customHeight="1">
      <c r="A5" s="163">
        <f>ELEC!C4</f>
        <v>44318</v>
      </c>
      <c r="B5" s="606">
        <v>1013614</v>
      </c>
      <c r="C5" s="264">
        <f t="shared" si="0"/>
        <v>2417</v>
      </c>
      <c r="D5" s="308">
        <f t="shared" ref="D5:D30" si="7">SUM(G5+I5+K5)</f>
        <v>2416</v>
      </c>
      <c r="E5" s="308">
        <f>B4+D5</f>
        <v>1013613</v>
      </c>
      <c r="F5" s="606">
        <v>151431</v>
      </c>
      <c r="G5" s="160">
        <f t="shared" si="1"/>
        <v>339</v>
      </c>
      <c r="H5" s="606">
        <v>494679</v>
      </c>
      <c r="I5" s="161">
        <f t="shared" si="2"/>
        <v>1071</v>
      </c>
      <c r="J5" s="606">
        <v>367503</v>
      </c>
      <c r="K5" s="162">
        <f t="shared" si="3"/>
        <v>1006</v>
      </c>
      <c r="L5" s="296">
        <f t="shared" si="4"/>
        <v>71.960199004975124</v>
      </c>
      <c r="M5" s="296">
        <f t="shared" si="5"/>
        <v>79.570149253731344</v>
      </c>
      <c r="N5" s="296">
        <f t="shared" si="6"/>
        <v>53.386401326699833</v>
      </c>
      <c r="O5" s="296">
        <f t="shared" ref="O5:O34" si="8">($AC$29/$A$37)/1507.5</f>
        <v>154.80303857058792</v>
      </c>
      <c r="P5" s="297">
        <f t="shared" ref="P5:P30" si="9">SUM(L5:O5)</f>
        <v>359.71978815599419</v>
      </c>
      <c r="Q5" s="297">
        <f>SUM(-tanks!AX7*tanks!$AU$37)</f>
        <v>690.3407483870958</v>
      </c>
      <c r="R5" s="297">
        <f t="shared" ref="R5:R30" si="10">SUM(P5:Q5)</f>
        <v>1050.0605365430899</v>
      </c>
      <c r="S5" s="299">
        <f>SUM(ELEC!N4)</f>
        <v>6548</v>
      </c>
      <c r="T5" s="336">
        <f>IF(S5&gt;0,R5/S5,0)</f>
        <v>0.16036355170175473</v>
      </c>
      <c r="U5" s="250"/>
      <c r="V5" s="697"/>
      <c r="W5" s="698"/>
      <c r="X5" s="698"/>
      <c r="Y5" s="699"/>
      <c r="Z5" s="26" t="s">
        <v>203</v>
      </c>
      <c r="AA5" s="264">
        <f>'[8]EDl log'!AA22</f>
        <v>5000</v>
      </c>
      <c r="AB5" s="705"/>
      <c r="AC5" s="706"/>
    </row>
    <row r="6" spans="1:32" ht="20.100000000000001" customHeight="1">
      <c r="A6" s="163">
        <f>ELEC!C5</f>
        <v>44319</v>
      </c>
      <c r="B6" s="606">
        <v>1015880</v>
      </c>
      <c r="C6" s="264">
        <f t="shared" si="0"/>
        <v>2266</v>
      </c>
      <c r="D6" s="308">
        <f t="shared" si="7"/>
        <v>2267</v>
      </c>
      <c r="E6" s="308">
        <f t="shared" ref="E6:E30" si="11">B5+D6</f>
        <v>1015881</v>
      </c>
      <c r="F6" s="606">
        <v>151769</v>
      </c>
      <c r="G6" s="160">
        <f t="shared" si="1"/>
        <v>338</v>
      </c>
      <c r="H6" s="606">
        <v>495673</v>
      </c>
      <c r="I6" s="161">
        <f t="shared" si="2"/>
        <v>994</v>
      </c>
      <c r="J6" s="606">
        <v>368438</v>
      </c>
      <c r="K6" s="162">
        <f t="shared" si="3"/>
        <v>935</v>
      </c>
      <c r="L6" s="296">
        <f t="shared" si="4"/>
        <v>71.747927031509121</v>
      </c>
      <c r="M6" s="296">
        <f t="shared" si="5"/>
        <v>73.849419568822555</v>
      </c>
      <c r="N6" s="296">
        <f t="shared" si="6"/>
        <v>49.618573797678273</v>
      </c>
      <c r="O6" s="296">
        <f t="shared" si="8"/>
        <v>154.80303857058792</v>
      </c>
      <c r="P6" s="297">
        <f t="shared" si="9"/>
        <v>350.01895896859787</v>
      </c>
      <c r="Q6" s="297">
        <f>SUM(-tanks!AX8*tanks!$AU$37)</f>
        <v>840.88154838708135</v>
      </c>
      <c r="R6" s="297">
        <f t="shared" si="10"/>
        <v>1190.9005073556791</v>
      </c>
      <c r="S6" s="299">
        <f>SUM(ELEC!N5)</f>
        <v>7179</v>
      </c>
      <c r="T6" s="336">
        <f t="shared" ref="T6:T30" si="12">IF(S6&gt;0,R6/S6,0)</f>
        <v>0.16588668440669718</v>
      </c>
      <c r="V6" s="700"/>
      <c r="W6" s="701"/>
      <c r="X6" s="701"/>
      <c r="Y6" s="702"/>
      <c r="Z6" s="3"/>
      <c r="AA6" s="3"/>
      <c r="AB6" s="705"/>
      <c r="AC6" s="706"/>
    </row>
    <row r="7" spans="1:32" ht="20.100000000000001" customHeight="1">
      <c r="A7" s="163">
        <f>ELEC!C6</f>
        <v>44320</v>
      </c>
      <c r="B7" s="606">
        <v>1017767</v>
      </c>
      <c r="C7" s="264">
        <f t="shared" si="0"/>
        <v>1887</v>
      </c>
      <c r="D7" s="308">
        <f t="shared" si="7"/>
        <v>1886</v>
      </c>
      <c r="E7" s="308">
        <f t="shared" si="11"/>
        <v>1017766</v>
      </c>
      <c r="F7" s="606">
        <v>151883</v>
      </c>
      <c r="G7" s="160">
        <f t="shared" si="1"/>
        <v>114</v>
      </c>
      <c r="H7" s="606">
        <v>496424</v>
      </c>
      <c r="I7" s="161">
        <f t="shared" si="2"/>
        <v>751</v>
      </c>
      <c r="J7" s="606">
        <v>369459</v>
      </c>
      <c r="K7" s="162">
        <f t="shared" si="3"/>
        <v>1021</v>
      </c>
      <c r="L7" s="296">
        <f t="shared" si="4"/>
        <v>24.199004975124378</v>
      </c>
      <c r="M7" s="296">
        <f t="shared" si="5"/>
        <v>55.795688225538974</v>
      </c>
      <c r="N7" s="296">
        <f t="shared" si="6"/>
        <v>54.182421227197345</v>
      </c>
      <c r="O7" s="296">
        <f t="shared" si="8"/>
        <v>154.80303857058792</v>
      </c>
      <c r="P7" s="297">
        <f t="shared" si="9"/>
        <v>288.9801529984486</v>
      </c>
      <c r="Q7" s="297">
        <f>SUM(-tanks!AX9*tanks!$AU$37)</f>
        <v>1658.9838967742205</v>
      </c>
      <c r="R7" s="297">
        <f t="shared" si="10"/>
        <v>1947.9640497726691</v>
      </c>
      <c r="S7" s="299">
        <f>SUM(ELEC!N6)</f>
        <v>8383</v>
      </c>
      <c r="T7" s="336">
        <f t="shared" si="12"/>
        <v>0.23237075626537865</v>
      </c>
      <c r="V7" s="693" t="s">
        <v>204</v>
      </c>
      <c r="W7" s="694"/>
      <c r="X7" s="695" t="s">
        <v>205</v>
      </c>
      <c r="Y7" s="696"/>
      <c r="Z7" s="694"/>
      <c r="AA7" s="26"/>
      <c r="AB7" s="707"/>
      <c r="AC7" s="708"/>
    </row>
    <row r="8" spans="1:32" ht="20.100000000000001" customHeight="1">
      <c r="A8" s="163">
        <f>ELEC!C7</f>
        <v>44321</v>
      </c>
      <c r="B8" s="606">
        <v>1019853</v>
      </c>
      <c r="C8" s="264">
        <f t="shared" si="0"/>
        <v>2086</v>
      </c>
      <c r="D8" s="308">
        <f t="shared" si="7"/>
        <v>2085</v>
      </c>
      <c r="E8" s="308">
        <f t="shared" si="11"/>
        <v>1019852</v>
      </c>
      <c r="F8" s="606">
        <v>152275</v>
      </c>
      <c r="G8" s="160">
        <f t="shared" si="1"/>
        <v>392</v>
      </c>
      <c r="H8" s="606">
        <v>497192</v>
      </c>
      <c r="I8" s="161">
        <f t="shared" si="2"/>
        <v>768</v>
      </c>
      <c r="J8" s="606">
        <v>370384</v>
      </c>
      <c r="K8" s="162">
        <f>J8-J7</f>
        <v>925</v>
      </c>
      <c r="L8" s="296">
        <f t="shared" si="4"/>
        <v>83.210613598673305</v>
      </c>
      <c r="M8" s="296">
        <f t="shared" si="5"/>
        <v>57.058706467661693</v>
      </c>
      <c r="N8" s="296">
        <f t="shared" si="6"/>
        <v>49.087893864013267</v>
      </c>
      <c r="O8" s="296">
        <f t="shared" si="8"/>
        <v>154.80303857058792</v>
      </c>
      <c r="P8" s="297">
        <f t="shared" si="9"/>
        <v>344.16025250093617</v>
      </c>
      <c r="Q8" s="297">
        <f>SUM(-tanks!AX10*tanks!$AU$37)</f>
        <v>1729.3022967741915</v>
      </c>
      <c r="R8" s="297">
        <f t="shared" si="10"/>
        <v>2073.4625492751275</v>
      </c>
      <c r="S8" s="299">
        <f>SUM(ELEC!N7)</f>
        <v>4768</v>
      </c>
      <c r="T8" s="336">
        <f>IF(S8&gt;0,R8/S8,0)</f>
        <v>0.43487050110636061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0" t="str">
        <f>'[9]EDl log'!AB25</f>
        <v>Total cost LL</v>
      </c>
      <c r="AC8" s="252" t="s">
        <v>212</v>
      </c>
    </row>
    <row r="9" spans="1:32" ht="20.100000000000001" customHeight="1">
      <c r="A9" s="163">
        <f>ELEC!C8</f>
        <v>44322</v>
      </c>
      <c r="B9" s="606">
        <v>1021807</v>
      </c>
      <c r="C9" s="264">
        <f t="shared" si="0"/>
        <v>1954</v>
      </c>
      <c r="D9" s="308">
        <f t="shared" si="7"/>
        <v>1955</v>
      </c>
      <c r="E9" s="308">
        <f t="shared" si="11"/>
        <v>1021808</v>
      </c>
      <c r="F9" s="606">
        <v>152555</v>
      </c>
      <c r="G9" s="160">
        <f t="shared" si="1"/>
        <v>280</v>
      </c>
      <c r="H9" s="606">
        <v>498020</v>
      </c>
      <c r="I9" s="161">
        <f t="shared" si="2"/>
        <v>828</v>
      </c>
      <c r="J9" s="606">
        <v>371231</v>
      </c>
      <c r="K9" s="162">
        <f>J9-J8</f>
        <v>847</v>
      </c>
      <c r="L9" s="296">
        <f t="shared" si="4"/>
        <v>59.436152570480928</v>
      </c>
      <c r="M9" s="296">
        <f t="shared" si="5"/>
        <v>61.516417910447764</v>
      </c>
      <c r="N9" s="296">
        <f t="shared" si="6"/>
        <v>44.9485903814262</v>
      </c>
      <c r="O9" s="296">
        <f t="shared" si="8"/>
        <v>154.80303857058792</v>
      </c>
      <c r="P9" s="297">
        <f t="shared" si="9"/>
        <v>320.7041994329428</v>
      </c>
      <c r="Q9" s="297">
        <f>SUM(-tanks!AX11*tanks!$AU$37)</f>
        <v>992.09326451611571</v>
      </c>
      <c r="R9" s="297">
        <f>SUM(P9:Q9)</f>
        <v>1312.7974639490585</v>
      </c>
      <c r="S9" s="299">
        <f>SUM(ELEC!N8)</f>
        <v>3912</v>
      </c>
      <c r="T9" s="336">
        <f t="shared" si="12"/>
        <v>0.33558217381110905</v>
      </c>
      <c r="V9" s="254">
        <f>'[4]EDl log'!V26</f>
        <v>344256</v>
      </c>
      <c r="W9" s="254">
        <f>'[4]EDl log'!W26</f>
        <v>365756</v>
      </c>
      <c r="X9" s="254" t="s">
        <v>199</v>
      </c>
      <c r="Y9" s="635">
        <f>'[4]EDl log'!Y26</f>
        <v>80</v>
      </c>
      <c r="Z9" s="254">
        <v>1</v>
      </c>
      <c r="AA9" s="613">
        <f>'[4]EDl log'!AA26</f>
        <v>21500</v>
      </c>
      <c r="AB9" s="613">
        <f>'[4]EDl log'!AB26</f>
        <v>1720000</v>
      </c>
      <c r="AC9" s="613">
        <f>'[4]EDl log'!AC26</f>
        <v>1033333</v>
      </c>
      <c r="AD9" s="610">
        <f>'[4]EDl log'!AD26</f>
        <v>0.41224067185642516</v>
      </c>
    </row>
    <row r="10" spans="1:32" ht="20.100000000000001" customHeight="1">
      <c r="A10" s="163">
        <f>ELEC!C9</f>
        <v>44323</v>
      </c>
      <c r="B10" s="606">
        <v>1023553</v>
      </c>
      <c r="C10" s="264">
        <f t="shared" si="0"/>
        <v>1746</v>
      </c>
      <c r="D10" s="308">
        <f t="shared" si="7"/>
        <v>1747</v>
      </c>
      <c r="E10" s="308">
        <f t="shared" si="11"/>
        <v>1023554</v>
      </c>
      <c r="F10" s="606">
        <v>152749</v>
      </c>
      <c r="G10" s="160">
        <f t="shared" si="1"/>
        <v>194</v>
      </c>
      <c r="H10" s="606">
        <v>498840</v>
      </c>
      <c r="I10" s="161">
        <f t="shared" si="2"/>
        <v>820</v>
      </c>
      <c r="J10" s="606">
        <v>371964</v>
      </c>
      <c r="K10" s="162">
        <f t="shared" si="3"/>
        <v>733</v>
      </c>
      <c r="L10" s="296">
        <f t="shared" si="4"/>
        <v>41.180762852404641</v>
      </c>
      <c r="M10" s="296">
        <f t="shared" si="5"/>
        <v>60.922056384742952</v>
      </c>
      <c r="N10" s="296">
        <f t="shared" si="6"/>
        <v>38.898839137645105</v>
      </c>
      <c r="O10" s="296">
        <f t="shared" si="8"/>
        <v>154.80303857058792</v>
      </c>
      <c r="P10" s="297">
        <f t="shared" si="9"/>
        <v>295.80469694538061</v>
      </c>
      <c r="Q10" s="297">
        <f>SUM(-tanks!AX12*tanks!$AU$37)</f>
        <v>1961.7268129032404</v>
      </c>
      <c r="R10" s="297">
        <f t="shared" si="10"/>
        <v>2257.5315098486212</v>
      </c>
      <c r="S10" s="299">
        <f>SUM(ELEC!N9)</f>
        <v>8995.3999999999069</v>
      </c>
      <c r="T10" s="336">
        <f t="shared" si="12"/>
        <v>0.25096510548153994</v>
      </c>
      <c r="V10" s="254">
        <f>'[4]EDl log'!V27</f>
        <v>468436</v>
      </c>
      <c r="W10" s="254">
        <f>'[4]EDl log'!W27</f>
        <v>492400</v>
      </c>
      <c r="X10" s="254" t="s">
        <v>213</v>
      </c>
      <c r="Y10" s="635">
        <f>'[4]EDl log'!Y27</f>
        <v>112</v>
      </c>
      <c r="Z10" s="254">
        <v>1</v>
      </c>
      <c r="AA10" s="613">
        <f>'[4]EDl log'!AA27</f>
        <v>23964</v>
      </c>
      <c r="AB10" s="613">
        <f>'[4]EDl log'!AB27</f>
        <v>2683968</v>
      </c>
      <c r="AC10" s="613">
        <f>'[4]EDl log'!AC27</f>
        <v>6200000</v>
      </c>
      <c r="AD10" s="610">
        <f>'[4]EDl log'!AD27</f>
        <v>0.45948537024964525</v>
      </c>
    </row>
    <row r="11" spans="1:32" ht="20.100000000000001" customHeight="1">
      <c r="A11" s="163">
        <f>ELEC!C10</f>
        <v>44324</v>
      </c>
      <c r="B11" s="606">
        <v>1025137</v>
      </c>
      <c r="C11" s="264">
        <f t="shared" si="0"/>
        <v>1584</v>
      </c>
      <c r="D11" s="308">
        <f>SUM(G11+I11+K11)</f>
        <v>1583</v>
      </c>
      <c r="E11" s="308">
        <f t="shared" si="11"/>
        <v>1025136</v>
      </c>
      <c r="F11" s="606">
        <v>152844</v>
      </c>
      <c r="G11" s="160">
        <f t="shared" si="1"/>
        <v>95</v>
      </c>
      <c r="H11" s="606">
        <v>499520</v>
      </c>
      <c r="I11" s="161">
        <f t="shared" si="2"/>
        <v>680</v>
      </c>
      <c r="J11" s="606">
        <v>372772</v>
      </c>
      <c r="K11" s="162">
        <f t="shared" si="3"/>
        <v>808</v>
      </c>
      <c r="L11" s="296">
        <f t="shared" si="4"/>
        <v>20.165837479270316</v>
      </c>
      <c r="M11" s="296">
        <f t="shared" si="5"/>
        <v>50.520729684908787</v>
      </c>
      <c r="N11" s="296">
        <f t="shared" si="6"/>
        <v>42.878938640132667</v>
      </c>
      <c r="O11" s="296">
        <f t="shared" si="8"/>
        <v>154.80303857058792</v>
      </c>
      <c r="P11" s="297">
        <f t="shared" si="9"/>
        <v>268.36854437489967</v>
      </c>
      <c r="Q11" s="297">
        <f>SUM(-tanks!AX13*tanks!$AU$37)</f>
        <v>1971.6308129032043</v>
      </c>
      <c r="R11" s="297">
        <f t="shared" si="10"/>
        <v>2239.9993572781041</v>
      </c>
      <c r="S11" s="299">
        <f>SUM(ELEC!N10)</f>
        <v>8249.8000000002794</v>
      </c>
      <c r="T11" s="336">
        <f t="shared" si="12"/>
        <v>0.27152165595263256</v>
      </c>
      <c r="V11" s="254">
        <f>'[4]EDl log'!V28</f>
        <v>143963</v>
      </c>
      <c r="W11" s="254">
        <f>'[4]EDl log'!W28</f>
        <v>150653</v>
      </c>
      <c r="X11" s="254" t="s">
        <v>197</v>
      </c>
      <c r="Y11" s="635">
        <f>'[4]EDl log'!Y28</f>
        <v>320</v>
      </c>
      <c r="Z11" s="254">
        <v>1</v>
      </c>
      <c r="AA11" s="613">
        <f>'[4]EDl log'!AA28</f>
        <v>6690</v>
      </c>
      <c r="AB11" s="613">
        <f>'[4]EDl log'!AB28</f>
        <v>2140800</v>
      </c>
      <c r="AC11" s="613">
        <f>'[4]EDl log'!AC28</f>
        <v>1000</v>
      </c>
      <c r="AD11" s="610">
        <f>'[4]EDl log'!AD28</f>
        <v>0.12827395789392951</v>
      </c>
      <c r="AE11" s="40">
        <v>107040</v>
      </c>
      <c r="AF11" s="82">
        <v>474034.28571428568</v>
      </c>
    </row>
    <row r="12" spans="1:32" ht="20.100000000000001" customHeight="1">
      <c r="A12" s="163">
        <f>ELEC!C11</f>
        <v>44325</v>
      </c>
      <c r="B12" s="640">
        <v>1026689</v>
      </c>
      <c r="C12" s="264">
        <f t="shared" si="0"/>
        <v>1552</v>
      </c>
      <c r="D12" s="308">
        <f t="shared" si="7"/>
        <v>1553</v>
      </c>
      <c r="E12" s="308">
        <f t="shared" si="11"/>
        <v>1026690</v>
      </c>
      <c r="F12" s="642">
        <v>153110</v>
      </c>
      <c r="G12" s="160">
        <f t="shared" si="1"/>
        <v>266</v>
      </c>
      <c r="H12" s="640">
        <v>500136</v>
      </c>
      <c r="I12" s="161">
        <f t="shared" si="2"/>
        <v>616</v>
      </c>
      <c r="J12" s="640">
        <v>373443</v>
      </c>
      <c r="K12" s="162">
        <f t="shared" si="3"/>
        <v>671</v>
      </c>
      <c r="L12" s="296">
        <f t="shared" si="4"/>
        <v>56.464344941956881</v>
      </c>
      <c r="M12" s="296">
        <f t="shared" si="5"/>
        <v>45.765837479270317</v>
      </c>
      <c r="N12" s="296">
        <f t="shared" si="6"/>
        <v>35.608623548922054</v>
      </c>
      <c r="O12" s="296">
        <f t="shared" si="8"/>
        <v>154.80303857058792</v>
      </c>
      <c r="P12" s="297">
        <f t="shared" si="9"/>
        <v>292.64184454073717</v>
      </c>
      <c r="Q12" s="297">
        <f>SUM(-tanks!AX14*tanks!$AU$37)</f>
        <v>1780.8030967742131</v>
      </c>
      <c r="R12" s="297">
        <f t="shared" si="10"/>
        <v>2073.4449413149505</v>
      </c>
      <c r="S12" s="299">
        <f>SUM(ELEC!N11)</f>
        <v>9025.7999999998137</v>
      </c>
      <c r="T12" s="336">
        <f t="shared" si="12"/>
        <v>0.22972422846894383</v>
      </c>
      <c r="V12" s="561"/>
      <c r="W12" s="264"/>
      <c r="X12" s="3"/>
      <c r="Y12" s="264"/>
      <c r="Z12" s="559"/>
      <c r="AA12" s="613">
        <f>'[4]EDl log'!AA29</f>
        <v>52154</v>
      </c>
      <c r="AB12" s="613"/>
      <c r="AC12" s="614"/>
      <c r="AD12" s="611"/>
    </row>
    <row r="13" spans="1:32" ht="20.100000000000001" customHeight="1">
      <c r="A13" s="163">
        <f>ELEC!C12</f>
        <v>44326</v>
      </c>
      <c r="B13" s="606">
        <v>1028463</v>
      </c>
      <c r="C13" s="264">
        <f t="shared" si="0"/>
        <v>1774</v>
      </c>
      <c r="D13" s="308">
        <f t="shared" si="7"/>
        <v>1773</v>
      </c>
      <c r="E13" s="308">
        <f t="shared" si="11"/>
        <v>1028462</v>
      </c>
      <c r="F13" s="606">
        <v>153293</v>
      </c>
      <c r="G13" s="160">
        <f t="shared" si="1"/>
        <v>183</v>
      </c>
      <c r="H13" s="606">
        <v>500776</v>
      </c>
      <c r="I13" s="161">
        <f t="shared" si="2"/>
        <v>640</v>
      </c>
      <c r="J13" s="606">
        <v>374393</v>
      </c>
      <c r="K13" s="162">
        <f t="shared" si="3"/>
        <v>950</v>
      </c>
      <c r="L13" s="296">
        <f t="shared" si="4"/>
        <v>38.845771144278608</v>
      </c>
      <c r="M13" s="296">
        <f t="shared" si="5"/>
        <v>47.54892205638474</v>
      </c>
      <c r="N13" s="296">
        <f t="shared" si="6"/>
        <v>50.414593698175786</v>
      </c>
      <c r="O13" s="296">
        <f t="shared" si="8"/>
        <v>154.80303857058792</v>
      </c>
      <c r="P13" s="297">
        <f t="shared" si="9"/>
        <v>291.61232546942705</v>
      </c>
      <c r="Q13" s="297">
        <f>SUM(-tanks!AX15*tanks!$AU$37)</f>
        <v>2209.9977290322458</v>
      </c>
      <c r="R13" s="297">
        <f t="shared" si="10"/>
        <v>2501.6100545016729</v>
      </c>
      <c r="S13" s="299">
        <f>SUM(ELEC!N12)</f>
        <v>9481</v>
      </c>
      <c r="T13" s="336">
        <f>IF(S13&gt;0,R13/S13,0)</f>
        <v>0.26385508432672428</v>
      </c>
      <c r="V13" s="561" t="str">
        <f>'[8]EDl log'!V30</f>
        <v>Occ %</v>
      </c>
      <c r="W13" s="589">
        <f>'[1]EDl log'!W30</f>
        <v>0</v>
      </c>
      <c r="X13" s="503"/>
      <c r="Y13" s="264" t="str">
        <f>'[6]EDl log'!Y30</f>
        <v>Per G</v>
      </c>
      <c r="Z13" s="3"/>
      <c r="AA13" s="3"/>
      <c r="AB13" s="613">
        <f>'[4]EDl log'!AB30</f>
        <v>6544768</v>
      </c>
      <c r="AC13" s="635"/>
    </row>
    <row r="14" spans="1:32" ht="20.100000000000001" customHeight="1">
      <c r="A14" s="163">
        <f>ELEC!C13</f>
        <v>44327</v>
      </c>
      <c r="B14" s="606">
        <v>1030266</v>
      </c>
      <c r="C14" s="264">
        <f t="shared" si="0"/>
        <v>1803</v>
      </c>
      <c r="D14" s="308">
        <f t="shared" si="7"/>
        <v>1802</v>
      </c>
      <c r="E14" s="308">
        <f t="shared" si="11"/>
        <v>1030265</v>
      </c>
      <c r="F14" s="606">
        <v>153429</v>
      </c>
      <c r="G14" s="160">
        <f t="shared" si="1"/>
        <v>136</v>
      </c>
      <c r="H14" s="606">
        <v>501555</v>
      </c>
      <c r="I14" s="161">
        <f t="shared" si="2"/>
        <v>779</v>
      </c>
      <c r="J14" s="606">
        <v>375280</v>
      </c>
      <c r="K14" s="162">
        <f t="shared" ref="K14:K17" si="13">J14-J13</f>
        <v>887</v>
      </c>
      <c r="L14" s="296">
        <f t="shared" ref="L14:L17" si="14">SUM(G14*$Y$28)/1507.5</f>
        <v>28.868988391376451</v>
      </c>
      <c r="M14" s="296">
        <f t="shared" ref="M14:M17" si="15">SUM(I14*$Y$27)/1507.5</f>
        <v>57.875953565505803</v>
      </c>
      <c r="N14" s="296">
        <f t="shared" ref="N14:N17" si="16">SUM(K14*$Y$26)/1507.5</f>
        <v>47.071310116086238</v>
      </c>
      <c r="O14" s="296">
        <f t="shared" si="8"/>
        <v>154.80303857058792</v>
      </c>
      <c r="P14" s="297">
        <f t="shared" ref="P14:P17" si="17">SUM(L14:O14)</f>
        <v>288.61929064355638</v>
      </c>
      <c r="Q14" s="297">
        <f>SUM(-tanks!AX16*tanks!$AU$37)</f>
        <v>-847.65460645160942</v>
      </c>
      <c r="R14" s="297">
        <f t="shared" ref="R14:R17" si="18">SUM(P14:Q14)</f>
        <v>-559.03531580805304</v>
      </c>
      <c r="S14" s="299">
        <f>SUM(ELEC!N13)</f>
        <v>9028</v>
      </c>
      <c r="T14" s="336">
        <f t="shared" ref="T14:T17" si="19">IF(S14&gt;0,R14/S14,0)</f>
        <v>-6.1922387661503438E-2</v>
      </c>
      <c r="V14" s="561" t="str">
        <f>'[8]EDl log'!V31</f>
        <v>Gen RH</v>
      </c>
      <c r="W14" s="590">
        <f>'[4]EDl log'!$W$33</f>
        <v>240</v>
      </c>
      <c r="X14" s="637">
        <f>'[4]EDl log'!$X$33</f>
        <v>8</v>
      </c>
      <c r="Y14" s="638">
        <f>'[4]EDl log'!$Y$33</f>
        <v>4</v>
      </c>
      <c r="Z14" s="264"/>
      <c r="AA14" s="3"/>
      <c r="AB14" s="636">
        <f>'[4]EDl log'!$AB$33</f>
        <v>13779101</v>
      </c>
      <c r="AC14" s="636">
        <f>'[4]EDl log'!$AC$33</f>
        <v>7234333</v>
      </c>
    </row>
    <row r="15" spans="1:32" ht="20.100000000000001" customHeight="1">
      <c r="A15" s="163">
        <f>ELEC!C14</f>
        <v>44328</v>
      </c>
      <c r="B15" s="606">
        <v>1031515</v>
      </c>
      <c r="C15" s="264">
        <f t="shared" si="0"/>
        <v>1249</v>
      </c>
      <c r="D15" s="308">
        <f t="shared" si="7"/>
        <v>1250</v>
      </c>
      <c r="E15" s="308">
        <f t="shared" si="11"/>
        <v>1031516</v>
      </c>
      <c r="F15" s="606">
        <v>153620</v>
      </c>
      <c r="G15" s="160">
        <f t="shared" si="1"/>
        <v>191</v>
      </c>
      <c r="H15" s="606">
        <v>502210</v>
      </c>
      <c r="I15" s="161">
        <f t="shared" si="2"/>
        <v>655</v>
      </c>
      <c r="J15" s="606">
        <v>375684</v>
      </c>
      <c r="K15" s="162">
        <f t="shared" si="13"/>
        <v>404</v>
      </c>
      <c r="L15" s="296">
        <f t="shared" si="14"/>
        <v>40.543946932006634</v>
      </c>
      <c r="M15" s="296">
        <f t="shared" si="15"/>
        <v>48.663349917081263</v>
      </c>
      <c r="N15" s="296">
        <f t="shared" si="16"/>
        <v>21.439469320066333</v>
      </c>
      <c r="O15" s="296">
        <f t="shared" si="8"/>
        <v>154.80303857058792</v>
      </c>
      <c r="P15" s="297">
        <f t="shared" si="17"/>
        <v>265.44980473974215</v>
      </c>
      <c r="Q15" s="297">
        <f>SUM(-tanks!AX17*tanks!$AU$37)</f>
        <v>2581.0782451613018</v>
      </c>
      <c r="R15" s="297">
        <f t="shared" si="18"/>
        <v>2846.5280499010441</v>
      </c>
      <c r="S15" s="299">
        <f>SUM(ELEC!N14)</f>
        <v>9411</v>
      </c>
      <c r="T15" s="336">
        <f t="shared" si="19"/>
        <v>0.30246818084167931</v>
      </c>
      <c r="V15" s="561" t="str">
        <f>'[8]EDl log'!V32</f>
        <v>H Deg</v>
      </c>
      <c r="W15" s="254">
        <f>'[4]Degree Days 2020'!$N$43</f>
        <v>-30.300000000000008</v>
      </c>
      <c r="X15" s="254"/>
      <c r="Y15" s="264"/>
      <c r="Z15" s="264"/>
      <c r="AA15" s="3"/>
      <c r="AB15" s="291"/>
      <c r="AC15" s="579"/>
    </row>
    <row r="16" spans="1:32" ht="20.100000000000001" customHeight="1" thickBot="1">
      <c r="A16" s="163">
        <f>ELEC!C15</f>
        <v>44329</v>
      </c>
      <c r="B16" s="606">
        <v>1033182</v>
      </c>
      <c r="C16" s="264">
        <f t="shared" si="0"/>
        <v>1667</v>
      </c>
      <c r="D16" s="308">
        <f t="shared" si="7"/>
        <v>1667</v>
      </c>
      <c r="E16" s="308">
        <f t="shared" si="11"/>
        <v>1033182</v>
      </c>
      <c r="F16" s="606">
        <v>153788</v>
      </c>
      <c r="G16" s="160">
        <f t="shared" si="1"/>
        <v>168</v>
      </c>
      <c r="H16" s="606">
        <v>503101</v>
      </c>
      <c r="I16" s="161">
        <f t="shared" si="2"/>
        <v>891</v>
      </c>
      <c r="J16" s="606">
        <v>376292</v>
      </c>
      <c r="K16" s="162">
        <f t="shared" si="13"/>
        <v>608</v>
      </c>
      <c r="L16" s="296">
        <f t="shared" si="14"/>
        <v>35.661691542288558</v>
      </c>
      <c r="M16" s="296">
        <f t="shared" si="15"/>
        <v>66.197014925373139</v>
      </c>
      <c r="N16" s="296">
        <f t="shared" si="16"/>
        <v>32.265339966832506</v>
      </c>
      <c r="O16" s="296">
        <f t="shared" si="8"/>
        <v>154.80303857058792</v>
      </c>
      <c r="P16" s="297">
        <f t="shared" si="17"/>
        <v>288.92708500508212</v>
      </c>
      <c r="Q16" s="297">
        <f>SUM(-tanks!AX18*tanks!$AU$37)</f>
        <v>2081.5652129032187</v>
      </c>
      <c r="R16" s="297">
        <f t="shared" si="18"/>
        <v>2370.4922979083008</v>
      </c>
      <c r="S16" s="299">
        <f>SUM(ELEC!N15)</f>
        <v>9646</v>
      </c>
      <c r="T16" s="336">
        <f t="shared" si="19"/>
        <v>0.24574873501019084</v>
      </c>
      <c r="V16" s="561" t="str">
        <f>'[8]EDl log'!V33</f>
        <v>C Deg</v>
      </c>
      <c r="W16" s="254">
        <f>'[4]Degree Days 2020'!$O$43</f>
        <v>45.40000000000002</v>
      </c>
      <c r="X16" s="254"/>
      <c r="Y16" s="254"/>
      <c r="Z16" s="3"/>
      <c r="AA16" s="3"/>
      <c r="AB16" s="567">
        <f>'[4]EDl log'!$AB$35</f>
        <v>9140.3655058043114</v>
      </c>
      <c r="AC16" s="580"/>
    </row>
    <row r="17" spans="1:32" ht="20.100000000000001" customHeight="1">
      <c r="A17" s="163">
        <f>ELEC!C16</f>
        <v>44330</v>
      </c>
      <c r="B17" s="606">
        <v>1035109</v>
      </c>
      <c r="C17" s="264">
        <f t="shared" si="0"/>
        <v>1927</v>
      </c>
      <c r="D17" s="308">
        <f t="shared" si="7"/>
        <v>1927</v>
      </c>
      <c r="E17" s="308">
        <f t="shared" si="11"/>
        <v>1035109</v>
      </c>
      <c r="F17" s="606">
        <v>153788</v>
      </c>
      <c r="G17" s="160">
        <f t="shared" si="1"/>
        <v>0</v>
      </c>
      <c r="H17" s="606">
        <v>503838</v>
      </c>
      <c r="I17" s="161">
        <f t="shared" si="2"/>
        <v>737</v>
      </c>
      <c r="J17" s="606">
        <v>377482</v>
      </c>
      <c r="K17" s="162">
        <f t="shared" si="13"/>
        <v>1190</v>
      </c>
      <c r="L17" s="296">
        <f t="shared" si="14"/>
        <v>0</v>
      </c>
      <c r="M17" s="296">
        <f t="shared" si="15"/>
        <v>54.755555555555553</v>
      </c>
      <c r="N17" s="296">
        <f t="shared" si="16"/>
        <v>63.150912106135983</v>
      </c>
      <c r="O17" s="296">
        <f t="shared" si="8"/>
        <v>154.80303857058792</v>
      </c>
      <c r="P17" s="297">
        <f t="shared" si="17"/>
        <v>272.70950623227947</v>
      </c>
      <c r="Q17" s="297">
        <f>SUM(-tanks!AX19*tanks!$AU$37)</f>
        <v>1734.2542967741845</v>
      </c>
      <c r="R17" s="297">
        <f t="shared" si="18"/>
        <v>2006.9638030064639</v>
      </c>
      <c r="S17" s="299">
        <f>SUM(ELEC!N16)</f>
        <v>8868</v>
      </c>
      <c r="T17" s="336">
        <f t="shared" si="19"/>
        <v>0.22631526871971852</v>
      </c>
      <c r="V17" s="253"/>
      <c r="W17" s="503"/>
      <c r="X17" s="17"/>
      <c r="Y17" s="430"/>
      <c r="Z17" s="503" t="s">
        <v>416</v>
      </c>
      <c r="AA17" s="578">
        <f>'[10]EDl log'!AA34</f>
        <v>0.11</v>
      </c>
      <c r="AB17" s="577"/>
      <c r="AC17" s="559">
        <f>'[5]EDl log'!AC34</f>
        <v>0</v>
      </c>
    </row>
    <row r="18" spans="1:32" ht="20.100000000000001" customHeight="1" thickBot="1">
      <c r="A18" s="163">
        <f>ELEC!C17</f>
        <v>44331</v>
      </c>
      <c r="B18" s="606">
        <v>1036805</v>
      </c>
      <c r="C18" s="264">
        <f t="shared" si="0"/>
        <v>1696</v>
      </c>
      <c r="D18" s="308">
        <f t="shared" si="7"/>
        <v>1696</v>
      </c>
      <c r="E18" s="308">
        <f t="shared" si="11"/>
        <v>1036805</v>
      </c>
      <c r="F18" s="606">
        <v>154064</v>
      </c>
      <c r="G18" s="160">
        <f t="shared" si="1"/>
        <v>276</v>
      </c>
      <c r="H18" s="606">
        <v>504573</v>
      </c>
      <c r="I18" s="161">
        <f t="shared" si="2"/>
        <v>735</v>
      </c>
      <c r="J18" s="606">
        <v>378167</v>
      </c>
      <c r="K18" s="162">
        <f t="shared" si="3"/>
        <v>685</v>
      </c>
      <c r="L18" s="296">
        <f t="shared" ref="L18:L30" si="20">SUM(G18*$Y$28)/1507.5</f>
        <v>58.587064676616919</v>
      </c>
      <c r="M18" s="296">
        <f t="shared" ref="M18:M30" si="21">SUM(I18*$Y$27)/1507.5</f>
        <v>54.60696517412935</v>
      </c>
      <c r="N18" s="296">
        <f t="shared" ref="N18:N30" si="22">SUM(K18*$Y$26)/1507.5</f>
        <v>36.35157545605307</v>
      </c>
      <c r="O18" s="296">
        <f t="shared" si="8"/>
        <v>154.80303857058792</v>
      </c>
      <c r="P18" s="297">
        <f t="shared" si="9"/>
        <v>304.34864387738725</v>
      </c>
      <c r="Q18" s="297">
        <f>SUM(-tanks!AX20*tanks!$AU$37)</f>
        <v>1615.4062967742132</v>
      </c>
      <c r="R18" s="297">
        <f t="shared" si="10"/>
        <v>1919.7549406516005</v>
      </c>
      <c r="S18" s="299">
        <f>SUM(ELEC!N17)</f>
        <v>7587</v>
      </c>
      <c r="T18" s="336">
        <f t="shared" si="12"/>
        <v>0.25303215245177285</v>
      </c>
      <c r="V18" s="228"/>
      <c r="W18" s="229"/>
      <c r="X18" s="229"/>
      <c r="Y18" s="430"/>
      <c r="Z18" s="503"/>
      <c r="AA18" s="578"/>
      <c r="AB18" s="577"/>
      <c r="AC18" s="559">
        <f>'[5]EDl log'!AC35</f>
        <v>0</v>
      </c>
    </row>
    <row r="19" spans="1:32" ht="20.100000000000001" customHeight="1" thickBot="1">
      <c r="A19" s="645">
        <f>ELEC!C18</f>
        <v>44332</v>
      </c>
      <c r="B19" s="606">
        <v>1037502</v>
      </c>
      <c r="C19" s="264">
        <f t="shared" si="0"/>
        <v>697</v>
      </c>
      <c r="D19" s="308">
        <f t="shared" si="7"/>
        <v>697</v>
      </c>
      <c r="E19" s="308">
        <f t="shared" si="11"/>
        <v>1037502</v>
      </c>
      <c r="F19" s="606">
        <v>154300</v>
      </c>
      <c r="G19" s="160">
        <f t="shared" si="1"/>
        <v>236</v>
      </c>
      <c r="H19" s="606">
        <v>504800</v>
      </c>
      <c r="I19" s="161">
        <f t="shared" si="2"/>
        <v>227</v>
      </c>
      <c r="J19" s="606">
        <v>378401</v>
      </c>
      <c r="K19" s="162">
        <f t="shared" si="3"/>
        <v>234</v>
      </c>
      <c r="L19" s="296">
        <f t="shared" si="20"/>
        <v>50.096185737976782</v>
      </c>
      <c r="M19" s="296">
        <f t="shared" si="21"/>
        <v>16.865008291873963</v>
      </c>
      <c r="N19" s="296">
        <f t="shared" si="22"/>
        <v>12.417910447761194</v>
      </c>
      <c r="O19" s="296">
        <f t="shared" si="8"/>
        <v>154.80303857058792</v>
      </c>
      <c r="P19" s="297">
        <f t="shared" si="9"/>
        <v>234.18214304819986</v>
      </c>
      <c r="Q19" s="297">
        <f>SUM(-tanks!AX21*tanks!$AU$37)</f>
        <v>3296.4984774193272</v>
      </c>
      <c r="R19" s="297">
        <f t="shared" si="10"/>
        <v>3530.6806204675272</v>
      </c>
      <c r="S19" s="299">
        <f>SUM(ELEC!N18)</f>
        <v>12839</v>
      </c>
      <c r="T19" s="336">
        <f t="shared" si="12"/>
        <v>0.27499654338091184</v>
      </c>
      <c r="V19" s="228"/>
      <c r="W19" s="229"/>
      <c r="X19" s="229"/>
      <c r="Y19" s="562"/>
      <c r="Z19" s="562"/>
      <c r="AA19" s="578"/>
      <c r="AB19" s="577"/>
      <c r="AC19" s="559">
        <f>'[5]EDl log'!AC36</f>
        <v>0</v>
      </c>
    </row>
    <row r="20" spans="1:32" ht="20.100000000000001" customHeight="1" thickBot="1">
      <c r="A20" s="163">
        <f>ELEC!C19</f>
        <v>44333</v>
      </c>
      <c r="B20" s="606">
        <v>1039767</v>
      </c>
      <c r="C20" s="264">
        <f t="shared" si="0"/>
        <v>2265</v>
      </c>
      <c r="D20" s="308">
        <f t="shared" si="7"/>
        <v>2264</v>
      </c>
      <c r="E20" s="308">
        <f t="shared" si="11"/>
        <v>1039766</v>
      </c>
      <c r="F20" s="606">
        <v>154501</v>
      </c>
      <c r="G20" s="160">
        <f t="shared" si="1"/>
        <v>201</v>
      </c>
      <c r="H20" s="606">
        <v>506049</v>
      </c>
      <c r="I20" s="161">
        <f t="shared" si="2"/>
        <v>1249</v>
      </c>
      <c r="J20" s="606">
        <v>379215</v>
      </c>
      <c r="K20" s="162">
        <f t="shared" si="3"/>
        <v>814</v>
      </c>
      <c r="L20" s="296">
        <f t="shared" si="20"/>
        <v>42.666666666666664</v>
      </c>
      <c r="M20" s="296">
        <f t="shared" si="21"/>
        <v>92.794693200663346</v>
      </c>
      <c r="N20" s="296">
        <f t="shared" si="22"/>
        <v>43.197346600331677</v>
      </c>
      <c r="O20" s="296">
        <f t="shared" si="8"/>
        <v>154.80303857058792</v>
      </c>
      <c r="P20" s="297">
        <f t="shared" si="9"/>
        <v>333.4617450382496</v>
      </c>
      <c r="Q20" s="297">
        <f>SUM(-tanks!AX22*tanks!$AU$37)</f>
        <v>2034.0260129032404</v>
      </c>
      <c r="R20" s="297">
        <f t="shared" si="10"/>
        <v>2367.4877579414901</v>
      </c>
      <c r="S20" s="299">
        <f>SUM(ELEC!N19)</f>
        <v>10089</v>
      </c>
      <c r="T20" s="336">
        <f t="shared" si="12"/>
        <v>0.23466029913187533</v>
      </c>
      <c r="V20" t="s">
        <v>412</v>
      </c>
      <c r="AB20" s="560"/>
    </row>
    <row r="21" spans="1:32" ht="20.100000000000001" customHeight="1">
      <c r="A21" s="163">
        <f>ELEC!C20</f>
        <v>44334</v>
      </c>
      <c r="B21" s="606">
        <v>1041509</v>
      </c>
      <c r="C21" s="264">
        <f t="shared" si="0"/>
        <v>1742</v>
      </c>
      <c r="D21" s="308">
        <f t="shared" si="7"/>
        <v>1743</v>
      </c>
      <c r="E21" s="308">
        <f t="shared" si="11"/>
        <v>1041510</v>
      </c>
      <c r="F21" s="606">
        <v>154501</v>
      </c>
      <c r="G21" s="160">
        <f t="shared" si="1"/>
        <v>0</v>
      </c>
      <c r="H21" s="606">
        <v>506766</v>
      </c>
      <c r="I21" s="161">
        <f t="shared" si="2"/>
        <v>717</v>
      </c>
      <c r="J21" s="606">
        <v>380241</v>
      </c>
      <c r="K21" s="162">
        <f t="shared" si="3"/>
        <v>1026</v>
      </c>
      <c r="L21" s="296">
        <f t="shared" si="20"/>
        <v>0</v>
      </c>
      <c r="M21" s="296">
        <f t="shared" si="21"/>
        <v>53.269651741293529</v>
      </c>
      <c r="N21" s="296">
        <f t="shared" si="22"/>
        <v>54.447761194029852</v>
      </c>
      <c r="O21" s="296">
        <f t="shared" si="8"/>
        <v>154.80303857058792</v>
      </c>
      <c r="P21" s="297">
        <f t="shared" si="9"/>
        <v>262.5204515059113</v>
      </c>
      <c r="Q21" s="297">
        <f>SUM(-tanks!AX23*tanks!$AU$37)</f>
        <v>2529.5774451612801</v>
      </c>
      <c r="R21" s="297">
        <f t="shared" si="10"/>
        <v>2792.0978966671914</v>
      </c>
      <c r="S21" s="299">
        <f>SUM(ELEC!N20)</f>
        <v>10297</v>
      </c>
      <c r="T21" s="336">
        <f t="shared" si="12"/>
        <v>0.27115644330068867</v>
      </c>
      <c r="V21" s="166" t="s">
        <v>201</v>
      </c>
      <c r="W21" s="167">
        <v>44317</v>
      </c>
      <c r="X21" s="168"/>
      <c r="Y21" s="168"/>
      <c r="Z21" s="169" t="s">
        <v>202</v>
      </c>
      <c r="AA21" s="168"/>
      <c r="AB21" s="703"/>
      <c r="AC21" s="704"/>
    </row>
    <row r="22" spans="1:32" ht="20.100000000000001" customHeight="1">
      <c r="A22" s="163">
        <f>ELEC!C21</f>
        <v>44335</v>
      </c>
      <c r="B22" s="649">
        <v>1043337</v>
      </c>
      <c r="C22" s="264">
        <f t="shared" si="0"/>
        <v>1828</v>
      </c>
      <c r="D22" s="308">
        <f t="shared" si="7"/>
        <v>1828</v>
      </c>
      <c r="E22" s="308">
        <f t="shared" si="11"/>
        <v>1043337</v>
      </c>
      <c r="F22" s="642">
        <v>154650</v>
      </c>
      <c r="G22" s="160">
        <f t="shared" si="1"/>
        <v>149</v>
      </c>
      <c r="H22" s="649">
        <v>507784</v>
      </c>
      <c r="I22" s="161">
        <f t="shared" si="2"/>
        <v>1018</v>
      </c>
      <c r="J22" s="649">
        <v>380902</v>
      </c>
      <c r="K22" s="162">
        <f t="shared" si="3"/>
        <v>661</v>
      </c>
      <c r="L22" s="296">
        <f t="shared" si="20"/>
        <v>31.628524046434496</v>
      </c>
      <c r="M22" s="296">
        <f t="shared" si="21"/>
        <v>75.632504145936977</v>
      </c>
      <c r="N22" s="296">
        <f t="shared" si="22"/>
        <v>35.077943615257048</v>
      </c>
      <c r="O22" s="296">
        <f t="shared" si="8"/>
        <v>154.80303857058792</v>
      </c>
      <c r="P22" s="297">
        <f t="shared" si="9"/>
        <v>297.14201037821647</v>
      </c>
      <c r="Q22" s="297">
        <f>SUM(-tanks!AX24*tanks!$AU$37)</f>
        <v>2570.1838451613016</v>
      </c>
      <c r="R22" s="297">
        <f t="shared" si="10"/>
        <v>2867.3258555395182</v>
      </c>
      <c r="S22" s="299">
        <f>SUM(ELEC!N21)</f>
        <v>15339</v>
      </c>
      <c r="T22" s="336">
        <f t="shared" si="12"/>
        <v>0.18693042933304116</v>
      </c>
      <c r="V22" s="709"/>
      <c r="W22" s="710"/>
      <c r="X22" s="710"/>
      <c r="Y22" s="711"/>
      <c r="Z22" s="26" t="s">
        <v>203</v>
      </c>
      <c r="AA22" s="26">
        <v>5000</v>
      </c>
      <c r="AB22" s="705"/>
      <c r="AC22" s="706"/>
    </row>
    <row r="23" spans="1:32" ht="20.100000000000001" customHeight="1">
      <c r="A23" s="163">
        <f>ELEC!C22</f>
        <v>44336</v>
      </c>
      <c r="B23" s="606">
        <v>1044257</v>
      </c>
      <c r="C23" s="264">
        <f t="shared" si="0"/>
        <v>920</v>
      </c>
      <c r="D23" s="308">
        <f t="shared" si="7"/>
        <v>920</v>
      </c>
      <c r="E23" s="308">
        <f t="shared" si="11"/>
        <v>1044257</v>
      </c>
      <c r="F23" s="606">
        <v>154650</v>
      </c>
      <c r="G23" s="160">
        <f t="shared" si="1"/>
        <v>0</v>
      </c>
      <c r="H23" s="606">
        <v>508523</v>
      </c>
      <c r="I23" s="161">
        <f t="shared" si="2"/>
        <v>739</v>
      </c>
      <c r="J23" s="606">
        <v>381083</v>
      </c>
      <c r="K23" s="162">
        <f t="shared" si="3"/>
        <v>181</v>
      </c>
      <c r="L23" s="296">
        <f t="shared" si="20"/>
        <v>0</v>
      </c>
      <c r="M23" s="296">
        <f t="shared" si="21"/>
        <v>54.904145936981756</v>
      </c>
      <c r="N23" s="296">
        <f t="shared" si="22"/>
        <v>9.6053067993366508</v>
      </c>
      <c r="O23" s="296">
        <f t="shared" si="8"/>
        <v>154.80303857058792</v>
      </c>
      <c r="P23" s="297">
        <f t="shared" si="9"/>
        <v>219.31249130690634</v>
      </c>
      <c r="Q23" s="297">
        <f>SUM(-tanks!AX25*tanks!$AU$37)</f>
        <v>1540.5128877419304</v>
      </c>
      <c r="R23" s="297">
        <f t="shared" si="10"/>
        <v>1759.8253790488368</v>
      </c>
      <c r="S23" s="299">
        <f>SUM(ELEC!N22)</f>
        <v>8897</v>
      </c>
      <c r="T23" s="336">
        <f t="shared" si="12"/>
        <v>0.19779986276821815</v>
      </c>
      <c r="V23" s="712"/>
      <c r="W23" s="713"/>
      <c r="X23" s="713"/>
      <c r="Y23" s="714"/>
      <c r="Z23" s="715"/>
      <c r="AA23" s="716"/>
      <c r="AB23" s="705"/>
      <c r="AC23" s="706"/>
    </row>
    <row r="24" spans="1:32" ht="20.100000000000001" customHeight="1">
      <c r="A24" s="163">
        <f>ELEC!C23</f>
        <v>44337</v>
      </c>
      <c r="B24" s="606">
        <v>1045564</v>
      </c>
      <c r="C24" s="264">
        <f t="shared" si="0"/>
        <v>1307</v>
      </c>
      <c r="D24" s="308">
        <f t="shared" si="7"/>
        <v>1307</v>
      </c>
      <c r="E24" s="308">
        <f t="shared" si="11"/>
        <v>1045564</v>
      </c>
      <c r="F24" s="606">
        <v>154794</v>
      </c>
      <c r="G24" s="160">
        <f t="shared" si="1"/>
        <v>144</v>
      </c>
      <c r="H24" s="606">
        <v>509013</v>
      </c>
      <c r="I24" s="161">
        <f t="shared" si="2"/>
        <v>490</v>
      </c>
      <c r="J24" s="606">
        <v>381756</v>
      </c>
      <c r="K24" s="162">
        <f t="shared" si="3"/>
        <v>673</v>
      </c>
      <c r="L24" s="296">
        <f t="shared" si="20"/>
        <v>30.567164179104477</v>
      </c>
      <c r="M24" s="296">
        <f t="shared" si="21"/>
        <v>36.404643449419567</v>
      </c>
      <c r="N24" s="296">
        <f t="shared" si="22"/>
        <v>35.714759535655055</v>
      </c>
      <c r="O24" s="296">
        <f t="shared" si="8"/>
        <v>154.80303857058792</v>
      </c>
      <c r="P24" s="297">
        <f t="shared" si="9"/>
        <v>257.489605734767</v>
      </c>
      <c r="Q24" s="297">
        <f>SUM(-tanks!AX26*tanks!$AU$37)</f>
        <v>2526.606245161302</v>
      </c>
      <c r="R24" s="297">
        <f t="shared" si="10"/>
        <v>2784.0958508960689</v>
      </c>
      <c r="S24" s="299">
        <f>SUM(ELEC!N23)</f>
        <v>10235</v>
      </c>
      <c r="T24" s="336">
        <f t="shared" si="12"/>
        <v>0.27201718132838976</v>
      </c>
      <c r="V24" s="717" t="s">
        <v>204</v>
      </c>
      <c r="W24" s="718"/>
      <c r="X24" s="719" t="s">
        <v>205</v>
      </c>
      <c r="Y24" s="720"/>
      <c r="Z24" s="721"/>
      <c r="AA24" s="170"/>
      <c r="AB24" s="707"/>
      <c r="AC24" s="708"/>
    </row>
    <row r="25" spans="1:32" ht="20.100000000000001" customHeight="1">
      <c r="A25" s="163">
        <f>ELEC!C24</f>
        <v>44338</v>
      </c>
      <c r="B25" s="606">
        <v>1046532</v>
      </c>
      <c r="C25" s="264">
        <f t="shared" si="0"/>
        <v>968</v>
      </c>
      <c r="D25" s="308">
        <f t="shared" si="7"/>
        <v>968</v>
      </c>
      <c r="E25" s="308">
        <f t="shared" si="11"/>
        <v>1046532</v>
      </c>
      <c r="F25" s="606">
        <v>154794</v>
      </c>
      <c r="G25" s="160">
        <f t="shared" si="1"/>
        <v>0</v>
      </c>
      <c r="H25" s="606">
        <v>509781</v>
      </c>
      <c r="I25" s="161">
        <f t="shared" si="2"/>
        <v>768</v>
      </c>
      <c r="J25" s="606">
        <v>381956</v>
      </c>
      <c r="K25" s="162">
        <f t="shared" si="3"/>
        <v>200</v>
      </c>
      <c r="L25" s="296">
        <f t="shared" si="20"/>
        <v>0</v>
      </c>
      <c r="M25" s="296">
        <f t="shared" si="21"/>
        <v>57.058706467661693</v>
      </c>
      <c r="N25" s="296">
        <f t="shared" si="22"/>
        <v>10.613598673300165</v>
      </c>
      <c r="O25" s="296">
        <f t="shared" si="8"/>
        <v>154.80303857058792</v>
      </c>
      <c r="P25" s="297">
        <f t="shared" si="9"/>
        <v>222.47534371154978</v>
      </c>
      <c r="Q25" s="297">
        <f>SUM(-tanks!AX27*tanks!$AU$37)</f>
        <v>3517.0381935483615</v>
      </c>
      <c r="R25" s="297">
        <f t="shared" si="10"/>
        <v>3739.5135372599111</v>
      </c>
      <c r="S25" s="299">
        <f>SUM(ELEC!N24)</f>
        <v>12191</v>
      </c>
      <c r="T25" s="336">
        <f t="shared" si="12"/>
        <v>0.30674378945614889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20.100000000000001" customHeight="1">
      <c r="A26" s="163">
        <f>ELEC!C25</f>
        <v>44339</v>
      </c>
      <c r="B26" s="606">
        <v>1048219</v>
      </c>
      <c r="C26" s="264">
        <f t="shared" si="0"/>
        <v>1687</v>
      </c>
      <c r="D26" s="308">
        <f t="shared" si="7"/>
        <v>1688</v>
      </c>
      <c r="E26" s="308">
        <f t="shared" si="11"/>
        <v>1048220</v>
      </c>
      <c r="F26" s="606">
        <v>155137</v>
      </c>
      <c r="G26" s="160">
        <f t="shared" si="1"/>
        <v>343</v>
      </c>
      <c r="H26" s="606">
        <v>510531</v>
      </c>
      <c r="I26" s="161">
        <f t="shared" si="2"/>
        <v>750</v>
      </c>
      <c r="J26" s="606">
        <v>382551</v>
      </c>
      <c r="K26" s="162">
        <f t="shared" si="3"/>
        <v>595</v>
      </c>
      <c r="L26" s="296">
        <f t="shared" si="20"/>
        <v>72.809286898839133</v>
      </c>
      <c r="M26" s="296">
        <f t="shared" si="21"/>
        <v>55.721393034825873</v>
      </c>
      <c r="N26" s="296">
        <f t="shared" si="22"/>
        <v>31.575456053067992</v>
      </c>
      <c r="O26" s="296">
        <f t="shared" si="8"/>
        <v>154.80303857058792</v>
      </c>
      <c r="P26" s="297">
        <f t="shared" si="9"/>
        <v>314.90917455732091</v>
      </c>
      <c r="Q26" s="297">
        <f>SUM(-tanks!AX28*tanks!$AU$37)</f>
        <v>1788.726296774206</v>
      </c>
      <c r="R26" s="297">
        <f t="shared" si="10"/>
        <v>2103.6354713315268</v>
      </c>
      <c r="S26" s="299">
        <f>SUM(ELEC!N25)</f>
        <v>8568</v>
      </c>
      <c r="T26" s="336">
        <f t="shared" si="12"/>
        <v>0.24552234726091582</v>
      </c>
      <c r="V26" s="254">
        <f>W9</f>
        <v>365756</v>
      </c>
      <c r="W26" s="170">
        <f>J34</f>
        <v>386167</v>
      </c>
      <c r="X26" s="172" t="s">
        <v>199</v>
      </c>
      <c r="Y26" s="172">
        <v>80</v>
      </c>
      <c r="Z26" s="172">
        <v>1</v>
      </c>
      <c r="AA26" s="338">
        <f>(W26-V26)*Z26</f>
        <v>20411</v>
      </c>
      <c r="AB26" s="338">
        <f>AA26*Y26</f>
        <v>1632880</v>
      </c>
      <c r="AC26" s="249">
        <f>AC9</f>
        <v>1033333</v>
      </c>
      <c r="AD26" s="609">
        <f>SUM(K36)</f>
        <v>0.41575933035433316</v>
      </c>
    </row>
    <row r="27" spans="1:32" ht="20.100000000000001" customHeight="1">
      <c r="A27" s="163">
        <f>ELEC!C26</f>
        <v>44340</v>
      </c>
      <c r="B27" s="606">
        <v>1049003</v>
      </c>
      <c r="C27" s="264">
        <f t="shared" si="0"/>
        <v>784</v>
      </c>
      <c r="D27" s="308">
        <f t="shared" si="7"/>
        <v>790</v>
      </c>
      <c r="E27" s="308">
        <f t="shared" si="11"/>
        <v>1049009</v>
      </c>
      <c r="F27" s="606">
        <v>155137</v>
      </c>
      <c r="G27" s="160">
        <f t="shared" si="1"/>
        <v>0</v>
      </c>
      <c r="H27" s="606">
        <v>511109</v>
      </c>
      <c r="I27" s="161">
        <f t="shared" si="2"/>
        <v>578</v>
      </c>
      <c r="J27" s="606">
        <v>382763</v>
      </c>
      <c r="K27" s="162">
        <f t="shared" si="3"/>
        <v>212</v>
      </c>
      <c r="L27" s="296">
        <f t="shared" si="20"/>
        <v>0</v>
      </c>
      <c r="M27" s="296">
        <f t="shared" si="21"/>
        <v>42.942620232172473</v>
      </c>
      <c r="N27" s="296">
        <f t="shared" si="22"/>
        <v>11.250414593698176</v>
      </c>
      <c r="O27" s="296">
        <f t="shared" si="8"/>
        <v>154.80303857058792</v>
      </c>
      <c r="P27" s="297">
        <f t="shared" si="9"/>
        <v>208.99607339645857</v>
      </c>
      <c r="Q27" s="297">
        <f>SUM(-tanks!AX29*tanks!$AU$37)</f>
        <v>1980.9214038709683</v>
      </c>
      <c r="R27" s="297">
        <f t="shared" si="10"/>
        <v>2189.9174772674269</v>
      </c>
      <c r="S27" s="299">
        <f>SUM(ELEC!N26)</f>
        <v>13728</v>
      </c>
      <c r="T27" s="336">
        <f t="shared" si="12"/>
        <v>0.15952196075665989</v>
      </c>
      <c r="V27" s="254">
        <f t="shared" ref="V27:V28" si="23">W10</f>
        <v>492400</v>
      </c>
      <c r="W27" s="170">
        <f>H34</f>
        <v>515542</v>
      </c>
      <c r="X27" s="172" t="s">
        <v>213</v>
      </c>
      <c r="Y27" s="172">
        <v>112</v>
      </c>
      <c r="Z27" s="172">
        <v>1</v>
      </c>
      <c r="AA27" s="338">
        <f>(W27-V27)*Z27</f>
        <v>23142</v>
      </c>
      <c r="AB27" s="338">
        <f>SUM(AA27*Y27)</f>
        <v>2591904</v>
      </c>
      <c r="AC27" s="249">
        <f>AC10</f>
        <v>6200000</v>
      </c>
      <c r="AD27" s="609">
        <f>SUM(I36)</f>
        <v>0.4739337487150439</v>
      </c>
    </row>
    <row r="28" spans="1:32" ht="20.100000000000001" customHeight="1">
      <c r="A28" s="163">
        <f>ELEC!C27</f>
        <v>44341</v>
      </c>
      <c r="B28" s="606">
        <v>1050985</v>
      </c>
      <c r="C28" s="264">
        <f t="shared" si="0"/>
        <v>1982</v>
      </c>
      <c r="D28" s="308">
        <f t="shared" si="7"/>
        <v>1976</v>
      </c>
      <c r="E28" s="308">
        <f t="shared" si="11"/>
        <v>1050979</v>
      </c>
      <c r="F28" s="606">
        <v>155451</v>
      </c>
      <c r="G28" s="160">
        <f t="shared" si="1"/>
        <v>314</v>
      </c>
      <c r="H28" s="606">
        <v>511868</v>
      </c>
      <c r="I28" s="161">
        <f t="shared" si="2"/>
        <v>759</v>
      </c>
      <c r="J28" s="606">
        <v>383666</v>
      </c>
      <c r="K28" s="162">
        <f t="shared" si="3"/>
        <v>903</v>
      </c>
      <c r="L28" s="296">
        <f t="shared" si="20"/>
        <v>66.653399668325036</v>
      </c>
      <c r="M28" s="296">
        <f t="shared" si="21"/>
        <v>56.390049751243779</v>
      </c>
      <c r="N28" s="296">
        <f t="shared" si="22"/>
        <v>47.920398009950247</v>
      </c>
      <c r="O28" s="296">
        <f t="shared" si="8"/>
        <v>154.80303857058792</v>
      </c>
      <c r="P28" s="297">
        <f t="shared" si="9"/>
        <v>325.76688600010698</v>
      </c>
      <c r="Q28" s="297">
        <f>SUM(-tanks!AX30*tanks!$AU$37)</f>
        <v>2036.9972129032114</v>
      </c>
      <c r="R28" s="297">
        <f t="shared" si="10"/>
        <v>2362.7640989033184</v>
      </c>
      <c r="S28" s="299">
        <f>SUM(ELEC!N27)</f>
        <v>9803</v>
      </c>
      <c r="T28" s="336">
        <f t="shared" si="12"/>
        <v>0.24102459440001209</v>
      </c>
      <c r="V28" s="254">
        <f t="shared" si="23"/>
        <v>150653</v>
      </c>
      <c r="W28" s="170">
        <f>F34</f>
        <v>156087</v>
      </c>
      <c r="X28" s="172" t="s">
        <v>197</v>
      </c>
      <c r="Y28" s="172">
        <v>320</v>
      </c>
      <c r="Z28" s="172">
        <v>1</v>
      </c>
      <c r="AA28" s="338">
        <f>(W28-V28)*Z28</f>
        <v>5434</v>
      </c>
      <c r="AB28" s="338">
        <f>SUM(AA28*Y28)</f>
        <v>1738880</v>
      </c>
      <c r="AC28" s="249">
        <f>AC11</f>
        <v>1000</v>
      </c>
      <c r="AD28" s="609">
        <f>SUM(G36)</f>
        <v>0.11030692093062286</v>
      </c>
      <c r="AE28" s="40">
        <f>SUM(AB28*5%)</f>
        <v>86944</v>
      </c>
      <c r="AF28" s="82">
        <f>SUM(AE28/7)*31</f>
        <v>385037.71428571432</v>
      </c>
    </row>
    <row r="29" spans="1:32" ht="20.100000000000001" customHeight="1">
      <c r="A29" s="163">
        <f>ELEC!C28</f>
        <v>44342</v>
      </c>
      <c r="B29" s="606">
        <v>1051724</v>
      </c>
      <c r="C29" s="264">
        <f t="shared" si="0"/>
        <v>739</v>
      </c>
      <c r="D29" s="308">
        <f t="shared" si="7"/>
        <v>728</v>
      </c>
      <c r="E29" s="308">
        <f t="shared" si="11"/>
        <v>1051713</v>
      </c>
      <c r="F29" s="606">
        <v>155451</v>
      </c>
      <c r="G29" s="160">
        <f t="shared" si="1"/>
        <v>0</v>
      </c>
      <c r="H29" s="606">
        <v>512392</v>
      </c>
      <c r="I29" s="161">
        <f t="shared" si="2"/>
        <v>524</v>
      </c>
      <c r="J29" s="606">
        <v>383870</v>
      </c>
      <c r="K29" s="162">
        <f t="shared" si="3"/>
        <v>204</v>
      </c>
      <c r="L29" s="296">
        <f t="shared" si="20"/>
        <v>0</v>
      </c>
      <c r="M29" s="296">
        <f t="shared" si="21"/>
        <v>38.930679933665012</v>
      </c>
      <c r="N29" s="296">
        <f t="shared" si="22"/>
        <v>10.82587064676617</v>
      </c>
      <c r="O29" s="296">
        <f t="shared" si="8"/>
        <v>154.80303857058792</v>
      </c>
      <c r="P29" s="297">
        <f t="shared" si="9"/>
        <v>204.55958915101911</v>
      </c>
      <c r="Q29" s="297">
        <f>SUM(-tanks!AX31*tanks!$AU$37)</f>
        <v>4139.3608258064514</v>
      </c>
      <c r="R29" s="297">
        <f t="shared" si="10"/>
        <v>4343.9204149574707</v>
      </c>
      <c r="S29" s="299">
        <f>SUM(ELEC!N28)</f>
        <v>14177</v>
      </c>
      <c r="T29" s="336">
        <f t="shared" si="12"/>
        <v>0.30640618007741205</v>
      </c>
      <c r="V29" s="213"/>
      <c r="W29" s="214"/>
      <c r="X29" s="214"/>
      <c r="Y29" s="215"/>
      <c r="Z29" s="3"/>
      <c r="AA29" s="338">
        <f>SUM(AA26:AA28)</f>
        <v>48987</v>
      </c>
      <c r="AB29" s="338"/>
      <c r="AC29" s="249">
        <f>SUM(AC26:AC28)</f>
        <v>7234333</v>
      </c>
    </row>
    <row r="30" spans="1:32" ht="20.100000000000001" customHeight="1">
      <c r="A30" s="163">
        <f>ELEC!C29</f>
        <v>44343</v>
      </c>
      <c r="B30" s="606">
        <v>1053131</v>
      </c>
      <c r="C30" s="264">
        <f t="shared" si="0"/>
        <v>1407</v>
      </c>
      <c r="D30" s="308">
        <f t="shared" si="7"/>
        <v>1417</v>
      </c>
      <c r="E30" s="308">
        <f t="shared" si="11"/>
        <v>1053141</v>
      </c>
      <c r="F30" s="606">
        <v>155610</v>
      </c>
      <c r="G30" s="160">
        <f t="shared" si="1"/>
        <v>159</v>
      </c>
      <c r="H30" s="606">
        <v>513001</v>
      </c>
      <c r="I30" s="161">
        <f t="shared" si="2"/>
        <v>609</v>
      </c>
      <c r="J30" s="606">
        <v>384519</v>
      </c>
      <c r="K30" s="162">
        <f t="shared" si="3"/>
        <v>649</v>
      </c>
      <c r="L30" s="296">
        <f t="shared" si="20"/>
        <v>33.75124378109453</v>
      </c>
      <c r="M30" s="296">
        <f t="shared" si="21"/>
        <v>45.245771144278606</v>
      </c>
      <c r="N30" s="296">
        <f t="shared" si="22"/>
        <v>34.441127694859041</v>
      </c>
      <c r="O30" s="296">
        <f t="shared" si="8"/>
        <v>154.80303857058792</v>
      </c>
      <c r="P30" s="297">
        <f t="shared" si="9"/>
        <v>268.2411811908201</v>
      </c>
      <c r="Q30" s="297">
        <f>SUM(-tanks!AX32*tanks!$AU$37)</f>
        <v>2932.350761290329</v>
      </c>
      <c r="R30" s="297">
        <f t="shared" si="10"/>
        <v>3200.5919424811491</v>
      </c>
      <c r="S30" s="299">
        <f>SUM(ELEC!N29)</f>
        <v>11827</v>
      </c>
      <c r="T30" s="336">
        <f t="shared" si="12"/>
        <v>0.27061739599908252</v>
      </c>
      <c r="V30" s="216" t="s">
        <v>316</v>
      </c>
      <c r="W30" s="442">
        <f>'General information '!F37</f>
        <v>0</v>
      </c>
      <c r="X30" s="217"/>
      <c r="Y30" s="218" t="s">
        <v>330</v>
      </c>
      <c r="Z30" s="3"/>
      <c r="AA30" s="338"/>
      <c r="AB30" s="338">
        <f>SUM(AB26:AB29)</f>
        <v>5963664</v>
      </c>
      <c r="AC30" s="249"/>
    </row>
    <row r="31" spans="1:32" ht="20.100000000000001" customHeight="1">
      <c r="A31" s="163">
        <f>ELEC!C30</f>
        <v>44344</v>
      </c>
      <c r="B31" s="606">
        <v>1053877</v>
      </c>
      <c r="C31" s="264">
        <f t="shared" ref="C31:C33" si="24">SUM(B31-B30)</f>
        <v>746</v>
      </c>
      <c r="D31" s="308">
        <f t="shared" ref="D31:D33" si="25">SUM(G31+I31+K31)</f>
        <v>747</v>
      </c>
      <c r="E31" s="308">
        <f t="shared" ref="E31:E33" si="26">B30+D31</f>
        <v>1053878</v>
      </c>
      <c r="F31" s="606">
        <v>155610</v>
      </c>
      <c r="G31" s="160">
        <f t="shared" ref="G31:G33" si="27">F31-F30</f>
        <v>0</v>
      </c>
      <c r="H31" s="606">
        <v>513531</v>
      </c>
      <c r="I31" s="161">
        <f t="shared" ref="I31:I33" si="28">H31-H30</f>
        <v>530</v>
      </c>
      <c r="J31" s="606">
        <v>384736</v>
      </c>
      <c r="K31" s="162">
        <f t="shared" ref="K31:K33" si="29">J31-J30</f>
        <v>217</v>
      </c>
      <c r="L31" s="296">
        <f t="shared" ref="L31:L33" si="30">SUM(G31*$Y$28)/1507.5</f>
        <v>0</v>
      </c>
      <c r="M31" s="296">
        <f t="shared" ref="M31:M33" si="31">SUM(I31*$Y$27)/1507.5</f>
        <v>39.376451077943614</v>
      </c>
      <c r="N31" s="296">
        <f t="shared" ref="N31:N33" si="32">SUM(K31*$Y$26)/1507.5</f>
        <v>11.515754560530681</v>
      </c>
      <c r="O31" s="296">
        <f t="shared" si="8"/>
        <v>154.80303857058792</v>
      </c>
      <c r="P31" s="297">
        <f t="shared" ref="P31:P33" si="33">SUM(L31:O31)</f>
        <v>205.6952442090622</v>
      </c>
      <c r="Q31" s="297">
        <f>SUM(-tanks!AX33*tanks!$AU$37)</f>
        <v>2760.34064516128</v>
      </c>
      <c r="R31" s="297">
        <f t="shared" ref="R31:R33" si="34">SUM(P31:Q31)</f>
        <v>2966.0358893703424</v>
      </c>
      <c r="S31" s="299">
        <f>SUM(ELEC!N30)</f>
        <v>14989</v>
      </c>
      <c r="T31" s="336">
        <f t="shared" ref="T31:T33" si="35">IF(S31&gt;0,R31/S31,0)</f>
        <v>0.19788083857297634</v>
      </c>
      <c r="V31" s="216"/>
      <c r="W31" s="546"/>
      <c r="X31" s="217"/>
      <c r="Y31" s="218"/>
      <c r="Z31" s="3"/>
      <c r="AA31" s="338"/>
      <c r="AB31" s="338"/>
      <c r="AC31" s="249"/>
    </row>
    <row r="32" spans="1:32" ht="20.100000000000001" customHeight="1">
      <c r="A32" s="163">
        <f>ELEC!C31</f>
        <v>44345</v>
      </c>
      <c r="B32" s="606">
        <v>1055664</v>
      </c>
      <c r="C32" s="264">
        <f t="shared" si="24"/>
        <v>1787</v>
      </c>
      <c r="D32" s="308">
        <f t="shared" si="25"/>
        <v>1786</v>
      </c>
      <c r="E32" s="308">
        <f t="shared" si="26"/>
        <v>1055663</v>
      </c>
      <c r="F32" s="606">
        <v>155911</v>
      </c>
      <c r="G32" s="160">
        <f t="shared" si="27"/>
        <v>301</v>
      </c>
      <c r="H32" s="606">
        <v>514336</v>
      </c>
      <c r="I32" s="161">
        <f t="shared" si="28"/>
        <v>805</v>
      </c>
      <c r="J32" s="606">
        <v>385416</v>
      </c>
      <c r="K32" s="162">
        <f t="shared" si="29"/>
        <v>680</v>
      </c>
      <c r="L32" s="296">
        <f t="shared" si="30"/>
        <v>63.893864013266999</v>
      </c>
      <c r="M32" s="296">
        <f t="shared" si="31"/>
        <v>59.807628524046436</v>
      </c>
      <c r="N32" s="296">
        <f t="shared" si="32"/>
        <v>36.086235489220563</v>
      </c>
      <c r="O32" s="296">
        <f t="shared" si="8"/>
        <v>154.80303857058792</v>
      </c>
      <c r="P32" s="297">
        <f t="shared" si="33"/>
        <v>314.59076659712196</v>
      </c>
      <c r="Q32" s="297">
        <f>SUM(-tanks!AX34*tanks!$AU$37)</f>
        <v>2097.4116129032404</v>
      </c>
      <c r="R32" s="297">
        <f t="shared" si="34"/>
        <v>2412.0023795003626</v>
      </c>
      <c r="S32" s="299">
        <f>SUM(ELEC!N31)</f>
        <v>17183.002</v>
      </c>
      <c r="T32" s="336">
        <f t="shared" si="35"/>
        <v>0.14037141935386857</v>
      </c>
      <c r="V32" s="216"/>
      <c r="W32" s="546"/>
      <c r="X32" s="217"/>
      <c r="Y32" s="218"/>
      <c r="Z32" s="3"/>
      <c r="AA32" s="338"/>
      <c r="AB32" s="338"/>
      <c r="AC32" s="249"/>
    </row>
    <row r="33" spans="1:32" ht="20.100000000000001" customHeight="1">
      <c r="A33" s="163">
        <f>ELEC!C32</f>
        <v>44346</v>
      </c>
      <c r="B33" s="606">
        <v>1056477</v>
      </c>
      <c r="C33" s="264">
        <f t="shared" si="24"/>
        <v>813</v>
      </c>
      <c r="D33" s="308">
        <f t="shared" si="25"/>
        <v>813</v>
      </c>
      <c r="E33" s="308">
        <f t="shared" si="26"/>
        <v>1056477</v>
      </c>
      <c r="F33" s="606">
        <v>155911</v>
      </c>
      <c r="G33" s="160">
        <f t="shared" si="27"/>
        <v>0</v>
      </c>
      <c r="H33" s="606">
        <v>514991</v>
      </c>
      <c r="I33" s="161">
        <f t="shared" si="28"/>
        <v>655</v>
      </c>
      <c r="J33" s="606">
        <v>385574</v>
      </c>
      <c r="K33" s="162">
        <f t="shared" si="29"/>
        <v>158</v>
      </c>
      <c r="L33" s="296">
        <f t="shared" si="30"/>
        <v>0</v>
      </c>
      <c r="M33" s="296">
        <f t="shared" si="31"/>
        <v>48.663349917081263</v>
      </c>
      <c r="N33" s="296">
        <f t="shared" si="32"/>
        <v>8.3847429519071301</v>
      </c>
      <c r="O33" s="296">
        <f t="shared" si="8"/>
        <v>154.80303857058792</v>
      </c>
      <c r="P33" s="297">
        <f t="shared" si="33"/>
        <v>211.85113143957631</v>
      </c>
      <c r="Q33" s="297">
        <f>SUM(-tanks!AX35*tanks!$AU$37)</f>
        <v>3300.4600774193418</v>
      </c>
      <c r="R33" s="297">
        <f t="shared" si="34"/>
        <v>3512.3112088589182</v>
      </c>
      <c r="S33" s="299">
        <f>SUM(ELEC!N32)</f>
        <v>8610</v>
      </c>
      <c r="T33" s="336">
        <f t="shared" si="35"/>
        <v>0.40793393831114033</v>
      </c>
      <c r="V33" s="216" t="s">
        <v>317</v>
      </c>
      <c r="W33" s="590">
        <f>'Utility Cost '!B18</f>
        <v>339</v>
      </c>
      <c r="X33" s="222">
        <f>SUM(W33/A35)</f>
        <v>10.935483870967742</v>
      </c>
      <c r="Y33" s="260">
        <f>SUM(X33/1)</f>
        <v>10.935483870967742</v>
      </c>
      <c r="Z33" s="3"/>
      <c r="AA33" s="3"/>
      <c r="AB33" s="536">
        <f>SUM(AB30+AC33)</f>
        <v>13197997</v>
      </c>
      <c r="AC33" s="249">
        <f>SUM(AC29)</f>
        <v>7234333</v>
      </c>
    </row>
    <row r="34" spans="1:32" ht="20.100000000000001" customHeight="1">
      <c r="A34" s="163">
        <f>ELEC!C33</f>
        <v>44347</v>
      </c>
      <c r="B34" s="606">
        <v>1057796</v>
      </c>
      <c r="C34" s="264">
        <f t="shared" ref="C34" si="36">SUM(B34-B33)</f>
        <v>1319</v>
      </c>
      <c r="D34" s="308">
        <f t="shared" ref="D34" si="37">SUM(G34+I34+K34)</f>
        <v>1320</v>
      </c>
      <c r="E34" s="308">
        <f t="shared" ref="E34" si="38">B33+D34</f>
        <v>1057797</v>
      </c>
      <c r="F34" s="606">
        <v>156087</v>
      </c>
      <c r="G34" s="160">
        <f t="shared" ref="G34" si="39">F34-F33</f>
        <v>176</v>
      </c>
      <c r="H34" s="606">
        <v>515542</v>
      </c>
      <c r="I34" s="161">
        <f t="shared" ref="I34" si="40">H34-H33</f>
        <v>551</v>
      </c>
      <c r="J34" s="606">
        <v>386167</v>
      </c>
      <c r="K34" s="162">
        <f t="shared" ref="K34" si="41">J34-J33</f>
        <v>593</v>
      </c>
      <c r="L34" s="296">
        <f t="shared" ref="L34" si="42">SUM(G34*$Y$28)/1507.5</f>
        <v>37.359867330016584</v>
      </c>
      <c r="M34" s="296">
        <f t="shared" ref="M34" si="43">SUM(I34*$Y$27)/1507.5</f>
        <v>40.936650082918739</v>
      </c>
      <c r="N34" s="296">
        <f t="shared" ref="N34" si="44">SUM(K34*$Y$26)/1507.5</f>
        <v>31.469320066334991</v>
      </c>
      <c r="O34" s="296">
        <f t="shared" si="8"/>
        <v>154.80303857058792</v>
      </c>
      <c r="P34" s="297">
        <f t="shared" ref="P34" si="45">SUM(L34:O34)</f>
        <v>264.5688760498582</v>
      </c>
      <c r="Q34" s="297">
        <f>SUM(-tanks!AX36*tanks!$AU$37)</f>
        <v>3674.7673806451717</v>
      </c>
      <c r="R34" s="297">
        <f t="shared" ref="R34" si="46">SUM(P34:Q34)</f>
        <v>3939.33625669503</v>
      </c>
      <c r="S34" s="299">
        <f>SUM(ELEC!N33)</f>
        <v>19416</v>
      </c>
      <c r="T34" s="336">
        <f t="shared" ref="T34" si="47">IF(S34&gt;0,R34/S34,0)</f>
        <v>0.20289123695380254</v>
      </c>
      <c r="V34" s="216" t="s">
        <v>317</v>
      </c>
      <c r="W34" s="590"/>
      <c r="X34" s="222"/>
      <c r="Y34" s="260"/>
      <c r="Z34" s="3"/>
      <c r="AA34" s="3"/>
      <c r="AB34" s="536">
        <f>SUM(AB31+AC34)</f>
        <v>0</v>
      </c>
      <c r="AC34" s="249">
        <f>SUM(AC30)</f>
        <v>0</v>
      </c>
    </row>
    <row r="35" spans="1:32" ht="15.75" thickBot="1">
      <c r="A35" s="533">
        <f>A37-COUNTIF(C4:C34,0)</f>
        <v>31</v>
      </c>
      <c r="C35" s="173">
        <f>SUM(C4:C33)/A35</f>
        <v>1537.6451612903227</v>
      </c>
      <c r="D35" s="173"/>
      <c r="E35" s="173"/>
      <c r="G35" s="173">
        <f>SUM(G4:G33)/A35</f>
        <v>169.61290322580646</v>
      </c>
      <c r="I35" s="173">
        <f>SUM(I4:I33)/A35</f>
        <v>728.74193548387098</v>
      </c>
      <c r="K35" s="173">
        <f>SUM(K4:K33)/A35</f>
        <v>639.29032258064512</v>
      </c>
      <c r="L35" s="173">
        <f>SUM(L33*1507.5)</f>
        <v>0</v>
      </c>
      <c r="M35" s="173">
        <f>SUM(M33*1507.5)</f>
        <v>73360</v>
      </c>
      <c r="N35" s="173">
        <f>SUM(N33*1507.5)</f>
        <v>12639.999999999998</v>
      </c>
      <c r="O35" s="173">
        <f>SUM(O33*1507.5)</f>
        <v>233365.58064516127</v>
      </c>
      <c r="P35" s="173"/>
      <c r="Q35" s="173"/>
      <c r="R35" s="173"/>
      <c r="S35" s="300"/>
      <c r="V35" s="228"/>
      <c r="W35" s="229"/>
      <c r="X35" s="229"/>
      <c r="Y35" s="229"/>
      <c r="Z35" s="3"/>
      <c r="AA35" s="45"/>
      <c r="AB35" s="291"/>
      <c r="AC35" s="566"/>
      <c r="AD35" s="609">
        <f>AC33/1507</f>
        <v>4800.4863968148638</v>
      </c>
    </row>
    <row r="36" spans="1:32" ht="15.75" thickBot="1">
      <c r="A36" s="210"/>
      <c r="C36" s="212">
        <f>SUM(G36:K36)</f>
        <v>1</v>
      </c>
      <c r="G36" s="225">
        <f>IF(C35&gt;0,G35/C35,0)</f>
        <v>0.11030692093062286</v>
      </c>
      <c r="H36" s="212"/>
      <c r="I36" s="225">
        <f>SUM(I35/C35)</f>
        <v>0.4739337487150439</v>
      </c>
      <c r="J36" s="212"/>
      <c r="K36" s="225">
        <f>SUM(K35/C35)</f>
        <v>0.41575933035433316</v>
      </c>
      <c r="L36" s="225"/>
      <c r="M36" s="225"/>
      <c r="N36" s="225"/>
      <c r="O36" s="225"/>
      <c r="P36" s="225"/>
      <c r="Q36" s="225"/>
      <c r="R36" s="225"/>
      <c r="S36" s="301"/>
      <c r="V36" s="228"/>
      <c r="W36" s="229"/>
      <c r="X36" s="229"/>
      <c r="Y36" s="229"/>
      <c r="Z36" s="229"/>
      <c r="AA36" s="229" t="s">
        <v>215</v>
      </c>
      <c r="AB36" s="567">
        <f>SUM(AB33/1507.5)</f>
        <v>8754.8902155887226</v>
      </c>
      <c r="AC36" s="568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5"/>
      <c r="W37" s="219"/>
      <c r="X37" s="219"/>
      <c r="Y37" s="220"/>
      <c r="Z37" s="563"/>
      <c r="AA37" s="563"/>
      <c r="AB37" s="564"/>
      <c r="AC37" s="565"/>
    </row>
    <row r="38" spans="1:32">
      <c r="V38" s="217"/>
      <c r="W38" s="82"/>
      <c r="Z38" s="40"/>
      <c r="AA38" s="292"/>
      <c r="AB38" s="294">
        <f>SUM(AB36)</f>
        <v>8754.8902155887226</v>
      </c>
    </row>
    <row r="39" spans="1:32">
      <c r="V39" s="217"/>
      <c r="W39" s="82"/>
      <c r="X39" s="537"/>
      <c r="Z39" s="294"/>
      <c r="AA39" s="293"/>
      <c r="AB39" s="293"/>
    </row>
    <row r="40" spans="1:32">
      <c r="V40" s="17"/>
      <c r="W40" s="82"/>
      <c r="X40" s="537"/>
      <c r="Y40" s="82"/>
      <c r="Z40" s="294"/>
      <c r="AA40" s="101"/>
      <c r="AB40" s="348"/>
    </row>
    <row r="41" spans="1:32" ht="18.75">
      <c r="W41" s="82"/>
      <c r="Z41" s="276"/>
      <c r="AA41" s="293"/>
      <c r="AB41" s="347"/>
    </row>
    <row r="42" spans="1:32">
      <c r="D42" s="516"/>
      <c r="E42" s="516"/>
      <c r="F42" s="516"/>
      <c r="W42" s="82"/>
      <c r="Z42" s="295"/>
    </row>
    <row r="43" spans="1:32">
      <c r="Z43" s="293"/>
    </row>
    <row r="44" spans="1:32">
      <c r="V44" s="17"/>
      <c r="W44" s="17"/>
      <c r="X44" s="17"/>
      <c r="Y44" s="17"/>
      <c r="Z44" s="17"/>
      <c r="AA44" s="17"/>
      <c r="AB44" s="17"/>
      <c r="AC44" s="17"/>
      <c r="AD44" s="612"/>
      <c r="AE44" s="17"/>
      <c r="AF44" s="17"/>
    </row>
    <row r="45" spans="1:32">
      <c r="V45" s="538"/>
      <c r="W45" s="539"/>
      <c r="X45" s="17"/>
      <c r="Y45" s="17"/>
      <c r="Z45" s="540"/>
      <c r="AA45" s="17"/>
      <c r="AB45" s="722"/>
      <c r="AC45" s="722"/>
      <c r="AD45" s="612"/>
      <c r="AE45" s="17"/>
      <c r="AF45" s="17"/>
    </row>
    <row r="46" spans="1:32">
      <c r="V46" s="722"/>
      <c r="W46" s="722"/>
      <c r="X46" s="722"/>
      <c r="Y46" s="722"/>
      <c r="Z46" s="540"/>
      <c r="AA46" s="540"/>
      <c r="AB46" s="722"/>
      <c r="AC46" s="722"/>
      <c r="AD46" s="612"/>
      <c r="AE46" s="17"/>
      <c r="AF46" s="17"/>
    </row>
    <row r="47" spans="1:32">
      <c r="V47" s="722"/>
      <c r="W47" s="722"/>
      <c r="X47" s="722"/>
      <c r="Y47" s="722"/>
      <c r="Z47" s="722"/>
      <c r="AA47" s="722"/>
      <c r="AB47" s="722"/>
      <c r="AC47" s="722"/>
      <c r="AD47" s="612"/>
      <c r="AE47" s="17"/>
      <c r="AF47" s="17"/>
    </row>
    <row r="48" spans="1:32">
      <c r="V48" s="723"/>
      <c r="W48" s="723"/>
      <c r="X48" s="724"/>
      <c r="Y48" s="724"/>
      <c r="Z48" s="724"/>
      <c r="AA48" s="541"/>
      <c r="AB48" s="722"/>
      <c r="AC48" s="722"/>
      <c r="AD48" s="612"/>
      <c r="AE48" s="17"/>
      <c r="AF48" s="17"/>
    </row>
    <row r="49" spans="22:32">
      <c r="V49" s="538"/>
      <c r="W49" s="538"/>
      <c r="X49" s="538"/>
      <c r="Y49" s="538"/>
      <c r="Z49" s="538"/>
      <c r="AA49" s="538"/>
      <c r="AB49" s="538"/>
      <c r="AC49" s="542"/>
      <c r="AD49" s="612"/>
      <c r="AE49" s="17"/>
      <c r="AF49" s="17"/>
    </row>
    <row r="50" spans="22:32">
      <c r="V50" s="541"/>
      <c r="W50" s="541"/>
      <c r="X50" s="543"/>
      <c r="Y50" s="543"/>
      <c r="Z50" s="543"/>
      <c r="AA50" s="73"/>
      <c r="AB50" s="73"/>
      <c r="AC50" s="73"/>
      <c r="AD50" s="612"/>
      <c r="AE50" s="17"/>
      <c r="AF50" s="17"/>
    </row>
    <row r="51" spans="22:32">
      <c r="V51" s="541"/>
      <c r="W51" s="541"/>
      <c r="X51" s="543"/>
      <c r="Y51" s="543"/>
      <c r="Z51" s="543"/>
      <c r="AA51" s="73"/>
      <c r="AB51" s="73"/>
      <c r="AC51" s="73"/>
      <c r="AD51" s="612"/>
      <c r="AE51" s="17"/>
      <c r="AF51" s="17"/>
    </row>
    <row r="52" spans="22:32">
      <c r="V52" s="541"/>
      <c r="W52" s="541"/>
      <c r="X52" s="543"/>
      <c r="Y52" s="543"/>
      <c r="Z52" s="543"/>
      <c r="AA52" s="73"/>
      <c r="AB52" s="73"/>
      <c r="AC52" s="73"/>
      <c r="AD52" s="612"/>
      <c r="AE52" s="544"/>
      <c r="AF52" s="545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612"/>
      <c r="AE53" s="17"/>
      <c r="AF53" s="17"/>
    </row>
    <row r="54" spans="22:32">
      <c r="V54" s="217"/>
      <c r="W54" s="546"/>
      <c r="X54" s="217"/>
      <c r="Y54" s="217"/>
      <c r="Z54" s="17"/>
      <c r="AA54" s="73"/>
      <c r="AB54" s="267"/>
      <c r="AC54" s="73"/>
      <c r="AD54" s="612"/>
      <c r="AE54" s="17"/>
      <c r="AF54" s="17"/>
    </row>
    <row r="55" spans="22:32">
      <c r="V55" s="217"/>
      <c r="W55" s="217"/>
      <c r="X55" s="222"/>
      <c r="Y55" s="547"/>
      <c r="Z55" s="17"/>
      <c r="AA55" s="17"/>
      <c r="AB55" s="73"/>
      <c r="AC55" s="73"/>
      <c r="AD55" s="61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61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61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612"/>
      <c r="AE58" s="17"/>
      <c r="AF58" s="17"/>
    </row>
    <row r="59" spans="22:32">
      <c r="V59" s="17"/>
      <c r="W59" s="17"/>
      <c r="X59" s="17"/>
      <c r="Y59" s="17"/>
      <c r="Z59" s="17"/>
      <c r="AA59" s="548"/>
      <c r="AB59" s="549"/>
      <c r="AC59" s="550"/>
      <c r="AD59" s="612"/>
      <c r="AE59" s="17"/>
      <c r="AF59" s="17"/>
    </row>
    <row r="60" spans="22:32">
      <c r="V60" s="17"/>
      <c r="W60" s="17"/>
      <c r="X60" s="17"/>
      <c r="Y60" s="17"/>
      <c r="Z60" s="17"/>
      <c r="AA60" s="551"/>
      <c r="AB60" s="549"/>
      <c r="AC60" s="550"/>
      <c r="AD60" s="61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9"/>
      <c r="AC61" s="550"/>
      <c r="AD61" s="61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52"/>
      <c r="AC62" s="17"/>
      <c r="AD62" s="612"/>
      <c r="AE62" s="17"/>
      <c r="AF62" s="17"/>
    </row>
    <row r="63" spans="22:32">
      <c r="V63" s="217"/>
      <c r="W63" s="545"/>
      <c r="X63" s="17"/>
      <c r="Y63" s="17"/>
      <c r="Z63" s="544"/>
      <c r="AA63" s="553"/>
      <c r="AB63" s="543"/>
      <c r="AC63" s="17"/>
      <c r="AD63" s="612"/>
      <c r="AE63" s="17"/>
      <c r="AF63" s="17"/>
    </row>
    <row r="64" spans="22:32">
      <c r="V64" s="217"/>
      <c r="W64" s="545"/>
      <c r="X64" s="17"/>
      <c r="Y64" s="17"/>
      <c r="Z64" s="422"/>
      <c r="AA64" s="543"/>
      <c r="AB64" s="543"/>
      <c r="AC64" s="17"/>
      <c r="AD64" s="612"/>
      <c r="AE64" s="17"/>
      <c r="AF64" s="17"/>
    </row>
    <row r="65" spans="22:32">
      <c r="V65" s="17"/>
      <c r="W65" s="545"/>
      <c r="X65" s="17"/>
      <c r="Y65" s="545"/>
      <c r="Z65" s="422"/>
      <c r="AA65" s="543"/>
      <c r="AB65" s="554"/>
      <c r="AC65" s="17"/>
      <c r="AD65" s="612"/>
      <c r="AE65" s="17"/>
      <c r="AF65" s="17"/>
    </row>
    <row r="66" spans="22:32" ht="18.75">
      <c r="V66" s="17"/>
      <c r="W66" s="545"/>
      <c r="X66" s="17"/>
      <c r="Y66" s="17"/>
      <c r="Z66" s="555"/>
      <c r="AA66" s="543"/>
      <c r="AB66" s="556"/>
      <c r="AC66" s="17"/>
      <c r="AD66" s="612"/>
      <c r="AE66" s="17"/>
      <c r="AF66" s="17"/>
    </row>
    <row r="67" spans="22:32">
      <c r="V67" s="17"/>
      <c r="W67" s="545"/>
      <c r="X67" s="17"/>
      <c r="Y67" s="17"/>
      <c r="Z67" s="73"/>
      <c r="AA67" s="17"/>
      <c r="AB67" s="17"/>
      <c r="AC67" s="17"/>
      <c r="AD67" s="612"/>
      <c r="AE67" s="17"/>
      <c r="AF67" s="17"/>
    </row>
    <row r="68" spans="22:32">
      <c r="V68" s="17"/>
      <c r="W68" s="17"/>
      <c r="X68" s="17"/>
      <c r="Y68" s="17"/>
      <c r="Z68" s="543"/>
      <c r="AA68" s="17"/>
      <c r="AB68" s="17"/>
      <c r="AC68" s="17"/>
      <c r="AD68" s="61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61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61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61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61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61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61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61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61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61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61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61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612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Q1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23" activePane="bottomLeft" state="frozen"/>
      <selection pane="bottomLeft" activeCell="G36" sqref="G36"/>
    </sheetView>
  </sheetViews>
  <sheetFormatPr defaultRowHeight="15"/>
  <cols>
    <col min="1" max="1" width="11.85546875" style="481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725" t="s">
        <v>193</v>
      </c>
      <c r="B1" s="726"/>
      <c r="C1" s="726"/>
      <c r="D1" s="726"/>
      <c r="E1" s="726"/>
      <c r="F1" s="726"/>
      <c r="G1" s="726"/>
      <c r="H1" s="726"/>
      <c r="I1" s="726"/>
      <c r="J1" s="726"/>
      <c r="K1" s="726"/>
      <c r="L1" s="726"/>
      <c r="M1" s="726"/>
      <c r="N1" s="726"/>
      <c r="O1" s="727"/>
    </row>
    <row r="2" spans="1:15" ht="15.75" customHeight="1" thickBot="1">
      <c r="A2" s="728"/>
      <c r="B2" s="729"/>
      <c r="C2" s="729"/>
      <c r="D2" s="729"/>
      <c r="E2" s="729"/>
      <c r="F2" s="729"/>
      <c r="G2" s="729"/>
      <c r="H2" s="729"/>
      <c r="I2" s="729"/>
      <c r="J2" s="729"/>
      <c r="K2" s="729"/>
      <c r="L2" s="729"/>
      <c r="M2" s="729"/>
      <c r="N2" s="729"/>
      <c r="O2" s="730"/>
    </row>
    <row r="3" spans="1:15" ht="9" customHeight="1" thickBot="1">
      <c r="A3" s="478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9"/>
      <c r="B4" s="149" t="s">
        <v>387</v>
      </c>
      <c r="C4" s="150" t="s">
        <v>158</v>
      </c>
      <c r="D4" s="147" t="s">
        <v>160</v>
      </c>
      <c r="E4" s="151" t="s">
        <v>159</v>
      </c>
      <c r="F4" s="50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0">
        <f>ELEC!C2</f>
        <v>44316</v>
      </c>
      <c r="B5" s="356">
        <v>25</v>
      </c>
      <c r="C5" s="356">
        <v>21</v>
      </c>
      <c r="D5" s="615">
        <f t="shared" ref="D5" si="0">(C5+B5)/2</f>
        <v>23</v>
      </c>
      <c r="E5" s="616">
        <v>0.56000000000000005</v>
      </c>
      <c r="F5" s="617">
        <v>0</v>
      </c>
      <c r="G5" s="618">
        <f t="shared" ref="G5" si="1">F5*230</f>
        <v>0</v>
      </c>
      <c r="H5" s="619">
        <v>0</v>
      </c>
      <c r="I5" s="619">
        <v>0</v>
      </c>
      <c r="J5" s="356">
        <v>0</v>
      </c>
      <c r="K5" s="620">
        <f t="shared" ref="K5" si="2">+J5+H5+I5</f>
        <v>0</v>
      </c>
      <c r="L5" s="619"/>
      <c r="M5" s="619"/>
      <c r="N5" s="621"/>
      <c r="O5" s="619"/>
    </row>
    <row r="6" spans="1:15">
      <c r="A6" s="480">
        <f>ELEC!C3</f>
        <v>44317</v>
      </c>
      <c r="B6" s="37">
        <v>26</v>
      </c>
      <c r="C6" s="37">
        <v>21</v>
      </c>
      <c r="D6" s="26">
        <f t="shared" ref="D6:D12" si="3">(C6+B6)/2</f>
        <v>23.5</v>
      </c>
      <c r="E6" s="340">
        <v>0.65</v>
      </c>
      <c r="F6" s="343">
        <v>0</v>
      </c>
      <c r="G6" s="241">
        <f t="shared" ref="G6:G12" si="4">F6*230</f>
        <v>0</v>
      </c>
      <c r="H6" s="3">
        <v>0</v>
      </c>
      <c r="I6" s="3">
        <v>0</v>
      </c>
      <c r="J6" s="37">
        <v>0</v>
      </c>
      <c r="K6" s="263">
        <f t="shared" ref="K6:K26" si="5">+J6+H6</f>
        <v>0</v>
      </c>
      <c r="L6" s="3"/>
      <c r="M6" s="3"/>
      <c r="N6" s="155"/>
      <c r="O6" s="3"/>
    </row>
    <row r="7" spans="1:15">
      <c r="A7" s="480">
        <f>ELEC!C4</f>
        <v>44318</v>
      </c>
      <c r="B7" s="37">
        <v>25</v>
      </c>
      <c r="C7" s="37">
        <v>21</v>
      </c>
      <c r="D7" s="26">
        <f t="shared" si="3"/>
        <v>23</v>
      </c>
      <c r="E7" s="340">
        <v>0.67</v>
      </c>
      <c r="F7" s="343">
        <v>0</v>
      </c>
      <c r="G7" s="241">
        <f t="shared" si="4"/>
        <v>0</v>
      </c>
      <c r="H7" s="3">
        <v>0</v>
      </c>
      <c r="I7" s="3">
        <v>0</v>
      </c>
      <c r="J7" s="37">
        <v>0</v>
      </c>
      <c r="K7" s="263">
        <f t="shared" si="5"/>
        <v>0</v>
      </c>
      <c r="L7" s="3"/>
      <c r="M7" s="3"/>
      <c r="N7" s="155"/>
      <c r="O7" s="3"/>
    </row>
    <row r="8" spans="1:15">
      <c r="A8" s="480">
        <f>ELEC!C5</f>
        <v>44319</v>
      </c>
      <c r="B8" s="37">
        <v>26</v>
      </c>
      <c r="C8" s="37">
        <v>22</v>
      </c>
      <c r="D8" s="26">
        <f t="shared" si="3"/>
        <v>24</v>
      </c>
      <c r="E8" s="340">
        <v>0.65</v>
      </c>
      <c r="F8" s="340">
        <v>0</v>
      </c>
      <c r="G8" s="241">
        <f t="shared" si="4"/>
        <v>0</v>
      </c>
      <c r="H8" s="3">
        <v>0</v>
      </c>
      <c r="I8" s="3">
        <v>0</v>
      </c>
      <c r="J8" s="37">
        <v>0</v>
      </c>
      <c r="K8" s="263">
        <f t="shared" si="5"/>
        <v>0</v>
      </c>
      <c r="L8" s="3"/>
      <c r="M8" s="170"/>
      <c r="N8" s="155"/>
      <c r="O8" s="3"/>
    </row>
    <row r="9" spans="1:15">
      <c r="A9" s="480">
        <f>ELEC!C6</f>
        <v>44320</v>
      </c>
      <c r="B9" s="37">
        <v>26</v>
      </c>
      <c r="C9" s="37">
        <v>19</v>
      </c>
      <c r="D9" s="26">
        <f>(C9+B9)/2</f>
        <v>22.5</v>
      </c>
      <c r="E9" s="394">
        <v>0.44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0">
        <f>ELEC!C7</f>
        <v>44321</v>
      </c>
      <c r="B10" s="37">
        <v>24</v>
      </c>
      <c r="C10" s="37">
        <v>22</v>
      </c>
      <c r="D10" s="26">
        <f t="shared" si="3"/>
        <v>23</v>
      </c>
      <c r="E10" s="354">
        <v>0.53</v>
      </c>
      <c r="F10" s="340">
        <v>0</v>
      </c>
      <c r="G10" s="241">
        <f t="shared" si="4"/>
        <v>0</v>
      </c>
      <c r="H10" s="3">
        <v>0</v>
      </c>
      <c r="I10" s="3">
        <v>0</v>
      </c>
      <c r="J10" s="37">
        <v>0</v>
      </c>
      <c r="K10" s="263">
        <f t="shared" si="5"/>
        <v>0</v>
      </c>
      <c r="L10" s="3"/>
      <c r="M10" s="3"/>
      <c r="N10" s="155"/>
      <c r="O10" s="3"/>
    </row>
    <row r="11" spans="1:15">
      <c r="A11" s="480">
        <f>ELEC!C8</f>
        <v>44322</v>
      </c>
      <c r="B11" s="37">
        <v>24</v>
      </c>
      <c r="C11" s="37">
        <v>20</v>
      </c>
      <c r="D11" s="26">
        <f t="shared" si="3"/>
        <v>22</v>
      </c>
      <c r="E11" s="394">
        <v>0.64</v>
      </c>
      <c r="F11" s="394">
        <v>0</v>
      </c>
      <c r="G11" s="241">
        <f t="shared" si="4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0">
        <f>ELEC!C9</f>
        <v>44323</v>
      </c>
      <c r="B12" s="37">
        <v>25</v>
      </c>
      <c r="C12" s="37">
        <v>21</v>
      </c>
      <c r="D12" s="26">
        <f t="shared" si="3"/>
        <v>23</v>
      </c>
      <c r="E12" s="394">
        <v>0.65</v>
      </c>
      <c r="F12" s="394">
        <v>0</v>
      </c>
      <c r="G12" s="241">
        <f t="shared" si="4"/>
        <v>0</v>
      </c>
      <c r="H12" s="3">
        <v>0</v>
      </c>
      <c r="I12" s="3">
        <v>0</v>
      </c>
      <c r="J12" s="37">
        <v>0</v>
      </c>
      <c r="K12" s="263">
        <f t="shared" si="5"/>
        <v>0</v>
      </c>
      <c r="L12" s="3"/>
      <c r="M12" s="3"/>
      <c r="N12" s="155"/>
      <c r="O12" s="3"/>
    </row>
    <row r="13" spans="1:15">
      <c r="A13" s="480">
        <f>ELEC!C10</f>
        <v>44324</v>
      </c>
      <c r="B13" s="37">
        <v>29</v>
      </c>
      <c r="C13" s="37">
        <v>20</v>
      </c>
      <c r="D13" s="26">
        <f>(C13+B13)/2</f>
        <v>24.5</v>
      </c>
      <c r="E13" s="354">
        <v>0.52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5"/>
        <v>0</v>
      </c>
      <c r="L13" s="3"/>
      <c r="M13" s="3"/>
      <c r="N13" s="155"/>
      <c r="O13" s="3"/>
    </row>
    <row r="14" spans="1:15">
      <c r="A14" s="480">
        <f>ELEC!C11</f>
        <v>44325</v>
      </c>
      <c r="B14" s="37">
        <v>28</v>
      </c>
      <c r="C14" s="37">
        <v>21</v>
      </c>
      <c r="D14" s="26">
        <f t="shared" ref="D14:D33" si="6">(C14+B14)/2</f>
        <v>24.5</v>
      </c>
      <c r="E14" s="340">
        <v>0.55000000000000004</v>
      </c>
      <c r="F14" s="394">
        <v>0</v>
      </c>
      <c r="G14" s="241">
        <f t="shared" ref="G14:G33" si="7">F14*230</f>
        <v>0</v>
      </c>
      <c r="H14" s="3">
        <v>0</v>
      </c>
      <c r="I14" s="3">
        <v>0</v>
      </c>
      <c r="J14" s="37">
        <v>0</v>
      </c>
      <c r="K14" s="263">
        <f t="shared" si="5"/>
        <v>0</v>
      </c>
      <c r="L14" s="3"/>
      <c r="M14" s="3"/>
      <c r="N14" s="155"/>
      <c r="O14" s="3"/>
    </row>
    <row r="15" spans="1:15">
      <c r="A15" s="480">
        <f>ELEC!C12</f>
        <v>44326</v>
      </c>
      <c r="B15" s="37">
        <v>24</v>
      </c>
      <c r="C15" s="37">
        <v>20</v>
      </c>
      <c r="D15" s="26">
        <f t="shared" si="6"/>
        <v>22</v>
      </c>
      <c r="E15" s="340">
        <v>0.53</v>
      </c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0">
        <f>ELEC!C13</f>
        <v>44327</v>
      </c>
      <c r="B16" s="37">
        <v>24</v>
      </c>
      <c r="C16" s="37">
        <v>18</v>
      </c>
      <c r="D16" s="26">
        <f t="shared" si="6"/>
        <v>21</v>
      </c>
      <c r="E16" s="340">
        <v>0.74</v>
      </c>
      <c r="F16" s="340">
        <v>0</v>
      </c>
      <c r="G16" s="241">
        <f t="shared" si="7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0">
        <f>ELEC!C14</f>
        <v>44328</v>
      </c>
      <c r="B17" s="37">
        <v>25</v>
      </c>
      <c r="C17" s="37">
        <v>19</v>
      </c>
      <c r="D17" s="26">
        <f t="shared" si="6"/>
        <v>22</v>
      </c>
      <c r="E17" s="340">
        <v>0.68</v>
      </c>
      <c r="F17" s="340">
        <v>0</v>
      </c>
      <c r="G17" s="241">
        <f t="shared" si="7"/>
        <v>0</v>
      </c>
      <c r="H17" s="3">
        <v>0</v>
      </c>
      <c r="I17" s="3">
        <v>0</v>
      </c>
      <c r="J17" s="37">
        <v>0</v>
      </c>
      <c r="K17" s="263">
        <f t="shared" si="5"/>
        <v>0</v>
      </c>
      <c r="L17" s="3"/>
      <c r="M17" s="3"/>
      <c r="N17" s="155"/>
      <c r="O17" s="3"/>
    </row>
    <row r="18" spans="1:15">
      <c r="A18" s="480">
        <f>ELEC!C15</f>
        <v>44329</v>
      </c>
      <c r="B18" s="37">
        <v>24</v>
      </c>
      <c r="C18" s="37">
        <v>18</v>
      </c>
      <c r="D18" s="26">
        <f t="shared" si="6"/>
        <v>21</v>
      </c>
      <c r="E18" s="427">
        <v>0.74</v>
      </c>
      <c r="F18" s="340">
        <v>0</v>
      </c>
      <c r="G18" s="241">
        <f t="shared" si="7"/>
        <v>0</v>
      </c>
      <c r="H18" s="3">
        <v>0</v>
      </c>
      <c r="I18" s="3">
        <v>0</v>
      </c>
      <c r="J18" s="37">
        <v>0</v>
      </c>
      <c r="K18" s="263">
        <f t="shared" si="5"/>
        <v>0</v>
      </c>
      <c r="L18" s="3"/>
      <c r="M18" s="3"/>
      <c r="N18" s="155"/>
      <c r="O18" s="3"/>
    </row>
    <row r="19" spans="1:15">
      <c r="A19" s="480">
        <f>ELEC!C16</f>
        <v>44330</v>
      </c>
      <c r="B19" s="37">
        <v>24</v>
      </c>
      <c r="C19" s="37">
        <v>21</v>
      </c>
      <c r="D19" s="26">
        <f t="shared" si="6"/>
        <v>22.5</v>
      </c>
      <c r="E19" s="340">
        <v>0.67</v>
      </c>
      <c r="F19" s="340">
        <v>0</v>
      </c>
      <c r="G19" s="241">
        <f t="shared" si="7"/>
        <v>0</v>
      </c>
      <c r="H19" s="3">
        <v>0</v>
      </c>
      <c r="I19" s="3">
        <v>0</v>
      </c>
      <c r="J19" s="37">
        <v>0</v>
      </c>
      <c r="K19" s="263">
        <f t="shared" si="5"/>
        <v>0</v>
      </c>
      <c r="L19" s="3"/>
      <c r="M19" s="3"/>
      <c r="N19" s="155"/>
      <c r="O19" s="3"/>
    </row>
    <row r="20" spans="1:15">
      <c r="A20" s="480">
        <f>ELEC!C17</f>
        <v>44331</v>
      </c>
      <c r="B20" s="37">
        <v>25</v>
      </c>
      <c r="C20" s="37">
        <v>22</v>
      </c>
      <c r="D20" s="26">
        <f t="shared" si="6"/>
        <v>23.5</v>
      </c>
      <c r="E20" s="340">
        <v>0.65</v>
      </c>
      <c r="F20" s="340">
        <v>0</v>
      </c>
      <c r="G20" s="241">
        <f t="shared" si="7"/>
        <v>0</v>
      </c>
      <c r="H20" s="3">
        <v>0</v>
      </c>
      <c r="I20" s="3">
        <v>0</v>
      </c>
      <c r="J20" s="37">
        <v>0</v>
      </c>
      <c r="K20" s="263">
        <f t="shared" si="5"/>
        <v>0</v>
      </c>
      <c r="L20" s="3"/>
      <c r="M20" s="3"/>
      <c r="N20" s="155"/>
      <c r="O20" s="3"/>
    </row>
    <row r="21" spans="1:15">
      <c r="A21" s="480">
        <f>ELEC!C18</f>
        <v>44332</v>
      </c>
      <c r="B21" s="37">
        <v>24</v>
      </c>
      <c r="C21" s="37">
        <v>19</v>
      </c>
      <c r="D21" s="26">
        <f>(C21+B21)/2</f>
        <v>21.5</v>
      </c>
      <c r="E21" s="340">
        <v>0.75</v>
      </c>
      <c r="F21" s="394">
        <v>0</v>
      </c>
      <c r="G21" s="241">
        <f t="shared" si="7"/>
        <v>0</v>
      </c>
      <c r="H21" s="3">
        <v>0</v>
      </c>
      <c r="I21" s="3">
        <v>0</v>
      </c>
      <c r="J21" s="37">
        <v>0</v>
      </c>
      <c r="K21" s="263">
        <f t="shared" si="5"/>
        <v>0</v>
      </c>
      <c r="L21" s="3"/>
      <c r="M21" s="3"/>
      <c r="N21" s="155"/>
      <c r="O21" s="3"/>
    </row>
    <row r="22" spans="1:15">
      <c r="A22" s="480">
        <f>ELEC!C19</f>
        <v>44333</v>
      </c>
      <c r="B22" s="37">
        <v>25</v>
      </c>
      <c r="C22" s="37">
        <v>20</v>
      </c>
      <c r="D22" s="26">
        <f t="shared" si="6"/>
        <v>22.5</v>
      </c>
      <c r="E22" s="340">
        <v>0.7</v>
      </c>
      <c r="F22" s="394">
        <v>0</v>
      </c>
      <c r="G22" s="241">
        <f t="shared" si="7"/>
        <v>0</v>
      </c>
      <c r="H22" s="3">
        <v>0</v>
      </c>
      <c r="I22" s="3">
        <v>0</v>
      </c>
      <c r="J22" s="37">
        <v>0</v>
      </c>
      <c r="K22" s="263">
        <f t="shared" si="5"/>
        <v>0</v>
      </c>
      <c r="L22" s="3"/>
      <c r="M22" s="3"/>
      <c r="N22" s="155"/>
      <c r="O22" s="3"/>
    </row>
    <row r="23" spans="1:15">
      <c r="A23" s="480">
        <f>ELEC!C20</f>
        <v>44334</v>
      </c>
      <c r="B23" s="37">
        <v>32</v>
      </c>
      <c r="C23" s="37">
        <v>14</v>
      </c>
      <c r="D23" s="26">
        <f>(C23+B23)/2</f>
        <v>23</v>
      </c>
      <c r="E23" s="340">
        <v>0.34</v>
      </c>
      <c r="F23" s="394">
        <v>0</v>
      </c>
      <c r="G23" s="241">
        <f t="shared" si="7"/>
        <v>0</v>
      </c>
      <c r="H23" s="3">
        <v>0</v>
      </c>
      <c r="I23" s="3">
        <v>0</v>
      </c>
      <c r="J23" s="37">
        <v>0</v>
      </c>
      <c r="K23" s="263">
        <f t="shared" si="5"/>
        <v>0</v>
      </c>
      <c r="L23" s="3"/>
      <c r="M23" s="3"/>
      <c r="N23" s="155"/>
      <c r="O23" s="3"/>
    </row>
    <row r="24" spans="1:15">
      <c r="A24" s="480">
        <f>ELEC!C21</f>
        <v>44335</v>
      </c>
      <c r="B24" s="37">
        <v>26</v>
      </c>
      <c r="C24" s="37">
        <v>20</v>
      </c>
      <c r="D24" s="26">
        <f t="shared" ref="D24" si="8">(C24+B24)/2</f>
        <v>23</v>
      </c>
      <c r="E24" s="394">
        <v>0.73</v>
      </c>
      <c r="F24" s="340">
        <v>0</v>
      </c>
      <c r="G24" s="241">
        <f t="shared" si="7"/>
        <v>0</v>
      </c>
      <c r="H24" s="3">
        <v>0</v>
      </c>
      <c r="I24" s="3">
        <v>0</v>
      </c>
      <c r="J24" s="37">
        <v>0</v>
      </c>
      <c r="K24" s="263">
        <f t="shared" si="5"/>
        <v>0</v>
      </c>
      <c r="L24" s="3"/>
      <c r="M24" s="3"/>
      <c r="N24" s="155"/>
      <c r="O24" s="3"/>
    </row>
    <row r="25" spans="1:15">
      <c r="A25" s="480">
        <f>ELEC!C22</f>
        <v>44336</v>
      </c>
      <c r="B25" s="37">
        <v>26</v>
      </c>
      <c r="C25" s="37">
        <v>21</v>
      </c>
      <c r="D25" s="26">
        <f t="shared" si="6"/>
        <v>23.5</v>
      </c>
      <c r="E25" s="340">
        <v>0.77</v>
      </c>
      <c r="F25" s="340">
        <v>0</v>
      </c>
      <c r="G25" s="241">
        <f t="shared" si="7"/>
        <v>0</v>
      </c>
      <c r="H25" s="3">
        <v>0</v>
      </c>
      <c r="I25" s="3">
        <v>0</v>
      </c>
      <c r="J25" s="37">
        <v>0</v>
      </c>
      <c r="K25" s="263">
        <f t="shared" si="5"/>
        <v>0</v>
      </c>
      <c r="L25" s="3"/>
      <c r="M25" s="3"/>
      <c r="N25" s="155"/>
      <c r="O25" s="3"/>
    </row>
    <row r="26" spans="1:15">
      <c r="A26" s="480">
        <f>ELEC!C23</f>
        <v>44337</v>
      </c>
      <c r="B26" s="37">
        <v>25</v>
      </c>
      <c r="C26" s="37">
        <v>24</v>
      </c>
      <c r="D26" s="26">
        <f>(C26+B26)/2</f>
        <v>24.5</v>
      </c>
      <c r="E26" s="340">
        <v>0.47</v>
      </c>
      <c r="F26" s="340">
        <v>0</v>
      </c>
      <c r="G26" s="241">
        <f t="shared" si="7"/>
        <v>0</v>
      </c>
      <c r="H26" s="3">
        <v>0</v>
      </c>
      <c r="I26" s="3">
        <v>0</v>
      </c>
      <c r="J26" s="37">
        <v>0</v>
      </c>
      <c r="K26" s="263">
        <f t="shared" si="5"/>
        <v>0</v>
      </c>
      <c r="L26" s="3"/>
      <c r="M26" s="3"/>
      <c r="N26" s="155"/>
      <c r="O26" s="3"/>
    </row>
    <row r="27" spans="1:15">
      <c r="A27" s="480">
        <f>ELEC!C24</f>
        <v>44338</v>
      </c>
      <c r="B27" s="37">
        <v>26</v>
      </c>
      <c r="C27" s="37">
        <v>23</v>
      </c>
      <c r="D27" s="26">
        <f t="shared" si="6"/>
        <v>24.5</v>
      </c>
      <c r="E27" s="340">
        <v>0.5</v>
      </c>
      <c r="F27" s="340">
        <v>0</v>
      </c>
      <c r="G27" s="241">
        <f t="shared" si="7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0">
        <f>ELEC!C25</f>
        <v>44339</v>
      </c>
      <c r="B28" s="37">
        <v>25</v>
      </c>
      <c r="C28" s="37">
        <v>22</v>
      </c>
      <c r="D28" s="26">
        <f t="shared" si="6"/>
        <v>23.5</v>
      </c>
      <c r="E28" s="394">
        <v>0.55000000000000004</v>
      </c>
      <c r="F28" s="340">
        <v>0</v>
      </c>
      <c r="G28" s="241">
        <f t="shared" si="7"/>
        <v>0</v>
      </c>
      <c r="H28" s="3">
        <v>0</v>
      </c>
      <c r="I28" s="3">
        <v>0</v>
      </c>
      <c r="J28" s="37">
        <v>0</v>
      </c>
      <c r="K28" s="263">
        <f t="shared" ref="K28:K33" si="9">+J28+H28+I28</f>
        <v>0</v>
      </c>
      <c r="L28" s="3"/>
      <c r="M28" s="3"/>
      <c r="N28" s="155"/>
      <c r="O28" s="3"/>
    </row>
    <row r="29" spans="1:15">
      <c r="A29" s="480">
        <f>ELEC!C26</f>
        <v>44340</v>
      </c>
      <c r="B29" s="37">
        <v>26</v>
      </c>
      <c r="C29" s="37">
        <v>23</v>
      </c>
      <c r="D29" s="26">
        <f t="shared" si="6"/>
        <v>24.5</v>
      </c>
      <c r="E29" s="340">
        <v>0.55000000000000004</v>
      </c>
      <c r="F29" s="340">
        <v>0</v>
      </c>
      <c r="G29" s="241">
        <f t="shared" si="7"/>
        <v>0</v>
      </c>
      <c r="H29" s="3">
        <v>0</v>
      </c>
      <c r="I29" s="3">
        <v>0</v>
      </c>
      <c r="J29" s="37">
        <v>0</v>
      </c>
      <c r="K29" s="263">
        <f t="shared" si="9"/>
        <v>0</v>
      </c>
      <c r="L29" s="3"/>
      <c r="M29" s="3"/>
      <c r="N29" s="155"/>
      <c r="O29" s="3"/>
    </row>
    <row r="30" spans="1:15">
      <c r="A30" s="480">
        <f>ELEC!C27</f>
        <v>44341</v>
      </c>
      <c r="B30" s="37">
        <v>27</v>
      </c>
      <c r="C30" s="37">
        <v>22</v>
      </c>
      <c r="D30" s="26">
        <f t="shared" si="6"/>
        <v>24.5</v>
      </c>
      <c r="E30" s="340">
        <v>0.66</v>
      </c>
      <c r="F30" s="394">
        <v>0</v>
      </c>
      <c r="G30" s="241">
        <f t="shared" si="7"/>
        <v>0</v>
      </c>
      <c r="H30" s="3">
        <v>0</v>
      </c>
      <c r="I30" s="3">
        <v>0</v>
      </c>
      <c r="J30" s="37">
        <v>0</v>
      </c>
      <c r="K30" s="263">
        <f t="shared" si="9"/>
        <v>0</v>
      </c>
      <c r="L30" s="3"/>
      <c r="M30" s="3"/>
      <c r="N30" s="155"/>
      <c r="O30" s="3"/>
    </row>
    <row r="31" spans="1:15">
      <c r="A31" s="480">
        <f>ELEC!C28</f>
        <v>44342</v>
      </c>
      <c r="B31" s="37">
        <v>26</v>
      </c>
      <c r="C31" s="37">
        <v>23</v>
      </c>
      <c r="D31" s="26">
        <f t="shared" si="6"/>
        <v>24.5</v>
      </c>
      <c r="E31" s="341">
        <v>0.65</v>
      </c>
      <c r="F31" s="280">
        <v>0</v>
      </c>
      <c r="G31" s="241">
        <f t="shared" si="7"/>
        <v>0</v>
      </c>
      <c r="H31" s="3">
        <v>0</v>
      </c>
      <c r="I31" s="3">
        <v>0</v>
      </c>
      <c r="J31" s="37">
        <v>0</v>
      </c>
      <c r="K31" s="263">
        <f t="shared" si="9"/>
        <v>0</v>
      </c>
      <c r="L31" s="3"/>
      <c r="M31" s="3"/>
      <c r="N31" s="155"/>
      <c r="O31" s="3"/>
    </row>
    <row r="32" spans="1:15">
      <c r="A32" s="480">
        <f>ELEC!C29</f>
        <v>44343</v>
      </c>
      <c r="B32" s="37">
        <v>25</v>
      </c>
      <c r="C32" s="37">
        <v>22</v>
      </c>
      <c r="D32" s="279">
        <f>(C32+B32)/2</f>
        <v>23.5</v>
      </c>
      <c r="E32" s="341">
        <v>0.6</v>
      </c>
      <c r="F32" s="342">
        <v>0</v>
      </c>
      <c r="G32" s="241">
        <f t="shared" si="7"/>
        <v>0</v>
      </c>
      <c r="H32" s="3">
        <v>0</v>
      </c>
      <c r="I32" s="3">
        <v>0</v>
      </c>
      <c r="J32" s="37">
        <v>0</v>
      </c>
      <c r="K32" s="263">
        <f t="shared" si="9"/>
        <v>0</v>
      </c>
      <c r="L32" s="3"/>
      <c r="M32" s="3"/>
      <c r="N32" s="155"/>
      <c r="O32" s="3"/>
    </row>
    <row r="33" spans="1:15">
      <c r="A33" s="480">
        <f>ELEC!C30</f>
        <v>44344</v>
      </c>
      <c r="B33" s="37">
        <v>26</v>
      </c>
      <c r="C33" s="37">
        <v>23</v>
      </c>
      <c r="D33" s="26">
        <f t="shared" si="6"/>
        <v>24.5</v>
      </c>
      <c r="E33" s="340">
        <v>0.65</v>
      </c>
      <c r="F33" s="342">
        <v>0</v>
      </c>
      <c r="G33" s="241">
        <f t="shared" si="7"/>
        <v>0</v>
      </c>
      <c r="H33" s="3">
        <v>0</v>
      </c>
      <c r="I33" s="3">
        <v>0</v>
      </c>
      <c r="J33" s="37">
        <v>0</v>
      </c>
      <c r="K33" s="263">
        <f t="shared" si="9"/>
        <v>0</v>
      </c>
      <c r="L33" s="3"/>
      <c r="M33" s="3"/>
      <c r="N33" s="155"/>
      <c r="O33" s="3"/>
    </row>
    <row r="34" spans="1:15">
      <c r="A34" s="480">
        <f>ELEC!C31</f>
        <v>44345</v>
      </c>
      <c r="B34" s="37">
        <v>27</v>
      </c>
      <c r="C34" s="37">
        <v>22</v>
      </c>
      <c r="D34" s="26">
        <f t="shared" ref="D34:D35" si="10">(C34+B34)/2</f>
        <v>24.5</v>
      </c>
      <c r="E34" s="394">
        <v>0.44</v>
      </c>
      <c r="F34" s="342">
        <v>0</v>
      </c>
      <c r="G34" s="241">
        <f t="shared" ref="G34:G35" si="11">F34*230</f>
        <v>0</v>
      </c>
      <c r="H34" s="3">
        <v>0</v>
      </c>
      <c r="I34" s="3">
        <v>0</v>
      </c>
      <c r="J34" s="37">
        <v>0</v>
      </c>
      <c r="K34" s="263">
        <f t="shared" ref="K34:K35" si="12">+J34+H34+I34</f>
        <v>0</v>
      </c>
      <c r="L34" s="3"/>
      <c r="M34" s="3"/>
      <c r="N34" s="155"/>
      <c r="O34" s="3"/>
    </row>
    <row r="35" spans="1:15">
      <c r="A35" s="480">
        <f>ELEC!C32</f>
        <v>44346</v>
      </c>
      <c r="B35" s="37">
        <v>27</v>
      </c>
      <c r="C35" s="37">
        <v>23</v>
      </c>
      <c r="D35" s="26">
        <f t="shared" si="10"/>
        <v>25</v>
      </c>
      <c r="E35" s="394">
        <v>0.65</v>
      </c>
      <c r="F35" s="342">
        <v>0</v>
      </c>
      <c r="G35" s="241">
        <f t="shared" si="11"/>
        <v>0</v>
      </c>
      <c r="H35" s="3">
        <v>0</v>
      </c>
      <c r="I35" s="3">
        <v>0</v>
      </c>
      <c r="J35" s="37">
        <v>0</v>
      </c>
      <c r="K35" s="263">
        <f t="shared" si="12"/>
        <v>0</v>
      </c>
      <c r="L35" s="3"/>
      <c r="M35" s="3"/>
      <c r="N35" s="155"/>
      <c r="O35" s="3"/>
    </row>
    <row r="36" spans="1:15">
      <c r="A36" s="480">
        <f>ELEC!C33</f>
        <v>44347</v>
      </c>
      <c r="B36" s="37">
        <v>27</v>
      </c>
      <c r="C36" s="37">
        <v>24</v>
      </c>
      <c r="D36" s="26">
        <f t="shared" ref="D36" si="13">(C36+B36)/2</f>
        <v>25.5</v>
      </c>
      <c r="E36" s="394">
        <v>0.75</v>
      </c>
      <c r="F36" s="342">
        <v>0</v>
      </c>
      <c r="G36" s="241">
        <f t="shared" ref="G36" si="14">F36*230</f>
        <v>0</v>
      </c>
      <c r="H36" s="3">
        <v>0</v>
      </c>
      <c r="I36" s="3">
        <v>0</v>
      </c>
      <c r="J36" s="37">
        <v>0</v>
      </c>
      <c r="K36" s="263">
        <f t="shared" ref="K36" si="15">+J36+H36+I36</f>
        <v>0</v>
      </c>
      <c r="L36" s="3"/>
      <c r="M36" s="3"/>
      <c r="N36" s="155"/>
      <c r="O36" s="3"/>
    </row>
    <row r="37" spans="1:15">
      <c r="D37" s="261"/>
      <c r="F37" s="527">
        <f>AVERAGE(F6:F35)</f>
        <v>0</v>
      </c>
      <c r="G37" s="203">
        <f>SUM(G6:G33)</f>
        <v>0</v>
      </c>
    </row>
    <row r="38" spans="1:15">
      <c r="D38" s="261">
        <f>SUM(D6:D33)/'EDl log'!A35</f>
        <v>20.951612903225808</v>
      </c>
      <c r="F38" s="211"/>
    </row>
    <row r="41" spans="1:15">
      <c r="I41" s="411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1032</v>
      </c>
      <c r="C2" s="3">
        <f>ELEC!N3</f>
        <v>8346</v>
      </c>
      <c r="D2" s="3">
        <f>C2-E2</f>
        <v>4419.0000000003201</v>
      </c>
      <c r="E2" s="3">
        <f>ELEC!Q3</f>
        <v>3926.9999999996799</v>
      </c>
      <c r="F2" s="3">
        <f>GEN!Z2</f>
        <v>8</v>
      </c>
      <c r="G2" s="3">
        <f>WATER!C5+WATER!H5</f>
        <v>0</v>
      </c>
      <c r="H2" s="3">
        <f>WATER!L5</f>
        <v>0</v>
      </c>
      <c r="I2" s="15">
        <f>WATER!BC5+WATER!BD5+WATER!BE6-Sheet1!G2</f>
        <v>-20.900000000000034</v>
      </c>
      <c r="J2" s="9">
        <f>'B5'!A4</f>
        <v>44316</v>
      </c>
    </row>
    <row r="3" spans="1:10">
      <c r="A3" s="3">
        <f>ELEC!T4+ELEC!X2+ELEC!AB4</f>
        <v>7</v>
      </c>
      <c r="B3" s="3">
        <f>ELEC!AF4</f>
        <v>579</v>
      </c>
      <c r="C3" s="3">
        <f>ELEC!N4</f>
        <v>6548</v>
      </c>
      <c r="D3" s="3">
        <f t="shared" ref="D3:D30" si="0">C3-E3</f>
        <v>4552.0000000008149</v>
      </c>
      <c r="E3" s="3">
        <f>ELEC!Q4</f>
        <v>1995.9999999991851</v>
      </c>
      <c r="F3" s="3">
        <f>GEN!Z3</f>
        <v>6</v>
      </c>
      <c r="G3" s="3">
        <f>WATER!C6+WATER!H6</f>
        <v>7</v>
      </c>
      <c r="H3" s="3">
        <f>WATER!L6</f>
        <v>0</v>
      </c>
      <c r="I3" s="15">
        <f>WATER!BC6+WATER!BD6+WATER!BE7-Sheet1!G3</f>
        <v>-19.199999999999974</v>
      </c>
      <c r="J3" s="9">
        <f>'B5'!A5</f>
        <v>44317</v>
      </c>
    </row>
    <row r="4" spans="1:10">
      <c r="A4" s="3">
        <f>ELEC!T5+ELEC!X5+ELEC!AB5</f>
        <v>5</v>
      </c>
      <c r="B4" s="3">
        <f>ELEC!AF5</f>
        <v>993</v>
      </c>
      <c r="C4" s="3">
        <f>ELEC!N5</f>
        <v>7179</v>
      </c>
      <c r="D4" s="3">
        <f t="shared" si="0"/>
        <v>4158.9999999995634</v>
      </c>
      <c r="E4" s="3">
        <f>ELEC!Q5</f>
        <v>3020.0000000004366</v>
      </c>
      <c r="F4" s="3">
        <f>GEN!Z4</f>
        <v>3</v>
      </c>
      <c r="G4" s="3">
        <f>WATER!C7+WATER!H7</f>
        <v>0</v>
      </c>
      <c r="H4" s="3">
        <f>WATER!L7</f>
        <v>3</v>
      </c>
      <c r="I4" s="15">
        <f>WATER!BC7+WATER!BD7+WATER!BE8-Sheet1!G4</f>
        <v>94.600000000000051</v>
      </c>
      <c r="J4" s="9">
        <f>'B5'!A6</f>
        <v>44318</v>
      </c>
    </row>
    <row r="5" spans="1:10">
      <c r="A5" s="3">
        <f>ELEC!T6+ELEC!X6+ELEC!AB6</f>
        <v>5</v>
      </c>
      <c r="B5" s="3">
        <f>ELEC!AF6</f>
        <v>1269</v>
      </c>
      <c r="C5" s="3">
        <f>ELEC!N6</f>
        <v>8383</v>
      </c>
      <c r="D5" s="3">
        <f t="shared" si="0"/>
        <v>4171.9999999970314</v>
      </c>
      <c r="E5" s="3">
        <f>ELEC!Q6</f>
        <v>4211.0000000029686</v>
      </c>
      <c r="F5" s="3">
        <f>GEN!Z5</f>
        <v>4</v>
      </c>
      <c r="G5" s="3">
        <f>WATER!C8+WATER!H8</f>
        <v>289</v>
      </c>
      <c r="H5" s="3">
        <f>WATER!L8</f>
        <v>0</v>
      </c>
      <c r="I5" s="15">
        <f>WATER!BC8+WATER!BD8+WATER!BE9-Sheet1!G5</f>
        <v>-232.60000000000005</v>
      </c>
      <c r="J5" s="9">
        <f>'B5'!A7</f>
        <v>44319</v>
      </c>
    </row>
    <row r="6" spans="1:10">
      <c r="A6" s="3">
        <f>ELEC!T7+ELEC!X7+ELEC!AB7</f>
        <v>9</v>
      </c>
      <c r="B6" s="3">
        <f>ELEC!AF7</f>
        <v>1788</v>
      </c>
      <c r="C6" s="3">
        <f>ELEC!N7</f>
        <v>4768</v>
      </c>
      <c r="D6" s="3">
        <f t="shared" si="0"/>
        <v>-5778.9999999986612</v>
      </c>
      <c r="E6" s="3">
        <f>ELEC!Q24</f>
        <v>10546.999999998661</v>
      </c>
      <c r="F6" s="3">
        <f>GEN!Z6</f>
        <v>8</v>
      </c>
      <c r="G6" s="3">
        <f>WATER!C9+WATER!H9</f>
        <v>0</v>
      </c>
      <c r="H6" s="3">
        <f>WATER!L9</f>
        <v>0</v>
      </c>
      <c r="I6" s="15">
        <f>WATER!BC9+WATER!BD9+WATER!BE10-Sheet1!G6</f>
        <v>71.599999999999966</v>
      </c>
      <c r="J6" s="9">
        <f>'B5'!A8</f>
        <v>44320</v>
      </c>
    </row>
    <row r="7" spans="1:10">
      <c r="A7" s="3">
        <f>ELEC!T8+ELEC!X8+ELEC!AB8</f>
        <v>4</v>
      </c>
      <c r="B7" s="3">
        <f>ELEC!AF8</f>
        <v>926</v>
      </c>
      <c r="C7" s="3">
        <f>ELEC!N8</f>
        <v>3912</v>
      </c>
      <c r="D7" s="3">
        <f t="shared" si="0"/>
        <v>430.0000000000291</v>
      </c>
      <c r="E7" s="3">
        <f>ELEC!Q8</f>
        <v>3481.9999999999709</v>
      </c>
      <c r="F7" s="3">
        <f>GEN!Z7</f>
        <v>9</v>
      </c>
      <c r="G7" s="3">
        <f>WATER!C10+WATER!H10</f>
        <v>295</v>
      </c>
      <c r="H7" s="3">
        <f>WATER!L10</f>
        <v>0</v>
      </c>
      <c r="I7" s="15">
        <f>WATER!BC10+WATER!BD10+WATER!BE11-Sheet1!G7</f>
        <v>-235.59999999999997</v>
      </c>
      <c r="J7" s="9">
        <f>'B5'!A9</f>
        <v>44321</v>
      </c>
    </row>
    <row r="8" spans="1:10">
      <c r="A8" s="3">
        <f>ELEC!T9+ELEC!X9+ELEC!AB9</f>
        <v>8</v>
      </c>
      <c r="B8" s="3">
        <f>ELEC!AF9</f>
        <v>1572</v>
      </c>
      <c r="C8" s="3">
        <f>ELEC!N9</f>
        <v>8995.3999999999069</v>
      </c>
      <c r="D8" s="3">
        <f t="shared" si="0"/>
        <v>3140.3999999967054</v>
      </c>
      <c r="E8" s="3">
        <f>ELEC!Q9</f>
        <v>5855.0000000032014</v>
      </c>
      <c r="F8" s="3">
        <f>GEN!Z8</f>
        <v>6</v>
      </c>
      <c r="G8" s="3">
        <f>WATER!C11+WATER!H11</f>
        <v>0</v>
      </c>
      <c r="H8" s="3">
        <f>WATER!L11</f>
        <v>6</v>
      </c>
      <c r="I8" s="15">
        <f>WATER!BC11+WATER!BD11+WATER!BE12-Sheet1!G8</f>
        <v>49.000000000000014</v>
      </c>
      <c r="J8" s="9">
        <f>'B5'!A10</f>
        <v>44322</v>
      </c>
    </row>
    <row r="9" spans="1:10">
      <c r="A9" s="3">
        <f>ELEC!T10+ELEC!X10+ELEC!AB10</f>
        <v>7</v>
      </c>
      <c r="B9" s="3">
        <f>ELEC!AF10</f>
        <v>1551</v>
      </c>
      <c r="C9" s="3">
        <f>ELEC!N10</f>
        <v>8249.8000000002794</v>
      </c>
      <c r="D9" s="3">
        <f t="shared" si="0"/>
        <v>2740.8000000020838</v>
      </c>
      <c r="E9" s="3">
        <f>ELEC!Q10</f>
        <v>5508.9999999981956</v>
      </c>
      <c r="F9" s="3">
        <f>GEN!Z9</f>
        <v>8.5</v>
      </c>
      <c r="G9" s="3">
        <f>WATER!C12+WATER!H12</f>
        <v>293</v>
      </c>
      <c r="H9" s="3">
        <f>WATER!L12</f>
        <v>0</v>
      </c>
      <c r="I9" s="15">
        <f>WATER!BC12+WATER!BD12+WATER!BE13-Sheet1!G9</f>
        <v>-258.89999999999998</v>
      </c>
      <c r="J9" s="9">
        <f>'B5'!A11</f>
        <v>44323</v>
      </c>
    </row>
    <row r="10" spans="1:10">
      <c r="A10" s="3">
        <f>ELEC!T11+ELEC!X11+ELEC!AB11</f>
        <v>8</v>
      </c>
      <c r="B10" s="3">
        <f>ELEC!AF11</f>
        <v>1818</v>
      </c>
      <c r="C10" s="3">
        <f>ELEC!N11</f>
        <v>9025.7999999998137</v>
      </c>
      <c r="D10" s="3">
        <f t="shared" si="0"/>
        <v>2722.7999999999302</v>
      </c>
      <c r="E10" s="3">
        <f>ELEC!Q11</f>
        <v>6302.9999999998836</v>
      </c>
      <c r="F10" s="3">
        <f>GEN!Z10</f>
        <v>8.6000000000003638</v>
      </c>
      <c r="G10" s="3">
        <f>WATER!C13+WATER!H13</f>
        <v>0</v>
      </c>
      <c r="H10" s="3">
        <f>WATER!L13</f>
        <v>0</v>
      </c>
      <c r="I10" s="15">
        <f>WATER!BC13+WATER!BD13+WATER!BE14-Sheet1!G10</f>
        <v>83.399999999999963</v>
      </c>
      <c r="J10" s="9">
        <f>'B5'!A12</f>
        <v>44324</v>
      </c>
    </row>
    <row r="11" spans="1:10">
      <c r="A11" s="3">
        <f>ELEC!T12+ELEC!X12+ELEC!AB12</f>
        <v>8</v>
      </c>
      <c r="B11" s="3">
        <f>ELEC!AF12</f>
        <v>2061</v>
      </c>
      <c r="C11" s="3">
        <f>ELEC!N12</f>
        <v>9481</v>
      </c>
      <c r="D11" s="3">
        <f t="shared" si="0"/>
        <v>3143.0000000002619</v>
      </c>
      <c r="E11" s="3">
        <f>ELEC!Q12</f>
        <v>6337.9999999997381</v>
      </c>
      <c r="F11" s="3">
        <f>GEN!Z11</f>
        <v>8.8999999999996362</v>
      </c>
      <c r="G11" s="3">
        <f>WATER!C14+WATER!H14</f>
        <v>0</v>
      </c>
      <c r="H11" s="3">
        <f>WATER!L14</f>
        <v>2</v>
      </c>
      <c r="I11" s="15">
        <f>WATER!BC14+WATER!BD14+WATER!BE15-Sheet1!G11</f>
        <v>-15.000000000000028</v>
      </c>
      <c r="J11" s="9">
        <f>'B5'!A13</f>
        <v>44325</v>
      </c>
    </row>
    <row r="12" spans="1:10">
      <c r="A12" s="3">
        <f>ELEC!T13+ELEC!X13+ELEC!AB13</f>
        <v>7</v>
      </c>
      <c r="B12" s="3">
        <f>ELEC!AF13</f>
        <v>1422</v>
      </c>
      <c r="C12" s="3">
        <f>ELEC!N13</f>
        <v>9028</v>
      </c>
      <c r="D12" s="3">
        <f t="shared" si="0"/>
        <v>3284.0000000012224</v>
      </c>
      <c r="E12" s="3">
        <f>ELEC!Q13</f>
        <v>5743.9999999987776</v>
      </c>
      <c r="F12" s="3">
        <f>GEN!Z12</f>
        <v>9</v>
      </c>
      <c r="G12" s="3">
        <f>WATER!C15+WATER!H15</f>
        <v>0</v>
      </c>
      <c r="H12" s="3">
        <f>WATER!L15</f>
        <v>0</v>
      </c>
      <c r="I12" s="15">
        <f>WATER!BC15+WATER!BD15+WATER!BE16-Sheet1!G12</f>
        <v>-65.799999999999969</v>
      </c>
      <c r="J12" s="9">
        <f>'B5'!A14</f>
        <v>44326</v>
      </c>
    </row>
    <row r="13" spans="1:10">
      <c r="A13" s="3">
        <f>ELEC!T14+ELEC!X14+ELEC!AB14</f>
        <v>9</v>
      </c>
      <c r="B13" s="3">
        <f>ELEC!AF14</f>
        <v>2171</v>
      </c>
      <c r="C13" s="3">
        <f>ELEC!N14</f>
        <v>9411</v>
      </c>
      <c r="D13" s="3">
        <f t="shared" si="0"/>
        <v>2141.9999999997672</v>
      </c>
      <c r="E13" s="3">
        <f>ELEC!Q14</f>
        <v>7269.0000000002328</v>
      </c>
      <c r="F13" s="3">
        <f>GEN!Z13</f>
        <v>10</v>
      </c>
      <c r="G13" s="3">
        <f>WATER!C16+WATER!H16</f>
        <v>0</v>
      </c>
      <c r="H13" s="3">
        <f>WATER!L16</f>
        <v>0</v>
      </c>
      <c r="I13" s="15">
        <f>WATER!BC16+WATER!BD16+WATER!BE17-Sheet1!G13</f>
        <v>-30.499999999999972</v>
      </c>
      <c r="J13" s="9">
        <f>'B5'!A15</f>
        <v>44327</v>
      </c>
    </row>
    <row r="14" spans="1:10">
      <c r="A14" s="3">
        <f>ELEC!T15+ELEC!X15+ELEC!AB15</f>
        <v>8</v>
      </c>
      <c r="B14" s="3">
        <f>ELEC!AF15</f>
        <v>1981</v>
      </c>
      <c r="C14" s="3">
        <f>ELEC!N15</f>
        <v>9646</v>
      </c>
      <c r="D14" s="3">
        <f t="shared" si="0"/>
        <v>2940.9999999982538</v>
      </c>
      <c r="E14" s="3">
        <f>ELEC!Q15</f>
        <v>6705.0000000017462</v>
      </c>
      <c r="F14" s="3">
        <f>GEN!Z14</f>
        <v>12</v>
      </c>
      <c r="G14" s="3">
        <f>WATER!C17+WATER!H17</f>
        <v>0</v>
      </c>
      <c r="H14" s="3">
        <f>WATER!L17</f>
        <v>0</v>
      </c>
      <c r="I14" s="15">
        <f>WATER!BC17+WATER!BD17+WATER!BE18-Sheet1!G14</f>
        <v>-47.5</v>
      </c>
      <c r="J14" s="9">
        <f>'B5'!A16</f>
        <v>44328</v>
      </c>
    </row>
    <row r="15" spans="1:10">
      <c r="A15" s="3">
        <f>ELEC!T16+ELEC!X16+ELEC!AB16</f>
        <v>8</v>
      </c>
      <c r="B15" s="3">
        <f>ELEC!AF16</f>
        <v>1684</v>
      </c>
      <c r="C15" s="3">
        <f>ELEC!N16</f>
        <v>8868</v>
      </c>
      <c r="D15" s="3">
        <f t="shared" si="0"/>
        <v>3483.0000000016007</v>
      </c>
      <c r="E15" s="3">
        <f>ELEC!Q16</f>
        <v>5384.9999999983993</v>
      </c>
      <c r="F15" s="3">
        <f>GEN!Z15</f>
        <v>9</v>
      </c>
      <c r="G15" s="3">
        <f>WATER!C18+WATER!H18</f>
        <v>341</v>
      </c>
      <c r="H15" s="3">
        <f>WATER!L18</f>
        <v>0</v>
      </c>
      <c r="I15" s="15">
        <f>WATER!BC18+WATER!BD18+WATER!BE19-Sheet1!G15</f>
        <v>-374</v>
      </c>
      <c r="J15" s="9">
        <f>'B5'!A17</f>
        <v>44329</v>
      </c>
    </row>
    <row r="16" spans="1:10">
      <c r="A16" s="3">
        <f>ELEC!T17+ELEC!X17+ELEC!AB17</f>
        <v>5</v>
      </c>
      <c r="B16" s="3">
        <f>ELEC!AF17</f>
        <v>1169</v>
      </c>
      <c r="C16" s="3">
        <f>ELEC!N17</f>
        <v>7587</v>
      </c>
      <c r="D16" s="3">
        <f t="shared" si="0"/>
        <v>1190.9999999993597</v>
      </c>
      <c r="E16" s="3">
        <f>ELEC!Q17</f>
        <v>6396.0000000006403</v>
      </c>
      <c r="F16" s="3">
        <f>GEN!Z16</f>
        <v>10</v>
      </c>
      <c r="G16" s="3">
        <f>WATER!C19+WATER!H19</f>
        <v>0</v>
      </c>
      <c r="H16" s="3">
        <f>WATER!L19</f>
        <v>0</v>
      </c>
      <c r="I16" s="15">
        <f>WATER!BC19+WATER!BD19+WATER!BE20-Sheet1!G16</f>
        <v>-25.399999999999977</v>
      </c>
      <c r="J16" s="9">
        <f>'B5'!A18</f>
        <v>44330</v>
      </c>
    </row>
    <row r="17" spans="1:10">
      <c r="A17" s="3">
        <f>ELEC!T18+ELEC!X18+ELEC!AB18</f>
        <v>11</v>
      </c>
      <c r="B17" s="3">
        <f>ELEC!AF18</f>
        <v>2663</v>
      </c>
      <c r="C17" s="3">
        <f>ELEC!N18</f>
        <v>12839</v>
      </c>
      <c r="D17" s="3">
        <f t="shared" si="0"/>
        <v>7813.9999999985448</v>
      </c>
      <c r="E17" s="3">
        <f>ELEC!Q18</f>
        <v>5025.0000000014552</v>
      </c>
      <c r="F17" s="3">
        <f>GEN!Z17</f>
        <v>7</v>
      </c>
      <c r="G17" s="3">
        <f>WATER!C20+WATER!H20</f>
        <v>0</v>
      </c>
      <c r="H17" s="3">
        <f>WATER!L20</f>
        <v>0</v>
      </c>
      <c r="I17" s="15">
        <f>WATER!BC20+WATER!BD20+WATER!BE21-Sheet1!G17</f>
        <v>-51.5</v>
      </c>
      <c r="J17" s="9">
        <f>'B5'!A19</f>
        <v>44331</v>
      </c>
    </row>
    <row r="18" spans="1:10">
      <c r="A18" s="3">
        <f>ELEC!T19+ELEC!X19+ELEC!AB19</f>
        <v>10</v>
      </c>
      <c r="B18" s="3">
        <f>ELEC!AF19</f>
        <v>2275</v>
      </c>
      <c r="C18" s="3">
        <f>ELEC!N19</f>
        <v>10089</v>
      </c>
      <c r="D18" s="3">
        <f t="shared" si="0"/>
        <v>697.00000000017462</v>
      </c>
      <c r="E18" s="3">
        <f>ELEC!Q19</f>
        <v>9391.9999999998254</v>
      </c>
      <c r="F18" s="3">
        <f>GEN!Z18</f>
        <v>16</v>
      </c>
      <c r="G18" s="3">
        <f>WATER!C21+WATER!H21</f>
        <v>0</v>
      </c>
      <c r="H18" s="3">
        <f>WATER!L21</f>
        <v>4</v>
      </c>
      <c r="I18" s="15">
        <f>WATER!BC21+WATER!BD21+WATER!BE22-Sheet1!G18</f>
        <v>-50.400000000000006</v>
      </c>
      <c r="J18" s="9">
        <f>'B5'!A20</f>
        <v>44332</v>
      </c>
    </row>
    <row r="19" spans="1:10">
      <c r="A19" s="3">
        <f>ELEC!T20+ELEC!X20+ELEC!AB20</f>
        <v>11</v>
      </c>
      <c r="B19" s="3">
        <f>ELEC!AF20</f>
        <v>2111</v>
      </c>
      <c r="C19" s="3">
        <f>ELEC!N20</f>
        <v>10297</v>
      </c>
      <c r="D19" s="3">
        <f t="shared" si="0"/>
        <v>1509.9999999997381</v>
      </c>
      <c r="E19" s="3">
        <f>ELEC!Q20</f>
        <v>8787.0000000002619</v>
      </c>
      <c r="F19" s="3">
        <f>GEN!Z19</f>
        <v>9</v>
      </c>
      <c r="G19" s="3">
        <f>WATER!C22+WATER!H22</f>
        <v>0</v>
      </c>
      <c r="H19" s="3">
        <f>WATER!L22</f>
        <v>0</v>
      </c>
      <c r="I19" s="15">
        <f>WATER!BC22+WATER!BD22+WATER!BE23-Sheet1!G19</f>
        <v>-55.999999999999986</v>
      </c>
      <c r="J19" s="9">
        <f>'B5'!A21</f>
        <v>44333</v>
      </c>
    </row>
    <row r="20" spans="1:10">
      <c r="A20" s="3">
        <f>ELEC!T21+ELEC!X21+ELEC!AB21</f>
        <v>10</v>
      </c>
      <c r="B20" s="3">
        <f>ELEC!AF21</f>
        <v>2132</v>
      </c>
      <c r="C20" s="3">
        <f>ELEC!N21</f>
        <v>15339</v>
      </c>
      <c r="D20" s="3">
        <f t="shared" si="0"/>
        <v>3093.0000000008149</v>
      </c>
      <c r="E20" s="3">
        <f>ELEC!Q21</f>
        <v>12245.999999999185</v>
      </c>
      <c r="F20" s="3">
        <f>GEN!Z20</f>
        <v>11</v>
      </c>
      <c r="G20" s="3">
        <f>WATER!C23+WATER!H23</f>
        <v>0</v>
      </c>
      <c r="H20" s="3">
        <f>WATER!L23</f>
        <v>2</v>
      </c>
      <c r="I20" s="15">
        <f>WATER!BC23+WATER!BD23+WATER!BE24-Sheet1!G20</f>
        <v>-115.59999999999997</v>
      </c>
      <c r="J20" s="9">
        <f>'B5'!A22</f>
        <v>44334</v>
      </c>
    </row>
    <row r="21" spans="1:10">
      <c r="A21" s="3">
        <f>ELEC!T22+ELEC!X22+ELEC!AB22</f>
        <v>15</v>
      </c>
      <c r="B21" s="3">
        <f>ELEC!AF22</f>
        <v>3025</v>
      </c>
      <c r="C21" s="3">
        <f>ELEC!N22</f>
        <v>8897</v>
      </c>
      <c r="D21" s="3">
        <f t="shared" si="0"/>
        <v>1560.0000000004657</v>
      </c>
      <c r="E21" s="3">
        <f>ELEC!Q22</f>
        <v>7336.9999999995343</v>
      </c>
      <c r="F21" s="3">
        <f>GEN!Z21</f>
        <v>16</v>
      </c>
      <c r="G21" s="3">
        <f>WATER!C24+WATER!H24</f>
        <v>0</v>
      </c>
      <c r="H21" s="3">
        <f>WATER!L24</f>
        <v>1</v>
      </c>
      <c r="I21" s="15">
        <f>WATER!BC24+WATER!BD24+WATER!BE25-Sheet1!G21</f>
        <v>-44.600000000000023</v>
      </c>
      <c r="J21" s="9">
        <f>'B5'!A23</f>
        <v>44335</v>
      </c>
    </row>
    <row r="22" spans="1:10">
      <c r="A22" s="3">
        <f>ELEC!T23+ELEC!X23+ELEC!AB23</f>
        <v>9</v>
      </c>
      <c r="B22" s="3">
        <f>ELEC!AF23</f>
        <v>1961</v>
      </c>
      <c r="C22" s="3">
        <f>ELEC!N23</f>
        <v>10235</v>
      </c>
      <c r="D22" s="3">
        <f t="shared" si="0"/>
        <v>2282.999999998865</v>
      </c>
      <c r="E22" s="3">
        <f>ELEC!Q23</f>
        <v>7952.000000001135</v>
      </c>
      <c r="F22" s="3">
        <f>GEN!Z22</f>
        <v>10</v>
      </c>
      <c r="G22" s="3">
        <f>WATER!C25+WATER!H25</f>
        <v>0</v>
      </c>
      <c r="H22" s="3">
        <f>WATER!L25</f>
        <v>0</v>
      </c>
      <c r="I22" s="15">
        <f>WATER!BC25+WATER!BD25+WATER!BE26-Sheet1!G22</f>
        <v>22.099999999999959</v>
      </c>
      <c r="J22" s="9">
        <f>'B5'!A24</f>
        <v>44336</v>
      </c>
    </row>
    <row r="23" spans="1:10">
      <c r="A23" s="3">
        <f>ELEC!T24+ELEC!X24+ELEC!AB24</f>
        <v>14</v>
      </c>
      <c r="B23" s="3">
        <f>ELEC!AF24</f>
        <v>2509</v>
      </c>
      <c r="C23" s="3">
        <f>ELEC!N24</f>
        <v>12191</v>
      </c>
      <c r="D23" s="3">
        <f t="shared" si="0"/>
        <v>1644.0000000013388</v>
      </c>
      <c r="E23" s="3">
        <f>ELEC!Q24</f>
        <v>10546.999999998661</v>
      </c>
      <c r="F23" s="3">
        <f>GEN!Z23</f>
        <v>12</v>
      </c>
      <c r="G23" s="3">
        <f>WATER!C26+WATER!H26</f>
        <v>0</v>
      </c>
      <c r="H23" s="3">
        <f>WATER!L26</f>
        <v>0</v>
      </c>
      <c r="I23" s="15">
        <f>WATER!BC26+WATER!BD26+WATER!BE27-Sheet1!G23</f>
        <v>-19.599999999999966</v>
      </c>
      <c r="J23" s="9">
        <f>'B5'!A25</f>
        <v>44337</v>
      </c>
    </row>
    <row r="24" spans="1:10">
      <c r="A24" s="3">
        <f>ELEC!T25+ELEC!X25+ELEC!AB25</f>
        <v>7</v>
      </c>
      <c r="B24" s="3">
        <f>ELEC!AF25</f>
        <v>1414</v>
      </c>
      <c r="C24" s="3">
        <f>ELEC!N25</f>
        <v>8568</v>
      </c>
      <c r="D24" s="3">
        <f t="shared" si="0"/>
        <v>3033.0000000001455</v>
      </c>
      <c r="E24" s="3">
        <f>ELEC!Q25</f>
        <v>5534.9999999998545</v>
      </c>
      <c r="F24" s="3">
        <f>GEN!Z24</f>
        <v>16</v>
      </c>
      <c r="G24" s="3">
        <f>WATER!C27+WATER!H27</f>
        <v>0</v>
      </c>
      <c r="H24" s="3">
        <f>WATER!L27</f>
        <v>1</v>
      </c>
      <c r="I24" s="15">
        <f>WATER!BC27+WATER!BD27+WATER!BE28-Sheet1!G24</f>
        <v>-19.599999999999966</v>
      </c>
      <c r="J24" s="9">
        <f>'B5'!A26</f>
        <v>44338</v>
      </c>
    </row>
    <row r="25" spans="1:10">
      <c r="A25" s="3">
        <f>ELEC!T26+ELEC!X26+ELEC!AB26</f>
        <v>16</v>
      </c>
      <c r="B25" s="3">
        <f>ELEC!AF26</f>
        <v>3143</v>
      </c>
      <c r="C25" s="3">
        <f>ELEC!N26</f>
        <v>13728</v>
      </c>
      <c r="D25" s="3">
        <f t="shared" si="0"/>
        <v>1273.9999999984575</v>
      </c>
      <c r="E25" s="3">
        <f>ELEC!Q26</f>
        <v>12454.000000001543</v>
      </c>
      <c r="F25" s="3">
        <f>GEN!Z25</f>
        <v>8</v>
      </c>
      <c r="G25" s="3">
        <f>WATER!C28+WATER!H28</f>
        <v>0</v>
      </c>
      <c r="H25" s="3">
        <f>WATER!L28</f>
        <v>0</v>
      </c>
      <c r="I25" s="15">
        <f>WATER!BC28+WATER!BD28+WATER!BE29-Sheet1!G25</f>
        <v>26.800000000000011</v>
      </c>
      <c r="J25" s="9">
        <f>'B5'!A27</f>
        <v>44339</v>
      </c>
    </row>
    <row r="26" spans="1:10">
      <c r="A26" s="3">
        <f>ELEC!T27+ELEC!X27+ELEC!AB27</f>
        <v>7</v>
      </c>
      <c r="B26" s="3">
        <f>ELEC!AF27</f>
        <v>1575</v>
      </c>
      <c r="C26" s="3">
        <f>ELEC!N27</f>
        <v>9803</v>
      </c>
      <c r="D26" s="3">
        <f t="shared" si="0"/>
        <v>3628.0000000007276</v>
      </c>
      <c r="E26" s="3">
        <f>ELEC!Q27</f>
        <v>6174.9999999992724</v>
      </c>
      <c r="F26" s="3">
        <f>GEN!Z26</f>
        <v>17</v>
      </c>
      <c r="G26" s="3">
        <f>WATER!C29+WATER!H29</f>
        <v>0</v>
      </c>
      <c r="H26" s="3">
        <f>WATER!L29</f>
        <v>0</v>
      </c>
      <c r="I26" s="15">
        <f>WATER!BC29+WATER!BD29+WATER!BE30-Sheet1!G26</f>
        <v>-10.700000000000031</v>
      </c>
      <c r="J26" s="9">
        <f>'B5'!A28</f>
        <v>44340</v>
      </c>
    </row>
    <row r="27" spans="1:10">
      <c r="A27" s="3">
        <f>ELEC!T28+ELEC!X28+ELEC!AB28</f>
        <v>16</v>
      </c>
      <c r="B27" s="3">
        <f>ELEC!AF28</f>
        <v>2970</v>
      </c>
      <c r="C27" s="3">
        <f>ELEC!N28</f>
        <v>14177</v>
      </c>
      <c r="D27" s="3">
        <f t="shared" si="0"/>
        <v>1091.0000000006694</v>
      </c>
      <c r="E27" s="3">
        <f>ELEC!Q28</f>
        <v>13085.999999999331</v>
      </c>
      <c r="F27" s="3">
        <f>GEN!Z27</f>
        <v>9</v>
      </c>
      <c r="G27" s="3">
        <f>WATER!C30+WATER!H30</f>
        <v>0</v>
      </c>
      <c r="H27" s="3">
        <f>WATER!L30</f>
        <v>0</v>
      </c>
      <c r="I27" s="15">
        <f>WATER!BC30+WATER!BD30+WATER!BE31-Sheet1!G27</f>
        <v>-52.700000000000031</v>
      </c>
      <c r="J27" s="9">
        <f>'B5'!A29</f>
        <v>44341</v>
      </c>
    </row>
    <row r="28" spans="1:10">
      <c r="A28" s="3">
        <f>ELEC!T29+ELEC!X29+ELEC!AB29</f>
        <v>11</v>
      </c>
      <c r="B28" s="3">
        <f>ELEC!AF29</f>
        <v>2860</v>
      </c>
      <c r="C28" s="3">
        <f>ELEC!N29</f>
        <v>11827</v>
      </c>
      <c r="D28" s="3">
        <f t="shared" si="0"/>
        <v>2390.9999999984866</v>
      </c>
      <c r="E28" s="3">
        <f>ELEC!Q29</f>
        <v>9436.0000000015134</v>
      </c>
      <c r="F28" s="3">
        <f>GEN!Z28</f>
        <v>18</v>
      </c>
      <c r="G28" s="3">
        <f>WATER!C31+WATER!H31</f>
        <v>0</v>
      </c>
      <c r="H28" s="3">
        <f>WATER!L31</f>
        <v>3</v>
      </c>
      <c r="I28" s="15">
        <f>WATER!BC31+WATER!BD31+WATER!BE32-Sheet1!G28</f>
        <v>62.500000000000028</v>
      </c>
      <c r="J28" s="9">
        <f>'B5'!A30</f>
        <v>44342</v>
      </c>
    </row>
    <row r="29" spans="1:10">
      <c r="A29" s="3">
        <f>ELEC!T30+ELEC!X30+ELEC!AB30</f>
        <v>17</v>
      </c>
      <c r="B29" s="3">
        <f>ELEC!AF30</f>
        <v>3536</v>
      </c>
      <c r="C29" s="3">
        <f>ELEC!N30</f>
        <v>14989</v>
      </c>
      <c r="D29" s="3">
        <f t="shared" si="0"/>
        <v>1034.0000000018917</v>
      </c>
      <c r="E29" s="3">
        <f>ELEC!Q30</f>
        <v>13954.999999998108</v>
      </c>
      <c r="F29" s="3">
        <f>GEN!Z29</f>
        <v>13</v>
      </c>
      <c r="G29" s="3">
        <f>WATER!C32+WATER!H32</f>
        <v>435</v>
      </c>
      <c r="H29" s="3">
        <f>WATER!L32</f>
        <v>0</v>
      </c>
      <c r="I29" s="15">
        <f>WATER!BC32+WATER!BD32+WATER!BE33-Sheet1!G29</f>
        <v>-443</v>
      </c>
      <c r="J29" s="9">
        <f>'B5'!A31</f>
        <v>44343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18</v>
      </c>
      <c r="G30" s="3">
        <f>WATER!C33+WATER!H33</f>
        <v>0</v>
      </c>
      <c r="H30" s="3">
        <f>WATER!L33</f>
        <v>1</v>
      </c>
      <c r="I30" s="15" t="e">
        <f>WATER!BC33+WATER!BD33+WATER!#REF!-Sheet1!G30</f>
        <v>#REF!</v>
      </c>
      <c r="J30" s="9">
        <f>'B5'!A32</f>
        <v>44344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737"/>
      <c r="B1" s="735" t="s">
        <v>119</v>
      </c>
      <c r="C1" s="735" t="s">
        <v>118</v>
      </c>
      <c r="D1" s="739" t="s">
        <v>113</v>
      </c>
      <c r="E1" s="739" t="s">
        <v>114</v>
      </c>
      <c r="F1" s="740" t="s">
        <v>120</v>
      </c>
      <c r="G1" s="741" t="s">
        <v>75</v>
      </c>
      <c r="H1" s="732" t="s">
        <v>115</v>
      </c>
      <c r="I1" s="733" t="s">
        <v>116</v>
      </c>
      <c r="J1" s="732" t="s">
        <v>117</v>
      </c>
      <c r="K1" s="731" t="s">
        <v>121</v>
      </c>
      <c r="L1" s="731" t="s">
        <v>122</v>
      </c>
      <c r="M1" s="731" t="s">
        <v>123</v>
      </c>
      <c r="N1" s="731" t="s">
        <v>124</v>
      </c>
    </row>
    <row r="2" spans="1:14">
      <c r="A2" s="738"/>
      <c r="B2" s="736"/>
      <c r="C2" s="736"/>
      <c r="D2" s="739"/>
      <c r="E2" s="739"/>
      <c r="F2" s="740"/>
      <c r="G2" s="741"/>
      <c r="H2" s="732"/>
      <c r="I2" s="734"/>
      <c r="J2" s="732"/>
      <c r="K2" s="731"/>
      <c r="L2" s="731"/>
      <c r="M2" s="731"/>
      <c r="N2" s="731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44317</v>
      </c>
      <c r="B5" s="76">
        <f>'B5'!V5</f>
        <v>195</v>
      </c>
      <c r="C5" s="76">
        <f>'B5'!AH5</f>
        <v>0</v>
      </c>
      <c r="D5" s="76">
        <f>GEN!AI3</f>
        <v>1010.7468354429557</v>
      </c>
      <c r="E5" s="242">
        <f t="shared" ref="E5:E33" si="0">B5+C5+D5</f>
        <v>1205.7468354429557</v>
      </c>
      <c r="F5" s="75">
        <f>WATER!L5</f>
        <v>0</v>
      </c>
      <c r="G5" s="78">
        <f>WATER!BG5</f>
        <v>-22.80000000000004</v>
      </c>
      <c r="H5" s="79">
        <f>ELEC!AF3</f>
        <v>1032</v>
      </c>
      <c r="I5" s="79">
        <f>ELEC!Q3</f>
        <v>3926.9999999996799</v>
      </c>
      <c r="J5" s="79">
        <f>ELEC!R3</f>
        <v>4419.0000000003201</v>
      </c>
      <c r="K5" s="80"/>
      <c r="L5" s="3"/>
      <c r="M5" s="3"/>
      <c r="N5" s="3"/>
    </row>
    <row r="6" spans="1:14">
      <c r="A6" s="63">
        <f>'B5'!A6</f>
        <v>44318</v>
      </c>
      <c r="B6" s="76">
        <f>'B5'!V6</f>
        <v>153</v>
      </c>
      <c r="C6" s="76">
        <f>'B5'!AH6</f>
        <v>0</v>
      </c>
      <c r="D6" s="76">
        <f>GEN!AI4</f>
        <v>513.73839662426292</v>
      </c>
      <c r="E6" s="242">
        <f t="shared" si="0"/>
        <v>666.73839662426292</v>
      </c>
      <c r="F6" s="75">
        <f>WATER!L6</f>
        <v>0</v>
      </c>
      <c r="G6" s="78">
        <f>WATER!BG6</f>
        <v>-7.0999999999999943</v>
      </c>
      <c r="H6" s="79">
        <f>ELEC!AF4</f>
        <v>579</v>
      </c>
      <c r="I6" s="79">
        <f>ELEC!Q4</f>
        <v>1995.9999999991851</v>
      </c>
      <c r="J6" s="79">
        <f>ELEC!R4</f>
        <v>4552.0000000008149</v>
      </c>
      <c r="K6" s="3"/>
      <c r="L6" s="3"/>
      <c r="M6" s="3"/>
      <c r="N6" s="3"/>
    </row>
    <row r="7" spans="1:14">
      <c r="A7" s="63">
        <f>'B5'!A7</f>
        <v>44319</v>
      </c>
      <c r="B7" s="76">
        <f>'B5'!V7</f>
        <v>141</v>
      </c>
      <c r="C7" s="76">
        <f>'B5'!AH7</f>
        <v>0</v>
      </c>
      <c r="D7" s="76">
        <f>GEN!AI5</f>
        <v>777.29957805918411</v>
      </c>
      <c r="E7" s="242">
        <f t="shared" si="0"/>
        <v>918.29957805918411</v>
      </c>
      <c r="F7" s="75">
        <f>WATER!L7</f>
        <v>3</v>
      </c>
      <c r="G7" s="78">
        <f>WATER!BG7</f>
        <v>-4.1999999999999744</v>
      </c>
      <c r="H7" s="79">
        <f>ELEC!AF5</f>
        <v>993</v>
      </c>
      <c r="I7" s="79">
        <f>ELEC!Q5</f>
        <v>3020.0000000004366</v>
      </c>
      <c r="J7" s="79">
        <f>ELEC!R5</f>
        <v>4158.9999999995634</v>
      </c>
      <c r="K7" s="3"/>
      <c r="L7" s="3"/>
      <c r="M7" s="3"/>
      <c r="N7" s="3"/>
    </row>
    <row r="8" spans="1:14">
      <c r="A8" s="63">
        <f>'B5'!A8</f>
        <v>44320</v>
      </c>
      <c r="B8" s="76">
        <f>'B5'!V8</f>
        <v>95</v>
      </c>
      <c r="C8" s="76">
        <f>'B5'!AH8</f>
        <v>0</v>
      </c>
      <c r="D8" s="76">
        <f>GEN!AI6</f>
        <v>1083.8438818573043</v>
      </c>
      <c r="E8" s="242">
        <f t="shared" si="0"/>
        <v>1178.8438818573043</v>
      </c>
      <c r="F8" s="75">
        <f>WATER!L8</f>
        <v>0</v>
      </c>
      <c r="G8" s="78">
        <f>WATER!BG8</f>
        <v>99.700000000000017</v>
      </c>
      <c r="H8" s="79">
        <f>ELEC!AF6</f>
        <v>1269</v>
      </c>
      <c r="I8" s="79">
        <f>ELEC!Q6</f>
        <v>4211.0000000029686</v>
      </c>
      <c r="J8" s="79">
        <f>ELEC!R6</f>
        <v>4171.9999999970314</v>
      </c>
      <c r="K8" s="3"/>
      <c r="L8" s="3"/>
      <c r="M8" s="3"/>
      <c r="N8" s="3"/>
    </row>
    <row r="9" spans="1:14">
      <c r="A9" s="63">
        <f>'B5'!A9</f>
        <v>44321</v>
      </c>
      <c r="B9" s="76">
        <f>'B5'!V9</f>
        <v>164</v>
      </c>
      <c r="C9" s="76">
        <f>'B5'!AH9</f>
        <v>0</v>
      </c>
      <c r="D9" s="76">
        <f>GEN!AI7</f>
        <v>1443.924050632125</v>
      </c>
      <c r="E9" s="242">
        <f t="shared" si="0"/>
        <v>1607.924050632125</v>
      </c>
      <c r="F9" s="75">
        <f>WATER!L9</f>
        <v>0</v>
      </c>
      <c r="G9" s="78">
        <f>WATER!BG9</f>
        <v>-28.000000000000057</v>
      </c>
      <c r="H9" s="79">
        <f>ELEC!AF7</f>
        <v>1788</v>
      </c>
      <c r="I9" s="79">
        <f>ELEC!Q7</f>
        <v>5609.9999999969441</v>
      </c>
      <c r="J9" s="79">
        <f>ELEC!R7</f>
        <v>-841.9999999969441</v>
      </c>
      <c r="K9" s="3"/>
      <c r="L9" s="3"/>
      <c r="M9" s="3"/>
      <c r="N9" s="3"/>
    </row>
    <row r="10" spans="1:14">
      <c r="A10" s="63">
        <f>'B5'!A10</f>
        <v>44322</v>
      </c>
      <c r="B10" s="76">
        <f>'B5'!V10</f>
        <v>155</v>
      </c>
      <c r="C10" s="76">
        <f>'B5'!AH10</f>
        <v>0</v>
      </c>
      <c r="D10" s="76">
        <f>GEN!AI8</f>
        <v>896.21097046412763</v>
      </c>
      <c r="E10" s="242">
        <f t="shared" si="0"/>
        <v>1051.2109704641275</v>
      </c>
      <c r="F10" s="75">
        <f>WATER!L10</f>
        <v>0</v>
      </c>
      <c r="G10" s="78">
        <f>WATER!BG10</f>
        <v>84.300000000000011</v>
      </c>
      <c r="H10" s="79">
        <f>ELEC!AF8</f>
        <v>926</v>
      </c>
      <c r="I10" s="79">
        <f>ELEC!Q8</f>
        <v>3481.9999999999709</v>
      </c>
      <c r="J10" s="79">
        <f>ELEC!R8</f>
        <v>430.0000000000291</v>
      </c>
      <c r="K10" s="3"/>
      <c r="L10" s="3"/>
      <c r="M10" s="3"/>
      <c r="N10" s="3"/>
    </row>
    <row r="11" spans="1:14">
      <c r="A11" s="63">
        <f>'B5'!A11</f>
        <v>44323</v>
      </c>
      <c r="B11" s="76">
        <f>'B5'!V11</f>
        <v>166</v>
      </c>
      <c r="C11" s="76">
        <f>'B5'!AH11</f>
        <v>0</v>
      </c>
      <c r="D11" s="76">
        <f>GEN!AI9</f>
        <v>1506.9831223636934</v>
      </c>
      <c r="E11" s="242">
        <f t="shared" si="0"/>
        <v>1672.9831223636934</v>
      </c>
      <c r="F11" s="75">
        <f>WATER!L11</f>
        <v>6</v>
      </c>
      <c r="G11" s="78">
        <f>WATER!BG11</f>
        <v>-5.0999999999999659</v>
      </c>
      <c r="H11" s="79">
        <f>ELEC!AF9</f>
        <v>1572</v>
      </c>
      <c r="I11" s="79">
        <f>ELEC!Q9</f>
        <v>5855.0000000032014</v>
      </c>
      <c r="J11" s="79">
        <f>ELEC!R9</f>
        <v>3140.3999999967054</v>
      </c>
      <c r="K11" s="3"/>
      <c r="L11" s="3"/>
      <c r="M11" s="3"/>
      <c r="N11" s="3"/>
    </row>
    <row r="12" spans="1:14">
      <c r="A12" s="63">
        <f>'B5'!A12</f>
        <v>44324</v>
      </c>
      <c r="B12" s="76">
        <f>'B5'!V12</f>
        <v>156</v>
      </c>
      <c r="C12" s="76">
        <f>'B5'!AH12</f>
        <v>0</v>
      </c>
      <c r="D12" s="76">
        <f>GEN!AI10</f>
        <v>1417.9282700417298</v>
      </c>
      <c r="E12" s="242">
        <f t="shared" si="0"/>
        <v>1573.9282700417298</v>
      </c>
      <c r="F12" s="75">
        <f>WATER!L12</f>
        <v>0</v>
      </c>
      <c r="G12" s="78">
        <f>WATER!BG12</f>
        <v>54.099999999999966</v>
      </c>
      <c r="H12" s="79">
        <f>ELEC!AF10</f>
        <v>1551</v>
      </c>
      <c r="I12" s="79">
        <f>ELEC!Q10</f>
        <v>5508.9999999981956</v>
      </c>
      <c r="J12" s="79">
        <f>ELEC!R10</f>
        <v>2740.8000000020838</v>
      </c>
      <c r="K12" s="3"/>
      <c r="L12" s="3"/>
      <c r="M12" s="3"/>
      <c r="N12" s="3"/>
    </row>
    <row r="13" spans="1:14">
      <c r="A13" s="63">
        <f>'B5'!A13</f>
        <v>44325</v>
      </c>
      <c r="B13" s="76">
        <f>'B5'!V13</f>
        <v>112</v>
      </c>
      <c r="C13" s="76">
        <f>'B5'!AH13</f>
        <v>0</v>
      </c>
      <c r="D13" s="76">
        <f>GEN!AI11</f>
        <v>1622.2911392404765</v>
      </c>
      <c r="E13" s="242">
        <f t="shared" si="0"/>
        <v>1734.2911392404765</v>
      </c>
      <c r="F13" s="75">
        <f>WATER!L13</f>
        <v>0</v>
      </c>
      <c r="G13" s="78">
        <f>WATER!BG13</f>
        <v>-36.199999999999974</v>
      </c>
      <c r="H13" s="79">
        <f>ELEC!AF11</f>
        <v>1818</v>
      </c>
      <c r="I13" s="79">
        <f>ELEC!Q11</f>
        <v>6302.9999999998836</v>
      </c>
      <c r="J13" s="79">
        <f>ELEC!R11</f>
        <v>2722.7999999999302</v>
      </c>
      <c r="K13" s="3"/>
      <c r="L13" s="3"/>
      <c r="M13" s="3"/>
      <c r="N13" s="3"/>
    </row>
    <row r="14" spans="1:14">
      <c r="A14" s="63">
        <f>'B5'!A14</f>
        <v>44326</v>
      </c>
      <c r="B14" s="76">
        <f>'B5'!V14</f>
        <v>82</v>
      </c>
      <c r="C14" s="76">
        <f>'B5'!AH14</f>
        <v>0</v>
      </c>
      <c r="D14" s="76">
        <f>GEN!AI12</f>
        <v>1631.2995780590045</v>
      </c>
      <c r="E14" s="242">
        <f t="shared" si="0"/>
        <v>1713.2995780590045</v>
      </c>
      <c r="F14" s="75">
        <f>WATER!L14</f>
        <v>2</v>
      </c>
      <c r="G14" s="78">
        <f>WATER!BG14</f>
        <v>94.399999999999935</v>
      </c>
      <c r="H14" s="79">
        <f>ELEC!AF12</f>
        <v>2061</v>
      </c>
      <c r="I14" s="79">
        <f>ELEC!Q12</f>
        <v>6337.9999999997381</v>
      </c>
      <c r="J14" s="79">
        <f>ELEC!R12</f>
        <v>3143.0000000002619</v>
      </c>
      <c r="K14" s="3"/>
      <c r="L14" s="3"/>
      <c r="M14" s="3"/>
      <c r="N14" s="3"/>
    </row>
    <row r="15" spans="1:14">
      <c r="A15" s="63">
        <f>'B5'!A15</f>
        <v>44327</v>
      </c>
      <c r="B15" s="76">
        <f>'B5'!V15</f>
        <v>81</v>
      </c>
      <c r="C15" s="76">
        <f>'B5'!AH15</f>
        <v>56</v>
      </c>
      <c r="D15" s="76">
        <f>GEN!AI13</f>
        <v>1478.41350210939</v>
      </c>
      <c r="E15" s="242">
        <f t="shared" si="0"/>
        <v>1615.41350210939</v>
      </c>
      <c r="F15" s="75">
        <f>WATER!L15</f>
        <v>0</v>
      </c>
      <c r="G15" s="78">
        <f>WATER!BG15</f>
        <v>-13.999999999999972</v>
      </c>
      <c r="H15" s="79">
        <f>ELEC!AF13</f>
        <v>1422</v>
      </c>
      <c r="I15" s="79">
        <f>ELEC!Q13</f>
        <v>5743.9999999987776</v>
      </c>
      <c r="J15" s="79">
        <f>ELEC!R13</f>
        <v>3284.0000000012224</v>
      </c>
      <c r="K15" s="3"/>
      <c r="L15" s="3"/>
      <c r="M15" s="3"/>
      <c r="N15" s="3"/>
    </row>
    <row r="16" spans="1:14">
      <c r="A16" s="63">
        <f>'B5'!A16</f>
        <v>44328</v>
      </c>
      <c r="B16" s="76">
        <f>'B5'!V16</f>
        <v>154</v>
      </c>
      <c r="C16" s="76">
        <f>'B5'!AH16</f>
        <v>0</v>
      </c>
      <c r="D16" s="76">
        <f>GEN!AI14</f>
        <v>1870.9240506329716</v>
      </c>
      <c r="E16" s="242">
        <f t="shared" si="0"/>
        <v>2024.9240506329716</v>
      </c>
      <c r="F16" s="75">
        <f>WATER!L16</f>
        <v>0</v>
      </c>
      <c r="G16" s="78">
        <f>WATER!BG16</f>
        <v>-47.3</v>
      </c>
      <c r="H16" s="79">
        <f>ELEC!AF14</f>
        <v>2171</v>
      </c>
      <c r="I16" s="79">
        <f>ELEC!Q14</f>
        <v>7269.0000000002328</v>
      </c>
      <c r="J16" s="79">
        <f>ELEC!R14</f>
        <v>2141.9999999997672</v>
      </c>
      <c r="K16" s="3"/>
      <c r="L16" s="3"/>
      <c r="M16" s="3"/>
      <c r="N16" s="3"/>
    </row>
    <row r="17" spans="1:14">
      <c r="A17" s="63">
        <f>'B5'!A17</f>
        <v>44329</v>
      </c>
      <c r="B17" s="76">
        <f>'B5'!V17</f>
        <v>115</v>
      </c>
      <c r="C17" s="76">
        <f>'B5'!AH17</f>
        <v>0</v>
      </c>
      <c r="D17" s="76">
        <f>GEN!AI15</f>
        <v>1725.7594936713356</v>
      </c>
      <c r="E17" s="242">
        <f t="shared" si="0"/>
        <v>1840.7594936713356</v>
      </c>
      <c r="F17" s="75">
        <f>WATER!L17</f>
        <v>0</v>
      </c>
      <c r="G17" s="78">
        <f>WATER!BG17</f>
        <v>-15.599999999999966</v>
      </c>
      <c r="H17" s="79">
        <f>ELEC!AF15</f>
        <v>1981</v>
      </c>
      <c r="I17" s="79">
        <f>ELEC!Q15</f>
        <v>6705.0000000017462</v>
      </c>
      <c r="J17" s="79">
        <f>ELEC!R15</f>
        <v>2940.9999999982538</v>
      </c>
      <c r="K17" s="3"/>
      <c r="L17" s="3"/>
      <c r="M17" s="3"/>
      <c r="N17" s="3"/>
    </row>
    <row r="18" spans="1:14">
      <c r="A18" s="63">
        <f>'B5'!A18</f>
        <v>44330</v>
      </c>
      <c r="B18" s="76">
        <f>'B5'!V18</f>
        <v>89</v>
      </c>
      <c r="C18" s="76">
        <f>'B5'!AH18</f>
        <v>0</v>
      </c>
      <c r="D18" s="76">
        <f>GEN!AI16</f>
        <v>1386.0126582274363</v>
      </c>
      <c r="E18" s="242">
        <f t="shared" si="0"/>
        <v>1475.0126582274363</v>
      </c>
      <c r="F18" s="75">
        <f>WATER!L18</f>
        <v>0</v>
      </c>
      <c r="G18" s="78">
        <f>WATER!BG18</f>
        <v>-31.900000000000034</v>
      </c>
      <c r="H18" s="79">
        <f>ELEC!AF16</f>
        <v>1684</v>
      </c>
      <c r="I18" s="79">
        <f>ELEC!Q16</f>
        <v>5384.9999999983993</v>
      </c>
      <c r="J18" s="79">
        <f>ELEC!R16</f>
        <v>3483.0000000016007</v>
      </c>
      <c r="K18" s="3"/>
      <c r="L18" s="3"/>
      <c r="M18" s="3"/>
      <c r="N18" s="3"/>
    </row>
    <row r="19" spans="1:14">
      <c r="A19" s="63">
        <f>'B5'!A19</f>
        <v>44331</v>
      </c>
      <c r="B19" s="76">
        <f>'B5'!V19</f>
        <v>139</v>
      </c>
      <c r="C19" s="76">
        <f>'B5'!AH19</f>
        <v>0</v>
      </c>
      <c r="D19" s="76">
        <f>GEN!AI17</f>
        <v>1646.2278481014307</v>
      </c>
      <c r="E19" s="242">
        <f t="shared" si="0"/>
        <v>1785.2278481014307</v>
      </c>
      <c r="F19" s="75">
        <f>WATER!L19</f>
        <v>0</v>
      </c>
      <c r="G19" s="78">
        <f>WATER!BG19</f>
        <v>-1.0999999999999943</v>
      </c>
      <c r="H19" s="79">
        <f>ELEC!AF17</f>
        <v>1169</v>
      </c>
      <c r="I19" s="79">
        <f>ELEC!Q17</f>
        <v>6396.0000000006403</v>
      </c>
      <c r="J19" s="79">
        <f>ELEC!R17</f>
        <v>1190.9999999993597</v>
      </c>
      <c r="K19" s="3"/>
      <c r="L19" s="3"/>
      <c r="M19" s="3"/>
      <c r="N19" s="3"/>
    </row>
    <row r="20" spans="1:14">
      <c r="A20" s="63">
        <f>'B5'!A20</f>
        <v>44332</v>
      </c>
      <c r="B20" s="76">
        <f>'B5'!V20</f>
        <v>115</v>
      </c>
      <c r="C20" s="76">
        <f>'B5'!AH20</f>
        <v>0</v>
      </c>
      <c r="D20" s="76">
        <f>GEN!AI18</f>
        <v>1293.3544303801216</v>
      </c>
      <c r="E20" s="242">
        <f t="shared" si="0"/>
        <v>1408.3544303801216</v>
      </c>
      <c r="F20" s="75">
        <f>WATER!L20</f>
        <v>0</v>
      </c>
      <c r="G20" s="78">
        <f>WATER!BG20</f>
        <v>-24.299999999999983</v>
      </c>
      <c r="H20" s="79">
        <f>ELEC!AF18</f>
        <v>2663</v>
      </c>
      <c r="I20" s="79">
        <f>ELEC!Q18</f>
        <v>5025.0000000014552</v>
      </c>
      <c r="J20" s="79">
        <f>ELEC!R18</f>
        <v>7813.9999999985448</v>
      </c>
      <c r="K20" s="3"/>
      <c r="L20" s="3"/>
      <c r="M20" s="3"/>
      <c r="N20" s="3"/>
    </row>
    <row r="21" spans="1:14">
      <c r="A21" s="63">
        <f>'B5'!A21</f>
        <v>44333</v>
      </c>
      <c r="B21" s="76">
        <f>'B5'!V21</f>
        <v>93</v>
      </c>
      <c r="C21" s="76">
        <f>'B5'!AH21</f>
        <v>0</v>
      </c>
      <c r="D21" s="76">
        <f>GEN!AI19</f>
        <v>2417.3502109704195</v>
      </c>
      <c r="E21" s="242">
        <f t="shared" si="0"/>
        <v>2510.3502109704195</v>
      </c>
      <c r="F21" s="75">
        <f>WATER!L21</f>
        <v>4</v>
      </c>
      <c r="G21" s="78">
        <f>WATER!BG21</f>
        <v>-27.200000000000017</v>
      </c>
      <c r="H21" s="79">
        <f>ELEC!AF19</f>
        <v>2275</v>
      </c>
      <c r="I21" s="79">
        <f>ELEC!Q19</f>
        <v>9391.9999999998254</v>
      </c>
      <c r="J21" s="79">
        <f>ELEC!R19</f>
        <v>697.00000000017462</v>
      </c>
      <c r="K21" s="3"/>
      <c r="L21" s="3"/>
      <c r="M21" s="3"/>
      <c r="N21" s="3"/>
    </row>
    <row r="22" spans="1:14">
      <c r="A22" s="63">
        <f>'B5'!A22</f>
        <v>44334</v>
      </c>
      <c r="B22" s="76">
        <f>'B5'!V22</f>
        <v>136</v>
      </c>
      <c r="C22" s="76">
        <f>'B5'!AH22</f>
        <v>0</v>
      </c>
      <c r="D22" s="76">
        <f>GEN!AI20</f>
        <v>2261.6329113924726</v>
      </c>
      <c r="E22" s="242">
        <f t="shared" si="0"/>
        <v>2397.6329113924726</v>
      </c>
      <c r="F22" s="75">
        <f>WATER!L22</f>
        <v>0</v>
      </c>
      <c r="G22" s="78">
        <f>WATER!BG22</f>
        <v>-23.199999999999989</v>
      </c>
      <c r="H22" s="79">
        <f>ELEC!AF20</f>
        <v>2111</v>
      </c>
      <c r="I22" s="79">
        <f>ELEC!Q20</f>
        <v>8787.0000000002619</v>
      </c>
      <c r="J22" s="79">
        <f>ELEC!R20</f>
        <v>1509.9999999997381</v>
      </c>
      <c r="K22" s="3"/>
      <c r="L22" s="3"/>
      <c r="M22" s="3"/>
      <c r="N22" s="3"/>
    </row>
    <row r="23" spans="1:14">
      <c r="A23" s="63">
        <f>'B5'!A23</f>
        <v>44335</v>
      </c>
      <c r="B23" s="76">
        <f>'B5'!V23</f>
        <v>95</v>
      </c>
      <c r="C23" s="76">
        <f>'B5'!AH23</f>
        <v>0</v>
      </c>
      <c r="D23" s="76">
        <f>GEN!AI21</f>
        <v>3151.9240506327019</v>
      </c>
      <c r="E23" s="242">
        <f t="shared" si="0"/>
        <v>3246.9240506327019</v>
      </c>
      <c r="F23" s="75">
        <f>WATER!L23</f>
        <v>2</v>
      </c>
      <c r="G23" s="78">
        <f>WATER!BG23</f>
        <v>-32.799999999999997</v>
      </c>
      <c r="H23" s="79">
        <f>ELEC!AF21</f>
        <v>2132</v>
      </c>
      <c r="I23" s="79">
        <f>ELEC!Q21</f>
        <v>12245.999999999185</v>
      </c>
      <c r="J23" s="79">
        <f>ELEC!R21</f>
        <v>3093.0000000008149</v>
      </c>
      <c r="K23" s="3"/>
      <c r="L23" s="3"/>
      <c r="M23" s="3"/>
      <c r="N23" s="3"/>
    </row>
    <row r="24" spans="1:14">
      <c r="A24" s="63">
        <f>'B5'!A24</f>
        <v>44336</v>
      </c>
      <c r="B24" s="76">
        <f>'B5'!V24</f>
        <v>63</v>
      </c>
      <c r="C24" s="76">
        <f>'B5'!AH24</f>
        <v>0</v>
      </c>
      <c r="D24" s="76">
        <f>GEN!AI22</f>
        <v>1888.426160337433</v>
      </c>
      <c r="E24" s="242">
        <f t="shared" si="0"/>
        <v>1951.426160337433</v>
      </c>
      <c r="F24" s="75">
        <f>WATER!L24</f>
        <v>1</v>
      </c>
      <c r="G24" s="78">
        <f>WATER!BG24</f>
        <v>-85.499999999999972</v>
      </c>
      <c r="H24" s="79">
        <f>ELEC!AF22</f>
        <v>3025</v>
      </c>
      <c r="I24" s="79">
        <f>ELEC!Q22</f>
        <v>7336.9999999995343</v>
      </c>
      <c r="J24" s="79">
        <f>ELEC!R22</f>
        <v>1560.0000000004657</v>
      </c>
      <c r="K24" s="3"/>
      <c r="L24" s="3"/>
      <c r="M24" s="3"/>
      <c r="N24" s="3"/>
    </row>
    <row r="25" spans="1:14">
      <c r="A25" s="63">
        <f>'B5'!A25</f>
        <v>44337</v>
      </c>
      <c r="B25" s="76">
        <f>'B5'!V25</f>
        <v>186</v>
      </c>
      <c r="C25" s="76">
        <f>'B5'!AH25</f>
        <v>23</v>
      </c>
      <c r="D25" s="76">
        <f>GEN!AI23</f>
        <v>2046.7172995783515</v>
      </c>
      <c r="E25" s="242">
        <f t="shared" si="0"/>
        <v>2255.7172995783512</v>
      </c>
      <c r="F25" s="75">
        <f>WATER!L25</f>
        <v>0</v>
      </c>
      <c r="G25" s="78">
        <f>WATER!BG25</f>
        <v>-18.500000000000057</v>
      </c>
      <c r="H25" s="79">
        <f>ELEC!AF23</f>
        <v>1961</v>
      </c>
      <c r="I25" s="79">
        <f>ELEC!Q23</f>
        <v>7952.000000001135</v>
      </c>
      <c r="J25" s="79">
        <f>ELEC!R23</f>
        <v>2282.999999998865</v>
      </c>
      <c r="K25" s="3"/>
      <c r="L25" s="3"/>
      <c r="M25" s="3"/>
      <c r="N25" s="3"/>
    </row>
    <row r="26" spans="1:14">
      <c r="A26" s="63">
        <f>'B5'!A26</f>
        <v>44338</v>
      </c>
      <c r="B26" s="76">
        <f>'B5'!V26</f>
        <v>129</v>
      </c>
      <c r="C26" s="76">
        <f>'B5'!AH26</f>
        <v>0</v>
      </c>
      <c r="D26" s="76">
        <f>GEN!AI24</f>
        <v>2714.628691982778</v>
      </c>
      <c r="E26" s="242">
        <f t="shared" si="0"/>
        <v>2843.628691982778</v>
      </c>
      <c r="F26" s="75">
        <f>WATER!L26</f>
        <v>0</v>
      </c>
      <c r="G26" s="78">
        <f>WATER!BG26</f>
        <v>40.600000000000016</v>
      </c>
      <c r="H26" s="79">
        <f>ELEC!AF24</f>
        <v>2509</v>
      </c>
      <c r="I26" s="79">
        <f>ELEC!Q24</f>
        <v>10546.999999998661</v>
      </c>
      <c r="J26" s="79">
        <f>ELEC!R24</f>
        <v>1644.0000000013388</v>
      </c>
      <c r="K26" s="3"/>
      <c r="L26" s="3"/>
      <c r="M26" s="3"/>
      <c r="N26" s="3"/>
    </row>
    <row r="27" spans="1:14">
      <c r="A27" s="63">
        <f>'B5'!A27</f>
        <v>44339</v>
      </c>
      <c r="B27" s="76">
        <f>'B5'!V27</f>
        <v>69</v>
      </c>
      <c r="C27" s="76">
        <f>'B5'!AH27</f>
        <v>0</v>
      </c>
      <c r="D27" s="76">
        <f>GEN!AI25</f>
        <v>1424.6202531645197</v>
      </c>
      <c r="E27" s="242">
        <f t="shared" si="0"/>
        <v>1493.6202531645197</v>
      </c>
      <c r="F27" s="75">
        <f>WATER!L27</f>
        <v>1</v>
      </c>
      <c r="G27" s="78">
        <f>WATER!BG27</f>
        <v>-9.7999999999999829</v>
      </c>
      <c r="H27" s="79">
        <f>ELEC!AF25</f>
        <v>1414</v>
      </c>
      <c r="I27" s="79">
        <f>ELEC!Q25</f>
        <v>5534.9999999998545</v>
      </c>
      <c r="J27" s="79">
        <f>ELEC!R25</f>
        <v>3033.0000000001455</v>
      </c>
      <c r="K27" s="3"/>
      <c r="L27" s="3"/>
      <c r="M27" s="3"/>
      <c r="N27" s="3"/>
    </row>
    <row r="28" spans="1:14">
      <c r="A28" s="63">
        <f>'B5'!A28</f>
        <v>44340</v>
      </c>
      <c r="B28" s="76">
        <f>'B5'!V28</f>
        <v>88</v>
      </c>
      <c r="C28" s="76">
        <f>'B5'!AH28</f>
        <v>123.20000000001164</v>
      </c>
      <c r="D28" s="76">
        <f>GEN!AI26</f>
        <v>3205.4599156122117</v>
      </c>
      <c r="E28" s="242">
        <f t="shared" si="0"/>
        <v>3416.6599156122234</v>
      </c>
      <c r="F28" s="75">
        <f>WATER!L28</f>
        <v>0</v>
      </c>
      <c r="G28" s="78">
        <f>WATER!BG28</f>
        <v>-9.7999999999999829</v>
      </c>
      <c r="H28" s="79">
        <f>ELEC!AF26</f>
        <v>3143</v>
      </c>
      <c r="I28" s="79">
        <f>ELEC!Q26</f>
        <v>12454.000000001543</v>
      </c>
      <c r="J28" s="79">
        <f>ELEC!R26</f>
        <v>1273.9999999984575</v>
      </c>
      <c r="K28" s="3"/>
      <c r="L28" s="3"/>
      <c r="M28" s="3"/>
      <c r="N28" s="3"/>
    </row>
    <row r="29" spans="1:14">
      <c r="A29" s="63">
        <f>'B5'!A29</f>
        <v>44341</v>
      </c>
      <c r="B29" s="76">
        <f>'B5'!V29</f>
        <v>90</v>
      </c>
      <c r="C29" s="76">
        <f>'B5'!AH29</f>
        <v>0</v>
      </c>
      <c r="D29" s="76">
        <f>GEN!AI27</f>
        <v>1589.3459915609942</v>
      </c>
      <c r="E29" s="77">
        <f t="shared" si="0"/>
        <v>1679.3459915609942</v>
      </c>
      <c r="F29" s="75">
        <f>WATER!L29</f>
        <v>0</v>
      </c>
      <c r="G29" s="78">
        <f>WATER!BG29</f>
        <v>36.599999999999994</v>
      </c>
      <c r="H29" s="79">
        <f>ELEC!AF27</f>
        <v>1575</v>
      </c>
      <c r="I29" s="79">
        <f>ELEC!Q27</f>
        <v>6174.9999999992724</v>
      </c>
      <c r="J29" s="79">
        <f>ELEC!R27</f>
        <v>3628.0000000007276</v>
      </c>
      <c r="K29" s="3"/>
      <c r="L29" s="3"/>
      <c r="M29" s="3"/>
      <c r="N29" s="3"/>
    </row>
    <row r="30" spans="1:14">
      <c r="A30" s="63">
        <f>'B5'!A30</f>
        <v>44342</v>
      </c>
      <c r="B30" s="76">
        <f>'B5'!V30</f>
        <v>114</v>
      </c>
      <c r="C30" s="76">
        <f>'B5'!AH30</f>
        <v>0</v>
      </c>
      <c r="D30" s="76">
        <f>GEN!AI28</f>
        <v>3368.1265822783089</v>
      </c>
      <c r="E30" s="77">
        <f t="shared" si="0"/>
        <v>3482.1265822783089</v>
      </c>
      <c r="F30" s="75">
        <f>WATER!L30</f>
        <v>0</v>
      </c>
      <c r="G30" s="78">
        <f>WATER!BG30</f>
        <v>-47.300000000000026</v>
      </c>
      <c r="H30" s="79">
        <f>ELEC!AF28</f>
        <v>2970</v>
      </c>
      <c r="I30" s="79">
        <f>ELEC!Q28</f>
        <v>13085.999999999331</v>
      </c>
      <c r="J30" s="79">
        <f>ELEC!R28</f>
        <v>1091.0000000006694</v>
      </c>
      <c r="K30" s="3"/>
      <c r="L30" s="3"/>
      <c r="M30" s="3"/>
      <c r="N30" s="3"/>
    </row>
    <row r="31" spans="1:14">
      <c r="A31" s="63">
        <f>'B5'!A31</f>
        <v>44343</v>
      </c>
      <c r="B31" s="76">
        <f>'B5'!V31</f>
        <v>106</v>
      </c>
      <c r="C31" s="76">
        <f>'B5'!AH31</f>
        <v>0</v>
      </c>
      <c r="D31" s="76">
        <f>GEN!AI29</f>
        <v>2428.6751054856218</v>
      </c>
      <c r="E31" s="77">
        <f t="shared" si="0"/>
        <v>2534.6751054856218</v>
      </c>
      <c r="F31" s="75">
        <f>WATER!L31</f>
        <v>3</v>
      </c>
      <c r="G31" s="78">
        <f>WATER!BG31</f>
        <v>-37.799999999999997</v>
      </c>
      <c r="H31" s="79">
        <f>ELEC!AF29</f>
        <v>2860</v>
      </c>
      <c r="I31" s="79">
        <f>ELEC!Q29</f>
        <v>9436.0000000015134</v>
      </c>
      <c r="J31" s="79">
        <f>ELEC!R29</f>
        <v>2390.9999999984866</v>
      </c>
      <c r="K31" s="3"/>
      <c r="L31" s="3"/>
      <c r="M31" s="3"/>
      <c r="N31" s="3"/>
    </row>
    <row r="32" spans="1:14">
      <c r="A32" s="63">
        <f>'B5'!A32</f>
        <v>44344</v>
      </c>
      <c r="B32" s="76">
        <f>'B5'!V32</f>
        <v>136</v>
      </c>
      <c r="C32" s="76">
        <f>'B5'!AH32</f>
        <v>0</v>
      </c>
      <c r="D32" s="76">
        <f>GEN!AI30</f>
        <v>3591.7932489446612</v>
      </c>
      <c r="E32" s="77">
        <f t="shared" si="0"/>
        <v>3727.7932489446612</v>
      </c>
      <c r="F32" s="75">
        <f>WATER!L32</f>
        <v>0</v>
      </c>
      <c r="G32" s="78">
        <f>WATER!BG32</f>
        <v>83.200000000000045</v>
      </c>
      <c r="H32" s="79">
        <f>ELEC!AF30</f>
        <v>3536</v>
      </c>
      <c r="I32" s="79">
        <f>ELEC!Q30</f>
        <v>13954.999999998108</v>
      </c>
      <c r="J32" s="79">
        <f>ELEC!R30</f>
        <v>1034.0000000018917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1</v>
      </c>
      <c r="G33" s="78">
        <f>WATER!BG33</f>
        <v>-41.700000000000017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42" t="s">
        <v>151</v>
      </c>
      <c r="U3" s="742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6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2</v>
      </c>
      <c r="E14">
        <f t="shared" si="0"/>
        <v>180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2</v>
      </c>
      <c r="E17">
        <f t="shared" si="0"/>
        <v>180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1</v>
      </c>
      <c r="E18">
        <f t="shared" si="0"/>
        <v>90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2</v>
      </c>
      <c r="E20">
        <f t="shared" si="0"/>
        <v>180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1</v>
      </c>
      <c r="E22">
        <f t="shared" si="0"/>
        <v>90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3</v>
      </c>
      <c r="E23">
        <f t="shared" si="0"/>
        <v>270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1</v>
      </c>
      <c r="E24">
        <f t="shared" si="0"/>
        <v>90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1</v>
      </c>
      <c r="E25">
        <f t="shared" si="0"/>
        <v>90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1</v>
      </c>
      <c r="E26">
        <f t="shared" si="0"/>
        <v>90</v>
      </c>
      <c r="F26">
        <f>'B5'!AM25</f>
        <v>1</v>
      </c>
      <c r="G26">
        <f t="shared" si="1"/>
        <v>107</v>
      </c>
    </row>
    <row r="27" spans="3:7">
      <c r="C27" s="99">
        <v>42451</v>
      </c>
      <c r="D27">
        <f>'B5'!AL26</f>
        <v>2</v>
      </c>
      <c r="E27">
        <f t="shared" si="0"/>
        <v>180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1</v>
      </c>
      <c r="E28">
        <f t="shared" si="0"/>
        <v>90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1</v>
      </c>
      <c r="E29">
        <f t="shared" si="0"/>
        <v>90</v>
      </c>
      <c r="F29">
        <f>'B5'!AM28</f>
        <v>1</v>
      </c>
      <c r="G29">
        <f t="shared" si="1"/>
        <v>107</v>
      </c>
    </row>
    <row r="30" spans="3:7">
      <c r="C30" s="99">
        <v>42454</v>
      </c>
      <c r="D30">
        <f>'B5'!AL29</f>
        <v>1</v>
      </c>
      <c r="E30">
        <f t="shared" si="0"/>
        <v>90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1</v>
      </c>
      <c r="E31">
        <f t="shared" si="0"/>
        <v>90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2</v>
      </c>
      <c r="E32">
        <f t="shared" si="0"/>
        <v>180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2</v>
      </c>
      <c r="E33">
        <f t="shared" si="0"/>
        <v>180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15" activePane="bottomLeft" state="frozen"/>
      <selection pane="bottomLeft" activeCell="I36" sqref="I36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7" customWidth="1"/>
    <col min="12" max="12" width="26.42578125" bestFit="1" customWidth="1"/>
    <col min="14" max="14" width="14.28515625" customWidth="1"/>
  </cols>
  <sheetData>
    <row r="1" spans="1:18" ht="39.75" customHeight="1" thickBot="1">
      <c r="A1" s="743" t="s">
        <v>51</v>
      </c>
      <c r="B1" s="755" t="s">
        <v>318</v>
      </c>
      <c r="C1" s="756"/>
      <c r="D1" s="758"/>
      <c r="E1" s="755" t="s">
        <v>319</v>
      </c>
      <c r="F1" s="756"/>
      <c r="G1" s="757"/>
      <c r="H1" s="752" t="s">
        <v>324</v>
      </c>
      <c r="I1" s="749" t="s">
        <v>325</v>
      </c>
      <c r="J1" s="746" t="s">
        <v>43</v>
      </c>
    </row>
    <row r="2" spans="1:18" ht="38.25" thickBot="1">
      <c r="A2" s="744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753"/>
      <c r="I2" s="750"/>
      <c r="J2" s="747"/>
    </row>
    <row r="3" spans="1:18" ht="24" customHeight="1" thickBot="1">
      <c r="A3" s="745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754"/>
      <c r="I3" s="751"/>
      <c r="J3" s="748"/>
    </row>
    <row r="4" spans="1:18" ht="19.5" thickBot="1">
      <c r="A4" s="243"/>
      <c r="B4" s="505"/>
      <c r="C4" s="505"/>
      <c r="D4" s="505"/>
      <c r="E4" s="505"/>
      <c r="F4" s="505"/>
      <c r="G4" s="505"/>
      <c r="H4" s="573">
        <v>0</v>
      </c>
      <c r="I4" s="244"/>
      <c r="J4" s="483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4">
        <f>ELEC!C2</f>
        <v>44316</v>
      </c>
      <c r="B5" s="170">
        <v>1.5</v>
      </c>
      <c r="C5" s="170">
        <v>8</v>
      </c>
      <c r="D5" s="170"/>
      <c r="E5" s="170">
        <v>0.5</v>
      </c>
      <c r="F5" s="170">
        <v>8.1999999999999993</v>
      </c>
      <c r="G5" s="506"/>
      <c r="H5" s="576">
        <v>6751</v>
      </c>
      <c r="I5" s="45">
        <f>'[10]Swimming Pool quality check '!I36</f>
        <v>0</v>
      </c>
      <c r="J5" s="514">
        <f>'[11]Swimming Pool quality check '!J36</f>
        <v>0.33333333333333398</v>
      </c>
      <c r="K5" s="407">
        <v>0</v>
      </c>
      <c r="L5" s="531">
        <f>A5</f>
        <v>44316</v>
      </c>
      <c r="M5" s="506">
        <v>6541</v>
      </c>
      <c r="N5" s="506">
        <f>'[8]Swimming Pool quality check '!N36</f>
        <v>642</v>
      </c>
      <c r="O5" s="506">
        <f>'[8]Swimming Pool quality check '!O36</f>
        <v>6836</v>
      </c>
    </row>
    <row r="6" spans="1:18" ht="15.75" customHeight="1" thickBot="1">
      <c r="A6" s="240">
        <f>ELEC!C3</f>
        <v>44317</v>
      </c>
      <c r="B6" s="254">
        <v>1.5</v>
      </c>
      <c r="C6" s="582">
        <v>8</v>
      </c>
      <c r="D6" s="170"/>
      <c r="E6" s="170">
        <v>1</v>
      </c>
      <c r="F6" s="170">
        <v>7.8</v>
      </c>
      <c r="G6" s="575"/>
      <c r="H6" s="576">
        <f>H5</f>
        <v>6751</v>
      </c>
      <c r="I6" s="506">
        <f>H6-H5</f>
        <v>0</v>
      </c>
      <c r="J6" s="484">
        <v>0.29166666666666669</v>
      </c>
      <c r="L6" s="99">
        <f t="shared" ref="L6:L33" si="0">A6</f>
        <v>44317</v>
      </c>
      <c r="M6" s="3">
        <v>6543</v>
      </c>
      <c r="N6" s="506">
        <v>487</v>
      </c>
      <c r="O6" s="506">
        <f t="shared" ref="O6:O33" si="1">M6+N6</f>
        <v>7030</v>
      </c>
    </row>
    <row r="7" spans="1:18" ht="15.75" thickBot="1">
      <c r="A7" s="240">
        <f>ELEC!C4</f>
        <v>44318</v>
      </c>
      <c r="B7" s="254">
        <v>1.2</v>
      </c>
      <c r="C7" s="582">
        <v>8.1999999999999993</v>
      </c>
      <c r="D7" s="170"/>
      <c r="E7" s="170">
        <v>1</v>
      </c>
      <c r="F7" s="170">
        <v>7.8</v>
      </c>
      <c r="G7" s="170"/>
      <c r="H7" s="576">
        <v>6754</v>
      </c>
      <c r="I7" s="506">
        <f>H7-H6</f>
        <v>3</v>
      </c>
      <c r="J7" s="485">
        <v>0.29166666666666669</v>
      </c>
      <c r="L7" s="99">
        <f t="shared" si="0"/>
        <v>44318</v>
      </c>
      <c r="M7" s="3">
        <v>6550</v>
      </c>
      <c r="N7" s="506">
        <v>487</v>
      </c>
      <c r="O7" s="506">
        <f t="shared" si="1"/>
        <v>7037</v>
      </c>
    </row>
    <row r="8" spans="1:18" ht="15.75" thickBot="1">
      <c r="A8" s="240">
        <f>ELEC!C5</f>
        <v>44319</v>
      </c>
      <c r="B8" s="532">
        <v>1.2</v>
      </c>
      <c r="C8" s="582">
        <v>8.6999999999999993</v>
      </c>
      <c r="D8" s="582"/>
      <c r="E8" s="582">
        <v>1</v>
      </c>
      <c r="F8" s="582">
        <v>8.1999999999999993</v>
      </c>
      <c r="G8" s="576"/>
      <c r="H8" s="576">
        <f t="shared" ref="H8:H34" si="2">H7</f>
        <v>6754</v>
      </c>
      <c r="I8" s="506">
        <f t="shared" ref="I8:I33" si="3">H8-H7</f>
        <v>0</v>
      </c>
      <c r="J8" s="485">
        <v>0.29166666666666669</v>
      </c>
      <c r="L8" s="99">
        <f t="shared" si="0"/>
        <v>44319</v>
      </c>
      <c r="M8" s="3">
        <v>6555</v>
      </c>
      <c r="N8" s="506">
        <v>487</v>
      </c>
      <c r="O8" s="506">
        <f t="shared" si="1"/>
        <v>7042</v>
      </c>
    </row>
    <row r="9" spans="1:18" ht="15.75" thickBot="1">
      <c r="A9" s="240">
        <f>ELEC!C6</f>
        <v>44320</v>
      </c>
      <c r="B9" s="532">
        <v>1.2</v>
      </c>
      <c r="C9" s="622">
        <v>8.6999999999999993</v>
      </c>
      <c r="D9" s="170"/>
      <c r="E9" s="622">
        <v>1</v>
      </c>
      <c r="F9" s="622">
        <v>8.1999999999999993</v>
      </c>
      <c r="G9" s="45"/>
      <c r="H9" s="576">
        <f t="shared" si="2"/>
        <v>6754</v>
      </c>
      <c r="I9" s="506">
        <f t="shared" si="3"/>
        <v>0</v>
      </c>
      <c r="J9" s="485">
        <v>0.25</v>
      </c>
      <c r="L9" s="99">
        <f t="shared" si="0"/>
        <v>44320</v>
      </c>
      <c r="M9" s="3">
        <f t="shared" ref="M9:M36" si="4">M8</f>
        <v>6555</v>
      </c>
      <c r="N9" s="506">
        <v>487</v>
      </c>
      <c r="O9" s="506">
        <f t="shared" si="1"/>
        <v>7042</v>
      </c>
    </row>
    <row r="10" spans="1:18" ht="15.75" thickBot="1">
      <c r="A10" s="240">
        <f>ELEC!C7</f>
        <v>44321</v>
      </c>
      <c r="B10" s="254">
        <v>1.2</v>
      </c>
      <c r="C10" s="583">
        <v>8</v>
      </c>
      <c r="D10" s="170"/>
      <c r="E10" s="170">
        <v>1</v>
      </c>
      <c r="F10" s="170">
        <v>8.1999999999999993</v>
      </c>
      <c r="G10" s="572"/>
      <c r="H10" s="576">
        <f t="shared" si="2"/>
        <v>6754</v>
      </c>
      <c r="I10" s="506">
        <f t="shared" si="3"/>
        <v>0</v>
      </c>
      <c r="J10" s="485">
        <v>0.29166666666666669</v>
      </c>
      <c r="L10" s="99">
        <f t="shared" si="0"/>
        <v>44321</v>
      </c>
      <c r="M10" s="3">
        <f t="shared" si="4"/>
        <v>6555</v>
      </c>
      <c r="N10" s="506">
        <v>487</v>
      </c>
      <c r="O10" s="506">
        <f t="shared" si="1"/>
        <v>7042</v>
      </c>
    </row>
    <row r="11" spans="1:18" ht="15.75" thickBot="1">
      <c r="A11" s="240">
        <f>ELEC!C8</f>
        <v>44322</v>
      </c>
      <c r="B11" s="254">
        <v>1.5</v>
      </c>
      <c r="C11" s="634">
        <v>8</v>
      </c>
      <c r="D11" s="170"/>
      <c r="E11" s="170">
        <v>1</v>
      </c>
      <c r="F11" s="170">
        <v>8.1999999999999993</v>
      </c>
      <c r="G11" s="170"/>
      <c r="H11" s="576">
        <v>6760</v>
      </c>
      <c r="I11" s="506">
        <f t="shared" si="3"/>
        <v>6</v>
      </c>
      <c r="J11" s="485">
        <v>0.29166666666666669</v>
      </c>
      <c r="L11" s="99">
        <f t="shared" si="0"/>
        <v>44322</v>
      </c>
      <c r="M11" s="3">
        <f t="shared" si="4"/>
        <v>6555</v>
      </c>
      <c r="N11" s="506">
        <v>487</v>
      </c>
      <c r="O11" s="506">
        <f t="shared" si="1"/>
        <v>7042</v>
      </c>
    </row>
    <row r="12" spans="1:18" ht="16.5" thickBot="1">
      <c r="A12" s="240">
        <f>ELEC!C9</f>
        <v>44323</v>
      </c>
      <c r="B12" s="254">
        <v>1.5</v>
      </c>
      <c r="C12" s="592">
        <v>8</v>
      </c>
      <c r="D12" s="170"/>
      <c r="E12" s="170">
        <v>1</v>
      </c>
      <c r="F12" s="170">
        <v>8.3000000000000007</v>
      </c>
      <c r="G12" s="532"/>
      <c r="H12" s="576">
        <f t="shared" si="2"/>
        <v>6760</v>
      </c>
      <c r="I12" s="506">
        <f t="shared" si="3"/>
        <v>0</v>
      </c>
      <c r="J12" s="485">
        <v>0.29166666666666669</v>
      </c>
      <c r="L12" s="99">
        <f t="shared" si="0"/>
        <v>44323</v>
      </c>
      <c r="M12" s="3">
        <f t="shared" si="4"/>
        <v>6555</v>
      </c>
      <c r="N12" s="506">
        <v>487</v>
      </c>
      <c r="O12" s="506">
        <f t="shared" si="1"/>
        <v>7042</v>
      </c>
      <c r="P12" s="436"/>
      <c r="Q12" s="358"/>
      <c r="R12" s="358"/>
    </row>
    <row r="13" spans="1:18" ht="15.75" thickBot="1">
      <c r="A13" s="240">
        <f>ELEC!C10</f>
        <v>44324</v>
      </c>
      <c r="B13" s="532">
        <v>1.5</v>
      </c>
      <c r="C13" s="532">
        <v>8.6999999999999993</v>
      </c>
      <c r="D13" s="532"/>
      <c r="E13" s="532">
        <v>1</v>
      </c>
      <c r="F13" s="532">
        <v>8.6999999999999993</v>
      </c>
      <c r="G13" s="532"/>
      <c r="H13" s="576">
        <f t="shared" si="2"/>
        <v>6760</v>
      </c>
      <c r="I13" s="506">
        <f t="shared" si="3"/>
        <v>0</v>
      </c>
      <c r="J13" s="485">
        <v>0.29166666666666669</v>
      </c>
      <c r="L13" s="99">
        <f t="shared" si="0"/>
        <v>44324</v>
      </c>
      <c r="M13" s="3">
        <f t="shared" si="4"/>
        <v>6555</v>
      </c>
      <c r="N13" s="506">
        <v>487</v>
      </c>
      <c r="O13" s="506">
        <f t="shared" si="1"/>
        <v>7042</v>
      </c>
    </row>
    <row r="14" spans="1:18" ht="15.75" thickBot="1">
      <c r="A14" s="240">
        <f>ELEC!C11</f>
        <v>44325</v>
      </c>
      <c r="B14" s="254">
        <v>1.4</v>
      </c>
      <c r="C14" s="640">
        <v>8.4</v>
      </c>
      <c r="D14" s="170"/>
      <c r="E14" s="170">
        <v>1</v>
      </c>
      <c r="F14" s="170">
        <v>8.3000000000000007</v>
      </c>
      <c r="G14" s="170"/>
      <c r="H14" s="576">
        <v>6762</v>
      </c>
      <c r="I14" s="506">
        <f t="shared" si="3"/>
        <v>2</v>
      </c>
      <c r="J14" s="485">
        <v>0.29166666666666669</v>
      </c>
      <c r="L14" s="99">
        <f t="shared" si="0"/>
        <v>44325</v>
      </c>
      <c r="M14" s="3">
        <f t="shared" si="4"/>
        <v>6555</v>
      </c>
      <c r="N14" s="506">
        <v>487</v>
      </c>
      <c r="O14" s="506">
        <f t="shared" si="1"/>
        <v>7042</v>
      </c>
    </row>
    <row r="15" spans="1:18" ht="15.75" thickBot="1">
      <c r="A15" s="240">
        <f>ELEC!C12</f>
        <v>44326</v>
      </c>
      <c r="B15" s="532">
        <v>1.5</v>
      </c>
      <c r="C15" s="582">
        <v>9.5</v>
      </c>
      <c r="D15" s="582"/>
      <c r="E15" s="582">
        <v>1</v>
      </c>
      <c r="F15" s="582">
        <v>9.5</v>
      </c>
      <c r="G15" s="574"/>
      <c r="H15" s="576">
        <f t="shared" si="2"/>
        <v>6762</v>
      </c>
      <c r="I15" s="506">
        <f t="shared" si="3"/>
        <v>0</v>
      </c>
      <c r="J15" s="485">
        <v>0.29166666666666669</v>
      </c>
      <c r="L15" s="99">
        <f t="shared" si="0"/>
        <v>44326</v>
      </c>
      <c r="M15" s="3">
        <f t="shared" si="4"/>
        <v>6555</v>
      </c>
      <c r="N15" s="506">
        <v>487</v>
      </c>
      <c r="O15" s="506">
        <f t="shared" si="1"/>
        <v>7042</v>
      </c>
    </row>
    <row r="16" spans="1:18" ht="15.75" thickBot="1">
      <c r="A16" s="240">
        <f>ELEC!C13</f>
        <v>44327</v>
      </c>
      <c r="B16" s="532">
        <v>1</v>
      </c>
      <c r="C16" s="582">
        <v>9.5</v>
      </c>
      <c r="D16" s="582"/>
      <c r="E16" s="582">
        <v>0.9</v>
      </c>
      <c r="F16" s="582">
        <v>9.5</v>
      </c>
      <c r="G16" s="574"/>
      <c r="H16" s="576">
        <f t="shared" si="2"/>
        <v>6762</v>
      </c>
      <c r="I16" s="506">
        <f t="shared" si="3"/>
        <v>0</v>
      </c>
      <c r="J16" s="485">
        <v>0.29166666666666669</v>
      </c>
      <c r="L16" s="99">
        <f t="shared" si="0"/>
        <v>44327</v>
      </c>
      <c r="M16" s="3">
        <f t="shared" si="4"/>
        <v>6555</v>
      </c>
      <c r="N16" s="506">
        <v>487</v>
      </c>
      <c r="O16" s="506">
        <f t="shared" si="1"/>
        <v>7042</v>
      </c>
    </row>
    <row r="17" spans="1:15" ht="15.75" thickBot="1">
      <c r="A17" s="240">
        <f>ELEC!C14</f>
        <v>44328</v>
      </c>
      <c r="B17" s="254">
        <v>1</v>
      </c>
      <c r="C17" s="593">
        <v>1.5</v>
      </c>
      <c r="D17" s="170"/>
      <c r="E17" s="170">
        <v>0.7</v>
      </c>
      <c r="F17" s="649">
        <v>9.5</v>
      </c>
      <c r="G17" s="648"/>
      <c r="H17" s="576">
        <f t="shared" si="2"/>
        <v>6762</v>
      </c>
      <c r="I17" s="506">
        <f t="shared" si="3"/>
        <v>0</v>
      </c>
      <c r="J17" s="485">
        <v>0.29166666666666669</v>
      </c>
      <c r="L17" s="99">
        <f t="shared" si="0"/>
        <v>44328</v>
      </c>
      <c r="M17" s="3">
        <f t="shared" si="4"/>
        <v>6555</v>
      </c>
      <c r="N17" s="506">
        <v>487</v>
      </c>
      <c r="O17" s="506">
        <f t="shared" si="1"/>
        <v>7042</v>
      </c>
    </row>
    <row r="18" spans="1:15" ht="15.75" thickBot="1">
      <c r="A18" s="240">
        <f>ELEC!C15</f>
        <v>44329</v>
      </c>
      <c r="B18" s="254">
        <v>1</v>
      </c>
      <c r="C18" s="594">
        <v>1.5</v>
      </c>
      <c r="D18" s="170"/>
      <c r="E18" s="170">
        <v>0</v>
      </c>
      <c r="F18" s="649">
        <v>9.5</v>
      </c>
      <c r="G18" s="651"/>
      <c r="H18" s="576">
        <f t="shared" si="2"/>
        <v>6762</v>
      </c>
      <c r="I18" s="506">
        <f t="shared" si="3"/>
        <v>0</v>
      </c>
      <c r="J18" s="485">
        <v>0.29166666666666669</v>
      </c>
      <c r="L18" s="99">
        <f t="shared" si="0"/>
        <v>44329</v>
      </c>
      <c r="M18" s="3">
        <f t="shared" si="4"/>
        <v>6555</v>
      </c>
      <c r="N18" s="506">
        <v>487</v>
      </c>
      <c r="O18" s="506">
        <f t="shared" si="1"/>
        <v>7042</v>
      </c>
    </row>
    <row r="19" spans="1:15" ht="15.75" thickBot="1">
      <c r="A19" s="240">
        <f>ELEC!C16</f>
        <v>44330</v>
      </c>
      <c r="B19" s="254">
        <v>1</v>
      </c>
      <c r="C19" s="595">
        <v>9.5</v>
      </c>
      <c r="D19" s="170"/>
      <c r="E19" s="170">
        <v>0</v>
      </c>
      <c r="F19" s="649">
        <v>9.5</v>
      </c>
      <c r="G19" s="648"/>
      <c r="H19" s="576">
        <f t="shared" si="2"/>
        <v>6762</v>
      </c>
      <c r="I19" s="506">
        <f t="shared" si="3"/>
        <v>0</v>
      </c>
      <c r="J19" s="485">
        <v>0.29166666666666669</v>
      </c>
      <c r="L19" s="99">
        <f t="shared" si="0"/>
        <v>44330</v>
      </c>
      <c r="M19" s="3">
        <f t="shared" si="4"/>
        <v>6555</v>
      </c>
      <c r="N19" s="506">
        <v>487</v>
      </c>
      <c r="O19" s="506">
        <f t="shared" si="1"/>
        <v>7042</v>
      </c>
    </row>
    <row r="20" spans="1:15" ht="15.75" thickBot="1">
      <c r="A20" s="240">
        <f>ELEC!C17</f>
        <v>44331</v>
      </c>
      <c r="B20" s="254">
        <v>1</v>
      </c>
      <c r="C20" s="596">
        <v>9.5</v>
      </c>
      <c r="D20" s="170"/>
      <c r="E20" s="170">
        <v>0</v>
      </c>
      <c r="F20" s="649">
        <v>9.5</v>
      </c>
      <c r="G20" s="648"/>
      <c r="H20" s="576">
        <f t="shared" si="2"/>
        <v>6762</v>
      </c>
      <c r="I20" s="506">
        <f t="shared" si="3"/>
        <v>0</v>
      </c>
      <c r="J20" s="485">
        <v>0.29166666666666669</v>
      </c>
      <c r="L20" s="99">
        <f t="shared" si="0"/>
        <v>44331</v>
      </c>
      <c r="M20" s="3">
        <f t="shared" si="4"/>
        <v>6555</v>
      </c>
      <c r="N20" s="506">
        <v>645</v>
      </c>
      <c r="O20" s="506">
        <f t="shared" si="1"/>
        <v>7200</v>
      </c>
    </row>
    <row r="21" spans="1:15" ht="15.75" thickBot="1">
      <c r="A21" s="240">
        <f>ELEC!C18</f>
        <v>44332</v>
      </c>
      <c r="B21" s="254">
        <v>0.9</v>
      </c>
      <c r="C21" s="644">
        <v>9</v>
      </c>
      <c r="D21" s="170"/>
      <c r="E21" s="170">
        <v>0</v>
      </c>
      <c r="F21" s="649">
        <v>9</v>
      </c>
      <c r="G21" s="651"/>
      <c r="H21" s="576">
        <v>6766</v>
      </c>
      <c r="I21" s="506">
        <f t="shared" si="3"/>
        <v>4</v>
      </c>
      <c r="J21" s="570" t="s">
        <v>415</v>
      </c>
      <c r="L21" s="99">
        <f t="shared" si="0"/>
        <v>44332</v>
      </c>
      <c r="M21" s="3">
        <f t="shared" si="4"/>
        <v>6555</v>
      </c>
      <c r="N21" s="506">
        <v>645</v>
      </c>
      <c r="O21" s="506">
        <f t="shared" si="1"/>
        <v>7200</v>
      </c>
    </row>
    <row r="22" spans="1:15" ht="15.75" thickBot="1">
      <c r="A22" s="240">
        <f>ELEC!C19</f>
        <v>44333</v>
      </c>
      <c r="B22" s="254">
        <v>0.9</v>
      </c>
      <c r="C22" s="597">
        <v>9</v>
      </c>
      <c r="D22" s="598"/>
      <c r="E22" s="597">
        <v>0</v>
      </c>
      <c r="F22" s="649">
        <v>9</v>
      </c>
      <c r="G22" s="648"/>
      <c r="H22" s="576">
        <f t="shared" si="2"/>
        <v>6766</v>
      </c>
      <c r="I22" s="506">
        <f t="shared" si="3"/>
        <v>0</v>
      </c>
      <c r="J22" s="485">
        <v>0.29166666666666669</v>
      </c>
      <c r="L22" s="99">
        <f t="shared" si="0"/>
        <v>44333</v>
      </c>
      <c r="M22" s="3">
        <f t="shared" si="4"/>
        <v>6555</v>
      </c>
      <c r="N22" s="506">
        <v>645</v>
      </c>
      <c r="O22" s="506">
        <f t="shared" si="1"/>
        <v>7200</v>
      </c>
    </row>
    <row r="23" spans="1:15" ht="15.75" thickBot="1">
      <c r="A23" s="240">
        <f>ELEC!C20</f>
        <v>44334</v>
      </c>
      <c r="B23" s="254">
        <v>0.5</v>
      </c>
      <c r="C23" s="646">
        <v>9.5</v>
      </c>
      <c r="D23" s="647"/>
      <c r="E23" s="646">
        <v>0</v>
      </c>
      <c r="F23" s="649">
        <v>10</v>
      </c>
      <c r="G23" s="648"/>
      <c r="H23" s="576">
        <v>6768</v>
      </c>
      <c r="I23" s="506">
        <f t="shared" si="3"/>
        <v>2</v>
      </c>
      <c r="J23" s="485">
        <v>0.29166666666666669</v>
      </c>
      <c r="L23" s="99">
        <f t="shared" si="0"/>
        <v>44334</v>
      </c>
      <c r="M23" s="3">
        <f t="shared" si="4"/>
        <v>6555</v>
      </c>
      <c r="N23" s="506">
        <v>645</v>
      </c>
      <c r="O23" s="506">
        <f t="shared" si="1"/>
        <v>7200</v>
      </c>
    </row>
    <row r="24" spans="1:15" ht="15.75" thickBot="1">
      <c r="A24" s="240">
        <f>ELEC!C21</f>
        <v>44335</v>
      </c>
      <c r="B24" s="254" t="s">
        <v>422</v>
      </c>
      <c r="C24" s="649">
        <v>9.5</v>
      </c>
      <c r="D24" s="650"/>
      <c r="E24" s="649">
        <v>0</v>
      </c>
      <c r="F24" s="649">
        <v>10</v>
      </c>
      <c r="G24" s="651"/>
      <c r="H24" s="576">
        <v>6769</v>
      </c>
      <c r="I24" s="506">
        <f t="shared" si="3"/>
        <v>1</v>
      </c>
      <c r="J24" s="485">
        <v>0.29166666666666702</v>
      </c>
      <c r="L24" s="99">
        <f t="shared" si="0"/>
        <v>44335</v>
      </c>
      <c r="M24" s="3">
        <f t="shared" si="4"/>
        <v>6555</v>
      </c>
      <c r="N24" s="506">
        <v>645</v>
      </c>
      <c r="O24" s="506">
        <f t="shared" si="1"/>
        <v>7200</v>
      </c>
    </row>
    <row r="25" spans="1:15" ht="15.75" thickBot="1">
      <c r="A25" s="240">
        <f>ELEC!C22</f>
        <v>44336</v>
      </c>
      <c r="B25" s="571">
        <v>1.5</v>
      </c>
      <c r="C25" s="582">
        <v>8</v>
      </c>
      <c r="D25" s="170"/>
      <c r="E25" s="170">
        <v>1</v>
      </c>
      <c r="F25" s="170">
        <v>7.8</v>
      </c>
      <c r="G25" s="170"/>
      <c r="H25" s="576">
        <v>6769</v>
      </c>
      <c r="I25" s="506">
        <f t="shared" si="3"/>
        <v>0</v>
      </c>
      <c r="J25" s="485">
        <v>0.29166666666666702</v>
      </c>
      <c r="L25" s="99">
        <f t="shared" si="0"/>
        <v>44336</v>
      </c>
      <c r="M25" s="3">
        <f t="shared" si="4"/>
        <v>6555</v>
      </c>
      <c r="N25" s="506">
        <v>645</v>
      </c>
      <c r="O25" s="506">
        <f t="shared" si="1"/>
        <v>7200</v>
      </c>
    </row>
    <row r="26" spans="1:15" ht="15.75" thickBot="1">
      <c r="A26" s="240">
        <f>ELEC!C23</f>
        <v>44337</v>
      </c>
      <c r="B26" s="254">
        <v>1.5</v>
      </c>
      <c r="C26" s="600">
        <v>7.8</v>
      </c>
      <c r="D26" s="601"/>
      <c r="E26" s="600">
        <v>0.9</v>
      </c>
      <c r="F26" s="600">
        <v>8</v>
      </c>
      <c r="G26" s="170"/>
      <c r="H26" s="576">
        <v>6769</v>
      </c>
      <c r="I26" s="506">
        <f t="shared" si="3"/>
        <v>0</v>
      </c>
      <c r="J26" s="485">
        <v>0.29166666666666702</v>
      </c>
      <c r="L26" s="99">
        <f t="shared" si="0"/>
        <v>44337</v>
      </c>
      <c r="M26" s="3">
        <f t="shared" si="4"/>
        <v>6555</v>
      </c>
      <c r="N26" s="506">
        <v>645</v>
      </c>
      <c r="O26" s="506">
        <f t="shared" si="1"/>
        <v>7200</v>
      </c>
    </row>
    <row r="27" spans="1:15" ht="15.75" thickBot="1">
      <c r="A27" s="240">
        <f>ELEC!C24</f>
        <v>44338</v>
      </c>
      <c r="B27" s="170">
        <v>1.5</v>
      </c>
      <c r="C27" s="170">
        <v>7.8</v>
      </c>
      <c r="D27" s="170"/>
      <c r="E27" s="170">
        <v>1</v>
      </c>
      <c r="F27" s="170">
        <v>8</v>
      </c>
      <c r="G27" s="170"/>
      <c r="H27" s="576">
        <v>6770</v>
      </c>
      <c r="I27" s="506">
        <f t="shared" si="3"/>
        <v>1</v>
      </c>
      <c r="J27" s="485">
        <v>0.29166666666666702</v>
      </c>
      <c r="L27" s="99">
        <f t="shared" si="0"/>
        <v>44338</v>
      </c>
      <c r="M27" s="3">
        <f t="shared" si="4"/>
        <v>6555</v>
      </c>
      <c r="N27" s="506">
        <v>645</v>
      </c>
      <c r="O27" s="506">
        <f t="shared" si="1"/>
        <v>7200</v>
      </c>
    </row>
    <row r="28" spans="1:15" ht="15.75" thickBot="1">
      <c r="A28" s="240">
        <f>ELEC!C25</f>
        <v>44339</v>
      </c>
      <c r="B28" s="254">
        <v>1.5</v>
      </c>
      <c r="C28" s="586">
        <v>7.8</v>
      </c>
      <c r="D28" s="650"/>
      <c r="E28" s="649">
        <v>1</v>
      </c>
      <c r="F28" s="649">
        <v>8</v>
      </c>
      <c r="G28" s="651"/>
      <c r="H28" s="576">
        <f t="shared" si="2"/>
        <v>6770</v>
      </c>
      <c r="I28" s="506">
        <f t="shared" si="3"/>
        <v>0</v>
      </c>
      <c r="J28" s="486">
        <v>0.29166666666666702</v>
      </c>
      <c r="L28" s="99">
        <f t="shared" si="0"/>
        <v>44339</v>
      </c>
      <c r="M28" s="3">
        <f t="shared" si="4"/>
        <v>6555</v>
      </c>
      <c r="N28" s="506">
        <v>645</v>
      </c>
      <c r="O28" s="506">
        <f t="shared" si="1"/>
        <v>7200</v>
      </c>
    </row>
    <row r="29" spans="1:15" ht="15.75" thickBot="1">
      <c r="A29" s="240">
        <f>ELEC!C26</f>
        <v>44340</v>
      </c>
      <c r="B29" s="254">
        <v>1.5</v>
      </c>
      <c r="C29" s="602">
        <v>7.8</v>
      </c>
      <c r="D29" s="603"/>
      <c r="E29" s="649">
        <v>1</v>
      </c>
      <c r="F29" s="649">
        <v>8</v>
      </c>
      <c r="G29" s="648"/>
      <c r="H29" s="576">
        <f t="shared" si="2"/>
        <v>6770</v>
      </c>
      <c r="I29" s="506">
        <f t="shared" si="3"/>
        <v>0</v>
      </c>
      <c r="J29" s="485">
        <v>0.29166666666666702</v>
      </c>
      <c r="L29" s="99">
        <f t="shared" si="0"/>
        <v>44340</v>
      </c>
      <c r="M29" s="3">
        <f t="shared" si="4"/>
        <v>6555</v>
      </c>
      <c r="N29" s="506">
        <v>645</v>
      </c>
      <c r="O29" s="506">
        <f t="shared" si="1"/>
        <v>7200</v>
      </c>
    </row>
    <row r="30" spans="1:15" ht="15.75" thickBot="1">
      <c r="A30" s="240">
        <f>ELEC!C27</f>
        <v>44341</v>
      </c>
      <c r="B30" s="254">
        <v>1.5</v>
      </c>
      <c r="C30" s="604">
        <v>7.8</v>
      </c>
      <c r="D30" s="605"/>
      <c r="E30" s="604">
        <v>1</v>
      </c>
      <c r="F30" s="604">
        <v>8</v>
      </c>
      <c r="G30" s="170"/>
      <c r="H30" s="576">
        <f t="shared" si="2"/>
        <v>6770</v>
      </c>
      <c r="I30" s="506">
        <f t="shared" si="3"/>
        <v>0</v>
      </c>
      <c r="J30" s="485">
        <v>0.29166666666666702</v>
      </c>
      <c r="L30" s="99">
        <f t="shared" si="0"/>
        <v>44341</v>
      </c>
      <c r="M30" s="3">
        <f t="shared" si="4"/>
        <v>6555</v>
      </c>
      <c r="N30" s="506">
        <v>645</v>
      </c>
      <c r="O30" s="506">
        <f t="shared" si="1"/>
        <v>7200</v>
      </c>
    </row>
    <row r="31" spans="1:15" ht="15.75" thickBot="1">
      <c r="A31" s="240">
        <f>ELEC!C28</f>
        <v>44342</v>
      </c>
      <c r="B31" s="254">
        <v>1.5</v>
      </c>
      <c r="C31" s="582">
        <v>7.8</v>
      </c>
      <c r="D31" s="170"/>
      <c r="E31" s="170">
        <v>1</v>
      </c>
      <c r="F31" s="170">
        <v>8</v>
      </c>
      <c r="G31" s="170"/>
      <c r="H31" s="576">
        <v>6773</v>
      </c>
      <c r="I31" s="506">
        <f t="shared" si="3"/>
        <v>3</v>
      </c>
      <c r="J31" s="485">
        <v>0.29166666666666702</v>
      </c>
      <c r="L31" s="99">
        <f t="shared" si="0"/>
        <v>44342</v>
      </c>
      <c r="M31" s="3">
        <f t="shared" si="4"/>
        <v>6555</v>
      </c>
      <c r="N31" s="506">
        <v>645</v>
      </c>
      <c r="O31" s="506">
        <f t="shared" si="1"/>
        <v>7200</v>
      </c>
    </row>
    <row r="32" spans="1:15" ht="15.75" thickBot="1">
      <c r="A32" s="240">
        <f>ELEC!C29</f>
        <v>44343</v>
      </c>
      <c r="B32" s="170">
        <v>1.5</v>
      </c>
      <c r="C32" s="170">
        <v>7.8</v>
      </c>
      <c r="D32" s="170"/>
      <c r="E32" s="170">
        <v>1</v>
      </c>
      <c r="F32" s="170">
        <v>8</v>
      </c>
      <c r="G32" s="506"/>
      <c r="H32" s="576">
        <f t="shared" si="2"/>
        <v>6773</v>
      </c>
      <c r="I32" s="506">
        <f t="shared" si="3"/>
        <v>0</v>
      </c>
      <c r="J32" s="485">
        <v>0.29166666666666702</v>
      </c>
      <c r="L32" s="99">
        <f t="shared" si="0"/>
        <v>44343</v>
      </c>
      <c r="M32" s="3">
        <f t="shared" si="4"/>
        <v>6555</v>
      </c>
      <c r="N32" s="506">
        <v>645</v>
      </c>
      <c r="O32" s="506">
        <f t="shared" si="1"/>
        <v>7200</v>
      </c>
    </row>
    <row r="33" spans="1:15" ht="15.75" thickBot="1">
      <c r="A33" s="240">
        <f>ELEC!C30</f>
        <v>44344</v>
      </c>
      <c r="B33" s="170">
        <v>1.5</v>
      </c>
      <c r="C33" s="170">
        <v>7.8</v>
      </c>
      <c r="D33" s="170"/>
      <c r="E33" s="170">
        <v>1.5</v>
      </c>
      <c r="F33" s="170">
        <v>8</v>
      </c>
      <c r="G33" s="506"/>
      <c r="H33" s="576">
        <v>6774</v>
      </c>
      <c r="I33" s="506">
        <f t="shared" si="3"/>
        <v>1</v>
      </c>
      <c r="J33" s="485">
        <v>0.29166666666666702</v>
      </c>
      <c r="L33" s="99">
        <f t="shared" si="0"/>
        <v>44344</v>
      </c>
      <c r="M33" s="3">
        <f t="shared" si="4"/>
        <v>6555</v>
      </c>
      <c r="N33" s="506">
        <v>645</v>
      </c>
      <c r="O33" s="506">
        <f t="shared" si="1"/>
        <v>7200</v>
      </c>
    </row>
    <row r="34" spans="1:15" ht="15.75" thickBot="1">
      <c r="A34" s="240">
        <f>ELEC!C31</f>
        <v>44345</v>
      </c>
      <c r="B34" s="170">
        <v>1.5</v>
      </c>
      <c r="C34" s="170">
        <v>7.8</v>
      </c>
      <c r="D34" s="170"/>
      <c r="E34" s="170">
        <v>0.5</v>
      </c>
      <c r="F34" s="170">
        <v>8</v>
      </c>
      <c r="G34" s="506"/>
      <c r="H34" s="576">
        <f t="shared" si="2"/>
        <v>6774</v>
      </c>
      <c r="I34" s="506">
        <f t="shared" ref="I34" si="5">H34-H33</f>
        <v>0</v>
      </c>
      <c r="J34" s="485">
        <v>0.33333333333333398</v>
      </c>
      <c r="L34" s="99">
        <f t="shared" ref="L34" si="6">A34</f>
        <v>44345</v>
      </c>
      <c r="M34" s="3">
        <f t="shared" si="4"/>
        <v>6555</v>
      </c>
      <c r="N34" s="506">
        <v>646</v>
      </c>
      <c r="O34" s="506">
        <f t="shared" ref="O34" si="7">M34+N34</f>
        <v>7201</v>
      </c>
    </row>
    <row r="35" spans="1:15" ht="15.75" thickBot="1">
      <c r="A35" s="240">
        <f>ELEC!C32</f>
        <v>44346</v>
      </c>
      <c r="B35" s="170">
        <v>1.5</v>
      </c>
      <c r="C35" s="170">
        <v>7.1</v>
      </c>
      <c r="D35" s="170"/>
      <c r="E35" s="170">
        <v>1</v>
      </c>
      <c r="F35" s="170">
        <v>8</v>
      </c>
      <c r="G35" s="506"/>
      <c r="H35" s="576">
        <v>6775</v>
      </c>
      <c r="I35" s="506">
        <f t="shared" ref="I35:I36" si="8">H35-H34</f>
        <v>1</v>
      </c>
      <c r="J35" s="485">
        <v>0.375000000000001</v>
      </c>
      <c r="L35" s="99">
        <f t="shared" ref="L35:L36" si="9">A35</f>
        <v>44346</v>
      </c>
      <c r="M35" s="3">
        <f t="shared" si="4"/>
        <v>6555</v>
      </c>
      <c r="N35" s="506">
        <v>647</v>
      </c>
      <c r="O35" s="506">
        <f t="shared" ref="O35:O36" si="10">M35+N35</f>
        <v>7202</v>
      </c>
    </row>
    <row r="36" spans="1:15">
      <c r="A36" s="240">
        <f>ELEC!C33</f>
        <v>44347</v>
      </c>
      <c r="B36" s="170">
        <v>1.5</v>
      </c>
      <c r="C36" s="170">
        <v>7.8</v>
      </c>
      <c r="D36" s="170"/>
      <c r="E36" s="170">
        <v>1</v>
      </c>
      <c r="F36" s="170">
        <v>8</v>
      </c>
      <c r="G36" s="506"/>
      <c r="H36" s="576">
        <f t="shared" ref="H36" si="11">H35</f>
        <v>6775</v>
      </c>
      <c r="I36" s="506">
        <f t="shared" si="8"/>
        <v>0</v>
      </c>
      <c r="J36" s="485">
        <v>0.41666666666666702</v>
      </c>
      <c r="L36" s="99">
        <f t="shared" si="9"/>
        <v>44347</v>
      </c>
      <c r="M36" s="3">
        <f t="shared" si="4"/>
        <v>6555</v>
      </c>
      <c r="N36" s="506">
        <v>648</v>
      </c>
      <c r="O36" s="506">
        <f t="shared" si="10"/>
        <v>7203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B12" zoomScale="80" zoomScaleNormal="80" workbookViewId="0">
      <selection activeCell="AA14" sqref="AA14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70" t="s">
        <v>161</v>
      </c>
      <c r="B1" s="770"/>
      <c r="C1" s="770"/>
      <c r="D1" s="770"/>
      <c r="E1" s="770"/>
      <c r="F1" s="770"/>
      <c r="G1" s="770"/>
      <c r="H1" s="770"/>
      <c r="I1" s="770"/>
      <c r="J1" s="770"/>
      <c r="K1" s="770"/>
      <c r="L1" s="770"/>
      <c r="M1" s="770"/>
      <c r="N1" s="770"/>
      <c r="O1" s="770"/>
      <c r="P1" s="770"/>
      <c r="Q1" s="770"/>
      <c r="R1" s="770"/>
      <c r="S1" s="770"/>
      <c r="T1" s="770"/>
      <c r="U1" s="770"/>
      <c r="V1" s="770"/>
      <c r="W1" s="770"/>
      <c r="X1" s="770"/>
    </row>
    <row r="2" spans="1:28" ht="19.5">
      <c r="A2" s="771"/>
      <c r="B2" s="771"/>
      <c r="C2" s="771"/>
      <c r="D2" s="771"/>
      <c r="E2" s="771"/>
      <c r="F2" s="771"/>
      <c r="G2" s="771"/>
      <c r="H2" s="771"/>
      <c r="I2" s="771"/>
      <c r="J2" s="771"/>
      <c r="K2" s="771"/>
      <c r="L2" s="771"/>
      <c r="M2" s="771"/>
      <c r="N2" s="771"/>
      <c r="O2" s="771"/>
      <c r="P2" s="771"/>
      <c r="Q2" s="771"/>
      <c r="R2" s="771"/>
      <c r="S2" s="771"/>
      <c r="T2" s="771"/>
      <c r="U2" s="771"/>
      <c r="V2" s="771"/>
      <c r="W2" s="771"/>
      <c r="X2" s="771"/>
    </row>
    <row r="3" spans="1:28" ht="19.5">
      <c r="A3" s="771" t="s">
        <v>162</v>
      </c>
      <c r="B3" s="771"/>
      <c r="C3" s="771"/>
      <c r="D3" s="771"/>
      <c r="E3" s="771"/>
      <c r="F3" s="771"/>
      <c r="G3" s="771"/>
      <c r="H3" s="771"/>
      <c r="I3" s="771"/>
      <c r="J3" s="771"/>
      <c r="K3" s="771"/>
      <c r="L3" s="771"/>
      <c r="M3" s="771"/>
      <c r="N3" s="771"/>
      <c r="O3" s="771"/>
      <c r="P3" s="771"/>
      <c r="Q3" s="771"/>
      <c r="R3" s="771"/>
      <c r="S3" s="771"/>
      <c r="T3" s="771"/>
      <c r="U3" s="771"/>
      <c r="V3" s="771"/>
      <c r="W3" s="771"/>
      <c r="X3" s="771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71" t="s">
        <v>409</v>
      </c>
      <c r="B5" s="771"/>
      <c r="C5" s="771"/>
      <c r="D5" s="771"/>
      <c r="E5" s="771"/>
      <c r="F5" s="771"/>
      <c r="G5" s="771"/>
      <c r="H5" s="771"/>
      <c r="I5" s="771"/>
      <c r="J5" s="771"/>
      <c r="K5" s="771"/>
      <c r="L5" s="771"/>
      <c r="M5" s="771"/>
      <c r="N5" s="771"/>
      <c r="O5" s="771"/>
      <c r="P5" s="771"/>
      <c r="Q5" s="771"/>
      <c r="R5" s="771"/>
      <c r="S5" s="771"/>
      <c r="T5" s="771"/>
      <c r="U5" s="771"/>
      <c r="V5" s="771"/>
      <c r="W5" s="771"/>
      <c r="X5" s="771"/>
    </row>
    <row r="6" spans="1:28" ht="15.75" thickBot="1">
      <c r="A6" s="772"/>
      <c r="B6" s="772"/>
      <c r="C6" s="772"/>
      <c r="D6" s="772"/>
      <c r="E6" s="772"/>
      <c r="F6" s="772"/>
      <c r="G6" s="772"/>
      <c r="H6" s="772"/>
      <c r="I6" s="772"/>
      <c r="J6" s="772"/>
      <c r="K6" s="772"/>
      <c r="L6" s="772"/>
      <c r="M6" s="772"/>
      <c r="N6" s="772"/>
      <c r="O6" s="772"/>
      <c r="P6" s="772"/>
      <c r="Q6" s="772"/>
      <c r="R6" s="772"/>
      <c r="S6" s="772"/>
      <c r="T6" s="772"/>
      <c r="U6" s="772"/>
      <c r="V6" s="772"/>
      <c r="W6" s="772"/>
      <c r="X6" s="772"/>
    </row>
    <row r="7" spans="1:28" ht="15.75" thickBot="1">
      <c r="A7" s="760" t="s">
        <v>163</v>
      </c>
      <c r="B7" s="761"/>
      <c r="C7" s="762" t="s">
        <v>164</v>
      </c>
      <c r="D7" s="763"/>
      <c r="E7" s="763"/>
      <c r="F7" s="763"/>
      <c r="G7" s="763"/>
      <c r="H7" s="763"/>
      <c r="I7" s="763"/>
      <c r="J7" s="763"/>
      <c r="K7" s="764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'[1]Degree Days 2020'!B10</f>
        <v>20</v>
      </c>
      <c r="C10" s="272">
        <f>'[1]Degree Days 2020'!C10</f>
        <v>15</v>
      </c>
      <c r="D10" s="272">
        <f>'[1]Degree Days 2020'!D10</f>
        <v>-0.80000000000000071</v>
      </c>
      <c r="E10" s="272">
        <f>'[1]Degree Days 2020'!E10</f>
        <v>1</v>
      </c>
      <c r="F10" s="272">
        <f>'[1]Degree Days 2020'!F10</f>
        <v>21</v>
      </c>
      <c r="G10" s="272">
        <f>'[1]Degree Days 2020'!G10</f>
        <v>16</v>
      </c>
      <c r="H10" s="272">
        <f>'[1]Degree Days 2020'!H10</f>
        <v>0.19999999999999929</v>
      </c>
      <c r="I10" s="272">
        <f>'[1]Degree Days 2020'!I10</f>
        <v>1</v>
      </c>
      <c r="J10" s="272">
        <f>'[1]Degree Days 2020'!J10</f>
        <v>18</v>
      </c>
      <c r="K10" s="272">
        <f>'[1]Degree Days 2020'!K10</f>
        <v>14</v>
      </c>
      <c r="L10" s="272">
        <f>'[1]Degree Days 2020'!L10</f>
        <v>-2.3000000000000007</v>
      </c>
      <c r="M10" s="272">
        <f>'[12]Degree Days 2020'!M10</f>
        <v>1</v>
      </c>
      <c r="N10" s="272">
        <f>'[4]General information '!B6</f>
        <v>17</v>
      </c>
      <c r="O10" s="272">
        <f>'[4]General information '!C6</f>
        <v>12</v>
      </c>
      <c r="P10" s="272">
        <f>(N10+O10)/2-18.3</f>
        <v>-3.8000000000000007</v>
      </c>
      <c r="Q10" s="528">
        <v>1</v>
      </c>
      <c r="R10" s="272">
        <f>'General information '!B6</f>
        <v>26</v>
      </c>
      <c r="S10" s="272">
        <f>'General information '!C6</f>
        <v>21</v>
      </c>
      <c r="T10" s="272">
        <f>(R10+S10)/2-18.3</f>
        <v>5.1999999999999993</v>
      </c>
      <c r="U10" s="528">
        <v>1</v>
      </c>
      <c r="V10" s="272"/>
      <c r="W10" s="272"/>
      <c r="X10" s="272">
        <f>(V10+W10)/2-18.3</f>
        <v>-18.3</v>
      </c>
      <c r="Z10" t="s">
        <v>165</v>
      </c>
      <c r="AA10" s="272">
        <f>'[1]Degree Days 2020'!AA10</f>
        <v>-92.59999999999998</v>
      </c>
      <c r="AB10" s="272">
        <f>'[1]Degree Days 2020'!AB10</f>
        <v>2.7999999999999936</v>
      </c>
    </row>
    <row r="11" spans="1:28">
      <c r="A11" s="117">
        <v>2</v>
      </c>
      <c r="B11" s="272">
        <f>'[1]Degree Days 2020'!B11</f>
        <v>21</v>
      </c>
      <c r="C11" s="272">
        <f>'[1]Degree Days 2020'!C11</f>
        <v>15</v>
      </c>
      <c r="D11" s="272">
        <f>'[1]Degree Days 2020'!D11</f>
        <v>-0.30000000000000071</v>
      </c>
      <c r="E11" s="272">
        <f>'[1]Degree Days 2020'!E11</f>
        <v>2</v>
      </c>
      <c r="F11" s="272">
        <f>'[1]Degree Days 2020'!F11</f>
        <v>23</v>
      </c>
      <c r="G11" s="272">
        <f>'[1]Degree Days 2020'!G11</f>
        <v>17</v>
      </c>
      <c r="H11" s="272">
        <f>'[1]Degree Days 2020'!H11</f>
        <v>1.6999999999999993</v>
      </c>
      <c r="I11" s="272">
        <f>'[1]Degree Days 2020'!I11</f>
        <v>2</v>
      </c>
      <c r="J11" s="272">
        <f>'[1]Degree Days 2020'!J11</f>
        <v>18</v>
      </c>
      <c r="K11" s="272">
        <f>'[1]Degree Days 2020'!K11</f>
        <v>13</v>
      </c>
      <c r="L11" s="272">
        <f>'[1]Degree Days 2020'!L11</f>
        <v>-2.8000000000000007</v>
      </c>
      <c r="M11" s="272">
        <f>'[12]Degree Days 2020'!M11</f>
        <v>2</v>
      </c>
      <c r="N11" s="272">
        <f>'[4]General information '!B7</f>
        <v>15</v>
      </c>
      <c r="O11" s="272">
        <f>'[4]General information '!C7</f>
        <v>12</v>
      </c>
      <c r="P11" s="272">
        <f t="shared" ref="P11:P39" si="0">(N11+O11)/2-18.3</f>
        <v>-4.8000000000000007</v>
      </c>
      <c r="Q11" s="528">
        <v>2</v>
      </c>
      <c r="R11" s="272">
        <f>'General information '!B7</f>
        <v>25</v>
      </c>
      <c r="S11" s="272">
        <f>'General information '!C7</f>
        <v>21</v>
      </c>
      <c r="T11" s="272">
        <f t="shared" ref="T11:T40" si="1">(R11+S11)/2-18.3</f>
        <v>4.6999999999999993</v>
      </c>
      <c r="U11" s="528">
        <v>2</v>
      </c>
      <c r="V11" s="272"/>
      <c r="W11" s="272"/>
      <c r="X11" s="272">
        <f t="shared" ref="X11:X39" si="2">(V11+W11)/2-18.3</f>
        <v>-18.3</v>
      </c>
      <c r="Z11" t="s">
        <v>169</v>
      </c>
      <c r="AA11" s="272">
        <f>'[1]Degree Days 2020'!AA11</f>
        <v>-75.899999999999977</v>
      </c>
      <c r="AB11" s="272">
        <f>'[1]Degree Days 2020'!AB11</f>
        <v>6.4999999999999964</v>
      </c>
    </row>
    <row r="12" spans="1:28">
      <c r="A12" s="117">
        <v>3</v>
      </c>
      <c r="B12" s="272">
        <f>'[1]Degree Days 2020'!B12</f>
        <v>21</v>
      </c>
      <c r="C12" s="272">
        <f>'[1]Degree Days 2020'!C12</f>
        <v>16</v>
      </c>
      <c r="D12" s="272">
        <f>'[1]Degree Days 2020'!D12</f>
        <v>0.19999999999999929</v>
      </c>
      <c r="E12" s="272">
        <f>'[1]Degree Days 2020'!E12</f>
        <v>3</v>
      </c>
      <c r="F12" s="272">
        <f>'[1]Degree Days 2020'!F12</f>
        <v>20</v>
      </c>
      <c r="G12" s="272">
        <f>'[1]Degree Days 2020'!G12</f>
        <v>15</v>
      </c>
      <c r="H12" s="272">
        <f>'[1]Degree Days 2020'!H12</f>
        <v>-0.80000000000000071</v>
      </c>
      <c r="I12" s="272">
        <f>'[1]Degree Days 2020'!I12</f>
        <v>3</v>
      </c>
      <c r="J12" s="272">
        <f>'[1]Degree Days 2020'!J12</f>
        <v>18</v>
      </c>
      <c r="K12" s="272">
        <f>'[1]Degree Days 2020'!K12</f>
        <v>13</v>
      </c>
      <c r="L12" s="272">
        <f>'[1]Degree Days 2020'!L12</f>
        <v>-2.8000000000000007</v>
      </c>
      <c r="M12" s="272">
        <f>'[12]Degree Days 2020'!M12</f>
        <v>3</v>
      </c>
      <c r="N12" s="272">
        <f>'[4]General information '!B8</f>
        <v>19</v>
      </c>
      <c r="O12" s="272">
        <f>'[4]General information '!C8</f>
        <v>15</v>
      </c>
      <c r="P12" s="272">
        <f t="shared" si="0"/>
        <v>-1.3000000000000007</v>
      </c>
      <c r="Q12" s="528">
        <v>3</v>
      </c>
      <c r="R12" s="272">
        <f>'General information '!B8</f>
        <v>26</v>
      </c>
      <c r="S12" s="272">
        <f>'General information '!C8</f>
        <v>22</v>
      </c>
      <c r="T12" s="272">
        <f t="shared" si="1"/>
        <v>5.6999999999999993</v>
      </c>
      <c r="U12" s="528">
        <v>3</v>
      </c>
      <c r="V12" s="272"/>
      <c r="W12" s="272"/>
      <c r="X12" s="272">
        <f t="shared" si="2"/>
        <v>-18.3</v>
      </c>
      <c r="Z12" t="s">
        <v>170</v>
      </c>
      <c r="AA12" s="272">
        <f>'[1]Degree Days 2020'!AA12</f>
        <v>-56.899999999999991</v>
      </c>
      <c r="AB12" s="272">
        <f>'[1]Degree Days 2020'!AB12</f>
        <v>11.499999999999996</v>
      </c>
    </row>
    <row r="13" spans="1:28">
      <c r="A13" s="117">
        <v>4</v>
      </c>
      <c r="B13" s="272">
        <f>'[1]Degree Days 2020'!B13</f>
        <v>22</v>
      </c>
      <c r="C13" s="272">
        <f>'[1]Degree Days 2020'!C13</f>
        <v>15</v>
      </c>
      <c r="D13" s="272">
        <f>'[1]Degree Days 2020'!D13</f>
        <v>0.19999999999999929</v>
      </c>
      <c r="E13" s="272">
        <f>'[1]Degree Days 2020'!E13</f>
        <v>4</v>
      </c>
      <c r="F13" s="272">
        <f>'[1]Degree Days 2020'!F13</f>
        <v>20</v>
      </c>
      <c r="G13" s="272">
        <f>'[1]Degree Days 2020'!G13</f>
        <v>15</v>
      </c>
      <c r="H13" s="272">
        <f>'[1]Degree Days 2020'!H13</f>
        <v>-0.80000000000000071</v>
      </c>
      <c r="I13" s="272">
        <f>'[1]Degree Days 2020'!I13</f>
        <v>4</v>
      </c>
      <c r="J13" s="272">
        <f>'[1]Degree Days 2020'!J13</f>
        <v>18</v>
      </c>
      <c r="K13" s="272">
        <f>'[1]Degree Days 2020'!K13</f>
        <v>13</v>
      </c>
      <c r="L13" s="272">
        <f>'[1]Degree Days 2020'!L13</f>
        <v>-2.8000000000000007</v>
      </c>
      <c r="M13" s="272">
        <f>'[12]Degree Days 2020'!M13</f>
        <v>4</v>
      </c>
      <c r="N13" s="272">
        <f>'[4]General information '!B9</f>
        <v>18</v>
      </c>
      <c r="O13" s="272">
        <f>'[4]General information '!C9</f>
        <v>15</v>
      </c>
      <c r="P13" s="272">
        <f t="shared" si="0"/>
        <v>-1.8000000000000007</v>
      </c>
      <c r="Q13" s="528">
        <v>4</v>
      </c>
      <c r="R13" s="272">
        <f>'General information '!B9</f>
        <v>26</v>
      </c>
      <c r="S13" s="272">
        <f>'General information '!C9</f>
        <v>19</v>
      </c>
      <c r="T13" s="272">
        <f t="shared" si="1"/>
        <v>4.1999999999999993</v>
      </c>
      <c r="U13" s="528">
        <v>4</v>
      </c>
      <c r="V13" s="272"/>
      <c r="W13" s="272"/>
      <c r="X13" s="272">
        <f t="shared" si="2"/>
        <v>-18.3</v>
      </c>
      <c r="Z13" t="s">
        <v>171</v>
      </c>
      <c r="AA13" s="272">
        <f>N43</f>
        <v>-30.300000000000008</v>
      </c>
      <c r="AB13" s="272">
        <f>O43</f>
        <v>55.300000000000026</v>
      </c>
    </row>
    <row r="14" spans="1:28">
      <c r="A14" s="117">
        <v>5</v>
      </c>
      <c r="B14" s="272">
        <f>'[1]Degree Days 2020'!B14</f>
        <v>22</v>
      </c>
      <c r="C14" s="272">
        <f>'[1]Degree Days 2020'!C14</f>
        <v>16</v>
      </c>
      <c r="D14" s="272">
        <f>'[1]Degree Days 2020'!D14</f>
        <v>0.69999999999999929</v>
      </c>
      <c r="E14" s="272">
        <f>'[1]Degree Days 2020'!E14</f>
        <v>5</v>
      </c>
      <c r="F14" s="272">
        <f>'[1]Degree Days 2020'!F14</f>
        <v>20</v>
      </c>
      <c r="G14" s="272">
        <f>'[1]Degree Days 2020'!G14</f>
        <v>15</v>
      </c>
      <c r="H14" s="272">
        <f>'[1]Degree Days 2020'!H14</f>
        <v>-0.80000000000000071</v>
      </c>
      <c r="I14" s="272">
        <f>'[1]Degree Days 2020'!I14</f>
        <v>5</v>
      </c>
      <c r="J14" s="272">
        <f>'[1]Degree Days 2020'!J14</f>
        <v>19</v>
      </c>
      <c r="K14" s="272">
        <f>'[1]Degree Days 2020'!K14</f>
        <v>12</v>
      </c>
      <c r="L14" s="272">
        <f>'[1]Degree Days 2020'!L14</f>
        <v>-2.8000000000000007</v>
      </c>
      <c r="M14" s="272">
        <f>'[12]Degree Days 2020'!M14</f>
        <v>5</v>
      </c>
      <c r="N14" s="272">
        <f>'[4]General information '!B10</f>
        <v>19</v>
      </c>
      <c r="O14" s="272">
        <f>'[4]General information '!C10</f>
        <v>15</v>
      </c>
      <c r="P14" s="272">
        <f t="shared" si="0"/>
        <v>-1.3000000000000007</v>
      </c>
      <c r="Q14" s="528">
        <v>5</v>
      </c>
      <c r="R14" s="272">
        <f>'General information '!B10</f>
        <v>24</v>
      </c>
      <c r="S14" s="272">
        <f>'General information '!C10</f>
        <v>22</v>
      </c>
      <c r="T14" s="272">
        <f t="shared" si="1"/>
        <v>4.6999999999999993</v>
      </c>
      <c r="U14" s="528">
        <v>5</v>
      </c>
      <c r="V14" s="272"/>
      <c r="W14" s="272"/>
      <c r="X14" s="272">
        <f t="shared" si="2"/>
        <v>-18.3</v>
      </c>
      <c r="Z14" t="s">
        <v>172</v>
      </c>
      <c r="AA14" s="272">
        <f>R43</f>
        <v>0</v>
      </c>
      <c r="AB14" s="272">
        <f>S43</f>
        <v>157.19999999999999</v>
      </c>
    </row>
    <row r="15" spans="1:28">
      <c r="A15" s="117">
        <v>6</v>
      </c>
      <c r="B15" s="272">
        <f>'[1]Degree Days 2020'!B15</f>
        <v>22</v>
      </c>
      <c r="C15" s="272">
        <f>'[1]Degree Days 2020'!C15</f>
        <v>15</v>
      </c>
      <c r="D15" s="272">
        <f>'[1]Degree Days 2020'!D15</f>
        <v>0.19999999999999929</v>
      </c>
      <c r="E15" s="272">
        <f>'[1]Degree Days 2020'!E15</f>
        <v>6</v>
      </c>
      <c r="F15" s="272">
        <f>'[1]Degree Days 2020'!F15</f>
        <v>19</v>
      </c>
      <c r="G15" s="272">
        <f>'[1]Degree Days 2020'!G15</f>
        <v>15</v>
      </c>
      <c r="H15" s="272">
        <f>'[1]Degree Days 2020'!H15</f>
        <v>-1.3000000000000007</v>
      </c>
      <c r="I15" s="272">
        <f>'[1]Degree Days 2020'!I15</f>
        <v>6</v>
      </c>
      <c r="J15" s="272">
        <f>'[1]Degree Days 2020'!J15</f>
        <v>18</v>
      </c>
      <c r="K15" s="272">
        <f>'[1]Degree Days 2020'!K15</f>
        <v>14</v>
      </c>
      <c r="L15" s="272">
        <f>'[1]Degree Days 2020'!L15</f>
        <v>-2.3000000000000007</v>
      </c>
      <c r="M15" s="272">
        <f>'[12]Degree Days 2020'!M15</f>
        <v>6</v>
      </c>
      <c r="N15" s="272">
        <f>'[4]General information '!B11</f>
        <v>30</v>
      </c>
      <c r="O15" s="272">
        <f>'[4]General information '!C11</f>
        <v>15</v>
      </c>
      <c r="P15" s="272">
        <f t="shared" si="0"/>
        <v>4.1999999999999993</v>
      </c>
      <c r="Q15" s="528">
        <v>6</v>
      </c>
      <c r="R15" s="272">
        <f>'General information '!B11</f>
        <v>24</v>
      </c>
      <c r="S15" s="272">
        <f>'General information '!C11</f>
        <v>20</v>
      </c>
      <c r="T15" s="272">
        <f t="shared" si="1"/>
        <v>3.6999999999999993</v>
      </c>
      <c r="U15" s="528">
        <v>6</v>
      </c>
      <c r="V15" s="272"/>
      <c r="W15" s="272"/>
      <c r="X15" s="272">
        <f t="shared" si="2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'[1]Degree Days 2020'!B16</f>
        <v>20</v>
      </c>
      <c r="C16" s="272">
        <f>'[1]Degree Days 2020'!C16</f>
        <v>14</v>
      </c>
      <c r="D16" s="272">
        <f>'[1]Degree Days 2020'!D16</f>
        <v>-1.3000000000000007</v>
      </c>
      <c r="E16" s="272">
        <f>'[1]Degree Days 2020'!E16</f>
        <v>7</v>
      </c>
      <c r="F16" s="272">
        <f>'[1]Degree Days 2020'!F16</f>
        <v>21</v>
      </c>
      <c r="G16" s="272">
        <f>'[1]Degree Days 2020'!G16</f>
        <v>17</v>
      </c>
      <c r="H16" s="272">
        <f>'[1]Degree Days 2020'!H16</f>
        <v>0.69999999999999929</v>
      </c>
      <c r="I16" s="272">
        <f>'[1]Degree Days 2020'!I16</f>
        <v>7</v>
      </c>
      <c r="J16" s="272">
        <f>'[1]Degree Days 2020'!J16</f>
        <v>19</v>
      </c>
      <c r="K16" s="272">
        <f>'[1]Degree Days 2020'!K16</f>
        <v>14</v>
      </c>
      <c r="L16" s="272">
        <f>'[1]Degree Days 2020'!L16</f>
        <v>-1.8000000000000007</v>
      </c>
      <c r="M16" s="272">
        <f>'[12]Degree Days 2020'!M16</f>
        <v>7</v>
      </c>
      <c r="N16" s="272">
        <f>'[4]General information '!B12</f>
        <v>24</v>
      </c>
      <c r="O16" s="272">
        <f>'[4]General information '!C12</f>
        <v>19</v>
      </c>
      <c r="P16" s="272">
        <f t="shared" si="0"/>
        <v>3.1999999999999993</v>
      </c>
      <c r="Q16" s="528">
        <v>7</v>
      </c>
      <c r="R16" s="272">
        <f>'General information '!B12</f>
        <v>25</v>
      </c>
      <c r="S16" s="272">
        <f>'General information '!C12</f>
        <v>21</v>
      </c>
      <c r="T16" s="272">
        <f t="shared" si="1"/>
        <v>4.6999999999999993</v>
      </c>
      <c r="U16" s="528">
        <v>7</v>
      </c>
      <c r="V16" s="272"/>
      <c r="W16" s="272"/>
      <c r="X16" s="272">
        <f t="shared" si="2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'[1]Degree Days 2020'!B17</f>
        <v>21</v>
      </c>
      <c r="C17" s="272">
        <f>'[1]Degree Days 2020'!C17</f>
        <v>14</v>
      </c>
      <c r="D17" s="272">
        <f>'[1]Degree Days 2020'!D17</f>
        <v>-0.80000000000000071</v>
      </c>
      <c r="E17" s="272">
        <f>'[1]Degree Days 2020'!E17</f>
        <v>8</v>
      </c>
      <c r="F17" s="272">
        <f>'[1]Degree Days 2020'!F17</f>
        <v>23</v>
      </c>
      <c r="G17" s="272">
        <f>'[1]Degree Days 2020'!G17</f>
        <v>19</v>
      </c>
      <c r="H17" s="272">
        <f>'[1]Degree Days 2020'!H17</f>
        <v>2.6999999999999993</v>
      </c>
      <c r="I17" s="272">
        <f>'[1]Degree Days 2020'!I17</f>
        <v>8</v>
      </c>
      <c r="J17" s="272">
        <f>'[1]Degree Days 2020'!J17</f>
        <v>20</v>
      </c>
      <c r="K17" s="272">
        <f>'[1]Degree Days 2020'!K17</f>
        <v>16</v>
      </c>
      <c r="L17" s="272">
        <f>'[1]Degree Days 2020'!L17</f>
        <v>-0.30000000000000071</v>
      </c>
      <c r="M17" s="272">
        <f>'[12]Degree Days 2020'!M17</f>
        <v>8</v>
      </c>
      <c r="N17" s="272">
        <f>'[4]General information '!B13</f>
        <v>20</v>
      </c>
      <c r="O17" s="272">
        <f>'[4]General information '!C13</f>
        <v>17</v>
      </c>
      <c r="P17" s="272">
        <f t="shared" si="0"/>
        <v>0.19999999999999929</v>
      </c>
      <c r="Q17" s="528">
        <v>8</v>
      </c>
      <c r="R17" s="272">
        <f>'General information '!B13</f>
        <v>29</v>
      </c>
      <c r="S17" s="272">
        <f>'General information '!C13</f>
        <v>20</v>
      </c>
      <c r="T17" s="272">
        <f t="shared" si="1"/>
        <v>6.1999999999999993</v>
      </c>
      <c r="U17" s="528">
        <v>8</v>
      </c>
      <c r="V17" s="272"/>
      <c r="W17" s="272"/>
      <c r="X17" s="272">
        <f t="shared" si="2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'[1]Degree Days 2020'!B18</f>
        <v>22</v>
      </c>
      <c r="C18" s="272">
        <f>'[1]Degree Days 2020'!C18</f>
        <v>15</v>
      </c>
      <c r="D18" s="272">
        <f>'[1]Degree Days 2020'!D18</f>
        <v>0.19999999999999929</v>
      </c>
      <c r="E18" s="272">
        <f>'[1]Degree Days 2020'!E18</f>
        <v>9</v>
      </c>
      <c r="F18" s="272">
        <f>'[1]Degree Days 2020'!F18</f>
        <v>21</v>
      </c>
      <c r="G18" s="272">
        <f>'[1]Degree Days 2020'!G18</f>
        <v>18</v>
      </c>
      <c r="H18" s="272">
        <f>'[1]Degree Days 2020'!H18</f>
        <v>1.1999999999999993</v>
      </c>
      <c r="I18" s="272">
        <f>'[1]Degree Days 2020'!I18</f>
        <v>9</v>
      </c>
      <c r="J18" s="272">
        <f>'[1]Degree Days 2020'!J18</f>
        <v>23</v>
      </c>
      <c r="K18" s="272">
        <f>'[1]Degree Days 2020'!K18</f>
        <v>17</v>
      </c>
      <c r="L18" s="272">
        <f>'[1]Degree Days 2020'!L18</f>
        <v>1.6999999999999993</v>
      </c>
      <c r="M18" s="272">
        <f>'[12]Degree Days 2020'!M18</f>
        <v>9</v>
      </c>
      <c r="N18" s="272">
        <f>'[4]General information '!B14</f>
        <v>20</v>
      </c>
      <c r="O18" s="272">
        <f>'[4]General information '!C14</f>
        <v>16</v>
      </c>
      <c r="P18" s="272">
        <f t="shared" si="0"/>
        <v>-0.30000000000000071</v>
      </c>
      <c r="Q18" s="528">
        <v>9</v>
      </c>
      <c r="R18" s="272">
        <f>'General information '!B14</f>
        <v>28</v>
      </c>
      <c r="S18" s="272">
        <f>'General information '!C14</f>
        <v>21</v>
      </c>
      <c r="T18" s="272">
        <f t="shared" si="1"/>
        <v>6.1999999999999993</v>
      </c>
      <c r="U18" s="528">
        <v>9</v>
      </c>
      <c r="V18" s="272"/>
      <c r="W18" s="272"/>
      <c r="X18" s="272">
        <f t="shared" si="2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'[1]Degree Days 2020'!B19</f>
        <v>22</v>
      </c>
      <c r="C19" s="272">
        <f>'[1]Degree Days 2020'!C19</f>
        <v>15</v>
      </c>
      <c r="D19" s="272">
        <f>'[1]Degree Days 2020'!D19</f>
        <v>0.19999999999999929</v>
      </c>
      <c r="E19" s="272">
        <f>'[1]Degree Days 2020'!E19</f>
        <v>10</v>
      </c>
      <c r="F19" s="272">
        <f>'[1]Degree Days 2020'!F19</f>
        <v>19</v>
      </c>
      <c r="G19" s="272">
        <f>'[1]Degree Days 2020'!G19</f>
        <v>14</v>
      </c>
      <c r="H19" s="272">
        <f>'[1]Degree Days 2020'!H19</f>
        <v>-1.8000000000000007</v>
      </c>
      <c r="I19" s="272">
        <f>'[1]Degree Days 2020'!I19</f>
        <v>10</v>
      </c>
      <c r="J19" s="272">
        <f>'[1]Degree Days 2020'!J19</f>
        <v>19</v>
      </c>
      <c r="K19" s="272">
        <f>'[1]Degree Days 2020'!K19</f>
        <v>13</v>
      </c>
      <c r="L19" s="272">
        <f>'[1]Degree Days 2020'!L19</f>
        <v>-2.3000000000000007</v>
      </c>
      <c r="M19" s="272">
        <f>'[12]Degree Days 2020'!M19</f>
        <v>10</v>
      </c>
      <c r="N19" s="272">
        <f>'[4]General information '!B15</f>
        <v>16</v>
      </c>
      <c r="O19" s="272">
        <f>'[4]General information '!C15</f>
        <v>14</v>
      </c>
      <c r="P19" s="272">
        <f t="shared" si="0"/>
        <v>-3.3000000000000007</v>
      </c>
      <c r="Q19" s="528">
        <v>10</v>
      </c>
      <c r="R19" s="272">
        <f>'General information '!B15</f>
        <v>24</v>
      </c>
      <c r="S19" s="272">
        <f>'General information '!C15</f>
        <v>20</v>
      </c>
      <c r="T19" s="272">
        <f t="shared" si="1"/>
        <v>3.6999999999999993</v>
      </c>
      <c r="U19" s="528">
        <v>10</v>
      </c>
      <c r="V19" s="272"/>
      <c r="W19" s="272"/>
      <c r="X19" s="272">
        <f t="shared" si="2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'[1]Degree Days 2020'!B20</f>
        <v>22</v>
      </c>
      <c r="C20" s="272">
        <f>'[1]Degree Days 2020'!C20</f>
        <v>16</v>
      </c>
      <c r="D20" s="272">
        <f>'[1]Degree Days 2020'!D20</f>
        <v>0.69999999999999929</v>
      </c>
      <c r="E20" s="272">
        <f>'[1]Degree Days 2020'!E20</f>
        <v>11</v>
      </c>
      <c r="F20" s="272">
        <f>'[1]Degree Days 2020'!F20</f>
        <v>18</v>
      </c>
      <c r="G20" s="272">
        <f>'[1]Degree Days 2020'!G20</f>
        <v>13</v>
      </c>
      <c r="H20" s="272">
        <f>'[1]Degree Days 2020'!H20</f>
        <v>-2.8000000000000007</v>
      </c>
      <c r="I20" s="272">
        <f>'[1]Degree Days 2020'!I20</f>
        <v>11</v>
      </c>
      <c r="J20" s="272">
        <f>'[1]Degree Days 2020'!J20</f>
        <v>17</v>
      </c>
      <c r="K20" s="272">
        <f>'[1]Degree Days 2020'!K20</f>
        <v>12</v>
      </c>
      <c r="L20" s="272">
        <f>'[1]Degree Days 2020'!L20</f>
        <v>-3.8000000000000007</v>
      </c>
      <c r="M20" s="272">
        <f>'[12]Degree Days 2020'!M20</f>
        <v>11</v>
      </c>
      <c r="N20" s="272">
        <f>'[4]General information '!B16</f>
        <v>17</v>
      </c>
      <c r="O20" s="272">
        <f>'[4]General information '!C16</f>
        <v>12</v>
      </c>
      <c r="P20" s="272">
        <f t="shared" si="0"/>
        <v>-3.8000000000000007</v>
      </c>
      <c r="Q20" s="528">
        <v>11</v>
      </c>
      <c r="R20" s="272">
        <f>'General information '!B16</f>
        <v>24</v>
      </c>
      <c r="S20" s="272">
        <f>'General information '!C16</f>
        <v>18</v>
      </c>
      <c r="T20" s="272">
        <f t="shared" si="1"/>
        <v>2.6999999999999993</v>
      </c>
      <c r="U20" s="528">
        <v>11</v>
      </c>
      <c r="V20" s="272"/>
      <c r="W20" s="272"/>
      <c r="X20" s="272">
        <f t="shared" si="2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'[1]Degree Days 2020'!B21</f>
        <v>24</v>
      </c>
      <c r="C21" s="272">
        <f>'[1]Degree Days 2020'!C21</f>
        <v>13</v>
      </c>
      <c r="D21" s="272">
        <f>'[1]Degree Days 2020'!D21</f>
        <v>0.19999999999999929</v>
      </c>
      <c r="E21" s="272">
        <f>'[1]Degree Days 2020'!E21</f>
        <v>12</v>
      </c>
      <c r="F21" s="272">
        <f>'[1]Degree Days 2020'!F21</f>
        <v>18</v>
      </c>
      <c r="G21" s="272">
        <f>'[1]Degree Days 2020'!G21</f>
        <v>13</v>
      </c>
      <c r="H21" s="272">
        <f>'[1]Degree Days 2020'!H21</f>
        <v>-2.8000000000000007</v>
      </c>
      <c r="I21" s="272">
        <f>'[1]Degree Days 2020'!I21</f>
        <v>12</v>
      </c>
      <c r="J21" s="272">
        <f>'[1]Degree Days 2020'!J21</f>
        <v>18</v>
      </c>
      <c r="K21" s="272">
        <f>'[1]Degree Days 2020'!K21</f>
        <v>13</v>
      </c>
      <c r="L21" s="272">
        <f>'[1]Degree Days 2020'!L21</f>
        <v>-2.8000000000000007</v>
      </c>
      <c r="M21" s="272">
        <f>'[12]Degree Days 2020'!M21</f>
        <v>12</v>
      </c>
      <c r="N21" s="272">
        <f>'[4]General information '!B17</f>
        <v>16</v>
      </c>
      <c r="O21" s="272">
        <f>'[4]General information '!C17</f>
        <v>13</v>
      </c>
      <c r="P21" s="272">
        <f t="shared" si="0"/>
        <v>-3.8000000000000007</v>
      </c>
      <c r="Q21" s="528">
        <v>12</v>
      </c>
      <c r="R21" s="272">
        <f>'General information '!B17</f>
        <v>25</v>
      </c>
      <c r="S21" s="272">
        <f>'General information '!C17</f>
        <v>19</v>
      </c>
      <c r="T21" s="272">
        <f t="shared" si="1"/>
        <v>3.6999999999999993</v>
      </c>
      <c r="U21" s="528">
        <v>12</v>
      </c>
      <c r="V21" s="272"/>
      <c r="W21" s="272"/>
      <c r="X21" s="272">
        <f t="shared" si="2"/>
        <v>-18.3</v>
      </c>
      <c r="Z21" t="s">
        <v>181</v>
      </c>
      <c r="AA21" s="134">
        <f t="shared" ref="AA21" si="3">SUM(B54)</f>
        <v>0</v>
      </c>
      <c r="AB21" s="134">
        <f t="shared" ref="AB21" si="4">SUM(C54)</f>
        <v>0</v>
      </c>
    </row>
    <row r="22" spans="1:28">
      <c r="A22" s="117">
        <v>13</v>
      </c>
      <c r="B22" s="272">
        <f>'[1]Degree Days 2020'!B22</f>
        <v>18</v>
      </c>
      <c r="C22" s="272">
        <f>'[1]Degree Days 2020'!C22</f>
        <v>12</v>
      </c>
      <c r="D22" s="272">
        <f>'[1]Degree Days 2020'!D22</f>
        <v>-3.3000000000000007</v>
      </c>
      <c r="E22" s="272">
        <f>'[1]Degree Days 2020'!E22</f>
        <v>13</v>
      </c>
      <c r="F22" s="272">
        <f>'[1]Degree Days 2020'!F22</f>
        <v>19</v>
      </c>
      <c r="G22" s="272">
        <f>'[1]Degree Days 2020'!G22</f>
        <v>14</v>
      </c>
      <c r="H22" s="272">
        <f>'[1]Degree Days 2020'!H22</f>
        <v>-1.8000000000000007</v>
      </c>
      <c r="I22" s="272">
        <f>'[1]Degree Days 2020'!I22</f>
        <v>13</v>
      </c>
      <c r="J22" s="272">
        <f>'[1]Degree Days 2020'!J22</f>
        <v>18</v>
      </c>
      <c r="K22" s="272">
        <f>'[1]Degree Days 2020'!K22</f>
        <v>16</v>
      </c>
      <c r="L22" s="272">
        <f>'[1]Degree Days 2020'!L22</f>
        <v>-1.3000000000000007</v>
      </c>
      <c r="M22" s="272">
        <f>'[12]Degree Days 2020'!M22</f>
        <v>13</v>
      </c>
      <c r="N22" s="272">
        <f>'[4]General information '!B18</f>
        <v>18</v>
      </c>
      <c r="O22" s="272">
        <f>'[4]General information '!C18</f>
        <v>11</v>
      </c>
      <c r="P22" s="272">
        <f t="shared" si="0"/>
        <v>-3.8000000000000007</v>
      </c>
      <c r="Q22" s="528">
        <v>13</v>
      </c>
      <c r="R22" s="272">
        <f>'General information '!B18</f>
        <v>24</v>
      </c>
      <c r="S22" s="272">
        <f>'General information '!C18</f>
        <v>18</v>
      </c>
      <c r="T22" s="272">
        <f t="shared" si="1"/>
        <v>2.6999999999999993</v>
      </c>
      <c r="U22" s="528">
        <v>13</v>
      </c>
      <c r="V22" s="272"/>
      <c r="W22" s="272"/>
      <c r="X22" s="272">
        <f t="shared" si="2"/>
        <v>-18.3</v>
      </c>
    </row>
    <row r="23" spans="1:28">
      <c r="A23" s="117">
        <v>14</v>
      </c>
      <c r="B23" s="272">
        <f>'[1]Degree Days 2020'!B23</f>
        <v>17</v>
      </c>
      <c r="C23" s="272">
        <f>'[1]Degree Days 2020'!C23</f>
        <v>12</v>
      </c>
      <c r="D23" s="272">
        <f>'[1]Degree Days 2020'!D23</f>
        <v>-3.8000000000000007</v>
      </c>
      <c r="E23" s="272">
        <f>'[1]Degree Days 2020'!E23</f>
        <v>14</v>
      </c>
      <c r="F23" s="272">
        <f>'[1]Degree Days 2020'!F23</f>
        <v>18</v>
      </c>
      <c r="G23" s="272">
        <f>'[1]Degree Days 2020'!G23</f>
        <v>13</v>
      </c>
      <c r="H23" s="272">
        <f>'[1]Degree Days 2020'!H23</f>
        <v>-2.8000000000000007</v>
      </c>
      <c r="I23" s="272">
        <f>'[1]Degree Days 2020'!I23</f>
        <v>14</v>
      </c>
      <c r="J23" s="272">
        <f>'[1]Degree Days 2020'!J23</f>
        <v>19</v>
      </c>
      <c r="K23" s="272">
        <f>'[1]Degree Days 2020'!K23</f>
        <v>15</v>
      </c>
      <c r="L23" s="272">
        <f>'[1]Degree Days 2020'!L23</f>
        <v>-1.3000000000000007</v>
      </c>
      <c r="M23" s="272">
        <f>'[12]Degree Days 2020'!M23</f>
        <v>14</v>
      </c>
      <c r="N23" s="272">
        <f>'[4]General information '!B19</f>
        <v>20</v>
      </c>
      <c r="O23" s="272">
        <f>'[4]General information '!C19</f>
        <v>12</v>
      </c>
      <c r="P23" s="272">
        <f t="shared" si="0"/>
        <v>-2.3000000000000007</v>
      </c>
      <c r="Q23" s="528">
        <v>14</v>
      </c>
      <c r="R23" s="272">
        <f>'General information '!B19</f>
        <v>24</v>
      </c>
      <c r="S23" s="272">
        <f>'General information '!C19</f>
        <v>21</v>
      </c>
      <c r="T23" s="272">
        <f t="shared" si="1"/>
        <v>4.1999999999999993</v>
      </c>
      <c r="U23" s="528">
        <v>14</v>
      </c>
      <c r="V23" s="272"/>
      <c r="W23" s="272"/>
      <c r="X23" s="272">
        <f t="shared" si="2"/>
        <v>-18.3</v>
      </c>
      <c r="AA23" s="134">
        <f>SUM(AA10:AA22)</f>
        <v>-255.69999999999993</v>
      </c>
      <c r="AB23" s="134">
        <f>SUM(AB10:AB22)</f>
        <v>233.3</v>
      </c>
    </row>
    <row r="24" spans="1:28">
      <c r="A24" s="117">
        <v>15</v>
      </c>
      <c r="B24" s="272">
        <f>'[1]Degree Days 2020'!B24</f>
        <v>19</v>
      </c>
      <c r="C24" s="272">
        <f>'[1]Degree Days 2020'!C24</f>
        <v>13</v>
      </c>
      <c r="D24" s="272">
        <f>'[1]Degree Days 2020'!D24</f>
        <v>-2.3000000000000007</v>
      </c>
      <c r="E24" s="272">
        <f>'[1]Degree Days 2020'!E24</f>
        <v>15</v>
      </c>
      <c r="F24" s="272">
        <f>'[1]Degree Days 2020'!F24</f>
        <v>18</v>
      </c>
      <c r="G24" s="272">
        <f>'[1]Degree Days 2020'!G24</f>
        <v>12</v>
      </c>
      <c r="H24" s="272">
        <f>'[1]Degree Days 2020'!H24</f>
        <v>-3.3000000000000007</v>
      </c>
      <c r="I24" s="272">
        <f>'[1]Degree Days 2020'!I24</f>
        <v>15</v>
      </c>
      <c r="J24" s="272">
        <f>'[1]Degree Days 2020'!J24</f>
        <v>19</v>
      </c>
      <c r="K24" s="272">
        <f>'[1]Degree Days 2020'!K24</f>
        <v>15</v>
      </c>
      <c r="L24" s="272">
        <f>'[1]Degree Days 2020'!L24</f>
        <v>-1.3000000000000007</v>
      </c>
      <c r="M24" s="272">
        <f>'[12]Degree Days 2020'!M24</f>
        <v>15</v>
      </c>
      <c r="N24" s="272">
        <f>'[4]General information '!B20</f>
        <v>24</v>
      </c>
      <c r="O24" s="272">
        <f>'[4]General information '!C20</f>
        <v>14</v>
      </c>
      <c r="P24" s="272">
        <f t="shared" si="0"/>
        <v>0.69999999999999929</v>
      </c>
      <c r="Q24" s="528">
        <v>15</v>
      </c>
      <c r="R24" s="272">
        <f>'General information '!B20</f>
        <v>25</v>
      </c>
      <c r="S24" s="272">
        <f>'General information '!C20</f>
        <v>22</v>
      </c>
      <c r="T24" s="272">
        <f t="shared" si="1"/>
        <v>5.1999999999999993</v>
      </c>
      <c r="U24" s="528">
        <v>15</v>
      </c>
      <c r="V24" s="272"/>
      <c r="W24" s="272"/>
      <c r="X24" s="272">
        <f t="shared" si="2"/>
        <v>-18.3</v>
      </c>
    </row>
    <row r="25" spans="1:28">
      <c r="A25" s="117">
        <v>16</v>
      </c>
      <c r="B25" s="272">
        <f>'[1]Degree Days 2020'!B25</f>
        <v>15</v>
      </c>
      <c r="C25" s="272">
        <f>'[1]Degree Days 2020'!C25</f>
        <v>9</v>
      </c>
      <c r="D25" s="272">
        <f>'[1]Degree Days 2020'!D25</f>
        <v>-6.3000000000000007</v>
      </c>
      <c r="E25" s="272">
        <f>'[1]Degree Days 2020'!E25</f>
        <v>16</v>
      </c>
      <c r="F25" s="272">
        <f>'[1]Degree Days 2020'!F25</f>
        <v>11</v>
      </c>
      <c r="G25" s="272">
        <f>'[1]Degree Days 2020'!G25</f>
        <v>7</v>
      </c>
      <c r="H25" s="272">
        <f>'[1]Degree Days 2020'!H25</f>
        <v>-9.3000000000000007</v>
      </c>
      <c r="I25" s="272">
        <f>'[1]Degree Days 2020'!I25</f>
        <v>16</v>
      </c>
      <c r="J25" s="272">
        <f>'[1]Degree Days 2020'!J25</f>
        <v>19</v>
      </c>
      <c r="K25" s="272">
        <f>'[1]Degree Days 2020'!K25</f>
        <v>14</v>
      </c>
      <c r="L25" s="272">
        <f>'[1]Degree Days 2020'!L25</f>
        <v>-1.8000000000000007</v>
      </c>
      <c r="M25" s="272">
        <f>'[12]Degree Days 2020'!M25</f>
        <v>16</v>
      </c>
      <c r="N25" s="272">
        <f>'[4]General information '!B21</f>
        <v>26</v>
      </c>
      <c r="O25" s="272">
        <f>'[4]General information '!C21</f>
        <v>17</v>
      </c>
      <c r="P25" s="272">
        <f t="shared" si="0"/>
        <v>3.1999999999999993</v>
      </c>
      <c r="Q25" s="528">
        <v>16</v>
      </c>
      <c r="R25" s="272">
        <f>'General information '!B21</f>
        <v>24</v>
      </c>
      <c r="S25" s="272">
        <f>'General information '!C21</f>
        <v>19</v>
      </c>
      <c r="T25" s="272">
        <f t="shared" si="1"/>
        <v>3.1999999999999993</v>
      </c>
      <c r="U25" s="528">
        <v>16</v>
      </c>
      <c r="V25" s="272"/>
      <c r="W25" s="272"/>
      <c r="X25" s="272">
        <f t="shared" si="2"/>
        <v>-18.3</v>
      </c>
    </row>
    <row r="26" spans="1:28">
      <c r="A26" s="117">
        <v>17</v>
      </c>
      <c r="B26" s="272">
        <f>'[1]Degree Days 2020'!B26</f>
        <v>15</v>
      </c>
      <c r="C26" s="272">
        <f>'[1]Degree Days 2020'!C26</f>
        <v>12</v>
      </c>
      <c r="D26" s="272">
        <f>'[1]Degree Days 2020'!D26</f>
        <v>-4.8000000000000007</v>
      </c>
      <c r="E26" s="272">
        <f>'[1]Degree Days 2020'!E26</f>
        <v>17</v>
      </c>
      <c r="F26" s="272">
        <f>'[1]Degree Days 2020'!F26</f>
        <v>13</v>
      </c>
      <c r="G26" s="272">
        <f>'[1]Degree Days 2020'!G26</f>
        <v>7</v>
      </c>
      <c r="H26" s="272">
        <f>'[1]Degree Days 2020'!H26</f>
        <v>-8.3000000000000007</v>
      </c>
      <c r="I26" s="272">
        <f>'[1]Degree Days 2020'!I26</f>
        <v>17</v>
      </c>
      <c r="J26" s="272">
        <f>'[1]Degree Days 2020'!J26</f>
        <v>20</v>
      </c>
      <c r="K26" s="272">
        <f>'[1]Degree Days 2020'!K26</f>
        <v>15</v>
      </c>
      <c r="L26" s="272">
        <f>'[1]Degree Days 2020'!L26</f>
        <v>-0.80000000000000071</v>
      </c>
      <c r="M26" s="272">
        <f>'[12]Degree Days 2020'!M26</f>
        <v>17</v>
      </c>
      <c r="N26" s="272">
        <f>'[4]General information '!B22</f>
        <v>27</v>
      </c>
      <c r="O26" s="272">
        <f>'[4]General information '!C22</f>
        <v>17</v>
      </c>
      <c r="P26" s="272">
        <f t="shared" si="0"/>
        <v>3.6999999999999993</v>
      </c>
      <c r="Q26" s="528">
        <v>17</v>
      </c>
      <c r="R26" s="272">
        <f>'General information '!B22</f>
        <v>25</v>
      </c>
      <c r="S26" s="272">
        <f>'General information '!C22</f>
        <v>20</v>
      </c>
      <c r="T26" s="272">
        <f t="shared" si="1"/>
        <v>4.1999999999999993</v>
      </c>
      <c r="U26" s="528">
        <v>17</v>
      </c>
      <c r="V26" s="272"/>
      <c r="W26" s="272"/>
      <c r="X26" s="272">
        <f t="shared" si="2"/>
        <v>-18.3</v>
      </c>
    </row>
    <row r="27" spans="1:28">
      <c r="A27" s="117">
        <v>18</v>
      </c>
      <c r="B27" s="272">
        <f>'[1]Degree Days 2020'!B27</f>
        <v>14</v>
      </c>
      <c r="C27" s="272">
        <f>'[1]Degree Days 2020'!C27</f>
        <v>8</v>
      </c>
      <c r="D27" s="272">
        <f>'[1]Degree Days 2020'!D27</f>
        <v>-7.3000000000000007</v>
      </c>
      <c r="E27" s="272">
        <f>'[1]Degree Days 2020'!E27</f>
        <v>18</v>
      </c>
      <c r="F27" s="272">
        <f>'[1]Degree Days 2020'!F27</f>
        <v>13</v>
      </c>
      <c r="G27" s="272">
        <f>'[1]Degree Days 2020'!G27</f>
        <v>7</v>
      </c>
      <c r="H27" s="272">
        <f>'[1]Degree Days 2020'!H27</f>
        <v>-8.3000000000000007</v>
      </c>
      <c r="I27" s="272">
        <f>'[1]Degree Days 2020'!I27</f>
        <v>18</v>
      </c>
      <c r="J27" s="272">
        <f>'[1]Degree Days 2020'!J27</f>
        <v>20</v>
      </c>
      <c r="K27" s="272">
        <f>'[1]Degree Days 2020'!K27</f>
        <v>15</v>
      </c>
      <c r="L27" s="272">
        <f>'[1]Degree Days 2020'!L27</f>
        <v>-0.80000000000000071</v>
      </c>
      <c r="M27" s="272">
        <f>'[12]Degree Days 2020'!M27</f>
        <v>18</v>
      </c>
      <c r="N27" s="272">
        <f>'[4]General information '!B23</f>
        <v>32</v>
      </c>
      <c r="O27" s="272">
        <f>'[4]General information '!C23</f>
        <v>19</v>
      </c>
      <c r="P27" s="272">
        <f t="shared" si="0"/>
        <v>7.1999999999999993</v>
      </c>
      <c r="Q27" s="528">
        <v>18</v>
      </c>
      <c r="R27" s="272">
        <f>'General information '!B23</f>
        <v>32</v>
      </c>
      <c r="S27" s="272">
        <f>'General information '!C23</f>
        <v>14</v>
      </c>
      <c r="T27" s="272">
        <f t="shared" si="1"/>
        <v>4.6999999999999993</v>
      </c>
      <c r="U27" s="528">
        <v>18</v>
      </c>
      <c r="V27" s="272"/>
      <c r="W27" s="272"/>
      <c r="X27" s="272">
        <f t="shared" si="2"/>
        <v>-18.3</v>
      </c>
    </row>
    <row r="28" spans="1:28">
      <c r="A28" s="117">
        <v>19</v>
      </c>
      <c r="B28" s="272">
        <f>'[1]Degree Days 2020'!B28</f>
        <v>17</v>
      </c>
      <c r="C28" s="272">
        <f>'[1]Degree Days 2020'!C28</f>
        <v>10</v>
      </c>
      <c r="D28" s="272">
        <f>'[1]Degree Days 2020'!D28</f>
        <v>-4.8000000000000007</v>
      </c>
      <c r="E28" s="272">
        <f>'[1]Degree Days 2020'!E28</f>
        <v>19</v>
      </c>
      <c r="F28" s="272">
        <f>'[1]Degree Days 2020'!F28</f>
        <v>14</v>
      </c>
      <c r="G28" s="272">
        <f>'[1]Degree Days 2020'!G28</f>
        <v>7</v>
      </c>
      <c r="H28" s="272">
        <f>'[1]Degree Days 2020'!H28</f>
        <v>-7.8000000000000007</v>
      </c>
      <c r="I28" s="272">
        <f>'[1]Degree Days 2020'!I28</f>
        <v>19</v>
      </c>
      <c r="J28" s="272">
        <f>'[1]Degree Days 2020'!J28</f>
        <v>19</v>
      </c>
      <c r="K28" s="272">
        <f>'[1]Degree Days 2020'!K28</f>
        <v>17</v>
      </c>
      <c r="L28" s="272">
        <f>'[1]Degree Days 2020'!L28</f>
        <v>-0.30000000000000071</v>
      </c>
      <c r="M28" s="272">
        <f>'[12]Degree Days 2020'!M28</f>
        <v>19</v>
      </c>
      <c r="N28" s="272">
        <f>'[4]General information '!B24</f>
        <v>33</v>
      </c>
      <c r="O28" s="272">
        <f>'[4]General information '!C24</f>
        <v>24</v>
      </c>
      <c r="P28" s="272">
        <f t="shared" si="0"/>
        <v>10.199999999999999</v>
      </c>
      <c r="Q28" s="528">
        <v>19</v>
      </c>
      <c r="R28" s="272">
        <f>'General information '!B24</f>
        <v>26</v>
      </c>
      <c r="S28" s="272">
        <f>'General information '!C24</f>
        <v>20</v>
      </c>
      <c r="T28" s="272">
        <f t="shared" si="1"/>
        <v>4.6999999999999993</v>
      </c>
      <c r="U28" s="528">
        <v>19</v>
      </c>
      <c r="V28" s="272"/>
      <c r="W28" s="272"/>
      <c r="X28" s="272">
        <f t="shared" si="2"/>
        <v>-18.3</v>
      </c>
    </row>
    <row r="29" spans="1:28">
      <c r="A29" s="117">
        <v>20</v>
      </c>
      <c r="B29" s="272">
        <f>'[1]Degree Days 2020'!B29</f>
        <v>17</v>
      </c>
      <c r="C29" s="272">
        <f>'[1]Degree Days 2020'!C29</f>
        <v>10</v>
      </c>
      <c r="D29" s="272">
        <f>'[1]Degree Days 2020'!D29</f>
        <v>-4.8000000000000007</v>
      </c>
      <c r="E29" s="272">
        <f>'[1]Degree Days 2020'!E29</f>
        <v>20</v>
      </c>
      <c r="F29" s="272">
        <f>'[1]Degree Days 2020'!F29</f>
        <v>19</v>
      </c>
      <c r="G29" s="272">
        <f>'[1]Degree Days 2020'!G29</f>
        <v>14</v>
      </c>
      <c r="H29" s="272">
        <f>'[1]Degree Days 2020'!H29</f>
        <v>-1.8000000000000007</v>
      </c>
      <c r="I29" s="272">
        <f>'[1]Degree Days 2020'!I29</f>
        <v>20</v>
      </c>
      <c r="J29" s="272">
        <f>'[1]Degree Days 2020'!J29</f>
        <v>21</v>
      </c>
      <c r="K29" s="272">
        <f>'[1]Degree Days 2020'!K29</f>
        <v>18</v>
      </c>
      <c r="L29" s="272">
        <f>'[1]Degree Days 2020'!L29</f>
        <v>1.1999999999999993</v>
      </c>
      <c r="M29" s="272">
        <f>'[12]Degree Days 2020'!M29</f>
        <v>20</v>
      </c>
      <c r="N29" s="272">
        <f>'[4]General information '!B25</f>
        <v>22</v>
      </c>
      <c r="O29" s="272">
        <f>'[4]General information '!C25</f>
        <v>15</v>
      </c>
      <c r="P29" s="272">
        <f t="shared" si="0"/>
        <v>0.19999999999999929</v>
      </c>
      <c r="Q29" s="528">
        <v>20</v>
      </c>
      <c r="R29" s="272">
        <f>'General information '!B25</f>
        <v>26</v>
      </c>
      <c r="S29" s="272">
        <f>'General information '!C25</f>
        <v>21</v>
      </c>
      <c r="T29" s="272">
        <f t="shared" si="1"/>
        <v>5.1999999999999993</v>
      </c>
      <c r="U29" s="528">
        <v>20</v>
      </c>
      <c r="V29" s="272"/>
      <c r="W29" s="272"/>
      <c r="X29" s="272">
        <f t="shared" si="2"/>
        <v>-18.3</v>
      </c>
    </row>
    <row r="30" spans="1:28">
      <c r="A30" s="117">
        <v>21</v>
      </c>
      <c r="B30" s="272">
        <f>'[1]Degree Days 2020'!B30</f>
        <v>16</v>
      </c>
      <c r="C30" s="272">
        <f>'[1]Degree Days 2020'!C30</f>
        <v>9</v>
      </c>
      <c r="D30" s="272">
        <f>'[1]Degree Days 2020'!D30</f>
        <v>-5.8000000000000007</v>
      </c>
      <c r="E30" s="272">
        <f>'[1]Degree Days 2020'!E30</f>
        <v>21</v>
      </c>
      <c r="F30" s="272">
        <f>'[1]Degree Days 2020'!F30</f>
        <v>18</v>
      </c>
      <c r="G30" s="272">
        <f>'[1]Degree Days 2020'!G30</f>
        <v>13</v>
      </c>
      <c r="H30" s="272">
        <f>'[1]Degree Days 2020'!H30</f>
        <v>-2.8000000000000007</v>
      </c>
      <c r="I30" s="272">
        <f>'[1]Degree Days 2020'!I30</f>
        <v>21</v>
      </c>
      <c r="J30" s="272">
        <f>'[1]Degree Days 2020'!J30</f>
        <v>23</v>
      </c>
      <c r="K30" s="272">
        <f>'[1]Degree Days 2020'!K30</f>
        <v>14</v>
      </c>
      <c r="L30" s="272">
        <f>'[1]Degree Days 2020'!L30</f>
        <v>0.19999999999999929</v>
      </c>
      <c r="M30" s="272">
        <f>'[12]Degree Days 2020'!M30</f>
        <v>21</v>
      </c>
      <c r="N30" s="272">
        <f>'[4]General information '!B26</f>
        <v>21</v>
      </c>
      <c r="O30" s="272">
        <f>'[4]General information '!C26</f>
        <v>17</v>
      </c>
      <c r="P30" s="272">
        <f t="shared" si="0"/>
        <v>0.69999999999999929</v>
      </c>
      <c r="Q30" s="528">
        <v>21</v>
      </c>
      <c r="R30" s="272">
        <f>'General information '!B26</f>
        <v>25</v>
      </c>
      <c r="S30" s="272">
        <f>'General information '!C26</f>
        <v>24</v>
      </c>
      <c r="T30" s="272">
        <f t="shared" si="1"/>
        <v>6.1999999999999993</v>
      </c>
      <c r="U30" s="528">
        <v>21</v>
      </c>
      <c r="V30" s="272"/>
      <c r="W30" s="272"/>
      <c r="X30" s="272">
        <f t="shared" si="2"/>
        <v>-18.3</v>
      </c>
    </row>
    <row r="31" spans="1:28">
      <c r="A31" s="117">
        <v>22</v>
      </c>
      <c r="B31" s="272">
        <f>'[1]Degree Days 2020'!B31</f>
        <v>17</v>
      </c>
      <c r="C31" s="272">
        <f>'[1]Degree Days 2020'!C31</f>
        <v>10</v>
      </c>
      <c r="D31" s="272">
        <f>'[1]Degree Days 2020'!D31</f>
        <v>-4.8000000000000007</v>
      </c>
      <c r="E31" s="272">
        <f>'[1]Degree Days 2020'!E31</f>
        <v>22</v>
      </c>
      <c r="F31" s="272">
        <f>'[1]Degree Days 2020'!F31</f>
        <v>21</v>
      </c>
      <c r="G31" s="272">
        <f>'[1]Degree Days 2020'!G31</f>
        <v>12</v>
      </c>
      <c r="H31" s="272">
        <f>'[1]Degree Days 2020'!H31</f>
        <v>-1.8000000000000007</v>
      </c>
      <c r="I31" s="272">
        <f>'[1]Degree Days 2020'!I31</f>
        <v>22</v>
      </c>
      <c r="J31" s="272">
        <f>'[1]Degree Days 2020'!J31</f>
        <v>26</v>
      </c>
      <c r="K31" s="272">
        <f>'[1]Degree Days 2020'!K31</f>
        <v>14</v>
      </c>
      <c r="L31" s="272">
        <f>'[1]Degree Days 2020'!L31</f>
        <v>1.6999999999999993</v>
      </c>
      <c r="M31" s="272">
        <f>'[12]Degree Days 2020'!M31</f>
        <v>22</v>
      </c>
      <c r="N31" s="272">
        <f>'[4]General information '!B27</f>
        <v>21</v>
      </c>
      <c r="O31" s="272">
        <f>'[4]General information '!C27</f>
        <v>18</v>
      </c>
      <c r="P31" s="272">
        <f t="shared" si="0"/>
        <v>1.1999999999999993</v>
      </c>
      <c r="Q31" s="528">
        <v>22</v>
      </c>
      <c r="R31" s="272">
        <f>'General information '!B27</f>
        <v>26</v>
      </c>
      <c r="S31" s="272">
        <f>'General information '!C27</f>
        <v>23</v>
      </c>
      <c r="T31" s="272">
        <f t="shared" si="1"/>
        <v>6.1999999999999993</v>
      </c>
      <c r="U31" s="528">
        <v>22</v>
      </c>
      <c r="V31" s="272"/>
      <c r="W31" s="272"/>
      <c r="X31" s="272">
        <f t="shared" si="2"/>
        <v>-18.3</v>
      </c>
    </row>
    <row r="32" spans="1:28">
      <c r="A32" s="117">
        <v>23</v>
      </c>
      <c r="B32" s="272">
        <f>'[1]Degree Days 2020'!B32</f>
        <v>18</v>
      </c>
      <c r="C32" s="272">
        <f>'[1]Degree Days 2020'!C32</f>
        <v>12</v>
      </c>
      <c r="D32" s="272">
        <f>'[1]Degree Days 2020'!D32</f>
        <v>-3.3000000000000007</v>
      </c>
      <c r="E32" s="272">
        <f>'[1]Degree Days 2020'!E32</f>
        <v>23</v>
      </c>
      <c r="F32" s="272">
        <f>'[1]Degree Days 2020'!F32</f>
        <v>19</v>
      </c>
      <c r="G32" s="272">
        <f>'[1]Degree Days 2020'!G32</f>
        <v>13</v>
      </c>
      <c r="H32" s="272">
        <f>'[1]Degree Days 2020'!H32</f>
        <v>-2.3000000000000007</v>
      </c>
      <c r="I32" s="272">
        <f>'[1]Degree Days 2020'!I32</f>
        <v>23</v>
      </c>
      <c r="J32" s="272">
        <f>'[1]Degree Days 2020'!J32</f>
        <v>33</v>
      </c>
      <c r="K32" s="272">
        <f>'[1]Degree Days 2020'!K32</f>
        <v>17</v>
      </c>
      <c r="L32" s="272">
        <f>'[1]Degree Days 2020'!L32</f>
        <v>6.6999999999999993</v>
      </c>
      <c r="M32" s="272">
        <f>'[12]Degree Days 2020'!M32</f>
        <v>23</v>
      </c>
      <c r="N32" s="272">
        <f>'[4]General information '!B28</f>
        <v>20</v>
      </c>
      <c r="O32" s="272">
        <f>'[4]General information '!C28</f>
        <v>18</v>
      </c>
      <c r="P32" s="272">
        <f t="shared" si="0"/>
        <v>0.69999999999999929</v>
      </c>
      <c r="Q32" s="528">
        <v>23</v>
      </c>
      <c r="R32" s="272">
        <f>'General information '!B28</f>
        <v>25</v>
      </c>
      <c r="S32" s="272">
        <f>'General information '!C28</f>
        <v>22</v>
      </c>
      <c r="T32" s="272">
        <f t="shared" si="1"/>
        <v>5.1999999999999993</v>
      </c>
      <c r="U32" s="528">
        <v>23</v>
      </c>
      <c r="V32" s="272"/>
      <c r="W32" s="272"/>
      <c r="X32" s="272">
        <f t="shared" si="2"/>
        <v>-18.3</v>
      </c>
    </row>
    <row r="33" spans="1:24">
      <c r="A33" s="117">
        <v>24</v>
      </c>
      <c r="B33" s="272">
        <f>'[1]Degree Days 2020'!B33</f>
        <v>17</v>
      </c>
      <c r="C33" s="272">
        <f>'[1]Degree Days 2020'!C33</f>
        <v>11</v>
      </c>
      <c r="D33" s="272">
        <f>'[1]Degree Days 2020'!D33</f>
        <v>-4.3000000000000007</v>
      </c>
      <c r="E33" s="272">
        <f>'[1]Degree Days 2020'!E33</f>
        <v>24</v>
      </c>
      <c r="F33" s="272">
        <f>'[1]Degree Days 2020'!F33</f>
        <v>19</v>
      </c>
      <c r="G33" s="272">
        <f>'[1]Degree Days 2020'!G33</f>
        <v>12</v>
      </c>
      <c r="H33" s="272">
        <f>'[1]Degree Days 2020'!H33</f>
        <v>-2.8000000000000007</v>
      </c>
      <c r="I33" s="272">
        <f>'[1]Degree Days 2020'!I33</f>
        <v>24</v>
      </c>
      <c r="J33" s="272">
        <f>'[1]Degree Days 2020'!J33</f>
        <v>15</v>
      </c>
      <c r="K33" s="272">
        <f>'[1]Degree Days 2020'!K33</f>
        <v>12</v>
      </c>
      <c r="L33" s="272">
        <f>'[1]Degree Days 2020'!L33</f>
        <v>-4.8000000000000007</v>
      </c>
      <c r="M33" s="272">
        <f>'[12]Degree Days 2020'!M33</f>
        <v>24</v>
      </c>
      <c r="N33" s="272">
        <f>'[4]General information '!B29</f>
        <v>24</v>
      </c>
      <c r="O33" s="272">
        <f>'[4]General information '!C29</f>
        <v>18</v>
      </c>
      <c r="P33" s="272">
        <f t="shared" si="0"/>
        <v>2.6999999999999993</v>
      </c>
      <c r="Q33" s="528">
        <v>24</v>
      </c>
      <c r="R33" s="272">
        <f>'General information '!B29</f>
        <v>26</v>
      </c>
      <c r="S33" s="272">
        <f>'General information '!C29</f>
        <v>23</v>
      </c>
      <c r="T33" s="272">
        <f t="shared" si="1"/>
        <v>6.1999999999999993</v>
      </c>
      <c r="U33" s="528">
        <v>24</v>
      </c>
      <c r="V33" s="272"/>
      <c r="W33" s="272"/>
      <c r="X33" s="272">
        <f t="shared" si="2"/>
        <v>-18.3</v>
      </c>
    </row>
    <row r="34" spans="1:24">
      <c r="A34" s="117">
        <v>25</v>
      </c>
      <c r="B34" s="272">
        <f>'[1]Degree Days 2020'!B34</f>
        <v>21</v>
      </c>
      <c r="C34" s="272">
        <f>'[1]Degree Days 2020'!C34</f>
        <v>12</v>
      </c>
      <c r="D34" s="272">
        <f>'[1]Degree Days 2020'!D34</f>
        <v>-1.8000000000000007</v>
      </c>
      <c r="E34" s="272">
        <f>'[1]Degree Days 2020'!E34</f>
        <v>25</v>
      </c>
      <c r="F34" s="272">
        <f>'[1]Degree Days 2020'!F34</f>
        <v>18</v>
      </c>
      <c r="G34" s="272">
        <f>'[1]Degree Days 2020'!G34</f>
        <v>13</v>
      </c>
      <c r="H34" s="272">
        <f>'[1]Degree Days 2020'!H34</f>
        <v>-2.8000000000000007</v>
      </c>
      <c r="I34" s="272">
        <f>'[1]Degree Days 2020'!I34</f>
        <v>25</v>
      </c>
      <c r="J34" s="272">
        <f>'[1]Degree Days 2020'!J34</f>
        <v>15</v>
      </c>
      <c r="K34" s="272">
        <f>'[1]Degree Days 2020'!K34</f>
        <v>12</v>
      </c>
      <c r="L34" s="272">
        <f>'[1]Degree Days 2020'!L34</f>
        <v>-4.8000000000000007</v>
      </c>
      <c r="M34" s="272">
        <f>'[12]Degree Days 2020'!M34</f>
        <v>25</v>
      </c>
      <c r="N34" s="272">
        <f>'[4]General information '!B30</f>
        <v>23</v>
      </c>
      <c r="O34" s="272">
        <f>'[4]General information '!C30</f>
        <v>18</v>
      </c>
      <c r="P34" s="272">
        <f t="shared" si="0"/>
        <v>2.1999999999999993</v>
      </c>
      <c r="Q34" s="528">
        <v>25</v>
      </c>
      <c r="R34" s="272">
        <f>'General information '!B30</f>
        <v>27</v>
      </c>
      <c r="S34" s="272">
        <f>'General information '!C30</f>
        <v>22</v>
      </c>
      <c r="T34" s="272">
        <f t="shared" si="1"/>
        <v>6.1999999999999993</v>
      </c>
      <c r="U34" s="528">
        <v>25</v>
      </c>
      <c r="V34" s="272"/>
      <c r="W34" s="272"/>
      <c r="X34" s="272">
        <f t="shared" si="2"/>
        <v>-18.3</v>
      </c>
    </row>
    <row r="35" spans="1:24">
      <c r="A35" s="117">
        <v>26</v>
      </c>
      <c r="B35" s="272">
        <f>'[1]Degree Days 2020'!B35</f>
        <v>18</v>
      </c>
      <c r="C35" s="272">
        <f>'[1]Degree Days 2020'!C35</f>
        <v>11</v>
      </c>
      <c r="D35" s="272">
        <f>'[1]Degree Days 2020'!D35</f>
        <v>-3.8000000000000007</v>
      </c>
      <c r="E35" s="272">
        <f>'[1]Degree Days 2020'!E35</f>
        <v>26</v>
      </c>
      <c r="F35" s="272">
        <f>'[1]Degree Days 2020'!F35</f>
        <v>18</v>
      </c>
      <c r="G35" s="272">
        <f>'[1]Degree Days 2020'!G35</f>
        <v>13</v>
      </c>
      <c r="H35" s="272">
        <f>'[1]Degree Days 2020'!H35</f>
        <v>-2.8000000000000007</v>
      </c>
      <c r="I35" s="272">
        <f>'[1]Degree Days 2020'!I35</f>
        <v>26</v>
      </c>
      <c r="J35" s="272">
        <f>'[1]Degree Days 2020'!J35</f>
        <v>16</v>
      </c>
      <c r="K35" s="272">
        <f>'[1]Degree Days 2020'!K35</f>
        <v>10</v>
      </c>
      <c r="L35" s="272">
        <f>'[1]Degree Days 2020'!L35</f>
        <v>-5.3000000000000007</v>
      </c>
      <c r="M35" s="272">
        <f>'[12]Degree Days 2020'!M35</f>
        <v>26</v>
      </c>
      <c r="N35" s="272">
        <f>'[4]General information '!B31</f>
        <v>22</v>
      </c>
      <c r="O35" s="272">
        <f>'[4]General information '!C31</f>
        <v>16</v>
      </c>
      <c r="P35" s="272">
        <f t="shared" si="0"/>
        <v>0.69999999999999929</v>
      </c>
      <c r="Q35" s="528">
        <v>26</v>
      </c>
      <c r="R35" s="272">
        <f>'General information '!B31</f>
        <v>26</v>
      </c>
      <c r="S35" s="272">
        <f>'General information '!C31</f>
        <v>23</v>
      </c>
      <c r="T35" s="272">
        <f t="shared" si="1"/>
        <v>6.1999999999999993</v>
      </c>
      <c r="U35" s="528">
        <v>26</v>
      </c>
      <c r="V35" s="272"/>
      <c r="W35" s="272"/>
      <c r="X35" s="272">
        <f t="shared" si="2"/>
        <v>-18.3</v>
      </c>
    </row>
    <row r="36" spans="1:24">
      <c r="A36" s="117">
        <v>27</v>
      </c>
      <c r="B36" s="272">
        <f>'[1]Degree Days 2020'!B36</f>
        <v>14</v>
      </c>
      <c r="C36" s="272">
        <f>'[1]Degree Days 2020'!C36</f>
        <v>10</v>
      </c>
      <c r="D36" s="272">
        <f>'[1]Degree Days 2020'!D36</f>
        <v>-6.3000000000000007</v>
      </c>
      <c r="E36" s="272">
        <f>'[1]Degree Days 2020'!E36</f>
        <v>27</v>
      </c>
      <c r="F36" s="272">
        <f>'[1]Degree Days 2020'!F36</f>
        <v>18</v>
      </c>
      <c r="G36" s="272">
        <f>'[1]Degree Days 2020'!G36</f>
        <v>13</v>
      </c>
      <c r="H36" s="272">
        <f>'[1]Degree Days 2020'!H36</f>
        <v>-2.8000000000000007</v>
      </c>
      <c r="I36" s="272">
        <f>'[1]Degree Days 2020'!I36</f>
        <v>27</v>
      </c>
      <c r="J36" s="272">
        <f>'[1]Degree Days 2020'!J36</f>
        <v>17</v>
      </c>
      <c r="K36" s="272">
        <f>'[1]Degree Days 2020'!K36</f>
        <v>11</v>
      </c>
      <c r="L36" s="272">
        <f>'[1]Degree Days 2020'!L36</f>
        <v>-4.3000000000000007</v>
      </c>
      <c r="M36" s="272">
        <f>'[12]Degree Days 2020'!M36</f>
        <v>27</v>
      </c>
      <c r="N36" s="272">
        <f>'[4]General information '!B32</f>
        <v>22</v>
      </c>
      <c r="O36" s="272">
        <f>'[4]General information '!C32</f>
        <v>18</v>
      </c>
      <c r="P36" s="272">
        <f t="shared" si="0"/>
        <v>1.6999999999999993</v>
      </c>
      <c r="Q36" s="528">
        <v>27</v>
      </c>
      <c r="R36" s="272">
        <f>'General information '!B32</f>
        <v>25</v>
      </c>
      <c r="S36" s="272">
        <f>'General information '!C32</f>
        <v>22</v>
      </c>
      <c r="T36" s="272">
        <f t="shared" si="1"/>
        <v>5.1999999999999993</v>
      </c>
      <c r="U36" s="528">
        <v>27</v>
      </c>
      <c r="V36" s="272"/>
      <c r="W36" s="272"/>
      <c r="X36" s="272">
        <f t="shared" si="2"/>
        <v>-18.3</v>
      </c>
    </row>
    <row r="37" spans="1:24">
      <c r="A37" s="117">
        <v>28</v>
      </c>
      <c r="B37" s="272">
        <f>'[1]Degree Days 2020'!B37</f>
        <v>14</v>
      </c>
      <c r="C37" s="272">
        <f>'[1]Degree Days 2020'!C37</f>
        <v>10</v>
      </c>
      <c r="D37" s="272">
        <f>'[1]Degree Days 2020'!D37</f>
        <v>-6.3000000000000007</v>
      </c>
      <c r="E37" s="272">
        <f>'[1]Degree Days 2020'!E37</f>
        <v>28</v>
      </c>
      <c r="F37" s="272">
        <f>'[1]Degree Days 2020'!F37</f>
        <v>17</v>
      </c>
      <c r="G37" s="272">
        <f>'[1]Degree Days 2020'!G37</f>
        <v>13</v>
      </c>
      <c r="H37" s="272">
        <f>'[1]Degree Days 2020'!H37</f>
        <v>-3.3000000000000007</v>
      </c>
      <c r="I37" s="272">
        <f>'[1]Degree Days 2020'!I37</f>
        <v>28</v>
      </c>
      <c r="J37" s="272">
        <f>'[1]Degree Days 2020'!J37</f>
        <v>17</v>
      </c>
      <c r="K37" s="272">
        <f>'[1]Degree Days 2020'!K37</f>
        <v>13</v>
      </c>
      <c r="L37" s="272">
        <f>'[1]Degree Days 2020'!L37</f>
        <v>-3.3000000000000007</v>
      </c>
      <c r="M37" s="272">
        <f>'[12]Degree Days 2020'!M37</f>
        <v>28</v>
      </c>
      <c r="N37" s="272">
        <f>'[4]General information '!B33</f>
        <v>26</v>
      </c>
      <c r="O37" s="272">
        <f>'[4]General information '!C33</f>
        <v>16</v>
      </c>
      <c r="P37" s="272">
        <f t="shared" si="0"/>
        <v>2.6999999999999993</v>
      </c>
      <c r="Q37" s="528">
        <v>28</v>
      </c>
      <c r="R37" s="272">
        <f>'General information '!B33</f>
        <v>26</v>
      </c>
      <c r="S37" s="272">
        <f>'General information '!C33</f>
        <v>23</v>
      </c>
      <c r="T37" s="272">
        <f t="shared" si="1"/>
        <v>6.1999999999999993</v>
      </c>
      <c r="U37" s="528">
        <v>28</v>
      </c>
      <c r="V37" s="272"/>
      <c r="W37" s="272"/>
      <c r="X37" s="272">
        <f t="shared" si="2"/>
        <v>-18.3</v>
      </c>
    </row>
    <row r="38" spans="1:24">
      <c r="A38" s="117">
        <v>29</v>
      </c>
      <c r="B38" s="272">
        <f>'[1]Degree Days 2020'!B38</f>
        <v>16</v>
      </c>
      <c r="C38" s="272">
        <f>'[1]Degree Days 2020'!C38</f>
        <v>12</v>
      </c>
      <c r="D38" s="272">
        <f>'[1]Degree Days 2020'!D38</f>
        <v>-4.3000000000000007</v>
      </c>
      <c r="E38" s="272"/>
      <c r="F38" s="272"/>
      <c r="G38" s="272"/>
      <c r="H38" s="272"/>
      <c r="I38" s="272">
        <f>'[1]Degree Days 2020'!I38</f>
        <v>29</v>
      </c>
      <c r="J38" s="272">
        <f>'[1]Degree Days 2020'!J38</f>
        <v>17</v>
      </c>
      <c r="K38" s="272">
        <f>'[1]Degree Days 2020'!K38</f>
        <v>14</v>
      </c>
      <c r="L38" s="272">
        <f>'[1]Degree Days 2020'!L38</f>
        <v>-2.8000000000000007</v>
      </c>
      <c r="M38" s="272">
        <f>'[12]Degree Days 2020'!M38</f>
        <v>29</v>
      </c>
      <c r="N38" s="272">
        <f>'[4]General information '!B34</f>
        <v>29</v>
      </c>
      <c r="O38" s="272">
        <f>'[4]General information '!C34</f>
        <v>18</v>
      </c>
      <c r="P38" s="272">
        <f t="shared" si="0"/>
        <v>5.1999999999999993</v>
      </c>
      <c r="Q38" s="528">
        <v>29</v>
      </c>
      <c r="R38" s="272">
        <f>'General information '!B34</f>
        <v>27</v>
      </c>
      <c r="S38" s="272">
        <f>'General information '!C34</f>
        <v>22</v>
      </c>
      <c r="T38" s="272">
        <f t="shared" si="1"/>
        <v>6.1999999999999993</v>
      </c>
      <c r="U38" s="528">
        <v>29</v>
      </c>
      <c r="V38" s="272"/>
      <c r="W38" s="272"/>
      <c r="X38" s="272">
        <f t="shared" si="2"/>
        <v>-18.3</v>
      </c>
    </row>
    <row r="39" spans="1:24">
      <c r="A39" s="117">
        <v>30</v>
      </c>
      <c r="B39" s="272">
        <f>'[1]Degree Days 2020'!B39</f>
        <v>10</v>
      </c>
      <c r="C39" s="272">
        <f>'[1]Degree Days 2020'!C39</f>
        <v>4</v>
      </c>
      <c r="D39" s="272">
        <f>'[1]Degree Days 2020'!D39</f>
        <v>-11.3</v>
      </c>
      <c r="E39" s="272"/>
      <c r="F39" s="272"/>
      <c r="G39" s="272"/>
      <c r="H39" s="272"/>
      <c r="I39" s="272">
        <f>'[1]Degree Days 2020'!I39</f>
        <v>30</v>
      </c>
      <c r="J39" s="272">
        <f>'[1]Degree Days 2020'!J39</f>
        <v>19</v>
      </c>
      <c r="K39" s="272">
        <f>'[1]Degree Days 2020'!K39</f>
        <v>13</v>
      </c>
      <c r="L39" s="272">
        <f>'[1]Degree Days 2020'!L39</f>
        <v>-2.3000000000000007</v>
      </c>
      <c r="M39" s="272">
        <f>'[12]Degree Days 2020'!M39</f>
        <v>30</v>
      </c>
      <c r="N39" s="272">
        <f>'[4]General information '!B35</f>
        <v>25</v>
      </c>
      <c r="O39" s="272">
        <f>'[4]General information '!C35</f>
        <v>21</v>
      </c>
      <c r="P39" s="272">
        <f t="shared" si="0"/>
        <v>4.6999999999999993</v>
      </c>
      <c r="Q39" s="528">
        <v>30</v>
      </c>
      <c r="R39" s="272">
        <f>'General information '!B35</f>
        <v>27</v>
      </c>
      <c r="S39" s="272">
        <f>'General information '!C35</f>
        <v>23</v>
      </c>
      <c r="T39" s="272">
        <f t="shared" si="1"/>
        <v>6.6999999999999993</v>
      </c>
      <c r="U39" s="528">
        <v>30</v>
      </c>
      <c r="V39" s="272"/>
      <c r="W39" s="272"/>
      <c r="X39" s="272">
        <f t="shared" si="2"/>
        <v>-18.3</v>
      </c>
    </row>
    <row r="40" spans="1:24">
      <c r="A40" s="117">
        <v>31</v>
      </c>
      <c r="B40" s="272">
        <f>'[1]Degree Days 2020'!B40</f>
        <v>21</v>
      </c>
      <c r="C40" s="272">
        <f>'[1]Degree Days 2020'!C40</f>
        <v>16</v>
      </c>
      <c r="D40" s="272">
        <f>'[1]Degree Days 2020'!D40</f>
        <v>0.19999999999999929</v>
      </c>
      <c r="E40" s="272"/>
      <c r="F40" s="272"/>
      <c r="G40" s="272"/>
      <c r="H40" s="272"/>
      <c r="I40" s="272">
        <f>'[1]Degree Days 2020'!I40</f>
        <v>31</v>
      </c>
      <c r="J40" s="272">
        <f>'[1]Degree Days 2020'!J40</f>
        <v>18</v>
      </c>
      <c r="K40" s="272">
        <f>'[1]Degree Days 2020'!K40</f>
        <v>13</v>
      </c>
      <c r="L40" s="272">
        <f>'[1]Degree Days 2020'!L40</f>
        <v>-2.8000000000000007</v>
      </c>
      <c r="M40" s="272"/>
      <c r="N40" s="272"/>
      <c r="O40" s="272"/>
      <c r="P40" s="272"/>
      <c r="Q40" s="528">
        <v>31</v>
      </c>
      <c r="R40" s="272">
        <f>'General information '!B36</f>
        <v>27</v>
      </c>
      <c r="S40" s="272">
        <f>'General information '!C36</f>
        <v>24</v>
      </c>
      <c r="T40" s="272">
        <f t="shared" si="1"/>
        <v>7.1999999999999993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5">(B48+C48)/2-18.3</f>
        <v>-18.3</v>
      </c>
      <c r="E48" s="117">
        <v>1</v>
      </c>
      <c r="F48" s="272"/>
      <c r="G48" s="272"/>
      <c r="H48" s="119">
        <f t="shared" ref="H48:H78" si="6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7">(V48+W48)/2-18.3</f>
        <v>-18.3</v>
      </c>
    </row>
    <row r="49" spans="1:24">
      <c r="A49" s="117">
        <v>2</v>
      </c>
      <c r="B49" s="272"/>
      <c r="C49" s="272"/>
      <c r="D49" s="119">
        <f t="shared" si="5"/>
        <v>-18.3</v>
      </c>
      <c r="E49" s="117">
        <v>2</v>
      </c>
      <c r="F49" s="272"/>
      <c r="G49" s="272"/>
      <c r="H49" s="119">
        <f t="shared" si="6"/>
        <v>-18.3</v>
      </c>
      <c r="I49" s="117">
        <v>2</v>
      </c>
      <c r="J49" s="272"/>
      <c r="K49" s="272"/>
      <c r="L49" s="119">
        <f t="shared" ref="L49:L77" si="8">(J49+K49)/2-18.3</f>
        <v>-18.3</v>
      </c>
      <c r="M49" s="117">
        <v>2</v>
      </c>
      <c r="N49" s="272"/>
      <c r="O49" s="272"/>
      <c r="P49" s="119">
        <f t="shared" ref="P49:P78" si="9">(N49+O49)/2-18.3</f>
        <v>-18.3</v>
      </c>
      <c r="Q49" s="117">
        <v>2</v>
      </c>
      <c r="R49" s="272"/>
      <c r="S49" s="272"/>
      <c r="T49" s="119">
        <f t="shared" ref="T49:T77" si="10">(R49+S49)/2-18.3</f>
        <v>-18.3</v>
      </c>
      <c r="U49" s="117">
        <v>2</v>
      </c>
      <c r="V49" s="272"/>
      <c r="W49" s="272"/>
      <c r="X49" s="119">
        <f t="shared" si="7"/>
        <v>-18.3</v>
      </c>
    </row>
    <row r="50" spans="1:24">
      <c r="A50" s="117">
        <v>3</v>
      </c>
      <c r="B50" s="272"/>
      <c r="C50" s="272"/>
      <c r="D50" s="119">
        <f t="shared" si="5"/>
        <v>-18.3</v>
      </c>
      <c r="E50" s="117">
        <v>3</v>
      </c>
      <c r="F50" s="272"/>
      <c r="G50" s="272"/>
      <c r="H50" s="119">
        <f t="shared" si="6"/>
        <v>-18.3</v>
      </c>
      <c r="I50" s="117">
        <v>3</v>
      </c>
      <c r="J50" s="272"/>
      <c r="K50" s="272"/>
      <c r="L50" s="119">
        <f t="shared" si="8"/>
        <v>-18.3</v>
      </c>
      <c r="M50" s="117">
        <v>3</v>
      </c>
      <c r="N50" s="272"/>
      <c r="O50" s="272"/>
      <c r="P50" s="119">
        <f t="shared" si="9"/>
        <v>-18.3</v>
      </c>
      <c r="Q50" s="117">
        <v>3</v>
      </c>
      <c r="R50" s="272"/>
      <c r="S50" s="272"/>
      <c r="T50" s="119">
        <f t="shared" si="10"/>
        <v>-18.3</v>
      </c>
      <c r="U50" s="117">
        <v>3</v>
      </c>
      <c r="V50" s="272"/>
      <c r="W50" s="272"/>
      <c r="X50" s="119">
        <f t="shared" si="7"/>
        <v>-18.3</v>
      </c>
    </row>
    <row r="51" spans="1:24">
      <c r="A51" s="117">
        <v>4</v>
      </c>
      <c r="B51" s="272"/>
      <c r="C51" s="272"/>
      <c r="D51" s="119">
        <f t="shared" si="5"/>
        <v>-18.3</v>
      </c>
      <c r="E51" s="117">
        <v>4</v>
      </c>
      <c r="F51" s="272"/>
      <c r="G51" s="272"/>
      <c r="H51" s="119">
        <f t="shared" si="6"/>
        <v>-18.3</v>
      </c>
      <c r="I51" s="117">
        <v>4</v>
      </c>
      <c r="J51" s="272"/>
      <c r="K51" s="272"/>
      <c r="L51" s="119">
        <f t="shared" si="8"/>
        <v>-18.3</v>
      </c>
      <c r="M51" s="117">
        <v>4</v>
      </c>
      <c r="N51" s="272"/>
      <c r="O51" s="272"/>
      <c r="P51" s="119">
        <f t="shared" si="9"/>
        <v>-18.3</v>
      </c>
      <c r="Q51" s="117">
        <v>4</v>
      </c>
      <c r="R51" s="272"/>
      <c r="S51" s="272"/>
      <c r="T51" s="119">
        <f t="shared" si="10"/>
        <v>-18.3</v>
      </c>
      <c r="U51" s="117">
        <v>4</v>
      </c>
      <c r="V51" s="272"/>
      <c r="W51" s="272"/>
      <c r="X51" s="119">
        <f t="shared" si="7"/>
        <v>-18.3</v>
      </c>
    </row>
    <row r="52" spans="1:24">
      <c r="A52" s="117">
        <v>5</v>
      </c>
      <c r="B52" s="272"/>
      <c r="C52" s="272"/>
      <c r="D52" s="119">
        <f t="shared" si="5"/>
        <v>-18.3</v>
      </c>
      <c r="E52" s="117">
        <v>5</v>
      </c>
      <c r="F52" s="272"/>
      <c r="G52" s="272"/>
      <c r="H52" s="119">
        <f t="shared" si="6"/>
        <v>-18.3</v>
      </c>
      <c r="I52" s="117">
        <v>5</v>
      </c>
      <c r="J52" s="272"/>
      <c r="K52" s="272"/>
      <c r="L52" s="119">
        <f t="shared" si="8"/>
        <v>-18.3</v>
      </c>
      <c r="M52" s="117">
        <v>5</v>
      </c>
      <c r="N52" s="272"/>
      <c r="O52" s="272"/>
      <c r="P52" s="119">
        <f t="shared" si="9"/>
        <v>-18.3</v>
      </c>
      <c r="Q52" s="117">
        <v>5</v>
      </c>
      <c r="R52" s="272"/>
      <c r="S52" s="272"/>
      <c r="T52" s="119">
        <f t="shared" si="10"/>
        <v>-18.3</v>
      </c>
      <c r="U52" s="117">
        <v>5</v>
      </c>
      <c r="V52" s="272"/>
      <c r="W52" s="272"/>
      <c r="X52" s="119">
        <f t="shared" si="7"/>
        <v>-18.3</v>
      </c>
    </row>
    <row r="53" spans="1:24">
      <c r="A53" s="117">
        <v>6</v>
      </c>
      <c r="B53" s="272"/>
      <c r="C53" s="272"/>
      <c r="D53" s="119">
        <f t="shared" si="5"/>
        <v>-18.3</v>
      </c>
      <c r="E53" s="117">
        <v>6</v>
      </c>
      <c r="F53" s="272"/>
      <c r="G53" s="272"/>
      <c r="H53" s="119">
        <f t="shared" si="6"/>
        <v>-18.3</v>
      </c>
      <c r="I53" s="117">
        <v>6</v>
      </c>
      <c r="J53" s="272"/>
      <c r="K53" s="272"/>
      <c r="L53" s="119">
        <f t="shared" si="8"/>
        <v>-18.3</v>
      </c>
      <c r="M53" s="117">
        <v>6</v>
      </c>
      <c r="N53" s="272"/>
      <c r="O53" s="272"/>
      <c r="P53" s="119">
        <f t="shared" si="9"/>
        <v>-18.3</v>
      </c>
      <c r="Q53" s="117">
        <v>6</v>
      </c>
      <c r="R53" s="272"/>
      <c r="S53" s="272"/>
      <c r="T53" s="119">
        <f t="shared" si="10"/>
        <v>-18.3</v>
      </c>
      <c r="U53" s="117">
        <v>6</v>
      </c>
      <c r="V53" s="272"/>
      <c r="W53" s="272"/>
      <c r="X53" s="119">
        <f t="shared" si="7"/>
        <v>-18.3</v>
      </c>
    </row>
    <row r="54" spans="1:24">
      <c r="A54" s="117">
        <v>7</v>
      </c>
      <c r="B54" s="272"/>
      <c r="C54" s="272"/>
      <c r="D54" s="119">
        <f t="shared" si="5"/>
        <v>-18.3</v>
      </c>
      <c r="E54" s="117">
        <v>7</v>
      </c>
      <c r="F54" s="272"/>
      <c r="G54" s="272"/>
      <c r="H54" s="119">
        <f t="shared" si="6"/>
        <v>-18.3</v>
      </c>
      <c r="I54" s="117">
        <v>7</v>
      </c>
      <c r="J54" s="272"/>
      <c r="K54" s="272"/>
      <c r="L54" s="119">
        <f t="shared" si="8"/>
        <v>-18.3</v>
      </c>
      <c r="M54" s="117">
        <v>7</v>
      </c>
      <c r="N54" s="272"/>
      <c r="O54" s="272"/>
      <c r="P54" s="119">
        <f t="shared" si="9"/>
        <v>-18.3</v>
      </c>
      <c r="Q54" s="117">
        <v>7</v>
      </c>
      <c r="R54" s="272"/>
      <c r="S54" s="272"/>
      <c r="T54" s="119">
        <f t="shared" si="10"/>
        <v>-18.3</v>
      </c>
      <c r="U54" s="117">
        <v>7</v>
      </c>
      <c r="V54" s="272"/>
      <c r="W54" s="272"/>
      <c r="X54" s="119">
        <f t="shared" si="7"/>
        <v>-18.3</v>
      </c>
    </row>
    <row r="55" spans="1:24">
      <c r="A55" s="117">
        <v>8</v>
      </c>
      <c r="B55" s="272"/>
      <c r="C55" s="272"/>
      <c r="D55" s="119">
        <f t="shared" si="5"/>
        <v>-18.3</v>
      </c>
      <c r="E55" s="117">
        <v>8</v>
      </c>
      <c r="F55" s="272"/>
      <c r="G55" s="272"/>
      <c r="H55" s="119">
        <f t="shared" si="6"/>
        <v>-18.3</v>
      </c>
      <c r="I55" s="117">
        <v>8</v>
      </c>
      <c r="J55" s="272"/>
      <c r="K55" s="272"/>
      <c r="L55" s="119">
        <f t="shared" si="8"/>
        <v>-18.3</v>
      </c>
      <c r="M55" s="117">
        <v>8</v>
      </c>
      <c r="N55" s="272"/>
      <c r="O55" s="272"/>
      <c r="P55" s="119">
        <f t="shared" si="9"/>
        <v>-18.3</v>
      </c>
      <c r="Q55" s="117">
        <v>8</v>
      </c>
      <c r="R55" s="272"/>
      <c r="S55" s="272"/>
      <c r="T55" s="119">
        <f t="shared" si="10"/>
        <v>-18.3</v>
      </c>
      <c r="U55" s="117">
        <v>8</v>
      </c>
      <c r="V55" s="272"/>
      <c r="W55" s="272"/>
      <c r="X55" s="119">
        <f t="shared" si="7"/>
        <v>-18.3</v>
      </c>
    </row>
    <row r="56" spans="1:24">
      <c r="A56" s="117">
        <v>9</v>
      </c>
      <c r="B56" s="272"/>
      <c r="C56" s="272"/>
      <c r="D56" s="119">
        <f t="shared" si="5"/>
        <v>-18.3</v>
      </c>
      <c r="E56" s="117">
        <v>9</v>
      </c>
      <c r="F56" s="272"/>
      <c r="G56" s="272"/>
      <c r="H56" s="119">
        <f t="shared" si="6"/>
        <v>-18.3</v>
      </c>
      <c r="I56" s="117">
        <v>9</v>
      </c>
      <c r="J56" s="272"/>
      <c r="K56" s="272"/>
      <c r="L56" s="119">
        <f t="shared" si="8"/>
        <v>-18.3</v>
      </c>
      <c r="M56" s="117">
        <v>9</v>
      </c>
      <c r="N56" s="272"/>
      <c r="O56" s="272"/>
      <c r="P56" s="119">
        <f t="shared" si="9"/>
        <v>-18.3</v>
      </c>
      <c r="Q56" s="117">
        <v>9</v>
      </c>
      <c r="R56" s="272"/>
      <c r="S56" s="272"/>
      <c r="T56" s="119">
        <f t="shared" si="10"/>
        <v>-18.3</v>
      </c>
      <c r="U56" s="117">
        <v>9</v>
      </c>
      <c r="V56" s="272"/>
      <c r="W56" s="272"/>
      <c r="X56" s="119">
        <f t="shared" si="7"/>
        <v>-18.3</v>
      </c>
    </row>
    <row r="57" spans="1:24">
      <c r="A57" s="117">
        <v>10</v>
      </c>
      <c r="B57" s="272"/>
      <c r="C57" s="272"/>
      <c r="D57" s="119">
        <f t="shared" ref="D57:D78" si="11">(B57+C57)/2-18.3</f>
        <v>-18.3</v>
      </c>
      <c r="E57" s="117">
        <v>10</v>
      </c>
      <c r="F57" s="272"/>
      <c r="G57" s="272"/>
      <c r="H57" s="119">
        <f t="shared" si="6"/>
        <v>-18.3</v>
      </c>
      <c r="I57" s="117">
        <v>10</v>
      </c>
      <c r="J57" s="272"/>
      <c r="K57" s="272"/>
      <c r="L57" s="119">
        <f t="shared" si="8"/>
        <v>-18.3</v>
      </c>
      <c r="M57" s="117">
        <v>10</v>
      </c>
      <c r="N57" s="272"/>
      <c r="O57" s="272"/>
      <c r="P57" s="119">
        <f t="shared" si="9"/>
        <v>-18.3</v>
      </c>
      <c r="Q57" s="117">
        <v>10</v>
      </c>
      <c r="R57" s="272"/>
      <c r="S57" s="272"/>
      <c r="T57" s="119">
        <f t="shared" si="10"/>
        <v>-18.3</v>
      </c>
      <c r="U57" s="117">
        <v>10</v>
      </c>
      <c r="V57" s="272"/>
      <c r="W57" s="272"/>
      <c r="X57" s="119">
        <f t="shared" si="7"/>
        <v>-18.3</v>
      </c>
    </row>
    <row r="58" spans="1:24">
      <c r="A58" s="117">
        <v>11</v>
      </c>
      <c r="B58" s="272"/>
      <c r="C58" s="272"/>
      <c r="D58" s="119">
        <f t="shared" si="11"/>
        <v>-18.3</v>
      </c>
      <c r="E58" s="117">
        <v>11</v>
      </c>
      <c r="F58" s="272"/>
      <c r="G58" s="272"/>
      <c r="H58" s="119">
        <f t="shared" si="6"/>
        <v>-18.3</v>
      </c>
      <c r="I58" s="117">
        <v>11</v>
      </c>
      <c r="J58" s="272"/>
      <c r="K58" s="272"/>
      <c r="L58" s="119">
        <f t="shared" si="8"/>
        <v>-18.3</v>
      </c>
      <c r="M58" s="117">
        <v>11</v>
      </c>
      <c r="N58" s="272"/>
      <c r="O58" s="272"/>
      <c r="P58" s="119">
        <f t="shared" si="9"/>
        <v>-18.3</v>
      </c>
      <c r="Q58" s="117">
        <v>11</v>
      </c>
      <c r="R58" s="272"/>
      <c r="S58" s="272"/>
      <c r="T58" s="119">
        <f t="shared" si="10"/>
        <v>-18.3</v>
      </c>
      <c r="U58" s="117">
        <v>11</v>
      </c>
      <c r="V58" s="272"/>
      <c r="W58" s="272"/>
      <c r="X58" s="119">
        <f t="shared" si="7"/>
        <v>-18.3</v>
      </c>
    </row>
    <row r="59" spans="1:24">
      <c r="A59" s="117">
        <v>12</v>
      </c>
      <c r="B59" s="272"/>
      <c r="C59" s="272"/>
      <c r="D59" s="119">
        <f t="shared" si="11"/>
        <v>-18.3</v>
      </c>
      <c r="E59" s="117">
        <v>12</v>
      </c>
      <c r="F59" s="272"/>
      <c r="G59" s="272"/>
      <c r="H59" s="119">
        <f t="shared" si="6"/>
        <v>-18.3</v>
      </c>
      <c r="I59" s="117">
        <v>12</v>
      </c>
      <c r="J59" s="272"/>
      <c r="K59" s="272"/>
      <c r="L59" s="119">
        <f t="shared" si="8"/>
        <v>-18.3</v>
      </c>
      <c r="M59" s="117">
        <v>12</v>
      </c>
      <c r="N59" s="272"/>
      <c r="O59" s="272"/>
      <c r="P59" s="119">
        <f t="shared" si="9"/>
        <v>-18.3</v>
      </c>
      <c r="Q59" s="117">
        <v>12</v>
      </c>
      <c r="R59" s="272"/>
      <c r="S59" s="272"/>
      <c r="T59" s="119">
        <f t="shared" si="10"/>
        <v>-18.3</v>
      </c>
      <c r="U59" s="117">
        <v>12</v>
      </c>
      <c r="V59" s="272"/>
      <c r="W59" s="272"/>
      <c r="X59" s="119">
        <f t="shared" si="7"/>
        <v>-18.3</v>
      </c>
    </row>
    <row r="60" spans="1:24">
      <c r="A60" s="117">
        <v>13</v>
      </c>
      <c r="B60" s="272"/>
      <c r="C60" s="272"/>
      <c r="D60" s="119">
        <f t="shared" si="11"/>
        <v>-18.3</v>
      </c>
      <c r="E60" s="117">
        <v>13</v>
      </c>
      <c r="F60" s="272"/>
      <c r="G60" s="272"/>
      <c r="H60" s="119">
        <f t="shared" si="6"/>
        <v>-18.3</v>
      </c>
      <c r="I60" s="117">
        <v>13</v>
      </c>
      <c r="J60" s="272"/>
      <c r="K60" s="272"/>
      <c r="L60" s="119">
        <f t="shared" si="8"/>
        <v>-18.3</v>
      </c>
      <c r="M60" s="117">
        <v>13</v>
      </c>
      <c r="N60" s="272"/>
      <c r="O60" s="272"/>
      <c r="P60" s="119">
        <f t="shared" si="9"/>
        <v>-18.3</v>
      </c>
      <c r="Q60" s="117">
        <v>13</v>
      </c>
      <c r="R60" s="272"/>
      <c r="S60" s="272"/>
      <c r="T60" s="119">
        <f t="shared" si="10"/>
        <v>-18.3</v>
      </c>
      <c r="U60" s="117">
        <v>13</v>
      </c>
      <c r="V60" s="272"/>
      <c r="W60" s="272"/>
      <c r="X60" s="119">
        <f t="shared" si="7"/>
        <v>-18.3</v>
      </c>
    </row>
    <row r="61" spans="1:24">
      <c r="A61" s="117">
        <v>14</v>
      </c>
      <c r="B61" s="272"/>
      <c r="C61" s="272"/>
      <c r="D61" s="119">
        <f t="shared" si="11"/>
        <v>-18.3</v>
      </c>
      <c r="E61" s="117">
        <v>14</v>
      </c>
      <c r="F61" s="272"/>
      <c r="G61" s="272"/>
      <c r="H61" s="119">
        <f t="shared" si="6"/>
        <v>-18.3</v>
      </c>
      <c r="I61" s="117">
        <v>14</v>
      </c>
      <c r="J61" s="272"/>
      <c r="K61" s="272"/>
      <c r="L61" s="119">
        <f t="shared" si="8"/>
        <v>-18.3</v>
      </c>
      <c r="M61" s="117">
        <v>14</v>
      </c>
      <c r="N61" s="272"/>
      <c r="O61" s="272"/>
      <c r="P61" s="119">
        <f t="shared" si="9"/>
        <v>-18.3</v>
      </c>
      <c r="Q61" s="117">
        <v>14</v>
      </c>
      <c r="R61" s="272"/>
      <c r="S61" s="272"/>
      <c r="T61" s="119">
        <f t="shared" si="10"/>
        <v>-18.3</v>
      </c>
      <c r="U61" s="117">
        <v>14</v>
      </c>
      <c r="V61" s="272"/>
      <c r="W61" s="272"/>
      <c r="X61" s="119">
        <f t="shared" si="7"/>
        <v>-18.3</v>
      </c>
    </row>
    <row r="62" spans="1:24">
      <c r="A62" s="117">
        <v>15</v>
      </c>
      <c r="B62" s="272"/>
      <c r="C62" s="272"/>
      <c r="D62" s="119">
        <f t="shared" si="11"/>
        <v>-18.3</v>
      </c>
      <c r="E62" s="117">
        <v>15</v>
      </c>
      <c r="F62" s="272"/>
      <c r="G62" s="272"/>
      <c r="H62" s="119">
        <f t="shared" si="6"/>
        <v>-18.3</v>
      </c>
      <c r="I62" s="117">
        <v>15</v>
      </c>
      <c r="J62" s="272"/>
      <c r="K62" s="272"/>
      <c r="L62" s="119">
        <f t="shared" si="8"/>
        <v>-18.3</v>
      </c>
      <c r="M62" s="117">
        <v>15</v>
      </c>
      <c r="N62" s="272"/>
      <c r="O62" s="272"/>
      <c r="P62" s="119">
        <f t="shared" si="9"/>
        <v>-18.3</v>
      </c>
      <c r="Q62" s="117">
        <v>15</v>
      </c>
      <c r="R62" s="272"/>
      <c r="S62" s="272"/>
      <c r="T62" s="119">
        <f t="shared" si="10"/>
        <v>-18.3</v>
      </c>
      <c r="U62" s="117">
        <v>15</v>
      </c>
      <c r="V62" s="272"/>
      <c r="W62" s="272"/>
      <c r="X62" s="119">
        <f t="shared" si="7"/>
        <v>-18.3</v>
      </c>
    </row>
    <row r="63" spans="1:24">
      <c r="A63" s="117">
        <v>16</v>
      </c>
      <c r="B63" s="272"/>
      <c r="C63" s="272"/>
      <c r="D63" s="119">
        <f t="shared" si="11"/>
        <v>-18.3</v>
      </c>
      <c r="E63" s="117">
        <v>16</v>
      </c>
      <c r="F63" s="272"/>
      <c r="G63" s="272"/>
      <c r="H63" s="119">
        <f t="shared" si="6"/>
        <v>-18.3</v>
      </c>
      <c r="I63" s="117">
        <v>16</v>
      </c>
      <c r="J63" s="272"/>
      <c r="K63" s="272"/>
      <c r="L63" s="119">
        <f t="shared" si="8"/>
        <v>-18.3</v>
      </c>
      <c r="M63" s="117">
        <v>16</v>
      </c>
      <c r="N63" s="272"/>
      <c r="O63" s="272"/>
      <c r="P63" s="119">
        <f t="shared" si="9"/>
        <v>-18.3</v>
      </c>
      <c r="Q63" s="117">
        <v>16</v>
      </c>
      <c r="R63" s="272"/>
      <c r="S63" s="272"/>
      <c r="T63" s="119">
        <f t="shared" si="10"/>
        <v>-18.3</v>
      </c>
      <c r="U63" s="117">
        <v>16</v>
      </c>
      <c r="V63" s="272"/>
      <c r="W63" s="272"/>
      <c r="X63" s="119">
        <f t="shared" si="7"/>
        <v>-18.3</v>
      </c>
    </row>
    <row r="64" spans="1:24">
      <c r="A64" s="117">
        <v>17</v>
      </c>
      <c r="B64" s="272"/>
      <c r="C64" s="272"/>
      <c r="D64" s="119">
        <f t="shared" si="11"/>
        <v>-18.3</v>
      </c>
      <c r="E64" s="117">
        <v>17</v>
      </c>
      <c r="F64" s="272"/>
      <c r="G64" s="272"/>
      <c r="H64" s="119">
        <f t="shared" si="6"/>
        <v>-18.3</v>
      </c>
      <c r="I64" s="117">
        <v>17</v>
      </c>
      <c r="J64" s="272"/>
      <c r="K64" s="272"/>
      <c r="L64" s="119">
        <f t="shared" si="8"/>
        <v>-18.3</v>
      </c>
      <c r="M64" s="117">
        <v>17</v>
      </c>
      <c r="N64" s="272"/>
      <c r="O64" s="272"/>
      <c r="P64" s="119">
        <f t="shared" si="9"/>
        <v>-18.3</v>
      </c>
      <c r="Q64" s="117">
        <v>17</v>
      </c>
      <c r="R64" s="272"/>
      <c r="S64" s="272"/>
      <c r="T64" s="119">
        <f t="shared" si="10"/>
        <v>-18.3</v>
      </c>
      <c r="U64" s="117">
        <v>17</v>
      </c>
      <c r="V64" s="272"/>
      <c r="W64" s="272"/>
      <c r="X64" s="119">
        <f t="shared" si="7"/>
        <v>-18.3</v>
      </c>
    </row>
    <row r="65" spans="1:24">
      <c r="A65" s="117">
        <v>18</v>
      </c>
      <c r="B65" s="272"/>
      <c r="C65" s="272"/>
      <c r="D65" s="119">
        <f t="shared" si="11"/>
        <v>-18.3</v>
      </c>
      <c r="E65" s="117">
        <v>18</v>
      </c>
      <c r="F65" s="272"/>
      <c r="G65" s="272"/>
      <c r="H65" s="119">
        <f t="shared" si="6"/>
        <v>-18.3</v>
      </c>
      <c r="I65" s="117">
        <v>18</v>
      </c>
      <c r="J65" s="272"/>
      <c r="K65" s="272"/>
      <c r="L65" s="119">
        <f t="shared" si="8"/>
        <v>-18.3</v>
      </c>
      <c r="M65" s="117">
        <v>18</v>
      </c>
      <c r="N65" s="272"/>
      <c r="O65" s="272"/>
      <c r="P65" s="119">
        <f t="shared" si="9"/>
        <v>-18.3</v>
      </c>
      <c r="Q65" s="117">
        <v>18</v>
      </c>
      <c r="R65" s="272"/>
      <c r="S65" s="272"/>
      <c r="T65" s="119">
        <f t="shared" si="10"/>
        <v>-18.3</v>
      </c>
      <c r="U65" s="117">
        <v>18</v>
      </c>
      <c r="V65" s="272"/>
      <c r="W65" s="272"/>
      <c r="X65" s="119">
        <f t="shared" si="7"/>
        <v>-18.3</v>
      </c>
    </row>
    <row r="66" spans="1:24">
      <c r="A66" s="117">
        <v>19</v>
      </c>
      <c r="B66" s="272"/>
      <c r="C66" s="272"/>
      <c r="D66" s="119">
        <f t="shared" si="11"/>
        <v>-18.3</v>
      </c>
      <c r="E66" s="117">
        <v>19</v>
      </c>
      <c r="F66" s="272"/>
      <c r="G66" s="272"/>
      <c r="H66" s="119">
        <f t="shared" si="6"/>
        <v>-18.3</v>
      </c>
      <c r="I66" s="117">
        <v>19</v>
      </c>
      <c r="J66" s="272"/>
      <c r="K66" s="272"/>
      <c r="L66" s="119">
        <f t="shared" si="8"/>
        <v>-18.3</v>
      </c>
      <c r="M66" s="117">
        <v>19</v>
      </c>
      <c r="N66" s="272"/>
      <c r="O66" s="272"/>
      <c r="P66" s="119">
        <f t="shared" si="9"/>
        <v>-18.3</v>
      </c>
      <c r="Q66" s="117">
        <v>19</v>
      </c>
      <c r="R66" s="272"/>
      <c r="S66" s="272"/>
      <c r="T66" s="119">
        <f t="shared" si="10"/>
        <v>-18.3</v>
      </c>
      <c r="U66" s="117">
        <v>19</v>
      </c>
      <c r="V66" s="272"/>
      <c r="W66" s="272"/>
      <c r="X66" s="119">
        <f t="shared" si="7"/>
        <v>-18.3</v>
      </c>
    </row>
    <row r="67" spans="1:24">
      <c r="A67" s="117">
        <v>20</v>
      </c>
      <c r="B67" s="272"/>
      <c r="C67" s="272"/>
      <c r="D67" s="119">
        <f t="shared" si="11"/>
        <v>-18.3</v>
      </c>
      <c r="E67" s="117">
        <v>20</v>
      </c>
      <c r="F67" s="272"/>
      <c r="G67" s="272"/>
      <c r="H67" s="119">
        <f t="shared" si="6"/>
        <v>-18.3</v>
      </c>
      <c r="I67" s="117">
        <v>20</v>
      </c>
      <c r="J67" s="272"/>
      <c r="K67" s="272"/>
      <c r="L67" s="119">
        <f t="shared" si="8"/>
        <v>-18.3</v>
      </c>
      <c r="M67" s="117">
        <v>20</v>
      </c>
      <c r="N67" s="272"/>
      <c r="O67" s="272"/>
      <c r="P67" s="119">
        <f t="shared" si="9"/>
        <v>-18.3</v>
      </c>
      <c r="Q67" s="117">
        <v>20</v>
      </c>
      <c r="R67" s="272"/>
      <c r="S67" s="272"/>
      <c r="T67" s="119">
        <f t="shared" si="10"/>
        <v>-18.3</v>
      </c>
      <c r="U67" s="117">
        <v>20</v>
      </c>
      <c r="V67" s="272"/>
      <c r="W67" s="272"/>
      <c r="X67" s="119">
        <f t="shared" si="7"/>
        <v>-18.3</v>
      </c>
    </row>
    <row r="68" spans="1:24">
      <c r="A68" s="117">
        <v>21</v>
      </c>
      <c r="B68" s="272"/>
      <c r="C68" s="272"/>
      <c r="D68" s="119">
        <f t="shared" si="11"/>
        <v>-18.3</v>
      </c>
      <c r="E68" s="117">
        <v>21</v>
      </c>
      <c r="F68" s="272"/>
      <c r="G68" s="272"/>
      <c r="H68" s="119">
        <f t="shared" si="6"/>
        <v>-18.3</v>
      </c>
      <c r="I68" s="117">
        <v>21</v>
      </c>
      <c r="J68" s="272"/>
      <c r="K68" s="272"/>
      <c r="L68" s="119">
        <f t="shared" si="8"/>
        <v>-18.3</v>
      </c>
      <c r="M68" s="117">
        <v>21</v>
      </c>
      <c r="N68" s="272"/>
      <c r="O68" s="272"/>
      <c r="P68" s="119">
        <f t="shared" si="9"/>
        <v>-18.3</v>
      </c>
      <c r="Q68" s="117">
        <v>21</v>
      </c>
      <c r="R68" s="272"/>
      <c r="S68" s="272"/>
      <c r="T68" s="119">
        <f t="shared" si="10"/>
        <v>-18.3</v>
      </c>
      <c r="U68" s="117">
        <v>21</v>
      </c>
      <c r="V68" s="272"/>
      <c r="W68" s="272"/>
      <c r="X68" s="119">
        <f t="shared" si="7"/>
        <v>-18.3</v>
      </c>
    </row>
    <row r="69" spans="1:24">
      <c r="A69" s="117">
        <v>22</v>
      </c>
      <c r="B69" s="272"/>
      <c r="C69" s="272"/>
      <c r="D69" s="119">
        <f t="shared" si="11"/>
        <v>-18.3</v>
      </c>
      <c r="E69" s="117">
        <v>22</v>
      </c>
      <c r="F69" s="272"/>
      <c r="G69" s="272"/>
      <c r="H69" s="119">
        <f t="shared" si="6"/>
        <v>-18.3</v>
      </c>
      <c r="I69" s="117">
        <v>22</v>
      </c>
      <c r="J69" s="272"/>
      <c r="K69" s="272"/>
      <c r="L69" s="119">
        <f t="shared" si="8"/>
        <v>-18.3</v>
      </c>
      <c r="M69" s="117">
        <v>22</v>
      </c>
      <c r="N69" s="272"/>
      <c r="O69" s="272"/>
      <c r="P69" s="119">
        <f t="shared" si="9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7"/>
        <v>-18.3</v>
      </c>
    </row>
    <row r="70" spans="1:24">
      <c r="A70" s="117">
        <v>23</v>
      </c>
      <c r="B70" s="272"/>
      <c r="C70" s="272"/>
      <c r="D70" s="119">
        <f t="shared" si="11"/>
        <v>-18.3</v>
      </c>
      <c r="E70" s="117">
        <v>23</v>
      </c>
      <c r="F70" s="272"/>
      <c r="G70" s="272"/>
      <c r="H70" s="119">
        <f t="shared" si="6"/>
        <v>-18.3</v>
      </c>
      <c r="I70" s="117">
        <v>23</v>
      </c>
      <c r="J70" s="272"/>
      <c r="K70" s="272"/>
      <c r="L70" s="119">
        <f t="shared" si="8"/>
        <v>-18.3</v>
      </c>
      <c r="M70" s="117">
        <v>23</v>
      </c>
      <c r="N70" s="272"/>
      <c r="O70" s="272"/>
      <c r="P70" s="119">
        <f t="shared" si="9"/>
        <v>-18.3</v>
      </c>
      <c r="Q70" s="117">
        <v>23</v>
      </c>
      <c r="R70" s="272"/>
      <c r="S70" s="272"/>
      <c r="T70" s="119">
        <f t="shared" si="10"/>
        <v>-18.3</v>
      </c>
      <c r="U70" s="117">
        <v>23</v>
      </c>
      <c r="V70" s="272"/>
      <c r="W70" s="272"/>
      <c r="X70" s="119">
        <f t="shared" si="7"/>
        <v>-18.3</v>
      </c>
    </row>
    <row r="71" spans="1:24">
      <c r="A71" s="117">
        <v>24</v>
      </c>
      <c r="B71" s="272"/>
      <c r="C71" s="272"/>
      <c r="D71" s="119">
        <f t="shared" si="11"/>
        <v>-18.3</v>
      </c>
      <c r="E71" s="117">
        <v>24</v>
      </c>
      <c r="F71" s="272"/>
      <c r="G71" s="272"/>
      <c r="H71" s="119">
        <f t="shared" si="6"/>
        <v>-18.3</v>
      </c>
      <c r="I71" s="117">
        <v>24</v>
      </c>
      <c r="J71" s="272"/>
      <c r="K71" s="272"/>
      <c r="L71" s="119">
        <f t="shared" si="8"/>
        <v>-18.3</v>
      </c>
      <c r="M71" s="117">
        <v>24</v>
      </c>
      <c r="N71" s="272"/>
      <c r="O71" s="272"/>
      <c r="P71" s="119">
        <f t="shared" si="9"/>
        <v>-18.3</v>
      </c>
      <c r="Q71" s="117">
        <v>24</v>
      </c>
      <c r="R71" s="272"/>
      <c r="S71" s="272"/>
      <c r="T71" s="119">
        <f t="shared" si="10"/>
        <v>-18.3</v>
      </c>
      <c r="U71" s="117">
        <v>24</v>
      </c>
      <c r="V71" s="272"/>
      <c r="W71" s="272"/>
      <c r="X71" s="119">
        <f t="shared" si="7"/>
        <v>-18.3</v>
      </c>
    </row>
    <row r="72" spans="1:24">
      <c r="A72" s="117">
        <v>25</v>
      </c>
      <c r="B72" s="272"/>
      <c r="C72" s="272"/>
      <c r="D72" s="119">
        <f t="shared" si="11"/>
        <v>-18.3</v>
      </c>
      <c r="E72" s="117">
        <v>25</v>
      </c>
      <c r="F72" s="272"/>
      <c r="G72" s="272"/>
      <c r="H72" s="119">
        <f t="shared" si="6"/>
        <v>-18.3</v>
      </c>
      <c r="I72" s="117">
        <v>25</v>
      </c>
      <c r="J72" s="272"/>
      <c r="K72" s="272"/>
      <c r="L72" s="119">
        <f t="shared" si="8"/>
        <v>-18.3</v>
      </c>
      <c r="M72" s="117">
        <v>25</v>
      </c>
      <c r="N72" s="272"/>
      <c r="O72" s="272"/>
      <c r="P72" s="119">
        <f t="shared" si="9"/>
        <v>-18.3</v>
      </c>
      <c r="Q72" s="117">
        <v>25</v>
      </c>
      <c r="R72" s="272"/>
      <c r="S72" s="272"/>
      <c r="T72" s="119">
        <f t="shared" si="10"/>
        <v>-18.3</v>
      </c>
      <c r="U72" s="117">
        <v>25</v>
      </c>
      <c r="V72" s="272"/>
      <c r="W72" s="272"/>
      <c r="X72" s="119">
        <f t="shared" si="7"/>
        <v>-18.3</v>
      </c>
    </row>
    <row r="73" spans="1:24">
      <c r="A73" s="117">
        <v>26</v>
      </c>
      <c r="B73" s="272"/>
      <c r="C73" s="272"/>
      <c r="D73" s="119">
        <f t="shared" si="11"/>
        <v>-18.3</v>
      </c>
      <c r="E73" s="117">
        <v>26</v>
      </c>
      <c r="F73" s="272"/>
      <c r="G73" s="272"/>
      <c r="H73" s="119">
        <f t="shared" si="6"/>
        <v>-18.3</v>
      </c>
      <c r="I73" s="117">
        <v>26</v>
      </c>
      <c r="J73" s="272"/>
      <c r="K73" s="272"/>
      <c r="L73" s="119">
        <f t="shared" si="8"/>
        <v>-18.3</v>
      </c>
      <c r="M73" s="117">
        <v>26</v>
      </c>
      <c r="N73" s="272"/>
      <c r="O73" s="272"/>
      <c r="P73" s="119">
        <f t="shared" si="9"/>
        <v>-18.3</v>
      </c>
      <c r="Q73" s="117">
        <v>26</v>
      </c>
      <c r="R73" s="272"/>
      <c r="S73" s="272"/>
      <c r="T73" s="119">
        <f t="shared" si="10"/>
        <v>-18.3</v>
      </c>
      <c r="U73" s="117">
        <v>26</v>
      </c>
      <c r="V73" s="272"/>
      <c r="W73" s="272"/>
      <c r="X73" s="119">
        <f t="shared" si="7"/>
        <v>-18.3</v>
      </c>
    </row>
    <row r="74" spans="1:24">
      <c r="A74" s="117">
        <v>27</v>
      </c>
      <c r="B74" s="272"/>
      <c r="C74" s="272"/>
      <c r="D74" s="119">
        <f t="shared" si="11"/>
        <v>-18.3</v>
      </c>
      <c r="E74" s="117">
        <v>27</v>
      </c>
      <c r="F74" s="272"/>
      <c r="G74" s="272"/>
      <c r="H74" s="119">
        <f t="shared" si="6"/>
        <v>-18.3</v>
      </c>
      <c r="I74" s="117">
        <v>27</v>
      </c>
      <c r="J74" s="272"/>
      <c r="K74" s="272"/>
      <c r="L74" s="119">
        <f t="shared" si="8"/>
        <v>-18.3</v>
      </c>
      <c r="M74" s="117">
        <v>27</v>
      </c>
      <c r="N74" s="272"/>
      <c r="O74" s="272"/>
      <c r="P74" s="119">
        <f t="shared" si="9"/>
        <v>-18.3</v>
      </c>
      <c r="Q74" s="117">
        <v>27</v>
      </c>
      <c r="R74" s="272"/>
      <c r="S74" s="272"/>
      <c r="T74" s="119">
        <f t="shared" si="10"/>
        <v>-18.3</v>
      </c>
      <c r="U74" s="117">
        <v>27</v>
      </c>
      <c r="V74" s="272"/>
      <c r="W74" s="272"/>
      <c r="X74" s="119">
        <f t="shared" si="7"/>
        <v>-18.3</v>
      </c>
    </row>
    <row r="75" spans="1:24">
      <c r="A75" s="117">
        <v>28</v>
      </c>
      <c r="B75" s="272"/>
      <c r="C75" s="272"/>
      <c r="D75" s="119">
        <f t="shared" si="11"/>
        <v>-18.3</v>
      </c>
      <c r="E75" s="117">
        <v>28</v>
      </c>
      <c r="F75" s="272"/>
      <c r="G75" s="272"/>
      <c r="H75" s="119">
        <f t="shared" si="6"/>
        <v>-18.3</v>
      </c>
      <c r="I75" s="117">
        <v>28</v>
      </c>
      <c r="J75" s="272"/>
      <c r="K75" s="272"/>
      <c r="L75" s="119">
        <f t="shared" si="8"/>
        <v>-18.3</v>
      </c>
      <c r="M75" s="117">
        <v>28</v>
      </c>
      <c r="N75" s="272"/>
      <c r="O75" s="272"/>
      <c r="P75" s="119">
        <f t="shared" si="9"/>
        <v>-18.3</v>
      </c>
      <c r="Q75" s="117">
        <v>28</v>
      </c>
      <c r="R75" s="272"/>
      <c r="S75" s="272"/>
      <c r="T75" s="119">
        <f t="shared" si="10"/>
        <v>-18.3</v>
      </c>
      <c r="U75" s="117">
        <v>28</v>
      </c>
      <c r="V75" s="272"/>
      <c r="W75" s="272"/>
      <c r="X75" s="119">
        <f t="shared" si="7"/>
        <v>-18.3</v>
      </c>
    </row>
    <row r="76" spans="1:24">
      <c r="A76" s="117">
        <v>29</v>
      </c>
      <c r="B76" s="272"/>
      <c r="C76" s="272"/>
      <c r="D76" s="119">
        <f t="shared" si="11"/>
        <v>-18.3</v>
      </c>
      <c r="E76" s="117">
        <v>29</v>
      </c>
      <c r="F76" s="272"/>
      <c r="G76" s="272"/>
      <c r="H76" s="119">
        <f t="shared" si="6"/>
        <v>-18.3</v>
      </c>
      <c r="I76" s="117">
        <v>29</v>
      </c>
      <c r="J76" s="272"/>
      <c r="K76" s="272"/>
      <c r="L76" s="119">
        <f t="shared" si="8"/>
        <v>-18.3</v>
      </c>
      <c r="M76" s="117">
        <v>29</v>
      </c>
      <c r="N76" s="272"/>
      <c r="O76" s="272"/>
      <c r="P76" s="119">
        <f t="shared" si="9"/>
        <v>-18.3</v>
      </c>
      <c r="Q76" s="117">
        <v>29</v>
      </c>
      <c r="R76" s="272"/>
      <c r="S76" s="272"/>
      <c r="T76" s="119">
        <f t="shared" si="10"/>
        <v>-18.3</v>
      </c>
      <c r="U76" s="117">
        <v>29</v>
      </c>
      <c r="V76" s="272"/>
      <c r="W76" s="272"/>
      <c r="X76" s="119">
        <f t="shared" si="7"/>
        <v>-18.3</v>
      </c>
    </row>
    <row r="77" spans="1:24">
      <c r="A77" s="117">
        <v>30</v>
      </c>
      <c r="B77" s="272"/>
      <c r="C77" s="272"/>
      <c r="D77" s="119">
        <f t="shared" si="11"/>
        <v>-18.3</v>
      </c>
      <c r="E77" s="117">
        <v>30</v>
      </c>
      <c r="F77" s="272"/>
      <c r="G77" s="272"/>
      <c r="H77" s="119">
        <f t="shared" si="6"/>
        <v>-18.3</v>
      </c>
      <c r="I77" s="117">
        <v>30</v>
      </c>
      <c r="J77" s="272"/>
      <c r="K77" s="272"/>
      <c r="L77" s="119">
        <f t="shared" si="8"/>
        <v>-18.3</v>
      </c>
      <c r="M77" s="117">
        <v>30</v>
      </c>
      <c r="N77" s="272"/>
      <c r="O77" s="272"/>
      <c r="P77" s="119">
        <f t="shared" si="9"/>
        <v>-18.3</v>
      </c>
      <c r="Q77" s="117">
        <v>30</v>
      </c>
      <c r="R77" s="272"/>
      <c r="S77" s="272"/>
      <c r="T77" s="119">
        <f t="shared" si="10"/>
        <v>-18.3</v>
      </c>
      <c r="U77" s="117">
        <v>30</v>
      </c>
      <c r="V77" s="272"/>
      <c r="W77" s="272"/>
      <c r="X77" s="119">
        <f t="shared" si="7"/>
        <v>-18.3</v>
      </c>
    </row>
    <row r="78" spans="1:24">
      <c r="A78" s="120">
        <v>31</v>
      </c>
      <c r="B78" s="272"/>
      <c r="C78" s="272"/>
      <c r="D78" s="119">
        <f t="shared" si="11"/>
        <v>-18.3</v>
      </c>
      <c r="E78" s="120">
        <v>31</v>
      </c>
      <c r="F78" s="272"/>
      <c r="G78" s="272"/>
      <c r="H78" s="119">
        <f t="shared" si="6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9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7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65" t="s">
        <v>174</v>
      </c>
      <c r="O84" s="765" t="s">
        <v>175</v>
      </c>
      <c r="P84" s="134"/>
      <c r="T84" s="134"/>
      <c r="X84" s="134"/>
    </row>
    <row r="85" spans="1:24" ht="20.25" thickBot="1">
      <c r="D85" s="134"/>
      <c r="I85" s="767" t="s">
        <v>182</v>
      </c>
      <c r="J85" s="768"/>
      <c r="K85" s="768"/>
      <c r="L85" s="768"/>
      <c r="N85" s="766"/>
      <c r="O85" s="766"/>
      <c r="P85" s="134"/>
      <c r="R85" s="17"/>
      <c r="S85" s="17"/>
      <c r="T85" s="140"/>
      <c r="U85" s="141"/>
      <c r="X85" s="134"/>
    </row>
    <row r="86" spans="1:24" ht="18.75" thickBot="1">
      <c r="D86" s="134"/>
      <c r="I86" s="769" t="s">
        <v>183</v>
      </c>
      <c r="J86" s="769"/>
      <c r="K86" s="769"/>
      <c r="L86" s="769"/>
      <c r="N86" s="142">
        <f>B43+F43+J43+N43+R43+V43+B81+F81+J81+N81+R81+V81</f>
        <v>-4143.2000000000007</v>
      </c>
      <c r="O86" s="142">
        <f>C43+G43+K43+O43+S43+W43+C81+G81+K81+O81+S81+W81</f>
        <v>233.3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59"/>
      <c r="C88" s="759"/>
      <c r="D88" s="759"/>
      <c r="E88" s="759"/>
      <c r="F88" s="759"/>
      <c r="G88" s="759"/>
      <c r="H88" s="759"/>
      <c r="I88" s="759"/>
      <c r="J88" s="759"/>
      <c r="K88" s="759"/>
      <c r="L88" s="759"/>
      <c r="M88" s="759"/>
      <c r="N88" s="759"/>
      <c r="O88" s="759"/>
      <c r="P88" s="759"/>
      <c r="Q88" s="759"/>
      <c r="R88" s="759"/>
      <c r="S88" s="759"/>
      <c r="T88" s="759"/>
      <c r="U88" s="759"/>
      <c r="V88" s="759"/>
      <c r="W88" s="759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B15" sqref="B15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73" t="s">
        <v>216</v>
      </c>
      <c r="B2" s="773"/>
      <c r="C2" s="773"/>
      <c r="D2" s="773"/>
      <c r="E2" s="773"/>
      <c r="F2" s="773"/>
      <c r="G2" s="773"/>
      <c r="H2" s="773"/>
      <c r="I2" s="773"/>
    </row>
    <row r="3" spans="1:11">
      <c r="A3" s="193">
        <v>44320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31</v>
      </c>
      <c r="G4" s="195">
        <v>31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WATER!C37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9">
        <v>0</v>
      </c>
      <c r="J6" s="276"/>
    </row>
    <row r="7" spans="1:11">
      <c r="A7" s="184" t="s">
        <v>218</v>
      </c>
      <c r="B7" s="350">
        <f>WATER!H37</f>
        <v>1660</v>
      </c>
      <c r="C7" s="184">
        <v>8200</v>
      </c>
      <c r="D7" s="187">
        <f>SUM(C7)*D4</f>
        <v>12361500</v>
      </c>
      <c r="E7" s="185">
        <f>SUM(I7/G4)</f>
        <v>264.51612903225805</v>
      </c>
      <c r="F7" s="185">
        <f>SUM(E7*F4)</f>
        <v>8200</v>
      </c>
      <c r="G7" s="507">
        <v>8200</v>
      </c>
      <c r="H7" s="189">
        <f>'[13]Budget 2021'!$C$15</f>
        <v>8200</v>
      </c>
      <c r="I7" s="185">
        <f>'[13]Budget 2021'!$C$15</f>
        <v>8200</v>
      </c>
      <c r="J7" s="276"/>
    </row>
    <row r="8" spans="1:11">
      <c r="A8" s="190" t="s">
        <v>219</v>
      </c>
      <c r="B8" s="351">
        <f>tanks!AT37</f>
        <v>60003.8</v>
      </c>
      <c r="C8" s="490">
        <f>SUM(tanks!AU37)</f>
        <v>0.99039999999999995</v>
      </c>
      <c r="D8" s="191">
        <f>SUM(B8*C8)*D4</f>
        <v>89587353.506400004</v>
      </c>
      <c r="E8" s="192">
        <f>SUM(D8/D4/F4)</f>
        <v>1917.0246296774194</v>
      </c>
      <c r="F8" s="192">
        <f>SUM(E8*F4)</f>
        <v>59427.76352</v>
      </c>
      <c r="G8" s="507">
        <f>E8*$F$4</f>
        <v>59427.76352</v>
      </c>
      <c r="H8" s="189">
        <v>18139</v>
      </c>
      <c r="I8" s="192">
        <v>18139</v>
      </c>
      <c r="J8" s="276"/>
    </row>
    <row r="9" spans="1:11">
      <c r="A9" s="2" t="s">
        <v>414</v>
      </c>
      <c r="B9" s="352">
        <f>'B5'!AV36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7">
        <f>E9*$G$4</f>
        <v>0</v>
      </c>
      <c r="H9" s="189">
        <v>0</v>
      </c>
      <c r="I9" s="189">
        <v>0</v>
      </c>
      <c r="J9" s="276"/>
    </row>
    <row r="10" spans="1:11">
      <c r="A10" s="181" t="s">
        <v>220</v>
      </c>
      <c r="B10" s="353">
        <f>'EDl log'!AA29</f>
        <v>48987</v>
      </c>
      <c r="C10" s="181"/>
      <c r="D10" s="183">
        <f>'EDl log'!AB33</f>
        <v>13197997</v>
      </c>
      <c r="E10" s="182">
        <f>SUM(D10/D4/F4)</f>
        <v>282.41581340608781</v>
      </c>
      <c r="F10" s="182">
        <f>SUM(E10*F4)</f>
        <v>8754.8902155887226</v>
      </c>
      <c r="G10" s="507">
        <f>E10*$G$4</f>
        <v>8754.8902155887226</v>
      </c>
      <c r="H10" s="189">
        <v>19000</v>
      </c>
      <c r="I10" s="278"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2463.9565721157651</v>
      </c>
      <c r="F12" s="180">
        <f>SUM(F6:F10)</f>
        <v>76382.653735588727</v>
      </c>
      <c r="G12" s="179">
        <f>SUM(G6:G10)</f>
        <v>76382.653735588727</v>
      </c>
      <c r="H12" s="179">
        <f>SUM(H6:H11)</f>
        <v>45339</v>
      </c>
      <c r="I12" s="221">
        <f>SUM(I6:I11)</f>
        <v>45339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8" t="s">
        <v>302</v>
      </c>
      <c r="B14" s="97">
        <f>'Degree Days 2020'!AB14</f>
        <v>157.19999999999999</v>
      </c>
      <c r="C14" s="433">
        <f>'[14]Utility Cost '!B14</f>
        <v>25.29999999999999</v>
      </c>
      <c r="D14" s="170"/>
      <c r="E14" s="170">
        <f t="shared" ref="E14:E18" si="0">B14-C14</f>
        <v>131.9</v>
      </c>
      <c r="F14" s="506">
        <v>0</v>
      </c>
      <c r="G14" s="422"/>
      <c r="H14" s="423">
        <f>SUM(G12-H12)</f>
        <v>31043.653735588727</v>
      </c>
      <c r="I14" s="423">
        <f>SUM(G12-I12)</f>
        <v>31043.653735588727</v>
      </c>
    </row>
    <row r="15" spans="1:11">
      <c r="A15" s="448" t="s">
        <v>303</v>
      </c>
      <c r="B15" s="97">
        <f>'Degree Days 2020'!AA14</f>
        <v>0</v>
      </c>
      <c r="C15" s="433">
        <f>'[14]Utility Cost '!B15</f>
        <v>-54.600000000000009</v>
      </c>
      <c r="D15" s="170"/>
      <c r="E15" s="170">
        <f t="shared" si="0"/>
        <v>54.600000000000009</v>
      </c>
      <c r="F15" s="506">
        <v>0</v>
      </c>
      <c r="G15" s="422"/>
      <c r="H15" s="17"/>
      <c r="I15" s="17"/>
      <c r="J15" s="17"/>
    </row>
    <row r="16" spans="1:11">
      <c r="A16" s="448" t="s">
        <v>304</v>
      </c>
      <c r="B16" s="558">
        <f>'General information '!D38</f>
        <v>20.951612903225808</v>
      </c>
      <c r="C16" s="432">
        <f>'[14]Utility Cost '!B16</f>
        <v>22.516129032258064</v>
      </c>
      <c r="D16" s="432"/>
      <c r="E16" s="433">
        <f t="shared" si="0"/>
        <v>-1.5645161290322562</v>
      </c>
      <c r="F16" s="526">
        <v>0</v>
      </c>
      <c r="G16" s="422"/>
      <c r="H16" s="17"/>
      <c r="I16" s="17"/>
      <c r="J16" s="17"/>
    </row>
    <row r="17" spans="1:10">
      <c r="A17" s="518" t="s">
        <v>316</v>
      </c>
      <c r="B17" s="521">
        <f>'General information '!F37</f>
        <v>0</v>
      </c>
      <c r="C17" s="520">
        <f>'[14]Utility Cost '!B17</f>
        <v>1.9296774193548385E-2</v>
      </c>
      <c r="D17" s="476">
        <v>0</v>
      </c>
      <c r="E17" s="520">
        <f t="shared" si="0"/>
        <v>-1.9296774193548385E-2</v>
      </c>
      <c r="F17" s="524">
        <f>B17-D17</f>
        <v>0</v>
      </c>
      <c r="G17" s="17"/>
      <c r="H17" s="17"/>
      <c r="I17" s="17"/>
      <c r="J17" s="17"/>
    </row>
    <row r="18" spans="1:10">
      <c r="A18" s="519" t="s">
        <v>386</v>
      </c>
      <c r="B18" s="523">
        <f>GEN!Z34</f>
        <v>339</v>
      </c>
      <c r="C18" s="432">
        <f>'[14]Utility Cost '!B18</f>
        <v>119.48999999999978</v>
      </c>
      <c r="D18" s="430">
        <f>'[13]Other Fuel Calculation 2021'!$C$117</f>
        <v>172.73885330486587</v>
      </c>
      <c r="E18" s="522">
        <f t="shared" si="0"/>
        <v>219.51000000000022</v>
      </c>
      <c r="F18" s="525">
        <f>B18-D18</f>
        <v>166.26114669513413</v>
      </c>
    </row>
    <row r="19" spans="1:10">
      <c r="A19" s="519" t="s">
        <v>411</v>
      </c>
      <c r="B19" s="517">
        <f>SUM(B18/$F$4)</f>
        <v>10.935483870967742</v>
      </c>
      <c r="C19" s="643">
        <f>'[14]Utility Cost '!B19</f>
        <v>3.8545161290322509</v>
      </c>
      <c r="D19" s="431"/>
      <c r="E19" s="431"/>
      <c r="F19" s="50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6" workbookViewId="0">
      <selection activeCell="F23" sqref="E23:F23"/>
    </sheetView>
  </sheetViews>
  <sheetFormatPr defaultRowHeight="15"/>
  <cols>
    <col min="2" max="2" width="12" bestFit="1" customWidth="1"/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2021-06-01T09:41:45Z</dcterms:modified>
</cp:coreProperties>
</file>