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<sst xmlns="http://schemas.openxmlformats.org/spreadsheetml/2006/main" count="124" uniqueCount="49">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</sst>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787.36527999999998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761.62449199999992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761.62449199999992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982.313895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1134.4873769999999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110390</v>
      </c>
      <c r="F17" s="11">
        <v>5.0000000000000001E-3</v>
      </c>
      <c r="G17" s="12">
        <f>Submetering!R17</f>
        <v>157.094515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787.36527999999998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761.62449199999992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761.62449199999992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982.313895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1134.4873769999999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157.094515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R1" zoomScale="93" zoomScaleNormal="93" workbookViewId="0">
      <selection activeCell="AR20" sqref="AR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788494</v>
      </c>
      <c r="AV17" s="37">
        <f t="shared" si="31"/>
        <v>2080</v>
      </c>
      <c r="AW17" s="35">
        <f t="shared" si="30"/>
        <v>4.16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790506</v>
      </c>
      <c r="AV18" s="37">
        <f t="shared" si="31"/>
        <v>2012</v>
      </c>
      <c r="AW18" s="35">
        <f t="shared" si="30"/>
        <v>4.024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792518</v>
      </c>
      <c r="AV19" s="37">
        <f t="shared" si="31"/>
        <v>2012</v>
      </c>
      <c r="AW19" s="35">
        <f t="shared" si="30"/>
        <v>4.024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795113</v>
      </c>
      <c r="AV20" s="37">
        <f t="shared" si="31"/>
        <v>2595</v>
      </c>
      <c r="AW20" s="35">
        <f t="shared" si="30"/>
        <v>5.19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798110</v>
      </c>
      <c r="AV21" s="37">
        <f t="shared" si="31"/>
        <v>2997</v>
      </c>
      <c r="AW21" s="35">
        <f t="shared" si="30"/>
        <v>5.9939999999999998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7299040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110390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551.94999999999993</v>
      </c>
      <c r="AU22" s="47">
        <v>798525</v>
      </c>
      <c r="AV22" s="37">
        <f t="shared" si="31"/>
        <v>415</v>
      </c>
      <c r="AW22" s="35">
        <f t="shared" si="30"/>
        <v>0.83000000000000007</v>
      </c>
    </row>
    <row r="23" spans="1:49" x14ac:dyDescent="0.25">
      <c r="A23" s="23">
        <v>43878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43879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si="16"/>
        <v>0</v>
      </c>
      <c r="R25" s="37">
        <f t="shared" si="17"/>
        <v>0</v>
      </c>
      <c r="S25" s="37">
        <f t="shared" ref="S25:AC27" si="33">IF((E25-E24&lt;0), "0",E25-E24)</f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16"/>
        <v>0</v>
      </c>
      <c r="R26" s="37">
        <f t="shared" si="17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16"/>
        <v>0</v>
      </c>
      <c r="R27" s="37">
        <f t="shared" si="17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8580</v>
      </c>
      <c r="R36" s="38">
        <f>SUM(R7:R35)</f>
        <v>120230</v>
      </c>
      <c r="S36" s="38">
        <f>SUM(S7:S35)</f>
        <v>11360</v>
      </c>
      <c r="T36" s="38">
        <f>SUM(T7:T35)</f>
        <v>22390</v>
      </c>
      <c r="U36" s="38">
        <f>SUM(U7:U35)</f>
        <v>111100</v>
      </c>
      <c r="V36" s="30">
        <f>SUM(V3:V7)</f>
        <v>8487680</v>
      </c>
      <c r="W36" s="38">
        <f t="shared" ref="W36:AD36" si="35">SUM(W7:W35)</f>
        <v>52930</v>
      </c>
      <c r="X36" s="38">
        <f t="shared" si="35"/>
        <v>75090</v>
      </c>
      <c r="Y36" s="38">
        <f t="shared" si="35"/>
        <v>141260</v>
      </c>
      <c r="Z36" s="38">
        <f t="shared" si="35"/>
        <v>47350</v>
      </c>
      <c r="AA36" s="38">
        <f t="shared" si="35"/>
        <v>59370</v>
      </c>
      <c r="AB36" s="38">
        <f t="shared" si="35"/>
        <v>112560</v>
      </c>
      <c r="AC36" s="38">
        <f t="shared" si="35"/>
        <v>254600</v>
      </c>
      <c r="AD36" s="34">
        <f t="shared" si="35"/>
        <v>1093690</v>
      </c>
      <c r="AF36" s="35">
        <f t="shared" ref="AF36:AS36" si="36">SUM(AF7:AF35)</f>
        <v>42.900000000000006</v>
      </c>
      <c r="AG36" s="35">
        <f t="shared" si="36"/>
        <v>601.15</v>
      </c>
      <c r="AH36" s="35">
        <f t="shared" si="36"/>
        <v>56.800000000000004</v>
      </c>
      <c r="AI36" s="35">
        <f t="shared" si="36"/>
        <v>111.94999999999999</v>
      </c>
      <c r="AJ36" s="35">
        <f t="shared" si="36"/>
        <v>555.5</v>
      </c>
      <c r="AK36" s="35">
        <f t="shared" si="36"/>
        <v>384.35</v>
      </c>
      <c r="AL36" s="35">
        <f t="shared" si="36"/>
        <v>264.64999999999998</v>
      </c>
      <c r="AM36" s="35">
        <f t="shared" si="36"/>
        <v>375.45000000000005</v>
      </c>
      <c r="AN36" s="35">
        <f t="shared" si="36"/>
        <v>706.3</v>
      </c>
      <c r="AO36" s="35">
        <f t="shared" si="36"/>
        <v>236.75</v>
      </c>
      <c r="AP36" s="35">
        <f t="shared" si="36"/>
        <v>296.85000000000002</v>
      </c>
      <c r="AQ36" s="35">
        <f t="shared" si="36"/>
        <v>562.79999999999995</v>
      </c>
      <c r="AR36" s="35">
        <f t="shared" si="36"/>
        <v>1273</v>
      </c>
      <c r="AS36" s="35">
        <f t="shared" si="36"/>
        <v>5468.45</v>
      </c>
      <c r="AU36" s="48"/>
      <c r="AV36" s="34">
        <f>SUM(AV7:AV35)</f>
        <v>29973</v>
      </c>
      <c r="AW36" s="34">
        <f>SUM(AW7:AW35)</f>
        <v>53.98</v>
      </c>
    </row>
    <row r="37" spans="1:49" x14ac:dyDescent="0.25">
      <c r="D37">
        <v>5.0000000000000001E-3</v>
      </c>
      <c r="AV37" s="36">
        <f>AV36*0.00378541*1000</f>
        <v>113460.09393</v>
      </c>
    </row>
    <row r="38" spans="1:49" x14ac:dyDescent="0.25">
      <c r="D38">
        <v>2E-3</v>
      </c>
      <c r="AV38">
        <f>AV37/31</f>
        <v>3660.0030300000003</v>
      </c>
    </row>
    <row r="39" spans="1:49" x14ac:dyDescent="0.25">
      <c r="AV39">
        <f>AV36*0.00378541</f>
        <v>113.46009393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2020-02-17T08:01:59Z</dcterms:modified>
</cp:coreProperties>
</file>