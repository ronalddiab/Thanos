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0730" windowHeight="11160" tabRatio="848"/>
  </bookViews>
  <sheets>
    <sheet name="TOTAL" sheetId="47" r:id="rId1"/>
    <sheet name="Daily HLP" sheetId="1" r:id="rId2"/>
    <sheet name="Occupancy" sheetId="48" r:id="rId3"/>
    <sheet name="Water Report" sheetId="45" r:id="rId4"/>
    <sheet name="Section Load" sheetId="44" r:id="rId5"/>
    <sheet name="1" sheetId="2" r:id="rId6"/>
    <sheet name="2" sheetId="3" r:id="rId7"/>
    <sheet name="3" sheetId="4" r:id="rId8"/>
    <sheet name="4" sheetId="5" r:id="rId9"/>
    <sheet name="5" sheetId="33" r:id="rId10"/>
    <sheet name="6" sheetId="7" r:id="rId11"/>
    <sheet name="7" sheetId="8" r:id="rId12"/>
    <sheet name="8" sheetId="9" r:id="rId13"/>
    <sheet name="9" sheetId="10" r:id="rId14"/>
    <sheet name="10" sheetId="11" r:id="rId15"/>
    <sheet name="11" sheetId="12" r:id="rId16"/>
    <sheet name="12" sheetId="13" r:id="rId17"/>
    <sheet name="13" sheetId="14" r:id="rId18"/>
    <sheet name="14" sheetId="15" r:id="rId19"/>
    <sheet name="15" sheetId="16" r:id="rId20"/>
    <sheet name="16" sheetId="17" r:id="rId21"/>
    <sheet name="17" sheetId="18" r:id="rId22"/>
    <sheet name="18" sheetId="19" r:id="rId23"/>
    <sheet name="19" sheetId="20" r:id="rId24"/>
    <sheet name="20" sheetId="21" r:id="rId25"/>
    <sheet name="21" sheetId="22" r:id="rId26"/>
    <sheet name="22" sheetId="23" r:id="rId27"/>
    <sheet name="23" sheetId="24" r:id="rId28"/>
    <sheet name="24" sheetId="25" r:id="rId29"/>
    <sheet name="25" sheetId="40" r:id="rId30"/>
    <sheet name="26" sheetId="27" r:id="rId31"/>
    <sheet name="27" sheetId="28" r:id="rId32"/>
    <sheet name="28" sheetId="29" r:id="rId33"/>
    <sheet name="29" sheetId="30" r:id="rId34"/>
    <sheet name="30" sheetId="43" r:id="rId35"/>
    <sheet name="31" sheetId="31" r:id="rId36"/>
    <sheet name="Daily HLP (2)" sheetId="35" r:id="rId37"/>
    <sheet name="Sheet1" sheetId="41" r:id="rId38"/>
    <sheet name="Sheet2" sheetId="42" r:id="rId39"/>
    <sheet name="Sheet3" sheetId="46" r:id="rId40"/>
  </sheets>
  <externalReferences>
    <externalReference r:id="rId41"/>
    <externalReference r:id="rId42"/>
    <externalReference r:id="rId43"/>
    <externalReference r:id="rId44"/>
  </externalReferences>
  <definedNames>
    <definedName name="_xlnm.Print_Area" localSheetId="5">'1'!$A$1:$M$171</definedName>
    <definedName name="_xlnm.Print_Area" localSheetId="14">'10'!$A$1:$M$200</definedName>
    <definedName name="_xlnm.Print_Area" localSheetId="17">'13'!$A$1:$P$172</definedName>
    <definedName name="_xlnm.Print_Area" localSheetId="18">'14'!$A$1:$J$175</definedName>
    <definedName name="_xlnm.Print_Area" localSheetId="19">'15'!$A$1:$J$175</definedName>
    <definedName name="_xlnm.Print_Area" localSheetId="20">'16'!$A$1:$J$175</definedName>
    <definedName name="_xlnm.Print_Area" localSheetId="21">'17'!$A$1:$J$175</definedName>
    <definedName name="_xlnm.Print_Area" localSheetId="22">'18'!$A$1:$J$176</definedName>
    <definedName name="_xlnm.Print_Area" localSheetId="23">'19'!$A$1:$J$175</definedName>
    <definedName name="_xlnm.Print_Area" localSheetId="24">'20'!$A$1:$J$175</definedName>
    <definedName name="_xlnm.Print_Area" localSheetId="25">'21'!$A$1:$J$175</definedName>
    <definedName name="_xlnm.Print_Area" localSheetId="26">'22'!$A$1:$J$153</definedName>
    <definedName name="_xlnm.Print_Area" localSheetId="27">'23'!$A$1:$J$172</definedName>
    <definedName name="_xlnm.Print_Area" localSheetId="28">'24'!$A$1:$J$153</definedName>
    <definedName name="_xlnm.Print_Area" localSheetId="29">'25'!$A$1:$J$153</definedName>
    <definedName name="_xlnm.Print_Area" localSheetId="30">'26'!$A$1:$J$153</definedName>
    <definedName name="_xlnm.Print_Area" localSheetId="31">'27'!$A$1:$J$153</definedName>
    <definedName name="_xlnm.Print_Area" localSheetId="32">'28'!$A$1:$J$153</definedName>
    <definedName name="_xlnm.Print_Area" localSheetId="33">'29'!$A$1:$M$172</definedName>
    <definedName name="_xlnm.Print_Area" localSheetId="34">'30'!$A$1:$J$172</definedName>
    <definedName name="_xlnm.Print_Area" localSheetId="35">'31'!$A$1:$J$172</definedName>
    <definedName name="_xlnm.Print_Area" localSheetId="8">'4'!$A$1:$J$153</definedName>
    <definedName name="_xlnm.Print_Area" localSheetId="10">'6'!$A$1:$J$153</definedName>
    <definedName name="_xlnm.Print_Area" localSheetId="11">'7'!$A$1:$J$153</definedName>
    <definedName name="_xlnm.Print_Area" localSheetId="12">'8'!$A$1:$J$153</definedName>
    <definedName name="_xlnm.Print_Area" localSheetId="13">'9'!$A$1:$J$153</definedName>
  </definedNames>
  <calcPr calcId="124519"/>
</workbook>
</file>

<file path=xl/calcChain.xml><?xml version="1.0" encoding="utf-8"?>
<calcChain xmlns="http://schemas.openxmlformats.org/spreadsheetml/2006/main">
  <c r="G30" i="48"/>
  <c r="G29"/>
  <c r="G28"/>
  <c r="G27"/>
  <c r="G26"/>
  <c r="G25"/>
  <c r="G24"/>
  <c r="E124" i="30"/>
  <c r="E125"/>
  <c r="E126"/>
  <c r="E127"/>
  <c r="E87"/>
  <c r="E88"/>
  <c r="E89"/>
  <c r="E9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50"/>
  <c r="E51"/>
  <c r="E52"/>
  <c r="E53"/>
  <c r="E54"/>
  <c r="E55"/>
  <c r="E56"/>
  <c r="E57"/>
  <c r="E58"/>
  <c r="E87" i="29"/>
  <c r="E88"/>
  <c r="E89"/>
  <c r="E90"/>
  <c r="E110" i="27"/>
  <c r="E111"/>
  <c r="E96" i="29"/>
  <c r="E97"/>
  <c r="E98"/>
  <c r="E99"/>
  <c r="E100"/>
  <c r="E124"/>
  <c r="E125"/>
  <c r="E126"/>
  <c r="E127"/>
  <c r="E73"/>
  <c r="E74"/>
  <c r="E75"/>
  <c r="E76"/>
  <c r="E77"/>
  <c r="E78"/>
  <c r="E79"/>
  <c r="E80"/>
  <c r="E81"/>
  <c r="E82"/>
  <c r="E83"/>
  <c r="E84"/>
  <c r="E50" i="28"/>
  <c r="E51"/>
  <c r="E52"/>
  <c r="E53"/>
  <c r="E54"/>
  <c r="E55"/>
  <c r="E56"/>
  <c r="E57"/>
  <c r="E58"/>
  <c r="E124"/>
  <c r="E125"/>
  <c r="E126"/>
  <c r="E127"/>
  <c r="E131"/>
  <c r="E132"/>
  <c r="E133"/>
  <c r="E134"/>
  <c r="E135"/>
  <c r="E136"/>
  <c r="E137"/>
  <c r="E138"/>
  <c r="E139"/>
  <c r="E140"/>
  <c r="E73"/>
  <c r="E74"/>
  <c r="E75"/>
  <c r="E76"/>
  <c r="E77"/>
  <c r="E78"/>
  <c r="E79"/>
  <c r="E80"/>
  <c r="E81"/>
  <c r="E82"/>
  <c r="E83"/>
  <c r="E84"/>
  <c r="E63"/>
  <c r="E64"/>
  <c r="E65"/>
  <c r="E66"/>
  <c r="E67"/>
  <c r="E68"/>
  <c r="E69"/>
  <c r="E36"/>
  <c r="E37"/>
  <c r="E38"/>
  <c r="E39"/>
  <c r="E40"/>
  <c r="E41"/>
  <c r="E42"/>
  <c r="E43"/>
  <c r="E44"/>
  <c r="E45"/>
  <c r="E46"/>
  <c r="E131" i="27"/>
  <c r="E132"/>
  <c r="E133"/>
  <c r="E134"/>
  <c r="E135"/>
  <c r="E136"/>
  <c r="E137"/>
  <c r="E138"/>
  <c r="E139"/>
  <c r="E140"/>
  <c r="E87" i="40"/>
  <c r="E88"/>
  <c r="E89"/>
  <c r="E90"/>
  <c r="G3" i="48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"/>
  <c r="E2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41" i="22"/>
  <c r="E166" i="17"/>
  <c r="E167"/>
  <c r="E168"/>
  <c r="E169"/>
  <c r="E170"/>
  <c r="E171"/>
  <c r="E161"/>
  <c r="E163"/>
  <c r="E164"/>
  <c r="E165"/>
  <c r="E73" i="13"/>
  <c r="E161" i="12"/>
  <c r="E162"/>
  <c r="E163"/>
  <c r="E160"/>
  <c r="F166"/>
  <c r="F167"/>
  <c r="F168"/>
  <c r="F169"/>
  <c r="F170"/>
  <c r="F171"/>
  <c r="F165"/>
  <c r="E164"/>
  <c r="O142"/>
  <c r="E55" i="11"/>
  <c r="E162"/>
  <c r="E163"/>
  <c r="G163" s="1"/>
  <c r="E164"/>
  <c r="E165"/>
  <c r="E166"/>
  <c r="E167"/>
  <c r="E168"/>
  <c r="E169"/>
  <c r="E170"/>
  <c r="E171"/>
  <c r="E160"/>
  <c r="G160" s="1"/>
  <c r="E161"/>
  <c r="G161" s="1"/>
  <c r="F171"/>
  <c r="F170"/>
  <c r="G170" s="1"/>
  <c r="F169"/>
  <c r="F168"/>
  <c r="G168" s="1"/>
  <c r="F167"/>
  <c r="F166"/>
  <c r="F165"/>
  <c r="G165" s="1"/>
  <c r="F164"/>
  <c r="G162"/>
  <c r="E161" i="10"/>
  <c r="E162"/>
  <c r="E163"/>
  <c r="E164"/>
  <c r="G164" s="1"/>
  <c r="E165"/>
  <c r="E166"/>
  <c r="E167"/>
  <c r="E168"/>
  <c r="E169"/>
  <c r="E170"/>
  <c r="E171"/>
  <c r="E160"/>
  <c r="G160" s="1"/>
  <c r="F171"/>
  <c r="F170"/>
  <c r="G170" s="1"/>
  <c r="F169"/>
  <c r="F168"/>
  <c r="F167"/>
  <c r="F166"/>
  <c r="F165"/>
  <c r="G165"/>
  <c r="F164"/>
  <c r="G163"/>
  <c r="G162"/>
  <c r="G161"/>
  <c r="E161" i="9"/>
  <c r="E162"/>
  <c r="E163"/>
  <c r="E164"/>
  <c r="G164" s="1"/>
  <c r="E165"/>
  <c r="G165" s="1"/>
  <c r="E166"/>
  <c r="E167"/>
  <c r="E168"/>
  <c r="E169"/>
  <c r="E170"/>
  <c r="E171"/>
  <c r="G171" s="1"/>
  <c r="E160"/>
  <c r="G160" s="1"/>
  <c r="F171"/>
  <c r="F170"/>
  <c r="G170" s="1"/>
  <c r="F169"/>
  <c r="G169"/>
  <c r="F168"/>
  <c r="F167"/>
  <c r="F166"/>
  <c r="F165"/>
  <c r="F164"/>
  <c r="G163"/>
  <c r="G162"/>
  <c r="G161"/>
  <c r="E161" i="8"/>
  <c r="E162"/>
  <c r="G162" s="1"/>
  <c r="E163"/>
  <c r="E164"/>
  <c r="E165"/>
  <c r="E166"/>
  <c r="G166" s="1"/>
  <c r="E167"/>
  <c r="E168"/>
  <c r="G168" s="1"/>
  <c r="E169"/>
  <c r="E170"/>
  <c r="G170" s="1"/>
  <c r="E171"/>
  <c r="E160"/>
  <c r="G160" s="1"/>
  <c r="F171"/>
  <c r="G171" s="1"/>
  <c r="F170"/>
  <c r="F169"/>
  <c r="F168"/>
  <c r="F167"/>
  <c r="F166"/>
  <c r="F165"/>
  <c r="F164"/>
  <c r="G164"/>
  <c r="G163"/>
  <c r="G161"/>
  <c r="H121" i="33"/>
  <c r="H108" i="3"/>
  <c r="H108" i="4" s="1"/>
  <c r="H108" i="5" s="1"/>
  <c r="H108" i="33" s="1"/>
  <c r="H108" i="7" s="1"/>
  <c r="H108" i="8" s="1"/>
  <c r="H108" i="9" s="1"/>
  <c r="H108" i="10" s="1"/>
  <c r="H113" i="3"/>
  <c r="H113" i="4" s="1"/>
  <c r="H113" i="5" s="1"/>
  <c r="H113" i="33" s="1"/>
  <c r="H113" i="7" s="1"/>
  <c r="H113" i="8" s="1"/>
  <c r="H113" i="9" s="1"/>
  <c r="H113" i="10" s="1"/>
  <c r="H113" i="11" s="1"/>
  <c r="H116" i="3"/>
  <c r="H116" i="4" s="1"/>
  <c r="H116" i="5" s="1"/>
  <c r="H116" i="33" s="1"/>
  <c r="H116" i="7" s="1"/>
  <c r="H116" i="8" s="1"/>
  <c r="H116" i="9" s="1"/>
  <c r="H116" i="10" s="1"/>
  <c r="H116" i="11" s="1"/>
  <c r="H113" i="2"/>
  <c r="H114"/>
  <c r="H115"/>
  <c r="H116"/>
  <c r="H117"/>
  <c r="H118"/>
  <c r="H119"/>
  <c r="H120"/>
  <c r="H108"/>
  <c r="H109"/>
  <c r="H110"/>
  <c r="H111"/>
  <c r="H112"/>
  <c r="H105"/>
  <c r="H106"/>
  <c r="H107"/>
  <c r="H104"/>
  <c r="E50" i="7"/>
  <c r="E51"/>
  <c r="E52"/>
  <c r="E53"/>
  <c r="E54"/>
  <c r="E55"/>
  <c r="E56"/>
  <c r="E57"/>
  <c r="E58"/>
  <c r="F171"/>
  <c r="F170"/>
  <c r="F169"/>
  <c r="F168"/>
  <c r="F167"/>
  <c r="F166"/>
  <c r="F165"/>
  <c r="F164"/>
  <c r="G163"/>
  <c r="G162"/>
  <c r="G161"/>
  <c r="G160"/>
  <c r="F171" i="33"/>
  <c r="F170"/>
  <c r="F169"/>
  <c r="F168"/>
  <c r="F167"/>
  <c r="F166"/>
  <c r="F165"/>
  <c r="F164"/>
  <c r="G163"/>
  <c r="G162"/>
  <c r="G161"/>
  <c r="G160"/>
  <c r="F171" i="5"/>
  <c r="F170"/>
  <c r="F169"/>
  <c r="F168"/>
  <c r="F167"/>
  <c r="F166"/>
  <c r="F165"/>
  <c r="F164"/>
  <c r="G163"/>
  <c r="G162"/>
  <c r="G161"/>
  <c r="G160"/>
  <c r="E3" i="48"/>
  <c r="E4"/>
  <c r="C3"/>
  <c r="C4"/>
  <c r="G90" i="4"/>
  <c r="G89"/>
  <c r="E87"/>
  <c r="G87" s="1"/>
  <c r="E88"/>
  <c r="G88" s="1"/>
  <c r="F171"/>
  <c r="F170"/>
  <c r="F169"/>
  <c r="F168"/>
  <c r="F167"/>
  <c r="F166"/>
  <c r="F165"/>
  <c r="F164"/>
  <c r="G163"/>
  <c r="G162"/>
  <c r="G161"/>
  <c r="G160"/>
  <c r="G164" i="2"/>
  <c r="J31"/>
  <c r="E171"/>
  <c r="E170"/>
  <c r="E169"/>
  <c r="E168"/>
  <c r="E167"/>
  <c r="E166"/>
  <c r="E165"/>
  <c r="E164"/>
  <c r="E120"/>
  <c r="E119"/>
  <c r="E118"/>
  <c r="AN35" i="1"/>
  <c r="U35"/>
  <c r="Q35"/>
  <c r="N35"/>
  <c r="BK34"/>
  <c r="BI34"/>
  <c r="BH34"/>
  <c r="BG34"/>
  <c r="BF34"/>
  <c r="BE34"/>
  <c r="BD34"/>
  <c r="BC34"/>
  <c r="BB34"/>
  <c r="BA34"/>
  <c r="AZ34"/>
  <c r="AY34"/>
  <c r="AX34"/>
  <c r="AW34"/>
  <c r="AV34"/>
  <c r="AF34" s="1"/>
  <c r="AU34"/>
  <c r="AT34"/>
  <c r="BM34" s="1"/>
  <c r="AS34"/>
  <c r="BN34" s="1"/>
  <c r="AR34"/>
  <c r="AQ34"/>
  <c r="AP34"/>
  <c r="AO34"/>
  <c r="AM34"/>
  <c r="AL34"/>
  <c r="AJ34"/>
  <c r="AI34"/>
  <c r="AH34"/>
  <c r="AD34"/>
  <c r="AC34"/>
  <c r="AB34"/>
  <c r="AA34"/>
  <c r="Y34"/>
  <c r="X34"/>
  <c r="W34"/>
  <c r="T34"/>
  <c r="V34" s="1"/>
  <c r="R34"/>
  <c r="P34"/>
  <c r="M34"/>
  <c r="O34" s="1"/>
  <c r="L34"/>
  <c r="I34"/>
  <c r="H34"/>
  <c r="K34" s="1"/>
  <c r="G34"/>
  <c r="F34"/>
  <c r="S34" s="1"/>
  <c r="E34"/>
  <c r="D34"/>
  <c r="J2" i="47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H2"/>
  <c r="H3" s="1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L31"/>
  <c r="L19"/>
  <c r="L18"/>
  <c r="L17"/>
  <c r="L16"/>
  <c r="L15"/>
  <c r="L14"/>
  <c r="L13"/>
  <c r="L12"/>
  <c r="L11"/>
  <c r="L10"/>
  <c r="L9"/>
  <c r="L8"/>
  <c r="L7"/>
  <c r="L6"/>
  <c r="L5"/>
  <c r="L4"/>
  <c r="L3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L2"/>
  <c r="G165" i="8" l="1"/>
  <c r="G171" i="10"/>
  <c r="G166" i="11"/>
  <c r="G164"/>
  <c r="G167" i="10"/>
  <c r="G167" i="8"/>
  <c r="G167" i="9"/>
  <c r="G169" i="8"/>
  <c r="G166" i="10"/>
  <c r="G169"/>
  <c r="G168"/>
  <c r="G168" i="9"/>
  <c r="G169" i="11"/>
  <c r="G167"/>
  <c r="G171"/>
  <c r="G166" i="9"/>
  <c r="Z34" i="1"/>
  <c r="AK34"/>
  <c r="BO34"/>
  <c r="AE34"/>
  <c r="AG34" s="1"/>
  <c r="BP34"/>
  <c r="BQ34" s="1"/>
  <c r="BL34"/>
  <c r="BJ34"/>
  <c r="N18" i="43"/>
  <c r="N40"/>
  <c r="N41"/>
  <c r="N8"/>
  <c r="N9"/>
  <c r="N10"/>
  <c r="N11"/>
  <c r="N12"/>
  <c r="N13"/>
  <c r="N14"/>
  <c r="N15"/>
  <c r="N16"/>
  <c r="N17"/>
  <c r="N19"/>
  <c r="N20"/>
  <c r="N21"/>
  <c r="N22"/>
  <c r="N23"/>
  <c r="N24"/>
  <c r="N25"/>
  <c r="N26"/>
  <c r="N35"/>
  <c r="N36"/>
  <c r="N37"/>
  <c r="N39"/>
  <c r="N42"/>
  <c r="N43"/>
  <c r="N44"/>
  <c r="N45"/>
  <c r="N46"/>
  <c r="N47"/>
  <c r="N7"/>
  <c r="E15" i="30" l="1"/>
  <c r="N8" i="29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21"/>
  <c r="N122"/>
  <c r="N123"/>
  <c r="N124"/>
  <c r="N125"/>
  <c r="N126"/>
  <c r="N127"/>
  <c r="N128"/>
  <c r="N7"/>
  <c r="E90" i="28"/>
  <c r="E74" i="27"/>
  <c r="E8" i="40" l="1"/>
  <c r="E9"/>
  <c r="E10"/>
  <c r="E11"/>
  <c r="E12"/>
  <c r="AD42" i="44"/>
  <c r="AD38"/>
  <c r="N39" i="25"/>
  <c r="E58"/>
  <c r="N20" i="24"/>
  <c r="I19"/>
  <c r="I18"/>
  <c r="E49" i="21" l="1"/>
  <c r="E132" i="20"/>
  <c r="E134"/>
  <c r="E135"/>
  <c r="E136"/>
  <c r="E137"/>
  <c r="E138"/>
  <c r="E139"/>
  <c r="E140"/>
  <c r="E79"/>
  <c r="E80"/>
  <c r="E81"/>
  <c r="E82"/>
  <c r="E83"/>
  <c r="E73"/>
  <c r="E74"/>
  <c r="E75"/>
  <c r="E76"/>
  <c r="E77"/>
  <c r="E78"/>
  <c r="E84"/>
  <c r="E50"/>
  <c r="E51"/>
  <c r="E52"/>
  <c r="E53"/>
  <c r="E54"/>
  <c r="E55"/>
  <c r="E56"/>
  <c r="E57"/>
  <c r="E58"/>
  <c r="E49"/>
  <c r="E132" i="19"/>
  <c r="E133" i="20"/>
  <c r="E36" i="17"/>
  <c r="E37"/>
  <c r="E38"/>
  <c r="E39"/>
  <c r="G39" s="1"/>
  <c r="E40"/>
  <c r="E41"/>
  <c r="E42"/>
  <c r="E43"/>
  <c r="E44"/>
  <c r="E45"/>
  <c r="E46"/>
  <c r="E134" i="13"/>
  <c r="E162" i="14"/>
  <c r="G160" i="12" l="1"/>
  <c r="E24" i="8"/>
  <c r="E23"/>
  <c r="E22"/>
  <c r="E23" i="7"/>
  <c r="E24"/>
  <c r="E22"/>
  <c r="E9" i="5"/>
  <c r="E23" i="33"/>
  <c r="E24"/>
  <c r="E22"/>
  <c r="E23" i="4"/>
  <c r="E24"/>
  <c r="E22"/>
  <c r="E82" i="3"/>
  <c r="E58"/>
  <c r="E24"/>
  <c r="H113" i="31" l="1"/>
  <c r="H108"/>
  <c r="E161" l="1"/>
  <c r="E162"/>
  <c r="E163"/>
  <c r="E160"/>
  <c r="E131"/>
  <c r="E132"/>
  <c r="E133"/>
  <c r="E134"/>
  <c r="E135"/>
  <c r="E136"/>
  <c r="E137"/>
  <c r="E138"/>
  <c r="E139"/>
  <c r="E140"/>
  <c r="E130"/>
  <c r="E124"/>
  <c r="E125"/>
  <c r="E126"/>
  <c r="E127"/>
  <c r="E123"/>
  <c r="E115"/>
  <c r="E114"/>
  <c r="E110"/>
  <c r="E111"/>
  <c r="E109"/>
  <c r="E105"/>
  <c r="E106"/>
  <c r="E104"/>
  <c r="E96"/>
  <c r="E97"/>
  <c r="E98"/>
  <c r="E99"/>
  <c r="E100"/>
  <c r="E95"/>
  <c r="E93"/>
  <c r="E92"/>
  <c r="E87"/>
  <c r="E88"/>
  <c r="E89"/>
  <c r="E90"/>
  <c r="E86"/>
  <c r="E73"/>
  <c r="E74"/>
  <c r="E75"/>
  <c r="E76"/>
  <c r="E77"/>
  <c r="E78"/>
  <c r="E79"/>
  <c r="E80"/>
  <c r="E81"/>
  <c r="E82"/>
  <c r="E83"/>
  <c r="E84"/>
  <c r="E72"/>
  <c r="E63"/>
  <c r="E64"/>
  <c r="E65"/>
  <c r="E66"/>
  <c r="E67"/>
  <c r="E68"/>
  <c r="E69"/>
  <c r="E62"/>
  <c r="E50"/>
  <c r="E51"/>
  <c r="E52"/>
  <c r="E53"/>
  <c r="E54"/>
  <c r="E55"/>
  <c r="E56"/>
  <c r="E57"/>
  <c r="E58"/>
  <c r="E49"/>
  <c r="E36"/>
  <c r="E37"/>
  <c r="E38"/>
  <c r="E39"/>
  <c r="E40"/>
  <c r="E41"/>
  <c r="E42"/>
  <c r="E43"/>
  <c r="E44"/>
  <c r="E45"/>
  <c r="E46"/>
  <c r="E35"/>
  <c r="E29"/>
  <c r="E23"/>
  <c r="E24"/>
  <c r="E22"/>
  <c r="E19"/>
  <c r="E18"/>
  <c r="E15"/>
  <c r="E8"/>
  <c r="E9"/>
  <c r="E10"/>
  <c r="E11"/>
  <c r="E12"/>
  <c r="E7"/>
  <c r="E7" i="43"/>
  <c r="E41" i="29"/>
  <c r="E41" i="25"/>
  <c r="E131" i="40" l="1"/>
  <c r="E132"/>
  <c r="E133"/>
  <c r="E134"/>
  <c r="E135"/>
  <c r="E136"/>
  <c r="E137"/>
  <c r="E138"/>
  <c r="E139"/>
  <c r="E140"/>
  <c r="L86" i="20"/>
  <c r="E161" i="15" l="1"/>
  <c r="O31" i="12" l="1"/>
  <c r="E74" i="11" l="1"/>
  <c r="E104" i="9" l="1"/>
  <c r="E87" i="8"/>
  <c r="E88"/>
  <c r="E89"/>
  <c r="E90"/>
  <c r="E86"/>
  <c r="E104" i="7"/>
  <c r="E88" i="33"/>
  <c r="E89"/>
  <c r="E90"/>
  <c r="E85"/>
  <c r="E86"/>
  <c r="E87"/>
  <c r="E87" i="5"/>
  <c r="E88"/>
  <c r="E89"/>
  <c r="E90"/>
  <c r="E86"/>
  <c r="E81" i="4"/>
  <c r="E85" i="3" l="1"/>
  <c r="E86"/>
  <c r="E87"/>
  <c r="E88"/>
  <c r="E89"/>
  <c r="E90"/>
  <c r="F171"/>
  <c r="F170"/>
  <c r="F169"/>
  <c r="F168"/>
  <c r="F167"/>
  <c r="F166"/>
  <c r="F165"/>
  <c r="F164"/>
  <c r="G164" s="1"/>
  <c r="G163"/>
  <c r="G162"/>
  <c r="G161"/>
  <c r="G160"/>
  <c r="E29" i="2" l="1"/>
  <c r="N29" i="29" s="1"/>
  <c r="F171" i="2"/>
  <c r="F170"/>
  <c r="G170" s="1"/>
  <c r="F169"/>
  <c r="F168"/>
  <c r="F167"/>
  <c r="F166"/>
  <c r="F165"/>
  <c r="G165" s="1"/>
  <c r="G163"/>
  <c r="G162"/>
  <c r="G161"/>
  <c r="G160"/>
  <c r="G171" l="1"/>
  <c r="G169"/>
  <c r="G168"/>
  <c r="G167"/>
  <c r="G166"/>
  <c r="G89"/>
  <c r="G90"/>
  <c r="G19"/>
  <c r="E30" s="1"/>
  <c r="N30" i="29" s="1"/>
  <c r="G9" i="31" l="1"/>
  <c r="E171"/>
  <c r="E170"/>
  <c r="E169"/>
  <c r="E168"/>
  <c r="E167"/>
  <c r="E166"/>
  <c r="E165"/>
  <c r="E164"/>
  <c r="N8" l="1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32"/>
  <c r="N33"/>
  <c r="N34"/>
  <c r="N35"/>
  <c r="N36"/>
  <c r="N37"/>
  <c r="N38"/>
  <c r="N39"/>
  <c r="N40"/>
  <c r="N7"/>
  <c r="N48"/>
  <c r="N61"/>
  <c r="N71"/>
  <c r="N91"/>
  <c r="N102"/>
  <c r="N103"/>
  <c r="N108"/>
  <c r="N113"/>
  <c r="N121"/>
  <c r="N122"/>
  <c r="G89"/>
  <c r="G90"/>
  <c r="G18" i="30"/>
  <c r="E85" i="43"/>
  <c r="E86"/>
  <c r="E87"/>
  <c r="E88"/>
  <c r="E89"/>
  <c r="G89" s="1"/>
  <c r="E90"/>
  <c r="G90" s="1"/>
  <c r="E160" i="30"/>
  <c r="E85"/>
  <c r="E86"/>
  <c r="G88"/>
  <c r="G89"/>
  <c r="G90"/>
  <c r="Q34" i="44" l="1"/>
  <c r="E86" i="29" l="1"/>
  <c r="E85"/>
  <c r="E85" i="28"/>
  <c r="E86"/>
  <c r="E87"/>
  <c r="E88"/>
  <c r="E89"/>
  <c r="G89" s="1"/>
  <c r="G90"/>
  <c r="E89" i="27" l="1"/>
  <c r="G89" s="1"/>
  <c r="E90"/>
  <c r="G90" s="1"/>
  <c r="E85"/>
  <c r="E86"/>
  <c r="E87"/>
  <c r="E88"/>
  <c r="N89" i="40"/>
  <c r="N82"/>
  <c r="P132"/>
  <c r="E86"/>
  <c r="G89"/>
  <c r="E85" i="25" l="1"/>
  <c r="E86"/>
  <c r="E87"/>
  <c r="E88"/>
  <c r="E89"/>
  <c r="G89" s="1"/>
  <c r="E90"/>
  <c r="G90" s="1"/>
  <c r="E86" i="24" l="1"/>
  <c r="E87"/>
  <c r="E88"/>
  <c r="E89"/>
  <c r="G89" s="1"/>
  <c r="E90"/>
  <c r="G90" s="1"/>
  <c r="O14" i="23" l="1"/>
  <c r="O16"/>
  <c r="O17"/>
  <c r="O21"/>
  <c r="O23"/>
  <c r="O24"/>
  <c r="O25"/>
  <c r="O26"/>
  <c r="O33"/>
  <c r="O34"/>
  <c r="O48"/>
  <c r="O61"/>
  <c r="O70"/>
  <c r="O71"/>
  <c r="O91"/>
  <c r="O102"/>
  <c r="O103"/>
  <c r="O108"/>
  <c r="O113"/>
  <c r="O121"/>
  <c r="O122"/>
  <c r="O129"/>
  <c r="O141"/>
  <c r="O154"/>
  <c r="E40"/>
  <c r="E41"/>
  <c r="E42"/>
  <c r="E73"/>
  <c r="E74"/>
  <c r="E75"/>
  <c r="E76"/>
  <c r="E77"/>
  <c r="E78"/>
  <c r="E79"/>
  <c r="E80"/>
  <c r="E81"/>
  <c r="E82"/>
  <c r="E83"/>
  <c r="E84"/>
  <c r="E87"/>
  <c r="E88"/>
  <c r="E89"/>
  <c r="G89" s="1"/>
  <c r="E90"/>
  <c r="G90" s="1"/>
  <c r="E86"/>
  <c r="L48" i="22"/>
  <c r="E87"/>
  <c r="E88"/>
  <c r="E89"/>
  <c r="G89" s="1"/>
  <c r="E90"/>
  <c r="G90" s="1"/>
  <c r="E86"/>
  <c r="E23"/>
  <c r="E24"/>
  <c r="E22"/>
  <c r="L48" i="21"/>
  <c r="E87"/>
  <c r="G87" s="1"/>
  <c r="H87" s="1"/>
  <c r="J87" s="1"/>
  <c r="E88"/>
  <c r="G88" s="1"/>
  <c r="H88" s="1"/>
  <c r="J88" s="1"/>
  <c r="E89"/>
  <c r="G89" s="1"/>
  <c r="H89" s="1"/>
  <c r="J89" s="1"/>
  <c r="E90"/>
  <c r="G90" s="1"/>
  <c r="H90" s="1"/>
  <c r="J90" s="1"/>
  <c r="E86"/>
  <c r="E161" i="20"/>
  <c r="E162"/>
  <c r="E163"/>
  <c r="E160"/>
  <c r="E62"/>
  <c r="E164" s="1"/>
  <c r="E87"/>
  <c r="E88"/>
  <c r="E89"/>
  <c r="G89" s="1"/>
  <c r="E90"/>
  <c r="G90" s="1"/>
  <c r="E86"/>
  <c r="E163" i="19"/>
  <c r="E162"/>
  <c r="E161"/>
  <c r="E160"/>
  <c r="E134" i="15"/>
  <c r="E135"/>
  <c r="E72"/>
  <c r="H90" i="23" l="1"/>
  <c r="J90" s="1"/>
  <c r="O90"/>
  <c r="H89"/>
  <c r="J89" s="1"/>
  <c r="O89"/>
  <c r="E135" i="13"/>
  <c r="E135" i="11" l="1"/>
  <c r="E137" i="12"/>
  <c r="G160" i="31"/>
  <c r="G160" i="30"/>
  <c r="G161" i="15"/>
  <c r="G163" i="31"/>
  <c r="G162"/>
  <c r="G161"/>
  <c r="E163" i="43"/>
  <c r="G163" s="1"/>
  <c r="E162"/>
  <c r="G162" s="1"/>
  <c r="E161"/>
  <c r="G161" s="1"/>
  <c r="E160"/>
  <c r="G160" s="1"/>
  <c r="E163" i="30"/>
  <c r="G163" s="1"/>
  <c r="E162"/>
  <c r="G162" s="1"/>
  <c r="E161"/>
  <c r="G161" s="1"/>
  <c r="E163" i="29"/>
  <c r="G163" s="1"/>
  <c r="E162"/>
  <c r="G162" s="1"/>
  <c r="E161"/>
  <c r="G161" s="1"/>
  <c r="E160"/>
  <c r="G160" s="1"/>
  <c r="E163" i="28"/>
  <c r="G163" s="1"/>
  <c r="E162"/>
  <c r="G162" s="1"/>
  <c r="E161"/>
  <c r="G161" s="1"/>
  <c r="E160"/>
  <c r="G160" s="1"/>
  <c r="E163" i="27"/>
  <c r="G163" s="1"/>
  <c r="E162"/>
  <c r="G162" s="1"/>
  <c r="E161"/>
  <c r="G161" s="1"/>
  <c r="E160"/>
  <c r="G160" s="1"/>
  <c r="E163" i="40"/>
  <c r="G163" s="1"/>
  <c r="E162"/>
  <c r="G162" s="1"/>
  <c r="E161"/>
  <c r="G161" s="1"/>
  <c r="E160"/>
  <c r="G160" s="1"/>
  <c r="E163" i="25"/>
  <c r="G163" s="1"/>
  <c r="E162"/>
  <c r="G162" s="1"/>
  <c r="E161"/>
  <c r="G161" s="1"/>
  <c r="E160"/>
  <c r="G160" s="1"/>
  <c r="E163" i="24"/>
  <c r="G163" s="1"/>
  <c r="E162"/>
  <c r="G162" s="1"/>
  <c r="E161"/>
  <c r="G161" s="1"/>
  <c r="E160"/>
  <c r="G160" s="1"/>
  <c r="E163" i="23"/>
  <c r="G163" s="1"/>
  <c r="E162"/>
  <c r="G162" s="1"/>
  <c r="E161"/>
  <c r="G161" s="1"/>
  <c r="E160"/>
  <c r="G160" s="1"/>
  <c r="E163" i="22"/>
  <c r="G163" s="1"/>
  <c r="L163" s="1"/>
  <c r="E162"/>
  <c r="G162" s="1"/>
  <c r="L162" s="1"/>
  <c r="E161"/>
  <c r="G161" s="1"/>
  <c r="L161" s="1"/>
  <c r="E160"/>
  <c r="G160" s="1"/>
  <c r="L160" s="1"/>
  <c r="E163" i="21"/>
  <c r="G163" s="1"/>
  <c r="L163" s="1"/>
  <c r="E162"/>
  <c r="G162" s="1"/>
  <c r="L162" s="1"/>
  <c r="E161"/>
  <c r="G161" s="1"/>
  <c r="L161" s="1"/>
  <c r="E160"/>
  <c r="G160" s="1"/>
  <c r="G162" i="20"/>
  <c r="G161"/>
  <c r="G160"/>
  <c r="G163" i="19"/>
  <c r="G162"/>
  <c r="G161"/>
  <c r="G160"/>
  <c r="E163" i="18"/>
  <c r="G163" s="1"/>
  <c r="G162"/>
  <c r="E161"/>
  <c r="G161" s="1"/>
  <c r="E160"/>
  <c r="G160" s="1"/>
  <c r="G163" i="17"/>
  <c r="G162"/>
  <c r="G161"/>
  <c r="E160"/>
  <c r="G160" s="1"/>
  <c r="E163" i="16"/>
  <c r="G163" s="1"/>
  <c r="E162"/>
  <c r="G162" s="1"/>
  <c r="E161"/>
  <c r="G161" s="1"/>
  <c r="E160"/>
  <c r="G160" s="1"/>
  <c r="E163" i="15"/>
  <c r="G163" s="1"/>
  <c r="E162"/>
  <c r="G162" s="1"/>
  <c r="E160"/>
  <c r="G160" s="1"/>
  <c r="E163" i="14"/>
  <c r="G163" s="1"/>
  <c r="G162"/>
  <c r="E161"/>
  <c r="G161" s="1"/>
  <c r="E160"/>
  <c r="G160" s="1"/>
  <c r="E163" i="13"/>
  <c r="G163" s="1"/>
  <c r="E162"/>
  <c r="G162" s="1"/>
  <c r="E161"/>
  <c r="G161" s="1"/>
  <c r="E160"/>
  <c r="G160" s="1"/>
  <c r="E137"/>
  <c r="G163" i="12"/>
  <c r="G162"/>
  <c r="G161"/>
  <c r="F171" i="31"/>
  <c r="F170"/>
  <c r="F169"/>
  <c r="F168"/>
  <c r="F167"/>
  <c r="F166"/>
  <c r="F165"/>
  <c r="G165"/>
  <c r="F164"/>
  <c r="G164" s="1"/>
  <c r="F171" i="43"/>
  <c r="F170"/>
  <c r="F169"/>
  <c r="F168"/>
  <c r="F167"/>
  <c r="F166"/>
  <c r="F165"/>
  <c r="F164"/>
  <c r="F171" i="30"/>
  <c r="F170"/>
  <c r="F169"/>
  <c r="F168"/>
  <c r="F167"/>
  <c r="F166"/>
  <c r="F165"/>
  <c r="F164"/>
  <c r="F171" i="29"/>
  <c r="F170"/>
  <c r="F169"/>
  <c r="F168"/>
  <c r="F167"/>
  <c r="F166"/>
  <c r="F165"/>
  <c r="F164"/>
  <c r="F171" i="28"/>
  <c r="F170"/>
  <c r="F169"/>
  <c r="F168"/>
  <c r="F167"/>
  <c r="F166"/>
  <c r="F165"/>
  <c r="F164"/>
  <c r="F171" i="27"/>
  <c r="F170"/>
  <c r="F169"/>
  <c r="F168"/>
  <c r="F167"/>
  <c r="F166"/>
  <c r="F165"/>
  <c r="F164"/>
  <c r="F171" i="40"/>
  <c r="F170"/>
  <c r="F169"/>
  <c r="F168"/>
  <c r="F167"/>
  <c r="F166"/>
  <c r="F165"/>
  <c r="F164"/>
  <c r="F171" i="25"/>
  <c r="F170"/>
  <c r="F169"/>
  <c r="F168"/>
  <c r="F167"/>
  <c r="F166"/>
  <c r="F165"/>
  <c r="F164"/>
  <c r="F171" i="24"/>
  <c r="F170"/>
  <c r="F169"/>
  <c r="F168"/>
  <c r="F167"/>
  <c r="F166"/>
  <c r="F165"/>
  <c r="F164"/>
  <c r="F171" i="23"/>
  <c r="F170"/>
  <c r="F169"/>
  <c r="F168"/>
  <c r="F167"/>
  <c r="F166"/>
  <c r="F165"/>
  <c r="F164"/>
  <c r="F171" i="22"/>
  <c r="F170"/>
  <c r="F169"/>
  <c r="F168"/>
  <c r="F167"/>
  <c r="F166"/>
  <c r="F165"/>
  <c r="F164"/>
  <c r="F171" i="21"/>
  <c r="F170"/>
  <c r="F169"/>
  <c r="F168"/>
  <c r="F167"/>
  <c r="F166"/>
  <c r="F165"/>
  <c r="F164"/>
  <c r="G164" i="20"/>
  <c r="G163"/>
  <c r="F171" i="18"/>
  <c r="F170"/>
  <c r="F169"/>
  <c r="F168"/>
  <c r="F167"/>
  <c r="F166"/>
  <c r="F165"/>
  <c r="F164"/>
  <c r="F171" i="17"/>
  <c r="F170"/>
  <c r="F169"/>
  <c r="F168"/>
  <c r="F167"/>
  <c r="F166"/>
  <c r="F165"/>
  <c r="F164"/>
  <c r="F171" i="16"/>
  <c r="F170"/>
  <c r="F169"/>
  <c r="F168"/>
  <c r="F167"/>
  <c r="F166"/>
  <c r="F165"/>
  <c r="F164"/>
  <c r="F171" i="15"/>
  <c r="F170"/>
  <c r="F169"/>
  <c r="F168"/>
  <c r="F167"/>
  <c r="F166"/>
  <c r="F165"/>
  <c r="F164"/>
  <c r="F171" i="14"/>
  <c r="F170"/>
  <c r="F169"/>
  <c r="F168"/>
  <c r="F167"/>
  <c r="F166"/>
  <c r="F165"/>
  <c r="F164"/>
  <c r="F171" i="13"/>
  <c r="F170"/>
  <c r="F169"/>
  <c r="F168"/>
  <c r="F167"/>
  <c r="F166"/>
  <c r="F165"/>
  <c r="F164"/>
  <c r="F164" i="12"/>
  <c r="L160" i="21" l="1"/>
  <c r="R4" i="44"/>
  <c r="E9" i="10"/>
  <c r="G18" i="7"/>
  <c r="E15" i="8"/>
  <c r="E87" i="7"/>
  <c r="E88"/>
  <c r="E89"/>
  <c r="G89" s="1"/>
  <c r="E90"/>
  <c r="G90" s="1"/>
  <c r="E86"/>
  <c r="E87" i="19"/>
  <c r="E88"/>
  <c r="E89"/>
  <c r="G89" s="1"/>
  <c r="E90"/>
  <c r="G90" s="1"/>
  <c r="E86"/>
  <c r="E87" i="18"/>
  <c r="E88"/>
  <c r="E89"/>
  <c r="G89" s="1"/>
  <c r="E90"/>
  <c r="G90" s="1"/>
  <c r="E86"/>
  <c r="E87" i="17"/>
  <c r="E88"/>
  <c r="E89"/>
  <c r="G89" s="1"/>
  <c r="E90"/>
  <c r="G90" s="1"/>
  <c r="E86"/>
  <c r="E87" i="16"/>
  <c r="E88"/>
  <c r="E89"/>
  <c r="G89" s="1"/>
  <c r="E90"/>
  <c r="G90" s="1"/>
  <c r="E86"/>
  <c r="E87" i="15"/>
  <c r="E88"/>
  <c r="E89"/>
  <c r="G89" s="1"/>
  <c r="E90"/>
  <c r="G90" s="1"/>
  <c r="E86"/>
  <c r="E87" i="14"/>
  <c r="E88"/>
  <c r="E89"/>
  <c r="G89" s="1"/>
  <c r="E90"/>
  <c r="G90" s="1"/>
  <c r="E86"/>
  <c r="E87" i="13"/>
  <c r="E88"/>
  <c r="E89"/>
  <c r="G89" s="1"/>
  <c r="E90"/>
  <c r="G90" s="1"/>
  <c r="E86"/>
  <c r="E87" i="12"/>
  <c r="E88"/>
  <c r="E89"/>
  <c r="G89" s="1"/>
  <c r="E90"/>
  <c r="G90" s="1"/>
  <c r="E86"/>
  <c r="E87" i="11"/>
  <c r="E88"/>
  <c r="E89"/>
  <c r="G89" s="1"/>
  <c r="E90"/>
  <c r="G90" s="1"/>
  <c r="E86"/>
  <c r="E87" i="10"/>
  <c r="E88"/>
  <c r="E89"/>
  <c r="G89" s="1"/>
  <c r="E90"/>
  <c r="G90" s="1"/>
  <c r="E86"/>
  <c r="E87" i="9"/>
  <c r="E88"/>
  <c r="E89"/>
  <c r="G89" s="1"/>
  <c r="E90"/>
  <c r="G90" s="1"/>
  <c r="E86"/>
  <c r="G90" i="40"/>
  <c r="G90" i="8"/>
  <c r="G89"/>
  <c r="G90" i="33"/>
  <c r="G89"/>
  <c r="R11" i="44" l="1"/>
  <c r="R9"/>
  <c r="R10"/>
  <c r="R8"/>
  <c r="D33" i="1" l="1"/>
  <c r="G89" i="5"/>
  <c r="G90"/>
  <c r="G89" i="29"/>
  <c r="G90"/>
  <c r="H90" s="1"/>
  <c r="J90" s="1"/>
  <c r="G90" i="3"/>
  <c r="G89"/>
  <c r="H90" i="8"/>
  <c r="J90" s="1"/>
  <c r="H89"/>
  <c r="J89" s="1"/>
  <c r="H90" i="9"/>
  <c r="H89"/>
  <c r="H90" i="12"/>
  <c r="J90" s="1"/>
  <c r="H89"/>
  <c r="J89" s="1"/>
  <c r="H90" i="13"/>
  <c r="J90" s="1"/>
  <c r="H89"/>
  <c r="J89" s="1"/>
  <c r="H90" i="14"/>
  <c r="J90" s="1"/>
  <c r="H89"/>
  <c r="J89" s="1"/>
  <c r="H90" i="15"/>
  <c r="J90" s="1"/>
  <c r="H89"/>
  <c r="J89" s="1"/>
  <c r="H90" i="16"/>
  <c r="J90" s="1"/>
  <c r="H89"/>
  <c r="J89" s="1"/>
  <c r="H90" i="17"/>
  <c r="J90" s="1"/>
  <c r="H89"/>
  <c r="J89" s="1"/>
  <c r="H90" i="18"/>
  <c r="J90" s="1"/>
  <c r="H89"/>
  <c r="J89" s="1"/>
  <c r="H90" i="19"/>
  <c r="J90" s="1"/>
  <c r="H89"/>
  <c r="J89" s="1"/>
  <c r="H90" i="20"/>
  <c r="J90" s="1"/>
  <c r="H89"/>
  <c r="J89" s="1"/>
  <c r="H90" i="22"/>
  <c r="J90" s="1"/>
  <c r="H89"/>
  <c r="J89" s="1"/>
  <c r="H90" i="24"/>
  <c r="J90" s="1"/>
  <c r="H89"/>
  <c r="J89" s="1"/>
  <c r="H90" i="25"/>
  <c r="J90" s="1"/>
  <c r="H89"/>
  <c r="J89" s="1"/>
  <c r="H90" i="40"/>
  <c r="J90" s="1"/>
  <c r="H89"/>
  <c r="J89" s="1"/>
  <c r="H90" i="27"/>
  <c r="J90" s="1"/>
  <c r="H89"/>
  <c r="J89" s="1"/>
  <c r="H90" i="28"/>
  <c r="J90" s="1"/>
  <c r="H89"/>
  <c r="J89" s="1"/>
  <c r="H90" i="30"/>
  <c r="J90" s="1"/>
  <c r="H89"/>
  <c r="J89" s="1"/>
  <c r="H90" i="43"/>
  <c r="H89"/>
  <c r="H90" i="2"/>
  <c r="J90" s="1"/>
  <c r="H89"/>
  <c r="J89" s="1"/>
  <c r="J89" i="9" l="1"/>
  <c r="H89" i="10"/>
  <c r="J90" i="9"/>
  <c r="H90" i="10"/>
  <c r="H90" i="11" s="1"/>
  <c r="J90" s="1"/>
  <c r="K90" i="4"/>
  <c r="J90" i="43"/>
  <c r="H90" i="31"/>
  <c r="N90" s="1"/>
  <c r="J89" i="43"/>
  <c r="H89" i="31"/>
  <c r="J89" s="1"/>
  <c r="J90" i="10"/>
  <c r="R12" i="44"/>
  <c r="R7"/>
  <c r="R5"/>
  <c r="R6"/>
  <c r="H90" i="3"/>
  <c r="H89"/>
  <c r="H89" i="29"/>
  <c r="J89" s="1"/>
  <c r="N89" i="31" l="1"/>
  <c r="H89" i="11"/>
  <c r="J89" s="1"/>
  <c r="J89" i="10"/>
  <c r="J90" i="3"/>
  <c r="H90" i="4"/>
  <c r="J89" i="3"/>
  <c r="H89" i="4"/>
  <c r="J90" i="31"/>
  <c r="K89" i="4"/>
  <c r="E7" i="8"/>
  <c r="G7" s="1"/>
  <c r="E99" i="43"/>
  <c r="E100"/>
  <c r="O59" i="30"/>
  <c r="N88"/>
  <c r="E99"/>
  <c r="E98"/>
  <c r="E100"/>
  <c r="J89" i="4" l="1"/>
  <c r="H89" i="5"/>
  <c r="J90" i="4"/>
  <c r="H90" i="5"/>
  <c r="E133" i="29"/>
  <c r="E134"/>
  <c r="E135"/>
  <c r="E136"/>
  <c r="E137"/>
  <c r="E138"/>
  <c r="E139"/>
  <c r="E140"/>
  <c r="E105"/>
  <c r="E106"/>
  <c r="E107"/>
  <c r="E108"/>
  <c r="E109"/>
  <c r="E110"/>
  <c r="E111"/>
  <c r="E112"/>
  <c r="E113"/>
  <c r="E114"/>
  <c r="E115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50"/>
  <c r="E36"/>
  <c r="E37"/>
  <c r="E38"/>
  <c r="E39"/>
  <c r="G39" s="1"/>
  <c r="E40"/>
  <c r="E42"/>
  <c r="E43"/>
  <c r="E44"/>
  <c r="E45"/>
  <c r="E46"/>
  <c r="E18"/>
  <c r="E8"/>
  <c r="E9"/>
  <c r="E10"/>
  <c r="E11"/>
  <c r="E12"/>
  <c r="E7"/>
  <c r="E106" i="28"/>
  <c r="E107"/>
  <c r="E108"/>
  <c r="E109"/>
  <c r="E110"/>
  <c r="E111"/>
  <c r="E112"/>
  <c r="E113"/>
  <c r="E114"/>
  <c r="E115"/>
  <c r="E111" i="25"/>
  <c r="E15" i="28"/>
  <c r="G15" s="1"/>
  <c r="E50" i="27"/>
  <c r="E7" i="40"/>
  <c r="E7" i="25"/>
  <c r="G7" s="1"/>
  <c r="E77" i="24"/>
  <c r="E7"/>
  <c r="E7" i="23"/>
  <c r="E8"/>
  <c r="E9"/>
  <c r="G9" s="1"/>
  <c r="O9" s="1"/>
  <c r="G88" i="31"/>
  <c r="G86"/>
  <c r="G88" i="43"/>
  <c r="G86"/>
  <c r="Q32" i="44"/>
  <c r="G87" i="29"/>
  <c r="G88"/>
  <c r="G86"/>
  <c r="G87" i="28"/>
  <c r="G88"/>
  <c r="G86"/>
  <c r="O30" i="44" s="1"/>
  <c r="G88" i="27"/>
  <c r="G86"/>
  <c r="G87" i="40"/>
  <c r="G86"/>
  <c r="N86" s="1"/>
  <c r="G88" i="25"/>
  <c r="Q27" i="44" s="1"/>
  <c r="G86" i="25"/>
  <c r="O27" i="44" s="1"/>
  <c r="G87" i="24"/>
  <c r="G88"/>
  <c r="Q26" i="44" s="1"/>
  <c r="G86" i="24"/>
  <c r="O26" i="44" s="1"/>
  <c r="G86" i="23"/>
  <c r="O86" s="1"/>
  <c r="G86" i="22"/>
  <c r="G86" i="21"/>
  <c r="G88" i="20"/>
  <c r="G86"/>
  <c r="G88" i="19"/>
  <c r="G86"/>
  <c r="G86" i="18"/>
  <c r="G88" i="17"/>
  <c r="G87" i="16"/>
  <c r="G86"/>
  <c r="G86" i="15"/>
  <c r="G86" i="14"/>
  <c r="G88" i="13"/>
  <c r="G86"/>
  <c r="G86" i="12"/>
  <c r="G88" i="11"/>
  <c r="G86"/>
  <c r="G87" i="9"/>
  <c r="G86"/>
  <c r="G88" i="8"/>
  <c r="Q10" i="44" s="1"/>
  <c r="G86" i="8"/>
  <c r="G87" i="7"/>
  <c r="G86"/>
  <c r="G87" i="33"/>
  <c r="G88"/>
  <c r="G86"/>
  <c r="N86" s="1"/>
  <c r="G88" i="5"/>
  <c r="G86"/>
  <c r="E86" i="4"/>
  <c r="G86" s="1"/>
  <c r="G87" i="3"/>
  <c r="G88"/>
  <c r="G86"/>
  <c r="H86" s="1"/>
  <c r="H86" i="4" s="1"/>
  <c r="J86" s="1"/>
  <c r="G88" i="10"/>
  <c r="G87" i="8"/>
  <c r="G87" i="12"/>
  <c r="G87" i="20"/>
  <c r="G87" i="31"/>
  <c r="G88" i="7"/>
  <c r="Q9" i="44" s="1"/>
  <c r="G88" i="23"/>
  <c r="O88" s="1"/>
  <c r="G87" i="11"/>
  <c r="G87" i="15"/>
  <c r="G87" i="19"/>
  <c r="G87" i="23"/>
  <c r="O87" s="1"/>
  <c r="G87" i="43"/>
  <c r="G87" i="27"/>
  <c r="G88" i="15"/>
  <c r="G87" i="25"/>
  <c r="G88" i="12"/>
  <c r="G88" i="16"/>
  <c r="G87" i="5"/>
  <c r="G88" i="9"/>
  <c r="Q11" i="44" s="1"/>
  <c r="G87" i="10"/>
  <c r="G86"/>
  <c r="G87" i="13"/>
  <c r="G88" i="14"/>
  <c r="G87"/>
  <c r="G87" i="17"/>
  <c r="G86"/>
  <c r="G88" i="18"/>
  <c r="G87"/>
  <c r="G88" i="22"/>
  <c r="G87"/>
  <c r="G88" i="40"/>
  <c r="G87" i="30"/>
  <c r="G86"/>
  <c r="O32" i="44" s="1"/>
  <c r="G87" i="2"/>
  <c r="G88"/>
  <c r="G86"/>
  <c r="H86" i="5" l="1"/>
  <c r="H86" i="33" s="1"/>
  <c r="H86" i="7" s="1"/>
  <c r="J86" s="1"/>
  <c r="Q12" i="44"/>
  <c r="H89" i="33"/>
  <c r="J89" i="5"/>
  <c r="Q7" i="44"/>
  <c r="H90" i="33"/>
  <c r="J90" i="5"/>
  <c r="P26" i="44"/>
  <c r="R26"/>
  <c r="R27"/>
  <c r="P27"/>
  <c r="P34"/>
  <c r="H88" i="24"/>
  <c r="J88" s="1"/>
  <c r="H86"/>
  <c r="J86" s="1"/>
  <c r="O13" i="44"/>
  <c r="O12"/>
  <c r="H86" i="9"/>
  <c r="J86" s="1"/>
  <c r="O11" i="44"/>
  <c r="H86" i="8"/>
  <c r="J86" s="1"/>
  <c r="O10" i="44"/>
  <c r="O9"/>
  <c r="P8"/>
  <c r="Q8"/>
  <c r="O8"/>
  <c r="P7"/>
  <c r="O7"/>
  <c r="O6"/>
  <c r="Q6"/>
  <c r="H88" i="3"/>
  <c r="Q5" i="44"/>
  <c r="H87" i="3"/>
  <c r="P5" i="44"/>
  <c r="H87" i="2"/>
  <c r="J87" s="1"/>
  <c r="P4" i="44"/>
  <c r="P6"/>
  <c r="J86" i="3"/>
  <c r="O5" i="44"/>
  <c r="H86" i="2"/>
  <c r="J86" s="1"/>
  <c r="O4" i="44"/>
  <c r="H88" i="2"/>
  <c r="J88" s="1"/>
  <c r="Q4" i="44"/>
  <c r="H86" i="43"/>
  <c r="J86" s="1"/>
  <c r="O33" i="44"/>
  <c r="H86" i="29"/>
  <c r="J86" s="1"/>
  <c r="O31" i="44"/>
  <c r="H86" i="27"/>
  <c r="J86" s="1"/>
  <c r="O29" i="44"/>
  <c r="H86" i="40"/>
  <c r="J86" s="1"/>
  <c r="O28" i="44"/>
  <c r="H86" i="25"/>
  <c r="J86" s="1"/>
  <c r="H86" i="23"/>
  <c r="J86" s="1"/>
  <c r="O25" i="44"/>
  <c r="H86" i="22"/>
  <c r="J86" s="1"/>
  <c r="O24" i="44"/>
  <c r="H86" i="21"/>
  <c r="J86" s="1"/>
  <c r="O23" i="44"/>
  <c r="H86" i="20"/>
  <c r="J86" s="1"/>
  <c r="O22" i="44"/>
  <c r="H86" i="19"/>
  <c r="J86" s="1"/>
  <c r="O21" i="44"/>
  <c r="H86" i="18"/>
  <c r="J86" s="1"/>
  <c r="O20" i="44"/>
  <c r="H86" i="17"/>
  <c r="J86" s="1"/>
  <c r="O19" i="44"/>
  <c r="H86" i="16"/>
  <c r="J86" s="1"/>
  <c r="O18" i="44"/>
  <c r="H86" i="15"/>
  <c r="J86" s="1"/>
  <c r="O17" i="44"/>
  <c r="H86" i="14"/>
  <c r="J86" s="1"/>
  <c r="O16" i="44"/>
  <c r="H86" i="13"/>
  <c r="J86" s="1"/>
  <c r="O15" i="44"/>
  <c r="H86" i="12"/>
  <c r="J86" s="1"/>
  <c r="O14" i="44"/>
  <c r="P9"/>
  <c r="H88" i="22"/>
  <c r="J88" s="1"/>
  <c r="Q24" i="44"/>
  <c r="H87" i="13"/>
  <c r="J87" s="1"/>
  <c r="P15" i="44"/>
  <c r="R15"/>
  <c r="H87" i="23"/>
  <c r="J87" s="1"/>
  <c r="R25" i="44"/>
  <c r="P25"/>
  <c r="H87" i="12"/>
  <c r="J87" s="1"/>
  <c r="R14" i="44"/>
  <c r="P14"/>
  <c r="H87" i="22"/>
  <c r="J87" s="1"/>
  <c r="R24" i="44"/>
  <c r="P24"/>
  <c r="H88" i="18"/>
  <c r="J88" s="1"/>
  <c r="Q20" i="44"/>
  <c r="H88" i="14"/>
  <c r="J88" s="1"/>
  <c r="Q16" i="44"/>
  <c r="H88" i="9"/>
  <c r="J88" s="1"/>
  <c r="H87" i="25"/>
  <c r="J87" s="1"/>
  <c r="H87" i="43"/>
  <c r="J87" s="1"/>
  <c r="R33" i="44"/>
  <c r="P33"/>
  <c r="R13"/>
  <c r="P13"/>
  <c r="H87" i="20"/>
  <c r="J87" s="1"/>
  <c r="R22" i="44"/>
  <c r="P22"/>
  <c r="H88" i="8"/>
  <c r="J88" s="1"/>
  <c r="Q13" i="44"/>
  <c r="H88" i="17"/>
  <c r="J88" s="1"/>
  <c r="Q19" i="44"/>
  <c r="H87" i="24"/>
  <c r="J87" s="1"/>
  <c r="H87" i="40"/>
  <c r="J87" s="1"/>
  <c r="R28" i="44"/>
  <c r="P28"/>
  <c r="H88" i="28"/>
  <c r="J88" s="1"/>
  <c r="Q30" i="44"/>
  <c r="H87" i="29"/>
  <c r="J87" s="1"/>
  <c r="P31" i="44"/>
  <c r="R31"/>
  <c r="O34"/>
  <c r="H87" i="18"/>
  <c r="J87" s="1"/>
  <c r="R20" i="44"/>
  <c r="P20"/>
  <c r="H88" i="12"/>
  <c r="J88" s="1"/>
  <c r="Q14" i="44"/>
  <c r="R34"/>
  <c r="H88" i="13"/>
  <c r="J88" s="1"/>
  <c r="Q15" i="44"/>
  <c r="H87" i="16"/>
  <c r="J87" s="1"/>
  <c r="R18" i="44"/>
  <c r="P18"/>
  <c r="H88" i="19"/>
  <c r="J88" s="1"/>
  <c r="Q21" i="44"/>
  <c r="Q23"/>
  <c r="H88" i="29"/>
  <c r="J88" s="1"/>
  <c r="Q31" i="44"/>
  <c r="H88" i="43"/>
  <c r="J88" s="1"/>
  <c r="Q33" i="44"/>
  <c r="H88" i="40"/>
  <c r="J88" s="1"/>
  <c r="Q28" i="44"/>
  <c r="H87" i="14"/>
  <c r="J87" s="1"/>
  <c r="R16" i="44"/>
  <c r="P16"/>
  <c r="P12"/>
  <c r="H87" i="27"/>
  <c r="J87" s="1"/>
  <c r="R29" i="44"/>
  <c r="P29"/>
  <c r="H87" i="15"/>
  <c r="J87" s="1"/>
  <c r="R17" i="44"/>
  <c r="P17"/>
  <c r="R32"/>
  <c r="P32"/>
  <c r="P23"/>
  <c r="R23"/>
  <c r="H87" i="17"/>
  <c r="J87" s="1"/>
  <c r="P19" i="44"/>
  <c r="R19"/>
  <c r="H88" i="16"/>
  <c r="J88" s="1"/>
  <c r="Q18" i="44"/>
  <c r="H88" i="15"/>
  <c r="J88" s="1"/>
  <c r="Q17" i="44"/>
  <c r="H87" i="19"/>
  <c r="J87" s="1"/>
  <c r="R21" i="44"/>
  <c r="P21"/>
  <c r="H87" i="8"/>
  <c r="J87" s="1"/>
  <c r="P10" i="44"/>
  <c r="H87" i="9"/>
  <c r="J87" s="1"/>
  <c r="P11" i="44"/>
  <c r="H88" i="25"/>
  <c r="J88" s="1"/>
  <c r="H88" i="27"/>
  <c r="J88" s="1"/>
  <c r="Q29" i="44"/>
  <c r="H88" i="23"/>
  <c r="J88" s="1"/>
  <c r="Q25" i="44"/>
  <c r="H88" i="20"/>
  <c r="J88" s="1"/>
  <c r="Q22" i="44"/>
  <c r="H87" i="28"/>
  <c r="J87" s="1"/>
  <c r="R30" i="44"/>
  <c r="P30"/>
  <c r="H87" i="30"/>
  <c r="J87" s="1"/>
  <c r="H88"/>
  <c r="J88" s="1"/>
  <c r="H86"/>
  <c r="J86" s="1"/>
  <c r="H86" i="28"/>
  <c r="J86" s="1"/>
  <c r="E40" i="22"/>
  <c r="E8"/>
  <c r="J86" i="5" l="1"/>
  <c r="J86" i="33"/>
  <c r="J88" i="3"/>
  <c r="H88" i="4"/>
  <c r="H90" i="7"/>
  <c r="J90" s="1"/>
  <c r="J90" i="33"/>
  <c r="H86" i="10"/>
  <c r="H87"/>
  <c r="H88"/>
  <c r="J87" i="3"/>
  <c r="H87" i="4"/>
  <c r="H89" i="7"/>
  <c r="J89" s="1"/>
  <c r="J89" i="33"/>
  <c r="H88" i="31"/>
  <c r="N88" s="1"/>
  <c r="H87"/>
  <c r="N87" s="1"/>
  <c r="H86"/>
  <c r="N86" s="1"/>
  <c r="E15" i="20"/>
  <c r="E41" i="18"/>
  <c r="E7" i="20"/>
  <c r="E8" i="17"/>
  <c r="E9"/>
  <c r="E116" i="16"/>
  <c r="E8"/>
  <c r="G8" s="1"/>
  <c r="E8" i="15"/>
  <c r="O8" i="14"/>
  <c r="O7"/>
  <c r="J87" i="4" l="1"/>
  <c r="H87" i="5"/>
  <c r="H86" i="11"/>
  <c r="J86" s="1"/>
  <c r="J86" i="10"/>
  <c r="H87" i="11"/>
  <c r="J87" s="1"/>
  <c r="J87" i="10"/>
  <c r="J88" i="4"/>
  <c r="H88" i="5"/>
  <c r="H88" i="11"/>
  <c r="J88" s="1"/>
  <c r="J88" i="10"/>
  <c r="J86" i="31"/>
  <c r="J87"/>
  <c r="J88"/>
  <c r="E96" i="14"/>
  <c r="E97"/>
  <c r="E98"/>
  <c r="E99"/>
  <c r="E100"/>
  <c r="E8"/>
  <c r="E9"/>
  <c r="E10"/>
  <c r="E11"/>
  <c r="E12"/>
  <c r="E133" i="13"/>
  <c r="E136"/>
  <c r="E138"/>
  <c r="E139"/>
  <c r="E140"/>
  <c r="H87" i="33" l="1"/>
  <c r="J87" i="5"/>
  <c r="H88" i="33"/>
  <c r="J88" i="5"/>
  <c r="E115" i="13"/>
  <c r="E105"/>
  <c r="E106"/>
  <c r="E109"/>
  <c r="E110"/>
  <c r="E111"/>
  <c r="E114"/>
  <c r="E93"/>
  <c r="E94"/>
  <c r="E95"/>
  <c r="E96"/>
  <c r="E97"/>
  <c r="E98"/>
  <c r="E99"/>
  <c r="E100"/>
  <c r="E38"/>
  <c r="E37"/>
  <c r="E8"/>
  <c r="E9"/>
  <c r="E10"/>
  <c r="E11"/>
  <c r="E12"/>
  <c r="E8" i="12"/>
  <c r="E9"/>
  <c r="G9" s="1"/>
  <c r="E10"/>
  <c r="E11"/>
  <c r="E12"/>
  <c r="E7"/>
  <c r="P14"/>
  <c r="P16"/>
  <c r="P17"/>
  <c r="P21"/>
  <c r="P23"/>
  <c r="P24"/>
  <c r="P25"/>
  <c r="P26"/>
  <c r="P33"/>
  <c r="P34"/>
  <c r="P48"/>
  <c r="P61"/>
  <c r="P70"/>
  <c r="P71"/>
  <c r="P91"/>
  <c r="P102"/>
  <c r="P103"/>
  <c r="P108"/>
  <c r="P113"/>
  <c r="P121"/>
  <c r="P122"/>
  <c r="P129"/>
  <c r="P141"/>
  <c r="E132"/>
  <c r="E93"/>
  <c r="E94"/>
  <c r="E95"/>
  <c r="E96"/>
  <c r="E97"/>
  <c r="E98"/>
  <c r="E99"/>
  <c r="E100"/>
  <c r="E73"/>
  <c r="E74"/>
  <c r="E75"/>
  <c r="E76"/>
  <c r="E77"/>
  <c r="E78"/>
  <c r="E79"/>
  <c r="E80"/>
  <c r="E81"/>
  <c r="E82"/>
  <c r="E83"/>
  <c r="E84"/>
  <c r="E115"/>
  <c r="E114"/>
  <c r="E111"/>
  <c r="E110"/>
  <c r="E109"/>
  <c r="E106"/>
  <c r="E105"/>
  <c r="E104"/>
  <c r="E50"/>
  <c r="E51"/>
  <c r="E52"/>
  <c r="E53"/>
  <c r="E54"/>
  <c r="E56"/>
  <c r="E57"/>
  <c r="E58"/>
  <c r="E49"/>
  <c r="E134" i="11"/>
  <c r="E76"/>
  <c r="E76" i="10"/>
  <c r="E105" i="11"/>
  <c r="E106"/>
  <c r="E109"/>
  <c r="E110"/>
  <c r="E111"/>
  <c r="E114"/>
  <c r="E115"/>
  <c r="E104"/>
  <c r="E100"/>
  <c r="E93"/>
  <c r="E95"/>
  <c r="E96"/>
  <c r="E97"/>
  <c r="E98"/>
  <c r="E99"/>
  <c r="E73"/>
  <c r="E75"/>
  <c r="E77"/>
  <c r="E78"/>
  <c r="E79"/>
  <c r="E80"/>
  <c r="E81"/>
  <c r="E82"/>
  <c r="E83"/>
  <c r="E84"/>
  <c r="E8"/>
  <c r="E9"/>
  <c r="E10"/>
  <c r="E11"/>
  <c r="E12"/>
  <c r="E93" i="10"/>
  <c r="G93" s="1"/>
  <c r="E94"/>
  <c r="E95"/>
  <c r="G95" s="1"/>
  <c r="E96"/>
  <c r="G96" s="1"/>
  <c r="E97"/>
  <c r="G97" s="1"/>
  <c r="E98"/>
  <c r="E99"/>
  <c r="G99" s="1"/>
  <c r="E100"/>
  <c r="G100" s="1"/>
  <c r="E73"/>
  <c r="G73" s="1"/>
  <c r="E74"/>
  <c r="G74" s="1"/>
  <c r="E75"/>
  <c r="G75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3"/>
  <c r="G63" s="1"/>
  <c r="T12" i="44" s="1"/>
  <c r="E64" i="10"/>
  <c r="G64" s="1"/>
  <c r="E65"/>
  <c r="G65" s="1"/>
  <c r="E66"/>
  <c r="G66" s="1"/>
  <c r="E67"/>
  <c r="G67" s="1"/>
  <c r="E68"/>
  <c r="G68" s="1"/>
  <c r="E69"/>
  <c r="G69" s="1"/>
  <c r="E51"/>
  <c r="G51" s="1"/>
  <c r="E52"/>
  <c r="G52" s="1"/>
  <c r="E53"/>
  <c r="G53" s="1"/>
  <c r="E54"/>
  <c r="E55"/>
  <c r="G55" s="1"/>
  <c r="E56"/>
  <c r="G56" s="1"/>
  <c r="E57"/>
  <c r="E58"/>
  <c r="G58" s="1"/>
  <c r="M12" i="44" s="1"/>
  <c r="E36" i="1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E23"/>
  <c r="E22"/>
  <c r="G22" s="1"/>
  <c r="E8"/>
  <c r="G8" s="1"/>
  <c r="E10"/>
  <c r="G10" s="1"/>
  <c r="E11"/>
  <c r="G11" s="1"/>
  <c r="E12"/>
  <c r="G12" s="1"/>
  <c r="E7"/>
  <c r="G7" s="1"/>
  <c r="E104"/>
  <c r="E105"/>
  <c r="G105" s="1"/>
  <c r="E106"/>
  <c r="G106" s="1"/>
  <c r="E108"/>
  <c r="E109"/>
  <c r="G109" s="1"/>
  <c r="E110"/>
  <c r="G110" s="1"/>
  <c r="E111"/>
  <c r="G111" s="1"/>
  <c r="E114"/>
  <c r="G114" s="1"/>
  <c r="E115"/>
  <c r="G115" s="1"/>
  <c r="E15"/>
  <c r="G15" s="1"/>
  <c r="G9"/>
  <c r="I7"/>
  <c r="E18"/>
  <c r="G18"/>
  <c r="E19"/>
  <c r="G19" s="1"/>
  <c r="E24"/>
  <c r="E29"/>
  <c r="G29" s="1"/>
  <c r="E35"/>
  <c r="G35" s="1"/>
  <c r="E49"/>
  <c r="G49" s="1"/>
  <c r="E50"/>
  <c r="G50" s="1"/>
  <c r="G54"/>
  <c r="G57"/>
  <c r="E62"/>
  <c r="G62" s="1"/>
  <c r="S12" i="44" s="1"/>
  <c r="E72" i="10"/>
  <c r="G72" s="1"/>
  <c r="E92"/>
  <c r="G92" s="1"/>
  <c r="G98"/>
  <c r="G104"/>
  <c r="J113"/>
  <c r="G116"/>
  <c r="E123"/>
  <c r="G123" s="1"/>
  <c r="E124"/>
  <c r="G124" s="1"/>
  <c r="E125"/>
  <c r="G125" s="1"/>
  <c r="E126"/>
  <c r="G126" s="1"/>
  <c r="E127"/>
  <c r="G127" s="1"/>
  <c r="E130"/>
  <c r="G130" s="1"/>
  <c r="E131"/>
  <c r="G131" s="1"/>
  <c r="E132"/>
  <c r="G132" s="1"/>
  <c r="E133"/>
  <c r="G133" s="1"/>
  <c r="G134"/>
  <c r="E135"/>
  <c r="G135" s="1"/>
  <c r="E136"/>
  <c r="G136" s="1"/>
  <c r="AJ12" i="44" s="1"/>
  <c r="E137" i="10"/>
  <c r="G137" s="1"/>
  <c r="E138"/>
  <c r="G138" s="1"/>
  <c r="E139"/>
  <c r="G139" s="1"/>
  <c r="E140"/>
  <c r="G140" s="1"/>
  <c r="AI12" i="44" s="1"/>
  <c r="E115" i="9"/>
  <c r="E110" i="8"/>
  <c r="E111"/>
  <c r="E111" i="9"/>
  <c r="E110" i="7"/>
  <c r="G110" s="1"/>
  <c r="E111"/>
  <c r="E109"/>
  <c r="E110" i="4"/>
  <c r="E111"/>
  <c r="E109"/>
  <c r="E109" i="8"/>
  <c r="E109" i="9"/>
  <c r="E110"/>
  <c r="E114"/>
  <c r="E106"/>
  <c r="E105"/>
  <c r="G105" s="1"/>
  <c r="E15"/>
  <c r="E8"/>
  <c r="E105" i="8"/>
  <c r="E115" i="7"/>
  <c r="E114"/>
  <c r="E123" i="8"/>
  <c r="E115"/>
  <c r="E114"/>
  <c r="E106"/>
  <c r="H87" i="7" l="1"/>
  <c r="J87" s="1"/>
  <c r="J87" i="33"/>
  <c r="L14" i="45"/>
  <c r="H88" i="7"/>
  <c r="J88" s="1"/>
  <c r="J88" i="33"/>
  <c r="L13" i="45"/>
  <c r="E31" i="10"/>
  <c r="G31" s="1"/>
  <c r="P9" i="12"/>
  <c r="E30" i="10"/>
  <c r="G30" s="1"/>
  <c r="G76"/>
  <c r="G85" s="1"/>
  <c r="G20"/>
  <c r="E27"/>
  <c r="G27" s="1"/>
  <c r="G117"/>
  <c r="I136"/>
  <c r="G118"/>
  <c r="F118"/>
  <c r="G94"/>
  <c r="I138"/>
  <c r="G144"/>
  <c r="G148"/>
  <c r="G47"/>
  <c r="G142"/>
  <c r="I133"/>
  <c r="G119"/>
  <c r="G101"/>
  <c r="F119"/>
  <c r="G146"/>
  <c r="G59"/>
  <c r="G150"/>
  <c r="G152"/>
  <c r="G128"/>
  <c r="E28"/>
  <c r="G28" s="1"/>
  <c r="G13"/>
  <c r="G112"/>
  <c r="G107"/>
  <c r="G109" i="7"/>
  <c r="E105"/>
  <c r="E106"/>
  <c r="G120" i="10" l="1"/>
  <c r="F120"/>
  <c r="G149"/>
  <c r="G32"/>
  <c r="I13"/>
  <c r="G60"/>
  <c r="I60" s="1"/>
  <c r="G153"/>
  <c r="G151"/>
  <c r="G143"/>
  <c r="G147"/>
  <c r="G145"/>
  <c r="G106" i="7"/>
  <c r="E8"/>
  <c r="G8" s="1"/>
  <c r="I59" i="10" l="1"/>
  <c r="E107" i="33"/>
  <c r="E108"/>
  <c r="E112"/>
  <c r="E113"/>
  <c r="E100"/>
  <c r="E96" l="1"/>
  <c r="E8"/>
  <c r="G8" s="1"/>
  <c r="E134" i="5" l="1"/>
  <c r="E8"/>
  <c r="G8" s="1"/>
  <c r="E132" i="4"/>
  <c r="G123" i="2"/>
  <c r="E27" i="5" l="1"/>
  <c r="G27" s="1"/>
  <c r="E19" i="3"/>
  <c r="G19" s="1"/>
  <c r="G9" i="2" l="1"/>
  <c r="G35"/>
  <c r="G8" l="1"/>
  <c r="E27" s="1"/>
  <c r="N27" i="29" s="1"/>
  <c r="G7" i="2"/>
  <c r="E29" i="43"/>
  <c r="G27" i="2" l="1"/>
  <c r="N27" i="31"/>
  <c r="A3" i="46"/>
  <c r="G15" i="2"/>
  <c r="G79" i="31"/>
  <c r="G131"/>
  <c r="G132"/>
  <c r="G133"/>
  <c r="G135"/>
  <c r="G136"/>
  <c r="G137"/>
  <c r="G139"/>
  <c r="G140"/>
  <c r="G130"/>
  <c r="G125"/>
  <c r="G123"/>
  <c r="E108" i="30"/>
  <c r="E107"/>
  <c r="E108" i="43"/>
  <c r="G105" i="31"/>
  <c r="G106"/>
  <c r="G109"/>
  <c r="G110"/>
  <c r="G111"/>
  <c r="G114"/>
  <c r="G104"/>
  <c r="G93"/>
  <c r="G95"/>
  <c r="G97"/>
  <c r="G98"/>
  <c r="G99"/>
  <c r="G92"/>
  <c r="G73"/>
  <c r="G74"/>
  <c r="G75"/>
  <c r="G76"/>
  <c r="G77"/>
  <c r="G78"/>
  <c r="G81"/>
  <c r="G82"/>
  <c r="G83"/>
  <c r="G84"/>
  <c r="G72"/>
  <c r="G63"/>
  <c r="G167"/>
  <c r="G169"/>
  <c r="G171"/>
  <c r="G62"/>
  <c r="G50"/>
  <c r="G51"/>
  <c r="G53"/>
  <c r="G54"/>
  <c r="G55"/>
  <c r="G57"/>
  <c r="G58"/>
  <c r="G49"/>
  <c r="G36"/>
  <c r="G37"/>
  <c r="G38"/>
  <c r="G39"/>
  <c r="G41"/>
  <c r="G42"/>
  <c r="G43"/>
  <c r="G45"/>
  <c r="G46"/>
  <c r="G35"/>
  <c r="G22"/>
  <c r="G19"/>
  <c r="G15"/>
  <c r="G8"/>
  <c r="G10"/>
  <c r="G11"/>
  <c r="G12"/>
  <c r="G7"/>
  <c r="G80"/>
  <c r="G96"/>
  <c r="G100"/>
  <c r="G138"/>
  <c r="G134"/>
  <c r="G127"/>
  <c r="G126"/>
  <c r="G124"/>
  <c r="G116"/>
  <c r="G115"/>
  <c r="J113"/>
  <c r="G69"/>
  <c r="G65"/>
  <c r="G56"/>
  <c r="G52"/>
  <c r="G44"/>
  <c r="G40"/>
  <c r="G29"/>
  <c r="G18"/>
  <c r="I15"/>
  <c r="K9"/>
  <c r="M8"/>
  <c r="I7"/>
  <c r="E28" l="1"/>
  <c r="G28" s="1"/>
  <c r="E28" i="2"/>
  <c r="G28" s="1"/>
  <c r="E31" i="31"/>
  <c r="G31" s="1"/>
  <c r="AH13" i="45"/>
  <c r="AI34" i="44"/>
  <c r="E27" i="31"/>
  <c r="G27" s="1"/>
  <c r="AJ34" i="44"/>
  <c r="AH14" i="45"/>
  <c r="E30" i="31"/>
  <c r="G30" s="1"/>
  <c r="S34" i="44"/>
  <c r="T34"/>
  <c r="H27" i="2"/>
  <c r="G68" i="31"/>
  <c r="G170"/>
  <c r="G67"/>
  <c r="G66"/>
  <c r="G168"/>
  <c r="G64"/>
  <c r="G166"/>
  <c r="M34" i="44"/>
  <c r="G20" i="31"/>
  <c r="G47"/>
  <c r="F118"/>
  <c r="G59"/>
  <c r="G94"/>
  <c r="G107"/>
  <c r="I133"/>
  <c r="G128"/>
  <c r="H128" s="1"/>
  <c r="N128" s="1"/>
  <c r="G152"/>
  <c r="G144"/>
  <c r="F119"/>
  <c r="G101"/>
  <c r="G119"/>
  <c r="G117"/>
  <c r="I136"/>
  <c r="G150"/>
  <c r="G85"/>
  <c r="G13"/>
  <c r="G142"/>
  <c r="G146"/>
  <c r="G112"/>
  <c r="G148"/>
  <c r="I138"/>
  <c r="G118"/>
  <c r="N28" l="1"/>
  <c r="N28" i="29"/>
  <c r="G172" i="31"/>
  <c r="H28" i="2"/>
  <c r="I13" i="31"/>
  <c r="G32"/>
  <c r="G143"/>
  <c r="G145"/>
  <c r="G149"/>
  <c r="F120"/>
  <c r="G120"/>
  <c r="G60"/>
  <c r="G153"/>
  <c r="G147"/>
  <c r="G151"/>
  <c r="I60" l="1"/>
  <c r="I59"/>
  <c r="I8" i="29" l="1"/>
  <c r="I8" i="28" l="1"/>
  <c r="E29" i="27" l="1"/>
  <c r="I8" l="1"/>
  <c r="I8" i="40"/>
  <c r="I8" i="25"/>
  <c r="AI24" i="45"/>
  <c r="AI26"/>
  <c r="I8" i="24" l="1"/>
  <c r="I8" i="23"/>
  <c r="I8" i="22"/>
  <c r="G62" i="20"/>
  <c r="S22" i="44" s="1"/>
  <c r="E58" i="21"/>
  <c r="I8"/>
  <c r="F4" i="45" l="1"/>
  <c r="E4"/>
  <c r="D4"/>
  <c r="J4" i="1" l="1"/>
  <c r="E8" i="43"/>
  <c r="G8" s="1"/>
  <c r="E8" i="30"/>
  <c r="G8" s="1"/>
  <c r="E8" i="28"/>
  <c r="E8" i="27"/>
  <c r="E8" i="25"/>
  <c r="E8" i="24"/>
  <c r="G8" s="1"/>
  <c r="E8" i="21"/>
  <c r="E8" i="20"/>
  <c r="E8" i="19"/>
  <c r="E8" i="18"/>
  <c r="K9" i="17"/>
  <c r="K8"/>
  <c r="K7"/>
  <c r="E15"/>
  <c r="G72" i="15"/>
  <c r="E73"/>
  <c r="E74"/>
  <c r="E75"/>
  <c r="E76"/>
  <c r="E77"/>
  <c r="E78"/>
  <c r="E79"/>
  <c r="E80"/>
  <c r="E81"/>
  <c r="E82"/>
  <c r="E83"/>
  <c r="E84"/>
  <c r="E36"/>
  <c r="E37"/>
  <c r="E38"/>
  <c r="E39"/>
  <c r="E40"/>
  <c r="E41"/>
  <c r="E42"/>
  <c r="E43"/>
  <c r="E44"/>
  <c r="E45"/>
  <c r="E46"/>
  <c r="I8"/>
  <c r="G8"/>
  <c r="G8" i="12"/>
  <c r="G9" i="14"/>
  <c r="G58" i="12"/>
  <c r="G57"/>
  <c r="P57" s="1"/>
  <c r="G56"/>
  <c r="P56" s="1"/>
  <c r="G55"/>
  <c r="P55" s="1"/>
  <c r="G54"/>
  <c r="P54" s="1"/>
  <c r="G53"/>
  <c r="P53" s="1"/>
  <c r="G52"/>
  <c r="P52" s="1"/>
  <c r="G51"/>
  <c r="P51" s="1"/>
  <c r="G50"/>
  <c r="G49"/>
  <c r="P49" s="1"/>
  <c r="E50" i="13"/>
  <c r="E51"/>
  <c r="E52"/>
  <c r="E53"/>
  <c r="E54"/>
  <c r="E55"/>
  <c r="E56"/>
  <c r="E57"/>
  <c r="E58"/>
  <c r="E7"/>
  <c r="G7" s="1"/>
  <c r="F2" i="47" l="1"/>
  <c r="F3" s="1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J35" i="1"/>
  <c r="P58" i="12"/>
  <c r="M14" i="44"/>
  <c r="G33" i="1"/>
  <c r="P50" i="12"/>
  <c r="P8"/>
  <c r="G59"/>
  <c r="P59" s="1"/>
  <c r="E105" i="43"/>
  <c r="E106"/>
  <c r="E107"/>
  <c r="E109"/>
  <c r="E110"/>
  <c r="E111"/>
  <c r="E112"/>
  <c r="E113"/>
  <c r="E114"/>
  <c r="E115"/>
  <c r="E104"/>
  <c r="E105" i="30"/>
  <c r="E106"/>
  <c r="E109"/>
  <c r="E110"/>
  <c r="E111"/>
  <c r="E112"/>
  <c r="E113"/>
  <c r="E114"/>
  <c r="E115"/>
  <c r="E104"/>
  <c r="G106" i="29"/>
  <c r="E104"/>
  <c r="E105" i="28"/>
  <c r="E104"/>
  <c r="E105" i="27"/>
  <c r="E106"/>
  <c r="E107"/>
  <c r="E108"/>
  <c r="E109"/>
  <c r="E112"/>
  <c r="E113"/>
  <c r="E114"/>
  <c r="E115"/>
  <c r="E104"/>
  <c r="E105" i="40"/>
  <c r="E106"/>
  <c r="E107"/>
  <c r="E108"/>
  <c r="E109"/>
  <c r="E110"/>
  <c r="E111"/>
  <c r="E112"/>
  <c r="E113"/>
  <c r="E114"/>
  <c r="E115"/>
  <c r="E104"/>
  <c r="E115" i="25"/>
  <c r="E109"/>
  <c r="E110"/>
  <c r="E105"/>
  <c r="E106"/>
  <c r="E108"/>
  <c r="E112"/>
  <c r="E114"/>
  <c r="E104"/>
  <c r="E105" i="24"/>
  <c r="E106"/>
  <c r="E107"/>
  <c r="E108"/>
  <c r="E109"/>
  <c r="E110"/>
  <c r="E111"/>
  <c r="E112"/>
  <c r="E113"/>
  <c r="E114"/>
  <c r="E115"/>
  <c r="E104"/>
  <c r="E105" i="23"/>
  <c r="E106"/>
  <c r="E107"/>
  <c r="E108"/>
  <c r="E109"/>
  <c r="E110"/>
  <c r="E111"/>
  <c r="E112"/>
  <c r="E113"/>
  <c r="E114"/>
  <c r="E115"/>
  <c r="E104"/>
  <c r="E105" i="22"/>
  <c r="E106"/>
  <c r="E107"/>
  <c r="E108"/>
  <c r="E109"/>
  <c r="E110"/>
  <c r="E111"/>
  <c r="E112"/>
  <c r="E113"/>
  <c r="E114"/>
  <c r="E115"/>
  <c r="E104"/>
  <c r="E105" i="21"/>
  <c r="E106"/>
  <c r="E107"/>
  <c r="E108"/>
  <c r="E109"/>
  <c r="E110"/>
  <c r="E111"/>
  <c r="E112"/>
  <c r="E113"/>
  <c r="E114"/>
  <c r="E115"/>
  <c r="E104"/>
  <c r="E105" i="20"/>
  <c r="E106"/>
  <c r="E107"/>
  <c r="E108"/>
  <c r="E109"/>
  <c r="E110"/>
  <c r="E111"/>
  <c r="E112"/>
  <c r="E113"/>
  <c r="E114"/>
  <c r="E115"/>
  <c r="E104"/>
  <c r="E105" i="19"/>
  <c r="E106"/>
  <c r="E107"/>
  <c r="E108"/>
  <c r="E109"/>
  <c r="E110"/>
  <c r="E111"/>
  <c r="E112"/>
  <c r="E113"/>
  <c r="E114"/>
  <c r="E115"/>
  <c r="E104"/>
  <c r="E105" i="18"/>
  <c r="E106"/>
  <c r="E107"/>
  <c r="E108"/>
  <c r="E109"/>
  <c r="E110"/>
  <c r="E111"/>
  <c r="E112"/>
  <c r="E113"/>
  <c r="E114"/>
  <c r="E115"/>
  <c r="E104"/>
  <c r="E105" i="17"/>
  <c r="E106"/>
  <c r="E107"/>
  <c r="E108"/>
  <c r="E109"/>
  <c r="E110"/>
  <c r="E111"/>
  <c r="E112"/>
  <c r="E113"/>
  <c r="E114"/>
  <c r="E115"/>
  <c r="E104"/>
  <c r="E105" i="16"/>
  <c r="E106"/>
  <c r="E107"/>
  <c r="E108"/>
  <c r="E109"/>
  <c r="E110"/>
  <c r="E111"/>
  <c r="E112"/>
  <c r="E113"/>
  <c r="E114"/>
  <c r="E115"/>
  <c r="E104"/>
  <c r="E105" i="15"/>
  <c r="E106"/>
  <c r="E107"/>
  <c r="E108"/>
  <c r="E109"/>
  <c r="E110"/>
  <c r="E111"/>
  <c r="E112"/>
  <c r="E113"/>
  <c r="E114"/>
  <c r="E115"/>
  <c r="E104"/>
  <c r="E105" i="14"/>
  <c r="E106"/>
  <c r="E109"/>
  <c r="E110"/>
  <c r="E111"/>
  <c r="E114"/>
  <c r="E115"/>
  <c r="E104"/>
  <c r="E104" i="13"/>
  <c r="E115" i="5"/>
  <c r="E115" i="33" s="1"/>
  <c r="E114" i="5"/>
  <c r="E114" i="33" s="1"/>
  <c r="E111" i="5"/>
  <c r="E111" i="33" s="1"/>
  <c r="E110" i="5"/>
  <c r="E110" i="33" s="1"/>
  <c r="E109" i="5"/>
  <c r="E109" i="33" s="1"/>
  <c r="E106" i="5"/>
  <c r="E106" i="33" s="1"/>
  <c r="E105" i="5"/>
  <c r="E105" i="33" s="1"/>
  <c r="E104" i="5"/>
  <c r="E104" i="33" s="1"/>
  <c r="E109" i="3"/>
  <c r="E115" i="4"/>
  <c r="E114"/>
  <c r="E106"/>
  <c r="E105"/>
  <c r="E104"/>
  <c r="E115" i="3"/>
  <c r="E114"/>
  <c r="E111"/>
  <c r="E110"/>
  <c r="E106"/>
  <c r="E105"/>
  <c r="E104"/>
  <c r="E29" i="5"/>
  <c r="G29" s="1"/>
  <c r="E29" i="33"/>
  <c r="G29" s="1"/>
  <c r="E29" i="7"/>
  <c r="G29" s="1"/>
  <c r="E29" i="8"/>
  <c r="G29" s="1"/>
  <c r="E29" i="9"/>
  <c r="G29" s="1"/>
  <c r="E29" i="11"/>
  <c r="G29" s="1"/>
  <c r="E29" i="12"/>
  <c r="G29" s="1"/>
  <c r="P29" s="1"/>
  <c r="E29" i="13"/>
  <c r="E29" i="14"/>
  <c r="G29" s="1"/>
  <c r="E29" i="15"/>
  <c r="G29" s="1"/>
  <c r="E29" i="16"/>
  <c r="G29" s="1"/>
  <c r="E29" i="17"/>
  <c r="G29" s="1"/>
  <c r="E29" i="18"/>
  <c r="G29" s="1"/>
  <c r="E29" i="19"/>
  <c r="G29" s="1"/>
  <c r="E29" i="20"/>
  <c r="G29" s="1"/>
  <c r="E29" i="21"/>
  <c r="G29" s="1"/>
  <c r="E29" i="22"/>
  <c r="G29" s="1"/>
  <c r="E29" i="23"/>
  <c r="G29" s="1"/>
  <c r="O29" s="1"/>
  <c r="E29" i="24"/>
  <c r="G29" s="1"/>
  <c r="E29" i="25"/>
  <c r="G29" s="1"/>
  <c r="E29" i="40"/>
  <c r="G29" s="1"/>
  <c r="E29" i="28"/>
  <c r="G29" s="1"/>
  <c r="E29" i="29"/>
  <c r="G29" s="1"/>
  <c r="E29" i="30"/>
  <c r="G29" s="1"/>
  <c r="G29" i="43"/>
  <c r="E29" i="4"/>
  <c r="G29" s="1"/>
  <c r="E29" i="3"/>
  <c r="G29" s="1"/>
  <c r="G29" i="13" l="1"/>
  <c r="G116" i="5"/>
  <c r="G115"/>
  <c r="G114"/>
  <c r="J113"/>
  <c r="G111"/>
  <c r="G110"/>
  <c r="G109"/>
  <c r="G106"/>
  <c r="G105"/>
  <c r="G104"/>
  <c r="G116" i="33"/>
  <c r="G115"/>
  <c r="G114"/>
  <c r="J113"/>
  <c r="G111"/>
  <c r="G110"/>
  <c r="G109"/>
  <c r="G106"/>
  <c r="G105"/>
  <c r="G104"/>
  <c r="G116" i="7"/>
  <c r="G115"/>
  <c r="G114"/>
  <c r="J113"/>
  <c r="G111"/>
  <c r="I20" i="45"/>
  <c r="I18"/>
  <c r="G105" i="7"/>
  <c r="G104"/>
  <c r="G116" i="8"/>
  <c r="G115"/>
  <c r="G114"/>
  <c r="J113"/>
  <c r="G111"/>
  <c r="G110"/>
  <c r="G109"/>
  <c r="G106"/>
  <c r="G105"/>
  <c r="G104"/>
  <c r="G116" i="9"/>
  <c r="G115"/>
  <c r="G114"/>
  <c r="J113"/>
  <c r="G111"/>
  <c r="G110"/>
  <c r="G109"/>
  <c r="G106"/>
  <c r="K17" i="45"/>
  <c r="G104" i="9"/>
  <c r="L22" i="45"/>
  <c r="L21"/>
  <c r="L20"/>
  <c r="L18"/>
  <c r="L17"/>
  <c r="L16"/>
  <c r="G116" i="11"/>
  <c r="G115"/>
  <c r="G114"/>
  <c r="J113"/>
  <c r="G111"/>
  <c r="G110"/>
  <c r="G109"/>
  <c r="G106"/>
  <c r="G105"/>
  <c r="G116" i="12"/>
  <c r="P116" s="1"/>
  <c r="G115"/>
  <c r="G114"/>
  <c r="N13" i="45" s="1"/>
  <c r="J113" i="12"/>
  <c r="G111"/>
  <c r="G110"/>
  <c r="G109"/>
  <c r="G106"/>
  <c r="G105"/>
  <c r="G104"/>
  <c r="G116" i="13"/>
  <c r="G115"/>
  <c r="G114"/>
  <c r="J113"/>
  <c r="G111"/>
  <c r="G110"/>
  <c r="G109"/>
  <c r="G106"/>
  <c r="G105"/>
  <c r="G104"/>
  <c r="G116" i="14"/>
  <c r="G115"/>
  <c r="P14" i="45" s="1"/>
  <c r="G114" i="14"/>
  <c r="J113"/>
  <c r="G111"/>
  <c r="P22" i="45" s="1"/>
  <c r="G110" i="14"/>
  <c r="P21" i="45" s="1"/>
  <c r="G109" i="14"/>
  <c r="P20" i="45" s="1"/>
  <c r="G106" i="14"/>
  <c r="P18" i="45" s="1"/>
  <c r="G105" i="14"/>
  <c r="P17" i="45" s="1"/>
  <c r="G104" i="14"/>
  <c r="P16" i="45" s="1"/>
  <c r="G116" i="15"/>
  <c r="G115"/>
  <c r="Q14" i="45" s="1"/>
  <c r="G114" i="15"/>
  <c r="Q13" i="45" s="1"/>
  <c r="J113" i="15"/>
  <c r="G111"/>
  <c r="Q22" i="45" s="1"/>
  <c r="G110" i="15"/>
  <c r="Q21" i="45" s="1"/>
  <c r="G109" i="15"/>
  <c r="Q20" i="45" s="1"/>
  <c r="G106" i="15"/>
  <c r="Q18" i="45" s="1"/>
  <c r="G105" i="15"/>
  <c r="Q17" i="45" s="1"/>
  <c r="G104" i="15"/>
  <c r="Q16" i="45" s="1"/>
  <c r="G116" i="16"/>
  <c r="G115"/>
  <c r="R14" i="45" s="1"/>
  <c r="G114" i="16"/>
  <c r="R13" i="45" s="1"/>
  <c r="J113" i="16"/>
  <c r="G111"/>
  <c r="R22" i="45" s="1"/>
  <c r="G110" i="16"/>
  <c r="R21" i="45" s="1"/>
  <c r="G109" i="16"/>
  <c r="R20" i="45" s="1"/>
  <c r="G106" i="16"/>
  <c r="R18" i="45" s="1"/>
  <c r="G105" i="16"/>
  <c r="R17" i="45" s="1"/>
  <c r="G104" i="16"/>
  <c r="R16" i="45" s="1"/>
  <c r="G116" i="17"/>
  <c r="G115"/>
  <c r="S14" i="45" s="1"/>
  <c r="G114" i="17"/>
  <c r="J113"/>
  <c r="G111"/>
  <c r="S22" i="45" s="1"/>
  <c r="G110" i="17"/>
  <c r="S21" i="45" s="1"/>
  <c r="G109" i="17"/>
  <c r="S20" i="45" s="1"/>
  <c r="G106" i="17"/>
  <c r="S18" i="45" s="1"/>
  <c r="G105" i="17"/>
  <c r="S17" i="45" s="1"/>
  <c r="G104" i="17"/>
  <c r="S16" i="45" s="1"/>
  <c r="G116" i="18"/>
  <c r="G115"/>
  <c r="T14" i="45" s="1"/>
  <c r="G114" i="18"/>
  <c r="J113"/>
  <c r="G111"/>
  <c r="T22" i="45" s="1"/>
  <c r="G110" i="18"/>
  <c r="T21" i="45" s="1"/>
  <c r="G109" i="18"/>
  <c r="T20" i="45" s="1"/>
  <c r="G106" i="18"/>
  <c r="T18" i="45" s="1"/>
  <c r="G105" i="18"/>
  <c r="T17" i="45" s="1"/>
  <c r="G104" i="18"/>
  <c r="T16" i="45" s="1"/>
  <c r="G116" i="19"/>
  <c r="G115"/>
  <c r="U14" i="45" s="1"/>
  <c r="G114" i="19"/>
  <c r="U13" i="45" s="1"/>
  <c r="J113" i="19"/>
  <c r="G111"/>
  <c r="U22" i="45" s="1"/>
  <c r="G110" i="19"/>
  <c r="U21" i="45" s="1"/>
  <c r="G109" i="19"/>
  <c r="U20" i="45" s="1"/>
  <c r="G106" i="19"/>
  <c r="U18" i="45" s="1"/>
  <c r="G105" i="19"/>
  <c r="U17" i="45" s="1"/>
  <c r="G104" i="19"/>
  <c r="U16" i="45" s="1"/>
  <c r="G116" i="20"/>
  <c r="G115"/>
  <c r="V14" i="45" s="1"/>
  <c r="G114" i="20"/>
  <c r="J113"/>
  <c r="G111"/>
  <c r="V22" i="45" s="1"/>
  <c r="G110" i="20"/>
  <c r="V21" i="45" s="1"/>
  <c r="G109" i="20"/>
  <c r="V20" i="45" s="1"/>
  <c r="G106" i="20"/>
  <c r="V18" i="45" s="1"/>
  <c r="G105" i="20"/>
  <c r="V17" i="45" s="1"/>
  <c r="G104" i="20"/>
  <c r="V16" i="45" s="1"/>
  <c r="G116" i="21"/>
  <c r="G115"/>
  <c r="W14" i="45" s="1"/>
  <c r="G114" i="21"/>
  <c r="J113"/>
  <c r="G111"/>
  <c r="W22" i="45" s="1"/>
  <c r="G110" i="21"/>
  <c r="W21" i="45" s="1"/>
  <c r="G109" i="21"/>
  <c r="W20" i="45" s="1"/>
  <c r="G106" i="21"/>
  <c r="W18" i="45" s="1"/>
  <c r="G105" i="21"/>
  <c r="W17" i="45" s="1"/>
  <c r="G104" i="21"/>
  <c r="W16" i="45" s="1"/>
  <c r="G116" i="22"/>
  <c r="G115"/>
  <c r="X14" i="45" s="1"/>
  <c r="G114" i="22"/>
  <c r="J113"/>
  <c r="G111"/>
  <c r="X22" i="45" s="1"/>
  <c r="G110" i="22"/>
  <c r="X21" i="45" s="1"/>
  <c r="G109" i="22"/>
  <c r="X20" i="45" s="1"/>
  <c r="G106" i="22"/>
  <c r="X18" i="45" s="1"/>
  <c r="G105" i="22"/>
  <c r="X17" i="45" s="1"/>
  <c r="G104" i="22"/>
  <c r="X16" i="45" s="1"/>
  <c r="G116" i="23"/>
  <c r="O116" s="1"/>
  <c r="G115"/>
  <c r="G114"/>
  <c r="J113"/>
  <c r="G111"/>
  <c r="G110"/>
  <c r="G109"/>
  <c r="O109" s="1"/>
  <c r="G106"/>
  <c r="G105"/>
  <c r="G104"/>
  <c r="G116" i="24"/>
  <c r="G115"/>
  <c r="Z14" i="45" s="1"/>
  <c r="G114" i="24"/>
  <c r="Z13" i="45" s="1"/>
  <c r="J113" i="24"/>
  <c r="G111"/>
  <c r="Z22" i="45" s="1"/>
  <c r="G110" i="24"/>
  <c r="Z21" i="45" s="1"/>
  <c r="G109" i="24"/>
  <c r="Z20" i="45" s="1"/>
  <c r="G106" i="24"/>
  <c r="Z18" i="45" s="1"/>
  <c r="G105" i="24"/>
  <c r="Z17" i="45" s="1"/>
  <c r="G104" i="24"/>
  <c r="Z16" i="45" s="1"/>
  <c r="G116" i="25"/>
  <c r="G115"/>
  <c r="AA14" i="45" s="1"/>
  <c r="G114" i="25"/>
  <c r="J113"/>
  <c r="G111"/>
  <c r="AA22" i="45" s="1"/>
  <c r="G110" i="25"/>
  <c r="AA21" i="45" s="1"/>
  <c r="G109" i="25"/>
  <c r="AA20" i="45" s="1"/>
  <c r="G106" i="25"/>
  <c r="AA18" i="45" s="1"/>
  <c r="G105" i="25"/>
  <c r="AA17" i="45" s="1"/>
  <c r="G104" i="25"/>
  <c r="AA16" i="45" s="1"/>
  <c r="G116" i="40"/>
  <c r="G115"/>
  <c r="AB14" i="45" s="1"/>
  <c r="G114" i="40"/>
  <c r="J113"/>
  <c r="G111"/>
  <c r="AB22" i="45" s="1"/>
  <c r="G110" i="40"/>
  <c r="AB21" i="45" s="1"/>
  <c r="G109" i="40"/>
  <c r="AB20" i="45" s="1"/>
  <c r="G106" i="40"/>
  <c r="AB18" i="45" s="1"/>
  <c r="G105" i="40"/>
  <c r="AB17" i="45" s="1"/>
  <c r="G104" i="40"/>
  <c r="AB16" i="45" s="1"/>
  <c r="G116" i="27"/>
  <c r="G115"/>
  <c r="AC14" i="45" s="1"/>
  <c r="G114" i="27"/>
  <c r="AC13" i="45" s="1"/>
  <c r="J113" i="27"/>
  <c r="G111"/>
  <c r="AC22" i="45" s="1"/>
  <c r="G110" i="27"/>
  <c r="AC21" i="45" s="1"/>
  <c r="G109" i="27"/>
  <c r="AC20" i="45" s="1"/>
  <c r="G106" i="27"/>
  <c r="AC18" i="45" s="1"/>
  <c r="G105" i="27"/>
  <c r="AC17" i="45" s="1"/>
  <c r="G104" i="27"/>
  <c r="AC16" i="45" s="1"/>
  <c r="G116" i="28"/>
  <c r="G115"/>
  <c r="AD14" i="45" s="1"/>
  <c r="G114" i="28"/>
  <c r="J113"/>
  <c r="G111"/>
  <c r="AD22" i="45" s="1"/>
  <c r="G110" i="28"/>
  <c r="AD21" i="45" s="1"/>
  <c r="G109" i="28"/>
  <c r="AD20" i="45" s="1"/>
  <c r="G106" i="28"/>
  <c r="AD18" i="45" s="1"/>
  <c r="G105" i="28"/>
  <c r="AD17" i="45" s="1"/>
  <c r="G104" i="28"/>
  <c r="AD16" i="45" s="1"/>
  <c r="G116" i="29"/>
  <c r="G115"/>
  <c r="AE14" i="45" s="1"/>
  <c r="G114" i="29"/>
  <c r="J113"/>
  <c r="G111"/>
  <c r="AE22" i="45" s="1"/>
  <c r="G110" i="29"/>
  <c r="AE21" i="45" s="1"/>
  <c r="G109" i="29"/>
  <c r="AE20" i="45" s="1"/>
  <c r="AE18"/>
  <c r="G105" i="29"/>
  <c r="AE17" i="45" s="1"/>
  <c r="G104" i="29"/>
  <c r="AE16" i="45" s="1"/>
  <c r="G116" i="30"/>
  <c r="G115"/>
  <c r="G114"/>
  <c r="J113"/>
  <c r="G111"/>
  <c r="G110"/>
  <c r="G109"/>
  <c r="G106"/>
  <c r="G105"/>
  <c r="G104"/>
  <c r="G116" i="43"/>
  <c r="G115"/>
  <c r="AG14" i="45" s="1"/>
  <c r="G114" i="43"/>
  <c r="AG13" i="45" s="1"/>
  <c r="J113" i="43"/>
  <c r="G111"/>
  <c r="AG22" i="45" s="1"/>
  <c r="G110" i="43"/>
  <c r="AG21" i="45" s="1"/>
  <c r="G109" i="43"/>
  <c r="AG20" i="45" s="1"/>
  <c r="G106" i="43"/>
  <c r="AG18" i="45" s="1"/>
  <c r="G105" i="43"/>
  <c r="AG17" i="45" s="1"/>
  <c r="G104" i="43"/>
  <c r="AG16" i="45" s="1"/>
  <c r="AH22"/>
  <c r="AH21"/>
  <c r="AH20"/>
  <c r="AH18"/>
  <c r="AH17"/>
  <c r="AH16"/>
  <c r="G116" i="4"/>
  <c r="G115"/>
  <c r="G114"/>
  <c r="J113"/>
  <c r="G111"/>
  <c r="G110"/>
  <c r="G109"/>
  <c r="G106"/>
  <c r="G105"/>
  <c r="G104"/>
  <c r="G116" i="2"/>
  <c r="G115"/>
  <c r="D14" i="45" s="1"/>
  <c r="G114" i="2"/>
  <c r="D13" i="45" s="1"/>
  <c r="J113" i="2"/>
  <c r="G111"/>
  <c r="G110"/>
  <c r="G109"/>
  <c r="G106"/>
  <c r="G105"/>
  <c r="G104"/>
  <c r="J113" i="3"/>
  <c r="G116"/>
  <c r="G115"/>
  <c r="G114"/>
  <c r="H114" s="1"/>
  <c r="G111"/>
  <c r="G110"/>
  <c r="G109"/>
  <c r="G106"/>
  <c r="G105"/>
  <c r="G104"/>
  <c r="G190" i="11"/>
  <c r="G191"/>
  <c r="G189"/>
  <c r="G185"/>
  <c r="G186"/>
  <c r="G184"/>
  <c r="G180"/>
  <c r="G181"/>
  <c r="G179"/>
  <c r="E21" i="45" l="1"/>
  <c r="H110" i="3"/>
  <c r="H110" i="4" s="1"/>
  <c r="H110" i="5" s="1"/>
  <c r="H110" i="33" s="1"/>
  <c r="H110" i="7" s="1"/>
  <c r="H110" i="8" s="1"/>
  <c r="H110" i="9" s="1"/>
  <c r="H110" i="10" s="1"/>
  <c r="H110" i="11" s="1"/>
  <c r="G18" i="45"/>
  <c r="K16"/>
  <c r="K21"/>
  <c r="K14"/>
  <c r="J18"/>
  <c r="I16"/>
  <c r="I22"/>
  <c r="H20"/>
  <c r="G22"/>
  <c r="E16"/>
  <c r="H104" i="3"/>
  <c r="F21" i="45"/>
  <c r="K22"/>
  <c r="J20"/>
  <c r="H16"/>
  <c r="H14"/>
  <c r="E20"/>
  <c r="H109" i="3"/>
  <c r="H109" i="4" s="1"/>
  <c r="H109" i="5" s="1"/>
  <c r="H109" i="33" s="1"/>
  <c r="H109" i="7" s="1"/>
  <c r="H109" i="8" s="1"/>
  <c r="H109" i="9" s="1"/>
  <c r="H109" i="10" s="1"/>
  <c r="H109" i="11" s="1"/>
  <c r="F20" i="45"/>
  <c r="E18"/>
  <c r="H106" i="3"/>
  <c r="H106" i="4" s="1"/>
  <c r="H106" i="5" s="1"/>
  <c r="H106" i="33" s="1"/>
  <c r="H106" i="7" s="1"/>
  <c r="H106" i="8" s="1"/>
  <c r="H106" i="9" s="1"/>
  <c r="H106" i="10" s="1"/>
  <c r="H106" i="11" s="1"/>
  <c r="F18" i="45"/>
  <c r="M13"/>
  <c r="K20"/>
  <c r="K13"/>
  <c r="J17"/>
  <c r="J22"/>
  <c r="I14"/>
  <c r="H18"/>
  <c r="G16"/>
  <c r="G21"/>
  <c r="G14"/>
  <c r="F16"/>
  <c r="H104" i="4"/>
  <c r="H104" i="5" s="1"/>
  <c r="H104" i="33" s="1"/>
  <c r="H104" i="7" s="1"/>
  <c r="H104" i="8" s="1"/>
  <c r="H104" i="9" s="1"/>
  <c r="H104" i="10" s="1"/>
  <c r="H104" i="11" s="1"/>
  <c r="F14" i="45"/>
  <c r="H21"/>
  <c r="E14"/>
  <c r="H115" i="3"/>
  <c r="H115" i="4" s="1"/>
  <c r="H115" i="5" s="1"/>
  <c r="H115" i="33" s="1"/>
  <c r="H115" i="7" s="1"/>
  <c r="H115" i="8" s="1"/>
  <c r="H115" i="9" s="1"/>
  <c r="H115" i="10" s="1"/>
  <c r="H115" i="11" s="1"/>
  <c r="F13" i="45"/>
  <c r="H114" i="4"/>
  <c r="H114" i="5" s="1"/>
  <c r="E17" i="45"/>
  <c r="H105" i="3"/>
  <c r="H105" i="4" s="1"/>
  <c r="H105" i="5" s="1"/>
  <c r="H105" i="33" s="1"/>
  <c r="H105" i="7" s="1"/>
  <c r="H105" i="8" s="1"/>
  <c r="H105" i="9" s="1"/>
  <c r="H105" i="10" s="1"/>
  <c r="H105" i="11" s="1"/>
  <c r="E22" i="45"/>
  <c r="H111" i="3"/>
  <c r="H111" i="4" s="1"/>
  <c r="H111" i="5" s="1"/>
  <c r="H111" i="33" s="1"/>
  <c r="H111" i="7" s="1"/>
  <c r="H111" i="8" s="1"/>
  <c r="H111" i="9" s="1"/>
  <c r="H111" i="10" s="1"/>
  <c r="H111" i="11" s="1"/>
  <c r="F17" i="45"/>
  <c r="F22"/>
  <c r="J16"/>
  <c r="J21"/>
  <c r="I13"/>
  <c r="H17"/>
  <c r="H22"/>
  <c r="G20"/>
  <c r="M22"/>
  <c r="M21"/>
  <c r="M18"/>
  <c r="M17"/>
  <c r="M14"/>
  <c r="J14"/>
  <c r="J13"/>
  <c r="G13"/>
  <c r="J114" i="3"/>
  <c r="E13" i="45"/>
  <c r="P115" i="12"/>
  <c r="N14" i="45"/>
  <c r="Y22"/>
  <c r="O111" i="23"/>
  <c r="H13" i="45"/>
  <c r="Y16"/>
  <c r="O104" i="23"/>
  <c r="AF14" i="45"/>
  <c r="AF13"/>
  <c r="H114" i="29"/>
  <c r="J114" s="1"/>
  <c r="AE13" i="45"/>
  <c r="H114" i="28"/>
  <c r="J114" s="1"/>
  <c r="AD13" i="45"/>
  <c r="H114" i="40"/>
  <c r="J114" s="1"/>
  <c r="AB13" i="45"/>
  <c r="H114" i="25"/>
  <c r="J114" s="1"/>
  <c r="AA13" i="45"/>
  <c r="Y14"/>
  <c r="O115" i="23"/>
  <c r="Y13" i="45"/>
  <c r="O114" i="23"/>
  <c r="Y21" i="45"/>
  <c r="O110" i="23"/>
  <c r="Y18" i="45"/>
  <c r="O106" i="23"/>
  <c r="Y17" i="45"/>
  <c r="O105" i="23"/>
  <c r="H114" i="22"/>
  <c r="J114" s="1"/>
  <c r="X13" i="45"/>
  <c r="H114" i="21"/>
  <c r="J114" s="1"/>
  <c r="W13" i="45"/>
  <c r="H114" i="20"/>
  <c r="J114" s="1"/>
  <c r="V13" i="45"/>
  <c r="H114" i="18"/>
  <c r="J114" s="1"/>
  <c r="T13" i="45"/>
  <c r="H114" i="17"/>
  <c r="J114" s="1"/>
  <c r="S13" i="45"/>
  <c r="O14"/>
  <c r="H114" i="14"/>
  <c r="J114" s="1"/>
  <c r="P13" i="45"/>
  <c r="O13"/>
  <c r="D17"/>
  <c r="D22"/>
  <c r="D20"/>
  <c r="D16"/>
  <c r="D21"/>
  <c r="D18"/>
  <c r="AF20"/>
  <c r="AF18"/>
  <c r="AF17"/>
  <c r="AF22"/>
  <c r="AF16"/>
  <c r="AF21"/>
  <c r="O16"/>
  <c r="O20"/>
  <c r="O21"/>
  <c r="O18"/>
  <c r="O17"/>
  <c r="O22"/>
  <c r="N20"/>
  <c r="P109" i="12"/>
  <c r="N18" i="45"/>
  <c r="P106" i="12"/>
  <c r="H114"/>
  <c r="J114" s="1"/>
  <c r="P114"/>
  <c r="N17" i="45"/>
  <c r="P105" i="12"/>
  <c r="N22" i="45"/>
  <c r="P111" i="12"/>
  <c r="N16" i="45"/>
  <c r="P104" i="12"/>
  <c r="N21" i="45"/>
  <c r="P110" i="12"/>
  <c r="G107" i="11"/>
  <c r="M16" i="45"/>
  <c r="G112" i="11"/>
  <c r="M20" i="45"/>
  <c r="G117" i="11"/>
  <c r="I21" i="45"/>
  <c r="G112" i="7"/>
  <c r="G107" i="9"/>
  <c r="K18" i="45"/>
  <c r="G117" i="7"/>
  <c r="G112" i="8"/>
  <c r="I17" i="45"/>
  <c r="G107" i="7"/>
  <c r="G107" i="5"/>
  <c r="G17" i="45"/>
  <c r="G117" i="2"/>
  <c r="G112" i="23"/>
  <c r="O112" s="1"/>
  <c r="Y20" i="45"/>
  <c r="G117" i="4"/>
  <c r="G117" i="13"/>
  <c r="G193" i="11"/>
  <c r="G107" i="2"/>
  <c r="G107" i="27"/>
  <c r="G107" i="24"/>
  <c r="G112" i="22"/>
  <c r="G117" i="12"/>
  <c r="P117" s="1"/>
  <c r="G112" i="9"/>
  <c r="G112" i="30"/>
  <c r="G117"/>
  <c r="G117" i="20"/>
  <c r="G117" i="19"/>
  <c r="G112" i="15"/>
  <c r="G107" i="14"/>
  <c r="G117" i="9"/>
  <c r="G117" i="25"/>
  <c r="G112" i="24"/>
  <c r="G107" i="43"/>
  <c r="G117"/>
  <c r="G112"/>
  <c r="G107" i="30"/>
  <c r="G107" i="28"/>
  <c r="G117"/>
  <c r="G107" i="25"/>
  <c r="G117" i="22"/>
  <c r="G117" i="21"/>
  <c r="G107"/>
  <c r="G107" i="20"/>
  <c r="G107" i="19"/>
  <c r="G117" i="18"/>
  <c r="G117" i="16"/>
  <c r="G112"/>
  <c r="H114" i="13"/>
  <c r="J114" s="1"/>
  <c r="G107" i="12"/>
  <c r="P107" s="1"/>
  <c r="G107" i="29"/>
  <c r="G117"/>
  <c r="G117" i="27"/>
  <c r="G112"/>
  <c r="G112" i="40"/>
  <c r="G117"/>
  <c r="G107"/>
  <c r="G112" i="25"/>
  <c r="G117" i="24"/>
  <c r="G107" i="23"/>
  <c r="O107" s="1"/>
  <c r="G117"/>
  <c r="O117" s="1"/>
  <c r="G107" i="22"/>
  <c r="G112" i="19"/>
  <c r="G112" i="18"/>
  <c r="G107"/>
  <c r="G112" i="17"/>
  <c r="G107"/>
  <c r="G107" i="15"/>
  <c r="G117"/>
  <c r="G112" i="14"/>
  <c r="G117"/>
  <c r="G107" i="13"/>
  <c r="G112" i="12"/>
  <c r="P112" s="1"/>
  <c r="G107" i="8"/>
  <c r="G117"/>
  <c r="G112" i="33"/>
  <c r="G117"/>
  <c r="G107"/>
  <c r="G112" i="5"/>
  <c r="G117"/>
  <c r="G107" i="4"/>
  <c r="J114" i="2"/>
  <c r="G112"/>
  <c r="G112" i="4"/>
  <c r="H114" i="43"/>
  <c r="H114" i="23"/>
  <c r="J114" s="1"/>
  <c r="H114" i="15"/>
  <c r="J114" s="1"/>
  <c r="H114" i="24"/>
  <c r="J114" s="1"/>
  <c r="H114" i="16"/>
  <c r="J114" s="1"/>
  <c r="G112" i="28"/>
  <c r="G112" i="20"/>
  <c r="G117" i="17"/>
  <c r="G107" i="16"/>
  <c r="G112" i="29"/>
  <c r="G112" i="21"/>
  <c r="G112" i="13"/>
  <c r="H114" i="27"/>
  <c r="J114" s="1"/>
  <c r="H114" i="19"/>
  <c r="J114" s="1"/>
  <c r="H114" i="30"/>
  <c r="J114" s="1"/>
  <c r="G117" i="3"/>
  <c r="H117" s="1"/>
  <c r="G107"/>
  <c r="H107" s="1"/>
  <c r="G112"/>
  <c r="H112" s="1"/>
  <c r="G187" i="11"/>
  <c r="G182"/>
  <c r="J114" i="4" l="1"/>
  <c r="J114" i="5"/>
  <c r="H114" i="33"/>
  <c r="H112" i="5"/>
  <c r="H112" i="33" s="1"/>
  <c r="H112" i="7" s="1"/>
  <c r="H112" i="8" s="1"/>
  <c r="H112" i="9" s="1"/>
  <c r="H112" i="10" s="1"/>
  <c r="H112" i="11" s="1"/>
  <c r="F120" i="4"/>
  <c r="H112"/>
  <c r="G120" i="7"/>
  <c r="H117" i="4"/>
  <c r="H117" i="5" s="1"/>
  <c r="H117" i="33" s="1"/>
  <c r="H117" i="7" s="1"/>
  <c r="H117" i="8" s="1"/>
  <c r="H117" i="9" s="1"/>
  <c r="H117" i="10" s="1"/>
  <c r="H117" i="11" s="1"/>
  <c r="H107" i="4"/>
  <c r="H107" i="5" s="1"/>
  <c r="H107" i="33" s="1"/>
  <c r="H107" i="7" s="1"/>
  <c r="H107" i="8" s="1"/>
  <c r="H107" i="9" s="1"/>
  <c r="H107" i="10" s="1"/>
  <c r="H107" i="11" s="1"/>
  <c r="F120"/>
  <c r="J114" i="43"/>
  <c r="H114" i="31"/>
  <c r="F120" i="2"/>
  <c r="G120" i="11"/>
  <c r="G120" i="9"/>
  <c r="F120"/>
  <c r="F120" i="8"/>
  <c r="G120"/>
  <c r="F120" i="7"/>
  <c r="G120" i="12"/>
  <c r="P120" s="1"/>
  <c r="F120"/>
  <c r="F120" i="14"/>
  <c r="G120"/>
  <c r="G120" i="17"/>
  <c r="F120"/>
  <c r="G120" i="18"/>
  <c r="F120"/>
  <c r="G120" i="16"/>
  <c r="F120"/>
  <c r="F120" i="43"/>
  <c r="G120"/>
  <c r="G120" i="13"/>
  <c r="F120"/>
  <c r="F120" i="33"/>
  <c r="G120"/>
  <c r="F120" i="19"/>
  <c r="G120"/>
  <c r="G120" i="15"/>
  <c r="F120"/>
  <c r="F120" i="5"/>
  <c r="G120"/>
  <c r="F120" i="30"/>
  <c r="G120"/>
  <c r="F120" i="29"/>
  <c r="N120" s="1"/>
  <c r="G120"/>
  <c r="F120" i="28"/>
  <c r="G120"/>
  <c r="F120" i="27"/>
  <c r="G120"/>
  <c r="G120" i="40"/>
  <c r="F120"/>
  <c r="F120" i="25"/>
  <c r="G120"/>
  <c r="F120" i="24"/>
  <c r="G120"/>
  <c r="F120" i="23"/>
  <c r="G120"/>
  <c r="O120" s="1"/>
  <c r="F120" i="22"/>
  <c r="G120"/>
  <c r="G120" i="21"/>
  <c r="F120"/>
  <c r="F120" i="20"/>
  <c r="G120"/>
  <c r="G120" i="3"/>
  <c r="H120" s="1"/>
  <c r="F120"/>
  <c r="G120" i="4"/>
  <c r="G120" i="2"/>
  <c r="G8" i="11"/>
  <c r="G8" i="9"/>
  <c r="I8" i="20"/>
  <c r="I8" i="19"/>
  <c r="I8" i="18"/>
  <c r="I8" i="17"/>
  <c r="I7" i="16"/>
  <c r="I8"/>
  <c r="I8" i="14"/>
  <c r="I8" i="13"/>
  <c r="H114" i="7" l="1"/>
  <c r="J114" i="33"/>
  <c r="H120" i="4"/>
  <c r="H120" i="5" s="1"/>
  <c r="H120" i="33" s="1"/>
  <c r="H120" i="7" s="1"/>
  <c r="H120" i="8" s="1"/>
  <c r="H120" i="9" s="1"/>
  <c r="H120" i="10" s="1"/>
  <c r="H120" i="11" s="1"/>
  <c r="J114" i="31"/>
  <c r="N114"/>
  <c r="E27" i="11"/>
  <c r="E27" i="9"/>
  <c r="G27" s="1"/>
  <c r="E19" i="8"/>
  <c r="E8"/>
  <c r="G8" s="1"/>
  <c r="I7" i="4"/>
  <c r="I7" i="3"/>
  <c r="J114" i="7" l="1"/>
  <c r="H114" i="8"/>
  <c r="G27" i="11"/>
  <c r="BF33" i="1"/>
  <c r="BI33" s="1"/>
  <c r="BE33"/>
  <c r="BD33"/>
  <c r="BC33"/>
  <c r="BB33"/>
  <c r="BA33"/>
  <c r="T33"/>
  <c r="F33"/>
  <c r="E33"/>
  <c r="E8" i="3"/>
  <c r="G8" s="1"/>
  <c r="H11" i="1"/>
  <c r="K11" s="1"/>
  <c r="H12"/>
  <c r="K12" s="1"/>
  <c r="H13"/>
  <c r="K13" s="1"/>
  <c r="G8" i="13"/>
  <c r="G8" i="14"/>
  <c r="G8" i="17"/>
  <c r="G8" i="18"/>
  <c r="G8" i="19"/>
  <c r="G8" i="20"/>
  <c r="G8" i="21"/>
  <c r="G8" i="22"/>
  <c r="G8" i="23"/>
  <c r="O8" s="1"/>
  <c r="G8" i="25"/>
  <c r="G8" i="40"/>
  <c r="G8" i="27"/>
  <c r="G8" i="28"/>
  <c r="G8" i="29"/>
  <c r="E8" i="4"/>
  <c r="G8" s="1"/>
  <c r="K9" i="43"/>
  <c r="M8"/>
  <c r="H114" i="9" l="1"/>
  <c r="J114" i="8"/>
  <c r="E27" i="3"/>
  <c r="G27" s="1"/>
  <c r="L8" i="22"/>
  <c r="E27" i="7"/>
  <c r="G27" s="1"/>
  <c r="E27" i="8"/>
  <c r="G27" s="1"/>
  <c r="E27" i="33"/>
  <c r="G27" s="1"/>
  <c r="E27" i="4"/>
  <c r="G27" s="1"/>
  <c r="H8" i="2"/>
  <c r="H33" i="1"/>
  <c r="K33" s="1"/>
  <c r="E27" i="43"/>
  <c r="G27" s="1"/>
  <c r="H18" i="1"/>
  <c r="K18" s="1"/>
  <c r="E27" i="16"/>
  <c r="G27" s="1"/>
  <c r="H27" i="1"/>
  <c r="K27" s="1"/>
  <c r="E27" i="25"/>
  <c r="G27" s="1"/>
  <c r="H28" i="1"/>
  <c r="K28" s="1"/>
  <c r="E27" i="40"/>
  <c r="G27" s="1"/>
  <c r="H30" i="1"/>
  <c r="K30" s="1"/>
  <c r="E27" i="28"/>
  <c r="G27" s="1"/>
  <c r="H14" i="1"/>
  <c r="K14" s="1"/>
  <c r="E27" i="12"/>
  <c r="G27" s="1"/>
  <c r="P27" s="1"/>
  <c r="H31" i="1"/>
  <c r="K31" s="1"/>
  <c r="E27" i="29"/>
  <c r="G27" s="1"/>
  <c r="H23" i="1"/>
  <c r="K23" s="1"/>
  <c r="E27" i="21"/>
  <c r="G27" s="1"/>
  <c r="H15" i="1"/>
  <c r="K15" s="1"/>
  <c r="E27" i="13"/>
  <c r="H25" i="1"/>
  <c r="K25" s="1"/>
  <c r="E27" i="23"/>
  <c r="G27" s="1"/>
  <c r="O27" s="1"/>
  <c r="H17" i="1"/>
  <c r="K17" s="1"/>
  <c r="E27" i="15"/>
  <c r="G27" s="1"/>
  <c r="H26" i="1"/>
  <c r="K26" s="1"/>
  <c r="E27" i="24"/>
  <c r="G27" s="1"/>
  <c r="H19" i="1"/>
  <c r="K19" s="1"/>
  <c r="E27" i="17"/>
  <c r="G27" s="1"/>
  <c r="H20" i="1"/>
  <c r="K20" s="1"/>
  <c r="E27" i="18"/>
  <c r="G27" s="1"/>
  <c r="H29" i="1"/>
  <c r="K29" s="1"/>
  <c r="E27" i="27"/>
  <c r="G27" s="1"/>
  <c r="H21" i="1"/>
  <c r="K21" s="1"/>
  <c r="E27" i="19"/>
  <c r="G27" s="1"/>
  <c r="H22" i="1"/>
  <c r="K22" s="1"/>
  <c r="E27" i="20"/>
  <c r="G27" s="1"/>
  <c r="H32" i="1"/>
  <c r="K32" s="1"/>
  <c r="E27" i="30"/>
  <c r="H24" i="1"/>
  <c r="K24" s="1"/>
  <c r="E27" i="22"/>
  <c r="G27" s="1"/>
  <c r="H16" i="1"/>
  <c r="K16" s="1"/>
  <c r="E27" i="14"/>
  <c r="G27" s="1"/>
  <c r="H4" i="1"/>
  <c r="H10"/>
  <c r="K10" s="1"/>
  <c r="H9"/>
  <c r="K9" s="1"/>
  <c r="H8"/>
  <c r="K8" s="1"/>
  <c r="H7"/>
  <c r="K7" s="1"/>
  <c r="H6"/>
  <c r="K6" s="1"/>
  <c r="H5"/>
  <c r="K5" s="1"/>
  <c r="H114" i="10" l="1"/>
  <c r="J114" i="9"/>
  <c r="K4" i="1"/>
  <c r="K35" s="1"/>
  <c r="H35"/>
  <c r="G27" i="13"/>
  <c r="J8" i="2"/>
  <c r="I9" s="1"/>
  <c r="G27" i="30"/>
  <c r="H8" i="3"/>
  <c r="J8" s="1"/>
  <c r="I9" s="1"/>
  <c r="M10" i="29"/>
  <c r="I7"/>
  <c r="J114" i="10" l="1"/>
  <c r="H114" i="11"/>
  <c r="J114" s="1"/>
  <c r="N7" i="28"/>
  <c r="E9" l="1"/>
  <c r="G9" s="1"/>
  <c r="E10"/>
  <c r="E11"/>
  <c r="E12"/>
  <c r="L16" i="27"/>
  <c r="L19" s="1"/>
  <c r="E23" l="1"/>
  <c r="G23" s="1"/>
  <c r="E24"/>
  <c r="G24" s="1"/>
  <c r="I15"/>
  <c r="L10" i="40"/>
  <c r="G29" i="27" l="1"/>
  <c r="I15" i="40"/>
  <c r="J3" i="25"/>
  <c r="I3"/>
  <c r="H3"/>
  <c r="G3"/>
  <c r="I7"/>
  <c r="I15"/>
  <c r="E7" i="19" l="1"/>
  <c r="E7" i="18"/>
  <c r="G18" i="21"/>
  <c r="E31" l="1"/>
  <c r="G31" s="1"/>
  <c r="W5" i="45"/>
  <c r="G32" i="1"/>
  <c r="G31"/>
  <c r="G30"/>
  <c r="G29"/>
  <c r="G28"/>
  <c r="G27"/>
  <c r="G26"/>
  <c r="G25"/>
  <c r="G24"/>
  <c r="G16"/>
  <c r="G15"/>
  <c r="G14"/>
  <c r="G13"/>
  <c r="G12"/>
  <c r="G11"/>
  <c r="G10"/>
  <c r="G9"/>
  <c r="G8"/>
  <c r="G7"/>
  <c r="G6"/>
  <c r="G5"/>
  <c r="G4"/>
  <c r="E135" i="12"/>
  <c r="E124" i="8"/>
  <c r="E125"/>
  <c r="E126"/>
  <c r="E127"/>
  <c r="G23" i="1" l="1"/>
  <c r="G19"/>
  <c r="G21"/>
  <c r="G18"/>
  <c r="G20"/>
  <c r="G17"/>
  <c r="G22"/>
  <c r="E165" i="30"/>
  <c r="G165" s="1"/>
  <c r="E166"/>
  <c r="G166" s="1"/>
  <c r="E167"/>
  <c r="G167" s="1"/>
  <c r="E168"/>
  <c r="G168" s="1"/>
  <c r="E169"/>
  <c r="G169" s="1"/>
  <c r="E170"/>
  <c r="G170" s="1"/>
  <c r="E171"/>
  <c r="G171" s="1"/>
  <c r="E51" i="29"/>
  <c r="E52"/>
  <c r="E53"/>
  <c r="E54"/>
  <c r="E55"/>
  <c r="E56"/>
  <c r="E57"/>
  <c r="E58"/>
  <c r="G7"/>
  <c r="E7" i="28"/>
  <c r="G7" s="1"/>
  <c r="H17" i="25"/>
  <c r="G35" i="1" l="1"/>
  <c r="E72" i="17"/>
  <c r="E69"/>
  <c r="G171" s="1"/>
  <c r="E68"/>
  <c r="G170" s="1"/>
  <c r="E67"/>
  <c r="G169" s="1"/>
  <c r="E66"/>
  <c r="G168" s="1"/>
  <c r="E65"/>
  <c r="G167" s="1"/>
  <c r="E64"/>
  <c r="G166" s="1"/>
  <c r="E63"/>
  <c r="G165" s="1"/>
  <c r="E62"/>
  <c r="G164" s="1"/>
  <c r="E58"/>
  <c r="E57"/>
  <c r="E56"/>
  <c r="E55"/>
  <c r="E54"/>
  <c r="E53"/>
  <c r="E52"/>
  <c r="E51"/>
  <c r="E50"/>
  <c r="E49"/>
  <c r="K49" s="1"/>
  <c r="G42"/>
  <c r="E35"/>
  <c r="E10"/>
  <c r="E7"/>
  <c r="E24" i="12"/>
  <c r="E24" i="11"/>
  <c r="G172" i="17" l="1"/>
  <c r="E92" i="9"/>
  <c r="E75"/>
  <c r="E75" i="8" l="1"/>
  <c r="E50"/>
  <c r="E51"/>
  <c r="E52"/>
  <c r="E53"/>
  <c r="E54"/>
  <c r="E55"/>
  <c r="E56"/>
  <c r="E57"/>
  <c r="E58"/>
  <c r="E49"/>
  <c r="E73" l="1"/>
  <c r="E74"/>
  <c r="E76"/>
  <c r="E77"/>
  <c r="E78"/>
  <c r="E79"/>
  <c r="E80"/>
  <c r="E81"/>
  <c r="E82"/>
  <c r="E83"/>
  <c r="E84"/>
  <c r="E72"/>
  <c r="E38" l="1"/>
  <c r="E39"/>
  <c r="E40"/>
  <c r="E41"/>
  <c r="E42"/>
  <c r="E43"/>
  <c r="E44"/>
  <c r="E45"/>
  <c r="E46"/>
  <c r="E37"/>
  <c r="E36"/>
  <c r="E93" i="7"/>
  <c r="E7"/>
  <c r="G7" s="1"/>
  <c r="E66" i="4" l="1"/>
  <c r="E168" s="1"/>
  <c r="G168" s="1"/>
  <c r="E7" i="27" l="1"/>
  <c r="G7" s="1"/>
  <c r="E94" i="40"/>
  <c r="E131" i="25"/>
  <c r="E132"/>
  <c r="E133"/>
  <c r="E134"/>
  <c r="E135"/>
  <c r="E136"/>
  <c r="E137"/>
  <c r="E138"/>
  <c r="E139"/>
  <c r="E140"/>
  <c r="E130"/>
  <c r="E124"/>
  <c r="E125"/>
  <c r="E126"/>
  <c r="E127"/>
  <c r="E123"/>
  <c r="E93"/>
  <c r="E94"/>
  <c r="E95"/>
  <c r="E96"/>
  <c r="E97"/>
  <c r="E98"/>
  <c r="E99"/>
  <c r="E100"/>
  <c r="E92"/>
  <c r="E73"/>
  <c r="E74"/>
  <c r="E75"/>
  <c r="E76"/>
  <c r="E77"/>
  <c r="E78"/>
  <c r="E79"/>
  <c r="E80"/>
  <c r="E81"/>
  <c r="E82"/>
  <c r="E83"/>
  <c r="G83" s="1"/>
  <c r="N27" i="44" s="1"/>
  <c r="E84" i="25"/>
  <c r="E72"/>
  <c r="E63"/>
  <c r="E165" s="1"/>
  <c r="G165" s="1"/>
  <c r="E64"/>
  <c r="E166" s="1"/>
  <c r="G166" s="1"/>
  <c r="E65"/>
  <c r="E167" s="1"/>
  <c r="G167" s="1"/>
  <c r="E66"/>
  <c r="E168" s="1"/>
  <c r="G168" s="1"/>
  <c r="E67"/>
  <c r="E169" s="1"/>
  <c r="G169" s="1"/>
  <c r="E68"/>
  <c r="E170" s="1"/>
  <c r="G170" s="1"/>
  <c r="E69"/>
  <c r="E171" s="1"/>
  <c r="G171" s="1"/>
  <c r="E62"/>
  <c r="E164" s="1"/>
  <c r="G164" s="1"/>
  <c r="E50"/>
  <c r="G50" s="1"/>
  <c r="E51"/>
  <c r="E52"/>
  <c r="E53"/>
  <c r="E54"/>
  <c r="E55"/>
  <c r="E56"/>
  <c r="E57"/>
  <c r="E49"/>
  <c r="E36"/>
  <c r="E37"/>
  <c r="E38"/>
  <c r="E39"/>
  <c r="E40"/>
  <c r="E42"/>
  <c r="E43"/>
  <c r="E44"/>
  <c r="E45"/>
  <c r="E46"/>
  <c r="E35"/>
  <c r="E23"/>
  <c r="E24"/>
  <c r="E22"/>
  <c r="E19"/>
  <c r="E18"/>
  <c r="E15"/>
  <c r="E10"/>
  <c r="E11"/>
  <c r="E12"/>
  <c r="E9"/>
  <c r="G9" s="1"/>
  <c r="E24" i="20"/>
  <c r="E23"/>
  <c r="E22"/>
  <c r="E11" i="17"/>
  <c r="E12"/>
  <c r="E24" i="14"/>
  <c r="E23"/>
  <c r="E22"/>
  <c r="G172" i="25" l="1"/>
  <c r="E35" i="13"/>
  <c r="I7" i="9"/>
  <c r="E92" i="8"/>
  <c r="E93"/>
  <c r="I7"/>
  <c r="I7" i="5" l="1"/>
  <c r="E69" i="4"/>
  <c r="E171" s="1"/>
  <c r="G171" s="1"/>
  <c r="E132" i="43"/>
  <c r="G140" i="25"/>
  <c r="AI27" i="44" s="1"/>
  <c r="G139" i="25"/>
  <c r="G138"/>
  <c r="AL27" i="44" s="1"/>
  <c r="G137" i="25"/>
  <c r="G136"/>
  <c r="AJ27" i="44" s="1"/>
  <c r="G135" i="25"/>
  <c r="G134"/>
  <c r="H134" s="1"/>
  <c r="G133"/>
  <c r="G132"/>
  <c r="G131"/>
  <c r="G130"/>
  <c r="G127"/>
  <c r="AG27" i="44" s="1"/>
  <c r="G126" i="25"/>
  <c r="AF27" i="44" s="1"/>
  <c r="G125" i="25"/>
  <c r="AE27" i="44" s="1"/>
  <c r="G124" i="25"/>
  <c r="AD27" i="44" s="1"/>
  <c r="G123" i="25"/>
  <c r="AC27" i="44" s="1"/>
  <c r="G100" i="25"/>
  <c r="G99"/>
  <c r="G98"/>
  <c r="AA12" i="45" s="1"/>
  <c r="AA26" s="1"/>
  <c r="G97" i="25"/>
  <c r="AA10" i="45" s="1"/>
  <c r="G96" i="25"/>
  <c r="AA9" i="45" s="1"/>
  <c r="G95" i="25"/>
  <c r="AA8" i="45" s="1"/>
  <c r="AA28" s="1"/>
  <c r="G93" i="25"/>
  <c r="G92"/>
  <c r="AA7" i="45" s="1"/>
  <c r="G84" i="25"/>
  <c r="AA27" i="44" s="1"/>
  <c r="G82" i="25"/>
  <c r="L27" i="44" s="1"/>
  <c r="G81" i="25"/>
  <c r="K27" i="44" s="1"/>
  <c r="G80" i="25"/>
  <c r="J27" i="44" s="1"/>
  <c r="G79" i="25"/>
  <c r="I27" i="44" s="1"/>
  <c r="G78" i="25"/>
  <c r="H27" i="44" s="1"/>
  <c r="G77" i="25"/>
  <c r="G27" i="44" s="1"/>
  <c r="G76" i="25"/>
  <c r="F27" i="44" s="1"/>
  <c r="G75" i="25"/>
  <c r="E27" i="44" s="1"/>
  <c r="G74" i="25"/>
  <c r="D27" i="44" s="1"/>
  <c r="G73" i="25"/>
  <c r="G72"/>
  <c r="G69"/>
  <c r="Z27" i="44" s="1"/>
  <c r="G68" i="25"/>
  <c r="Y27" i="44" s="1"/>
  <c r="G67" i="25"/>
  <c r="X27" i="44" s="1"/>
  <c r="G66" i="25"/>
  <c r="W27" i="44" s="1"/>
  <c r="G65" i="25"/>
  <c r="V27" i="44" s="1"/>
  <c r="G64" i="25"/>
  <c r="U27" i="44" s="1"/>
  <c r="G63" i="25"/>
  <c r="T27" i="44" s="1"/>
  <c r="G62" i="25"/>
  <c r="S27" i="44" s="1"/>
  <c r="G58" i="25"/>
  <c r="M27" i="44" s="1"/>
  <c r="G57" i="25"/>
  <c r="G56"/>
  <c r="G55"/>
  <c r="G54"/>
  <c r="G53"/>
  <c r="G52"/>
  <c r="G51"/>
  <c r="G49"/>
  <c r="G46"/>
  <c r="G45"/>
  <c r="G44"/>
  <c r="G43"/>
  <c r="G42"/>
  <c r="G41"/>
  <c r="G40"/>
  <c r="G39"/>
  <c r="G38"/>
  <c r="G37"/>
  <c r="G36"/>
  <c r="G35"/>
  <c r="G22"/>
  <c r="G19"/>
  <c r="G18"/>
  <c r="G15"/>
  <c r="E28" s="1"/>
  <c r="G12"/>
  <c r="G11"/>
  <c r="G10"/>
  <c r="G85" l="1"/>
  <c r="AA29" i="45"/>
  <c r="AA30" s="1"/>
  <c r="E31" i="25"/>
  <c r="G31" s="1"/>
  <c r="AA5" i="45"/>
  <c r="G28" i="25"/>
  <c r="H137"/>
  <c r="J137" s="1"/>
  <c r="AK27" i="44"/>
  <c r="AM27" s="1"/>
  <c r="AA24" i="45"/>
  <c r="E30" i="25"/>
  <c r="G30" s="1"/>
  <c r="AA6" i="45"/>
  <c r="F119" i="25"/>
  <c r="G119"/>
  <c r="F118"/>
  <c r="G118"/>
  <c r="H135"/>
  <c r="J135" s="1"/>
  <c r="M27" i="1"/>
  <c r="G25" i="47" s="1"/>
  <c r="AB27" i="44"/>
  <c r="H138" i="25"/>
  <c r="J138" s="1"/>
  <c r="G128"/>
  <c r="G150"/>
  <c r="G151" s="1"/>
  <c r="I133"/>
  <c r="G47"/>
  <c r="G144"/>
  <c r="G145" s="1"/>
  <c r="G152"/>
  <c r="G153" s="1"/>
  <c r="G13"/>
  <c r="G20"/>
  <c r="G101"/>
  <c r="J134"/>
  <c r="I136"/>
  <c r="G148"/>
  <c r="G59"/>
  <c r="G94"/>
  <c r="I138"/>
  <c r="G146"/>
  <c r="G142"/>
  <c r="E50" i="14"/>
  <c r="E51"/>
  <c r="E52"/>
  <c r="E53"/>
  <c r="E54"/>
  <c r="E55"/>
  <c r="E56"/>
  <c r="E57"/>
  <c r="E58"/>
  <c r="E36"/>
  <c r="E37"/>
  <c r="E38"/>
  <c r="E39"/>
  <c r="E40"/>
  <c r="E41"/>
  <c r="E42"/>
  <c r="E43"/>
  <c r="E44"/>
  <c r="E45"/>
  <c r="E46"/>
  <c r="E41" i="13"/>
  <c r="G41" s="1"/>
  <c r="AH27" i="44" l="1"/>
  <c r="AO27" s="1"/>
  <c r="G32" i="25"/>
  <c r="I13"/>
  <c r="G60"/>
  <c r="I60" s="1"/>
  <c r="G143"/>
  <c r="G147"/>
  <c r="G149"/>
  <c r="E42" i="12"/>
  <c r="E123" i="30"/>
  <c r="E35" i="28"/>
  <c r="G35" s="1"/>
  <c r="I59" i="25" l="1"/>
  <c r="E45" i="21"/>
  <c r="G133" i="2" l="1"/>
  <c r="E36" i="23"/>
  <c r="E37"/>
  <c r="E38"/>
  <c r="E39"/>
  <c r="E43"/>
  <c r="G43" s="1"/>
  <c r="O43" s="1"/>
  <c r="E44"/>
  <c r="E45"/>
  <c r="E46"/>
  <c r="E69" i="16"/>
  <c r="E171" s="1"/>
  <c r="G171" s="1"/>
  <c r="E68"/>
  <c r="E170" s="1"/>
  <c r="G170" s="1"/>
  <c r="E67"/>
  <c r="E169" s="1"/>
  <c r="G169" s="1"/>
  <c r="E66"/>
  <c r="E168" s="1"/>
  <c r="G168" s="1"/>
  <c r="E65"/>
  <c r="E167" s="1"/>
  <c r="G167" s="1"/>
  <c r="E64"/>
  <c r="E166" s="1"/>
  <c r="G166" s="1"/>
  <c r="E63"/>
  <c r="E165" s="1"/>
  <c r="G165" s="1"/>
  <c r="E62"/>
  <c r="E164" s="1"/>
  <c r="G164" s="1"/>
  <c r="E58"/>
  <c r="E57"/>
  <c r="E56"/>
  <c r="E55"/>
  <c r="E54"/>
  <c r="E53"/>
  <c r="E52"/>
  <c r="E51"/>
  <c r="E50"/>
  <c r="E49"/>
  <c r="K49" s="1"/>
  <c r="E46"/>
  <c r="E45"/>
  <c r="E44"/>
  <c r="E43"/>
  <c r="E42"/>
  <c r="E41"/>
  <c r="G41" s="1"/>
  <c r="E40"/>
  <c r="E39"/>
  <c r="E38"/>
  <c r="E37"/>
  <c r="E36"/>
  <c r="E15"/>
  <c r="E10"/>
  <c r="E9"/>
  <c r="G9" s="1"/>
  <c r="E50" i="15"/>
  <c r="E51"/>
  <c r="E52"/>
  <c r="E53"/>
  <c r="E54"/>
  <c r="E55"/>
  <c r="E56"/>
  <c r="E57"/>
  <c r="E58"/>
  <c r="I7"/>
  <c r="E36" i="13"/>
  <c r="E39"/>
  <c r="E40"/>
  <c r="E42"/>
  <c r="E43"/>
  <c r="E44"/>
  <c r="E45"/>
  <c r="E46"/>
  <c r="E7" i="3"/>
  <c r="G134" i="2"/>
  <c r="G172" i="16" l="1"/>
  <c r="E132" i="29"/>
  <c r="E55" i="40"/>
  <c r="E56"/>
  <c r="E57"/>
  <c r="E58"/>
  <c r="I7" i="7"/>
  <c r="I7" i="43"/>
  <c r="I7" i="30"/>
  <c r="I7" i="28"/>
  <c r="I7" i="27"/>
  <c r="I7" i="40"/>
  <c r="I7" i="21"/>
  <c r="I7" i="22"/>
  <c r="I7" i="24"/>
  <c r="I7" i="14"/>
  <c r="I7" i="13"/>
  <c r="I7" i="33"/>
  <c r="E7" i="4"/>
  <c r="E23" i="19" l="1"/>
  <c r="E97" i="17"/>
  <c r="G97" s="1"/>
  <c r="S10" i="45" s="1"/>
  <c r="E96" i="17"/>
  <c r="G96" s="1"/>
  <c r="E124" i="13"/>
  <c r="E125"/>
  <c r="G125" s="1"/>
  <c r="E126"/>
  <c r="G126" s="1"/>
  <c r="E127"/>
  <c r="G127" s="1"/>
  <c r="E63"/>
  <c r="E64"/>
  <c r="E42" i="7"/>
  <c r="G42" s="1"/>
  <c r="AW9" i="1" s="1"/>
  <c r="G139" i="2"/>
  <c r="G124"/>
  <c r="G99"/>
  <c r="G98"/>
  <c r="G93"/>
  <c r="G84"/>
  <c r="G79"/>
  <c r="G76"/>
  <c r="G74"/>
  <c r="G72"/>
  <c r="G66"/>
  <c r="G65"/>
  <c r="G58"/>
  <c r="G55"/>
  <c r="G54"/>
  <c r="G42"/>
  <c r="G7" i="3"/>
  <c r="AK34" i="44"/>
  <c r="AL34"/>
  <c r="AD34"/>
  <c r="AE34"/>
  <c r="AF34"/>
  <c r="AG34"/>
  <c r="AH9" i="45"/>
  <c r="AH10"/>
  <c r="AH12"/>
  <c r="AH26" s="1"/>
  <c r="AH8"/>
  <c r="AH28" s="1"/>
  <c r="AH7"/>
  <c r="C34" i="44"/>
  <c r="F34"/>
  <c r="G34"/>
  <c r="H34"/>
  <c r="I34"/>
  <c r="J34"/>
  <c r="K34"/>
  <c r="L34"/>
  <c r="N34"/>
  <c r="B34"/>
  <c r="U34"/>
  <c r="V34"/>
  <c r="W34"/>
  <c r="X34"/>
  <c r="Y34"/>
  <c r="Z34"/>
  <c r="E131" i="43"/>
  <c r="G131" s="1"/>
  <c r="G132"/>
  <c r="AA33" i="1" s="1"/>
  <c r="E133" i="43"/>
  <c r="E134"/>
  <c r="G134" s="1"/>
  <c r="AC33" i="1" s="1"/>
  <c r="E135" i="43"/>
  <c r="G135" s="1"/>
  <c r="AD33" i="1" s="1"/>
  <c r="E136" i="43"/>
  <c r="G136" s="1"/>
  <c r="AJ33" i="44" s="1"/>
  <c r="E137" i="43"/>
  <c r="G137" s="1"/>
  <c r="E138"/>
  <c r="G138" s="1"/>
  <c r="E139"/>
  <c r="G139" s="1"/>
  <c r="E140"/>
  <c r="G140" s="1"/>
  <c r="E130"/>
  <c r="G130" s="1"/>
  <c r="E124"/>
  <c r="G124" s="1"/>
  <c r="AD33" i="44" s="1"/>
  <c r="E125" i="43"/>
  <c r="G125" s="1"/>
  <c r="AE33" i="44" s="1"/>
  <c r="E126" i="43"/>
  <c r="G126" s="1"/>
  <c r="AF33" i="44" s="1"/>
  <c r="E127" i="43"/>
  <c r="G127" s="1"/>
  <c r="AG33" i="44" s="1"/>
  <c r="E123" i="43"/>
  <c r="G123" s="1"/>
  <c r="E96"/>
  <c r="G96" s="1"/>
  <c r="E97"/>
  <c r="G97" s="1"/>
  <c r="E98"/>
  <c r="G98" s="1"/>
  <c r="AG12" i="45" s="1"/>
  <c r="AG26" s="1"/>
  <c r="G99" i="43"/>
  <c r="E95"/>
  <c r="G95" s="1"/>
  <c r="E93"/>
  <c r="G93" s="1"/>
  <c r="E92"/>
  <c r="G92" s="1"/>
  <c r="AG7" i="45" s="1"/>
  <c r="E73" i="43"/>
  <c r="G73" s="1"/>
  <c r="C33" i="44" s="1"/>
  <c r="E74" i="43"/>
  <c r="G74" s="1"/>
  <c r="D33" i="44" s="1"/>
  <c r="E75" i="43"/>
  <c r="G75" s="1"/>
  <c r="E33" i="44" s="1"/>
  <c r="E76" i="43"/>
  <c r="G76" s="1"/>
  <c r="F33" i="44" s="1"/>
  <c r="E77" i="43"/>
  <c r="G77" s="1"/>
  <c r="G33" i="44" s="1"/>
  <c r="E78" i="43"/>
  <c r="G78" s="1"/>
  <c r="H33" i="44" s="1"/>
  <c r="E79" i="43"/>
  <c r="G79" s="1"/>
  <c r="I33" i="44" s="1"/>
  <c r="E80" i="43"/>
  <c r="G80" s="1"/>
  <c r="J33" i="44" s="1"/>
  <c r="E81" i="43"/>
  <c r="G81" s="1"/>
  <c r="K33" i="44" s="1"/>
  <c r="E82" i="43"/>
  <c r="G82" s="1"/>
  <c r="L33" i="44" s="1"/>
  <c r="E83" i="43"/>
  <c r="G83" s="1"/>
  <c r="N33" i="44" s="1"/>
  <c r="E84" i="43"/>
  <c r="G84" s="1"/>
  <c r="AA33" i="44" s="1"/>
  <c r="E72" i="43"/>
  <c r="G72" s="1"/>
  <c r="B33" i="44" s="1"/>
  <c r="E63" i="43"/>
  <c r="E64"/>
  <c r="E65"/>
  <c r="E66"/>
  <c r="E67"/>
  <c r="E68"/>
  <c r="E69"/>
  <c r="E62"/>
  <c r="E50"/>
  <c r="G50" s="1"/>
  <c r="E51"/>
  <c r="G51" s="1"/>
  <c r="E52"/>
  <c r="G52" s="1"/>
  <c r="E53"/>
  <c r="G53" s="1"/>
  <c r="E54"/>
  <c r="G54" s="1"/>
  <c r="E55"/>
  <c r="G55" s="1"/>
  <c r="E56"/>
  <c r="G56" s="1"/>
  <c r="E57"/>
  <c r="G57" s="1"/>
  <c r="BG33" i="1" s="1"/>
  <c r="E58" i="43"/>
  <c r="G58" s="1"/>
  <c r="E49"/>
  <c r="G49" s="1"/>
  <c r="E36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E35"/>
  <c r="G35" s="1"/>
  <c r="E19"/>
  <c r="G19" s="1"/>
  <c r="E18"/>
  <c r="E15"/>
  <c r="G15" s="1"/>
  <c r="E10"/>
  <c r="G10" s="1"/>
  <c r="E11"/>
  <c r="G11" s="1"/>
  <c r="E12"/>
  <c r="G12" s="1"/>
  <c r="E9"/>
  <c r="G9" s="1"/>
  <c r="E36" i="40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G40" i="17"/>
  <c r="E100"/>
  <c r="G100" s="1"/>
  <c r="E99"/>
  <c r="G99" s="1"/>
  <c r="AA12" i="44"/>
  <c r="G22" i="43"/>
  <c r="G18"/>
  <c r="I15"/>
  <c r="E36" i="27"/>
  <c r="G36" s="1"/>
  <c r="E37"/>
  <c r="G37" s="1"/>
  <c r="E38"/>
  <c r="G38" s="1"/>
  <c r="E39"/>
  <c r="G39" s="1"/>
  <c r="E40"/>
  <c r="G40" s="1"/>
  <c r="E41"/>
  <c r="G41" s="1"/>
  <c r="E42"/>
  <c r="G42" s="1"/>
  <c r="E43"/>
  <c r="G43" s="1"/>
  <c r="E44"/>
  <c r="G44" s="1"/>
  <c r="E45"/>
  <c r="G45" s="1"/>
  <c r="E46"/>
  <c r="G46" s="1"/>
  <c r="X27" i="1"/>
  <c r="Y27"/>
  <c r="E58" i="19"/>
  <c r="G58" s="1"/>
  <c r="M21" i="44" s="1"/>
  <c r="E52" i="18"/>
  <c r="G52" s="1"/>
  <c r="BC20" i="1" s="1"/>
  <c r="E54" i="18"/>
  <c r="G54" s="1"/>
  <c r="BE20" i="1" s="1"/>
  <c r="E135" i="16"/>
  <c r="G135" s="1"/>
  <c r="AD18" i="1" s="1"/>
  <c r="E99" i="3"/>
  <c r="G99" s="1"/>
  <c r="G58"/>
  <c r="E57"/>
  <c r="G57" s="1"/>
  <c r="BH5" i="1" s="1"/>
  <c r="E56" i="3"/>
  <c r="G56" s="1"/>
  <c r="BG5" i="1" s="1"/>
  <c r="E55" i="3"/>
  <c r="G55" s="1"/>
  <c r="BF5" i="1" s="1"/>
  <c r="E54" i="3"/>
  <c r="G54" s="1"/>
  <c r="BE5" i="1" s="1"/>
  <c r="E53" i="3"/>
  <c r="G53" s="1"/>
  <c r="BD5" i="1" s="1"/>
  <c r="E52" i="3"/>
  <c r="G52" s="1"/>
  <c r="E51"/>
  <c r="G51" s="1"/>
  <c r="BB5" i="1" s="1"/>
  <c r="E50" i="3"/>
  <c r="G50" s="1"/>
  <c r="E49"/>
  <c r="G49" s="1"/>
  <c r="BA5" i="1" s="1"/>
  <c r="E36" i="3"/>
  <c r="G36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5"/>
  <c r="G35" s="1"/>
  <c r="E23"/>
  <c r="E22"/>
  <c r="G22" s="1"/>
  <c r="E18"/>
  <c r="E15"/>
  <c r="E12"/>
  <c r="E11"/>
  <c r="G11" s="1"/>
  <c r="E10"/>
  <c r="G10" s="1"/>
  <c r="E9"/>
  <c r="G9" s="1"/>
  <c r="E126" i="42"/>
  <c r="G126" s="1"/>
  <c r="E125"/>
  <c r="G125" s="1"/>
  <c r="E124"/>
  <c r="G124" s="1"/>
  <c r="E123"/>
  <c r="G123" s="1"/>
  <c r="E122"/>
  <c r="G122" s="1"/>
  <c r="E121"/>
  <c r="G121" s="1"/>
  <c r="E120"/>
  <c r="G120" s="1"/>
  <c r="E119"/>
  <c r="G119" s="1"/>
  <c r="E118"/>
  <c r="G118" s="1"/>
  <c r="E117"/>
  <c r="G117" s="1"/>
  <c r="E116"/>
  <c r="G116" s="1"/>
  <c r="E101"/>
  <c r="G101" s="1"/>
  <c r="E100"/>
  <c r="G100" s="1"/>
  <c r="E99"/>
  <c r="G99" s="1"/>
  <c r="E98"/>
  <c r="G98" s="1"/>
  <c r="E97"/>
  <c r="G97" s="1"/>
  <c r="E94"/>
  <c r="G94" s="1"/>
  <c r="E93"/>
  <c r="G93" s="1"/>
  <c r="E92"/>
  <c r="G92" s="1"/>
  <c r="E91"/>
  <c r="G91" s="1"/>
  <c r="G90"/>
  <c r="E89"/>
  <c r="G89" s="1"/>
  <c r="E88"/>
  <c r="E87"/>
  <c r="G87" s="1"/>
  <c r="E86"/>
  <c r="G86" s="1"/>
  <c r="E83"/>
  <c r="G83" s="1"/>
  <c r="E82"/>
  <c r="G82" s="1"/>
  <c r="E81"/>
  <c r="G81" s="1"/>
  <c r="E80"/>
  <c r="G80" s="1"/>
  <c r="E79"/>
  <c r="G79" s="1"/>
  <c r="E78"/>
  <c r="G78" s="1"/>
  <c r="E77"/>
  <c r="G77" s="1"/>
  <c r="E76"/>
  <c r="G76" s="1"/>
  <c r="E75"/>
  <c r="G75" s="1"/>
  <c r="E74"/>
  <c r="G74" s="1"/>
  <c r="E73"/>
  <c r="G73" s="1"/>
  <c r="E72"/>
  <c r="G72" s="1"/>
  <c r="E71"/>
  <c r="G71" s="1"/>
  <c r="E68"/>
  <c r="G68" s="1"/>
  <c r="E67"/>
  <c r="G67" s="1"/>
  <c r="E66"/>
  <c r="G66" s="1"/>
  <c r="E65"/>
  <c r="G65" s="1"/>
  <c r="E64"/>
  <c r="G64" s="1"/>
  <c r="E63"/>
  <c r="G63" s="1"/>
  <c r="E62"/>
  <c r="G62" s="1"/>
  <c r="E61"/>
  <c r="G61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E49"/>
  <c r="G49" s="1"/>
  <c r="E48"/>
  <c r="G48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34"/>
  <c r="G34" s="1"/>
  <c r="E29"/>
  <c r="G29" s="1"/>
  <c r="E24"/>
  <c r="E23"/>
  <c r="E22"/>
  <c r="G22" s="1"/>
  <c r="E19"/>
  <c r="G19" s="1"/>
  <c r="G18"/>
  <c r="E18"/>
  <c r="I15"/>
  <c r="E15"/>
  <c r="G15" s="1"/>
  <c r="E28" s="1"/>
  <c r="G28" s="1"/>
  <c r="E12"/>
  <c r="E11"/>
  <c r="G11" s="1"/>
  <c r="E10"/>
  <c r="G10" s="1"/>
  <c r="E9"/>
  <c r="G9" s="1"/>
  <c r="I7"/>
  <c r="E7"/>
  <c r="G7" s="1"/>
  <c r="J3"/>
  <c r="I3"/>
  <c r="H3"/>
  <c r="G3"/>
  <c r="I15" i="24"/>
  <c r="E100" i="20"/>
  <c r="G100" s="1"/>
  <c r="E7" i="16"/>
  <c r="G7" s="1"/>
  <c r="E66" i="12"/>
  <c r="E36" i="11"/>
  <c r="G36" s="1"/>
  <c r="E37"/>
  <c r="G37" s="1"/>
  <c r="E38"/>
  <c r="G38" s="1"/>
  <c r="E39"/>
  <c r="G39" s="1"/>
  <c r="E40"/>
  <c r="G40" s="1"/>
  <c r="E41"/>
  <c r="G41" s="1"/>
  <c r="E42"/>
  <c r="G42" s="1"/>
  <c r="AW13" i="1" s="1"/>
  <c r="E43" i="11"/>
  <c r="G43" s="1"/>
  <c r="E44"/>
  <c r="G44" s="1"/>
  <c r="E45"/>
  <c r="G45" s="1"/>
  <c r="E46"/>
  <c r="G46" s="1"/>
  <c r="AB12" i="1"/>
  <c r="AC12"/>
  <c r="AL12"/>
  <c r="AM12"/>
  <c r="AD12" i="44"/>
  <c r="AE12"/>
  <c r="AF12"/>
  <c r="AG12"/>
  <c r="C12"/>
  <c r="D12"/>
  <c r="E12"/>
  <c r="F12"/>
  <c r="G12"/>
  <c r="H12"/>
  <c r="I12"/>
  <c r="J12"/>
  <c r="K12"/>
  <c r="L12"/>
  <c r="N12"/>
  <c r="G73" i="30"/>
  <c r="G74"/>
  <c r="G75"/>
  <c r="G76"/>
  <c r="G77"/>
  <c r="G78"/>
  <c r="G79"/>
  <c r="G80"/>
  <c r="G81"/>
  <c r="G82"/>
  <c r="G83"/>
  <c r="G84"/>
  <c r="BK27" i="1"/>
  <c r="AZ27"/>
  <c r="AR27"/>
  <c r="AS27"/>
  <c r="AW27"/>
  <c r="AY27"/>
  <c r="E127" i="20"/>
  <c r="G127" s="1"/>
  <c r="AG22" i="44" s="1"/>
  <c r="E126" i="20"/>
  <c r="G126" s="1"/>
  <c r="AF22" i="44" s="1"/>
  <c r="E125" i="20"/>
  <c r="G125" s="1"/>
  <c r="AE22" i="44" s="1"/>
  <c r="E95" i="20"/>
  <c r="G95" s="1"/>
  <c r="V8" i="45" s="1"/>
  <c r="V28" s="1"/>
  <c r="E96" i="20"/>
  <c r="G96" s="1"/>
  <c r="E97"/>
  <c r="G97" s="1"/>
  <c r="E98"/>
  <c r="G98" s="1"/>
  <c r="V12" i="45" s="1"/>
  <c r="V26" s="1"/>
  <c r="E99" i="20"/>
  <c r="G99" s="1"/>
  <c r="G73" i="15"/>
  <c r="G74"/>
  <c r="G75"/>
  <c r="G76"/>
  <c r="G77"/>
  <c r="G78"/>
  <c r="G79"/>
  <c r="G80"/>
  <c r="G81"/>
  <c r="G82"/>
  <c r="G83"/>
  <c r="G84"/>
  <c r="E9"/>
  <c r="G9" s="1"/>
  <c r="G73" i="13"/>
  <c r="E74"/>
  <c r="G74" s="1"/>
  <c r="E75"/>
  <c r="G75" s="1"/>
  <c r="E76"/>
  <c r="G76" s="1"/>
  <c r="E77"/>
  <c r="G77" s="1"/>
  <c r="E78"/>
  <c r="G78" s="1"/>
  <c r="E79"/>
  <c r="G79" s="1"/>
  <c r="E80"/>
  <c r="G80" s="1"/>
  <c r="E81"/>
  <c r="G81" s="1"/>
  <c r="E82"/>
  <c r="G82" s="1"/>
  <c r="E83"/>
  <c r="G83" s="1"/>
  <c r="E84"/>
  <c r="G84" s="1"/>
  <c r="E65"/>
  <c r="E66"/>
  <c r="E67"/>
  <c r="E68"/>
  <c r="E69"/>
  <c r="G36"/>
  <c r="G37"/>
  <c r="G38"/>
  <c r="G39"/>
  <c r="G40"/>
  <c r="G42"/>
  <c r="G43"/>
  <c r="G44"/>
  <c r="G45"/>
  <c r="G46"/>
  <c r="E133" i="12"/>
  <c r="G133" s="1"/>
  <c r="E134"/>
  <c r="G134" s="1"/>
  <c r="G135"/>
  <c r="E136"/>
  <c r="G136" s="1"/>
  <c r="G137"/>
  <c r="P137" s="1"/>
  <c r="E138"/>
  <c r="G138" s="1"/>
  <c r="P138" s="1"/>
  <c r="E139"/>
  <c r="G139" s="1"/>
  <c r="E140"/>
  <c r="G140" s="1"/>
  <c r="AI14" i="44" s="1"/>
  <c r="E63" i="12"/>
  <c r="E64"/>
  <c r="E65"/>
  <c r="E67"/>
  <c r="E68"/>
  <c r="E69"/>
  <c r="E171" s="1"/>
  <c r="BD14" i="1"/>
  <c r="BE14"/>
  <c r="BF14"/>
  <c r="BG14"/>
  <c r="BH14"/>
  <c r="E36" i="12"/>
  <c r="G36" s="1"/>
  <c r="E37"/>
  <c r="G37" s="1"/>
  <c r="E38"/>
  <c r="G38" s="1"/>
  <c r="E39"/>
  <c r="G39" s="1"/>
  <c r="E40"/>
  <c r="G40" s="1"/>
  <c r="E41"/>
  <c r="G41" s="1"/>
  <c r="G42"/>
  <c r="E43"/>
  <c r="G43" s="1"/>
  <c r="E44"/>
  <c r="G44" s="1"/>
  <c r="E45"/>
  <c r="G45" s="1"/>
  <c r="P45" s="1"/>
  <c r="E46"/>
  <c r="G46" s="1"/>
  <c r="P46" s="1"/>
  <c r="G96" i="11"/>
  <c r="M9" i="45" s="1"/>
  <c r="G97" i="11"/>
  <c r="G98"/>
  <c r="M12" i="45" s="1"/>
  <c r="M26" s="1"/>
  <c r="G99" i="11"/>
  <c r="G100"/>
  <c r="G93"/>
  <c r="G73"/>
  <c r="C13" i="44" s="1"/>
  <c r="G74" i="11"/>
  <c r="D13" i="44" s="1"/>
  <c r="G75" i="11"/>
  <c r="E13" i="44" s="1"/>
  <c r="G76" i="11"/>
  <c r="F13" i="44" s="1"/>
  <c r="G77" i="11"/>
  <c r="G13" i="44" s="1"/>
  <c r="G78" i="11"/>
  <c r="H13" i="44" s="1"/>
  <c r="G79" i="11"/>
  <c r="I13" i="44" s="1"/>
  <c r="G80" i="11"/>
  <c r="J13" i="44" s="1"/>
  <c r="G81" i="11"/>
  <c r="K13" i="44" s="1"/>
  <c r="G82" i="11"/>
  <c r="L13" i="44" s="1"/>
  <c r="G83" i="11"/>
  <c r="N13" i="44" s="1"/>
  <c r="G84" i="11"/>
  <c r="AA13" i="44" s="1"/>
  <c r="E63" i="11"/>
  <c r="E64"/>
  <c r="E65"/>
  <c r="E66"/>
  <c r="E67"/>
  <c r="E68"/>
  <c r="E69"/>
  <c r="E50"/>
  <c r="G50" s="1"/>
  <c r="E51"/>
  <c r="G51" s="1"/>
  <c r="E52"/>
  <c r="G52" s="1"/>
  <c r="BC13" i="1" s="1"/>
  <c r="E53" i="11"/>
  <c r="G53" s="1"/>
  <c r="BD13" i="1" s="1"/>
  <c r="E54" i="11"/>
  <c r="G54" s="1"/>
  <c r="BE13" i="1" s="1"/>
  <c r="G55" i="11"/>
  <c r="BF13" i="1" s="1"/>
  <c r="E56" i="11"/>
  <c r="G56" s="1"/>
  <c r="BG13" i="1" s="1"/>
  <c r="E57" i="11"/>
  <c r="G57" s="1"/>
  <c r="BH13" i="1" s="1"/>
  <c r="E58" i="11"/>
  <c r="G58" s="1"/>
  <c r="M13" i="44" s="1"/>
  <c r="E24" i="5"/>
  <c r="E23"/>
  <c r="E22"/>
  <c r="G22" s="1"/>
  <c r="H24" i="4"/>
  <c r="G22"/>
  <c r="E19" i="5"/>
  <c r="G19" s="1"/>
  <c r="E18"/>
  <c r="E9" i="8"/>
  <c r="G9" s="1"/>
  <c r="E10"/>
  <c r="G10" s="1"/>
  <c r="E11"/>
  <c r="G11" s="1"/>
  <c r="E12"/>
  <c r="G12" s="1"/>
  <c r="G15"/>
  <c r="E18"/>
  <c r="G18"/>
  <c r="G19"/>
  <c r="G22"/>
  <c r="E35"/>
  <c r="G35" s="1"/>
  <c r="G36"/>
  <c r="G37"/>
  <c r="G38"/>
  <c r="G39"/>
  <c r="G40"/>
  <c r="G41"/>
  <c r="G42"/>
  <c r="AW10" i="1" s="1"/>
  <c r="G43" i="8"/>
  <c r="G44"/>
  <c r="G45"/>
  <c r="G46"/>
  <c r="G49"/>
  <c r="BA10" i="1" s="1"/>
  <c r="G50" i="8"/>
  <c r="G51"/>
  <c r="BB10" i="1" s="1"/>
  <c r="G52" i="8"/>
  <c r="BC10" i="1" s="1"/>
  <c r="G53" i="8"/>
  <c r="BD10" i="1" s="1"/>
  <c r="G54" i="8"/>
  <c r="BE10" i="1" s="1"/>
  <c r="G55" i="8"/>
  <c r="BF10" i="1" s="1"/>
  <c r="G56" i="8"/>
  <c r="G57"/>
  <c r="BH10" i="1" s="1"/>
  <c r="G58" i="8"/>
  <c r="M10" i="44" s="1"/>
  <c r="E62" i="8"/>
  <c r="G62" s="1"/>
  <c r="S10" i="44" s="1"/>
  <c r="E63" i="8"/>
  <c r="G63" s="1"/>
  <c r="T10" i="44" s="1"/>
  <c r="E64" i="8"/>
  <c r="G64" s="1"/>
  <c r="U10" i="44" s="1"/>
  <c r="E65" i="8"/>
  <c r="G65" s="1"/>
  <c r="V10" i="44" s="1"/>
  <c r="E66" i="8"/>
  <c r="G66" s="1"/>
  <c r="W10" i="44" s="1"/>
  <c r="E67" i="8"/>
  <c r="G67" s="1"/>
  <c r="X10" i="44" s="1"/>
  <c r="E68" i="8"/>
  <c r="G68" s="1"/>
  <c r="Y10" i="44" s="1"/>
  <c r="E69" i="8"/>
  <c r="G69" s="1"/>
  <c r="G72"/>
  <c r="G73"/>
  <c r="C10" i="44" s="1"/>
  <c r="G74" i="8"/>
  <c r="D10" i="44" s="1"/>
  <c r="G75" i="8"/>
  <c r="E10" i="44" s="1"/>
  <c r="G76" i="8"/>
  <c r="F10" i="44" s="1"/>
  <c r="G77" i="8"/>
  <c r="G10" i="44" s="1"/>
  <c r="G78" i="8"/>
  <c r="H10" i="44" s="1"/>
  <c r="G79" i="8"/>
  <c r="I10" i="44" s="1"/>
  <c r="G80" i="8"/>
  <c r="J10" i="44" s="1"/>
  <c r="G81" i="8"/>
  <c r="K10" i="44" s="1"/>
  <c r="G82" i="8"/>
  <c r="L10" i="44" s="1"/>
  <c r="G83" i="8"/>
  <c r="N10" i="44" s="1"/>
  <c r="G84" i="8"/>
  <c r="G92"/>
  <c r="J7" i="45" s="1"/>
  <c r="G93" i="8"/>
  <c r="E94"/>
  <c r="E95"/>
  <c r="G95" s="1"/>
  <c r="J8" i="45" s="1"/>
  <c r="J28" s="1"/>
  <c r="E96" i="8"/>
  <c r="G96" s="1"/>
  <c r="E97"/>
  <c r="G97" s="1"/>
  <c r="E98"/>
  <c r="G98" s="1"/>
  <c r="J12" i="45" s="1"/>
  <c r="J26" s="1"/>
  <c r="E99" i="8"/>
  <c r="G99" s="1"/>
  <c r="E100"/>
  <c r="G100" s="1"/>
  <c r="G123"/>
  <c r="G124"/>
  <c r="AD10" i="44" s="1"/>
  <c r="G125" i="8"/>
  <c r="AE10" i="44" s="1"/>
  <c r="G126" i="8"/>
  <c r="AF10" i="44" s="1"/>
  <c r="G127" i="8"/>
  <c r="AG10" i="44" s="1"/>
  <c r="E130" i="8"/>
  <c r="G130" s="1"/>
  <c r="E131"/>
  <c r="G131" s="1"/>
  <c r="E132"/>
  <c r="G132" s="1"/>
  <c r="E133"/>
  <c r="G133" s="1"/>
  <c r="AB10" i="1" s="1"/>
  <c r="E134" i="8"/>
  <c r="G134" s="1"/>
  <c r="AC10" i="1" s="1"/>
  <c r="E135" i="8"/>
  <c r="G135" s="1"/>
  <c r="E136"/>
  <c r="G136" s="1"/>
  <c r="AJ10" i="44" s="1"/>
  <c r="E137" i="8"/>
  <c r="G137" s="1"/>
  <c r="AK10" i="44" s="1"/>
  <c r="E138" i="8"/>
  <c r="G138" s="1"/>
  <c r="E139"/>
  <c r="G139" s="1"/>
  <c r="AL10" i="1" s="1"/>
  <c r="E140" i="8"/>
  <c r="G140" s="1"/>
  <c r="AI10" i="44" s="1"/>
  <c r="E96" i="4"/>
  <c r="G96" s="1"/>
  <c r="E97"/>
  <c r="G97" s="1"/>
  <c r="E98"/>
  <c r="G98" s="1"/>
  <c r="F12" i="45" s="1"/>
  <c r="F26" s="1"/>
  <c r="E99" i="4"/>
  <c r="G99" s="1"/>
  <c r="E100"/>
  <c r="G100" s="1"/>
  <c r="E95"/>
  <c r="G95" s="1"/>
  <c r="F8" i="45" s="1"/>
  <c r="F28" s="1"/>
  <c r="G7" i="4"/>
  <c r="A5" i="46" s="1"/>
  <c r="E9" i="4"/>
  <c r="G9" s="1"/>
  <c r="E10"/>
  <c r="G10" s="1"/>
  <c r="E11"/>
  <c r="G11" s="1"/>
  <c r="E12"/>
  <c r="G12" s="1"/>
  <c r="E15"/>
  <c r="G15" s="1"/>
  <c r="E18"/>
  <c r="G18"/>
  <c r="F5" i="45" s="1"/>
  <c r="E19" i="4"/>
  <c r="G19" s="1"/>
  <c r="E35"/>
  <c r="G35" s="1"/>
  <c r="E36"/>
  <c r="G36" s="1"/>
  <c r="E37"/>
  <c r="G37" s="1"/>
  <c r="E38"/>
  <c r="G38" s="1"/>
  <c r="E39"/>
  <c r="G39" s="1"/>
  <c r="G40"/>
  <c r="AU6" i="1" s="1"/>
  <c r="E41" i="4"/>
  <c r="G41" s="1"/>
  <c r="E42"/>
  <c r="E43"/>
  <c r="G43" s="1"/>
  <c r="E44"/>
  <c r="G44" s="1"/>
  <c r="E45"/>
  <c r="G45" s="1"/>
  <c r="E46"/>
  <c r="G46" s="1"/>
  <c r="E49"/>
  <c r="G49" s="1"/>
  <c r="E50"/>
  <c r="G50" s="1"/>
  <c r="E51"/>
  <c r="G51" s="1"/>
  <c r="BB6" i="1" s="1"/>
  <c r="E52" i="4"/>
  <c r="G52" s="1"/>
  <c r="E53"/>
  <c r="G53" s="1"/>
  <c r="BD6" i="1" s="1"/>
  <c r="E54" i="4"/>
  <c r="G54" s="1"/>
  <c r="E55"/>
  <c r="G55" s="1"/>
  <c r="E56"/>
  <c r="G56" s="1"/>
  <c r="E57"/>
  <c r="G57" s="1"/>
  <c r="BH6" i="1" s="1"/>
  <c r="E58" i="4"/>
  <c r="G58" s="1"/>
  <c r="M6" i="44" s="1"/>
  <c r="E62" i="4"/>
  <c r="E63"/>
  <c r="E64"/>
  <c r="E65"/>
  <c r="G66"/>
  <c r="W6" i="44" s="1"/>
  <c r="E67" i="4"/>
  <c r="E68"/>
  <c r="G69"/>
  <c r="E72"/>
  <c r="G72" s="1"/>
  <c r="B6" i="44" s="1"/>
  <c r="E73" i="4"/>
  <c r="G73" s="1"/>
  <c r="C6" i="44" s="1"/>
  <c r="E74" i="4"/>
  <c r="G74" s="1"/>
  <c r="D6" i="44" s="1"/>
  <c r="E75" i="4"/>
  <c r="G75" s="1"/>
  <c r="E6" i="44" s="1"/>
  <c r="E76" i="4"/>
  <c r="G76" s="1"/>
  <c r="F6" i="44" s="1"/>
  <c r="E77" i="4"/>
  <c r="G77" s="1"/>
  <c r="G6" i="44" s="1"/>
  <c r="E78" i="4"/>
  <c r="G78" s="1"/>
  <c r="H6" i="44" s="1"/>
  <c r="E79" i="4"/>
  <c r="G79" s="1"/>
  <c r="I6" i="44" s="1"/>
  <c r="E80" i="4"/>
  <c r="G80" s="1"/>
  <c r="J6" i="44" s="1"/>
  <c r="G81" i="4"/>
  <c r="K6" i="44" s="1"/>
  <c r="E82" i="4"/>
  <c r="G82" s="1"/>
  <c r="L6" i="44" s="1"/>
  <c r="E83" i="4"/>
  <c r="G83" s="1"/>
  <c r="N6" i="44" s="1"/>
  <c r="E84" i="4"/>
  <c r="G84" s="1"/>
  <c r="AA6" i="44" s="1"/>
  <c r="E92" i="4"/>
  <c r="G92" s="1"/>
  <c r="F7" i="45" s="1"/>
  <c r="E93" i="4"/>
  <c r="G93" s="1"/>
  <c r="E123"/>
  <c r="G123" s="1"/>
  <c r="E124"/>
  <c r="G124" s="1"/>
  <c r="AD6" i="44" s="1"/>
  <c r="E125" i="4"/>
  <c r="G125" s="1"/>
  <c r="AE6" i="44" s="1"/>
  <c r="E126" i="4"/>
  <c r="G126" s="1"/>
  <c r="AF6" i="44" s="1"/>
  <c r="E127" i="4"/>
  <c r="G127" s="1"/>
  <c r="AG6" i="44" s="1"/>
  <c r="E130" i="4"/>
  <c r="G130" s="1"/>
  <c r="E131"/>
  <c r="G131" s="1"/>
  <c r="G132"/>
  <c r="E133"/>
  <c r="G133" s="1"/>
  <c r="AB6" i="1" s="1"/>
  <c r="E134" i="4"/>
  <c r="G134" s="1"/>
  <c r="E135"/>
  <c r="G135" s="1"/>
  <c r="AD6" i="1" s="1"/>
  <c r="E136" i="4"/>
  <c r="G136" s="1"/>
  <c r="AJ6" i="44" s="1"/>
  <c r="E137" i="4"/>
  <c r="G137" s="1"/>
  <c r="AK6" i="44" s="1"/>
  <c r="E138" i="4"/>
  <c r="G138" s="1"/>
  <c r="E139"/>
  <c r="G139" s="1"/>
  <c r="AL6" i="1" s="1"/>
  <c r="E140" i="4"/>
  <c r="G140" s="1"/>
  <c r="AI6" i="44" s="1"/>
  <c r="E70" i="14"/>
  <c r="G70" s="1"/>
  <c r="J16" i="35" s="1"/>
  <c r="E64" i="9"/>
  <c r="G64" s="1"/>
  <c r="U11" i="44" s="1"/>
  <c r="E37" i="5"/>
  <c r="G37" s="1"/>
  <c r="E43"/>
  <c r="G43" s="1"/>
  <c r="E15"/>
  <c r="G15" s="1"/>
  <c r="E10"/>
  <c r="G10" s="1"/>
  <c r="E11"/>
  <c r="G11" s="1"/>
  <c r="E12"/>
  <c r="G12" s="1"/>
  <c r="G9"/>
  <c r="E7"/>
  <c r="G7" s="1"/>
  <c r="A6" i="46" s="1"/>
  <c r="G18" i="5"/>
  <c r="E140" i="23"/>
  <c r="G140" s="1"/>
  <c r="E73" i="22"/>
  <c r="G73" s="1"/>
  <c r="C24" i="44" s="1"/>
  <c r="E74" i="22"/>
  <c r="G74" s="1"/>
  <c r="D24" i="44" s="1"/>
  <c r="E75" i="22"/>
  <c r="G75" s="1"/>
  <c r="E24" i="44" s="1"/>
  <c r="E76" i="22"/>
  <c r="G76" s="1"/>
  <c r="F24" i="44" s="1"/>
  <c r="E77" i="22"/>
  <c r="G77" s="1"/>
  <c r="G24" i="44" s="1"/>
  <c r="E78" i="22"/>
  <c r="G78" s="1"/>
  <c r="H24" i="44" s="1"/>
  <c r="E79" i="22"/>
  <c r="G79" s="1"/>
  <c r="I24" i="44" s="1"/>
  <c r="E80" i="22"/>
  <c r="G80" s="1"/>
  <c r="J24" i="44" s="1"/>
  <c r="E81" i="22"/>
  <c r="G81" s="1"/>
  <c r="K24" i="44" s="1"/>
  <c r="E82" i="22"/>
  <c r="G82" s="1"/>
  <c r="L24" i="44" s="1"/>
  <c r="E83" i="22"/>
  <c r="G83" s="1"/>
  <c r="N24" i="44" s="1"/>
  <c r="E84" i="22"/>
  <c r="G84" s="1"/>
  <c r="E63"/>
  <c r="E64"/>
  <c r="E65"/>
  <c r="E66"/>
  <c r="E67"/>
  <c r="E68"/>
  <c r="E69"/>
  <c r="E50"/>
  <c r="G50" s="1"/>
  <c r="E51"/>
  <c r="G51" s="1"/>
  <c r="E52"/>
  <c r="G52" s="1"/>
  <c r="E53"/>
  <c r="G53" s="1"/>
  <c r="E54"/>
  <c r="G54" s="1"/>
  <c r="L54" s="1"/>
  <c r="E55"/>
  <c r="G55" s="1"/>
  <c r="L55" s="1"/>
  <c r="E56"/>
  <c r="G56" s="1"/>
  <c r="E57"/>
  <c r="G57" s="1"/>
  <c r="E58"/>
  <c r="G58" s="1"/>
  <c r="E36"/>
  <c r="G36" s="1"/>
  <c r="E37"/>
  <c r="G37" s="1"/>
  <c r="E38"/>
  <c r="G38" s="1"/>
  <c r="E39"/>
  <c r="G39" s="1"/>
  <c r="G41"/>
  <c r="L41" s="1"/>
  <c r="E42"/>
  <c r="G42" s="1"/>
  <c r="E43"/>
  <c r="G43" s="1"/>
  <c r="E44"/>
  <c r="G44" s="1"/>
  <c r="L44" s="1"/>
  <c r="E45"/>
  <c r="G45" s="1"/>
  <c r="L45" s="1"/>
  <c r="E46"/>
  <c r="G46" s="1"/>
  <c r="E63" i="19"/>
  <c r="I15" i="18"/>
  <c r="I7"/>
  <c r="G50" i="17"/>
  <c r="G51"/>
  <c r="BB19" i="1" s="1"/>
  <c r="G52" i="17"/>
  <c r="G53"/>
  <c r="BD19" i="1" s="1"/>
  <c r="G54" i="17"/>
  <c r="BE19" i="1" s="1"/>
  <c r="G55" i="17"/>
  <c r="BF19" i="1" s="1"/>
  <c r="G56" i="17"/>
  <c r="BG19" i="1" s="1"/>
  <c r="G57" i="17"/>
  <c r="BH19" i="1" s="1"/>
  <c r="G58" i="17"/>
  <c r="M19" i="44" s="1"/>
  <c r="G36" i="17"/>
  <c r="G37"/>
  <c r="G38"/>
  <c r="G41"/>
  <c r="AW19" i="1"/>
  <c r="G43" i="17"/>
  <c r="G44"/>
  <c r="G45"/>
  <c r="G46"/>
  <c r="E19"/>
  <c r="G19" s="1"/>
  <c r="E18"/>
  <c r="E63" i="14"/>
  <c r="E64"/>
  <c r="E65"/>
  <c r="E66"/>
  <c r="E67"/>
  <c r="E68"/>
  <c r="E69"/>
  <c r="G36"/>
  <c r="G37"/>
  <c r="G38"/>
  <c r="G39"/>
  <c r="G40"/>
  <c r="G41"/>
  <c r="G42"/>
  <c r="G43"/>
  <c r="G44"/>
  <c r="G45"/>
  <c r="G46"/>
  <c r="E131" i="13"/>
  <c r="G131" s="1"/>
  <c r="E132"/>
  <c r="G132" s="1"/>
  <c r="G133"/>
  <c r="G134"/>
  <c r="G135"/>
  <c r="G136"/>
  <c r="AJ15" i="44" s="1"/>
  <c r="G137" i="13"/>
  <c r="G138"/>
  <c r="G139"/>
  <c r="G140"/>
  <c r="AI15" i="44" s="1"/>
  <c r="G96" i="13"/>
  <c r="G97"/>
  <c r="G98"/>
  <c r="G99"/>
  <c r="G100"/>
  <c r="G93"/>
  <c r="H70" i="12"/>
  <c r="E84" i="14"/>
  <c r="G84" s="1"/>
  <c r="E83"/>
  <c r="G83" s="1"/>
  <c r="N16" i="44" s="1"/>
  <c r="E82" i="14"/>
  <c r="G82" s="1"/>
  <c r="L16" i="44" s="1"/>
  <c r="E81" i="14"/>
  <c r="G81" s="1"/>
  <c r="K16" i="44" s="1"/>
  <c r="E80" i="14"/>
  <c r="G80" s="1"/>
  <c r="J16" i="44" s="1"/>
  <c r="E79" i="14"/>
  <c r="G79" s="1"/>
  <c r="I16" i="44" s="1"/>
  <c r="E78" i="14"/>
  <c r="G78" s="1"/>
  <c r="H16" i="44" s="1"/>
  <c r="E77" i="14"/>
  <c r="G77" s="1"/>
  <c r="G16" i="44" s="1"/>
  <c r="E76" i="14"/>
  <c r="G76" s="1"/>
  <c r="F16" i="44" s="1"/>
  <c r="E75" i="14"/>
  <c r="G75" s="1"/>
  <c r="E16" i="44" s="1"/>
  <c r="E74" i="14"/>
  <c r="G74" s="1"/>
  <c r="D16" i="44" s="1"/>
  <c r="E73" i="14"/>
  <c r="G73" s="1"/>
  <c r="C16" i="44" s="1"/>
  <c r="E72" i="14"/>
  <c r="G72" s="1"/>
  <c r="E72" i="13"/>
  <c r="G72" s="1"/>
  <c r="G84" i="12"/>
  <c r="P84" s="1"/>
  <c r="G83"/>
  <c r="G82"/>
  <c r="G81"/>
  <c r="G80"/>
  <c r="G79"/>
  <c r="G78"/>
  <c r="G77"/>
  <c r="G76"/>
  <c r="G75"/>
  <c r="G74"/>
  <c r="G73"/>
  <c r="E72"/>
  <c r="G72" s="1"/>
  <c r="P72" s="1"/>
  <c r="E72" i="11"/>
  <c r="G72" s="1"/>
  <c r="B12" i="44"/>
  <c r="E84" i="9"/>
  <c r="G84" s="1"/>
  <c r="E83"/>
  <c r="G83" s="1"/>
  <c r="N11" i="44" s="1"/>
  <c r="E82" i="9"/>
  <c r="G82" s="1"/>
  <c r="L11" i="44" s="1"/>
  <c r="E81" i="9"/>
  <c r="G81" s="1"/>
  <c r="K11" i="44" s="1"/>
  <c r="E80" i="9"/>
  <c r="G80" s="1"/>
  <c r="J11" i="44" s="1"/>
  <c r="E79" i="9"/>
  <c r="G79" s="1"/>
  <c r="I11" i="44" s="1"/>
  <c r="E78" i="9"/>
  <c r="G78" s="1"/>
  <c r="H11" i="44" s="1"/>
  <c r="E77" i="9"/>
  <c r="G77" s="1"/>
  <c r="G11" i="44" s="1"/>
  <c r="E76" i="9"/>
  <c r="G76" s="1"/>
  <c r="F11" i="44" s="1"/>
  <c r="G75" i="9"/>
  <c r="E11" i="44" s="1"/>
  <c r="E74" i="9"/>
  <c r="G74" s="1"/>
  <c r="D11" i="44" s="1"/>
  <c r="E73" i="9"/>
  <c r="G73" s="1"/>
  <c r="C11" i="44" s="1"/>
  <c r="E72" i="9"/>
  <c r="G72" s="1"/>
  <c r="B11" i="44" s="1"/>
  <c r="E84" i="7"/>
  <c r="G84" s="1"/>
  <c r="E83"/>
  <c r="G83" s="1"/>
  <c r="N9" i="44" s="1"/>
  <c r="E82" i="7"/>
  <c r="G82" s="1"/>
  <c r="L9" i="44" s="1"/>
  <c r="E81" i="7"/>
  <c r="G81" s="1"/>
  <c r="K9" i="44" s="1"/>
  <c r="E80" i="7"/>
  <c r="G80" s="1"/>
  <c r="J9" i="44" s="1"/>
  <c r="E79" i="7"/>
  <c r="G79" s="1"/>
  <c r="I9" i="44" s="1"/>
  <c r="E78" i="7"/>
  <c r="G78" s="1"/>
  <c r="H9" i="44" s="1"/>
  <c r="E77" i="7"/>
  <c r="G77" s="1"/>
  <c r="G9" i="44" s="1"/>
  <c r="E76" i="7"/>
  <c r="G76" s="1"/>
  <c r="F9" i="44" s="1"/>
  <c r="E75" i="7"/>
  <c r="G75" s="1"/>
  <c r="E9" i="44" s="1"/>
  <c r="E74" i="7"/>
  <c r="G74" s="1"/>
  <c r="D9" i="44" s="1"/>
  <c r="E73" i="7"/>
  <c r="G73" s="1"/>
  <c r="C9" i="44" s="1"/>
  <c r="E72" i="7"/>
  <c r="G72" s="1"/>
  <c r="B9" i="44" s="1"/>
  <c r="E84" i="33"/>
  <c r="G84" s="1"/>
  <c r="E83"/>
  <c r="G83" s="1"/>
  <c r="N8" i="44" s="1"/>
  <c r="E82" i="33"/>
  <c r="G82" s="1"/>
  <c r="L8" i="44" s="1"/>
  <c r="E81" i="33"/>
  <c r="G81" s="1"/>
  <c r="K8" i="44" s="1"/>
  <c r="E80" i="33"/>
  <c r="G80" s="1"/>
  <c r="J8" i="44" s="1"/>
  <c r="E79" i="33"/>
  <c r="G79" s="1"/>
  <c r="I8" i="44" s="1"/>
  <c r="E78" i="33"/>
  <c r="G78" s="1"/>
  <c r="H8" i="44" s="1"/>
  <c r="E77" i="33"/>
  <c r="G77" s="1"/>
  <c r="G8" i="44" s="1"/>
  <c r="E76" i="33"/>
  <c r="G76" s="1"/>
  <c r="F8" i="44" s="1"/>
  <c r="E75" i="33"/>
  <c r="G75" s="1"/>
  <c r="E8" i="44" s="1"/>
  <c r="E74" i="33"/>
  <c r="G74" s="1"/>
  <c r="D8" i="44" s="1"/>
  <c r="E73" i="33"/>
  <c r="G73" s="1"/>
  <c r="C8" i="44" s="1"/>
  <c r="E72" i="33"/>
  <c r="G72" s="1"/>
  <c r="B8" i="44" s="1"/>
  <c r="H70" i="5"/>
  <c r="J70" s="1"/>
  <c r="E84"/>
  <c r="G84" s="1"/>
  <c r="AA7" i="44" s="1"/>
  <c r="E83" i="5"/>
  <c r="G83" s="1"/>
  <c r="N7" i="44" s="1"/>
  <c r="E82" i="5"/>
  <c r="G82" s="1"/>
  <c r="L7" i="44" s="1"/>
  <c r="E81" i="5"/>
  <c r="G81" s="1"/>
  <c r="K7" i="44" s="1"/>
  <c r="E80" i="5"/>
  <c r="G80" s="1"/>
  <c r="J7" i="44" s="1"/>
  <c r="E79" i="5"/>
  <c r="G79" s="1"/>
  <c r="I7" i="44" s="1"/>
  <c r="E78" i="5"/>
  <c r="G78" s="1"/>
  <c r="H7" i="44" s="1"/>
  <c r="E77" i="5"/>
  <c r="G77" s="1"/>
  <c r="G7" i="44" s="1"/>
  <c r="E76" i="5"/>
  <c r="G76" s="1"/>
  <c r="F7" i="44" s="1"/>
  <c r="E75" i="5"/>
  <c r="G75" s="1"/>
  <c r="E74"/>
  <c r="G74" s="1"/>
  <c r="E73"/>
  <c r="G73" s="1"/>
  <c r="C7" i="44" s="1"/>
  <c r="E72" i="5"/>
  <c r="G72" s="1"/>
  <c r="B7" i="44" s="1"/>
  <c r="E84" i="3"/>
  <c r="G84" s="1"/>
  <c r="E83"/>
  <c r="G83" s="1"/>
  <c r="N5" i="44" s="1"/>
  <c r="G82" i="3"/>
  <c r="L5" i="44" s="1"/>
  <c r="E81" i="3"/>
  <c r="G81" s="1"/>
  <c r="K5" i="44" s="1"/>
  <c r="E80" i="3"/>
  <c r="G80" s="1"/>
  <c r="J5" i="44" s="1"/>
  <c r="E79" i="3"/>
  <c r="G79" s="1"/>
  <c r="I5" i="44" s="1"/>
  <c r="E78" i="3"/>
  <c r="G78" s="1"/>
  <c r="H5" i="44" s="1"/>
  <c r="E77" i="3"/>
  <c r="G77" s="1"/>
  <c r="G5" i="44" s="1"/>
  <c r="E76" i="3"/>
  <c r="G76" s="1"/>
  <c r="F5" i="44" s="1"/>
  <c r="E75" i="3"/>
  <c r="G75" s="1"/>
  <c r="E5" i="44" s="1"/>
  <c r="E74" i="3"/>
  <c r="G74" s="1"/>
  <c r="D5" i="44" s="1"/>
  <c r="E73" i="3"/>
  <c r="G73" s="1"/>
  <c r="C5" i="44" s="1"/>
  <c r="E72" i="3"/>
  <c r="G72" s="1"/>
  <c r="B5" i="44" s="1"/>
  <c r="H70" i="2"/>
  <c r="J70" s="1"/>
  <c r="G73"/>
  <c r="G75"/>
  <c r="G77"/>
  <c r="G78"/>
  <c r="G80"/>
  <c r="G81"/>
  <c r="G82"/>
  <c r="G83"/>
  <c r="J3" i="40"/>
  <c r="I3"/>
  <c r="H3"/>
  <c r="G3"/>
  <c r="J3" i="24"/>
  <c r="I3"/>
  <c r="H3"/>
  <c r="G3"/>
  <c r="J3" i="23"/>
  <c r="I3"/>
  <c r="H3"/>
  <c r="G3"/>
  <c r="J3" i="22"/>
  <c r="I3"/>
  <c r="H3"/>
  <c r="G3"/>
  <c r="J3" i="21"/>
  <c r="I3"/>
  <c r="H3"/>
  <c r="G3"/>
  <c r="J3" i="19"/>
  <c r="I3"/>
  <c r="H3"/>
  <c r="G3"/>
  <c r="J3" i="13"/>
  <c r="I3"/>
  <c r="H3"/>
  <c r="G3"/>
  <c r="E131" i="11"/>
  <c r="G131" s="1"/>
  <c r="E132"/>
  <c r="G132" s="1"/>
  <c r="AA13" i="1" s="1"/>
  <c r="E133" i="11"/>
  <c r="G133" s="1"/>
  <c r="AB13" i="1" s="1"/>
  <c r="G134" i="11"/>
  <c r="G135"/>
  <c r="AD13" i="1" s="1"/>
  <c r="E136" i="11"/>
  <c r="G136" s="1"/>
  <c r="AJ13" i="44" s="1"/>
  <c r="E137" i="11"/>
  <c r="G137" s="1"/>
  <c r="E138"/>
  <c r="G138" s="1"/>
  <c r="E139"/>
  <c r="G139" s="1"/>
  <c r="AL13" i="1" s="1"/>
  <c r="E140" i="11"/>
  <c r="G140" s="1"/>
  <c r="E124"/>
  <c r="G124" s="1"/>
  <c r="AD13" i="44" s="1"/>
  <c r="E125" i="11"/>
  <c r="G125" s="1"/>
  <c r="AE13" i="44" s="1"/>
  <c r="E126" i="11"/>
  <c r="G126" s="1"/>
  <c r="AF13" i="44" s="1"/>
  <c r="E127" i="11"/>
  <c r="G127" s="1"/>
  <c r="AG13" i="44" s="1"/>
  <c r="G10" i="11"/>
  <c r="G11"/>
  <c r="G12"/>
  <c r="E124" i="9"/>
  <c r="G124" s="1"/>
  <c r="AD11" i="44" s="1"/>
  <c r="E125" i="9"/>
  <c r="G125" s="1"/>
  <c r="AE11" i="44" s="1"/>
  <c r="E126" i="9"/>
  <c r="G126" s="1"/>
  <c r="AF11" i="44" s="1"/>
  <c r="E127" i="9"/>
  <c r="G127" s="1"/>
  <c r="AG11" i="44" s="1"/>
  <c r="E123" i="9"/>
  <c r="G123" s="1"/>
  <c r="D32" i="1"/>
  <c r="D31"/>
  <c r="D30"/>
  <c r="D29"/>
  <c r="D28"/>
  <c r="D27"/>
  <c r="D26"/>
  <c r="D25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E12"/>
  <c r="E11"/>
  <c r="E10"/>
  <c r="E9"/>
  <c r="E8"/>
  <c r="E7"/>
  <c r="E6"/>
  <c r="E5"/>
  <c r="E4"/>
  <c r="D4"/>
  <c r="E140" i="30"/>
  <c r="G140" s="1"/>
  <c r="E139"/>
  <c r="G139" s="1"/>
  <c r="E138"/>
  <c r="G138" s="1"/>
  <c r="E137"/>
  <c r="G137" s="1"/>
  <c r="E136"/>
  <c r="G136" s="1"/>
  <c r="AJ32" i="44" s="1"/>
  <c r="E135" i="30"/>
  <c r="G135" s="1"/>
  <c r="E134"/>
  <c r="G134" s="1"/>
  <c r="E133"/>
  <c r="G133" s="1"/>
  <c r="E132"/>
  <c r="G132" s="1"/>
  <c r="E131"/>
  <c r="G131" s="1"/>
  <c r="E130"/>
  <c r="G130" s="1"/>
  <c r="G127"/>
  <c r="G126"/>
  <c r="G125"/>
  <c r="G124"/>
  <c r="G123"/>
  <c r="G100"/>
  <c r="G99"/>
  <c r="G98"/>
  <c r="E97"/>
  <c r="G97" s="1"/>
  <c r="E96"/>
  <c r="G96" s="1"/>
  <c r="E95"/>
  <c r="G95" s="1"/>
  <c r="E93"/>
  <c r="G93" s="1"/>
  <c r="E92"/>
  <c r="G92" s="1"/>
  <c r="E72"/>
  <c r="G72" s="1"/>
  <c r="G69"/>
  <c r="G68"/>
  <c r="G67"/>
  <c r="G66"/>
  <c r="G65"/>
  <c r="G64"/>
  <c r="G63"/>
  <c r="T32" i="44" s="1"/>
  <c r="E62" i="30"/>
  <c r="G58"/>
  <c r="G57"/>
  <c r="G56"/>
  <c r="G55"/>
  <c r="G54"/>
  <c r="G53"/>
  <c r="G52"/>
  <c r="G51"/>
  <c r="G50"/>
  <c r="E49"/>
  <c r="G49" s="1"/>
  <c r="E46"/>
  <c r="G46" s="1"/>
  <c r="E45"/>
  <c r="G45" s="1"/>
  <c r="E44"/>
  <c r="G44" s="1"/>
  <c r="E43"/>
  <c r="G43" s="1"/>
  <c r="E42"/>
  <c r="G42" s="1"/>
  <c r="E41"/>
  <c r="G41" s="1"/>
  <c r="E40"/>
  <c r="G40" s="1"/>
  <c r="E39"/>
  <c r="G39" s="1"/>
  <c r="E38"/>
  <c r="G38" s="1"/>
  <c r="E37"/>
  <c r="G37" s="1"/>
  <c r="E36"/>
  <c r="G36" s="1"/>
  <c r="E35"/>
  <c r="G35" s="1"/>
  <c r="E24"/>
  <c r="E23"/>
  <c r="E22"/>
  <c r="G22" s="1"/>
  <c r="E19"/>
  <c r="G19" s="1"/>
  <c r="E18"/>
  <c r="G15"/>
  <c r="E12"/>
  <c r="G12" s="1"/>
  <c r="E11"/>
  <c r="G11" s="1"/>
  <c r="E10"/>
  <c r="G10" s="1"/>
  <c r="E9"/>
  <c r="G9" s="1"/>
  <c r="E7"/>
  <c r="G7" s="1"/>
  <c r="G140" i="29"/>
  <c r="G139"/>
  <c r="AL31" i="1" s="1"/>
  <c r="G138" i="29"/>
  <c r="G137"/>
  <c r="AK31" i="44" s="1"/>
  <c r="G136" i="29"/>
  <c r="AJ31" i="44" s="1"/>
  <c r="G135" i="29"/>
  <c r="AD31" i="1" s="1"/>
  <c r="G134" i="29"/>
  <c r="AC31" i="1" s="1"/>
  <c r="G133" i="29"/>
  <c r="AB31" i="1" s="1"/>
  <c r="G132" i="29"/>
  <c r="AA31" i="1" s="1"/>
  <c r="E131" i="29"/>
  <c r="G131" s="1"/>
  <c r="E130"/>
  <c r="G130" s="1"/>
  <c r="G127"/>
  <c r="AG31" i="44" s="1"/>
  <c r="G126" i="29"/>
  <c r="AF31" i="44" s="1"/>
  <c r="G125" i="29"/>
  <c r="AE31" i="44" s="1"/>
  <c r="G124" i="29"/>
  <c r="AD31" i="44" s="1"/>
  <c r="E123" i="29"/>
  <c r="G123" s="1"/>
  <c r="AC31" i="44" s="1"/>
  <c r="G100" i="29"/>
  <c r="G99"/>
  <c r="G98"/>
  <c r="AE12" i="45" s="1"/>
  <c r="AE26" s="1"/>
  <c r="G97" i="29"/>
  <c r="G96"/>
  <c r="E95"/>
  <c r="G95" s="1"/>
  <c r="AE8" i="45" s="1"/>
  <c r="AE28" s="1"/>
  <c r="E94" i="29"/>
  <c r="E93"/>
  <c r="G93" s="1"/>
  <c r="E92"/>
  <c r="G92" s="1"/>
  <c r="AE7" i="45" s="1"/>
  <c r="G84" i="29"/>
  <c r="AA31" i="44" s="1"/>
  <c r="G83" i="29"/>
  <c r="N31" i="44" s="1"/>
  <c r="G82" i="29"/>
  <c r="L31" i="44" s="1"/>
  <c r="G81" i="29"/>
  <c r="K31" i="44" s="1"/>
  <c r="G80" i="29"/>
  <c r="J31" i="44" s="1"/>
  <c r="G79" i="29"/>
  <c r="I31" i="44" s="1"/>
  <c r="G78" i="29"/>
  <c r="H31" i="44" s="1"/>
  <c r="G77" i="29"/>
  <c r="G31" i="44" s="1"/>
  <c r="G76" i="29"/>
  <c r="F31" i="44" s="1"/>
  <c r="G75" i="29"/>
  <c r="E31" i="44" s="1"/>
  <c r="G74" i="29"/>
  <c r="D31" i="44" s="1"/>
  <c r="G73" i="29"/>
  <c r="C31" i="44" s="1"/>
  <c r="E72" i="29"/>
  <c r="G72" s="1"/>
  <c r="B31" i="44" s="1"/>
  <c r="G69" i="29"/>
  <c r="Z31" i="44" s="1"/>
  <c r="G68" i="29"/>
  <c r="Y31" i="44" s="1"/>
  <c r="G67" i="29"/>
  <c r="X31" i="44" s="1"/>
  <c r="G66" i="29"/>
  <c r="W31" i="44" s="1"/>
  <c r="G65" i="29"/>
  <c r="V31" i="44" s="1"/>
  <c r="G64" i="29"/>
  <c r="U31" i="44" s="1"/>
  <c r="G63" i="29"/>
  <c r="T31" i="44" s="1"/>
  <c r="E62" i="29"/>
  <c r="G58"/>
  <c r="M31" i="44" s="1"/>
  <c r="G57" i="29"/>
  <c r="BH31" i="1" s="1"/>
  <c r="G56" i="29"/>
  <c r="BG31" i="1" s="1"/>
  <c r="G55" i="29"/>
  <c r="G54"/>
  <c r="BE31" i="1" s="1"/>
  <c r="G53" i="29"/>
  <c r="G52"/>
  <c r="G51"/>
  <c r="BB31" i="1" s="1"/>
  <c r="G50" i="29"/>
  <c r="E49"/>
  <c r="G49" s="1"/>
  <c r="BA31" i="1" s="1"/>
  <c r="G46" i="29"/>
  <c r="G45"/>
  <c r="G44"/>
  <c r="G43"/>
  <c r="G42"/>
  <c r="AW31" i="1" s="1"/>
  <c r="G41" i="29"/>
  <c r="G40"/>
  <c r="G38"/>
  <c r="G37"/>
  <c r="G36"/>
  <c r="E35"/>
  <c r="G35" s="1"/>
  <c r="E24"/>
  <c r="E23"/>
  <c r="E22"/>
  <c r="G22" s="1"/>
  <c r="E19"/>
  <c r="G19" s="1"/>
  <c r="F118" s="1"/>
  <c r="E15"/>
  <c r="G15" s="1"/>
  <c r="G12"/>
  <c r="G11"/>
  <c r="G10"/>
  <c r="G9"/>
  <c r="G140" i="28"/>
  <c r="G138"/>
  <c r="G137"/>
  <c r="G136"/>
  <c r="AJ30" i="44" s="1"/>
  <c r="G135" i="28"/>
  <c r="G134"/>
  <c r="AC30" i="1" s="1"/>
  <c r="G133" i="28"/>
  <c r="AB30" i="1" s="1"/>
  <c r="G132" i="28"/>
  <c r="AA30" i="1" s="1"/>
  <c r="G131" i="28"/>
  <c r="E130"/>
  <c r="G130" s="1"/>
  <c r="G127"/>
  <c r="AG30" i="44" s="1"/>
  <c r="G126" i="28"/>
  <c r="AF30" i="44" s="1"/>
  <c r="G125" i="28"/>
  <c r="AE30" i="44" s="1"/>
  <c r="G124" i="28"/>
  <c r="AD30" i="44" s="1"/>
  <c r="E123" i="28"/>
  <c r="G123" s="1"/>
  <c r="I123" s="1"/>
  <c r="E100"/>
  <c r="G100" s="1"/>
  <c r="E99"/>
  <c r="G99" s="1"/>
  <c r="E98"/>
  <c r="G98" s="1"/>
  <c r="AD12" i="45" s="1"/>
  <c r="AD26" s="1"/>
  <c r="E97" i="28"/>
  <c r="G97" s="1"/>
  <c r="E96"/>
  <c r="G96" s="1"/>
  <c r="AD9" i="45" s="1"/>
  <c r="E95" i="28"/>
  <c r="G95" s="1"/>
  <c r="AD8" i="45" s="1"/>
  <c r="AD28" s="1"/>
  <c r="E94" i="28"/>
  <c r="E93"/>
  <c r="G93" s="1"/>
  <c r="E92"/>
  <c r="G92" s="1"/>
  <c r="AD7" i="45" s="1"/>
  <c r="G84" i="28"/>
  <c r="G83"/>
  <c r="N30" i="44" s="1"/>
  <c r="G82" i="28"/>
  <c r="L30" i="44" s="1"/>
  <c r="G81" i="28"/>
  <c r="K30" i="44" s="1"/>
  <c r="G80" i="28"/>
  <c r="J30" i="44" s="1"/>
  <c r="G79" i="28"/>
  <c r="I30" i="44" s="1"/>
  <c r="G78" i="28"/>
  <c r="H30" i="44" s="1"/>
  <c r="G77" i="28"/>
  <c r="G30" i="44" s="1"/>
  <c r="G76" i="28"/>
  <c r="F30" i="44" s="1"/>
  <c r="G75" i="28"/>
  <c r="E30" i="44" s="1"/>
  <c r="G74" i="28"/>
  <c r="D30" i="44" s="1"/>
  <c r="G73" i="28"/>
  <c r="C30" i="44" s="1"/>
  <c r="E72" i="28"/>
  <c r="G72" s="1"/>
  <c r="B30" i="44" s="1"/>
  <c r="E62" i="28"/>
  <c r="G58"/>
  <c r="G57"/>
  <c r="G56"/>
  <c r="BG30" i="1" s="1"/>
  <c r="G55" i="28"/>
  <c r="G54"/>
  <c r="BE30" i="1" s="1"/>
  <c r="G53" i="28"/>
  <c r="G52"/>
  <c r="G51"/>
  <c r="G50"/>
  <c r="E49"/>
  <c r="G49" s="1"/>
  <c r="G46"/>
  <c r="G45"/>
  <c r="G44"/>
  <c r="G43"/>
  <c r="G42"/>
  <c r="G41"/>
  <c r="G40"/>
  <c r="G39"/>
  <c r="G38"/>
  <c r="G37"/>
  <c r="G36"/>
  <c r="AQ30" i="1"/>
  <c r="E24" i="28"/>
  <c r="E23"/>
  <c r="E22"/>
  <c r="G22" s="1"/>
  <c r="E19"/>
  <c r="G19" s="1"/>
  <c r="E18"/>
  <c r="G12"/>
  <c r="G11"/>
  <c r="G10"/>
  <c r="G140" i="27"/>
  <c r="G139"/>
  <c r="AL29" i="1" s="1"/>
  <c r="G138" i="27"/>
  <c r="G137"/>
  <c r="G136"/>
  <c r="AJ29" i="44" s="1"/>
  <c r="G135" i="27"/>
  <c r="AD29" i="1" s="1"/>
  <c r="G134" i="27"/>
  <c r="AC29" i="1" s="1"/>
  <c r="G133" i="27"/>
  <c r="AB29" i="1" s="1"/>
  <c r="G132" i="27"/>
  <c r="AA29" i="1" s="1"/>
  <c r="G131" i="27"/>
  <c r="E130"/>
  <c r="G130" s="1"/>
  <c r="E127"/>
  <c r="G127" s="1"/>
  <c r="AG29" i="44" s="1"/>
  <c r="E126" i="27"/>
  <c r="G126" s="1"/>
  <c r="AF29" i="44" s="1"/>
  <c r="E125" i="27"/>
  <c r="G125" s="1"/>
  <c r="AE29" i="44" s="1"/>
  <c r="E124" i="27"/>
  <c r="G124" s="1"/>
  <c r="AD29" i="44" s="1"/>
  <c r="E123" i="27"/>
  <c r="G123" s="1"/>
  <c r="E100"/>
  <c r="G100" s="1"/>
  <c r="E99"/>
  <c r="G99" s="1"/>
  <c r="E98"/>
  <c r="G98" s="1"/>
  <c r="AC12" i="45" s="1"/>
  <c r="AC26" s="1"/>
  <c r="E97" i="27"/>
  <c r="G97" s="1"/>
  <c r="E96"/>
  <c r="G96" s="1"/>
  <c r="E95"/>
  <c r="G95" s="1"/>
  <c r="AC8" i="45" s="1"/>
  <c r="AC28" s="1"/>
  <c r="E94" i="27"/>
  <c r="E93"/>
  <c r="G93" s="1"/>
  <c r="E92"/>
  <c r="G92" s="1"/>
  <c r="AC7" i="45" s="1"/>
  <c r="E84" i="27"/>
  <c r="G84" s="1"/>
  <c r="E83"/>
  <c r="G83" s="1"/>
  <c r="N29" i="44" s="1"/>
  <c r="E82" i="27"/>
  <c r="G82" s="1"/>
  <c r="L29" i="44" s="1"/>
  <c r="E81" i="27"/>
  <c r="G81" s="1"/>
  <c r="K29" i="44" s="1"/>
  <c r="E80" i="27"/>
  <c r="G80" s="1"/>
  <c r="J29" i="44" s="1"/>
  <c r="E79" i="27"/>
  <c r="G79" s="1"/>
  <c r="I29" i="44" s="1"/>
  <c r="E78" i="27"/>
  <c r="G78" s="1"/>
  <c r="H29" i="44" s="1"/>
  <c r="E77" i="27"/>
  <c r="G77" s="1"/>
  <c r="G29" i="44" s="1"/>
  <c r="E76" i="27"/>
  <c r="G76" s="1"/>
  <c r="F29" i="44" s="1"/>
  <c r="E75" i="27"/>
  <c r="G75" s="1"/>
  <c r="E29" i="44" s="1"/>
  <c r="G74" i="27"/>
  <c r="D29" i="44" s="1"/>
  <c r="E73" i="27"/>
  <c r="G73" s="1"/>
  <c r="C29" i="44" s="1"/>
  <c r="E72" i="27"/>
  <c r="G72" s="1"/>
  <c r="B29" i="44" s="1"/>
  <c r="E69" i="27"/>
  <c r="E68"/>
  <c r="E67"/>
  <c r="E66"/>
  <c r="E65"/>
  <c r="E64"/>
  <c r="E63"/>
  <c r="E62"/>
  <c r="E58"/>
  <c r="G58" s="1"/>
  <c r="E57"/>
  <c r="G57" s="1"/>
  <c r="E56"/>
  <c r="G56" s="1"/>
  <c r="BG29" i="1" s="1"/>
  <c r="E55" i="27"/>
  <c r="G55" s="1"/>
  <c r="E54"/>
  <c r="G54" s="1"/>
  <c r="BE29" i="1" s="1"/>
  <c r="E53" i="27"/>
  <c r="G53" s="1"/>
  <c r="BD29" i="1" s="1"/>
  <c r="E52" i="27"/>
  <c r="G52" s="1"/>
  <c r="E51"/>
  <c r="G51" s="1"/>
  <c r="BB29" i="1" s="1"/>
  <c r="G50" i="27"/>
  <c r="E49"/>
  <c r="G49" s="1"/>
  <c r="BA29" i="1" s="1"/>
  <c r="E35" i="27"/>
  <c r="G35" s="1"/>
  <c r="E22"/>
  <c r="G22" s="1"/>
  <c r="E19"/>
  <c r="G19" s="1"/>
  <c r="E18"/>
  <c r="E15"/>
  <c r="G15" s="1"/>
  <c r="E12"/>
  <c r="G12" s="1"/>
  <c r="E11"/>
  <c r="G11" s="1"/>
  <c r="E10"/>
  <c r="G10" s="1"/>
  <c r="E9"/>
  <c r="G9" s="1"/>
  <c r="G140" i="40"/>
  <c r="AI28" i="44" s="1"/>
  <c r="G139" i="40"/>
  <c r="G138"/>
  <c r="AL28" i="44" s="1"/>
  <c r="G137" i="40"/>
  <c r="AK28" i="44" s="1"/>
  <c r="G136" i="40"/>
  <c r="AJ28" i="44" s="1"/>
  <c r="G135" i="40"/>
  <c r="AD28" i="1" s="1"/>
  <c r="G134" i="40"/>
  <c r="AC28" i="1" s="1"/>
  <c r="G133" i="40"/>
  <c r="AB28" i="1" s="1"/>
  <c r="G132" i="40"/>
  <c r="AA28" i="1" s="1"/>
  <c r="G131" i="40"/>
  <c r="E130"/>
  <c r="G130" s="1"/>
  <c r="E127"/>
  <c r="G127" s="1"/>
  <c r="AG28" i="44" s="1"/>
  <c r="E126" i="40"/>
  <c r="G126" s="1"/>
  <c r="AF28" i="44" s="1"/>
  <c r="E125" i="40"/>
  <c r="G125" s="1"/>
  <c r="AE28" i="44" s="1"/>
  <c r="E124" i="40"/>
  <c r="G124" s="1"/>
  <c r="AD28" i="44" s="1"/>
  <c r="E123" i="40"/>
  <c r="G123" s="1"/>
  <c r="E100"/>
  <c r="G100" s="1"/>
  <c r="E99"/>
  <c r="G99" s="1"/>
  <c r="E98"/>
  <c r="G98" s="1"/>
  <c r="AB12" i="45" s="1"/>
  <c r="AB26" s="1"/>
  <c r="E97" i="40"/>
  <c r="G97" s="1"/>
  <c r="E96"/>
  <c r="G96" s="1"/>
  <c r="E95"/>
  <c r="G95" s="1"/>
  <c r="AB8" i="45" s="1"/>
  <c r="AB28" s="1"/>
  <c r="E93" i="40"/>
  <c r="G93" s="1"/>
  <c r="E92"/>
  <c r="G92" s="1"/>
  <c r="AB7" i="45" s="1"/>
  <c r="E84" i="40"/>
  <c r="G84" s="1"/>
  <c r="E83"/>
  <c r="G83" s="1"/>
  <c r="N28" i="44" s="1"/>
  <c r="E82" i="40"/>
  <c r="G82" s="1"/>
  <c r="L28" i="44" s="1"/>
  <c r="E81" i="40"/>
  <c r="G81" s="1"/>
  <c r="K28" i="44" s="1"/>
  <c r="E80" i="40"/>
  <c r="G80" s="1"/>
  <c r="J28" i="44" s="1"/>
  <c r="E79" i="40"/>
  <c r="G79" s="1"/>
  <c r="I28" i="44" s="1"/>
  <c r="E78" i="40"/>
  <c r="G78" s="1"/>
  <c r="H28" i="44" s="1"/>
  <c r="E77" i="40"/>
  <c r="G77" s="1"/>
  <c r="G28" i="44" s="1"/>
  <c r="E76" i="40"/>
  <c r="G76" s="1"/>
  <c r="F28" i="44" s="1"/>
  <c r="E75" i="40"/>
  <c r="G75" s="1"/>
  <c r="E28" i="44" s="1"/>
  <c r="E74" i="40"/>
  <c r="G74" s="1"/>
  <c r="D28" i="44" s="1"/>
  <c r="E73" i="40"/>
  <c r="G73" s="1"/>
  <c r="C28" i="44" s="1"/>
  <c r="E72" i="40"/>
  <c r="G72" s="1"/>
  <c r="B28" i="44" s="1"/>
  <c r="E69" i="40"/>
  <c r="E68"/>
  <c r="E67"/>
  <c r="E66"/>
  <c r="E65"/>
  <c r="E64"/>
  <c r="E63"/>
  <c r="E62"/>
  <c r="G58"/>
  <c r="G57"/>
  <c r="BH28" i="1" s="1"/>
  <c r="G56" i="40"/>
  <c r="BG28" i="1" s="1"/>
  <c r="G55" i="40"/>
  <c r="BF28" i="1" s="1"/>
  <c r="E54" i="40"/>
  <c r="G54" s="1"/>
  <c r="E53"/>
  <c r="G53" s="1"/>
  <c r="BD28" i="1" s="1"/>
  <c r="E52" i="40"/>
  <c r="G52" s="1"/>
  <c r="BC28" i="1" s="1"/>
  <c r="E51" i="40"/>
  <c r="G51" s="1"/>
  <c r="BB28" i="1" s="1"/>
  <c r="E50" i="40"/>
  <c r="G50" s="1"/>
  <c r="E49"/>
  <c r="G49" s="1"/>
  <c r="BA28" i="1" s="1"/>
  <c r="E35" i="40"/>
  <c r="G35" s="1"/>
  <c r="E24"/>
  <c r="E23"/>
  <c r="E22"/>
  <c r="G22" s="1"/>
  <c r="E19"/>
  <c r="G19" s="1"/>
  <c r="E18"/>
  <c r="E15"/>
  <c r="G15" s="1"/>
  <c r="G12"/>
  <c r="G11"/>
  <c r="G10"/>
  <c r="G9"/>
  <c r="G7"/>
  <c r="AM28" i="1"/>
  <c r="AL27"/>
  <c r="AD27"/>
  <c r="AB27"/>
  <c r="AA27"/>
  <c r="AP27"/>
  <c r="BH27"/>
  <c r="BG27"/>
  <c r="BF27"/>
  <c r="BD27"/>
  <c r="BB27"/>
  <c r="BI27"/>
  <c r="BA27"/>
  <c r="AQ27"/>
  <c r="E140" i="24"/>
  <c r="G140" s="1"/>
  <c r="E139"/>
  <c r="G139" s="1"/>
  <c r="AL28" i="1" s="1"/>
  <c r="E138" i="24"/>
  <c r="G138" s="1"/>
  <c r="E137"/>
  <c r="G137" s="1"/>
  <c r="E136"/>
  <c r="G136" s="1"/>
  <c r="AJ26" i="44" s="1"/>
  <c r="E135" i="24"/>
  <c r="G135" s="1"/>
  <c r="AD26" i="1" s="1"/>
  <c r="E134" i="24"/>
  <c r="G134" s="1"/>
  <c r="AC26" i="1" s="1"/>
  <c r="E133" i="24"/>
  <c r="G133" s="1"/>
  <c r="AB26" i="1" s="1"/>
  <c r="E132" i="24"/>
  <c r="G132" s="1"/>
  <c r="AA26" i="1" s="1"/>
  <c r="E131" i="24"/>
  <c r="G131" s="1"/>
  <c r="E130"/>
  <c r="G130" s="1"/>
  <c r="E127"/>
  <c r="G127" s="1"/>
  <c r="AG26" i="44" s="1"/>
  <c r="E126" i="24"/>
  <c r="G126" s="1"/>
  <c r="AF26" i="44" s="1"/>
  <c r="E125" i="24"/>
  <c r="G125" s="1"/>
  <c r="AE26" i="44" s="1"/>
  <c r="E124" i="24"/>
  <c r="G124" s="1"/>
  <c r="AD26" i="44" s="1"/>
  <c r="E123" i="24"/>
  <c r="G123" s="1"/>
  <c r="E100"/>
  <c r="G100" s="1"/>
  <c r="E99"/>
  <c r="G99" s="1"/>
  <c r="E98"/>
  <c r="G98" s="1"/>
  <c r="Z12" i="45" s="1"/>
  <c r="Z26" s="1"/>
  <c r="E97" i="24"/>
  <c r="G97" s="1"/>
  <c r="E96"/>
  <c r="G96" s="1"/>
  <c r="E95"/>
  <c r="G95" s="1"/>
  <c r="Z8" i="45" s="1"/>
  <c r="Z28" s="1"/>
  <c r="E94" i="24"/>
  <c r="E93"/>
  <c r="G93" s="1"/>
  <c r="E92"/>
  <c r="G92" s="1"/>
  <c r="Z7" i="45" s="1"/>
  <c r="E84" i="24"/>
  <c r="G84" s="1"/>
  <c r="E83"/>
  <c r="G83" s="1"/>
  <c r="N26" i="44" s="1"/>
  <c r="E82" i="24"/>
  <c r="G82" s="1"/>
  <c r="L26" i="44" s="1"/>
  <c r="E81" i="24"/>
  <c r="G81" s="1"/>
  <c r="K26" i="44" s="1"/>
  <c r="E80" i="24"/>
  <c r="G80" s="1"/>
  <c r="J26" i="44" s="1"/>
  <c r="E79" i="24"/>
  <c r="G79" s="1"/>
  <c r="I26" i="44" s="1"/>
  <c r="E78" i="24"/>
  <c r="G78" s="1"/>
  <c r="H26" i="44" s="1"/>
  <c r="G77" i="24"/>
  <c r="G26" i="44" s="1"/>
  <c r="E76" i="24"/>
  <c r="G76" s="1"/>
  <c r="F26" i="44" s="1"/>
  <c r="E75" i="24"/>
  <c r="G75" s="1"/>
  <c r="E26" i="44" s="1"/>
  <c r="E74" i="24"/>
  <c r="G74" s="1"/>
  <c r="D26" i="44" s="1"/>
  <c r="E73" i="24"/>
  <c r="G73" s="1"/>
  <c r="E72"/>
  <c r="G72" s="1"/>
  <c r="E69"/>
  <c r="E68"/>
  <c r="E67"/>
  <c r="E66"/>
  <c r="E65"/>
  <c r="E64"/>
  <c r="E63"/>
  <c r="E62"/>
  <c r="E58"/>
  <c r="G58" s="1"/>
  <c r="M26" i="44" s="1"/>
  <c r="E57" i="24"/>
  <c r="G57" s="1"/>
  <c r="BH26" i="1" s="1"/>
  <c r="E56" i="24"/>
  <c r="G56" s="1"/>
  <c r="BG26" i="1" s="1"/>
  <c r="E55" i="24"/>
  <c r="G55" s="1"/>
  <c r="BF26" i="1" s="1"/>
  <c r="E54" i="24"/>
  <c r="G54" s="1"/>
  <c r="BE26" i="1" s="1"/>
  <c r="E53" i="24"/>
  <c r="G53" s="1"/>
  <c r="BD26" i="1" s="1"/>
  <c r="E52" i="24"/>
  <c r="G52" s="1"/>
  <c r="BC26" i="1" s="1"/>
  <c r="E51" i="24"/>
  <c r="G51" s="1"/>
  <c r="BB26" i="1" s="1"/>
  <c r="E50" i="24"/>
  <c r="G50" s="1"/>
  <c r="E49"/>
  <c r="G49" s="1"/>
  <c r="BA26" i="1" s="1"/>
  <c r="E46" i="24"/>
  <c r="G46" s="1"/>
  <c r="E45"/>
  <c r="G45" s="1"/>
  <c r="E44"/>
  <c r="G44" s="1"/>
  <c r="E43"/>
  <c r="G43" s="1"/>
  <c r="E42"/>
  <c r="G42" s="1"/>
  <c r="AW26" i="1" s="1"/>
  <c r="E41" i="24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G7"/>
  <c r="E139" i="23"/>
  <c r="G139" s="1"/>
  <c r="E138"/>
  <c r="G138" s="1"/>
  <c r="E137"/>
  <c r="G137" s="1"/>
  <c r="O137" s="1"/>
  <c r="E136"/>
  <c r="G136" s="1"/>
  <c r="E135"/>
  <c r="G135" s="1"/>
  <c r="E134"/>
  <c r="G134" s="1"/>
  <c r="E133"/>
  <c r="G133" s="1"/>
  <c r="E132"/>
  <c r="G132" s="1"/>
  <c r="E131"/>
  <c r="G131" s="1"/>
  <c r="O131" s="1"/>
  <c r="E130"/>
  <c r="G130" s="1"/>
  <c r="O130" s="1"/>
  <c r="E127"/>
  <c r="G127" s="1"/>
  <c r="E126"/>
  <c r="G126" s="1"/>
  <c r="E125"/>
  <c r="G125" s="1"/>
  <c r="E124"/>
  <c r="G124" s="1"/>
  <c r="E123"/>
  <c r="G123" s="1"/>
  <c r="O123" s="1"/>
  <c r="E100"/>
  <c r="G100" s="1"/>
  <c r="E99"/>
  <c r="G99" s="1"/>
  <c r="O99" s="1"/>
  <c r="E98"/>
  <c r="G98" s="1"/>
  <c r="E97"/>
  <c r="G97" s="1"/>
  <c r="O97" s="1"/>
  <c r="E96"/>
  <c r="G96" s="1"/>
  <c r="O96" s="1"/>
  <c r="E95"/>
  <c r="G95" s="1"/>
  <c r="E94"/>
  <c r="E93"/>
  <c r="G93" s="1"/>
  <c r="O93" s="1"/>
  <c r="E92"/>
  <c r="G92" s="1"/>
  <c r="G84"/>
  <c r="O84" s="1"/>
  <c r="G83"/>
  <c r="G82"/>
  <c r="G81"/>
  <c r="G80"/>
  <c r="G79"/>
  <c r="G78"/>
  <c r="G77"/>
  <c r="G76"/>
  <c r="G75"/>
  <c r="G74"/>
  <c r="G73"/>
  <c r="E72"/>
  <c r="G72" s="1"/>
  <c r="E69"/>
  <c r="E68"/>
  <c r="E67"/>
  <c r="E66"/>
  <c r="E65"/>
  <c r="E64"/>
  <c r="E63"/>
  <c r="E62"/>
  <c r="E58"/>
  <c r="G58" s="1"/>
  <c r="E57"/>
  <c r="G57" s="1"/>
  <c r="E56"/>
  <c r="G56" s="1"/>
  <c r="E55"/>
  <c r="G55" s="1"/>
  <c r="E54"/>
  <c r="G54" s="1"/>
  <c r="E53"/>
  <c r="G53" s="1"/>
  <c r="E52"/>
  <c r="G52" s="1"/>
  <c r="E51"/>
  <c r="G51" s="1"/>
  <c r="E50"/>
  <c r="G50" s="1"/>
  <c r="O50" s="1"/>
  <c r="E49"/>
  <c r="G49" s="1"/>
  <c r="G46"/>
  <c r="O46" s="1"/>
  <c r="G45"/>
  <c r="O45" s="1"/>
  <c r="G44"/>
  <c r="O44" s="1"/>
  <c r="G42"/>
  <c r="O42" s="1"/>
  <c r="G41"/>
  <c r="O41" s="1"/>
  <c r="G40"/>
  <c r="O40" s="1"/>
  <c r="G39"/>
  <c r="O39" s="1"/>
  <c r="G38"/>
  <c r="O38" s="1"/>
  <c r="G37"/>
  <c r="O37" s="1"/>
  <c r="G36"/>
  <c r="O36" s="1"/>
  <c r="E35"/>
  <c r="G35" s="1"/>
  <c r="O35" s="1"/>
  <c r="E24"/>
  <c r="E23"/>
  <c r="E22"/>
  <c r="G22" s="1"/>
  <c r="O22" s="1"/>
  <c r="E19"/>
  <c r="G19" s="1"/>
  <c r="O19" s="1"/>
  <c r="E18"/>
  <c r="E15"/>
  <c r="G15" s="1"/>
  <c r="O15" s="1"/>
  <c r="E12"/>
  <c r="G12" s="1"/>
  <c r="O12" s="1"/>
  <c r="E11"/>
  <c r="G11" s="1"/>
  <c r="O11" s="1"/>
  <c r="E10"/>
  <c r="G10" s="1"/>
  <c r="O10" s="1"/>
  <c r="G7"/>
  <c r="O7" s="1"/>
  <c r="E140" i="22"/>
  <c r="G140" s="1"/>
  <c r="E139"/>
  <c r="G139" s="1"/>
  <c r="AL24" i="1" s="1"/>
  <c r="E138" i="22"/>
  <c r="G138" s="1"/>
  <c r="AL24" i="44" s="1"/>
  <c r="E137" i="22"/>
  <c r="G137" s="1"/>
  <c r="E136"/>
  <c r="G136" s="1"/>
  <c r="AJ24" i="44" s="1"/>
  <c r="E135" i="22"/>
  <c r="G135" s="1"/>
  <c r="AD24" i="1" s="1"/>
  <c r="E134" i="22"/>
  <c r="G134" s="1"/>
  <c r="E133"/>
  <c r="G133" s="1"/>
  <c r="AB24" i="1" s="1"/>
  <c r="E132" i="22"/>
  <c r="G132" s="1"/>
  <c r="AA24" i="1" s="1"/>
  <c r="E131" i="22"/>
  <c r="G131" s="1"/>
  <c r="E130"/>
  <c r="G130" s="1"/>
  <c r="E127"/>
  <c r="G127" s="1"/>
  <c r="AG24" i="44" s="1"/>
  <c r="E126" i="22"/>
  <c r="G126" s="1"/>
  <c r="AF24" i="44" s="1"/>
  <c r="E125" i="22"/>
  <c r="G125" s="1"/>
  <c r="AE24" i="44" s="1"/>
  <c r="E124" i="22"/>
  <c r="G124" s="1"/>
  <c r="AD24" i="44" s="1"/>
  <c r="E123" i="22"/>
  <c r="G123" s="1"/>
  <c r="E100"/>
  <c r="G100" s="1"/>
  <c r="E99"/>
  <c r="G99" s="1"/>
  <c r="E98"/>
  <c r="G98" s="1"/>
  <c r="X12" i="45" s="1"/>
  <c r="X26" s="1"/>
  <c r="E97" i="22"/>
  <c r="G97" s="1"/>
  <c r="E96"/>
  <c r="G96" s="1"/>
  <c r="E95"/>
  <c r="G95" s="1"/>
  <c r="X8" i="45" s="1"/>
  <c r="X28" s="1"/>
  <c r="E94" i="22"/>
  <c r="E93"/>
  <c r="G93" s="1"/>
  <c r="E92"/>
  <c r="G92" s="1"/>
  <c r="X7" i="45" s="1"/>
  <c r="E72" i="22"/>
  <c r="G72" s="1"/>
  <c r="B24" i="44" s="1"/>
  <c r="E62" i="22"/>
  <c r="E49"/>
  <c r="G49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7"/>
  <c r="G7" s="1"/>
  <c r="E140" i="21"/>
  <c r="G140" s="1"/>
  <c r="E139"/>
  <c r="G139" s="1"/>
  <c r="AL23" i="1" s="1"/>
  <c r="E138" i="21"/>
  <c r="G138" s="1"/>
  <c r="AL23" i="44" s="1"/>
  <c r="E137" i="21"/>
  <c r="G137" s="1"/>
  <c r="E136"/>
  <c r="G136" s="1"/>
  <c r="AJ23" i="44" s="1"/>
  <c r="E135" i="21"/>
  <c r="G135" s="1"/>
  <c r="AD23" i="1" s="1"/>
  <c r="E134" i="21"/>
  <c r="G134" s="1"/>
  <c r="E133"/>
  <c r="G133" s="1"/>
  <c r="AB23" i="1" s="1"/>
  <c r="G132" i="21"/>
  <c r="AA23" i="1" s="1"/>
  <c r="E131" i="21"/>
  <c r="G131" s="1"/>
  <c r="E130"/>
  <c r="G130" s="1"/>
  <c r="E127"/>
  <c r="G127" s="1"/>
  <c r="AG23" i="44" s="1"/>
  <c r="E126" i="21"/>
  <c r="G126" s="1"/>
  <c r="AF23" i="44" s="1"/>
  <c r="E125" i="21"/>
  <c r="G125" s="1"/>
  <c r="AE23" i="44" s="1"/>
  <c r="E124" i="21"/>
  <c r="G124" s="1"/>
  <c r="AD23" i="44" s="1"/>
  <c r="E123" i="21"/>
  <c r="G123" s="1"/>
  <c r="E100"/>
  <c r="G100" s="1"/>
  <c r="E99"/>
  <c r="G99" s="1"/>
  <c r="E98"/>
  <c r="G98" s="1"/>
  <c r="W12" i="45" s="1"/>
  <c r="W26" s="1"/>
  <c r="E97" i="21"/>
  <c r="G97" s="1"/>
  <c r="E96"/>
  <c r="G96" s="1"/>
  <c r="E95"/>
  <c r="G95" s="1"/>
  <c r="W8" i="45" s="1"/>
  <c r="W28" s="1"/>
  <c r="E94" i="21"/>
  <c r="E93"/>
  <c r="G93" s="1"/>
  <c r="E92"/>
  <c r="G92" s="1"/>
  <c r="W7" i="45" s="1"/>
  <c r="E84" i="21"/>
  <c r="G84" s="1"/>
  <c r="E83"/>
  <c r="G83" s="1"/>
  <c r="N23" i="44" s="1"/>
  <c r="E82" i="21"/>
  <c r="G82" s="1"/>
  <c r="L23" i="44" s="1"/>
  <c r="E81" i="21"/>
  <c r="G81" s="1"/>
  <c r="K23" i="44" s="1"/>
  <c r="E80" i="21"/>
  <c r="G80" s="1"/>
  <c r="J23" i="44" s="1"/>
  <c r="E79" i="21"/>
  <c r="G79" s="1"/>
  <c r="I23" i="44" s="1"/>
  <c r="E78" i="21"/>
  <c r="G78" s="1"/>
  <c r="H23" i="44" s="1"/>
  <c r="E77" i="21"/>
  <c r="G77" s="1"/>
  <c r="G23" i="44" s="1"/>
  <c r="E76" i="21"/>
  <c r="G76" s="1"/>
  <c r="F23" i="44" s="1"/>
  <c r="E75" i="21"/>
  <c r="G75" s="1"/>
  <c r="E23" i="44" s="1"/>
  <c r="E74" i="21"/>
  <c r="G74" s="1"/>
  <c r="D23" i="44" s="1"/>
  <c r="E73" i="21"/>
  <c r="G73" s="1"/>
  <c r="C23" i="44" s="1"/>
  <c r="E72" i="21"/>
  <c r="G72" s="1"/>
  <c r="B23" i="44" s="1"/>
  <c r="E69" i="21"/>
  <c r="E68"/>
  <c r="E67"/>
  <c r="E66"/>
  <c r="E65"/>
  <c r="E64"/>
  <c r="E63"/>
  <c r="E62"/>
  <c r="G58"/>
  <c r="E57"/>
  <c r="G57" s="1"/>
  <c r="E56"/>
  <c r="G56" s="1"/>
  <c r="E55"/>
  <c r="G55" s="1"/>
  <c r="L55" s="1"/>
  <c r="E54"/>
  <c r="G54" s="1"/>
  <c r="E53"/>
  <c r="G53" s="1"/>
  <c r="L53" s="1"/>
  <c r="E52"/>
  <c r="G52" s="1"/>
  <c r="E51"/>
  <c r="G51" s="1"/>
  <c r="E50"/>
  <c r="G50" s="1"/>
  <c r="G49"/>
  <c r="E46"/>
  <c r="G46" s="1"/>
  <c r="L46" s="1"/>
  <c r="G45"/>
  <c r="L45" s="1"/>
  <c r="E44"/>
  <c r="G44" s="1"/>
  <c r="L44" s="1"/>
  <c r="E43"/>
  <c r="G43" s="1"/>
  <c r="E42"/>
  <c r="G42" s="1"/>
  <c r="G41"/>
  <c r="E40"/>
  <c r="G40" s="1"/>
  <c r="L40" s="1"/>
  <c r="E39"/>
  <c r="G39" s="1"/>
  <c r="E38"/>
  <c r="G38" s="1"/>
  <c r="E37"/>
  <c r="G37" s="1"/>
  <c r="E36"/>
  <c r="G36" s="1"/>
  <c r="E35"/>
  <c r="G35" s="1"/>
  <c r="E23"/>
  <c r="E22"/>
  <c r="E19"/>
  <c r="G19" s="1"/>
  <c r="E18"/>
  <c r="E15"/>
  <c r="G15" s="1"/>
  <c r="E12"/>
  <c r="G12" s="1"/>
  <c r="E11"/>
  <c r="G11" s="1"/>
  <c r="E10"/>
  <c r="G10" s="1"/>
  <c r="E9"/>
  <c r="G9" s="1"/>
  <c r="E7"/>
  <c r="G7" s="1"/>
  <c r="G140" i="20"/>
  <c r="G139"/>
  <c r="AL22" i="1" s="1"/>
  <c r="G138" i="20"/>
  <c r="G137"/>
  <c r="G136"/>
  <c r="AJ22" i="44" s="1"/>
  <c r="G135" i="20"/>
  <c r="AD22" i="1" s="1"/>
  <c r="G134" i="20"/>
  <c r="G133"/>
  <c r="AB22" i="1" s="1"/>
  <c r="G132" i="20"/>
  <c r="AA22" i="1" s="1"/>
  <c r="E131" i="20"/>
  <c r="G131" s="1"/>
  <c r="E130"/>
  <c r="G130" s="1"/>
  <c r="E124"/>
  <c r="G124" s="1"/>
  <c r="AD22" i="44" s="1"/>
  <c r="E123" i="20"/>
  <c r="G123" s="1"/>
  <c r="E94"/>
  <c r="E93"/>
  <c r="G93" s="1"/>
  <c r="E92"/>
  <c r="G92" s="1"/>
  <c r="V7" i="45" s="1"/>
  <c r="G84" i="20"/>
  <c r="G83"/>
  <c r="N22" i="44" s="1"/>
  <c r="G82" i="20"/>
  <c r="L22" i="44" s="1"/>
  <c r="G81" i="20"/>
  <c r="K22" i="44" s="1"/>
  <c r="G80" i="20"/>
  <c r="J22" i="44" s="1"/>
  <c r="G79" i="20"/>
  <c r="I22" i="44" s="1"/>
  <c r="G78" i="20"/>
  <c r="H22" i="44" s="1"/>
  <c r="G77" i="20"/>
  <c r="G22" i="44" s="1"/>
  <c r="G76" i="20"/>
  <c r="F22" i="44" s="1"/>
  <c r="G75" i="20"/>
  <c r="E22" i="44" s="1"/>
  <c r="G74" i="20"/>
  <c r="D22" i="44" s="1"/>
  <c r="G73" i="20"/>
  <c r="C22" i="44" s="1"/>
  <c r="E72" i="20"/>
  <c r="G72" s="1"/>
  <c r="B22" i="44" s="1"/>
  <c r="E69" i="20"/>
  <c r="E68"/>
  <c r="E67"/>
  <c r="E66"/>
  <c r="E65"/>
  <c r="E64"/>
  <c r="E63"/>
  <c r="E165" s="1"/>
  <c r="G58"/>
  <c r="G57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/>
  <c r="BA22" i="1" s="1"/>
  <c r="E47" i="20"/>
  <c r="E46"/>
  <c r="G46" s="1"/>
  <c r="E45"/>
  <c r="G45" s="1"/>
  <c r="E44"/>
  <c r="G44" s="1"/>
  <c r="E43"/>
  <c r="G43" s="1"/>
  <c r="E42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G15"/>
  <c r="E12"/>
  <c r="G12" s="1"/>
  <c r="E11"/>
  <c r="G11" s="1"/>
  <c r="E10"/>
  <c r="G10" s="1"/>
  <c r="E9"/>
  <c r="G9" s="1"/>
  <c r="G7"/>
  <c r="E140" i="19"/>
  <c r="E139"/>
  <c r="E138"/>
  <c r="E137"/>
  <c r="G137" s="1"/>
  <c r="E136"/>
  <c r="G136" s="1"/>
  <c r="AJ21" i="44" s="1"/>
  <c r="E135" i="19"/>
  <c r="E134"/>
  <c r="E133"/>
  <c r="E131"/>
  <c r="G131" s="1"/>
  <c r="E130"/>
  <c r="G130" s="1"/>
  <c r="E127"/>
  <c r="G127" s="1"/>
  <c r="AG21" i="44" s="1"/>
  <c r="E126" i="19"/>
  <c r="G126" s="1"/>
  <c r="AF21" i="44" s="1"/>
  <c r="E125" i="19"/>
  <c r="G125" s="1"/>
  <c r="AE21" i="44" s="1"/>
  <c r="E124" i="19"/>
  <c r="G124" s="1"/>
  <c r="AD21" i="44" s="1"/>
  <c r="E123" i="19"/>
  <c r="G123" s="1"/>
  <c r="E100"/>
  <c r="G100" s="1"/>
  <c r="E99"/>
  <c r="G99" s="1"/>
  <c r="E98"/>
  <c r="G98" s="1"/>
  <c r="U12" i="45" s="1"/>
  <c r="U26" s="1"/>
  <c r="E97" i="19"/>
  <c r="G97" s="1"/>
  <c r="E96"/>
  <c r="G96" s="1"/>
  <c r="E95"/>
  <c r="G95" s="1"/>
  <c r="U8" i="45" s="1"/>
  <c r="U28" s="1"/>
  <c r="E94" i="19"/>
  <c r="E93"/>
  <c r="G93" s="1"/>
  <c r="E92"/>
  <c r="G92" s="1"/>
  <c r="U7" i="45" s="1"/>
  <c r="E84" i="19"/>
  <c r="G84" s="1"/>
  <c r="E83"/>
  <c r="G83" s="1"/>
  <c r="N21" i="44" s="1"/>
  <c r="E82" i="19"/>
  <c r="G82" s="1"/>
  <c r="L21" i="44" s="1"/>
  <c r="E81" i="19"/>
  <c r="G81" s="1"/>
  <c r="K21" i="44" s="1"/>
  <c r="E80" i="19"/>
  <c r="G80" s="1"/>
  <c r="J21" i="44" s="1"/>
  <c r="E79" i="19"/>
  <c r="G79" s="1"/>
  <c r="I21" i="44" s="1"/>
  <c r="E78" i="19"/>
  <c r="G78" s="1"/>
  <c r="H21" i="44" s="1"/>
  <c r="E77" i="19"/>
  <c r="G77" s="1"/>
  <c r="G21" i="44" s="1"/>
  <c r="E76" i="19"/>
  <c r="G76" s="1"/>
  <c r="F21" i="44" s="1"/>
  <c r="E75" i="19"/>
  <c r="G75" s="1"/>
  <c r="E21" i="44" s="1"/>
  <c r="E74" i="19"/>
  <c r="G74" s="1"/>
  <c r="D21" i="44" s="1"/>
  <c r="E73" i="19"/>
  <c r="G73" s="1"/>
  <c r="C21" i="44" s="1"/>
  <c r="E72" i="19"/>
  <c r="G72" s="1"/>
  <c r="E69"/>
  <c r="G171" s="1"/>
  <c r="E68"/>
  <c r="E67"/>
  <c r="E66"/>
  <c r="E65"/>
  <c r="E64"/>
  <c r="E62"/>
  <c r="E57"/>
  <c r="G57" s="1"/>
  <c r="BH21" i="1" s="1"/>
  <c r="E56" i="19"/>
  <c r="G56" s="1"/>
  <c r="BG21" i="1" s="1"/>
  <c r="E55" i="19"/>
  <c r="G55" s="1"/>
  <c r="E54"/>
  <c r="G54" s="1"/>
  <c r="E53"/>
  <c r="G53" s="1"/>
  <c r="BD21" i="1" s="1"/>
  <c r="E52" i="19"/>
  <c r="G52" s="1"/>
  <c r="E51"/>
  <c r="G51" s="1"/>
  <c r="BB21" i="1" s="1"/>
  <c r="E50" i="19"/>
  <c r="G50" s="1"/>
  <c r="E49"/>
  <c r="E46"/>
  <c r="G46" s="1"/>
  <c r="E45"/>
  <c r="G45" s="1"/>
  <c r="E44"/>
  <c r="G44" s="1"/>
  <c r="E43"/>
  <c r="G43" s="1"/>
  <c r="E42"/>
  <c r="G42" s="1"/>
  <c r="AW21" i="1" s="1"/>
  <c r="E41" i="19"/>
  <c r="G41" s="1"/>
  <c r="E39"/>
  <c r="E38"/>
  <c r="G38" s="1"/>
  <c r="E37"/>
  <c r="E36"/>
  <c r="G36" s="1"/>
  <c r="E35"/>
  <c r="G35" s="1"/>
  <c r="E24"/>
  <c r="E22"/>
  <c r="G22" s="1"/>
  <c r="E19"/>
  <c r="G19" s="1"/>
  <c r="E18"/>
  <c r="E15"/>
  <c r="G15" s="1"/>
  <c r="E12"/>
  <c r="G12" s="1"/>
  <c r="E11"/>
  <c r="G11" s="1"/>
  <c r="E10"/>
  <c r="G10" s="1"/>
  <c r="E9"/>
  <c r="G9" s="1"/>
  <c r="E140" i="18"/>
  <c r="G140" s="1"/>
  <c r="AI20" i="44" s="1"/>
  <c r="E139" i="18"/>
  <c r="E138"/>
  <c r="G138" s="1"/>
  <c r="E137"/>
  <c r="G137" s="1"/>
  <c r="E136"/>
  <c r="G136" s="1"/>
  <c r="AJ20" i="44" s="1"/>
  <c r="E135" i="18"/>
  <c r="E134"/>
  <c r="G134" s="1"/>
  <c r="E133"/>
  <c r="E132"/>
  <c r="E131"/>
  <c r="G131" s="1"/>
  <c r="E130"/>
  <c r="G130" s="1"/>
  <c r="E127"/>
  <c r="G127" s="1"/>
  <c r="AG20" i="44" s="1"/>
  <c r="E126" i="18"/>
  <c r="G126" s="1"/>
  <c r="AF20" i="44" s="1"/>
  <c r="E125" i="18"/>
  <c r="G125" s="1"/>
  <c r="AE20" i="44" s="1"/>
  <c r="E124" i="18"/>
  <c r="G124" s="1"/>
  <c r="AD20" i="44" s="1"/>
  <c r="E123" i="18"/>
  <c r="G123" s="1"/>
  <c r="E100"/>
  <c r="G100" s="1"/>
  <c r="E99"/>
  <c r="G99" s="1"/>
  <c r="E98"/>
  <c r="G98" s="1"/>
  <c r="T12" i="45" s="1"/>
  <c r="T26" s="1"/>
  <c r="E97" i="18"/>
  <c r="G97" s="1"/>
  <c r="E96"/>
  <c r="G96" s="1"/>
  <c r="E95"/>
  <c r="G95" s="1"/>
  <c r="T8" i="45" s="1"/>
  <c r="E94" i="18"/>
  <c r="E93"/>
  <c r="G93" s="1"/>
  <c r="E92"/>
  <c r="G92" s="1"/>
  <c r="T7" i="45" s="1"/>
  <c r="E84" i="18"/>
  <c r="G84" s="1"/>
  <c r="E83"/>
  <c r="G83" s="1"/>
  <c r="N20" i="44" s="1"/>
  <c r="E82" i="18"/>
  <c r="G82" s="1"/>
  <c r="L20" i="44" s="1"/>
  <c r="E81" i="18"/>
  <c r="G81" s="1"/>
  <c r="K20" i="44" s="1"/>
  <c r="E80" i="18"/>
  <c r="G80" s="1"/>
  <c r="J20" i="44" s="1"/>
  <c r="E79" i="18"/>
  <c r="G79" s="1"/>
  <c r="I20" i="44" s="1"/>
  <c r="E78" i="18"/>
  <c r="G78" s="1"/>
  <c r="H20" i="44" s="1"/>
  <c r="E77" i="18"/>
  <c r="G77" s="1"/>
  <c r="G20" i="44" s="1"/>
  <c r="E76" i="18"/>
  <c r="G76" s="1"/>
  <c r="F20" i="44" s="1"/>
  <c r="E75" i="18"/>
  <c r="G75" s="1"/>
  <c r="E20" i="44" s="1"/>
  <c r="E74" i="18"/>
  <c r="G74" s="1"/>
  <c r="D20" i="44" s="1"/>
  <c r="E73" i="18"/>
  <c r="G73" s="1"/>
  <c r="C20" i="44" s="1"/>
  <c r="E72" i="18"/>
  <c r="G72" s="1"/>
  <c r="E69"/>
  <c r="E68"/>
  <c r="E67"/>
  <c r="E66"/>
  <c r="E65"/>
  <c r="E64"/>
  <c r="E63"/>
  <c r="E62"/>
  <c r="E58"/>
  <c r="G58" s="1"/>
  <c r="M20" i="44" s="1"/>
  <c r="E57" i="18"/>
  <c r="E56"/>
  <c r="E55"/>
  <c r="G55" s="1"/>
  <c r="BF20" i="1" s="1"/>
  <c r="E53" i="18"/>
  <c r="G53" s="1"/>
  <c r="BD20" i="1" s="1"/>
  <c r="E51" i="18"/>
  <c r="G51" s="1"/>
  <c r="BB20" i="1" s="1"/>
  <c r="E50" i="18"/>
  <c r="G50" s="1"/>
  <c r="E49"/>
  <c r="E46"/>
  <c r="G46" s="1"/>
  <c r="E45"/>
  <c r="G45" s="1"/>
  <c r="E44"/>
  <c r="G44" s="1"/>
  <c r="E43"/>
  <c r="G43" s="1"/>
  <c r="E42"/>
  <c r="G41"/>
  <c r="E40"/>
  <c r="G40" s="1"/>
  <c r="E39"/>
  <c r="E38"/>
  <c r="G38" s="1"/>
  <c r="E37"/>
  <c r="G37" s="1"/>
  <c r="E36"/>
  <c r="G36" s="1"/>
  <c r="E35"/>
  <c r="G35" s="1"/>
  <c r="E24"/>
  <c r="E23"/>
  <c r="E22"/>
  <c r="E19"/>
  <c r="G19" s="1"/>
  <c r="E18"/>
  <c r="E15"/>
  <c r="G15" s="1"/>
  <c r="E12"/>
  <c r="G12" s="1"/>
  <c r="E11"/>
  <c r="G11" s="1"/>
  <c r="E10"/>
  <c r="G10" s="1"/>
  <c r="E9"/>
  <c r="G9" s="1"/>
  <c r="G7"/>
  <c r="E140" i="17"/>
  <c r="G140" s="1"/>
  <c r="E139"/>
  <c r="G139" s="1"/>
  <c r="AL19" i="1" s="1"/>
  <c r="E138" i="17"/>
  <c r="G138" s="1"/>
  <c r="E137"/>
  <c r="G137" s="1"/>
  <c r="E136"/>
  <c r="E135"/>
  <c r="G135" s="1"/>
  <c r="AD19" i="1" s="1"/>
  <c r="E134" i="17"/>
  <c r="G134" s="1"/>
  <c r="AC19" i="1" s="1"/>
  <c r="E133" i="17"/>
  <c r="G133" s="1"/>
  <c r="AB19" i="1" s="1"/>
  <c r="E132" i="17"/>
  <c r="G132" s="1"/>
  <c r="AA19" i="1" s="1"/>
  <c r="E131" i="17"/>
  <c r="G131" s="1"/>
  <c r="E130"/>
  <c r="G130" s="1"/>
  <c r="E127"/>
  <c r="G127" s="1"/>
  <c r="AG19" i="44" s="1"/>
  <c r="E126" i="17"/>
  <c r="G126" s="1"/>
  <c r="AF19" i="44" s="1"/>
  <c r="E125" i="17"/>
  <c r="G125" s="1"/>
  <c r="AE19" i="44" s="1"/>
  <c r="E124" i="17"/>
  <c r="G124" s="1"/>
  <c r="AD19" i="44" s="1"/>
  <c r="E123" i="17"/>
  <c r="G123" s="1"/>
  <c r="E98"/>
  <c r="G98" s="1"/>
  <c r="S12" i="45" s="1"/>
  <c r="S26" s="1"/>
  <c r="E95" i="17"/>
  <c r="G95" s="1"/>
  <c r="S8" i="45" s="1"/>
  <c r="S28" s="1"/>
  <c r="E94" i="17"/>
  <c r="E93"/>
  <c r="G93" s="1"/>
  <c r="E92"/>
  <c r="G92" s="1"/>
  <c r="S7" i="45" s="1"/>
  <c r="E84" i="17"/>
  <c r="G84" s="1"/>
  <c r="E83"/>
  <c r="G83" s="1"/>
  <c r="N19" i="44" s="1"/>
  <c r="E82" i="17"/>
  <c r="G82" s="1"/>
  <c r="L19" i="44" s="1"/>
  <c r="E81" i="17"/>
  <c r="G81" s="1"/>
  <c r="K19" i="44" s="1"/>
  <c r="E80" i="17"/>
  <c r="G80" s="1"/>
  <c r="J19" i="44" s="1"/>
  <c r="E79" i="17"/>
  <c r="G79" s="1"/>
  <c r="I19" i="44" s="1"/>
  <c r="E78" i="17"/>
  <c r="G78" s="1"/>
  <c r="H19" i="44" s="1"/>
  <c r="E77" i="17"/>
  <c r="G77" s="1"/>
  <c r="G19" i="44" s="1"/>
  <c r="E76" i="17"/>
  <c r="G76" s="1"/>
  <c r="F19" i="44" s="1"/>
  <c r="E75" i="17"/>
  <c r="G75" s="1"/>
  <c r="E19" i="44" s="1"/>
  <c r="E74" i="17"/>
  <c r="G74" s="1"/>
  <c r="D19" i="44" s="1"/>
  <c r="E73" i="17"/>
  <c r="G73" s="1"/>
  <c r="C19" i="44" s="1"/>
  <c r="G72" i="17"/>
  <c r="B19" i="44" s="1"/>
  <c r="G69" i="17"/>
  <c r="Z19" i="44" s="1"/>
  <c r="G68" i="17"/>
  <c r="Y19" i="44" s="1"/>
  <c r="G67" i="17"/>
  <c r="X19" i="44" s="1"/>
  <c r="G66" i="17"/>
  <c r="W19" i="44" s="1"/>
  <c r="G65" i="17"/>
  <c r="V19" i="44" s="1"/>
  <c r="G63" i="17"/>
  <c r="T19" i="44" s="1"/>
  <c r="G62" i="17"/>
  <c r="S19" i="44" s="1"/>
  <c r="G49" i="17"/>
  <c r="G35"/>
  <c r="E24"/>
  <c r="E23"/>
  <c r="E22"/>
  <c r="G22" s="1"/>
  <c r="G15"/>
  <c r="G12"/>
  <c r="G11"/>
  <c r="G10"/>
  <c r="G9"/>
  <c r="G7"/>
  <c r="E140" i="16"/>
  <c r="G140" s="1"/>
  <c r="E139"/>
  <c r="G139" s="1"/>
  <c r="AL18" i="1" s="1"/>
  <c r="E138" i="16"/>
  <c r="G138" s="1"/>
  <c r="E137"/>
  <c r="G137" s="1"/>
  <c r="E136"/>
  <c r="G136" s="1"/>
  <c r="AJ18" i="44" s="1"/>
  <c r="E134" i="16"/>
  <c r="G134" s="1"/>
  <c r="E133"/>
  <c r="G133" s="1"/>
  <c r="AB18" i="1" s="1"/>
  <c r="E132" i="16"/>
  <c r="G132" s="1"/>
  <c r="AA18" i="1" s="1"/>
  <c r="E131" i="16"/>
  <c r="G131" s="1"/>
  <c r="E130"/>
  <c r="G130" s="1"/>
  <c r="E127"/>
  <c r="G127" s="1"/>
  <c r="AG18" i="44" s="1"/>
  <c r="E126" i="16"/>
  <c r="G126" s="1"/>
  <c r="AF18" i="44" s="1"/>
  <c r="E125" i="16"/>
  <c r="G125" s="1"/>
  <c r="AE18" i="44" s="1"/>
  <c r="E124" i="16"/>
  <c r="G124" s="1"/>
  <c r="AD18" i="44" s="1"/>
  <c r="E123" i="16"/>
  <c r="G123" s="1"/>
  <c r="E100"/>
  <c r="G100" s="1"/>
  <c r="E99"/>
  <c r="G99" s="1"/>
  <c r="E98"/>
  <c r="G98" s="1"/>
  <c r="R12" i="45" s="1"/>
  <c r="R26" s="1"/>
  <c r="E97" i="16"/>
  <c r="G97" s="1"/>
  <c r="E96"/>
  <c r="G96" s="1"/>
  <c r="E95"/>
  <c r="G95" s="1"/>
  <c r="R8" i="45" s="1"/>
  <c r="R28" s="1"/>
  <c r="E93" i="16"/>
  <c r="G93" s="1"/>
  <c r="E92"/>
  <c r="G92" s="1"/>
  <c r="R7" i="45" s="1"/>
  <c r="E84" i="16"/>
  <c r="G84" s="1"/>
  <c r="E83"/>
  <c r="G83" s="1"/>
  <c r="N18" i="44" s="1"/>
  <c r="E82" i="16"/>
  <c r="G82" s="1"/>
  <c r="L18" i="44" s="1"/>
  <c r="E81" i="16"/>
  <c r="G81" s="1"/>
  <c r="K18" i="44" s="1"/>
  <c r="E80" i="16"/>
  <c r="G80" s="1"/>
  <c r="J18" i="44" s="1"/>
  <c r="E79" i="16"/>
  <c r="G79" s="1"/>
  <c r="I18" i="44" s="1"/>
  <c r="E78" i="16"/>
  <c r="G78" s="1"/>
  <c r="H18" i="44" s="1"/>
  <c r="E77" i="16"/>
  <c r="G77" s="1"/>
  <c r="G18" i="44" s="1"/>
  <c r="E76" i="16"/>
  <c r="G76" s="1"/>
  <c r="F18" i="44" s="1"/>
  <c r="E75" i="16"/>
  <c r="G75" s="1"/>
  <c r="E18" i="44" s="1"/>
  <c r="E74" i="16"/>
  <c r="G74" s="1"/>
  <c r="D18" i="44" s="1"/>
  <c r="E73" i="16"/>
  <c r="G73" s="1"/>
  <c r="E72"/>
  <c r="G72" s="1"/>
  <c r="B18" i="44" s="1"/>
  <c r="G69" i="16"/>
  <c r="G68"/>
  <c r="Y18" i="44" s="1"/>
  <c r="G67" i="16"/>
  <c r="X18" i="44" s="1"/>
  <c r="G66" i="16"/>
  <c r="W18" i="44" s="1"/>
  <c r="G65" i="16"/>
  <c r="V18" i="44" s="1"/>
  <c r="G64" i="16"/>
  <c r="U18" i="44" s="1"/>
  <c r="G63" i="16"/>
  <c r="T18" i="44" s="1"/>
  <c r="G62" i="16"/>
  <c r="S18" i="44" s="1"/>
  <c r="G58" i="16"/>
  <c r="M18" i="44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/>
  <c r="BB18" i="1" s="1"/>
  <c r="G50" i="16"/>
  <c r="BI18" i="1" s="1"/>
  <c r="G49" i="16"/>
  <c r="G46"/>
  <c r="G45"/>
  <c r="G44"/>
  <c r="G43"/>
  <c r="G42"/>
  <c r="G40"/>
  <c r="G38"/>
  <c r="G37"/>
  <c r="G36"/>
  <c r="AZ18" i="1" s="1"/>
  <c r="E35" i="16"/>
  <c r="G35" s="1"/>
  <c r="E24"/>
  <c r="E23"/>
  <c r="E22"/>
  <c r="G22" s="1"/>
  <c r="E19"/>
  <c r="G19" s="1"/>
  <c r="E18"/>
  <c r="G15"/>
  <c r="E12"/>
  <c r="G12" s="1"/>
  <c r="E11"/>
  <c r="G11" s="1"/>
  <c r="G10"/>
  <c r="E140" i="15"/>
  <c r="G140" s="1"/>
  <c r="E139"/>
  <c r="G139" s="1"/>
  <c r="AL17" i="1" s="1"/>
  <c r="E138" i="15"/>
  <c r="G138" s="1"/>
  <c r="E137"/>
  <c r="G137" s="1"/>
  <c r="E136"/>
  <c r="G136" s="1"/>
  <c r="AJ17" i="44" s="1"/>
  <c r="G135" i="15"/>
  <c r="AD17" i="1" s="1"/>
  <c r="G134" i="15"/>
  <c r="E133"/>
  <c r="G133" s="1"/>
  <c r="AB17" i="1" s="1"/>
  <c r="E132" i="15"/>
  <c r="G132" s="1"/>
  <c r="AA17" i="1" s="1"/>
  <c r="E131" i="15"/>
  <c r="G131" s="1"/>
  <c r="E130"/>
  <c r="G130" s="1"/>
  <c r="E127"/>
  <c r="G127" s="1"/>
  <c r="AG17" i="44" s="1"/>
  <c r="E126" i="15"/>
  <c r="G126" s="1"/>
  <c r="AF17" i="44" s="1"/>
  <c r="E125" i="15"/>
  <c r="G125" s="1"/>
  <c r="AE17" i="44" s="1"/>
  <c r="E124" i="15"/>
  <c r="G124" s="1"/>
  <c r="AD17" i="44" s="1"/>
  <c r="E123" i="15"/>
  <c r="G123" s="1"/>
  <c r="E100"/>
  <c r="G100" s="1"/>
  <c r="E99"/>
  <c r="G99" s="1"/>
  <c r="E98"/>
  <c r="G98" s="1"/>
  <c r="Q12" i="45" s="1"/>
  <c r="Q26" s="1"/>
  <c r="E97" i="15"/>
  <c r="G97" s="1"/>
  <c r="E96"/>
  <c r="G96" s="1"/>
  <c r="E95"/>
  <c r="G95" s="1"/>
  <c r="Q8" i="45" s="1"/>
  <c r="Q28" s="1"/>
  <c r="E94" i="15"/>
  <c r="E93"/>
  <c r="G93" s="1"/>
  <c r="E92"/>
  <c r="G92" s="1"/>
  <c r="Q7" i="45" s="1"/>
  <c r="E69" i="15"/>
  <c r="E68"/>
  <c r="E67"/>
  <c r="E66"/>
  <c r="E65"/>
  <c r="E64"/>
  <c r="E63"/>
  <c r="E62"/>
  <c r="G58"/>
  <c r="G57"/>
  <c r="BH17" i="1" s="1"/>
  <c r="G56" i="15"/>
  <c r="G55"/>
  <c r="BF17" i="1" s="1"/>
  <c r="G54" i="15"/>
  <c r="BE17" i="1" s="1"/>
  <c r="G53" i="15"/>
  <c r="BD17" i="1" s="1"/>
  <c r="G52" i="15"/>
  <c r="G51"/>
  <c r="BB17" i="1" s="1"/>
  <c r="G50" i="15"/>
  <c r="E49"/>
  <c r="G49" s="1"/>
  <c r="BA17" i="1" s="1"/>
  <c r="G46" i="15"/>
  <c r="G45"/>
  <c r="G44"/>
  <c r="G43"/>
  <c r="G42"/>
  <c r="G41"/>
  <c r="G40"/>
  <c r="G39"/>
  <c r="G38"/>
  <c r="G37"/>
  <c r="G36"/>
  <c r="E35"/>
  <c r="G35" s="1"/>
  <c r="E24"/>
  <c r="E23"/>
  <c r="E22"/>
  <c r="G22" s="1"/>
  <c r="E19"/>
  <c r="G19" s="1"/>
  <c r="E18"/>
  <c r="E15"/>
  <c r="G15" s="1"/>
  <c r="E12"/>
  <c r="G12" s="1"/>
  <c r="E11"/>
  <c r="G11" s="1"/>
  <c r="E10"/>
  <c r="G10" s="1"/>
  <c r="E7"/>
  <c r="G7" s="1"/>
  <c r="E140" i="14"/>
  <c r="G140" s="1"/>
  <c r="E139"/>
  <c r="G139" s="1"/>
  <c r="AL16" i="1" s="1"/>
  <c r="E138" i="14"/>
  <c r="G138" s="1"/>
  <c r="AL16" i="44" s="1"/>
  <c r="E137" i="14"/>
  <c r="G137" s="1"/>
  <c r="E136"/>
  <c r="G136" s="1"/>
  <c r="AJ16" i="44" s="1"/>
  <c r="E135" i="14"/>
  <c r="G135" s="1"/>
  <c r="AD16" i="1" s="1"/>
  <c r="E134" i="14"/>
  <c r="G134" s="1"/>
  <c r="AC16" i="1" s="1"/>
  <c r="E133" i="14"/>
  <c r="G133" s="1"/>
  <c r="AB16" i="1" s="1"/>
  <c r="E132" i="14"/>
  <c r="G132" s="1"/>
  <c r="AA16" i="1" s="1"/>
  <c r="E131" i="14"/>
  <c r="G131" s="1"/>
  <c r="E130"/>
  <c r="G130" s="1"/>
  <c r="E127"/>
  <c r="G127" s="1"/>
  <c r="AG16" i="44" s="1"/>
  <c r="E126" i="14"/>
  <c r="G126" s="1"/>
  <c r="AF16" i="44" s="1"/>
  <c r="E125" i="14"/>
  <c r="G125" s="1"/>
  <c r="AE16" i="44" s="1"/>
  <c r="E124" i="14"/>
  <c r="G124" s="1"/>
  <c r="AD16" i="44" s="1"/>
  <c r="E123" i="14"/>
  <c r="G123" s="1"/>
  <c r="G100"/>
  <c r="G99"/>
  <c r="G98"/>
  <c r="P12" i="45" s="1"/>
  <c r="P26" s="1"/>
  <c r="G97" i="14"/>
  <c r="P10" i="45" s="1"/>
  <c r="G96" i="14"/>
  <c r="E95"/>
  <c r="G95" s="1"/>
  <c r="P8" i="45" s="1"/>
  <c r="P28" s="1"/>
  <c r="E94" i="14"/>
  <c r="E93"/>
  <c r="G93" s="1"/>
  <c r="E92"/>
  <c r="G92" s="1"/>
  <c r="P7" i="45" s="1"/>
  <c r="E62" i="14"/>
  <c r="G58"/>
  <c r="G57"/>
  <c r="BH16" i="1" s="1"/>
  <c r="G56" i="14"/>
  <c r="BG16" i="1" s="1"/>
  <c r="G55" i="14"/>
  <c r="BF16" i="1" s="1"/>
  <c r="G54" i="14"/>
  <c r="BE16" i="1" s="1"/>
  <c r="G53" i="14"/>
  <c r="BD16" i="1" s="1"/>
  <c r="G52" i="14"/>
  <c r="G51"/>
  <c r="BB16" i="1" s="1"/>
  <c r="G50" i="14"/>
  <c r="E49"/>
  <c r="G49" s="1"/>
  <c r="BA16" i="1" s="1"/>
  <c r="E35" i="14"/>
  <c r="G35" s="1"/>
  <c r="G22"/>
  <c r="E19"/>
  <c r="G19" s="1"/>
  <c r="E18"/>
  <c r="E15"/>
  <c r="G15" s="1"/>
  <c r="G12"/>
  <c r="G11"/>
  <c r="G10"/>
  <c r="E7"/>
  <c r="G7" s="1"/>
  <c r="E130" i="13"/>
  <c r="G130" s="1"/>
  <c r="E123"/>
  <c r="G123" s="1"/>
  <c r="G95"/>
  <c r="E92"/>
  <c r="G92" s="1"/>
  <c r="E62"/>
  <c r="G58"/>
  <c r="G57"/>
  <c r="G56"/>
  <c r="G55"/>
  <c r="G54"/>
  <c r="G53"/>
  <c r="G52"/>
  <c r="G51"/>
  <c r="G50"/>
  <c r="E49"/>
  <c r="G49" s="1"/>
  <c r="G35"/>
  <c r="E24"/>
  <c r="E23"/>
  <c r="E22"/>
  <c r="G22" s="1"/>
  <c r="E19"/>
  <c r="G19" s="1"/>
  <c r="E18"/>
  <c r="E15"/>
  <c r="G12"/>
  <c r="G11"/>
  <c r="G10"/>
  <c r="G9"/>
  <c r="G132" i="12"/>
  <c r="E131"/>
  <c r="G131" s="1"/>
  <c r="P131" s="1"/>
  <c r="E130"/>
  <c r="G130" s="1"/>
  <c r="P130" s="1"/>
  <c r="E127"/>
  <c r="G127" s="1"/>
  <c r="E126"/>
  <c r="G126" s="1"/>
  <c r="E125"/>
  <c r="G125" s="1"/>
  <c r="E124"/>
  <c r="G124" s="1"/>
  <c r="E123"/>
  <c r="G123" s="1"/>
  <c r="P123" s="1"/>
  <c r="G100"/>
  <c r="G99"/>
  <c r="G98"/>
  <c r="G97"/>
  <c r="P97" s="1"/>
  <c r="G96"/>
  <c r="P96" s="1"/>
  <c r="G95"/>
  <c r="P95" s="1"/>
  <c r="G93"/>
  <c r="P93" s="1"/>
  <c r="E92"/>
  <c r="G92" s="1"/>
  <c r="E62"/>
  <c r="G164" s="1"/>
  <c r="BA14" i="1"/>
  <c r="E35" i="12"/>
  <c r="G35" s="1"/>
  <c r="E23"/>
  <c r="E22"/>
  <c r="G22" s="1"/>
  <c r="P22" s="1"/>
  <c r="E19"/>
  <c r="G19" s="1"/>
  <c r="E18"/>
  <c r="E15"/>
  <c r="G15" s="1"/>
  <c r="G12"/>
  <c r="P12" s="1"/>
  <c r="G11"/>
  <c r="P11" s="1"/>
  <c r="G10"/>
  <c r="G7"/>
  <c r="O9" s="1"/>
  <c r="E130" i="11"/>
  <c r="G130" s="1"/>
  <c r="E123"/>
  <c r="G123" s="1"/>
  <c r="AC13" i="44" s="1"/>
  <c r="G95" i="11"/>
  <c r="E92"/>
  <c r="G92" s="1"/>
  <c r="E62"/>
  <c r="E49"/>
  <c r="G49" s="1"/>
  <c r="BA13" i="1" s="1"/>
  <c r="E35" i="11"/>
  <c r="G35" s="1"/>
  <c r="E23"/>
  <c r="E22"/>
  <c r="G22" s="1"/>
  <c r="E19"/>
  <c r="G19" s="1"/>
  <c r="E18"/>
  <c r="E15"/>
  <c r="G15" s="1"/>
  <c r="G9"/>
  <c r="E7"/>
  <c r="G7" s="1"/>
  <c r="AA12" i="1"/>
  <c r="L12" i="45"/>
  <c r="L26" s="1"/>
  <c r="L8"/>
  <c r="L28" s="1"/>
  <c r="L7"/>
  <c r="Y12" i="44"/>
  <c r="X12"/>
  <c r="W12"/>
  <c r="V12"/>
  <c r="U12"/>
  <c r="BH12" i="1"/>
  <c r="BG12"/>
  <c r="BF12"/>
  <c r="BE12"/>
  <c r="BC12"/>
  <c r="BB12"/>
  <c r="BA12"/>
  <c r="AW12"/>
  <c r="E140" i="9"/>
  <c r="G140" s="1"/>
  <c r="E139"/>
  <c r="G139" s="1"/>
  <c r="AL11" i="1" s="1"/>
  <c r="E138" i="9"/>
  <c r="G138" s="1"/>
  <c r="E137"/>
  <c r="G137" s="1"/>
  <c r="E136"/>
  <c r="G136" s="1"/>
  <c r="AJ11" i="44" s="1"/>
  <c r="E135" i="9"/>
  <c r="G135" s="1"/>
  <c r="AD11" i="1" s="1"/>
  <c r="E134" i="9"/>
  <c r="G134" s="1"/>
  <c r="AC11" i="1" s="1"/>
  <c r="E133" i="9"/>
  <c r="G133" s="1"/>
  <c r="AB11" i="1" s="1"/>
  <c r="E132" i="9"/>
  <c r="G132" s="1"/>
  <c r="AA11" i="1" s="1"/>
  <c r="E131" i="9"/>
  <c r="G131" s="1"/>
  <c r="E130"/>
  <c r="G130" s="1"/>
  <c r="E100"/>
  <c r="G100" s="1"/>
  <c r="E99"/>
  <c r="G99" s="1"/>
  <c r="E98"/>
  <c r="G98" s="1"/>
  <c r="K12" i="45" s="1"/>
  <c r="K26" s="1"/>
  <c r="E97" i="9"/>
  <c r="G97" s="1"/>
  <c r="E96"/>
  <c r="G96" s="1"/>
  <c r="K9" i="45" s="1"/>
  <c r="E95" i="9"/>
  <c r="G95" s="1"/>
  <c r="K8" i="45" s="1"/>
  <c r="K28" s="1"/>
  <c r="E94" i="9"/>
  <c r="E93"/>
  <c r="G93" s="1"/>
  <c r="G92"/>
  <c r="K7" i="45" s="1"/>
  <c r="E69" i="9"/>
  <c r="G69" s="1"/>
  <c r="E68"/>
  <c r="G68" s="1"/>
  <c r="Y11" i="44" s="1"/>
  <c r="E67" i="9"/>
  <c r="G67" s="1"/>
  <c r="X11" i="44" s="1"/>
  <c r="E66" i="9"/>
  <c r="G66" s="1"/>
  <c r="W11" i="44" s="1"/>
  <c r="E65" i="9"/>
  <c r="G65" s="1"/>
  <c r="V11" i="44" s="1"/>
  <c r="E63" i="9"/>
  <c r="G63" s="1"/>
  <c r="T11" i="44" s="1"/>
  <c r="E62" i="9"/>
  <c r="G62" s="1"/>
  <c r="S11" i="44" s="1"/>
  <c r="E58" i="9"/>
  <c r="G58" s="1"/>
  <c r="M11" i="44" s="1"/>
  <c r="E57" i="9"/>
  <c r="G57" s="1"/>
  <c r="BH11" i="1" s="1"/>
  <c r="E56" i="9"/>
  <c r="G56" s="1"/>
  <c r="BG11" i="1" s="1"/>
  <c r="E55" i="9"/>
  <c r="G55" s="1"/>
  <c r="BF11" i="1" s="1"/>
  <c r="E54" i="9"/>
  <c r="G54" s="1"/>
  <c r="BE11" i="1" s="1"/>
  <c r="E53" i="9"/>
  <c r="G53" s="1"/>
  <c r="BD11" i="1" s="1"/>
  <c r="E52" i="9"/>
  <c r="G52" s="1"/>
  <c r="E51"/>
  <c r="G51" s="1"/>
  <c r="BB11" i="1" s="1"/>
  <c r="E50" i="9"/>
  <c r="G50" s="1"/>
  <c r="E49"/>
  <c r="G49" s="1"/>
  <c r="E46"/>
  <c r="G46" s="1"/>
  <c r="E45"/>
  <c r="G45" s="1"/>
  <c r="E44"/>
  <c r="G44" s="1"/>
  <c r="E43"/>
  <c r="G43" s="1"/>
  <c r="E42"/>
  <c r="G42" s="1"/>
  <c r="AW11" i="1" s="1"/>
  <c r="E41" i="9"/>
  <c r="G41" s="1"/>
  <c r="E40"/>
  <c r="G40" s="1"/>
  <c r="E39"/>
  <c r="G39" s="1"/>
  <c r="E38"/>
  <c r="G38" s="1"/>
  <c r="E37"/>
  <c r="G37" s="1"/>
  <c r="E36"/>
  <c r="G36" s="1"/>
  <c r="E35"/>
  <c r="G35" s="1"/>
  <c r="E24"/>
  <c r="E23"/>
  <c r="E22"/>
  <c r="G22" s="1"/>
  <c r="E19"/>
  <c r="G19" s="1"/>
  <c r="E18"/>
  <c r="G15"/>
  <c r="E12"/>
  <c r="G12" s="1"/>
  <c r="E11"/>
  <c r="G11" s="1"/>
  <c r="E10"/>
  <c r="G10" s="1"/>
  <c r="E9"/>
  <c r="G9" s="1"/>
  <c r="E7"/>
  <c r="G7" s="1"/>
  <c r="E140" i="7"/>
  <c r="G140" s="1"/>
  <c r="AI9" i="44" s="1"/>
  <c r="E139" i="7"/>
  <c r="G139" s="1"/>
  <c r="AL9" i="1" s="1"/>
  <c r="E138" i="7"/>
  <c r="G138" s="1"/>
  <c r="E137"/>
  <c r="G137" s="1"/>
  <c r="AK9" i="44" s="1"/>
  <c r="E136" i="7"/>
  <c r="G136" s="1"/>
  <c r="AJ9" i="44" s="1"/>
  <c r="E135" i="7"/>
  <c r="G135" s="1"/>
  <c r="AD9" i="1" s="1"/>
  <c r="E134" i="7"/>
  <c r="G134" s="1"/>
  <c r="AC9" i="1" s="1"/>
  <c r="E133" i="7"/>
  <c r="G133" s="1"/>
  <c r="AB9" i="1" s="1"/>
  <c r="E132" i="7"/>
  <c r="G132" s="1"/>
  <c r="E131"/>
  <c r="G131" s="1"/>
  <c r="E130"/>
  <c r="G130" s="1"/>
  <c r="E127"/>
  <c r="G127" s="1"/>
  <c r="AG9" i="44" s="1"/>
  <c r="E126" i="7"/>
  <c r="G126" s="1"/>
  <c r="AF9" i="44" s="1"/>
  <c r="E125" i="7"/>
  <c r="G125" s="1"/>
  <c r="AE9" i="44" s="1"/>
  <c r="E124" i="7"/>
  <c r="G124" s="1"/>
  <c r="AD9" i="44" s="1"/>
  <c r="E123" i="7"/>
  <c r="G123" s="1"/>
  <c r="E100"/>
  <c r="G100" s="1"/>
  <c r="E99"/>
  <c r="G99" s="1"/>
  <c r="E98"/>
  <c r="G98" s="1"/>
  <c r="I12" i="45" s="1"/>
  <c r="I26" s="1"/>
  <c r="E97" i="7"/>
  <c r="G97" s="1"/>
  <c r="E96"/>
  <c r="G96" s="1"/>
  <c r="I9" i="45" s="1"/>
  <c r="E95" i="7"/>
  <c r="G95" s="1"/>
  <c r="I8" i="45" s="1"/>
  <c r="I28" s="1"/>
  <c r="E94" i="7"/>
  <c r="G93"/>
  <c r="E92"/>
  <c r="G92" s="1"/>
  <c r="I7" i="45" s="1"/>
  <c r="E69" i="7"/>
  <c r="E68"/>
  <c r="E67"/>
  <c r="E66"/>
  <c r="E65"/>
  <c r="E64"/>
  <c r="E63"/>
  <c r="E62"/>
  <c r="G58"/>
  <c r="M9" i="44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/>
  <c r="E49"/>
  <c r="G49" s="1"/>
  <c r="BA9" i="1" s="1"/>
  <c r="E46" i="7"/>
  <c r="G46" s="1"/>
  <c r="E45"/>
  <c r="G45" s="1"/>
  <c r="E44"/>
  <c r="G44" s="1"/>
  <c r="E43"/>
  <c r="G43" s="1"/>
  <c r="E41"/>
  <c r="G41" s="1"/>
  <c r="E40"/>
  <c r="G40" s="1"/>
  <c r="E39"/>
  <c r="G39" s="1"/>
  <c r="E38"/>
  <c r="G38" s="1"/>
  <c r="E37"/>
  <c r="G37" s="1"/>
  <c r="E36"/>
  <c r="G36" s="1"/>
  <c r="E35"/>
  <c r="G35" s="1"/>
  <c r="G22"/>
  <c r="E19"/>
  <c r="G19" s="1"/>
  <c r="E18"/>
  <c r="E15"/>
  <c r="G15" s="1"/>
  <c r="E12"/>
  <c r="G12" s="1"/>
  <c r="E11"/>
  <c r="G11" s="1"/>
  <c r="E10"/>
  <c r="G10" s="1"/>
  <c r="E9"/>
  <c r="G9" s="1"/>
  <c r="E15" i="33"/>
  <c r="G15" s="1"/>
  <c r="E131"/>
  <c r="G131" s="1"/>
  <c r="E132"/>
  <c r="G132" s="1"/>
  <c r="AA8" i="1" s="1"/>
  <c r="E133" i="33"/>
  <c r="G133" s="1"/>
  <c r="AB8" i="1" s="1"/>
  <c r="E134" i="33"/>
  <c r="G134" s="1"/>
  <c r="E135"/>
  <c r="G135" s="1"/>
  <c r="AD8" i="1" s="1"/>
  <c r="E136" i="33"/>
  <c r="G136" s="1"/>
  <c r="AJ8" i="44" s="1"/>
  <c r="E137" i="33"/>
  <c r="G137" s="1"/>
  <c r="E138"/>
  <c r="G138" s="1"/>
  <c r="E139"/>
  <c r="G139" s="1"/>
  <c r="E140"/>
  <c r="G140" s="1"/>
  <c r="E130"/>
  <c r="G130" s="1"/>
  <c r="E124"/>
  <c r="G124" s="1"/>
  <c r="AD8" i="44" s="1"/>
  <c r="E125" i="33"/>
  <c r="G125" s="1"/>
  <c r="AE8" i="44" s="1"/>
  <c r="E126" i="33"/>
  <c r="G126" s="1"/>
  <c r="AF8" i="44" s="1"/>
  <c r="E127" i="33"/>
  <c r="G127" s="1"/>
  <c r="AG8" i="44" s="1"/>
  <c r="E123" i="33"/>
  <c r="G123" s="1"/>
  <c r="G96"/>
  <c r="E97"/>
  <c r="G97" s="1"/>
  <c r="E98"/>
  <c r="G98" s="1"/>
  <c r="H12" i="45" s="1"/>
  <c r="H26" s="1"/>
  <c r="E99" i="33"/>
  <c r="G99" s="1"/>
  <c r="G100"/>
  <c r="E95"/>
  <c r="G95" s="1"/>
  <c r="H8" i="45" s="1"/>
  <c r="H28" s="1"/>
  <c r="E93" i="33"/>
  <c r="G93" s="1"/>
  <c r="E92"/>
  <c r="G92" s="1"/>
  <c r="H7" i="45" s="1"/>
  <c r="E63" i="33"/>
  <c r="E64"/>
  <c r="E65"/>
  <c r="E66"/>
  <c r="E67"/>
  <c r="E68"/>
  <c r="E69"/>
  <c r="E62"/>
  <c r="E50"/>
  <c r="G50" s="1"/>
  <c r="E51"/>
  <c r="G51" s="1"/>
  <c r="BB8" i="1" s="1"/>
  <c r="E52" i="33"/>
  <c r="G52" s="1"/>
  <c r="BC8" i="1" s="1"/>
  <c r="E53" i="33"/>
  <c r="G53" s="1"/>
  <c r="BD8" i="1" s="1"/>
  <c r="E54" i="33"/>
  <c r="G54" s="1"/>
  <c r="BE8" i="1" s="1"/>
  <c r="E55" i="33"/>
  <c r="G55" s="1"/>
  <c r="BF8" i="1" s="1"/>
  <c r="E56" i="33"/>
  <c r="G56" s="1"/>
  <c r="BG8" i="1" s="1"/>
  <c r="E57" i="33"/>
  <c r="G57" s="1"/>
  <c r="BH8" i="1" s="1"/>
  <c r="E58" i="33"/>
  <c r="G58" s="1"/>
  <c r="M8" i="44" s="1"/>
  <c r="E49" i="33"/>
  <c r="G49" s="1"/>
  <c r="BA8" i="1" s="1"/>
  <c r="E36" i="33"/>
  <c r="G36" s="1"/>
  <c r="E37"/>
  <c r="G37" s="1"/>
  <c r="E38"/>
  <c r="G38" s="1"/>
  <c r="E39"/>
  <c r="G39" s="1"/>
  <c r="E40"/>
  <c r="G40" s="1"/>
  <c r="E41"/>
  <c r="G41" s="1"/>
  <c r="E42"/>
  <c r="G42" s="1"/>
  <c r="AW8" i="1" s="1"/>
  <c r="E43" i="33"/>
  <c r="G43" s="1"/>
  <c r="E44"/>
  <c r="G44" s="1"/>
  <c r="E45"/>
  <c r="G45" s="1"/>
  <c r="E46"/>
  <c r="G46" s="1"/>
  <c r="E35"/>
  <c r="G35" s="1"/>
  <c r="G22"/>
  <c r="E19"/>
  <c r="G19" s="1"/>
  <c r="E18"/>
  <c r="E10"/>
  <c r="G10" s="1"/>
  <c r="E11"/>
  <c r="G11" s="1"/>
  <c r="E12"/>
  <c r="G12" s="1"/>
  <c r="E9"/>
  <c r="G9" s="1"/>
  <c r="E7"/>
  <c r="E131" i="5"/>
  <c r="G131" s="1"/>
  <c r="E132"/>
  <c r="G132" s="1"/>
  <c r="E133"/>
  <c r="G133" s="1"/>
  <c r="G134"/>
  <c r="AC7" i="1" s="1"/>
  <c r="E135" i="5"/>
  <c r="G135" s="1"/>
  <c r="E136"/>
  <c r="G136" s="1"/>
  <c r="AJ7" i="44" s="1"/>
  <c r="E137" i="5"/>
  <c r="G137" s="1"/>
  <c r="AK7" i="44" s="1"/>
  <c r="E138" i="5"/>
  <c r="G138" s="1"/>
  <c r="E139"/>
  <c r="G139" s="1"/>
  <c r="E140"/>
  <c r="G140" s="1"/>
  <c r="E130"/>
  <c r="G130" s="1"/>
  <c r="E124"/>
  <c r="G124" s="1"/>
  <c r="AD7" i="44" s="1"/>
  <c r="E125" i="5"/>
  <c r="G125" s="1"/>
  <c r="AE7" i="44" s="1"/>
  <c r="E126" i="5"/>
  <c r="G126" s="1"/>
  <c r="AF7" i="44" s="1"/>
  <c r="E127" i="5"/>
  <c r="G127" s="1"/>
  <c r="AG7" i="44" s="1"/>
  <c r="E123" i="5"/>
  <c r="G123" s="1"/>
  <c r="E95"/>
  <c r="G95" s="1"/>
  <c r="G8" i="45" s="1"/>
  <c r="G28" s="1"/>
  <c r="E96" i="5"/>
  <c r="G96" s="1"/>
  <c r="E97"/>
  <c r="G97" s="1"/>
  <c r="E98"/>
  <c r="G98" s="1"/>
  <c r="G12" i="45" s="1"/>
  <c r="G26" s="1"/>
  <c r="E99" i="5"/>
  <c r="G99" s="1"/>
  <c r="E100"/>
  <c r="G100" s="1"/>
  <c r="E93"/>
  <c r="G93" s="1"/>
  <c r="E92"/>
  <c r="G92" s="1"/>
  <c r="G7" i="45" s="1"/>
  <c r="E63" i="5"/>
  <c r="E64"/>
  <c r="E65"/>
  <c r="E66"/>
  <c r="E67"/>
  <c r="E68"/>
  <c r="E69"/>
  <c r="E62"/>
  <c r="E50"/>
  <c r="G50" s="1"/>
  <c r="E51"/>
  <c r="G51" s="1"/>
  <c r="E52"/>
  <c r="G52" s="1"/>
  <c r="BC7" i="1" s="1"/>
  <c r="E53" i="5"/>
  <c r="G53" s="1"/>
  <c r="BD7" i="1" s="1"/>
  <c r="E54" i="5"/>
  <c r="G54" s="1"/>
  <c r="BE7" i="1" s="1"/>
  <c r="E55" i="5"/>
  <c r="G55" s="1"/>
  <c r="BF7" i="1" s="1"/>
  <c r="E56" i="5"/>
  <c r="G56" s="1"/>
  <c r="E57"/>
  <c r="G57" s="1"/>
  <c r="BH7" i="1" s="1"/>
  <c r="E58" i="5"/>
  <c r="G58" s="1"/>
  <c r="M7" i="44" s="1"/>
  <c r="E49" i="5"/>
  <c r="G49" s="1"/>
  <c r="E36"/>
  <c r="G36" s="1"/>
  <c r="E38"/>
  <c r="G38" s="1"/>
  <c r="E39"/>
  <c r="G39" s="1"/>
  <c r="E40"/>
  <c r="G40" s="1"/>
  <c r="E41"/>
  <c r="G41" s="1"/>
  <c r="E42"/>
  <c r="G42" s="1"/>
  <c r="AW7" i="1" s="1"/>
  <c r="E44" i="5"/>
  <c r="G44" s="1"/>
  <c r="E45"/>
  <c r="G45" s="1"/>
  <c r="E46"/>
  <c r="G46" s="1"/>
  <c r="E35"/>
  <c r="G35" s="1"/>
  <c r="I15" i="30"/>
  <c r="G18" i="29"/>
  <c r="G139" i="28"/>
  <c r="AL30" i="1" s="1"/>
  <c r="G18" i="28"/>
  <c r="G18" i="27"/>
  <c r="G18" i="40"/>
  <c r="AC27" i="1"/>
  <c r="AU27"/>
  <c r="G18" i="24"/>
  <c r="G18" i="23"/>
  <c r="O18" s="1"/>
  <c r="I7"/>
  <c r="G40" i="22"/>
  <c r="L40" s="1"/>
  <c r="G18"/>
  <c r="G18" i="20"/>
  <c r="I7"/>
  <c r="G40" i="19"/>
  <c r="AU21" i="1" s="1"/>
  <c r="G18" i="19"/>
  <c r="I15"/>
  <c r="I7"/>
  <c r="G18" i="18"/>
  <c r="G64" i="17"/>
  <c r="U19" i="44" s="1"/>
  <c r="G18" i="17"/>
  <c r="I15"/>
  <c r="I7"/>
  <c r="G39" i="16"/>
  <c r="G18"/>
  <c r="G18" i="15"/>
  <c r="G18" i="14"/>
  <c r="G124" i="13"/>
  <c r="G18"/>
  <c r="G18" i="12"/>
  <c r="G18" i="11"/>
  <c r="G18" i="9"/>
  <c r="G18" i="33"/>
  <c r="E140" i="3"/>
  <c r="G140" s="1"/>
  <c r="E139"/>
  <c r="G139" s="1"/>
  <c r="E138"/>
  <c r="G138" s="1"/>
  <c r="E137"/>
  <c r="G137" s="1"/>
  <c r="AK5" i="44" s="1"/>
  <c r="E136" i="3"/>
  <c r="G136" s="1"/>
  <c r="AJ5" i="44" s="1"/>
  <c r="E135" i="3"/>
  <c r="G135" s="1"/>
  <c r="AD5" i="1" s="1"/>
  <c r="E134" i="3"/>
  <c r="G134" s="1"/>
  <c r="E133"/>
  <c r="G133" s="1"/>
  <c r="AB5" i="1" s="1"/>
  <c r="E132" i="3"/>
  <c r="G132" s="1"/>
  <c r="E131"/>
  <c r="G131" s="1"/>
  <c r="E130"/>
  <c r="G130" s="1"/>
  <c r="E127"/>
  <c r="G127" s="1"/>
  <c r="AG5" i="44" s="1"/>
  <c r="E126" i="3"/>
  <c r="G126" s="1"/>
  <c r="AF5" i="44" s="1"/>
  <c r="E125" i="3"/>
  <c r="G125" s="1"/>
  <c r="AE5" i="44" s="1"/>
  <c r="E124" i="3"/>
  <c r="G124" s="1"/>
  <c r="AD5" i="44" s="1"/>
  <c r="E123" i="3"/>
  <c r="G123" s="1"/>
  <c r="E100"/>
  <c r="G100" s="1"/>
  <c r="E98"/>
  <c r="G98" s="1"/>
  <c r="E12" i="45" s="1"/>
  <c r="E26" s="1"/>
  <c r="E97" i="3"/>
  <c r="G97" s="1"/>
  <c r="E96"/>
  <c r="G96" s="1"/>
  <c r="E95"/>
  <c r="G95" s="1"/>
  <c r="E8" i="45" s="1"/>
  <c r="E28" s="1"/>
  <c r="E93" i="3"/>
  <c r="G93" s="1"/>
  <c r="E92"/>
  <c r="G92" s="1"/>
  <c r="E7" i="45" s="1"/>
  <c r="E69" i="3"/>
  <c r="E68"/>
  <c r="E67"/>
  <c r="E66"/>
  <c r="E65"/>
  <c r="E64"/>
  <c r="E63"/>
  <c r="E62"/>
  <c r="G62" s="1"/>
  <c r="S5" i="44" s="1"/>
  <c r="G18" i="3"/>
  <c r="G92" i="2"/>
  <c r="G95"/>
  <c r="G96"/>
  <c r="G97"/>
  <c r="G100"/>
  <c r="G135"/>
  <c r="G127"/>
  <c r="G126"/>
  <c r="G125"/>
  <c r="BD23" i="1"/>
  <c r="G22" i="2"/>
  <c r="G18"/>
  <c r="F32" i="1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G140" i="2"/>
  <c r="AI4" i="44" s="1"/>
  <c r="G138" i="2"/>
  <c r="G137"/>
  <c r="G136"/>
  <c r="AJ4" i="44" s="1"/>
  <c r="AB4" i="1"/>
  <c r="G132" i="2"/>
  <c r="G131"/>
  <c r="G130"/>
  <c r="G69"/>
  <c r="G68"/>
  <c r="G67"/>
  <c r="G64"/>
  <c r="G63"/>
  <c r="G62"/>
  <c r="G57"/>
  <c r="G56"/>
  <c r="G53"/>
  <c r="G52"/>
  <c r="G51"/>
  <c r="G50"/>
  <c r="G49"/>
  <c r="G46"/>
  <c r="G45"/>
  <c r="G44"/>
  <c r="G43"/>
  <c r="G41"/>
  <c r="G40"/>
  <c r="G39"/>
  <c r="G38"/>
  <c r="G37"/>
  <c r="G36"/>
  <c r="H23"/>
  <c r="G12"/>
  <c r="G11"/>
  <c r="G10"/>
  <c r="H9"/>
  <c r="I111" i="41"/>
  <c r="H24" i="3"/>
  <c r="J24" s="1"/>
  <c r="T25" i="1"/>
  <c r="T22"/>
  <c r="T11"/>
  <c r="T7"/>
  <c r="T9"/>
  <c r="T12"/>
  <c r="T13"/>
  <c r="T14"/>
  <c r="T21"/>
  <c r="T15"/>
  <c r="T16"/>
  <c r="T18"/>
  <c r="T20"/>
  <c r="T24"/>
  <c r="T31"/>
  <c r="T27"/>
  <c r="T19"/>
  <c r="T10"/>
  <c r="T8"/>
  <c r="T17"/>
  <c r="T26"/>
  <c r="T28"/>
  <c r="T29"/>
  <c r="T30"/>
  <c r="T32"/>
  <c r="T23"/>
  <c r="T6"/>
  <c r="T5"/>
  <c r="F18" i="35"/>
  <c r="D18"/>
  <c r="F17"/>
  <c r="D17"/>
  <c r="F16"/>
  <c r="D16"/>
  <c r="F15"/>
  <c r="D15"/>
  <c r="F14"/>
  <c r="D14"/>
  <c r="F13"/>
  <c r="D13"/>
  <c r="F12"/>
  <c r="D12"/>
  <c r="F11"/>
  <c r="D11"/>
  <c r="F10"/>
  <c r="D10"/>
  <c r="F9"/>
  <c r="D9"/>
  <c r="F8"/>
  <c r="D8"/>
  <c r="F7"/>
  <c r="D7"/>
  <c r="F6"/>
  <c r="D6"/>
  <c r="F5"/>
  <c r="D5"/>
  <c r="F4"/>
  <c r="D4"/>
  <c r="L12"/>
  <c r="J12"/>
  <c r="L4"/>
  <c r="J4"/>
  <c r="AN36" i="1"/>
  <c r="C36"/>
  <c r="B36"/>
  <c r="J13" i="35"/>
  <c r="L13"/>
  <c r="H8"/>
  <c r="J8"/>
  <c r="M8"/>
  <c r="I8"/>
  <c r="L8"/>
  <c r="L7"/>
  <c r="J7"/>
  <c r="J9"/>
  <c r="L9"/>
  <c r="L5"/>
  <c r="J6"/>
  <c r="J10"/>
  <c r="J11"/>
  <c r="J5"/>
  <c r="L6"/>
  <c r="E8"/>
  <c r="L10"/>
  <c r="L11"/>
  <c r="L14"/>
  <c r="L15"/>
  <c r="L16"/>
  <c r="J18"/>
  <c r="J14"/>
  <c r="J15"/>
  <c r="J17"/>
  <c r="E3" i="41"/>
  <c r="F3"/>
  <c r="G3"/>
  <c r="H3"/>
  <c r="G63" i="3" l="1"/>
  <c r="T5" i="44" s="1"/>
  <c r="E165" i="3"/>
  <c r="G165" s="1"/>
  <c r="G62" i="5"/>
  <c r="S7" i="44" s="1"/>
  <c r="E164" i="5"/>
  <c r="G164" s="1"/>
  <c r="G66"/>
  <c r="W7" i="44" s="1"/>
  <c r="E168" i="5"/>
  <c r="G168" s="1"/>
  <c r="G68" i="33"/>
  <c r="Y8" i="44" s="1"/>
  <c r="E170" i="33"/>
  <c r="G170" s="1"/>
  <c r="G64"/>
  <c r="U8" i="44" s="1"/>
  <c r="E166" i="33"/>
  <c r="G166" s="1"/>
  <c r="G62" i="7"/>
  <c r="S9" i="44" s="1"/>
  <c r="E164" i="7"/>
  <c r="G164" s="1"/>
  <c r="G66"/>
  <c r="W9" i="44" s="1"/>
  <c r="E168" i="7"/>
  <c r="G168" s="1"/>
  <c r="AJ19" i="44"/>
  <c r="G136" i="17"/>
  <c r="G65" i="4"/>
  <c r="V6" i="44" s="1"/>
  <c r="E167" i="4"/>
  <c r="G167" s="1"/>
  <c r="E170" i="12"/>
  <c r="G170" s="1"/>
  <c r="E165"/>
  <c r="G165" s="1"/>
  <c r="G67" i="3"/>
  <c r="X5" i="44" s="1"/>
  <c r="E169" i="3"/>
  <c r="G169" s="1"/>
  <c r="G66"/>
  <c r="W5" i="44" s="1"/>
  <c r="E168" i="3"/>
  <c r="G168" s="1"/>
  <c r="G67" i="5"/>
  <c r="X7" i="44" s="1"/>
  <c r="E169" i="5"/>
  <c r="G169" s="1"/>
  <c r="G63"/>
  <c r="T7" i="44" s="1"/>
  <c r="E165" i="5"/>
  <c r="G165" s="1"/>
  <c r="G69" i="33"/>
  <c r="Z8" i="44" s="1"/>
  <c r="E171" i="33"/>
  <c r="G171" s="1"/>
  <c r="G65"/>
  <c r="V8" i="44" s="1"/>
  <c r="E167" i="33"/>
  <c r="G167" s="1"/>
  <c r="G65" i="7"/>
  <c r="V9" i="44" s="1"/>
  <c r="E167" i="7"/>
  <c r="G167" s="1"/>
  <c r="G69"/>
  <c r="E171"/>
  <c r="G171" s="1"/>
  <c r="G62" i="4"/>
  <c r="S6" i="44" s="1"/>
  <c r="E164" i="4"/>
  <c r="G164" s="1"/>
  <c r="E166" i="12"/>
  <c r="G166" s="1"/>
  <c r="F118" i="5"/>
  <c r="G65" i="3"/>
  <c r="V5" i="44" s="1"/>
  <c r="E167" i="3"/>
  <c r="G167" s="1"/>
  <c r="G69"/>
  <c r="E171"/>
  <c r="G171" s="1"/>
  <c r="G68" i="5"/>
  <c r="Y7" i="44" s="1"/>
  <c r="E170" i="5"/>
  <c r="G170" s="1"/>
  <c r="G64"/>
  <c r="U7" i="44" s="1"/>
  <c r="E166" i="5"/>
  <c r="G166" s="1"/>
  <c r="G62" i="33"/>
  <c r="S8" i="44" s="1"/>
  <c r="E164" i="33"/>
  <c r="G164" s="1"/>
  <c r="G66"/>
  <c r="W8" i="44" s="1"/>
  <c r="E168" i="33"/>
  <c r="G168" s="1"/>
  <c r="G64" i="7"/>
  <c r="U9" i="44" s="1"/>
  <c r="E166" i="7"/>
  <c r="G166" s="1"/>
  <c r="G68"/>
  <c r="Y9" i="44" s="1"/>
  <c r="E170" i="7"/>
  <c r="G170" s="1"/>
  <c r="G67" i="4"/>
  <c r="X6" i="44" s="1"/>
  <c r="E169" i="4"/>
  <c r="G169" s="1"/>
  <c r="G63"/>
  <c r="T6" i="44" s="1"/>
  <c r="E165" i="4"/>
  <c r="G165" s="1"/>
  <c r="E167" i="12"/>
  <c r="G167" s="1"/>
  <c r="G64" i="3"/>
  <c r="U5" i="44" s="1"/>
  <c r="E166" i="3"/>
  <c r="G166" s="1"/>
  <c r="G68"/>
  <c r="Y5" i="44" s="1"/>
  <c r="E170" i="3"/>
  <c r="G170" s="1"/>
  <c r="G69" i="5"/>
  <c r="Z7" i="44" s="1"/>
  <c r="E171" i="5"/>
  <c r="G171" s="1"/>
  <c r="G65"/>
  <c r="V7" i="44" s="1"/>
  <c r="E167" i="5"/>
  <c r="G167" s="1"/>
  <c r="G67" i="33"/>
  <c r="X8" i="44" s="1"/>
  <c r="E169" i="33"/>
  <c r="G169" s="1"/>
  <c r="G63"/>
  <c r="T8" i="44" s="1"/>
  <c r="E165" i="33"/>
  <c r="G165" s="1"/>
  <c r="G63" i="7"/>
  <c r="T9" i="44" s="1"/>
  <c r="E165" i="7"/>
  <c r="G165" s="1"/>
  <c r="G67"/>
  <c r="X9" i="44" s="1"/>
  <c r="E169" i="7"/>
  <c r="G169" s="1"/>
  <c r="G68" i="4"/>
  <c r="Y6" i="44" s="1"/>
  <c r="E170" i="4"/>
  <c r="G170" s="1"/>
  <c r="G64"/>
  <c r="U6" i="44" s="1"/>
  <c r="E166" i="4"/>
  <c r="G166" s="1"/>
  <c r="E169" i="12"/>
  <c r="G169" s="1"/>
  <c r="E168"/>
  <c r="G168" s="1"/>
  <c r="G128" i="30"/>
  <c r="G128" i="22"/>
  <c r="G118" i="33"/>
  <c r="F118"/>
  <c r="D35" i="1"/>
  <c r="F35"/>
  <c r="F38" s="1"/>
  <c r="AH29" i="45"/>
  <c r="AH30" s="1"/>
  <c r="G133" i="43"/>
  <c r="AB33" i="1" s="1"/>
  <c r="G119" i="40"/>
  <c r="B27" i="44"/>
  <c r="C27"/>
  <c r="B26"/>
  <c r="C26"/>
  <c r="G7" i="33"/>
  <c r="A7" i="46" s="1"/>
  <c r="G15" i="13"/>
  <c r="E28" s="1"/>
  <c r="G28" s="1"/>
  <c r="AW33" i="1"/>
  <c r="AT33"/>
  <c r="AQ33"/>
  <c r="M29" i="44"/>
  <c r="M30"/>
  <c r="AW30" i="1"/>
  <c r="M28" i="44"/>
  <c r="O100" i="23"/>
  <c r="G119"/>
  <c r="M16" i="44"/>
  <c r="M17"/>
  <c r="BC17" i="1"/>
  <c r="BC16"/>
  <c r="AW17"/>
  <c r="AW16"/>
  <c r="M5" i="44"/>
  <c r="AW5" i="1"/>
  <c r="E31" i="2"/>
  <c r="N31" i="29" s="1"/>
  <c r="A4" i="46"/>
  <c r="AM5" i="1"/>
  <c r="AI5" i="44"/>
  <c r="AM8" i="1"/>
  <c r="AI8" i="44"/>
  <c r="AM11" i="1"/>
  <c r="AO11" s="1"/>
  <c r="AI11" i="44"/>
  <c r="G63" i="15"/>
  <c r="T17" i="44" s="1"/>
  <c r="E165" i="15"/>
  <c r="G165" s="1"/>
  <c r="AM18" i="1"/>
  <c r="AO18" s="1"/>
  <c r="AI18" i="44"/>
  <c r="AM19" i="1"/>
  <c r="AO19" s="1"/>
  <c r="AI19" i="44"/>
  <c r="G49" i="18"/>
  <c r="BA20" i="1" s="1"/>
  <c r="K49" i="18"/>
  <c r="G62"/>
  <c r="S20" i="44" s="1"/>
  <c r="E164" i="18"/>
  <c r="G164" s="1"/>
  <c r="T28" i="45"/>
  <c r="G135" i="18"/>
  <c r="AD20" i="1" s="1"/>
  <c r="G139" i="18"/>
  <c r="AL20" i="1" s="1"/>
  <c r="E166" i="19"/>
  <c r="G166"/>
  <c r="G64"/>
  <c r="U21" i="44" s="1"/>
  <c r="E170" i="19"/>
  <c r="G170"/>
  <c r="G133"/>
  <c r="AB21" i="1" s="1"/>
  <c r="G42" i="20"/>
  <c r="AW22" i="1" s="1"/>
  <c r="E169" i="20"/>
  <c r="G169"/>
  <c r="BB23" i="1"/>
  <c r="L51" i="21"/>
  <c r="G62"/>
  <c r="S23" i="44" s="1"/>
  <c r="E164" i="21"/>
  <c r="G164" s="1"/>
  <c r="BG25" i="1"/>
  <c r="O56" i="23"/>
  <c r="G63"/>
  <c r="E165"/>
  <c r="G165" s="1"/>
  <c r="AF25" i="44"/>
  <c r="O126" i="23"/>
  <c r="BB24" i="1"/>
  <c r="L51" i="22"/>
  <c r="G63"/>
  <c r="T24" i="44" s="1"/>
  <c r="E165" i="22"/>
  <c r="G165" s="1"/>
  <c r="L165" s="1"/>
  <c r="G63" i="11"/>
  <c r="T13" i="44" s="1"/>
  <c r="G62" i="11"/>
  <c r="S13" i="44" s="1"/>
  <c r="AM17" i="1"/>
  <c r="AO17" s="1"/>
  <c r="AI17" i="44"/>
  <c r="G42" i="18"/>
  <c r="AW20" i="1" s="1"/>
  <c r="G62" i="19"/>
  <c r="E164"/>
  <c r="G164" s="1"/>
  <c r="E169"/>
  <c r="G169"/>
  <c r="G67"/>
  <c r="X21" i="44" s="1"/>
  <c r="G132" i="19"/>
  <c r="AA21" i="1" s="1"/>
  <c r="G140" i="19"/>
  <c r="AI21" i="44" s="1"/>
  <c r="E168" i="20"/>
  <c r="G168"/>
  <c r="BE23" i="1"/>
  <c r="L54" i="21"/>
  <c r="BB25" i="1"/>
  <c r="O51" i="23"/>
  <c r="BF25" i="1"/>
  <c r="O55" i="23"/>
  <c r="G62"/>
  <c r="E164"/>
  <c r="G164" s="1"/>
  <c r="AD25" i="1"/>
  <c r="O135" i="23"/>
  <c r="AL25" i="1"/>
  <c r="O139" i="23"/>
  <c r="G62" i="30"/>
  <c r="S32" i="44" s="1"/>
  <c r="E164" i="30"/>
  <c r="G164" s="1"/>
  <c r="G172" s="1"/>
  <c r="BG24" i="1"/>
  <c r="L56" i="22"/>
  <c r="G62" i="43"/>
  <c r="S33" i="44" s="1"/>
  <c r="E164" i="43"/>
  <c r="G164" s="1"/>
  <c r="AM7" i="1"/>
  <c r="AI7" i="44"/>
  <c r="AM16" i="1"/>
  <c r="AO16" s="1"/>
  <c r="AI16" i="44"/>
  <c r="G133" i="18"/>
  <c r="AB20" i="1" s="1"/>
  <c r="G49" i="19"/>
  <c r="BA21" i="1" s="1"/>
  <c r="K49" i="19"/>
  <c r="E168"/>
  <c r="G66"/>
  <c r="G168"/>
  <c r="G135"/>
  <c r="AD21" i="1" s="1"/>
  <c r="G139" i="19"/>
  <c r="AL21" i="1" s="1"/>
  <c r="E167" i="20"/>
  <c r="G167"/>
  <c r="E171"/>
  <c r="G171"/>
  <c r="BH23" i="1"/>
  <c r="L57" i="21"/>
  <c r="BE25" i="1"/>
  <c r="O54" i="23"/>
  <c r="AD25" i="44"/>
  <c r="O124" i="23"/>
  <c r="AC25" i="1"/>
  <c r="O134" i="23"/>
  <c r="AM13" i="1"/>
  <c r="AO13" s="1"/>
  <c r="AI13" i="44"/>
  <c r="G63" i="14"/>
  <c r="T16" i="44" s="1"/>
  <c r="E165" i="14"/>
  <c r="G165" s="1"/>
  <c r="G63" i="19"/>
  <c r="E165"/>
  <c r="BH24" i="1"/>
  <c r="L57" i="22"/>
  <c r="G42" i="4"/>
  <c r="AW6" i="1" s="1"/>
  <c r="G63" i="43"/>
  <c r="T33" i="44" s="1"/>
  <c r="E165" i="43"/>
  <c r="G165" s="1"/>
  <c r="AL33" i="1"/>
  <c r="G128" i="33"/>
  <c r="G62" i="13"/>
  <c r="S15" i="44" s="1"/>
  <c r="E164" i="13"/>
  <c r="G164" s="1"/>
  <c r="G62" i="14"/>
  <c r="S16" i="44" s="1"/>
  <c r="E164" i="14"/>
  <c r="G164" s="1"/>
  <c r="G63" i="18"/>
  <c r="T20" i="44" s="1"/>
  <c r="E165" i="18"/>
  <c r="G165" s="1"/>
  <c r="G132"/>
  <c r="AA20" i="1" s="1"/>
  <c r="E167" i="19"/>
  <c r="G65"/>
  <c r="V21" i="44" s="1"/>
  <c r="G167" i="19"/>
  <c r="G134"/>
  <c r="AC21" i="1" s="1"/>
  <c r="G138" i="19"/>
  <c r="AL21" i="44" s="1"/>
  <c r="E166" i="20"/>
  <c r="G166"/>
  <c r="E170"/>
  <c r="G170"/>
  <c r="BG23" i="1"/>
  <c r="L56" i="21"/>
  <c r="G63"/>
  <c r="T23" i="44" s="1"/>
  <c r="E165" i="21"/>
  <c r="G165" s="1"/>
  <c r="L165" s="1"/>
  <c r="G62" i="22"/>
  <c r="S24" i="44" s="1"/>
  <c r="E164" i="22"/>
  <c r="G164" s="1"/>
  <c r="L164" s="1"/>
  <c r="BH25" i="1"/>
  <c r="O57" i="23"/>
  <c r="AG25" i="44"/>
  <c r="O127" i="23"/>
  <c r="P136" i="12"/>
  <c r="AJ14" i="44"/>
  <c r="G63" i="13"/>
  <c r="T15" i="44" s="1"/>
  <c r="E165" i="13"/>
  <c r="G165" s="1"/>
  <c r="AM33" i="1"/>
  <c r="AI33" i="44"/>
  <c r="AI32"/>
  <c r="BA19" i="1"/>
  <c r="AM31"/>
  <c r="AO31" s="1"/>
  <c r="AI31" i="44"/>
  <c r="AM30" i="1"/>
  <c r="AO30" s="1"/>
  <c r="AI30" i="44"/>
  <c r="AM29" i="1"/>
  <c r="AO29" s="1"/>
  <c r="AI29" i="44"/>
  <c r="N7" i="40"/>
  <c r="N11" s="1"/>
  <c r="AM26" i="1"/>
  <c r="AI26" i="44"/>
  <c r="AM25" i="1"/>
  <c r="AI25" i="44"/>
  <c r="O140" i="23"/>
  <c r="AL25" i="44"/>
  <c r="O138" i="23"/>
  <c r="AJ25" i="44"/>
  <c r="O136" i="23"/>
  <c r="AB25" i="1"/>
  <c r="O133" i="23"/>
  <c r="AA25" i="1"/>
  <c r="O132" i="23"/>
  <c r="AE25" i="44"/>
  <c r="O125" i="23"/>
  <c r="Y12" i="45"/>
  <c r="Y26" s="1"/>
  <c r="O98" i="23"/>
  <c r="Y8" i="45"/>
  <c r="Y28" s="1"/>
  <c r="O95" i="23"/>
  <c r="Y7" i="45"/>
  <c r="O92" i="23"/>
  <c r="N25" i="44"/>
  <c r="O83" i="23"/>
  <c r="L25" i="44"/>
  <c r="O82" i="23"/>
  <c r="K25" i="44"/>
  <c r="O81" i="23"/>
  <c r="J25" i="44"/>
  <c r="O80" i="23"/>
  <c r="I25" i="44"/>
  <c r="O79" i="23"/>
  <c r="H25" i="44"/>
  <c r="O78" i="23"/>
  <c r="G25" i="44"/>
  <c r="O77" i="23"/>
  <c r="F25" i="44"/>
  <c r="O76" i="23"/>
  <c r="E25" i="44"/>
  <c r="O75" i="23"/>
  <c r="D25" i="44"/>
  <c r="O74" i="23"/>
  <c r="C25" i="44"/>
  <c r="O73" i="23"/>
  <c r="B25" i="44"/>
  <c r="O72" i="23"/>
  <c r="M25" i="44"/>
  <c r="O58" i="23"/>
  <c r="BD25" i="1"/>
  <c r="O53" i="23"/>
  <c r="BC25" i="1"/>
  <c r="O52" i="23"/>
  <c r="BA25" i="1"/>
  <c r="O49" i="23"/>
  <c r="AM24" i="1"/>
  <c r="AI24" i="44"/>
  <c r="M24"/>
  <c r="L58" i="22"/>
  <c r="BD24" i="1"/>
  <c r="L53" i="22"/>
  <c r="BC24" i="1"/>
  <c r="L52" i="22"/>
  <c r="BA24" i="1"/>
  <c r="L49" i="22"/>
  <c r="L50"/>
  <c r="L46"/>
  <c r="L43"/>
  <c r="AW24" i="1"/>
  <c r="L42" i="22"/>
  <c r="L39"/>
  <c r="L38"/>
  <c r="L37"/>
  <c r="L36"/>
  <c r="L35"/>
  <c r="L7"/>
  <c r="AM23" i="1"/>
  <c r="AO23" s="1"/>
  <c r="AI23" i="44"/>
  <c r="AM22" i="1"/>
  <c r="AO22" s="1"/>
  <c r="AI22" i="44"/>
  <c r="M22"/>
  <c r="M23"/>
  <c r="L58" i="21"/>
  <c r="BC23" i="1"/>
  <c r="L52" i="21"/>
  <c r="L50"/>
  <c r="BA23" i="1"/>
  <c r="L49" i="21"/>
  <c r="L43"/>
  <c r="AW23" i="1"/>
  <c r="L42" i="21"/>
  <c r="L41"/>
  <c r="L39"/>
  <c r="L38"/>
  <c r="L37"/>
  <c r="L36"/>
  <c r="L35"/>
  <c r="L7"/>
  <c r="G69" i="19"/>
  <c r="Z21" i="44" s="1"/>
  <c r="E171" i="19"/>
  <c r="M15" i="44"/>
  <c r="G69" i="12"/>
  <c r="P69" s="1"/>
  <c r="G171"/>
  <c r="G69" i="11"/>
  <c r="Z13" i="44" s="1"/>
  <c r="G68" i="11"/>
  <c r="Y13" i="44" s="1"/>
  <c r="G67" i="11"/>
  <c r="X13" i="44" s="1"/>
  <c r="G66" i="11"/>
  <c r="W13" i="44" s="1"/>
  <c r="G65" i="11"/>
  <c r="V13" i="44" s="1"/>
  <c r="G64" i="11"/>
  <c r="U13" i="44" s="1"/>
  <c r="F118" i="11"/>
  <c r="G20" i="3"/>
  <c r="H11" i="2"/>
  <c r="J11" s="1"/>
  <c r="H45"/>
  <c r="BH4" i="1"/>
  <c r="H131" i="2"/>
  <c r="H135"/>
  <c r="H135" i="3" s="1"/>
  <c r="H39" i="2"/>
  <c r="AY4" i="1"/>
  <c r="BI4"/>
  <c r="BG4"/>
  <c r="U4" i="44"/>
  <c r="H130" i="2"/>
  <c r="H130" i="3" s="1"/>
  <c r="AG4" i="44"/>
  <c r="V4"/>
  <c r="J104" i="10"/>
  <c r="H40" i="2"/>
  <c r="J40" s="1"/>
  <c r="X4" i="44"/>
  <c r="J117" i="10"/>
  <c r="F119" i="2"/>
  <c r="F118"/>
  <c r="N30" i="31"/>
  <c r="H38" i="2"/>
  <c r="J38" s="1"/>
  <c r="AX4" i="1"/>
  <c r="H49" i="2"/>
  <c r="H49" i="3" s="1"/>
  <c r="H53" i="2"/>
  <c r="T4" i="44"/>
  <c r="AM4" i="1"/>
  <c r="H58" i="2"/>
  <c r="H58" i="3" s="1"/>
  <c r="M4" i="44"/>
  <c r="AZ4" i="1"/>
  <c r="H51" i="2"/>
  <c r="J51" s="1"/>
  <c r="W4" i="44"/>
  <c r="H12" i="2"/>
  <c r="H12" i="3" s="1"/>
  <c r="J12" s="1"/>
  <c r="H52" i="2"/>
  <c r="H52" i="3" s="1"/>
  <c r="S4" i="44"/>
  <c r="Y4"/>
  <c r="AA4" i="1"/>
  <c r="AL4" i="44"/>
  <c r="J120" i="10"/>
  <c r="J115"/>
  <c r="B4" i="44"/>
  <c r="G69" i="43"/>
  <c r="Z33" i="44" s="1"/>
  <c r="E171" i="43"/>
  <c r="G171" s="1"/>
  <c r="G68"/>
  <c r="Y33" i="44" s="1"/>
  <c r="E170" i="43"/>
  <c r="G170" s="1"/>
  <c r="G67"/>
  <c r="X33" i="44" s="1"/>
  <c r="E169" i="43"/>
  <c r="G169" s="1"/>
  <c r="G66"/>
  <c r="W33" i="44" s="1"/>
  <c r="E168" i="43"/>
  <c r="G168" s="1"/>
  <c r="G65"/>
  <c r="V33" i="44" s="1"/>
  <c r="E167" i="43"/>
  <c r="G167" s="1"/>
  <c r="G64"/>
  <c r="U33" i="44" s="1"/>
  <c r="E166" i="43"/>
  <c r="G166" s="1"/>
  <c r="M33" i="44"/>
  <c r="M32"/>
  <c r="G62" i="29"/>
  <c r="S31" i="44" s="1"/>
  <c r="E164" i="29"/>
  <c r="G164" s="1"/>
  <c r="G172" s="1"/>
  <c r="BD31" i="1"/>
  <c r="AW29"/>
  <c r="N42" i="27"/>
  <c r="G62" i="28"/>
  <c r="S30" i="44" s="1"/>
  <c r="E164" i="28"/>
  <c r="G164" s="1"/>
  <c r="G66"/>
  <c r="W30" i="44" s="1"/>
  <c r="E168" i="28"/>
  <c r="G168" s="1"/>
  <c r="G65"/>
  <c r="V30" i="44" s="1"/>
  <c r="E167" i="28"/>
  <c r="G167" s="1"/>
  <c r="G69"/>
  <c r="Z30" i="44" s="1"/>
  <c r="E171" i="28"/>
  <c r="G171" s="1"/>
  <c r="G64"/>
  <c r="U30" i="44" s="1"/>
  <c r="E166" i="28"/>
  <c r="G166" s="1"/>
  <c r="G68"/>
  <c r="Y30" i="44" s="1"/>
  <c r="E170" i="28"/>
  <c r="G170" s="1"/>
  <c r="G63"/>
  <c r="T30" i="44" s="1"/>
  <c r="E165" i="28"/>
  <c r="G165" s="1"/>
  <c r="G67"/>
  <c r="X30" i="44" s="1"/>
  <c r="E169" i="28"/>
  <c r="G169" s="1"/>
  <c r="G63" i="27"/>
  <c r="T29" i="44" s="1"/>
  <c r="E165" i="27"/>
  <c r="G165" s="1"/>
  <c r="G67"/>
  <c r="X29" i="44" s="1"/>
  <c r="E169" i="27"/>
  <c r="G169" s="1"/>
  <c r="G62"/>
  <c r="S29" i="44" s="1"/>
  <c r="E164" i="27"/>
  <c r="G164" s="1"/>
  <c r="G66"/>
  <c r="W29" i="44" s="1"/>
  <c r="E168" i="27"/>
  <c r="G168" s="1"/>
  <c r="G65"/>
  <c r="V29" i="44" s="1"/>
  <c r="E167" i="27"/>
  <c r="G167" s="1"/>
  <c r="G69"/>
  <c r="Z29" i="44" s="1"/>
  <c r="E171" i="27"/>
  <c r="G171" s="1"/>
  <c r="G64"/>
  <c r="U29" i="44" s="1"/>
  <c r="E166" i="27"/>
  <c r="G166" s="1"/>
  <c r="G68"/>
  <c r="Y29" i="44" s="1"/>
  <c r="E170" i="27"/>
  <c r="G170" s="1"/>
  <c r="G63" i="40"/>
  <c r="T28" i="44" s="1"/>
  <c r="E165" i="40"/>
  <c r="G165" s="1"/>
  <c r="G67"/>
  <c r="X28" i="44" s="1"/>
  <c r="E169" i="40"/>
  <c r="G169" s="1"/>
  <c r="G62"/>
  <c r="S28" i="44" s="1"/>
  <c r="E164" i="40"/>
  <c r="G164" s="1"/>
  <c r="G66"/>
  <c r="W28" i="44" s="1"/>
  <c r="E168" i="40"/>
  <c r="G168" s="1"/>
  <c r="G65"/>
  <c r="V28" i="44" s="1"/>
  <c r="E167" i="40"/>
  <c r="G167" s="1"/>
  <c r="G69"/>
  <c r="Z28" i="44" s="1"/>
  <c r="E171" i="40"/>
  <c r="G171" s="1"/>
  <c r="I28" i="1"/>
  <c r="E26" i="47" s="1"/>
  <c r="G64" i="40"/>
  <c r="U28" i="44" s="1"/>
  <c r="E166" i="40"/>
  <c r="G166" s="1"/>
  <c r="G68"/>
  <c r="Y28" i="44" s="1"/>
  <c r="E170" i="40"/>
  <c r="G170" s="1"/>
  <c r="G65" i="24"/>
  <c r="V26" i="44" s="1"/>
  <c r="E167" i="24"/>
  <c r="G167" s="1"/>
  <c r="G69"/>
  <c r="Z26" i="44" s="1"/>
  <c r="E171" i="24"/>
  <c r="G171" s="1"/>
  <c r="G64"/>
  <c r="U26" i="44" s="1"/>
  <c r="E166" i="24"/>
  <c r="G166" s="1"/>
  <c r="G68"/>
  <c r="Y26" i="44" s="1"/>
  <c r="E170" i="24"/>
  <c r="G170" s="1"/>
  <c r="G63"/>
  <c r="T26" i="44" s="1"/>
  <c r="E165" i="24"/>
  <c r="G165" s="1"/>
  <c r="G67"/>
  <c r="X26" i="44" s="1"/>
  <c r="E169" i="24"/>
  <c r="G169" s="1"/>
  <c r="G62"/>
  <c r="S26" i="44" s="1"/>
  <c r="E164" i="24"/>
  <c r="G164" s="1"/>
  <c r="G66"/>
  <c r="W26" i="44" s="1"/>
  <c r="E168" i="24"/>
  <c r="G168" s="1"/>
  <c r="G69" i="23"/>
  <c r="E171"/>
  <c r="G171" s="1"/>
  <c r="G68"/>
  <c r="E170"/>
  <c r="G170" s="1"/>
  <c r="G67"/>
  <c r="E169"/>
  <c r="G169" s="1"/>
  <c r="G66"/>
  <c r="E168"/>
  <c r="G168" s="1"/>
  <c r="G65"/>
  <c r="E167"/>
  <c r="G167" s="1"/>
  <c r="G64"/>
  <c r="E166"/>
  <c r="G166" s="1"/>
  <c r="G69" i="22"/>
  <c r="Z24" i="44" s="1"/>
  <c r="E171" i="22"/>
  <c r="G171" s="1"/>
  <c r="L171" s="1"/>
  <c r="G68"/>
  <c r="Y24" i="44" s="1"/>
  <c r="E170" i="22"/>
  <c r="G170" s="1"/>
  <c r="L170" s="1"/>
  <c r="G67"/>
  <c r="X24" i="44" s="1"/>
  <c r="E169" i="22"/>
  <c r="G169" s="1"/>
  <c r="L169" s="1"/>
  <c r="G66"/>
  <c r="W24" i="44" s="1"/>
  <c r="E168" i="22"/>
  <c r="G168" s="1"/>
  <c r="L168" s="1"/>
  <c r="G65"/>
  <c r="V24" i="44" s="1"/>
  <c r="E167" i="22"/>
  <c r="G167" s="1"/>
  <c r="L167" s="1"/>
  <c r="G64"/>
  <c r="U24" i="44" s="1"/>
  <c r="E166" i="22"/>
  <c r="G166" s="1"/>
  <c r="L166" s="1"/>
  <c r="G69" i="21"/>
  <c r="Z23" i="44" s="1"/>
  <c r="E171" i="21"/>
  <c r="G171" s="1"/>
  <c r="L171" s="1"/>
  <c r="G68"/>
  <c r="Y23" i="44" s="1"/>
  <c r="E170" i="21"/>
  <c r="G170" s="1"/>
  <c r="L170" s="1"/>
  <c r="G67"/>
  <c r="X23" i="44" s="1"/>
  <c r="E169" i="21"/>
  <c r="G169" s="1"/>
  <c r="L169" s="1"/>
  <c r="G66"/>
  <c r="W23" i="44" s="1"/>
  <c r="E168" i="21"/>
  <c r="G168" s="1"/>
  <c r="L168" s="1"/>
  <c r="G65"/>
  <c r="V23" i="44" s="1"/>
  <c r="E167" i="21"/>
  <c r="G167" s="1"/>
  <c r="L167" s="1"/>
  <c r="G64"/>
  <c r="U23" i="44" s="1"/>
  <c r="E166" i="21"/>
  <c r="G166" s="1"/>
  <c r="L166" s="1"/>
  <c r="G63" i="20"/>
  <c r="T22" i="44" s="1"/>
  <c r="G165" i="20"/>
  <c r="S21" i="44"/>
  <c r="G165" i="19"/>
  <c r="T21" i="44"/>
  <c r="G69" i="20"/>
  <c r="Z22" i="44" s="1"/>
  <c r="G68" i="20"/>
  <c r="Y22" i="44" s="1"/>
  <c r="G67" i="20"/>
  <c r="X22" i="44" s="1"/>
  <c r="G66" i="20"/>
  <c r="W22" i="44" s="1"/>
  <c r="G65" i="20"/>
  <c r="V22" i="44" s="1"/>
  <c r="G64" i="20"/>
  <c r="U22" i="44" s="1"/>
  <c r="G68" i="19"/>
  <c r="Y21" i="44" s="1"/>
  <c r="W21"/>
  <c r="G69" i="18"/>
  <c r="Z20" i="44" s="1"/>
  <c r="E171" i="18"/>
  <c r="G171" s="1"/>
  <c r="G68"/>
  <c r="Y20" i="44" s="1"/>
  <c r="E170" i="18"/>
  <c r="G170" s="1"/>
  <c r="G67"/>
  <c r="X20" i="44" s="1"/>
  <c r="E169" i="18"/>
  <c r="G169" s="1"/>
  <c r="G66"/>
  <c r="W20" i="44" s="1"/>
  <c r="E168" i="18"/>
  <c r="G168" s="1"/>
  <c r="G65"/>
  <c r="V20" i="44" s="1"/>
  <c r="E167" i="18"/>
  <c r="G167" s="1"/>
  <c r="G64"/>
  <c r="U20" i="44" s="1"/>
  <c r="E166" i="18"/>
  <c r="G166" s="1"/>
  <c r="G69" i="15"/>
  <c r="I17" i="35" s="1"/>
  <c r="E171" i="15"/>
  <c r="G171" s="1"/>
  <c r="G68"/>
  <c r="Y17" i="44" s="1"/>
  <c r="E170" i="15"/>
  <c r="G170" s="1"/>
  <c r="G67"/>
  <c r="X17" i="44" s="1"/>
  <c r="E169" i="15"/>
  <c r="G169" s="1"/>
  <c r="G66"/>
  <c r="W17" i="44" s="1"/>
  <c r="E168" i="15"/>
  <c r="G168" s="1"/>
  <c r="G65"/>
  <c r="V17" i="44" s="1"/>
  <c r="E167" i="15"/>
  <c r="G167" s="1"/>
  <c r="G64"/>
  <c r="U17" i="44" s="1"/>
  <c r="E166" i="15"/>
  <c r="G166" s="1"/>
  <c r="G62"/>
  <c r="S17" i="44" s="1"/>
  <c r="E164" i="15"/>
  <c r="G164" s="1"/>
  <c r="G69" i="14"/>
  <c r="I16" i="35" s="1"/>
  <c r="E171" i="14"/>
  <c r="G171" s="1"/>
  <c r="G68"/>
  <c r="Y16" i="44" s="1"/>
  <c r="E170" i="14"/>
  <c r="G170" s="1"/>
  <c r="G67"/>
  <c r="X16" i="44" s="1"/>
  <c r="E169" i="14"/>
  <c r="G169" s="1"/>
  <c r="G66"/>
  <c r="W16" i="44" s="1"/>
  <c r="E168" i="14"/>
  <c r="G168" s="1"/>
  <c r="G65"/>
  <c r="V16" i="44" s="1"/>
  <c r="E167" i="14"/>
  <c r="G167" s="1"/>
  <c r="G64"/>
  <c r="U16" i="44" s="1"/>
  <c r="E166" i="14"/>
  <c r="G166" s="1"/>
  <c r="G69" i="13"/>
  <c r="E171"/>
  <c r="G171" s="1"/>
  <c r="G68"/>
  <c r="Y15" i="44" s="1"/>
  <c r="E170" i="13"/>
  <c r="G170" s="1"/>
  <c r="G67"/>
  <c r="E169"/>
  <c r="G169" s="1"/>
  <c r="G66"/>
  <c r="W15" i="44" s="1"/>
  <c r="E168" i="13"/>
  <c r="G168" s="1"/>
  <c r="G65"/>
  <c r="V15" i="44" s="1"/>
  <c r="E167" i="13"/>
  <c r="G167" s="1"/>
  <c r="G64"/>
  <c r="U15" i="44" s="1"/>
  <c r="E166" i="13"/>
  <c r="G166" s="1"/>
  <c r="F119" i="11"/>
  <c r="M8" i="45"/>
  <c r="M28" s="1"/>
  <c r="F196" i="11"/>
  <c r="M7" i="45"/>
  <c r="F194" i="11"/>
  <c r="F119" i="3"/>
  <c r="BH32" i="1"/>
  <c r="U32" i="44"/>
  <c r="Y32"/>
  <c r="AF12" i="45"/>
  <c r="AF26" s="1"/>
  <c r="AD32" i="44"/>
  <c r="AC32" i="1"/>
  <c r="AL32" i="44"/>
  <c r="J110" i="10"/>
  <c r="J105"/>
  <c r="J32" i="44"/>
  <c r="F32"/>
  <c r="J107" i="10"/>
  <c r="AW32" i="1"/>
  <c r="BG32"/>
  <c r="X32" i="44"/>
  <c r="AF7" i="45"/>
  <c r="AF10"/>
  <c r="AG32" i="44"/>
  <c r="AB32" i="1"/>
  <c r="AK32" i="44"/>
  <c r="J111" i="10"/>
  <c r="J106"/>
  <c r="K32" i="44"/>
  <c r="G32"/>
  <c r="C32"/>
  <c r="D5" i="45"/>
  <c r="H10" i="2"/>
  <c r="J10" s="1"/>
  <c r="G13"/>
  <c r="I13" s="1"/>
  <c r="BB32" i="1"/>
  <c r="W32" i="44"/>
  <c r="B32"/>
  <c r="AF9" i="45"/>
  <c r="AF32" i="44"/>
  <c r="L32"/>
  <c r="H32"/>
  <c r="D32"/>
  <c r="J116" i="10"/>
  <c r="BH36" i="1"/>
  <c r="V32" i="44"/>
  <c r="Z32"/>
  <c r="AE32"/>
  <c r="AL32" i="1"/>
  <c r="J109" i="10"/>
  <c r="N32" i="44"/>
  <c r="I32"/>
  <c r="E32"/>
  <c r="J112" i="10"/>
  <c r="G128" i="2"/>
  <c r="H128" s="1"/>
  <c r="J128" s="1"/>
  <c r="P15" i="12"/>
  <c r="P44"/>
  <c r="J15" i="44"/>
  <c r="F15"/>
  <c r="AE15"/>
  <c r="AU24" i="1"/>
  <c r="BA15"/>
  <c r="BD15"/>
  <c r="BH15"/>
  <c r="O8" i="45"/>
  <c r="O28" s="1"/>
  <c r="P41" i="12"/>
  <c r="P37"/>
  <c r="K15" i="44"/>
  <c r="G15"/>
  <c r="C15"/>
  <c r="AF15"/>
  <c r="BE15" i="1"/>
  <c r="P40" i="12"/>
  <c r="P19"/>
  <c r="G118" i="13"/>
  <c r="O7" i="45"/>
  <c r="O12"/>
  <c r="O26" s="1"/>
  <c r="E28" i="5"/>
  <c r="G28" s="1"/>
  <c r="E30"/>
  <c r="G30" s="1"/>
  <c r="P38" i="12"/>
  <c r="L15" i="44"/>
  <c r="H15"/>
  <c r="D15"/>
  <c r="AG15"/>
  <c r="F119" i="9"/>
  <c r="P18" i="12"/>
  <c r="P36"/>
  <c r="AW15" i="1"/>
  <c r="AD15" i="44"/>
  <c r="G20" i="7"/>
  <c r="P9" i="1" s="1"/>
  <c r="I7" i="47" s="1"/>
  <c r="O7" i="9"/>
  <c r="P35" i="12"/>
  <c r="E28" i="20"/>
  <c r="G28" s="1"/>
  <c r="AA15" i="1"/>
  <c r="N8" i="5"/>
  <c r="P43" i="12"/>
  <c r="P39"/>
  <c r="N15" i="44"/>
  <c r="I15"/>
  <c r="E15"/>
  <c r="N7" i="14"/>
  <c r="AB15" i="1"/>
  <c r="AL15"/>
  <c r="AD15"/>
  <c r="AM15"/>
  <c r="AC15"/>
  <c r="BF15"/>
  <c r="C14" i="44"/>
  <c r="P73" i="12"/>
  <c r="K14" i="44"/>
  <c r="P81" i="12"/>
  <c r="AM14" i="1"/>
  <c r="P140" i="12"/>
  <c r="N12" i="45"/>
  <c r="N26" s="1"/>
  <c r="P98" i="12"/>
  <c r="AD14" i="44"/>
  <c r="P124" i="12"/>
  <c r="F14" i="44"/>
  <c r="P76" i="12"/>
  <c r="J14" i="44"/>
  <c r="P80" i="12"/>
  <c r="AB14" i="1"/>
  <c r="P133" i="12"/>
  <c r="P99"/>
  <c r="N7" i="45"/>
  <c r="P92" i="12"/>
  <c r="AG14" i="44"/>
  <c r="P127" i="12"/>
  <c r="E14" i="44"/>
  <c r="P75" i="12"/>
  <c r="I14" i="44"/>
  <c r="P79" i="12"/>
  <c r="N14" i="44"/>
  <c r="P83" i="12"/>
  <c r="AW14" i="1"/>
  <c r="P42" i="12"/>
  <c r="AC14" i="1"/>
  <c r="P134" i="12"/>
  <c r="AE14" i="44"/>
  <c r="P125" i="12"/>
  <c r="G14" i="44"/>
  <c r="P77" i="12"/>
  <c r="P100"/>
  <c r="AF14" i="44"/>
  <c r="P126" i="12"/>
  <c r="AA14" i="1"/>
  <c r="P132" i="12"/>
  <c r="D14" i="44"/>
  <c r="P74" i="12"/>
  <c r="H14" i="44"/>
  <c r="P78" i="12"/>
  <c r="L14" i="44"/>
  <c r="P82" i="12"/>
  <c r="AL14" i="1"/>
  <c r="P139" i="12"/>
  <c r="AD14" i="1"/>
  <c r="P135" i="12"/>
  <c r="F119" i="33"/>
  <c r="P10" i="12"/>
  <c r="G13"/>
  <c r="I13" s="1"/>
  <c r="P7"/>
  <c r="N8" i="45"/>
  <c r="N28" s="1"/>
  <c r="F119" i="12"/>
  <c r="G47" i="5"/>
  <c r="E31" i="18"/>
  <c r="T5" i="45"/>
  <c r="E30" i="19"/>
  <c r="G30" s="1"/>
  <c r="U6" i="45"/>
  <c r="Y21" i="1"/>
  <c r="U10" i="45"/>
  <c r="AI21" i="1"/>
  <c r="AK21" i="44"/>
  <c r="AH22" i="1"/>
  <c r="E28" i="22"/>
  <c r="G28" s="1"/>
  <c r="AH24" i="1"/>
  <c r="AI25"/>
  <c r="AK25" i="44"/>
  <c r="E28" i="24"/>
  <c r="G28" s="1"/>
  <c r="AI26" i="1"/>
  <c r="AK26" i="44"/>
  <c r="AF8" i="45"/>
  <c r="AF28" s="1"/>
  <c r="F119" i="30"/>
  <c r="AH13" i="1"/>
  <c r="X15"/>
  <c r="O9" i="45"/>
  <c r="AI15" i="1"/>
  <c r="AK15" i="44"/>
  <c r="E31" i="5"/>
  <c r="G31" s="1"/>
  <c r="G5" i="45"/>
  <c r="F118" i="4"/>
  <c r="E30" i="8"/>
  <c r="G30" s="1"/>
  <c r="J6" i="45"/>
  <c r="Y13" i="1"/>
  <c r="M10" i="45"/>
  <c r="M29" s="1"/>
  <c r="M30" s="1"/>
  <c r="G67" i="12"/>
  <c r="AH14" i="1"/>
  <c r="AJ12"/>
  <c r="AL12" i="44"/>
  <c r="G15" i="3"/>
  <c r="E28" i="43"/>
  <c r="G28" s="1"/>
  <c r="AS33" i="1"/>
  <c r="E31" i="11"/>
  <c r="M5" i="45"/>
  <c r="E31" i="28"/>
  <c r="G31" s="1"/>
  <c r="AD5" i="45"/>
  <c r="Y8" i="1"/>
  <c r="H10" i="45"/>
  <c r="AJ17" i="1"/>
  <c r="AL17" i="44"/>
  <c r="AH19" i="1"/>
  <c r="E30" i="18"/>
  <c r="G30" s="1"/>
  <c r="T6" i="45"/>
  <c r="BF21" i="1"/>
  <c r="L5" i="45"/>
  <c r="E31" i="19"/>
  <c r="G31" s="1"/>
  <c r="U5" i="45"/>
  <c r="E31" i="22"/>
  <c r="G31" s="1"/>
  <c r="X5" i="45"/>
  <c r="E31" i="27"/>
  <c r="G31" s="1"/>
  <c r="AC5" i="45"/>
  <c r="AI8" i="1"/>
  <c r="AK8" i="44"/>
  <c r="E28" i="33"/>
  <c r="G28" s="1"/>
  <c r="AJ9" i="1"/>
  <c r="AL9" i="44"/>
  <c r="AM9" s="1"/>
  <c r="E28" i="9"/>
  <c r="G28" s="1"/>
  <c r="Y11" i="1"/>
  <c r="K10" i="45"/>
  <c r="K24" s="1"/>
  <c r="AJ11" i="1"/>
  <c r="AL11" i="44"/>
  <c r="E30" i="12"/>
  <c r="G30" s="1"/>
  <c r="P30" s="1"/>
  <c r="N6" i="45"/>
  <c r="E30" i="14"/>
  <c r="G30" s="1"/>
  <c r="P6" i="45"/>
  <c r="Y17" i="1"/>
  <c r="Q10" i="45"/>
  <c r="AI17" i="1"/>
  <c r="AK17" i="44"/>
  <c r="E28" i="16"/>
  <c r="G28" s="1"/>
  <c r="AJ20" i="1"/>
  <c r="AL20" i="44"/>
  <c r="X21" i="1"/>
  <c r="U9" i="45"/>
  <c r="AH21" i="1"/>
  <c r="AI23"/>
  <c r="AK23" i="44"/>
  <c r="AM23" s="1"/>
  <c r="AH25" i="1"/>
  <c r="AH26"/>
  <c r="E28" i="40"/>
  <c r="G28" s="1"/>
  <c r="AH31" i="1"/>
  <c r="G118" i="30"/>
  <c r="F118"/>
  <c r="AI13" i="1"/>
  <c r="AK13" i="44"/>
  <c r="Y15" i="1"/>
  <c r="O10" i="45"/>
  <c r="AJ15" i="1"/>
  <c r="AL15" i="44"/>
  <c r="E28" i="4"/>
  <c r="G28" s="1"/>
  <c r="AH10" i="1"/>
  <c r="X10"/>
  <c r="J9" i="45"/>
  <c r="E28" i="8"/>
  <c r="G28" s="1"/>
  <c r="G68" i="12"/>
  <c r="G63"/>
  <c r="T14" i="44" s="1"/>
  <c r="AI14" i="1"/>
  <c r="AK14" i="44"/>
  <c r="E31" i="3"/>
  <c r="E31" i="14"/>
  <c r="G31" s="1"/>
  <c r="P5" i="45"/>
  <c r="E28" i="11"/>
  <c r="G62" i="12"/>
  <c r="S14" i="44" s="1"/>
  <c r="E30" i="15"/>
  <c r="G30" s="1"/>
  <c r="Q6" i="45"/>
  <c r="E31" i="9"/>
  <c r="G31" s="1"/>
  <c r="K5" i="45"/>
  <c r="E31" i="13"/>
  <c r="G31" s="1"/>
  <c r="O5" i="45"/>
  <c r="E31" i="16"/>
  <c r="G31" s="1"/>
  <c r="R5" i="45"/>
  <c r="E31" i="17"/>
  <c r="G31" s="1"/>
  <c r="S5" i="45"/>
  <c r="E31" i="20"/>
  <c r="G31" s="1"/>
  <c r="V5" i="45"/>
  <c r="E31" i="40"/>
  <c r="G31" s="1"/>
  <c r="AB5" i="45"/>
  <c r="E31" i="29"/>
  <c r="G31" s="1"/>
  <c r="AE5" i="45"/>
  <c r="E30" i="33"/>
  <c r="G30" s="1"/>
  <c r="H6" i="45"/>
  <c r="AJ8" i="1"/>
  <c r="AL8" i="44"/>
  <c r="E30" i="7"/>
  <c r="G30" s="1"/>
  <c r="I6" i="45"/>
  <c r="Y9" i="1"/>
  <c r="I10" i="45"/>
  <c r="I29" s="1"/>
  <c r="I30" s="1"/>
  <c r="AI11" i="1"/>
  <c r="AK11" i="44"/>
  <c r="Y12" i="1"/>
  <c r="L10" i="45"/>
  <c r="E30" i="11"/>
  <c r="M6" i="45"/>
  <c r="Y14" i="1"/>
  <c r="N10" i="45"/>
  <c r="AI16" i="1"/>
  <c r="AK16" i="44"/>
  <c r="E28" i="15"/>
  <c r="G28" s="1"/>
  <c r="X17" i="1"/>
  <c r="Q9" i="45"/>
  <c r="AH17" i="1"/>
  <c r="AW18"/>
  <c r="Y18"/>
  <c r="R10" i="45"/>
  <c r="AJ18" i="1"/>
  <c r="AL18" i="44"/>
  <c r="E28" i="17"/>
  <c r="G28" s="1"/>
  <c r="AJ19" i="1"/>
  <c r="AL19" i="44"/>
  <c r="E28" i="18"/>
  <c r="G28" s="1"/>
  <c r="Y20" i="1"/>
  <c r="T10" i="45"/>
  <c r="AI20" i="1"/>
  <c r="AK20" i="44"/>
  <c r="E28" i="19"/>
  <c r="G28" s="1"/>
  <c r="AJ22" i="1"/>
  <c r="AL22" i="44"/>
  <c r="E28" i="21"/>
  <c r="G28" s="1"/>
  <c r="AH23" i="1"/>
  <c r="E28" i="23"/>
  <c r="G28" s="1"/>
  <c r="O28" s="1"/>
  <c r="AH30" i="1"/>
  <c r="AJ13"/>
  <c r="AL13" i="44"/>
  <c r="E30" i="17"/>
  <c r="G30" s="1"/>
  <c r="S6" i="45"/>
  <c r="BF24" i="1"/>
  <c r="Y10"/>
  <c r="J10" i="45"/>
  <c r="G64" i="12"/>
  <c r="AJ14" i="1"/>
  <c r="AL14" i="44"/>
  <c r="AH12" i="1"/>
  <c r="E30" i="3"/>
  <c r="G30" s="1"/>
  <c r="G118" i="43"/>
  <c r="H118" s="1"/>
  <c r="F118"/>
  <c r="AY33" i="1"/>
  <c r="AU33"/>
  <c r="AZ33"/>
  <c r="X19"/>
  <c r="S9" i="45"/>
  <c r="E31" i="33"/>
  <c r="G31" s="1"/>
  <c r="H5" i="45"/>
  <c r="E28" i="7"/>
  <c r="G28" s="1"/>
  <c r="E30" i="13"/>
  <c r="G30" s="1"/>
  <c r="O6" i="45"/>
  <c r="AH18" i="1"/>
  <c r="E31" i="7"/>
  <c r="G31" s="1"/>
  <c r="I5" i="45"/>
  <c r="E31" i="12"/>
  <c r="G31" s="1"/>
  <c r="P31" s="1"/>
  <c r="N5" i="45"/>
  <c r="E31" i="15"/>
  <c r="G31" s="1"/>
  <c r="Q5" i="45"/>
  <c r="X8" i="1"/>
  <c r="H9" i="45"/>
  <c r="E30" i="9"/>
  <c r="G30" s="1"/>
  <c r="K6" i="45"/>
  <c r="AH11" i="1"/>
  <c r="L6" i="45"/>
  <c r="X12" i="1"/>
  <c r="L9" i="45"/>
  <c r="E28" i="12"/>
  <c r="G28" s="1"/>
  <c r="P28" s="1"/>
  <c r="X14" i="1"/>
  <c r="N9" i="45"/>
  <c r="E28" i="14"/>
  <c r="G28" s="1"/>
  <c r="X16" i="1"/>
  <c r="P9" i="45"/>
  <c r="AH16" i="1"/>
  <c r="E30" i="16"/>
  <c r="G30" s="1"/>
  <c r="R6" i="45"/>
  <c r="X18" i="1"/>
  <c r="R9" i="45"/>
  <c r="AI18" i="1"/>
  <c r="AK18" i="44"/>
  <c r="AI19" i="1"/>
  <c r="AK19" i="44"/>
  <c r="X20" i="1"/>
  <c r="T9" i="45"/>
  <c r="AH20" i="1"/>
  <c r="AI22"/>
  <c r="AK22" i="44"/>
  <c r="AI24" i="1"/>
  <c r="AK24" i="44"/>
  <c r="AJ26" i="1"/>
  <c r="AL26" i="44"/>
  <c r="AH29" i="1"/>
  <c r="BF6"/>
  <c r="AJ10"/>
  <c r="AL10" i="44"/>
  <c r="E31" i="8"/>
  <c r="G31" s="1"/>
  <c r="J5" i="45"/>
  <c r="G65" i="12"/>
  <c r="AI12" i="1"/>
  <c r="AK12" i="44"/>
  <c r="G66" i="12"/>
  <c r="AV33" i="1"/>
  <c r="AR33"/>
  <c r="G100" i="43"/>
  <c r="G119" s="1"/>
  <c r="H119" s="1"/>
  <c r="BG6" i="1"/>
  <c r="BG7"/>
  <c r="AJ7"/>
  <c r="AL7" i="44"/>
  <c r="AM7" s="1"/>
  <c r="X7" i="1"/>
  <c r="G9" i="45"/>
  <c r="G6"/>
  <c r="Y7" i="1"/>
  <c r="G10" i="45"/>
  <c r="E31" i="4"/>
  <c r="G31" s="1"/>
  <c r="E30"/>
  <c r="G30" s="1"/>
  <c r="F6" i="45"/>
  <c r="X6" i="1"/>
  <c r="F9" i="45"/>
  <c r="AJ6" i="1"/>
  <c r="AL6" i="44"/>
  <c r="AM6" s="1"/>
  <c r="Y6" i="1"/>
  <c r="F10" i="45"/>
  <c r="H22" i="2"/>
  <c r="J22" s="1"/>
  <c r="G24"/>
  <c r="H120" i="43"/>
  <c r="D7" i="45"/>
  <c r="H137" i="2"/>
  <c r="AK4" i="44"/>
  <c r="D8" i="45"/>
  <c r="D28" s="1"/>
  <c r="AJ5" i="1"/>
  <c r="AL5" i="44"/>
  <c r="AM5" s="1"/>
  <c r="AH4" i="1"/>
  <c r="D9" i="45"/>
  <c r="H104" i="30"/>
  <c r="J104" s="1"/>
  <c r="D12" i="45"/>
  <c r="D26" s="1"/>
  <c r="AX33" i="1"/>
  <c r="AH5" i="45"/>
  <c r="AM34" i="44"/>
  <c r="E31" i="43"/>
  <c r="G31" s="1"/>
  <c r="AG5" i="45"/>
  <c r="AH6"/>
  <c r="AH24"/>
  <c r="AG8"/>
  <c r="AG28" s="1"/>
  <c r="AH33" i="1"/>
  <c r="E31" i="30"/>
  <c r="G31" s="1"/>
  <c r="AF5" i="45"/>
  <c r="AJ33" i="1"/>
  <c r="AL33" i="44"/>
  <c r="AI33" i="1"/>
  <c r="AK33" i="44"/>
  <c r="Y33" i="1"/>
  <c r="AG10" i="45"/>
  <c r="X33" i="1"/>
  <c r="AG9" i="45"/>
  <c r="E30" i="43"/>
  <c r="G30" s="1"/>
  <c r="AG6" i="45"/>
  <c r="E30" i="30"/>
  <c r="G30" s="1"/>
  <c r="AF6" i="45"/>
  <c r="E28" i="30"/>
  <c r="G28" s="1"/>
  <c r="AJ31" i="1"/>
  <c r="AL31" i="44"/>
  <c r="Y31" i="1"/>
  <c r="AE10" i="45"/>
  <c r="X31" i="1"/>
  <c r="AE9" i="45"/>
  <c r="BF31" i="1"/>
  <c r="E30" i="29"/>
  <c r="G30" s="1"/>
  <c r="AE6" i="45"/>
  <c r="E28" i="29"/>
  <c r="G28" s="1"/>
  <c r="AJ30" i="1"/>
  <c r="AL30" i="44"/>
  <c r="AI30" i="1"/>
  <c r="AK30" i="44"/>
  <c r="Y30" i="1"/>
  <c r="AD10" i="45"/>
  <c r="AD24" s="1"/>
  <c r="BF30" i="1"/>
  <c r="BF29"/>
  <c r="BC30"/>
  <c r="E30" i="28"/>
  <c r="G30" s="1"/>
  <c r="AD6" i="45"/>
  <c r="E28" i="27"/>
  <c r="G28" s="1"/>
  <c r="E28" i="28"/>
  <c r="G28" s="1"/>
  <c r="AJ29" i="1"/>
  <c r="AL29" i="44"/>
  <c r="AI29" i="1"/>
  <c r="AK29" i="44"/>
  <c r="Y29" i="1"/>
  <c r="AC10" i="45"/>
  <c r="X29" i="1"/>
  <c r="AC9" i="45"/>
  <c r="E30" i="27"/>
  <c r="G30" s="1"/>
  <c r="AC6" i="45"/>
  <c r="AM28" i="44"/>
  <c r="Y28" i="1"/>
  <c r="AB10" i="45"/>
  <c r="X28" i="1"/>
  <c r="AB9" i="45"/>
  <c r="E30" i="40"/>
  <c r="G30" s="1"/>
  <c r="AB6" i="45"/>
  <c r="E31" i="23"/>
  <c r="G31" s="1"/>
  <c r="O31" s="1"/>
  <c r="Y5" i="45"/>
  <c r="E31" i="24"/>
  <c r="G31" s="1"/>
  <c r="Z5" i="45"/>
  <c r="Y26" i="1"/>
  <c r="Z10" i="45"/>
  <c r="X26" i="1"/>
  <c r="Z9" i="45"/>
  <c r="E30" i="24"/>
  <c r="G30" s="1"/>
  <c r="Z6" i="45"/>
  <c r="Y25" i="1"/>
  <c r="Y10" i="45"/>
  <c r="X25" i="1"/>
  <c r="Y9" i="45"/>
  <c r="E30" i="23"/>
  <c r="G30" s="1"/>
  <c r="O30" s="1"/>
  <c r="Y6" i="45"/>
  <c r="Y24" i="1"/>
  <c r="X10" i="45"/>
  <c r="X24" i="1"/>
  <c r="X9" i="45"/>
  <c r="E30" i="22"/>
  <c r="G30" s="1"/>
  <c r="X6" i="45"/>
  <c r="Y23" i="1"/>
  <c r="W10" i="45"/>
  <c r="Y22" i="1"/>
  <c r="V10" i="45"/>
  <c r="X23" i="1"/>
  <c r="W9" i="45"/>
  <c r="X22" i="1"/>
  <c r="V9" i="45"/>
  <c r="E30" i="21"/>
  <c r="G30" s="1"/>
  <c r="W6" i="45"/>
  <c r="E30" i="20"/>
  <c r="G30" s="1"/>
  <c r="V6" i="45"/>
  <c r="H97" i="2"/>
  <c r="J97" s="1"/>
  <c r="D10" i="45"/>
  <c r="H99" i="2"/>
  <c r="H99" i="3" s="1"/>
  <c r="D6" i="45"/>
  <c r="Y5" i="1"/>
  <c r="E10" i="45"/>
  <c r="G31" i="3"/>
  <c r="E5" i="45"/>
  <c r="X5" i="1"/>
  <c r="E9" i="45"/>
  <c r="E6"/>
  <c r="H18" i="2"/>
  <c r="J18" s="1"/>
  <c r="H107" i="20"/>
  <c r="J107" s="1"/>
  <c r="H107" i="12"/>
  <c r="J107" s="1"/>
  <c r="H107" i="43"/>
  <c r="J107" i="2"/>
  <c r="H107" i="14"/>
  <c r="J107" s="1"/>
  <c r="H107" i="24"/>
  <c r="J107" s="1"/>
  <c r="H107" i="21"/>
  <c r="J107" s="1"/>
  <c r="H107" i="28"/>
  <c r="J107" s="1"/>
  <c r="H107" i="27"/>
  <c r="J107" s="1"/>
  <c r="H107" i="15"/>
  <c r="J107" s="1"/>
  <c r="J107" i="9"/>
  <c r="H107" i="19"/>
  <c r="J107" s="1"/>
  <c r="H107" i="29"/>
  <c r="J107" s="1"/>
  <c r="H107" i="40"/>
  <c r="J107" s="1"/>
  <c r="H107" i="25"/>
  <c r="J107" s="1"/>
  <c r="J107" i="33"/>
  <c r="H107" i="30"/>
  <c r="J107" s="1"/>
  <c r="J107" i="7"/>
  <c r="H107" i="23"/>
  <c r="J107" s="1"/>
  <c r="H107" i="22"/>
  <c r="J107" s="1"/>
  <c r="J107" i="8"/>
  <c r="H107" i="18"/>
  <c r="J107" s="1"/>
  <c r="J107" i="11"/>
  <c r="H107" i="17"/>
  <c r="J107" s="1"/>
  <c r="J107" i="5"/>
  <c r="J107" i="4"/>
  <c r="H107" i="13"/>
  <c r="J107" s="1"/>
  <c r="H107" i="16"/>
  <c r="J107" s="1"/>
  <c r="J107" i="3"/>
  <c r="J109" i="8"/>
  <c r="H109" i="23"/>
  <c r="J109" s="1"/>
  <c r="H109" i="13"/>
  <c r="J109" s="1"/>
  <c r="J109" i="5"/>
  <c r="H109" i="17"/>
  <c r="J109" s="1"/>
  <c r="H109" i="25"/>
  <c r="J109" s="1"/>
  <c r="H109" i="30"/>
  <c r="J109" s="1"/>
  <c r="H109" i="28"/>
  <c r="J109" s="1"/>
  <c r="H109" i="16"/>
  <c r="J109" s="1"/>
  <c r="H109" i="21"/>
  <c r="J109" s="1"/>
  <c r="J109" i="9"/>
  <c r="H109" i="15"/>
  <c r="J109" s="1"/>
  <c r="H109" i="20"/>
  <c r="J109" s="1"/>
  <c r="H109" i="24"/>
  <c r="J109" s="1"/>
  <c r="H109" i="43"/>
  <c r="H109" i="29"/>
  <c r="J109" s="1"/>
  <c r="J109" i="7"/>
  <c r="J109" i="3"/>
  <c r="H109" i="14"/>
  <c r="J109" s="1"/>
  <c r="H109" i="40"/>
  <c r="J109" s="1"/>
  <c r="H109" i="27"/>
  <c r="J109" s="1"/>
  <c r="H109" i="12"/>
  <c r="J109" s="1"/>
  <c r="H109" i="22"/>
  <c r="J109" s="1"/>
  <c r="J109" i="2"/>
  <c r="H109" i="19"/>
  <c r="J109" s="1"/>
  <c r="J109" i="4"/>
  <c r="J109" i="11"/>
  <c r="H109" i="18"/>
  <c r="J109" s="1"/>
  <c r="J109" i="33"/>
  <c r="J104" i="9"/>
  <c r="H104" i="21"/>
  <c r="J104" s="1"/>
  <c r="J104" i="11"/>
  <c r="H104" i="13"/>
  <c r="J104" s="1"/>
  <c r="H104" i="17"/>
  <c r="J104" s="1"/>
  <c r="H104" i="25"/>
  <c r="J104" s="1"/>
  <c r="J104" i="5"/>
  <c r="H104" i="19"/>
  <c r="J104" s="1"/>
  <c r="H104" i="20"/>
  <c r="J104" s="1"/>
  <c r="H104" i="16"/>
  <c r="J104" s="1"/>
  <c r="H104" i="27"/>
  <c r="J104" s="1"/>
  <c r="J104" i="2"/>
  <c r="H104" i="12"/>
  <c r="J104" s="1"/>
  <c r="H104" i="24"/>
  <c r="J104" s="1"/>
  <c r="H104" i="28"/>
  <c r="J104" s="1"/>
  <c r="H104" i="43"/>
  <c r="J104" i="4"/>
  <c r="H104" i="15"/>
  <c r="J104" s="1"/>
  <c r="H104" i="14"/>
  <c r="J104" s="1"/>
  <c r="H104" i="29"/>
  <c r="J104" s="1"/>
  <c r="J104" i="3"/>
  <c r="J104" i="7"/>
  <c r="H104" i="40"/>
  <c r="J104" s="1"/>
  <c r="J104" i="8"/>
  <c r="H104" i="18"/>
  <c r="J104" s="1"/>
  <c r="H104" i="22"/>
  <c r="J104" s="1"/>
  <c r="J104" i="33"/>
  <c r="H104" i="23"/>
  <c r="J104" s="1"/>
  <c r="H110" i="12"/>
  <c r="J110" s="1"/>
  <c r="H110" i="15"/>
  <c r="J110" s="1"/>
  <c r="H110" i="20"/>
  <c r="J110" s="1"/>
  <c r="H110" i="43"/>
  <c r="J110" i="33"/>
  <c r="H110" i="18"/>
  <c r="J110" s="1"/>
  <c r="H110" i="24"/>
  <c r="J110" s="1"/>
  <c r="H110" i="40"/>
  <c r="J110" s="1"/>
  <c r="H110" i="23"/>
  <c r="J110" s="1"/>
  <c r="J110" i="8"/>
  <c r="H110" i="29"/>
  <c r="J110" s="1"/>
  <c r="H110" i="30"/>
  <c r="J110" s="1"/>
  <c r="J110" i="11"/>
  <c r="H110" i="19"/>
  <c r="J110" s="1"/>
  <c r="H110" i="28"/>
  <c r="J110" s="1"/>
  <c r="H110" i="16"/>
  <c r="J110" s="1"/>
  <c r="H110" i="27"/>
  <c r="J110" s="1"/>
  <c r="J110" i="9"/>
  <c r="J110" i="7"/>
  <c r="H110" i="21"/>
  <c r="J110" s="1"/>
  <c r="J110" i="2"/>
  <c r="J110" i="3"/>
  <c r="J110" i="5"/>
  <c r="H110" i="13"/>
  <c r="J110" s="1"/>
  <c r="H110" i="25"/>
  <c r="J110" s="1"/>
  <c r="H110" i="22"/>
  <c r="J110" s="1"/>
  <c r="J110" i="4"/>
  <c r="H110" i="17"/>
  <c r="J110" s="1"/>
  <c r="H110" i="14"/>
  <c r="J110" s="1"/>
  <c r="H92" i="2"/>
  <c r="J115" i="7"/>
  <c r="H115" i="15"/>
  <c r="J115" s="1"/>
  <c r="H115" i="24"/>
  <c r="J115" s="1"/>
  <c r="J115" i="8"/>
  <c r="H115" i="13"/>
  <c r="J115" s="1"/>
  <c r="H115" i="17"/>
  <c r="J115" s="1"/>
  <c r="H115" i="23"/>
  <c r="J115" s="1"/>
  <c r="H115" i="25"/>
  <c r="J115" s="1"/>
  <c r="H115" i="30"/>
  <c r="J115" s="1"/>
  <c r="H115" i="29"/>
  <c r="J115" s="1"/>
  <c r="J115" i="5"/>
  <c r="H115" i="28"/>
  <c r="J115" s="1"/>
  <c r="J115" i="9"/>
  <c r="H115" i="43"/>
  <c r="H115" i="16"/>
  <c r="J115" s="1"/>
  <c r="H115" i="20"/>
  <c r="J115" s="1"/>
  <c r="H115" i="21"/>
  <c r="J115" s="1"/>
  <c r="H115" i="12"/>
  <c r="J115" s="1"/>
  <c r="H115" i="18"/>
  <c r="J115" s="1"/>
  <c r="J115" i="2"/>
  <c r="H115" i="22"/>
  <c r="J115" s="1"/>
  <c r="J115" i="3"/>
  <c r="H115" i="19"/>
  <c r="J115" s="1"/>
  <c r="H115" i="14"/>
  <c r="J115" s="1"/>
  <c r="H115" i="40"/>
  <c r="J115" s="1"/>
  <c r="J115" i="33"/>
  <c r="H115" i="27"/>
  <c r="J115" s="1"/>
  <c r="J115" i="11"/>
  <c r="J115" i="4"/>
  <c r="H111" i="19"/>
  <c r="J111" s="1"/>
  <c r="H111" i="21"/>
  <c r="J111" s="1"/>
  <c r="J111" i="7"/>
  <c r="H111" i="14"/>
  <c r="J111" s="1"/>
  <c r="H111" i="15"/>
  <c r="J111" s="1"/>
  <c r="H111" i="27"/>
  <c r="J111" s="1"/>
  <c r="H111" i="23"/>
  <c r="J111" s="1"/>
  <c r="J111" i="33"/>
  <c r="H111" i="18"/>
  <c r="J111" s="1"/>
  <c r="H111" i="40"/>
  <c r="J111" s="1"/>
  <c r="H111" i="13"/>
  <c r="J111" s="1"/>
  <c r="J111" i="5"/>
  <c r="H111" i="29"/>
  <c r="J111" s="1"/>
  <c r="H111" i="22"/>
  <c r="J111" s="1"/>
  <c r="J111" i="2"/>
  <c r="J111" i="11"/>
  <c r="H111" i="28"/>
  <c r="J111" s="1"/>
  <c r="H111" i="20"/>
  <c r="J111" s="1"/>
  <c r="H111" i="24"/>
  <c r="J111" s="1"/>
  <c r="H111" i="12"/>
  <c r="J111" s="1"/>
  <c r="J111" i="8"/>
  <c r="J111" i="3"/>
  <c r="H111" i="16"/>
  <c r="J111" s="1"/>
  <c r="H111" i="17"/>
  <c r="J111" s="1"/>
  <c r="H111" i="30"/>
  <c r="J111" s="1"/>
  <c r="H111" i="43"/>
  <c r="H111" i="25"/>
  <c r="J111" s="1"/>
  <c r="J111" i="4"/>
  <c r="J111" i="9"/>
  <c r="W4" i="1"/>
  <c r="G119" i="2"/>
  <c r="H117" i="13"/>
  <c r="J117" s="1"/>
  <c r="J117" i="5"/>
  <c r="H117" i="43"/>
  <c r="H117" i="29"/>
  <c r="J117" s="1"/>
  <c r="H117" i="12"/>
  <c r="J117" s="1"/>
  <c r="H117" i="28"/>
  <c r="J117" s="1"/>
  <c r="H117" i="16"/>
  <c r="J117" s="1"/>
  <c r="J117" i="33"/>
  <c r="J117" i="8"/>
  <c r="H117" i="15"/>
  <c r="J117" s="1"/>
  <c r="J117" i="7"/>
  <c r="H117" i="24"/>
  <c r="J117" s="1"/>
  <c r="H117" i="23"/>
  <c r="J117" s="1"/>
  <c r="H117" i="25"/>
  <c r="J117" s="1"/>
  <c r="H117" i="18"/>
  <c r="J117" s="1"/>
  <c r="H117" i="27"/>
  <c r="J117" s="1"/>
  <c r="H117" i="20"/>
  <c r="J117" s="1"/>
  <c r="J117" i="4"/>
  <c r="H117" i="14"/>
  <c r="J117" s="1"/>
  <c r="H117" i="21"/>
  <c r="J117" s="1"/>
  <c r="H117" i="30"/>
  <c r="J117" s="1"/>
  <c r="J117" i="9"/>
  <c r="H117" i="40"/>
  <c r="J117" s="1"/>
  <c r="J117" i="11"/>
  <c r="H117" i="22"/>
  <c r="J117" s="1"/>
  <c r="H117" i="19"/>
  <c r="J117" s="1"/>
  <c r="J117" i="2"/>
  <c r="J117" i="3"/>
  <c r="H117" i="17"/>
  <c r="J117" s="1"/>
  <c r="J120" i="3"/>
  <c r="X4" i="1"/>
  <c r="H118" i="25"/>
  <c r="J118" s="1"/>
  <c r="H98" i="2"/>
  <c r="H98" i="3" s="1"/>
  <c r="H119" i="25"/>
  <c r="J119" s="1"/>
  <c r="H19" i="2"/>
  <c r="J19" s="1"/>
  <c r="G118"/>
  <c r="H105" i="15"/>
  <c r="J105" s="1"/>
  <c r="H105" i="16"/>
  <c r="J105" s="1"/>
  <c r="H105" i="20"/>
  <c r="J105" s="1"/>
  <c r="H105" i="24"/>
  <c r="J105" s="1"/>
  <c r="J105" i="7"/>
  <c r="H105" i="12"/>
  <c r="J105" s="1"/>
  <c r="H105" i="23"/>
  <c r="J105" s="1"/>
  <c r="H105" i="27"/>
  <c r="J105" s="1"/>
  <c r="J105" i="8"/>
  <c r="J105" i="33"/>
  <c r="H105" i="14"/>
  <c r="J105" s="1"/>
  <c r="H105" i="19"/>
  <c r="J105" s="1"/>
  <c r="H105" i="22"/>
  <c r="J105" s="1"/>
  <c r="H105" i="30"/>
  <c r="J105" s="1"/>
  <c r="J105" i="11"/>
  <c r="H105" i="43"/>
  <c r="J105" i="2"/>
  <c r="H105" i="13"/>
  <c r="J105" s="1"/>
  <c r="H105" i="18"/>
  <c r="J105" s="1"/>
  <c r="H105" i="40"/>
  <c r="J105" s="1"/>
  <c r="J105" i="5"/>
  <c r="J105" i="3"/>
  <c r="H105" i="17"/>
  <c r="J105" s="1"/>
  <c r="J105" i="9"/>
  <c r="H105" i="29"/>
  <c r="J105" s="1"/>
  <c r="H105" i="28"/>
  <c r="J105" s="1"/>
  <c r="J105" i="4"/>
  <c r="H105" i="25"/>
  <c r="J105" s="1"/>
  <c r="H105" i="21"/>
  <c r="J105" s="1"/>
  <c r="H116" i="12"/>
  <c r="J116" s="1"/>
  <c r="H116" i="20"/>
  <c r="J116" s="1"/>
  <c r="H116" i="16"/>
  <c r="J116" s="1"/>
  <c r="H116" i="18"/>
  <c r="J116" s="1"/>
  <c r="H116" i="40"/>
  <c r="J116" s="1"/>
  <c r="H116" i="23"/>
  <c r="J116" s="1"/>
  <c r="J116" i="11"/>
  <c r="H116" i="24"/>
  <c r="J116" s="1"/>
  <c r="J116" i="8"/>
  <c r="H116" i="27"/>
  <c r="J116" s="1"/>
  <c r="H116" i="19"/>
  <c r="J116" s="1"/>
  <c r="J116" i="4"/>
  <c r="J116" i="5"/>
  <c r="H116" i="17"/>
  <c r="J116" s="1"/>
  <c r="J116" i="2"/>
  <c r="H116" i="15"/>
  <c r="J116" s="1"/>
  <c r="J116" i="9"/>
  <c r="J116" i="3"/>
  <c r="H116" i="22"/>
  <c r="J116" s="1"/>
  <c r="J116" i="7"/>
  <c r="H116" i="25"/>
  <c r="J116" s="1"/>
  <c r="J116" i="33"/>
  <c r="H116" i="21"/>
  <c r="J116" s="1"/>
  <c r="H116" i="14"/>
  <c r="J116" s="1"/>
  <c r="H116" i="13"/>
  <c r="J116" s="1"/>
  <c r="H116" i="43"/>
  <c r="H116" i="30"/>
  <c r="J116" s="1"/>
  <c r="H116" i="28"/>
  <c r="J116" s="1"/>
  <c r="H116" i="29"/>
  <c r="J116" s="1"/>
  <c r="H100" i="2"/>
  <c r="J100" s="1"/>
  <c r="J120" i="8"/>
  <c r="H120" i="15"/>
  <c r="J120" s="1"/>
  <c r="H120" i="22"/>
  <c r="J120" s="1"/>
  <c r="H120" i="24"/>
  <c r="J120" s="1"/>
  <c r="H120" i="40"/>
  <c r="J120" s="1"/>
  <c r="J120" i="9"/>
  <c r="J120" i="33"/>
  <c r="H120" i="14"/>
  <c r="J120" s="1"/>
  <c r="J120" i="7"/>
  <c r="H120" i="16"/>
  <c r="J120" s="1"/>
  <c r="J120" i="11"/>
  <c r="J120" i="2"/>
  <c r="H120" i="18"/>
  <c r="J120" s="1"/>
  <c r="H120" i="19"/>
  <c r="J120" s="1"/>
  <c r="H120" i="23"/>
  <c r="J120" s="1"/>
  <c r="H120" i="25"/>
  <c r="J120" s="1"/>
  <c r="J120" i="5"/>
  <c r="H120" i="27"/>
  <c r="J120" s="1"/>
  <c r="J120" i="4"/>
  <c r="H120" i="28"/>
  <c r="J120" s="1"/>
  <c r="H120" i="29"/>
  <c r="J120" s="1"/>
  <c r="H120" i="20"/>
  <c r="J120" s="1"/>
  <c r="H120" i="13"/>
  <c r="J120" s="1"/>
  <c r="H120" i="21"/>
  <c r="J120" s="1"/>
  <c r="H120" i="17"/>
  <c r="J120" s="1"/>
  <c r="H120" i="30"/>
  <c r="J120" s="1"/>
  <c r="H120" i="12"/>
  <c r="J120" s="1"/>
  <c r="H106" i="17"/>
  <c r="J106" s="1"/>
  <c r="H106" i="25"/>
  <c r="J106" s="1"/>
  <c r="H106" i="19"/>
  <c r="J106" s="1"/>
  <c r="H106" i="22"/>
  <c r="J106" s="1"/>
  <c r="J106" i="9"/>
  <c r="H106" i="15"/>
  <c r="J106" s="1"/>
  <c r="J106" i="7"/>
  <c r="H106" i="18"/>
  <c r="J106" s="1"/>
  <c r="H106" i="23"/>
  <c r="J106" s="1"/>
  <c r="H106" i="40"/>
  <c r="J106" s="1"/>
  <c r="J106" i="11"/>
  <c r="H106" i="12"/>
  <c r="J106" s="1"/>
  <c r="H106" i="30"/>
  <c r="J106" s="1"/>
  <c r="H106" i="14"/>
  <c r="J106" s="1"/>
  <c r="J106" i="33"/>
  <c r="H106" i="24"/>
  <c r="J106" s="1"/>
  <c r="J106" i="4"/>
  <c r="H106" i="29"/>
  <c r="J106" s="1"/>
  <c r="J106" i="8"/>
  <c r="H106" i="43"/>
  <c r="H106" i="27"/>
  <c r="J106" s="1"/>
  <c r="H106" i="28"/>
  <c r="J106" s="1"/>
  <c r="H106" i="16"/>
  <c r="J106" s="1"/>
  <c r="H106" i="20"/>
  <c r="J106" s="1"/>
  <c r="H106" i="13"/>
  <c r="J106" s="1"/>
  <c r="H106" i="21"/>
  <c r="J106" s="1"/>
  <c r="J106" i="2"/>
  <c r="J106" i="5"/>
  <c r="J106" i="3"/>
  <c r="AA4" i="44"/>
  <c r="H112" i="24"/>
  <c r="J112" s="1"/>
  <c r="H112" i="14"/>
  <c r="J112" s="1"/>
  <c r="H112" i="23"/>
  <c r="J112" s="1"/>
  <c r="J112" i="5"/>
  <c r="J112" i="2"/>
  <c r="J112" i="8"/>
  <c r="H112" i="19"/>
  <c r="J112" s="1"/>
  <c r="J112" i="7"/>
  <c r="J112" i="9"/>
  <c r="H112" i="25"/>
  <c r="J112" s="1"/>
  <c r="H112" i="16"/>
  <c r="J112" s="1"/>
  <c r="J112" i="33"/>
  <c r="H112" i="40"/>
  <c r="J112" s="1"/>
  <c r="H112" i="27"/>
  <c r="J112" s="1"/>
  <c r="H112" i="15"/>
  <c r="J112" s="1"/>
  <c r="H112" i="30"/>
  <c r="J112" s="1"/>
  <c r="H112" i="12"/>
  <c r="J112" s="1"/>
  <c r="H112" i="17"/>
  <c r="J112" s="1"/>
  <c r="H112" i="22"/>
  <c r="J112" s="1"/>
  <c r="H112" i="43"/>
  <c r="J112" i="11"/>
  <c r="H112" i="18"/>
  <c r="J112" s="1"/>
  <c r="J112" i="4"/>
  <c r="J112" i="3"/>
  <c r="H112" i="28"/>
  <c r="J112" s="1"/>
  <c r="H112" i="29"/>
  <c r="J112" s="1"/>
  <c r="H112" i="21"/>
  <c r="J112" s="1"/>
  <c r="H112" i="13"/>
  <c r="J112" s="1"/>
  <c r="H112" i="20"/>
  <c r="J112" s="1"/>
  <c r="F119" i="13"/>
  <c r="G119"/>
  <c r="F118" i="16"/>
  <c r="G118"/>
  <c r="H118" s="1"/>
  <c r="J118" s="1"/>
  <c r="F119"/>
  <c r="G119"/>
  <c r="H119" s="1"/>
  <c r="J119" s="1"/>
  <c r="F118" i="23"/>
  <c r="G118"/>
  <c r="F118" i="8"/>
  <c r="G118"/>
  <c r="G119" i="9"/>
  <c r="G119" i="11"/>
  <c r="G118" i="15"/>
  <c r="H118" s="1"/>
  <c r="J118" s="1"/>
  <c r="F119" i="17"/>
  <c r="G119"/>
  <c r="H119" s="1"/>
  <c r="J119" s="1"/>
  <c r="F118" i="20"/>
  <c r="G118"/>
  <c r="H118" s="1"/>
  <c r="J118" s="1"/>
  <c r="F119" i="40"/>
  <c r="H119"/>
  <c r="J119" s="1"/>
  <c r="F119" i="8"/>
  <c r="G119"/>
  <c r="G118" i="11"/>
  <c r="F119" i="18"/>
  <c r="G119"/>
  <c r="H119" s="1"/>
  <c r="J119" s="1"/>
  <c r="G119" i="33"/>
  <c r="F119" i="7"/>
  <c r="G119"/>
  <c r="F118" i="13"/>
  <c r="F118" i="24"/>
  <c r="G118"/>
  <c r="H118" s="1"/>
  <c r="J118" s="1"/>
  <c r="F119"/>
  <c r="G119"/>
  <c r="H119" s="1"/>
  <c r="J119" s="1"/>
  <c r="F119" i="28"/>
  <c r="G119"/>
  <c r="H119" s="1"/>
  <c r="J119" s="1"/>
  <c r="F119" i="5"/>
  <c r="G119"/>
  <c r="F119" i="21"/>
  <c r="G119"/>
  <c r="H119" s="1"/>
  <c r="J119" s="1"/>
  <c r="G119" i="30"/>
  <c r="F118" i="7"/>
  <c r="G118"/>
  <c r="F119" i="15"/>
  <c r="G119"/>
  <c r="H119" s="1"/>
  <c r="J119" s="1"/>
  <c r="F118" i="19"/>
  <c r="G118"/>
  <c r="H118" s="1"/>
  <c r="J118" s="1"/>
  <c r="F118" i="21"/>
  <c r="G118"/>
  <c r="H118" s="1"/>
  <c r="J118" s="1"/>
  <c r="F118" i="27"/>
  <c r="G118"/>
  <c r="H118" s="1"/>
  <c r="J118" s="1"/>
  <c r="F118" i="28"/>
  <c r="G118"/>
  <c r="H118" s="1"/>
  <c r="J118" s="1"/>
  <c r="F119" i="4"/>
  <c r="G119"/>
  <c r="F118" i="9"/>
  <c r="G118"/>
  <c r="G119" i="14"/>
  <c r="H119" s="1"/>
  <c r="J119" s="1"/>
  <c r="F119"/>
  <c r="G119" i="22"/>
  <c r="H119" s="1"/>
  <c r="J119" s="1"/>
  <c r="F119"/>
  <c r="F119" i="29"/>
  <c r="N119" s="1"/>
  <c r="G119"/>
  <c r="H119" s="1"/>
  <c r="J119" s="1"/>
  <c r="G118" i="4"/>
  <c r="G119" i="12"/>
  <c r="F118" i="14"/>
  <c r="G118"/>
  <c r="H118" s="1"/>
  <c r="J118" s="1"/>
  <c r="F119" i="19"/>
  <c r="G119"/>
  <c r="H119" s="1"/>
  <c r="J119" s="1"/>
  <c r="F118" i="22"/>
  <c r="G118"/>
  <c r="F119" i="23"/>
  <c r="G118" i="5"/>
  <c r="F119" i="20"/>
  <c r="G119"/>
  <c r="H119" s="1"/>
  <c r="J119" s="1"/>
  <c r="G118" i="18"/>
  <c r="H118" s="1"/>
  <c r="J118" s="1"/>
  <c r="F118"/>
  <c r="F118" i="12"/>
  <c r="G118"/>
  <c r="G118" i="40"/>
  <c r="H118" s="1"/>
  <c r="J118" s="1"/>
  <c r="F118"/>
  <c r="F119" i="27"/>
  <c r="G119"/>
  <c r="H119" s="1"/>
  <c r="J119" s="1"/>
  <c r="N118" i="29"/>
  <c r="G118"/>
  <c r="H118" s="1"/>
  <c r="J118" s="1"/>
  <c r="F118" i="17"/>
  <c r="G118"/>
  <c r="H118" s="1"/>
  <c r="J118" s="1"/>
  <c r="F118" i="3"/>
  <c r="G118"/>
  <c r="H118" s="1"/>
  <c r="G119"/>
  <c r="E11" i="35"/>
  <c r="G11" s="1"/>
  <c r="W19" i="1"/>
  <c r="W8"/>
  <c r="W9"/>
  <c r="W30"/>
  <c r="W18"/>
  <c r="W20"/>
  <c r="G198" i="11"/>
  <c r="W23" i="1"/>
  <c r="E17" i="35"/>
  <c r="G17" s="1"/>
  <c r="E15"/>
  <c r="G15" s="1"/>
  <c r="E16"/>
  <c r="G16" s="1"/>
  <c r="W24" i="1"/>
  <c r="W31"/>
  <c r="W33"/>
  <c r="E12" i="35"/>
  <c r="G12" s="1"/>
  <c r="W21" i="1"/>
  <c r="W25"/>
  <c r="W22"/>
  <c r="E10" i="35"/>
  <c r="G10" s="1"/>
  <c r="W29" i="1"/>
  <c r="E13" i="35"/>
  <c r="G13" s="1"/>
  <c r="G101" i="11"/>
  <c r="AL5" i="1"/>
  <c r="I140" i="3"/>
  <c r="AH8" i="1"/>
  <c r="I136" i="33"/>
  <c r="AH7" i="1"/>
  <c r="I136" i="5"/>
  <c r="AL7" i="1"/>
  <c r="AO7" s="1"/>
  <c r="I139" i="5"/>
  <c r="AM6" i="1"/>
  <c r="AO6" s="1"/>
  <c r="I140" i="4"/>
  <c r="I135"/>
  <c r="AH9" i="1"/>
  <c r="I136" i="7"/>
  <c r="AA7" i="1"/>
  <c r="I133" i="5"/>
  <c r="L21" i="27"/>
  <c r="AH5" i="1"/>
  <c r="I138" i="3"/>
  <c r="AL8" i="1"/>
  <c r="I139" i="33"/>
  <c r="AM9" i="1"/>
  <c r="AO9" s="1"/>
  <c r="I139" i="7"/>
  <c r="I133" i="3"/>
  <c r="AH6" i="1"/>
  <c r="I138" i="4"/>
  <c r="AC33" i="44"/>
  <c r="AP33" i="1"/>
  <c r="AA9"/>
  <c r="AE9" s="1"/>
  <c r="I133" i="7"/>
  <c r="AI10" i="1"/>
  <c r="I136" i="8"/>
  <c r="I133"/>
  <c r="AM10" i="1"/>
  <c r="AO10" s="1"/>
  <c r="I139" i="8"/>
  <c r="I4" i="35"/>
  <c r="Z4" i="44"/>
  <c r="AT18" i="1"/>
  <c r="AQ7"/>
  <c r="AS7"/>
  <c r="AQ8"/>
  <c r="AX8"/>
  <c r="AB9" i="44"/>
  <c r="AT9" i="1"/>
  <c r="AY9"/>
  <c r="BI9"/>
  <c r="I9" i="35"/>
  <c r="Z9" i="44"/>
  <c r="AS11" i="1"/>
  <c r="AZ12"/>
  <c r="AU12"/>
  <c r="AY12"/>
  <c r="BI12"/>
  <c r="I12" i="35"/>
  <c r="Z12" i="44"/>
  <c r="AB13"/>
  <c r="AB17"/>
  <c r="AV17" i="1"/>
  <c r="AV18"/>
  <c r="AU20"/>
  <c r="AY20"/>
  <c r="BI20"/>
  <c r="AQ22"/>
  <c r="AT22"/>
  <c r="AX22"/>
  <c r="AV23"/>
  <c r="AU25"/>
  <c r="AY25"/>
  <c r="BI25"/>
  <c r="AU26"/>
  <c r="AY26"/>
  <c r="BI26"/>
  <c r="AU30"/>
  <c r="AY30"/>
  <c r="BI30"/>
  <c r="AQ31"/>
  <c r="AY32"/>
  <c r="AY16"/>
  <c r="AU16"/>
  <c r="AZ16"/>
  <c r="AY19"/>
  <c r="AT19"/>
  <c r="BI19"/>
  <c r="AV24"/>
  <c r="AZ24"/>
  <c r="AB7" i="44"/>
  <c r="I7" i="35"/>
  <c r="Z6" i="44"/>
  <c r="BE6" i="1"/>
  <c r="BI6"/>
  <c r="AY6"/>
  <c r="I10" i="35"/>
  <c r="Z10" i="44"/>
  <c r="BI10" i="1"/>
  <c r="AY10"/>
  <c r="AU10"/>
  <c r="BI13"/>
  <c r="AY14"/>
  <c r="AU14"/>
  <c r="AS15"/>
  <c r="AX13"/>
  <c r="AS5"/>
  <c r="AR29"/>
  <c r="AV28"/>
  <c r="BJ28" s="1"/>
  <c r="AR28"/>
  <c r="AY7"/>
  <c r="BI7"/>
  <c r="AY8"/>
  <c r="AU8"/>
  <c r="AZ8"/>
  <c r="AB8" i="44"/>
  <c r="AS9" i="1"/>
  <c r="AX9"/>
  <c r="AB11" i="44"/>
  <c r="AQ12" i="1"/>
  <c r="AT12"/>
  <c r="AB16" i="44"/>
  <c r="AZ17" i="1"/>
  <c r="AU17"/>
  <c r="AY17"/>
  <c r="AU18"/>
  <c r="AY18"/>
  <c r="I18" i="35"/>
  <c r="Z18" i="44"/>
  <c r="AQ20" i="1"/>
  <c r="AX20"/>
  <c r="AZ21"/>
  <c r="AV21"/>
  <c r="AS22"/>
  <c r="AZ23"/>
  <c r="AU23"/>
  <c r="AY23"/>
  <c r="BI23"/>
  <c r="AQ24"/>
  <c r="AQ25"/>
  <c r="AT25"/>
  <c r="AX25"/>
  <c r="AQ26"/>
  <c r="AX26"/>
  <c r="AT30"/>
  <c r="BA30"/>
  <c r="AS31"/>
  <c r="AQ32"/>
  <c r="AT32"/>
  <c r="AV16"/>
  <c r="AR16"/>
  <c r="AV19"/>
  <c r="BJ19" s="1"/>
  <c r="AZ19"/>
  <c r="AR24"/>
  <c r="AR6"/>
  <c r="AV10"/>
  <c r="AR10"/>
  <c r="AB10" i="44"/>
  <c r="AV14" i="1"/>
  <c r="BJ14" s="1"/>
  <c r="AR14"/>
  <c r="AX15"/>
  <c r="AT15"/>
  <c r="AY13"/>
  <c r="AU13"/>
  <c r="BI5"/>
  <c r="AS29"/>
  <c r="I5" i="35"/>
  <c r="Z5" i="44"/>
  <c r="AU7" i="1"/>
  <c r="AV8"/>
  <c r="BJ8" s="1"/>
  <c r="I9"/>
  <c r="AR9"/>
  <c r="I11"/>
  <c r="AZ11"/>
  <c r="AU11"/>
  <c r="AY11"/>
  <c r="BI11"/>
  <c r="I13"/>
  <c r="E11" i="47" s="1"/>
  <c r="AB14" i="44"/>
  <c r="AQ17" i="1"/>
  <c r="AT17"/>
  <c r="AX17"/>
  <c r="AS18"/>
  <c r="AX18"/>
  <c r="AY21"/>
  <c r="BI21"/>
  <c r="BE21"/>
  <c r="AV22"/>
  <c r="BI22"/>
  <c r="AT23"/>
  <c r="AX23"/>
  <c r="AS25"/>
  <c r="BI28"/>
  <c r="AS30"/>
  <c r="G152" i="29"/>
  <c r="AV31" i="1"/>
  <c r="AS32"/>
  <c r="AR19"/>
  <c r="AX24"/>
  <c r="AS24"/>
  <c r="AR7"/>
  <c r="AS6"/>
  <c r="AB6" i="44"/>
  <c r="AS10" i="1"/>
  <c r="AS14"/>
  <c r="AY15"/>
  <c r="AU15"/>
  <c r="AZ15"/>
  <c r="AV13"/>
  <c r="BJ13" s="1"/>
  <c r="AR13"/>
  <c r="AQ5"/>
  <c r="AU5"/>
  <c r="AY5"/>
  <c r="AX29"/>
  <c r="AU19"/>
  <c r="AX28"/>
  <c r="AT28"/>
  <c r="AB34" i="44"/>
  <c r="AS8" i="1"/>
  <c r="BI8"/>
  <c r="AU9"/>
  <c r="AT11"/>
  <c r="AX11"/>
  <c r="I11" i="35"/>
  <c r="Z11" i="44"/>
  <c r="AQ13" i="1"/>
  <c r="AQ15"/>
  <c r="AS17"/>
  <c r="AB18" i="44"/>
  <c r="AR20" i="1"/>
  <c r="AV20"/>
  <c r="AS21"/>
  <c r="AX21"/>
  <c r="AU22"/>
  <c r="AY22"/>
  <c r="AR25"/>
  <c r="AV25"/>
  <c r="AR26"/>
  <c r="AV26"/>
  <c r="BJ26" s="1"/>
  <c r="AQ29"/>
  <c r="AR30"/>
  <c r="AZ31"/>
  <c r="AU31"/>
  <c r="AY31"/>
  <c r="BI31"/>
  <c r="AR32"/>
  <c r="AX16"/>
  <c r="AT16"/>
  <c r="AX19"/>
  <c r="AS19"/>
  <c r="AY24"/>
  <c r="BE24"/>
  <c r="BI24"/>
  <c r="AX7"/>
  <c r="AQ6"/>
  <c r="AX10"/>
  <c r="AQ10"/>
  <c r="AX14"/>
  <c r="AT14"/>
  <c r="BI14"/>
  <c r="AV15"/>
  <c r="AR15"/>
  <c r="I18"/>
  <c r="E16" i="47" s="1"/>
  <c r="AY29" i="1"/>
  <c r="AU29"/>
  <c r="AZ29"/>
  <c r="AY28"/>
  <c r="AU28"/>
  <c r="AX30"/>
  <c r="AX31"/>
  <c r="I20"/>
  <c r="G143" i="18"/>
  <c r="H63" i="2"/>
  <c r="H125"/>
  <c r="J125" s="1"/>
  <c r="AE4" i="44"/>
  <c r="H6" i="35"/>
  <c r="AP8" i="1"/>
  <c r="AC8" i="44"/>
  <c r="AP9" i="1"/>
  <c r="AC9" i="44"/>
  <c r="AP12" i="1"/>
  <c r="AC12" i="44"/>
  <c r="H18" i="35"/>
  <c r="BK19" i="1"/>
  <c r="AA19" i="44"/>
  <c r="M21" i="1"/>
  <c r="AB21" i="44"/>
  <c r="B20"/>
  <c r="B21"/>
  <c r="BK21" i="1"/>
  <c r="AA21" i="44"/>
  <c r="M23" i="1"/>
  <c r="AB23" i="44"/>
  <c r="M25" i="1"/>
  <c r="AB25" i="44"/>
  <c r="BK25" i="1"/>
  <c r="AA25" i="44"/>
  <c r="BK26" i="1"/>
  <c r="AA26" i="44"/>
  <c r="M29" i="1"/>
  <c r="AB29" i="44"/>
  <c r="H80" i="2"/>
  <c r="J80" s="1"/>
  <c r="J4" i="44"/>
  <c r="H73" i="2"/>
  <c r="H73" i="3" s="1"/>
  <c r="H73" i="4" s="1"/>
  <c r="J73" s="1"/>
  <c r="C4" i="44"/>
  <c r="M16" i="35"/>
  <c r="O16" s="1"/>
  <c r="B16" i="44"/>
  <c r="BK16" i="1"/>
  <c r="AA16" i="44"/>
  <c r="AP6" i="1"/>
  <c r="AC6" i="44"/>
  <c r="BK15" i="1"/>
  <c r="AA15" i="44"/>
  <c r="D17"/>
  <c r="BK32" i="1"/>
  <c r="AA32" i="44"/>
  <c r="D34"/>
  <c r="E34"/>
  <c r="H66" i="2"/>
  <c r="H66" i="3" s="1"/>
  <c r="H79" i="2"/>
  <c r="J79" s="1"/>
  <c r="I4" i="44"/>
  <c r="H62" i="2"/>
  <c r="J62" s="1"/>
  <c r="AP5" i="1"/>
  <c r="AC5" i="44"/>
  <c r="AB19"/>
  <c r="M19" i="1"/>
  <c r="M20"/>
  <c r="AB20" i="44"/>
  <c r="G128" i="18"/>
  <c r="G57"/>
  <c r="BH20" i="1" s="1"/>
  <c r="AP20"/>
  <c r="AC20" i="44"/>
  <c r="G7" i="19"/>
  <c r="G37"/>
  <c r="M22" i="1"/>
  <c r="AB22" i="44"/>
  <c r="BK23" i="1"/>
  <c r="AA23" i="44"/>
  <c r="AP24" i="1"/>
  <c r="AC24" i="44"/>
  <c r="AP28" i="1"/>
  <c r="AC28" i="44"/>
  <c r="BK29" i="1"/>
  <c r="AA29" i="44"/>
  <c r="AP30" i="1"/>
  <c r="AC30" i="44"/>
  <c r="H81" i="2"/>
  <c r="J81" s="1"/>
  <c r="K4" i="44"/>
  <c r="H75" i="2"/>
  <c r="H75" i="3" s="1"/>
  <c r="E4" i="44"/>
  <c r="BK13" i="1"/>
  <c r="AA11" i="44"/>
  <c r="M15" i="35"/>
  <c r="O15" s="1"/>
  <c r="B15" i="44"/>
  <c r="BK10" i="1"/>
  <c r="AA10" i="44"/>
  <c r="M10" i="35"/>
  <c r="O10" s="1"/>
  <c r="B10" i="44"/>
  <c r="E17"/>
  <c r="M33" i="1"/>
  <c r="AB33" i="44"/>
  <c r="H65" i="2"/>
  <c r="J65" s="1"/>
  <c r="H76"/>
  <c r="F4" i="44"/>
  <c r="H67" i="2"/>
  <c r="J67" s="1"/>
  <c r="H127"/>
  <c r="H127" i="3" s="1"/>
  <c r="J127" s="1"/>
  <c r="H5" i="35"/>
  <c r="AP7" i="1"/>
  <c r="AC7" i="44"/>
  <c r="H11" i="35"/>
  <c r="AP15" i="1"/>
  <c r="AC15" i="44"/>
  <c r="AP16" i="1"/>
  <c r="AC16" i="44"/>
  <c r="AP19" i="1"/>
  <c r="AC19" i="44"/>
  <c r="G56" i="18"/>
  <c r="AM20" i="1"/>
  <c r="AP21"/>
  <c r="AC21" i="44"/>
  <c r="BK22" i="1"/>
  <c r="AA22" i="44"/>
  <c r="AP22" i="1"/>
  <c r="AC22" i="44"/>
  <c r="M24" i="1"/>
  <c r="AB24" i="44"/>
  <c r="AP25" i="1"/>
  <c r="AC25" i="44"/>
  <c r="M26" i="1"/>
  <c r="AB26" i="44"/>
  <c r="AP26" i="1"/>
  <c r="AC26" i="44"/>
  <c r="BK28" i="1"/>
  <c r="AA28" i="44"/>
  <c r="M31" i="1"/>
  <c r="AB31" i="44"/>
  <c r="AH31" s="1"/>
  <c r="AO31" s="1"/>
  <c r="AP32" i="1"/>
  <c r="AC32" i="44"/>
  <c r="H82" i="2"/>
  <c r="J82" s="1"/>
  <c r="L4" i="44"/>
  <c r="H77" i="2"/>
  <c r="J77" s="1"/>
  <c r="G4" i="44"/>
  <c r="BK5" i="1"/>
  <c r="AA5" i="44"/>
  <c r="BK9" i="1"/>
  <c r="AA9" i="44"/>
  <c r="M14" i="35"/>
  <c r="O14" s="1"/>
  <c r="B14" i="44"/>
  <c r="BK14" i="1"/>
  <c r="AA14" i="44"/>
  <c r="BK33" i="1"/>
  <c r="AA34" i="44"/>
  <c r="AC34"/>
  <c r="H74" i="2"/>
  <c r="J74" s="1"/>
  <c r="D4" i="44"/>
  <c r="H64" i="2"/>
  <c r="J64" s="1"/>
  <c r="H126"/>
  <c r="H126" i="3" s="1"/>
  <c r="J126" s="1"/>
  <c r="AF4" i="44"/>
  <c r="AP4" i="1"/>
  <c r="AC4" i="44"/>
  <c r="AB4"/>
  <c r="H9" i="35"/>
  <c r="AB12" i="44"/>
  <c r="H12" i="35"/>
  <c r="AP13" i="1"/>
  <c r="AP14"/>
  <c r="AC14" i="44"/>
  <c r="G39" i="18"/>
  <c r="BK20" i="1"/>
  <c r="AA20" i="44"/>
  <c r="G39" i="19"/>
  <c r="AP23" i="1"/>
  <c r="AC23" i="44"/>
  <c r="M28" i="1"/>
  <c r="AB28" i="44"/>
  <c r="AP29" i="1"/>
  <c r="AC29" i="44"/>
  <c r="M30" i="1"/>
  <c r="AB30" i="44"/>
  <c r="BK30" i="1"/>
  <c r="AA30" i="44"/>
  <c r="M32" i="1"/>
  <c r="AB32" i="44"/>
  <c r="AP11" i="1"/>
  <c r="AC11" i="44"/>
  <c r="H83" i="2"/>
  <c r="J83" s="1"/>
  <c r="N4" i="44"/>
  <c r="H78" i="2"/>
  <c r="H78" i="3" s="1"/>
  <c r="H4" i="44"/>
  <c r="D7"/>
  <c r="E7"/>
  <c r="BK8" i="1"/>
  <c r="AA8" i="44"/>
  <c r="M13" i="35"/>
  <c r="O13" s="1"/>
  <c r="B13" i="44"/>
  <c r="BK24" i="1"/>
  <c r="AA24" i="44"/>
  <c r="H7" i="35"/>
  <c r="AP10" i="1"/>
  <c r="AC10" i="44"/>
  <c r="H10" i="35"/>
  <c r="B17" i="44"/>
  <c r="H124" i="2"/>
  <c r="J124" s="1"/>
  <c r="AD4" i="44"/>
  <c r="AP17" i="1"/>
  <c r="AC17" i="44"/>
  <c r="AP18" i="1"/>
  <c r="AC18" i="44"/>
  <c r="BK18" i="1"/>
  <c r="AA18" i="44"/>
  <c r="BK17" i="1"/>
  <c r="AA17" i="44"/>
  <c r="N17"/>
  <c r="L17"/>
  <c r="K17"/>
  <c r="J17"/>
  <c r="I17"/>
  <c r="H17"/>
  <c r="G17"/>
  <c r="F17"/>
  <c r="M18" i="35"/>
  <c r="C18" i="44"/>
  <c r="M17" i="35"/>
  <c r="C17" i="44"/>
  <c r="G128" i="11"/>
  <c r="H46" i="2"/>
  <c r="J46" s="1"/>
  <c r="M4" i="1"/>
  <c r="G128" i="12"/>
  <c r="P128" s="1"/>
  <c r="G128" i="28"/>
  <c r="G128" i="15"/>
  <c r="G128" i="24"/>
  <c r="G128" i="27"/>
  <c r="G128" i="19"/>
  <c r="G128" i="21"/>
  <c r="G128" i="29"/>
  <c r="G128" i="17"/>
  <c r="H128" s="1"/>
  <c r="G128" i="40"/>
  <c r="G128" i="43"/>
  <c r="G128" i="14"/>
  <c r="G128" i="23"/>
  <c r="O128" s="1"/>
  <c r="M18" i="1"/>
  <c r="G128" i="16"/>
  <c r="G128" i="20"/>
  <c r="G128" i="5"/>
  <c r="G128" i="7"/>
  <c r="M10" i="1"/>
  <c r="G128" i="8"/>
  <c r="G128" i="9"/>
  <c r="G128" i="4"/>
  <c r="G128" i="13"/>
  <c r="G52" i="20"/>
  <c r="W13" i="1"/>
  <c r="G8" i="35"/>
  <c r="Q36" i="1"/>
  <c r="I27"/>
  <c r="E25" i="47" s="1"/>
  <c r="AO24" i="1"/>
  <c r="G148" i="21"/>
  <c r="G149" s="1"/>
  <c r="G20" i="19"/>
  <c r="P21" i="1" s="1"/>
  <c r="G20" i="24"/>
  <c r="V30" i="1"/>
  <c r="V21"/>
  <c r="V9"/>
  <c r="V8"/>
  <c r="V33"/>
  <c r="G94" i="11"/>
  <c r="G148" i="16"/>
  <c r="G149" s="1"/>
  <c r="G94" i="28"/>
  <c r="G148" i="43"/>
  <c r="AT4" i="1"/>
  <c r="G146" i="29"/>
  <c r="G148" i="28"/>
  <c r="G149" s="1"/>
  <c r="G20" i="40"/>
  <c r="AJ27" i="1"/>
  <c r="AJ28"/>
  <c r="G152" i="43"/>
  <c r="O27" i="1"/>
  <c r="G20" i="22"/>
  <c r="P24" i="1" s="1"/>
  <c r="G20" i="21"/>
  <c r="BB36" i="1"/>
  <c r="BF36"/>
  <c r="G94" i="27"/>
  <c r="G152" i="24"/>
  <c r="G153" s="1"/>
  <c r="G150" i="40"/>
  <c r="G151" s="1"/>
  <c r="G20" i="13"/>
  <c r="G152" i="18"/>
  <c r="G153" s="1"/>
  <c r="V31" i="1"/>
  <c r="V28"/>
  <c r="I138" i="24"/>
  <c r="G146" i="40"/>
  <c r="G147" s="1"/>
  <c r="V7" i="1"/>
  <c r="I138" i="40"/>
  <c r="G146" i="22"/>
  <c r="G147" s="1"/>
  <c r="AE29" i="1"/>
  <c r="G13" i="28"/>
  <c r="I13" s="1"/>
  <c r="G148" i="30"/>
  <c r="BC32" i="1"/>
  <c r="V6"/>
  <c r="AS23"/>
  <c r="G152" i="22"/>
  <c r="G153" s="1"/>
  <c r="G144" i="40"/>
  <c r="G145" s="1"/>
  <c r="I138" i="27"/>
  <c r="G152" i="14"/>
  <c r="G153" s="1"/>
  <c r="G20" i="27"/>
  <c r="G13" i="21"/>
  <c r="I13" s="1"/>
  <c r="G94" i="23"/>
  <c r="O94" s="1"/>
  <c r="G94" i="40"/>
  <c r="G148" i="17"/>
  <c r="G149" s="1"/>
  <c r="G20" i="42"/>
  <c r="E30" s="1"/>
  <c r="G30" s="1"/>
  <c r="G20" i="20"/>
  <c r="G20" i="43"/>
  <c r="G152" i="8"/>
  <c r="G153" s="1"/>
  <c r="I138" i="28"/>
  <c r="I29" i="1"/>
  <c r="E27" i="47" s="1"/>
  <c r="G20" i="23"/>
  <c r="I133"/>
  <c r="W16" i="1"/>
  <c r="G20" i="33"/>
  <c r="P12" i="1"/>
  <c r="I10" i="47" s="1"/>
  <c r="G150" i="19"/>
  <c r="I133" i="22"/>
  <c r="I136" i="40"/>
  <c r="I133" i="27"/>
  <c r="G101" i="28"/>
  <c r="E36" i="1"/>
  <c r="I138" i="17"/>
  <c r="BD36" i="1"/>
  <c r="G150" i="16"/>
  <c r="G151" s="1"/>
  <c r="E18" i="35"/>
  <c r="G18" s="1"/>
  <c r="G94" i="16"/>
  <c r="BC19" i="1"/>
  <c r="I138" i="16"/>
  <c r="AA36" i="1"/>
  <c r="U36"/>
  <c r="G59" i="15"/>
  <c r="G20" i="14"/>
  <c r="P16" i="1" s="1"/>
  <c r="AT27"/>
  <c r="BG17"/>
  <c r="G144" i="15"/>
  <c r="G145" s="1"/>
  <c r="AZ26" i="1"/>
  <c r="G150" i="24"/>
  <c r="G151" s="1"/>
  <c r="G20" i="11"/>
  <c r="G101" i="19"/>
  <c r="I133" i="21"/>
  <c r="G85" i="40"/>
  <c r="I24" i="1"/>
  <c r="E22" i="47" s="1"/>
  <c r="BH30" i="1"/>
  <c r="G142" i="28"/>
  <c r="G143" s="1"/>
  <c r="AC13" i="1"/>
  <c r="AE13" s="1"/>
  <c r="I136" i="11"/>
  <c r="M17" i="1"/>
  <c r="G15" i="47" s="1"/>
  <c r="BC27" i="1"/>
  <c r="G85" i="19"/>
  <c r="G13" i="22"/>
  <c r="I13" s="1"/>
  <c r="G59" i="28"/>
  <c r="I136" i="27"/>
  <c r="V26" i="1"/>
  <c r="G20" i="15"/>
  <c r="P17" i="1" s="1"/>
  <c r="G20" i="18"/>
  <c r="G94" i="15"/>
  <c r="G142" i="22"/>
  <c r="G143" s="1"/>
  <c r="G142" i="27"/>
  <c r="G143" s="1"/>
  <c r="G152" i="28"/>
  <c r="G153" s="1"/>
  <c r="X30" i="1"/>
  <c r="G150" i="21"/>
  <c r="G151" s="1"/>
  <c r="G144" i="22"/>
  <c r="G145" s="1"/>
  <c r="G146" i="13"/>
  <c r="G146" i="16"/>
  <c r="G147" s="1"/>
  <c r="G150" i="29"/>
  <c r="E9" i="35"/>
  <c r="G9" s="1"/>
  <c r="V25" i="1"/>
  <c r="G152" i="27"/>
  <c r="G153" s="1"/>
  <c r="G146" i="17"/>
  <c r="G147" s="1"/>
  <c r="G152" i="40"/>
  <c r="G153" s="1"/>
  <c r="V29" i="1"/>
  <c r="V18"/>
  <c r="V14"/>
  <c r="V32"/>
  <c r="G20" i="17"/>
  <c r="G94" i="12"/>
  <c r="P94" s="1"/>
  <c r="G152" i="13"/>
  <c r="BE36" i="1"/>
  <c r="G85" i="17"/>
  <c r="G94"/>
  <c r="I133" i="18"/>
  <c r="G94" i="20"/>
  <c r="G94" i="21"/>
  <c r="G150" i="20"/>
  <c r="G151" s="1"/>
  <c r="G146" i="21"/>
  <c r="G147" s="1"/>
  <c r="G142" i="23"/>
  <c r="G13" i="14"/>
  <c r="I13" s="1"/>
  <c r="G13" i="17"/>
  <c r="I13" s="1"/>
  <c r="I136" i="22"/>
  <c r="G13" i="40"/>
  <c r="I13" s="1"/>
  <c r="D36" i="1"/>
  <c r="J36"/>
  <c r="G94" i="8"/>
  <c r="AZ28" i="1"/>
  <c r="I26"/>
  <c r="E24" i="47" s="1"/>
  <c r="G148" i="9"/>
  <c r="G149" s="1"/>
  <c r="G94" i="18"/>
  <c r="G85" i="23"/>
  <c r="O85" s="1"/>
  <c r="G13" i="27"/>
  <c r="I13" s="1"/>
  <c r="G59"/>
  <c r="BH29" i="1"/>
  <c r="G20" i="8"/>
  <c r="P10" i="1" s="1"/>
  <c r="I8" i="47" s="1"/>
  <c r="AE16" i="1"/>
  <c r="G146" i="14"/>
  <c r="G147" s="1"/>
  <c r="I138" i="12"/>
  <c r="G94" i="13"/>
  <c r="G85"/>
  <c r="G148"/>
  <c r="BC15" i="1"/>
  <c r="M14"/>
  <c r="V13"/>
  <c r="AO12"/>
  <c r="I133" i="11"/>
  <c r="G85"/>
  <c r="G142"/>
  <c r="G143" s="1"/>
  <c r="W11" i="1"/>
  <c r="BK12"/>
  <c r="AV12"/>
  <c r="G20" i="9"/>
  <c r="P11" i="1" s="1"/>
  <c r="G94" i="9"/>
  <c r="M11" i="1"/>
  <c r="BK11"/>
  <c r="M11" i="35"/>
  <c r="O11" s="1"/>
  <c r="G85" i="9"/>
  <c r="BC11" i="1"/>
  <c r="G59" i="9"/>
  <c r="G142" i="8"/>
  <c r="G143" s="1"/>
  <c r="G150" i="9"/>
  <c r="G151" s="1"/>
  <c r="G13" i="8"/>
  <c r="I13" s="1"/>
  <c r="W10" i="1"/>
  <c r="G85" i="8"/>
  <c r="I10" i="1"/>
  <c r="E8" i="47" s="1"/>
  <c r="BG10" i="1"/>
  <c r="G144" i="8"/>
  <c r="G145" s="1"/>
  <c r="BB14" i="1"/>
  <c r="G152" i="12"/>
  <c r="G47" i="28"/>
  <c r="G150"/>
  <c r="G151" s="1"/>
  <c r="AZ30" i="1"/>
  <c r="AR5"/>
  <c r="G152" i="3"/>
  <c r="G13" i="24"/>
  <c r="AZ13" i="1"/>
  <c r="G150" i="11"/>
  <c r="G151" s="1"/>
  <c r="AA10" i="1"/>
  <c r="I138" i="23"/>
  <c r="AJ25" i="1"/>
  <c r="L17" i="35"/>
  <c r="G85" i="15"/>
  <c r="AQ4" i="1"/>
  <c r="H35" i="2"/>
  <c r="J35" s="1"/>
  <c r="AC17" i="1"/>
  <c r="AE17" s="1"/>
  <c r="I136" i="15"/>
  <c r="I138" i="22"/>
  <c r="AJ24" i="1"/>
  <c r="J24" i="4"/>
  <c r="H24" i="5"/>
  <c r="G150" i="12"/>
  <c r="AZ14" i="1"/>
  <c r="G148" i="14"/>
  <c r="G149" s="1"/>
  <c r="AS16" i="1"/>
  <c r="AC22"/>
  <c r="AE22" s="1"/>
  <c r="I136" i="20"/>
  <c r="AR18" i="1"/>
  <c r="G152" i="16"/>
  <c r="G153" s="1"/>
  <c r="G150" i="18"/>
  <c r="G151" s="1"/>
  <c r="AZ20" i="1"/>
  <c r="AH15"/>
  <c r="I136" i="13"/>
  <c r="AD10" i="1"/>
  <c r="BB13"/>
  <c r="G152" i="11"/>
  <c r="G153" s="1"/>
  <c r="AS13" i="1"/>
  <c r="G148" i="11"/>
  <c r="G149" s="1"/>
  <c r="AI27" i="1"/>
  <c r="AI28"/>
  <c r="I12"/>
  <c r="E10" i="47" s="1"/>
  <c r="AR23" i="1"/>
  <c r="G152" i="21"/>
  <c r="G153" s="1"/>
  <c r="AJ23" i="1"/>
  <c r="I138" i="21"/>
  <c r="AS26" i="1"/>
  <c r="G148" i="24"/>
  <c r="G149" s="1"/>
  <c r="AQ28" i="1"/>
  <c r="G142" i="40"/>
  <c r="G143" s="1"/>
  <c r="X13" i="1"/>
  <c r="AV27"/>
  <c r="G144" i="14"/>
  <c r="G145" s="1"/>
  <c r="G146" i="20"/>
  <c r="G147" s="1"/>
  <c r="G13" i="13"/>
  <c r="AB36" i="1"/>
  <c r="AR31"/>
  <c r="G59" i="17"/>
  <c r="AM27" i="1"/>
  <c r="AO27" s="1"/>
  <c r="I22"/>
  <c r="E20" i="47" s="1"/>
  <c r="G59" i="23"/>
  <c r="O59" s="1"/>
  <c r="BD4" i="1"/>
  <c r="I138" i="18"/>
  <c r="G101" i="20"/>
  <c r="G148" i="22"/>
  <c r="G149" s="1"/>
  <c r="G146" i="23"/>
  <c r="H140" i="2"/>
  <c r="H140" i="3" s="1"/>
  <c r="J140" s="1"/>
  <c r="G142" i="13"/>
  <c r="V20" i="1"/>
  <c r="G152" i="23"/>
  <c r="G101" i="8"/>
  <c r="I138" i="9"/>
  <c r="I138" i="11"/>
  <c r="I25" i="1"/>
  <c r="E23" i="47" s="1"/>
  <c r="G142" i="24"/>
  <c r="G143" s="1"/>
  <c r="I133" i="40"/>
  <c r="G148" i="15"/>
  <c r="G149" s="1"/>
  <c r="BB30" i="1"/>
  <c r="AL36"/>
  <c r="V12"/>
  <c r="V11"/>
  <c r="BA11"/>
  <c r="I133" i="13"/>
  <c r="G150" i="14"/>
  <c r="G151" s="1"/>
  <c r="I133"/>
  <c r="G13" i="19"/>
  <c r="G142"/>
  <c r="I133" i="20"/>
  <c r="I133" i="28"/>
  <c r="G94" i="29"/>
  <c r="G85" i="12"/>
  <c r="M12" i="1"/>
  <c r="AX12"/>
  <c r="AQ19"/>
  <c r="G142" i="17"/>
  <c r="G143" s="1"/>
  <c r="AC23" i="1"/>
  <c r="AE23" s="1"/>
  <c r="I136" i="21"/>
  <c r="BI29" i="1"/>
  <c r="G150" i="27"/>
  <c r="G151" s="1"/>
  <c r="AD12" i="1"/>
  <c r="AE12" s="1"/>
  <c r="AJ4"/>
  <c r="H138" i="2"/>
  <c r="H138" i="3" s="1"/>
  <c r="AC20" i="1"/>
  <c r="I30"/>
  <c r="E28" i="47" s="1"/>
  <c r="AT10" i="1"/>
  <c r="G146" i="8"/>
  <c r="G147" s="1"/>
  <c r="G144" i="27"/>
  <c r="G145" s="1"/>
  <c r="AV29" i="1"/>
  <c r="AV30"/>
  <c r="G144" i="28"/>
  <c r="G145" s="1"/>
  <c r="BG15" i="1"/>
  <c r="G144" i="13"/>
  <c r="W15" i="1"/>
  <c r="G101" i="13"/>
  <c r="AQ23" i="1"/>
  <c r="G142" i="21"/>
  <c r="G143" s="1"/>
  <c r="BF23" i="1"/>
  <c r="G144" i="21"/>
  <c r="G145" s="1"/>
  <c r="AT26" i="1"/>
  <c r="G146" i="24"/>
  <c r="G147" s="1"/>
  <c r="BD30" i="1"/>
  <c r="G146" i="28"/>
  <c r="G147" s="1"/>
  <c r="AI31" i="1"/>
  <c r="I138" i="29"/>
  <c r="M12" i="35"/>
  <c r="O12" s="1"/>
  <c r="G150" i="17"/>
  <c r="G151" s="1"/>
  <c r="I7" i="1"/>
  <c r="E5" i="47" s="1"/>
  <c r="G150" i="8"/>
  <c r="G151" s="1"/>
  <c r="AZ10" i="1"/>
  <c r="AT29"/>
  <c r="G146" i="27"/>
  <c r="G147" s="1"/>
  <c r="AS4" i="1"/>
  <c r="G59" i="40"/>
  <c r="G85" i="28"/>
  <c r="I136" i="17"/>
  <c r="BC18" i="1"/>
  <c r="AZ22"/>
  <c r="V27"/>
  <c r="I133" i="12"/>
  <c r="G101" i="16"/>
  <c r="G13" i="18"/>
  <c r="I13" s="1"/>
  <c r="G94" i="19"/>
  <c r="G94" i="22"/>
  <c r="G94" i="24"/>
  <c r="AE26" i="1"/>
  <c r="G85" i="22"/>
  <c r="G59" i="8"/>
  <c r="G146" i="12"/>
  <c r="O8" i="35"/>
  <c r="V10" i="1"/>
  <c r="F36"/>
  <c r="V5"/>
  <c r="AE11"/>
  <c r="G20" i="12"/>
  <c r="P20" s="1"/>
  <c r="G150" i="15"/>
  <c r="G151" s="1"/>
  <c r="I133"/>
  <c r="G13" i="20"/>
  <c r="I13" s="1"/>
  <c r="I138"/>
  <c r="AO28" i="1"/>
  <c r="V24"/>
  <c r="V15"/>
  <c r="H131" i="3"/>
  <c r="J131" s="1"/>
  <c r="V22" i="1"/>
  <c r="I133" i="24"/>
  <c r="G152" i="7"/>
  <c r="G153" s="1"/>
  <c r="G47" i="16"/>
  <c r="I133"/>
  <c r="AE19" i="1"/>
  <c r="G101" i="22"/>
  <c r="G13" i="23"/>
  <c r="G109" i="42"/>
  <c r="G110" s="1"/>
  <c r="G13" i="9"/>
  <c r="I13" s="1"/>
  <c r="G142" i="14"/>
  <c r="G143" s="1"/>
  <c r="G94"/>
  <c r="G13" i="15"/>
  <c r="I13" s="1"/>
  <c r="AM36" i="1"/>
  <c r="G20" i="16"/>
  <c r="P18" i="1" s="1"/>
  <c r="I16" i="47" s="1"/>
  <c r="G85" i="20"/>
  <c r="G148" i="23"/>
  <c r="N36" i="1"/>
  <c r="G85" i="14"/>
  <c r="I138" i="13"/>
  <c r="G144" i="17"/>
  <c r="G145" s="1"/>
  <c r="G47" i="27"/>
  <c r="G13" i="11"/>
  <c r="AD36" i="1"/>
  <c r="I138" i="15"/>
  <c r="G20" i="28"/>
  <c r="G146" i="7"/>
  <c r="G147" s="1"/>
  <c r="G142"/>
  <c r="G143" s="1"/>
  <c r="G94" i="33"/>
  <c r="M9" i="1"/>
  <c r="G94" i="7"/>
  <c r="BB9" i="1"/>
  <c r="AI9"/>
  <c r="M9" i="35"/>
  <c r="O9" s="1"/>
  <c r="G85" i="7"/>
  <c r="G47"/>
  <c r="AQ9" i="1"/>
  <c r="G148" i="7"/>
  <c r="G149" s="1"/>
  <c r="G13"/>
  <c r="I13" s="1"/>
  <c r="AC8" i="1"/>
  <c r="AE8" s="1"/>
  <c r="I133" i="33"/>
  <c r="G101"/>
  <c r="G85"/>
  <c r="G150"/>
  <c r="AT8" i="1"/>
  <c r="G146" i="33"/>
  <c r="M8" i="1"/>
  <c r="G13" i="33"/>
  <c r="AS12" i="1"/>
  <c r="T36"/>
  <c r="V17"/>
  <c r="G101" i="7"/>
  <c r="X9" i="1"/>
  <c r="G142" i="9"/>
  <c r="G143" s="1"/>
  <c r="AQ11" i="1"/>
  <c r="X11"/>
  <c r="G101" i="9"/>
  <c r="AR17" i="1"/>
  <c r="G152" i="15"/>
  <c r="G153" s="1"/>
  <c r="W12" i="1"/>
  <c r="E14" i="35"/>
  <c r="G14" s="1"/>
  <c r="W14" i="1"/>
  <c r="BI15"/>
  <c r="G59" i="13"/>
  <c r="AZ25" i="1"/>
  <c r="G150" i="23"/>
  <c r="W26" i="1"/>
  <c r="G101" i="24"/>
  <c r="BE28" i="1"/>
  <c r="BE27"/>
  <c r="W27"/>
  <c r="Z27" s="1"/>
  <c r="W28"/>
  <c r="G101" i="40"/>
  <c r="G148" i="27"/>
  <c r="G149" s="1"/>
  <c r="BC29" i="1"/>
  <c r="AD30"/>
  <c r="AE30" s="1"/>
  <c r="I136" i="28"/>
  <c r="Y19" i="1"/>
  <c r="G101" i="17"/>
  <c r="G148" i="12"/>
  <c r="BC14" i="1"/>
  <c r="AT24"/>
  <c r="G47" i="22"/>
  <c r="L47" s="1"/>
  <c r="AX27" i="1"/>
  <c r="Y16"/>
  <c r="G101" i="14"/>
  <c r="AJ16" i="1"/>
  <c r="I138" i="14"/>
  <c r="AQ18" i="1"/>
  <c r="G142" i="16"/>
  <c r="G143" s="1"/>
  <c r="L18" i="35"/>
  <c r="G85" i="16"/>
  <c r="G47" i="15"/>
  <c r="G59" i="24"/>
  <c r="G47" i="13"/>
  <c r="I133" i="17"/>
  <c r="V19" i="1"/>
  <c r="I133" i="9"/>
  <c r="G85" i="21"/>
  <c r="AE27" i="1"/>
  <c r="AE28"/>
  <c r="G85" i="27"/>
  <c r="G47" i="40"/>
  <c r="G146" i="15"/>
  <c r="G147" s="1"/>
  <c r="G144" i="16"/>
  <c r="G145" s="1"/>
  <c r="I136" i="24"/>
  <c r="G101" i="18"/>
  <c r="G144" i="33"/>
  <c r="G145" s="1"/>
  <c r="AZ9" i="1"/>
  <c r="G146" i="9"/>
  <c r="G147" s="1"/>
  <c r="M13" i="1"/>
  <c r="G101" i="12"/>
  <c r="P101" s="1"/>
  <c r="G150" i="13"/>
  <c r="BB15" i="1"/>
  <c r="G59" i="14"/>
  <c r="G101" i="23"/>
  <c r="O101" s="1"/>
  <c r="K8" i="35"/>
  <c r="V16" i="1"/>
  <c r="G144" i="7"/>
  <c r="G145" s="1"/>
  <c r="G13" i="16"/>
  <c r="G47" i="23"/>
  <c r="O47" s="1"/>
  <c r="I136"/>
  <c r="H23" i="3"/>
  <c r="J23" i="2"/>
  <c r="H68"/>
  <c r="H68" i="3" s="1"/>
  <c r="H4" i="35"/>
  <c r="AR11" i="1"/>
  <c r="G152" i="9"/>
  <c r="G153" s="1"/>
  <c r="I17" i="1"/>
  <c r="E15" i="47" s="1"/>
  <c r="AQ21" i="1"/>
  <c r="BC21"/>
  <c r="G148" i="19"/>
  <c r="AS28" i="1"/>
  <c r="G148" i="40"/>
  <c r="G149" s="1"/>
  <c r="AV11" i="1"/>
  <c r="BJ11" s="1"/>
  <c r="G144" i="9"/>
  <c r="G145" s="1"/>
  <c r="AQ14" i="1"/>
  <c r="G142" i="12"/>
  <c r="G47"/>
  <c r="M16" i="1"/>
  <c r="G59" i="16"/>
  <c r="BA18" i="1"/>
  <c r="BA36" s="1"/>
  <c r="AJ21"/>
  <c r="I138" i="19"/>
  <c r="AW25" i="1"/>
  <c r="G144" i="23"/>
  <c r="AH28" i="1"/>
  <c r="AH27"/>
  <c r="AR8"/>
  <c r="G152" i="33"/>
  <c r="BD12" i="1"/>
  <c r="I16"/>
  <c r="E14" i="47" s="1"/>
  <c r="AC18" i="1"/>
  <c r="I136" i="16"/>
  <c r="AS20" i="1"/>
  <c r="G148" i="18"/>
  <c r="G149" s="1"/>
  <c r="AR22" i="1"/>
  <c r="G152" i="20"/>
  <c r="G153" s="1"/>
  <c r="I23" i="1"/>
  <c r="E21" i="47" s="1"/>
  <c r="AT13" i="1"/>
  <c r="G47" i="11"/>
  <c r="G146"/>
  <c r="G147" s="1"/>
  <c r="G47" i="24"/>
  <c r="I136" i="9"/>
  <c r="G150" i="7"/>
  <c r="G151" s="1"/>
  <c r="G59" i="21"/>
  <c r="L59" s="1"/>
  <c r="G85" i="24"/>
  <c r="G47" i="9"/>
  <c r="G144" i="19"/>
  <c r="G59" i="7"/>
  <c r="G59" i="33"/>
  <c r="AC24" i="1"/>
  <c r="AE24" s="1"/>
  <c r="V23"/>
  <c r="AL26"/>
  <c r="G85" i="18"/>
  <c r="G47" i="17"/>
  <c r="G144" i="11"/>
  <c r="G145" s="1"/>
  <c r="J70" i="12"/>
  <c r="H70" i="13"/>
  <c r="G142" i="33"/>
  <c r="G143" s="1"/>
  <c r="G144" i="24"/>
  <c r="G145" s="1"/>
  <c r="I136" i="12"/>
  <c r="G47" i="21"/>
  <c r="L47" s="1"/>
  <c r="G47" i="14"/>
  <c r="G47" i="33"/>
  <c r="G148"/>
  <c r="G148" i="8"/>
  <c r="G149" s="1"/>
  <c r="G144" i="12"/>
  <c r="I136" i="14"/>
  <c r="G142" i="20"/>
  <c r="G143" s="1"/>
  <c r="G59" i="22"/>
  <c r="L59" s="1"/>
  <c r="I136" i="29"/>
  <c r="G152" i="17"/>
  <c r="G153" s="1"/>
  <c r="AV9" i="1"/>
  <c r="BJ9" s="1"/>
  <c r="AR12"/>
  <c r="AQ16"/>
  <c r="BI16"/>
  <c r="BI17"/>
  <c r="W17"/>
  <c r="I19"/>
  <c r="E17" i="47" s="1"/>
  <c r="G47" i="8"/>
  <c r="G142" i="15"/>
  <c r="G143" s="1"/>
  <c r="G101"/>
  <c r="G150" i="22"/>
  <c r="G151" s="1"/>
  <c r="G101" i="21"/>
  <c r="G59" i="11"/>
  <c r="I14" i="1"/>
  <c r="E12" i="47" s="1"/>
  <c r="G101" i="27"/>
  <c r="H57" i="2"/>
  <c r="H57" i="3" s="1"/>
  <c r="J57" s="1"/>
  <c r="G148" i="29"/>
  <c r="G94" i="5"/>
  <c r="I119" i="42"/>
  <c r="G142" i="30"/>
  <c r="G20" i="4"/>
  <c r="G13" i="42"/>
  <c r="I13" s="1"/>
  <c r="G113"/>
  <c r="G114" s="1"/>
  <c r="G13" i="3"/>
  <c r="I13" s="1"/>
  <c r="G20" i="5"/>
  <c r="G88" i="42"/>
  <c r="I133" i="43"/>
  <c r="AI7" i="1"/>
  <c r="AD7"/>
  <c r="AB7"/>
  <c r="E7" i="35"/>
  <c r="G7" s="1"/>
  <c r="W7" i="1"/>
  <c r="G101" i="5"/>
  <c r="M6" i="35"/>
  <c r="O6" s="1"/>
  <c r="G85" i="5"/>
  <c r="G148"/>
  <c r="G149" s="1"/>
  <c r="G152"/>
  <c r="G153" s="1"/>
  <c r="BB7" i="1"/>
  <c r="G59" i="5"/>
  <c r="G142"/>
  <c r="G143" s="1"/>
  <c r="BA7" i="1"/>
  <c r="AV7"/>
  <c r="G144" i="5"/>
  <c r="G145" s="1"/>
  <c r="G146"/>
  <c r="G147" s="1"/>
  <c r="AT7" i="1"/>
  <c r="G150" i="5"/>
  <c r="G151" s="1"/>
  <c r="AZ7" i="1"/>
  <c r="M7"/>
  <c r="G13" i="5"/>
  <c r="W6" i="1"/>
  <c r="E6" i="35"/>
  <c r="G6" s="1"/>
  <c r="G101" i="4"/>
  <c r="G94"/>
  <c r="BK7" i="1"/>
  <c r="BK6"/>
  <c r="M7" i="35"/>
  <c r="O7" s="1"/>
  <c r="G85" i="4"/>
  <c r="AI6" i="1"/>
  <c r="AC6"/>
  <c r="AA6"/>
  <c r="BC6"/>
  <c r="G148" i="4"/>
  <c r="G149" s="1"/>
  <c r="G152"/>
  <c r="G153" s="1"/>
  <c r="G59"/>
  <c r="BA6" i="1"/>
  <c r="G142" i="4"/>
  <c r="G143" s="1"/>
  <c r="AX6" i="1"/>
  <c r="AV6"/>
  <c r="AT6"/>
  <c r="G146" i="4"/>
  <c r="G147" s="1"/>
  <c r="G150"/>
  <c r="G151" s="1"/>
  <c r="AZ6" i="1"/>
  <c r="M6"/>
  <c r="G13" i="4"/>
  <c r="I13" s="1"/>
  <c r="I6" i="1"/>
  <c r="E4" i="47" s="1"/>
  <c r="W5" i="1"/>
  <c r="E5" i="35"/>
  <c r="G5" s="1"/>
  <c r="G101" i="3"/>
  <c r="G94"/>
  <c r="H94" s="1"/>
  <c r="AI5" i="1"/>
  <c r="AC5"/>
  <c r="H133" i="2"/>
  <c r="H133" i="3" s="1"/>
  <c r="H133" i="4" s="1"/>
  <c r="AA5" i="1"/>
  <c r="M5" i="35"/>
  <c r="O5" s="1"/>
  <c r="G85" i="3"/>
  <c r="G148"/>
  <c r="G149" s="1"/>
  <c r="BC5" i="1"/>
  <c r="G152" i="2"/>
  <c r="BB4" i="1"/>
  <c r="G59" i="3"/>
  <c r="AX5" i="1"/>
  <c r="G142" i="3"/>
  <c r="G143" s="1"/>
  <c r="G144"/>
  <c r="G145" s="1"/>
  <c r="AV5" i="1"/>
  <c r="BJ5" s="1"/>
  <c r="AT5"/>
  <c r="G146" i="3"/>
  <c r="G147" s="1"/>
  <c r="G150"/>
  <c r="G151" s="1"/>
  <c r="G47"/>
  <c r="AZ5" i="1"/>
  <c r="I5"/>
  <c r="E3" i="47" s="1"/>
  <c r="H136" i="2"/>
  <c r="J136" s="1"/>
  <c r="H132"/>
  <c r="J132" s="1"/>
  <c r="H96"/>
  <c r="J96" s="1"/>
  <c r="H56"/>
  <c r="H45" i="3"/>
  <c r="H45" i="4" s="1"/>
  <c r="J45" i="2"/>
  <c r="J137"/>
  <c r="H137" i="3"/>
  <c r="J131" i="2"/>
  <c r="AI4" i="1"/>
  <c r="H123" i="2"/>
  <c r="J123" s="1"/>
  <c r="J92"/>
  <c r="H92" i="3"/>
  <c r="H50" i="2"/>
  <c r="BA4" i="1"/>
  <c r="H37" i="2"/>
  <c r="H43"/>
  <c r="H43" i="3" s="1"/>
  <c r="J43" s="1"/>
  <c r="H36" i="2"/>
  <c r="J36" s="1"/>
  <c r="G142"/>
  <c r="G150"/>
  <c r="H38" i="3"/>
  <c r="H44" i="2"/>
  <c r="AU4" i="1"/>
  <c r="AR4"/>
  <c r="G20" i="2"/>
  <c r="J9"/>
  <c r="H9" i="3"/>
  <c r="I140" i="2"/>
  <c r="AL4" i="1"/>
  <c r="H139" i="2"/>
  <c r="I138"/>
  <c r="AD4" i="1"/>
  <c r="AC4"/>
  <c r="I135" i="2"/>
  <c r="H134"/>
  <c r="Y4" i="1"/>
  <c r="G101" i="2"/>
  <c r="E4" i="35"/>
  <c r="G4" s="1"/>
  <c r="H95" i="2"/>
  <c r="G94"/>
  <c r="H93"/>
  <c r="BK4" i="1"/>
  <c r="H84" i="2"/>
  <c r="H82" i="3"/>
  <c r="J76" i="2"/>
  <c r="H76" i="3"/>
  <c r="M4" i="35"/>
  <c r="O4" s="1"/>
  <c r="G85" i="2"/>
  <c r="H72"/>
  <c r="H69"/>
  <c r="J58"/>
  <c r="H55"/>
  <c r="BF4" i="1"/>
  <c r="BE4"/>
  <c r="H54" i="2"/>
  <c r="H53" i="3"/>
  <c r="J53" i="2"/>
  <c r="G59"/>
  <c r="G148"/>
  <c r="BC4" i="1"/>
  <c r="J49" i="2"/>
  <c r="H42"/>
  <c r="AW4" i="1"/>
  <c r="G144" i="2"/>
  <c r="AV4" i="1"/>
  <c r="H41" i="2"/>
  <c r="J39"/>
  <c r="H39" i="3"/>
  <c r="G47" i="2"/>
  <c r="G146"/>
  <c r="H15"/>
  <c r="H7"/>
  <c r="J7" s="1"/>
  <c r="I4" i="1"/>
  <c r="I136" i="43"/>
  <c r="G142"/>
  <c r="G150"/>
  <c r="I138"/>
  <c r="I124" i="42"/>
  <c r="I122"/>
  <c r="G95"/>
  <c r="G94" i="43"/>
  <c r="G84" i="42"/>
  <c r="G85" i="43"/>
  <c r="G144"/>
  <c r="G107" i="42"/>
  <c r="G108" s="1"/>
  <c r="G58"/>
  <c r="G103"/>
  <c r="G104" s="1"/>
  <c r="G59" i="43"/>
  <c r="G105" i="42"/>
  <c r="G106" s="1"/>
  <c r="G47" i="43"/>
  <c r="G146"/>
  <c r="G111" i="42"/>
  <c r="G112" s="1"/>
  <c r="G46"/>
  <c r="G13" i="43"/>
  <c r="E27" i="42"/>
  <c r="G27" s="1"/>
  <c r="Y32" i="1"/>
  <c r="BK31"/>
  <c r="AP31"/>
  <c r="G101" i="29"/>
  <c r="X32" i="1"/>
  <c r="G101" i="30"/>
  <c r="W32" i="1"/>
  <c r="G94" i="30"/>
  <c r="G85" i="29"/>
  <c r="G85" i="30"/>
  <c r="G20"/>
  <c r="G20" i="29"/>
  <c r="P31" i="1" s="1"/>
  <c r="I29" i="47" s="1"/>
  <c r="AM32" i="1"/>
  <c r="AJ32"/>
  <c r="I138" i="30"/>
  <c r="AI32" i="1"/>
  <c r="AH32"/>
  <c r="AD32"/>
  <c r="I133" i="29"/>
  <c r="AE31" i="1"/>
  <c r="AA32"/>
  <c r="I133" i="30"/>
  <c r="I136"/>
  <c r="BF32" i="1"/>
  <c r="BE32"/>
  <c r="BD32"/>
  <c r="BC31"/>
  <c r="G152" i="30"/>
  <c r="BI32" i="1"/>
  <c r="G59" i="30"/>
  <c r="G59" i="29"/>
  <c r="G142"/>
  <c r="BA32" i="1"/>
  <c r="AX32"/>
  <c r="G144" i="29"/>
  <c r="AV32" i="1"/>
  <c r="G144" i="30"/>
  <c r="AU32" i="1"/>
  <c r="G146" i="30"/>
  <c r="AT31" i="1"/>
  <c r="AZ32"/>
  <c r="G47" i="30"/>
  <c r="G150"/>
  <c r="G47" i="29"/>
  <c r="G13"/>
  <c r="G13" i="30"/>
  <c r="I32" i="1"/>
  <c r="E30" i="47" s="1"/>
  <c r="G147" i="33" l="1"/>
  <c r="T29" i="45"/>
  <c r="T30" s="1"/>
  <c r="G153" i="33"/>
  <c r="AB15" i="44"/>
  <c r="I13" i="33"/>
  <c r="I8" i="1"/>
  <c r="E6" i="47" s="1"/>
  <c r="H63" i="3"/>
  <c r="I6" i="35"/>
  <c r="M15" i="1"/>
  <c r="G13" i="47" s="1"/>
  <c r="G149" i="33"/>
  <c r="G151"/>
  <c r="AB35" i="1"/>
  <c r="L28"/>
  <c r="H119" i="3"/>
  <c r="J119" s="1"/>
  <c r="G172" i="12"/>
  <c r="H118" i="4"/>
  <c r="H118" i="5" s="1"/>
  <c r="AK23" i="1"/>
  <c r="H17" i="35"/>
  <c r="K17" s="1"/>
  <c r="L29" i="45"/>
  <c r="L30" s="1"/>
  <c r="BB35" i="1"/>
  <c r="F37"/>
  <c r="H51" i="3"/>
  <c r="H51" i="4" s="1"/>
  <c r="G31" i="2"/>
  <c r="H31" s="1"/>
  <c r="H31" i="3" s="1"/>
  <c r="H31" i="4" s="1"/>
  <c r="N31" i="31"/>
  <c r="H10" i="3"/>
  <c r="J10" s="1"/>
  <c r="AO25" i="1"/>
  <c r="AO8"/>
  <c r="AV35"/>
  <c r="BF35"/>
  <c r="AL35"/>
  <c r="E2" i="47"/>
  <c r="BE35" i="1"/>
  <c r="AU35"/>
  <c r="BA35"/>
  <c r="AS35"/>
  <c r="AD35"/>
  <c r="AJ35"/>
  <c r="AO14"/>
  <c r="AX35"/>
  <c r="AW35"/>
  <c r="AC35"/>
  <c r="AI35"/>
  <c r="BD35"/>
  <c r="AQ35"/>
  <c r="X35"/>
  <c r="W35"/>
  <c r="AH35"/>
  <c r="Y35"/>
  <c r="BK35"/>
  <c r="AP35"/>
  <c r="AA35"/>
  <c r="AY35"/>
  <c r="AZ35"/>
  <c r="BI35"/>
  <c r="O8"/>
  <c r="G6" i="47"/>
  <c r="O22" i="1"/>
  <c r="G20" i="47"/>
  <c r="O20" i="1"/>
  <c r="G18" i="47"/>
  <c r="O13" i="1"/>
  <c r="G11" i="47"/>
  <c r="O12" i="1"/>
  <c r="G10" i="47"/>
  <c r="M10" s="1"/>
  <c r="S16" i="1"/>
  <c r="I14" i="47"/>
  <c r="R21" i="1"/>
  <c r="I19" i="47"/>
  <c r="O4" i="1"/>
  <c r="G2" i="47"/>
  <c r="K2" s="1"/>
  <c r="O33" i="1"/>
  <c r="G31" i="47"/>
  <c r="L9" i="1"/>
  <c r="E7" i="47"/>
  <c r="O14" i="1"/>
  <c r="G12" i="47"/>
  <c r="O24" i="1"/>
  <c r="G22" i="47"/>
  <c r="U29" i="45"/>
  <c r="U30" s="1"/>
  <c r="O7" i="1"/>
  <c r="G5" i="47"/>
  <c r="O32" i="1"/>
  <c r="G30" i="47"/>
  <c r="O28" i="1"/>
  <c r="G26" i="47"/>
  <c r="L11" i="1"/>
  <c r="E9" i="47"/>
  <c r="O6" i="1"/>
  <c r="G4" i="47"/>
  <c r="K4" s="1"/>
  <c r="S11" i="1"/>
  <c r="I9" i="47"/>
  <c r="O10" i="1"/>
  <c r="G8" i="47"/>
  <c r="M8" s="1"/>
  <c r="O31" i="1"/>
  <c r="G29" i="47"/>
  <c r="R24" i="1"/>
  <c r="I22" i="47"/>
  <c r="O29" i="1"/>
  <c r="G27" i="47"/>
  <c r="O23" i="1"/>
  <c r="G21" i="47"/>
  <c r="N29" i="45"/>
  <c r="N30" s="1"/>
  <c r="O16" i="1"/>
  <c r="G14" i="47"/>
  <c r="O11" i="1"/>
  <c r="G9" i="47"/>
  <c r="O26" i="1"/>
  <c r="G24" i="47"/>
  <c r="I24" i="45"/>
  <c r="O9" i="1"/>
  <c r="G7" i="47"/>
  <c r="R17" i="1"/>
  <c r="I15" i="47"/>
  <c r="M15" s="1"/>
  <c r="O18" i="1"/>
  <c r="G16" i="47"/>
  <c r="M16" s="1"/>
  <c r="O30" i="1"/>
  <c r="G28" i="47"/>
  <c r="O19" i="1"/>
  <c r="G17" i="47"/>
  <c r="O25" i="1"/>
  <c r="G23" i="47"/>
  <c r="O21" i="1"/>
  <c r="G19" i="47"/>
  <c r="L20" i="1"/>
  <c r="E18" i="47"/>
  <c r="AS36" i="1"/>
  <c r="BJ16"/>
  <c r="H29" i="45"/>
  <c r="H30" s="1"/>
  <c r="BM28" i="1"/>
  <c r="BN28"/>
  <c r="H12" i="4"/>
  <c r="I13" i="35"/>
  <c r="AO15" i="1"/>
  <c r="G32" i="17"/>
  <c r="I13" i="24"/>
  <c r="G32" i="22"/>
  <c r="G32" i="5"/>
  <c r="AE14" i="1"/>
  <c r="AO33"/>
  <c r="I136" i="19"/>
  <c r="I133"/>
  <c r="G47" i="20"/>
  <c r="G144"/>
  <c r="G145" s="1"/>
  <c r="BJ22" i="1"/>
  <c r="G59" i="19"/>
  <c r="G144" i="18"/>
  <c r="G145" s="1"/>
  <c r="I136"/>
  <c r="AW36" i="1"/>
  <c r="AJ36"/>
  <c r="Q29" i="45"/>
  <c r="Q30" s="1"/>
  <c r="R29"/>
  <c r="R30" s="1"/>
  <c r="BC36" i="1"/>
  <c r="Z16" i="44"/>
  <c r="Z15"/>
  <c r="Z14" i="1"/>
  <c r="G32" i="9"/>
  <c r="AO5" i="1"/>
  <c r="G47" i="4"/>
  <c r="G60" s="1"/>
  <c r="I59" s="1"/>
  <c r="G144"/>
  <c r="G145" s="1"/>
  <c r="J99" i="2"/>
  <c r="H77" i="3"/>
  <c r="H77" i="4" s="1"/>
  <c r="J77" s="1"/>
  <c r="BL4" i="1"/>
  <c r="J12" i="2"/>
  <c r="AE21" i="1"/>
  <c r="J106" i="43"/>
  <c r="H106" i="31"/>
  <c r="N106" s="1"/>
  <c r="J115" i="43"/>
  <c r="H115" i="31"/>
  <c r="N115" s="1"/>
  <c r="J110" i="43"/>
  <c r="H110" i="31"/>
  <c r="N110" s="1"/>
  <c r="J104" i="43"/>
  <c r="H104" i="31"/>
  <c r="N104" s="1"/>
  <c r="E24" i="45"/>
  <c r="E29"/>
  <c r="E30" s="1"/>
  <c r="W24"/>
  <c r="W29"/>
  <c r="W30" s="1"/>
  <c r="J119" i="43"/>
  <c r="H119" i="31"/>
  <c r="J119" s="1"/>
  <c r="J118" i="43"/>
  <c r="H118" i="31"/>
  <c r="J118" s="1"/>
  <c r="G31" i="18"/>
  <c r="G32" s="1"/>
  <c r="K31"/>
  <c r="L164" i="21"/>
  <c r="L172" s="1"/>
  <c r="G172"/>
  <c r="AE20" i="1"/>
  <c r="Z29" i="45"/>
  <c r="Z30" s="1"/>
  <c r="O29"/>
  <c r="O30" s="1"/>
  <c r="J116" i="43"/>
  <c r="H116" i="31"/>
  <c r="J116" s="1"/>
  <c r="J117" i="43"/>
  <c r="H117" i="31"/>
  <c r="N117" s="1"/>
  <c r="J111" i="43"/>
  <c r="H111" i="31"/>
  <c r="N111" s="1"/>
  <c r="J107" i="43"/>
  <c r="H107" i="31"/>
  <c r="N107" s="1"/>
  <c r="P24" i="45"/>
  <c r="P29"/>
  <c r="P30" s="1"/>
  <c r="S25" i="44"/>
  <c r="O62" i="23"/>
  <c r="J29" i="45"/>
  <c r="J30" s="1"/>
  <c r="K29"/>
  <c r="K30" s="1"/>
  <c r="T24"/>
  <c r="J112" i="43"/>
  <c r="H112" i="31"/>
  <c r="N112" s="1"/>
  <c r="J105" i="43"/>
  <c r="H105" i="31"/>
  <c r="N105" s="1"/>
  <c r="J109" i="43"/>
  <c r="H109" i="31"/>
  <c r="N109" s="1"/>
  <c r="V24" i="45"/>
  <c r="V29"/>
  <c r="V30" s="1"/>
  <c r="J120" i="43"/>
  <c r="H120" i="31"/>
  <c r="N120" s="1"/>
  <c r="S24" i="45"/>
  <c r="S29"/>
  <c r="S30" s="1"/>
  <c r="BP4" i="1"/>
  <c r="BN4"/>
  <c r="AO20"/>
  <c r="D29" i="45"/>
  <c r="D30" s="1"/>
  <c r="G29"/>
  <c r="G30" s="1"/>
  <c r="T25" i="44"/>
  <c r="O63" i="23"/>
  <c r="F29" i="45"/>
  <c r="F30" s="1"/>
  <c r="AM21" i="1"/>
  <c r="AO21" s="1"/>
  <c r="AG29" i="45"/>
  <c r="AG30" s="1"/>
  <c r="AE29"/>
  <c r="AE30" s="1"/>
  <c r="AF29"/>
  <c r="AF30" s="1"/>
  <c r="AD29"/>
  <c r="AD30" s="1"/>
  <c r="AC29"/>
  <c r="AC30" s="1"/>
  <c r="AB29"/>
  <c r="AB30" s="1"/>
  <c r="G172" i="24"/>
  <c r="AO26" i="1"/>
  <c r="Y29" i="45"/>
  <c r="Y30" s="1"/>
  <c r="AE25" i="1"/>
  <c r="X29" i="45"/>
  <c r="X30" s="1"/>
  <c r="H119" i="23"/>
  <c r="J119" s="1"/>
  <c r="O119"/>
  <c r="Z25" i="44"/>
  <c r="O69" i="23"/>
  <c r="Y25" i="44"/>
  <c r="O68" i="23"/>
  <c r="X25" i="44"/>
  <c r="O67" i="23"/>
  <c r="W25" i="44"/>
  <c r="O66" i="23"/>
  <c r="V25" i="44"/>
  <c r="O65" i="23"/>
  <c r="U25" i="44"/>
  <c r="O64" i="23"/>
  <c r="G149"/>
  <c r="O149" s="1"/>
  <c r="O148"/>
  <c r="G145"/>
  <c r="O145" s="1"/>
  <c r="O144"/>
  <c r="G147"/>
  <c r="O147" s="1"/>
  <c r="O146"/>
  <c r="G153"/>
  <c r="O153" s="1"/>
  <c r="O152"/>
  <c r="G151"/>
  <c r="O151" s="1"/>
  <c r="O150"/>
  <c r="G143"/>
  <c r="O143" s="1"/>
  <c r="O142"/>
  <c r="P25" i="1"/>
  <c r="O20" i="23"/>
  <c r="H118"/>
  <c r="J118" s="1"/>
  <c r="O118"/>
  <c r="I13"/>
  <c r="O13"/>
  <c r="BJ24" i="1"/>
  <c r="AH4" i="44"/>
  <c r="Z21" i="1"/>
  <c r="Y36"/>
  <c r="G32" i="16"/>
  <c r="AO15" i="44"/>
  <c r="M24" i="45"/>
  <c r="I14" i="35"/>
  <c r="Z14" i="44"/>
  <c r="H13" i="35"/>
  <c r="K13" s="1"/>
  <c r="G32" i="8"/>
  <c r="G32" i="20"/>
  <c r="G60" i="5"/>
  <c r="I59" s="1"/>
  <c r="I13"/>
  <c r="AI36" i="1"/>
  <c r="AO4"/>
  <c r="Z7"/>
  <c r="H19" i="3"/>
  <c r="J19" s="1"/>
  <c r="N29" i="31"/>
  <c r="H144" i="2"/>
  <c r="J144" s="1"/>
  <c r="H148"/>
  <c r="H148" i="3" s="1"/>
  <c r="H20" i="2"/>
  <c r="J20" s="1"/>
  <c r="I20" s="1"/>
  <c r="J118"/>
  <c r="J119"/>
  <c r="J135"/>
  <c r="J130"/>
  <c r="G30"/>
  <c r="J52"/>
  <c r="H40" i="3"/>
  <c r="H40" i="4" s="1"/>
  <c r="H11" i="3"/>
  <c r="H11" i="4" s="1"/>
  <c r="H11" i="5" s="1"/>
  <c r="H59" i="2"/>
  <c r="H59" i="3" s="1"/>
  <c r="H59" i="4" s="1"/>
  <c r="H152" i="2"/>
  <c r="J152" s="1"/>
  <c r="H142"/>
  <c r="J142" s="1"/>
  <c r="H146"/>
  <c r="J146" s="1"/>
  <c r="H101"/>
  <c r="H101" i="3" s="1"/>
  <c r="H101" i="4" s="1"/>
  <c r="H150" i="2"/>
  <c r="J150" s="1"/>
  <c r="H80" i="3"/>
  <c r="H80" i="4" s="1"/>
  <c r="J80" s="1"/>
  <c r="J126" i="2"/>
  <c r="J111" i="31"/>
  <c r="N118"/>
  <c r="J110"/>
  <c r="G172" i="43"/>
  <c r="BJ33" i="1"/>
  <c r="AF33"/>
  <c r="BJ29"/>
  <c r="G172" i="28"/>
  <c r="G172" i="27"/>
  <c r="AM31" i="44"/>
  <c r="G172" i="40"/>
  <c r="G172" i="23"/>
  <c r="G172" i="22"/>
  <c r="U24" i="45"/>
  <c r="Z22" i="1"/>
  <c r="BJ21"/>
  <c r="G172" i="20"/>
  <c r="AM21" i="44"/>
  <c r="G172" i="19"/>
  <c r="AK19" i="1"/>
  <c r="Z20"/>
  <c r="G172" i="18"/>
  <c r="AK17" i="1"/>
  <c r="Z18"/>
  <c r="Z17" i="44"/>
  <c r="G172" i="15"/>
  <c r="O24" i="45"/>
  <c r="H16" i="35"/>
  <c r="K16" s="1"/>
  <c r="G172" i="13"/>
  <c r="G172" i="14"/>
  <c r="AE15" i="1"/>
  <c r="I15" i="35"/>
  <c r="H15"/>
  <c r="X15" i="44"/>
  <c r="H118" i="13"/>
  <c r="J118" s="1"/>
  <c r="G28" i="11"/>
  <c r="G30"/>
  <c r="G31"/>
  <c r="AM11" i="44"/>
  <c r="AK8" i="1"/>
  <c r="AM25" i="44"/>
  <c r="AM20"/>
  <c r="R24" i="45"/>
  <c r="AH36" i="1"/>
  <c r="G32" i="4"/>
  <c r="AK26" i="1"/>
  <c r="AF24" i="45"/>
  <c r="AM32" i="44"/>
  <c r="M5" i="1"/>
  <c r="H15" i="3"/>
  <c r="H85" i="2"/>
  <c r="J85" s="1"/>
  <c r="BJ6" i="1"/>
  <c r="H97" i="3"/>
  <c r="H97" i="4" s="1"/>
  <c r="J66" i="2"/>
  <c r="J73"/>
  <c r="J127"/>
  <c r="G149" i="30"/>
  <c r="H119"/>
  <c r="J119" s="1"/>
  <c r="G32" i="7"/>
  <c r="H67" i="3"/>
  <c r="J67" s="1"/>
  <c r="G101" i="43"/>
  <c r="H100" i="3"/>
  <c r="H100" i="4" s="1"/>
  <c r="H18" i="3"/>
  <c r="J18" s="1"/>
  <c r="Z6" i="1"/>
  <c r="AK21"/>
  <c r="BJ18"/>
  <c r="G32" i="13"/>
  <c r="Y24" i="45"/>
  <c r="G32" i="29"/>
  <c r="G143" i="30"/>
  <c r="H118"/>
  <c r="J118" s="1"/>
  <c r="J63" i="2"/>
  <c r="G32" i="40"/>
  <c r="I13" i="30"/>
  <c r="G145"/>
  <c r="G60"/>
  <c r="G32" i="23"/>
  <c r="O32" s="1"/>
  <c r="G32" i="24"/>
  <c r="G146" i="19"/>
  <c r="G147" s="1"/>
  <c r="G146" i="18"/>
  <c r="G147" s="1"/>
  <c r="X36" i="1"/>
  <c r="AK20"/>
  <c r="Q24" i="45"/>
  <c r="G153" i="13"/>
  <c r="H119"/>
  <c r="J119" s="1"/>
  <c r="E28" i="3"/>
  <c r="G28" s="1"/>
  <c r="G32" s="1"/>
  <c r="Z5" i="1"/>
  <c r="K11" i="35"/>
  <c r="AB5" i="44"/>
  <c r="AH5" s="1"/>
  <c r="AM4"/>
  <c r="G32" i="21"/>
  <c r="AK18" i="1"/>
  <c r="Z17"/>
  <c r="AM17" i="44"/>
  <c r="AM16"/>
  <c r="G143" i="12"/>
  <c r="P143" s="1"/>
  <c r="P142"/>
  <c r="G149"/>
  <c r="P149" s="1"/>
  <c r="P148"/>
  <c r="AK11" i="1"/>
  <c r="P47" i="12"/>
  <c r="G60"/>
  <c r="I60" s="1"/>
  <c r="P85"/>
  <c r="G151"/>
  <c r="P151" s="1"/>
  <c r="P150"/>
  <c r="H118"/>
  <c r="J118" s="1"/>
  <c r="P118"/>
  <c r="H119"/>
  <c r="J119" s="1"/>
  <c r="P119"/>
  <c r="W14" i="44"/>
  <c r="P66" i="12"/>
  <c r="Y14" i="44"/>
  <c r="P68" i="12"/>
  <c r="X14" i="44"/>
  <c r="P67" i="12"/>
  <c r="G145"/>
  <c r="P145" s="1"/>
  <c r="P144"/>
  <c r="G147"/>
  <c r="P147" s="1"/>
  <c r="P146"/>
  <c r="V14" i="44"/>
  <c r="P65" i="12"/>
  <c r="U14" i="44"/>
  <c r="P64" i="12"/>
  <c r="P63"/>
  <c r="G153"/>
  <c r="P153" s="1"/>
  <c r="P152"/>
  <c r="P62"/>
  <c r="G60" i="11"/>
  <c r="Z24" i="45"/>
  <c r="G32" i="33"/>
  <c r="G32" i="14"/>
  <c r="P13" i="12"/>
  <c r="AK15" i="1"/>
  <c r="AM15" i="44"/>
  <c r="N24" i="45"/>
  <c r="AK14" i="1"/>
  <c r="G32" i="12"/>
  <c r="P32" s="1"/>
  <c r="AK13" i="1"/>
  <c r="BN13"/>
  <c r="L13"/>
  <c r="BM13"/>
  <c r="AK12"/>
  <c r="Z12"/>
  <c r="AH11" i="44"/>
  <c r="L24" i="45"/>
  <c r="AK9" i="1"/>
  <c r="J24" i="45"/>
  <c r="H24"/>
  <c r="AK22" i="1"/>
  <c r="G32" i="15"/>
  <c r="X24" i="45"/>
  <c r="AM10" i="44"/>
  <c r="G32" i="19"/>
  <c r="AH7" i="44"/>
  <c r="AM8"/>
  <c r="I15" i="1"/>
  <c r="H14" i="35"/>
  <c r="G32" i="27"/>
  <c r="Z29" i="1"/>
  <c r="AK29"/>
  <c r="G32" i="28"/>
  <c r="AG24" i="45"/>
  <c r="AM24" i="44"/>
  <c r="AM22"/>
  <c r="AM18"/>
  <c r="Z9" i="1"/>
  <c r="Z15"/>
  <c r="Z10"/>
  <c r="L18"/>
  <c r="AE24" i="45"/>
  <c r="H118" i="22"/>
  <c r="J118" s="1"/>
  <c r="AM19" i="44"/>
  <c r="F119" i="43"/>
  <c r="H128" i="18"/>
  <c r="J128" s="1"/>
  <c r="J128" i="17"/>
  <c r="O16" i="3"/>
  <c r="G128"/>
  <c r="H128" s="1"/>
  <c r="J128" s="1"/>
  <c r="H15" i="4"/>
  <c r="AK16" i="1"/>
  <c r="AK24"/>
  <c r="AK25"/>
  <c r="AK10"/>
  <c r="Z8"/>
  <c r="AM12" i="44"/>
  <c r="AM26"/>
  <c r="G32" i="43"/>
  <c r="AM14" i="44"/>
  <c r="AM13"/>
  <c r="AK7" i="1"/>
  <c r="F24" i="45"/>
  <c r="G24"/>
  <c r="H24" i="2"/>
  <c r="J24" s="1"/>
  <c r="T4" i="1"/>
  <c r="H22" i="3"/>
  <c r="J22" s="1"/>
  <c r="H74"/>
  <c r="H74" i="4" s="1"/>
  <c r="J74" s="1"/>
  <c r="H65" i="3"/>
  <c r="H65" i="4" s="1"/>
  <c r="H83" i="3"/>
  <c r="J83" s="1"/>
  <c r="Z4" i="1"/>
  <c r="J98" i="2"/>
  <c r="H81" i="3"/>
  <c r="J81" s="1"/>
  <c r="H79"/>
  <c r="H79" i="4" s="1"/>
  <c r="J79" s="1"/>
  <c r="H125" i="3"/>
  <c r="H125" i="4" s="1"/>
  <c r="H64" i="3"/>
  <c r="J64" s="1"/>
  <c r="D24" i="45"/>
  <c r="G60" i="43"/>
  <c r="I60" s="1"/>
  <c r="AK33" i="1"/>
  <c r="AM33" i="44"/>
  <c r="Z33" i="1"/>
  <c r="G32" i="30"/>
  <c r="AK31" i="1"/>
  <c r="Z31"/>
  <c r="BP31"/>
  <c r="BQ31" s="1"/>
  <c r="BJ31"/>
  <c r="BJ41" s="1"/>
  <c r="AK30"/>
  <c r="AM30" i="44"/>
  <c r="AC24" i="45"/>
  <c r="BN30" i="1"/>
  <c r="AM29" i="44"/>
  <c r="AB24" i="45"/>
  <c r="Z28" i="1"/>
  <c r="Z26"/>
  <c r="AF25"/>
  <c r="Z25"/>
  <c r="AF24"/>
  <c r="AG24" s="1"/>
  <c r="Z24"/>
  <c r="Z23"/>
  <c r="G148" i="20"/>
  <c r="G149" s="1"/>
  <c r="H7" i="3"/>
  <c r="G47" i="18"/>
  <c r="AF18" i="1"/>
  <c r="K9" i="35"/>
  <c r="H124" i="3"/>
  <c r="H124" i="4" s="1"/>
  <c r="BN27" i="1"/>
  <c r="AH33" i="44"/>
  <c r="AO33" s="1"/>
  <c r="AF21" i="1"/>
  <c r="BG20"/>
  <c r="BL20" s="1"/>
  <c r="G145" i="13"/>
  <c r="G147"/>
  <c r="G151"/>
  <c r="G143"/>
  <c r="I13"/>
  <c r="G149"/>
  <c r="Z19" i="1"/>
  <c r="AK5"/>
  <c r="AH32" i="44"/>
  <c r="AO32" s="1"/>
  <c r="BP24" i="1"/>
  <c r="BQ24" s="1"/>
  <c r="AV36"/>
  <c r="BL28"/>
  <c r="AF28"/>
  <c r="AG28" s="1"/>
  <c r="BP28"/>
  <c r="BQ28" s="1"/>
  <c r="G47" i="19"/>
  <c r="AX36" i="1"/>
  <c r="AH16" i="44"/>
  <c r="AO16" s="1"/>
  <c r="K18" i="35"/>
  <c r="G145" i="19"/>
  <c r="BP21" i="1"/>
  <c r="G149" i="19"/>
  <c r="BP23" i="1"/>
  <c r="BQ23" s="1"/>
  <c r="G143" i="19"/>
  <c r="K5" i="35"/>
  <c r="AK6" i="1"/>
  <c r="AF19"/>
  <c r="AG19" s="1"/>
  <c r="AF15"/>
  <c r="AH17" i="44"/>
  <c r="AO17" s="1"/>
  <c r="AH19"/>
  <c r="AO19" s="1"/>
  <c r="G151" i="19"/>
  <c r="Z30" i="1"/>
  <c r="AH8" i="44"/>
  <c r="AU36" i="1"/>
  <c r="K12" i="35"/>
  <c r="AT36" i="1"/>
  <c r="AH15" i="44"/>
  <c r="O17" i="35"/>
  <c r="AH13" i="44"/>
  <c r="BP13" i="1"/>
  <c r="BQ13" s="1"/>
  <c r="BP14"/>
  <c r="AH24" i="44"/>
  <c r="AO24" s="1"/>
  <c r="AH6"/>
  <c r="K7" i="35"/>
  <c r="AF16" i="1"/>
  <c r="AG16" s="1"/>
  <c r="G153" i="3"/>
  <c r="AH10" i="44"/>
  <c r="BJ32" i="1"/>
  <c r="BM18"/>
  <c r="AH18" i="44"/>
  <c r="AO18" s="1"/>
  <c r="P33" i="1"/>
  <c r="BP26"/>
  <c r="BQ26" s="1"/>
  <c r="AF14"/>
  <c r="AF31"/>
  <c r="AG31" s="1"/>
  <c r="BP16"/>
  <c r="BQ16" s="1"/>
  <c r="BP22"/>
  <c r="BQ22" s="1"/>
  <c r="AF26"/>
  <c r="AG26" s="1"/>
  <c r="AF22"/>
  <c r="AG22" s="1"/>
  <c r="AH34" i="44"/>
  <c r="AO34" s="1"/>
  <c r="BL13" i="1"/>
  <c r="I13" i="11"/>
  <c r="AH14" i="44"/>
  <c r="AF13" i="1"/>
  <c r="AG13" s="1"/>
  <c r="BM11"/>
  <c r="BN11"/>
  <c r="K10" i="35"/>
  <c r="AH9" i="44"/>
  <c r="BP10" i="1"/>
  <c r="BM9"/>
  <c r="BN9"/>
  <c r="K6" i="35"/>
  <c r="AF8" i="1"/>
  <c r="AG8" s="1"/>
  <c r="BP8"/>
  <c r="BQ8" s="1"/>
  <c r="J75" i="2"/>
  <c r="J78"/>
  <c r="K4" i="35"/>
  <c r="H62" i="3"/>
  <c r="H62" i="4" s="1"/>
  <c r="BP18" i="1"/>
  <c r="BP17"/>
  <c r="BQ17" s="1"/>
  <c r="BP19"/>
  <c r="BQ19" s="1"/>
  <c r="I21"/>
  <c r="BJ4"/>
  <c r="AH12" i="44"/>
  <c r="AF7" i="1"/>
  <c r="BJ7"/>
  <c r="AR21"/>
  <c r="AR35" s="1"/>
  <c r="BJ25"/>
  <c r="BJ10"/>
  <c r="AF27"/>
  <c r="AG27" s="1"/>
  <c r="BJ27"/>
  <c r="AF12"/>
  <c r="AG12" s="1"/>
  <c r="BJ12"/>
  <c r="AT21"/>
  <c r="BJ23"/>
  <c r="BJ17"/>
  <c r="AT20"/>
  <c r="BM20" s="1"/>
  <c r="BJ15"/>
  <c r="AH30" i="44"/>
  <c r="AO30" s="1"/>
  <c r="AF30" i="1"/>
  <c r="AG30" s="1"/>
  <c r="BJ30"/>
  <c r="AH28" i="44"/>
  <c r="AO28" s="1"/>
  <c r="AH26"/>
  <c r="AO26" s="1"/>
  <c r="AH22"/>
  <c r="AO22" s="1"/>
  <c r="G152" i="19"/>
  <c r="G153" s="1"/>
  <c r="I13"/>
  <c r="BN20" i="1"/>
  <c r="G59" i="18"/>
  <c r="P4" i="1"/>
  <c r="AH20" i="44"/>
  <c r="AO20" s="1"/>
  <c r="AH29"/>
  <c r="AO29" s="1"/>
  <c r="AH23"/>
  <c r="AO23" s="1"/>
  <c r="AH25"/>
  <c r="AO25" s="1"/>
  <c r="AH21"/>
  <c r="AO21" s="1"/>
  <c r="O18" i="35"/>
  <c r="H46" i="3"/>
  <c r="J46" s="1"/>
  <c r="M36" i="1"/>
  <c r="G59" i="20"/>
  <c r="BN29" i="1"/>
  <c r="BC22"/>
  <c r="BN22" s="1"/>
  <c r="BL11"/>
  <c r="BN19"/>
  <c r="BL18"/>
  <c r="BL9"/>
  <c r="BN14"/>
  <c r="BN12"/>
  <c r="BN26"/>
  <c r="BN6"/>
  <c r="BN5"/>
  <c r="BN32"/>
  <c r="BM24"/>
  <c r="BL24"/>
  <c r="BM5"/>
  <c r="BL5"/>
  <c r="BM25"/>
  <c r="BL25"/>
  <c r="BM12"/>
  <c r="BL12"/>
  <c r="L27"/>
  <c r="BL27"/>
  <c r="BM27"/>
  <c r="BM4"/>
  <c r="L8"/>
  <c r="BM8"/>
  <c r="BL8"/>
  <c r="BL22"/>
  <c r="BM22"/>
  <c r="BM29"/>
  <c r="BL29"/>
  <c r="BN25"/>
  <c r="BN18"/>
  <c r="BM32"/>
  <c r="BL32"/>
  <c r="BL14"/>
  <c r="BM14"/>
  <c r="BL23"/>
  <c r="BM23"/>
  <c r="BL7"/>
  <c r="BM7"/>
  <c r="BL10"/>
  <c r="BM10"/>
  <c r="BL6"/>
  <c r="BM6"/>
  <c r="BL30"/>
  <c r="BM30"/>
  <c r="BL19"/>
  <c r="BM19"/>
  <c r="BM16"/>
  <c r="BL16"/>
  <c r="BM17"/>
  <c r="BL17"/>
  <c r="BL26"/>
  <c r="BM26"/>
  <c r="BN24"/>
  <c r="BN7"/>
  <c r="BN16"/>
  <c r="BN23"/>
  <c r="BN17"/>
  <c r="BN10"/>
  <c r="BN8"/>
  <c r="I13" i="29"/>
  <c r="Z13" i="1"/>
  <c r="P28"/>
  <c r="BP7"/>
  <c r="P20"/>
  <c r="H57" i="4"/>
  <c r="H57" i="5" s="1"/>
  <c r="S21" i="1"/>
  <c r="P15"/>
  <c r="G145" i="29"/>
  <c r="P26" i="1"/>
  <c r="I31"/>
  <c r="G147" i="29"/>
  <c r="G149"/>
  <c r="G153"/>
  <c r="G151"/>
  <c r="P6" i="1"/>
  <c r="AK4"/>
  <c r="J140" i="2"/>
  <c r="H131" i="4"/>
  <c r="H131" i="5" s="1"/>
  <c r="J138" i="2"/>
  <c r="J68"/>
  <c r="BP27" i="1"/>
  <c r="BQ27" s="1"/>
  <c r="G60" i="27"/>
  <c r="I59" s="1"/>
  <c r="S24" i="1"/>
  <c r="P23"/>
  <c r="R11"/>
  <c r="H136" i="3"/>
  <c r="H136" i="4" s="1"/>
  <c r="Z16" i="1"/>
  <c r="P22"/>
  <c r="P8"/>
  <c r="I6" i="47" s="1"/>
  <c r="G31" i="42"/>
  <c r="P13" i="1"/>
  <c r="BP30"/>
  <c r="BQ30" s="1"/>
  <c r="L29"/>
  <c r="P29"/>
  <c r="I27" i="47" s="1"/>
  <c r="M27" s="1"/>
  <c r="Z11" i="1"/>
  <c r="AC36"/>
  <c r="L22"/>
  <c r="G60" i="28"/>
  <c r="I59" s="1"/>
  <c r="AO36" i="1"/>
  <c r="G60" i="17"/>
  <c r="I60" s="1"/>
  <c r="G60" i="15"/>
  <c r="I60" s="1"/>
  <c r="G60" i="16"/>
  <c r="I59" s="1"/>
  <c r="R16" i="1"/>
  <c r="S17"/>
  <c r="AR36"/>
  <c r="O17"/>
  <c r="BG36"/>
  <c r="L26"/>
  <c r="L24"/>
  <c r="P19"/>
  <c r="I17" i="47" s="1"/>
  <c r="H96" i="3"/>
  <c r="J96" s="1"/>
  <c r="G60" i="40"/>
  <c r="I59" s="1"/>
  <c r="AK28" i="1"/>
  <c r="V36"/>
  <c r="AF17"/>
  <c r="AG17" s="1"/>
  <c r="G60" i="14"/>
  <c r="I59" s="1"/>
  <c r="BP15" i="1"/>
  <c r="P14"/>
  <c r="BP12"/>
  <c r="BQ12" s="1"/>
  <c r="S12"/>
  <c r="R12"/>
  <c r="G60" i="9"/>
  <c r="I59" s="1"/>
  <c r="AE10" i="1"/>
  <c r="AF10"/>
  <c r="L10"/>
  <c r="H138" i="4"/>
  <c r="J138" s="1"/>
  <c r="J138" i="3"/>
  <c r="L12" i="1"/>
  <c r="S10"/>
  <c r="R10"/>
  <c r="P30"/>
  <c r="I28" i="47" s="1"/>
  <c r="M28" s="1"/>
  <c r="J73" i="3"/>
  <c r="H35"/>
  <c r="H35" i="4" s="1"/>
  <c r="W36" i="1"/>
  <c r="G60" i="23"/>
  <c r="L30" i="1"/>
  <c r="P27"/>
  <c r="I25" i="47" s="1"/>
  <c r="M25" s="1"/>
  <c r="AF29" i="1"/>
  <c r="AG29" s="1"/>
  <c r="BP29"/>
  <c r="BQ29" s="1"/>
  <c r="L25"/>
  <c r="J24" i="5"/>
  <c r="H24" i="33"/>
  <c r="AF23" i="1"/>
  <c r="AG23" s="1"/>
  <c r="G60" i="22"/>
  <c r="L60" s="1"/>
  <c r="G60" i="8"/>
  <c r="I59" s="1"/>
  <c r="AK27" i="1"/>
  <c r="L7"/>
  <c r="G60" i="7"/>
  <c r="I60" s="1"/>
  <c r="J68" i="3"/>
  <c r="H68" i="4"/>
  <c r="H68" i="5" s="1"/>
  <c r="AQ36" i="1"/>
  <c r="AF11"/>
  <c r="AG11" s="1"/>
  <c r="BP11"/>
  <c r="BQ11" s="1"/>
  <c r="L14"/>
  <c r="L23"/>
  <c r="L16"/>
  <c r="L17"/>
  <c r="I36"/>
  <c r="H23" i="4"/>
  <c r="J23" i="3"/>
  <c r="I13" i="16"/>
  <c r="R25" i="1"/>
  <c r="P7"/>
  <c r="G60" i="33"/>
  <c r="H140" i="4"/>
  <c r="J140" s="1"/>
  <c r="P5" i="1"/>
  <c r="G60" i="21"/>
  <c r="L60" s="1"/>
  <c r="G60" i="24"/>
  <c r="I60" s="1"/>
  <c r="AE18" i="1"/>
  <c r="AE36" s="1"/>
  <c r="AF9"/>
  <c r="AG9" s="1"/>
  <c r="BP9"/>
  <c r="BQ9" s="1"/>
  <c r="L19"/>
  <c r="J70" i="13"/>
  <c r="H70" i="14"/>
  <c r="H70" i="29" s="1"/>
  <c r="R18" i="1"/>
  <c r="S18"/>
  <c r="P36"/>
  <c r="R9"/>
  <c r="S9"/>
  <c r="H43" i="4"/>
  <c r="H43" i="5" s="1"/>
  <c r="J57" i="2"/>
  <c r="BP25" i="1"/>
  <c r="G60" i="13"/>
  <c r="AE7" i="1"/>
  <c r="H94" i="4"/>
  <c r="H94" i="5" s="1"/>
  <c r="AE6" i="1"/>
  <c r="BP6"/>
  <c r="AF6"/>
  <c r="L6"/>
  <c r="J94" i="3"/>
  <c r="AE5" i="1"/>
  <c r="J133" i="4"/>
  <c r="H133" i="5"/>
  <c r="J133" s="1"/>
  <c r="J133" i="2"/>
  <c r="J133" i="3"/>
  <c r="J118"/>
  <c r="G60"/>
  <c r="I59" s="1"/>
  <c r="G153" i="2"/>
  <c r="J43"/>
  <c r="AF5" i="1"/>
  <c r="BP5"/>
  <c r="L5"/>
  <c r="H132" i="3"/>
  <c r="J132" s="1"/>
  <c r="J56" i="2"/>
  <c r="H56" i="3"/>
  <c r="J45"/>
  <c r="H137" i="4"/>
  <c r="J137" i="3"/>
  <c r="H130" i="4"/>
  <c r="J130" i="3"/>
  <c r="H123"/>
  <c r="H123" i="4" s="1"/>
  <c r="J92" i="3"/>
  <c r="H92" i="4"/>
  <c r="J77" i="3"/>
  <c r="J50" i="2"/>
  <c r="H50" i="3"/>
  <c r="G143" i="2"/>
  <c r="H13"/>
  <c r="H13" i="3" s="1"/>
  <c r="J37" i="2"/>
  <c r="H37" i="3"/>
  <c r="G151" i="2"/>
  <c r="H36" i="3"/>
  <c r="J36" s="1"/>
  <c r="H45" i="5"/>
  <c r="J45" i="4"/>
  <c r="J44" i="2"/>
  <c r="H44" i="3"/>
  <c r="H38" i="4"/>
  <c r="J38" i="3"/>
  <c r="H9" i="4"/>
  <c r="J9" i="3"/>
  <c r="AE4" i="1"/>
  <c r="J139" i="2"/>
  <c r="H139" i="3"/>
  <c r="H135" i="4"/>
  <c r="J135" i="3"/>
  <c r="H134"/>
  <c r="J134" i="2"/>
  <c r="H127" i="4"/>
  <c r="J127" s="1"/>
  <c r="H126"/>
  <c r="J126" s="1"/>
  <c r="H99"/>
  <c r="J99" i="3"/>
  <c r="J98"/>
  <c r="H98" i="4"/>
  <c r="H95" i="3"/>
  <c r="J95" i="2"/>
  <c r="H93" i="3"/>
  <c r="J93" i="2"/>
  <c r="H84" i="3"/>
  <c r="H85"/>
  <c r="J84" i="2"/>
  <c r="J82" i="3"/>
  <c r="H82" i="4"/>
  <c r="J82" s="1"/>
  <c r="J80" i="3"/>
  <c r="J78"/>
  <c r="H78" i="4"/>
  <c r="J78" s="1"/>
  <c r="J76" i="3"/>
  <c r="H76" i="4"/>
  <c r="J76" s="1"/>
  <c r="H75"/>
  <c r="J75" s="1"/>
  <c r="J75" i="3"/>
  <c r="H73" i="5"/>
  <c r="H72" i="3"/>
  <c r="J72" i="2"/>
  <c r="J69"/>
  <c r="H69" i="3"/>
  <c r="J66"/>
  <c r="H66" i="4"/>
  <c r="H63"/>
  <c r="J63" i="3"/>
  <c r="J58"/>
  <c r="H58" i="4"/>
  <c r="G145" i="2"/>
  <c r="H55" i="3"/>
  <c r="J55" i="2"/>
  <c r="H54" i="3"/>
  <c r="J54" i="2"/>
  <c r="J53" i="3"/>
  <c r="H53" i="4"/>
  <c r="H52"/>
  <c r="J52" i="3"/>
  <c r="G149" i="2"/>
  <c r="J148"/>
  <c r="J49" i="3"/>
  <c r="H49" i="4"/>
  <c r="H42" i="3"/>
  <c r="J42" i="2"/>
  <c r="AF4" i="1"/>
  <c r="J41" i="2"/>
  <c r="H41" i="3"/>
  <c r="H47" i="2"/>
  <c r="G60"/>
  <c r="G147"/>
  <c r="J39" i="3"/>
  <c r="H39" i="4"/>
  <c r="J28" i="2"/>
  <c r="J15"/>
  <c r="I16" s="1"/>
  <c r="J12" i="4"/>
  <c r="H12" i="5"/>
  <c r="H27" i="3"/>
  <c r="L4" i="1"/>
  <c r="AE33"/>
  <c r="S33"/>
  <c r="AO32"/>
  <c r="AE32"/>
  <c r="G59" i="42"/>
  <c r="I59" s="1"/>
  <c r="G151" i="30"/>
  <c r="Z32" i="1"/>
  <c r="P32"/>
  <c r="I30" i="47" s="1"/>
  <c r="AK32" i="1"/>
  <c r="G147" i="30"/>
  <c r="G153"/>
  <c r="G143" i="29"/>
  <c r="AF32" i="1"/>
  <c r="BP32"/>
  <c r="G60" i="29"/>
  <c r="R31" i="1"/>
  <c r="S31"/>
  <c r="L32"/>
  <c r="O15" l="1"/>
  <c r="J100" i="3"/>
  <c r="M35" i="1"/>
  <c r="M17" i="47"/>
  <c r="H18" i="4"/>
  <c r="J18" s="1"/>
  <c r="M6" i="47"/>
  <c r="H119" i="4"/>
  <c r="H119" i="5" s="1"/>
  <c r="N116" i="31"/>
  <c r="J109"/>
  <c r="J115"/>
  <c r="J118" i="5"/>
  <c r="H118" i="33"/>
  <c r="J119" i="5"/>
  <c r="H119" i="33"/>
  <c r="BO24" i="1"/>
  <c r="J118" i="4"/>
  <c r="J119"/>
  <c r="M22" i="47"/>
  <c r="O36" i="1"/>
  <c r="AG14"/>
  <c r="BQ14"/>
  <c r="J51" i="3"/>
  <c r="N119" i="31"/>
  <c r="J101" i="2"/>
  <c r="J106" i="31"/>
  <c r="J105"/>
  <c r="H146" i="3"/>
  <c r="H146" i="4" s="1"/>
  <c r="H144" i="3"/>
  <c r="H144" i="4" s="1"/>
  <c r="H144" i="5" s="1"/>
  <c r="J11" i="3"/>
  <c r="J11" i="4"/>
  <c r="H10"/>
  <c r="J10" s="1"/>
  <c r="H142" i="3"/>
  <c r="H142" i="4" s="1"/>
  <c r="H142" i="5" s="1"/>
  <c r="M14" i="47"/>
  <c r="V4" i="1"/>
  <c r="V35" s="1"/>
  <c r="T35"/>
  <c r="P35"/>
  <c r="AM35"/>
  <c r="BC35"/>
  <c r="BR4"/>
  <c r="AE35"/>
  <c r="AK35"/>
  <c r="M30" i="47"/>
  <c r="BG35" i="1"/>
  <c r="AO35"/>
  <c r="AT35"/>
  <c r="Z35"/>
  <c r="S7"/>
  <c r="I5" i="47"/>
  <c r="M5" s="1"/>
  <c r="S20" i="1"/>
  <c r="I18" i="47"/>
  <c r="M18" s="1"/>
  <c r="L21" i="1"/>
  <c r="E19" i="47"/>
  <c r="M19" s="1"/>
  <c r="R22" i="1"/>
  <c r="BO22" s="1"/>
  <c r="I20" i="47"/>
  <c r="M20" s="1"/>
  <c r="S25" i="1"/>
  <c r="I23" i="47"/>
  <c r="M23" s="1"/>
  <c r="S14" i="1"/>
  <c r="I12" i="47"/>
  <c r="M12" s="1"/>
  <c r="R33" i="1"/>
  <c r="BO33" s="1"/>
  <c r="I31" i="47"/>
  <c r="S6" i="1"/>
  <c r="I4" i="47"/>
  <c r="M4" s="1"/>
  <c r="S15" i="1"/>
  <c r="I13" i="47"/>
  <c r="S5" i="1"/>
  <c r="I3" i="47"/>
  <c r="R13" i="1"/>
  <c r="BO13" s="1"/>
  <c r="I11" i="47"/>
  <c r="M11" s="1"/>
  <c r="S4" i="1"/>
  <c r="I2" i="47"/>
  <c r="M2" s="1"/>
  <c r="M9"/>
  <c r="R23" i="1"/>
  <c r="I21" i="47"/>
  <c r="M21" s="1"/>
  <c r="R26" i="1"/>
  <c r="BO26" s="1"/>
  <c r="I24" i="47"/>
  <c r="M24" s="1"/>
  <c r="O5" i="1"/>
  <c r="G3" i="47"/>
  <c r="K3" s="1"/>
  <c r="BN31" i="1"/>
  <c r="E29" i="47"/>
  <c r="M29" s="1"/>
  <c r="S28" i="1"/>
  <c r="I26" i="47"/>
  <c r="M26" s="1"/>
  <c r="BL15" i="1"/>
  <c r="E13" i="47"/>
  <c r="M7"/>
  <c r="J120" i="31"/>
  <c r="AG21" i="1"/>
  <c r="J112" i="31"/>
  <c r="J104"/>
  <c r="J117"/>
  <c r="G60" i="20"/>
  <c r="I60" s="1"/>
  <c r="BQ21" i="1"/>
  <c r="G60" i="19"/>
  <c r="I59" s="1"/>
  <c r="Z36" i="1"/>
  <c r="AK36"/>
  <c r="K14" i="35"/>
  <c r="BQ5" i="1"/>
  <c r="J59" i="2"/>
  <c r="J124" i="3"/>
  <c r="J107" i="31"/>
  <c r="BQ4" i="1"/>
  <c r="BQ32"/>
  <c r="BQ25"/>
  <c r="AG25"/>
  <c r="I59" i="23"/>
  <c r="O60"/>
  <c r="BQ18" i="1"/>
  <c r="BQ15"/>
  <c r="AG15"/>
  <c r="BQ10"/>
  <c r="BQ6"/>
  <c r="BQ7"/>
  <c r="I60" i="5"/>
  <c r="H19" i="4"/>
  <c r="J19" s="1"/>
  <c r="H151" i="2"/>
  <c r="H151" i="3" s="1"/>
  <c r="J151" s="1"/>
  <c r="H147" i="2"/>
  <c r="H147" i="3" s="1"/>
  <c r="H147" i="4" s="1"/>
  <c r="H153" i="2"/>
  <c r="J153" s="1"/>
  <c r="J40" i="3"/>
  <c r="H150"/>
  <c r="H150" i="4" s="1"/>
  <c r="J150" s="1"/>
  <c r="G29" i="2"/>
  <c r="G32" s="1"/>
  <c r="H30"/>
  <c r="H30" i="3" s="1"/>
  <c r="H30" i="4" s="1"/>
  <c r="J30" s="1"/>
  <c r="H145" i="2"/>
  <c r="H145" i="3" s="1"/>
  <c r="H145" i="4" s="1"/>
  <c r="H143" i="2"/>
  <c r="J143" s="1"/>
  <c r="H149"/>
  <c r="H149" i="3" s="1"/>
  <c r="H149" i="4" s="1"/>
  <c r="H152" i="3"/>
  <c r="L15" i="1"/>
  <c r="K15" i="35"/>
  <c r="G32" i="11"/>
  <c r="J97" i="3"/>
  <c r="H67" i="4"/>
  <c r="H67" i="5" s="1"/>
  <c r="I60" i="30"/>
  <c r="AG33" i="1"/>
  <c r="R4"/>
  <c r="J125" i="3"/>
  <c r="H28"/>
  <c r="H28" i="4" s="1"/>
  <c r="H28" i="5" s="1"/>
  <c r="J79" i="3"/>
  <c r="AF20" i="1"/>
  <c r="AG20" s="1"/>
  <c r="I59" i="11"/>
  <c r="H128" i="19"/>
  <c r="H128" i="20" s="1"/>
  <c r="P60" i="12"/>
  <c r="I59"/>
  <c r="I60" i="11"/>
  <c r="BM15" i="1"/>
  <c r="H83" i="4"/>
  <c r="L36" i="1"/>
  <c r="BN15"/>
  <c r="H81" i="4"/>
  <c r="J81" s="1"/>
  <c r="H128"/>
  <c r="J128" s="1"/>
  <c r="H22"/>
  <c r="J22" s="1"/>
  <c r="J74" i="3"/>
  <c r="H64" i="4"/>
  <c r="H64" i="5" s="1"/>
  <c r="J31" i="3"/>
  <c r="J65"/>
  <c r="H27" i="4"/>
  <c r="J27" i="3"/>
  <c r="J31" i="4"/>
  <c r="H31" i="5"/>
  <c r="G60" i="18"/>
  <c r="I59" s="1"/>
  <c r="BM21" i="1"/>
  <c r="BP20"/>
  <c r="BQ20" s="1"/>
  <c r="BJ20"/>
  <c r="BJ35" s="1"/>
  <c r="J62" i="3"/>
  <c r="BN21" i="1"/>
  <c r="BO21"/>
  <c r="BP36"/>
  <c r="BM36"/>
  <c r="BO11"/>
  <c r="BL21"/>
  <c r="BO9"/>
  <c r="AG7"/>
  <c r="BL31"/>
  <c r="H46" i="4"/>
  <c r="J46" s="1"/>
  <c r="BL36" i="1"/>
  <c r="L31"/>
  <c r="BM31"/>
  <c r="S26"/>
  <c r="R20"/>
  <c r="BO20" s="1"/>
  <c r="R15"/>
  <c r="R6"/>
  <c r="BO6" s="1"/>
  <c r="J57" i="4"/>
  <c r="R28" i="1"/>
  <c r="BO28" s="1"/>
  <c r="BO31"/>
  <c r="J131" i="4"/>
  <c r="S13" i="1"/>
  <c r="H138" i="5"/>
  <c r="H138" i="33" s="1"/>
  <c r="J136" i="3"/>
  <c r="J123"/>
  <c r="J101"/>
  <c r="H133" i="33"/>
  <c r="H133" i="7" s="1"/>
  <c r="H133" i="8" s="1"/>
  <c r="J43" i="4"/>
  <c r="I60" i="28"/>
  <c r="H140" i="5"/>
  <c r="J140" s="1"/>
  <c r="I60" i="27"/>
  <c r="S23" i="1"/>
  <c r="S22"/>
  <c r="R29"/>
  <c r="BO29" s="1"/>
  <c r="S29"/>
  <c r="R8"/>
  <c r="BO8" s="1"/>
  <c r="S8"/>
  <c r="J35" i="3"/>
  <c r="R14" i="1"/>
  <c r="BO14" s="1"/>
  <c r="I60" i="40"/>
  <c r="I59" i="17"/>
  <c r="I59" i="15"/>
  <c r="I60" i="16"/>
  <c r="I60" i="14"/>
  <c r="AF36" i="1"/>
  <c r="BO16"/>
  <c r="H96" i="4"/>
  <c r="H96" i="5" s="1"/>
  <c r="R19" i="1"/>
  <c r="BO19" s="1"/>
  <c r="S19"/>
  <c r="S36"/>
  <c r="H132" i="4"/>
  <c r="J132" s="1"/>
  <c r="AG18" i="1"/>
  <c r="AG36" s="1"/>
  <c r="BO12"/>
  <c r="I60" i="9"/>
  <c r="BO10" i="1"/>
  <c r="AG10"/>
  <c r="I59" i="22"/>
  <c r="I60"/>
  <c r="J68" i="4"/>
  <c r="BO25" i="1"/>
  <c r="H24" i="7"/>
  <c r="J24" i="33"/>
  <c r="R27" i="1"/>
  <c r="BO27" s="1"/>
  <c r="S27"/>
  <c r="R30"/>
  <c r="BO30" s="1"/>
  <c r="S30"/>
  <c r="I60" i="8"/>
  <c r="R5" i="1"/>
  <c r="I60" i="23"/>
  <c r="I59" i="7"/>
  <c r="R7" i="1"/>
  <c r="BO7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s="1"/>
  <c r="H70" i="19"/>
  <c r="H70" i="20"/>
  <c r="H70" i="15"/>
  <c r="H69" i="42"/>
  <c r="H70" i="24"/>
  <c r="H70" i="25" s="1"/>
  <c r="K36" i="1"/>
  <c r="BO17"/>
  <c r="R36"/>
  <c r="BO18"/>
  <c r="I59" i="21"/>
  <c r="I60"/>
  <c r="J23" i="4"/>
  <c r="H23" i="5"/>
  <c r="BO23" i="1"/>
  <c r="I59" i="13"/>
  <c r="I60"/>
  <c r="I59" i="24"/>
  <c r="I59" i="33"/>
  <c r="I60"/>
  <c r="AG6" i="1"/>
  <c r="J94" i="4"/>
  <c r="I60"/>
  <c r="J94" i="5"/>
  <c r="H94" i="33"/>
  <c r="H18" i="5"/>
  <c r="AG5" i="1"/>
  <c r="I60" i="3"/>
  <c r="J59"/>
  <c r="AG4" i="1"/>
  <c r="J56" i="3"/>
  <c r="H56" i="4"/>
  <c r="J13" i="2"/>
  <c r="H131" i="33"/>
  <c r="J131" i="5"/>
  <c r="J130" i="4"/>
  <c r="H130" i="5"/>
  <c r="J137" i="4"/>
  <c r="H137" i="5"/>
  <c r="H136"/>
  <c r="J136" i="4"/>
  <c r="J92"/>
  <c r="H92" i="5"/>
  <c r="H77"/>
  <c r="J68"/>
  <c r="H68" i="33"/>
  <c r="J62" i="4"/>
  <c r="H62" i="5"/>
  <c r="J50" i="3"/>
  <c r="H50" i="4"/>
  <c r="H57" i="33"/>
  <c r="J57" i="5"/>
  <c r="J37" i="3"/>
  <c r="H37" i="4"/>
  <c r="H36"/>
  <c r="J35"/>
  <c r="H35" i="5"/>
  <c r="J38" i="4"/>
  <c r="H38" i="5"/>
  <c r="H45" i="33"/>
  <c r="J45" i="5"/>
  <c r="H44" i="4"/>
  <c r="J44" i="3"/>
  <c r="H40" i="5"/>
  <c r="J40" i="4"/>
  <c r="H20" i="3"/>
  <c r="J9" i="4"/>
  <c r="H9" i="5"/>
  <c r="J11"/>
  <c r="H11" i="33"/>
  <c r="J139" i="3"/>
  <c r="H139" i="4"/>
  <c r="H135" i="5"/>
  <c r="J135" i="4"/>
  <c r="J134" i="3"/>
  <c r="H134" i="4"/>
  <c r="J125"/>
  <c r="H125" i="5"/>
  <c r="H127"/>
  <c r="H126"/>
  <c r="J124" i="4"/>
  <c r="H124" i="5"/>
  <c r="J123" i="4"/>
  <c r="H123" i="5"/>
  <c r="H100"/>
  <c r="J100" i="4"/>
  <c r="H99" i="5"/>
  <c r="J99" i="4"/>
  <c r="J98"/>
  <c r="H98" i="5"/>
  <c r="H97"/>
  <c r="J97" i="4"/>
  <c r="H101" i="5"/>
  <c r="J101" i="4"/>
  <c r="J95" i="3"/>
  <c r="H95" i="4"/>
  <c r="H93"/>
  <c r="J93" i="3"/>
  <c r="J84"/>
  <c r="H84" i="4"/>
  <c r="J84" s="1"/>
  <c r="J85" i="3"/>
  <c r="H85" i="4"/>
  <c r="J85" s="1"/>
  <c r="H82" i="5"/>
  <c r="H80"/>
  <c r="H79"/>
  <c r="H78"/>
  <c r="H76"/>
  <c r="H75"/>
  <c r="H74"/>
  <c r="H73" i="33"/>
  <c r="J73" i="5"/>
  <c r="H72" i="4"/>
  <c r="J72" i="3"/>
  <c r="J69"/>
  <c r="H69" i="4"/>
  <c r="H66" i="5"/>
  <c r="J66" i="4"/>
  <c r="H65" i="5"/>
  <c r="J65" i="4"/>
  <c r="J63"/>
  <c r="H63" i="5"/>
  <c r="J58" i="4"/>
  <c r="H58" i="5"/>
  <c r="J55" i="3"/>
  <c r="H55" i="4"/>
  <c r="J54" i="3"/>
  <c r="H54" i="4"/>
  <c r="H53" i="5"/>
  <c r="J53" i="4"/>
  <c r="H148"/>
  <c r="J148" i="3"/>
  <c r="J52" i="4"/>
  <c r="H52" i="5"/>
  <c r="H51"/>
  <c r="J51" i="4"/>
  <c r="H49" i="5"/>
  <c r="J49" i="4"/>
  <c r="J59"/>
  <c r="H59" i="5"/>
  <c r="J43"/>
  <c r="H43" i="33"/>
  <c r="J42" i="3"/>
  <c r="H42" i="4"/>
  <c r="J144"/>
  <c r="H41"/>
  <c r="J41" i="3"/>
  <c r="H60" i="2"/>
  <c r="I60"/>
  <c r="I59"/>
  <c r="H47" i="3"/>
  <c r="J47" i="2"/>
  <c r="H39" i="5"/>
  <c r="J39" i="4"/>
  <c r="J15" i="3"/>
  <c r="I16" s="1"/>
  <c r="J12" i="5"/>
  <c r="H12" i="33"/>
  <c r="J13" i="3"/>
  <c r="H13" i="4"/>
  <c r="J27" i="2"/>
  <c r="H7" i="4"/>
  <c r="J7" i="3"/>
  <c r="AG32" i="1"/>
  <c r="I58" i="42"/>
  <c r="S32" i="1"/>
  <c r="R32"/>
  <c r="BO32" s="1"/>
  <c r="I59" i="29"/>
  <c r="I60"/>
  <c r="I59" i="30"/>
  <c r="O35" i="1" l="1"/>
  <c r="J147" i="3"/>
  <c r="H83" i="5"/>
  <c r="J83" i="4"/>
  <c r="J118" i="33"/>
  <c r="H118" i="7"/>
  <c r="H31" i="33"/>
  <c r="J31" i="5"/>
  <c r="H119" i="7"/>
  <c r="J119" i="33"/>
  <c r="J146" i="3"/>
  <c r="J147" i="2"/>
  <c r="J142" i="4"/>
  <c r="J142" i="3"/>
  <c r="J144"/>
  <c r="BO5" i="1"/>
  <c r="H10" i="5"/>
  <c r="H10" i="33" s="1"/>
  <c r="J149" i="2"/>
  <c r="AG35" i="1"/>
  <c r="AF35"/>
  <c r="S35"/>
  <c r="BO4"/>
  <c r="R35"/>
  <c r="M13" i="47"/>
  <c r="M3"/>
  <c r="I59" i="20"/>
  <c r="I60" i="19"/>
  <c r="J30" i="2"/>
  <c r="J145" i="3"/>
  <c r="H150" i="5"/>
  <c r="J150" s="1"/>
  <c r="J149" i="3"/>
  <c r="J150"/>
  <c r="J30"/>
  <c r="H19" i="5"/>
  <c r="H19" i="33" s="1"/>
  <c r="H19" i="7" s="1"/>
  <c r="J145" i="2"/>
  <c r="J152" i="3"/>
  <c r="H152" i="4"/>
  <c r="H151"/>
  <c r="J151" s="1"/>
  <c r="H32" i="2"/>
  <c r="J32" s="1"/>
  <c r="H153" i="3"/>
  <c r="J153" s="1"/>
  <c r="J151" i="2"/>
  <c r="H29"/>
  <c r="H29" i="3" s="1"/>
  <c r="J29" s="1"/>
  <c r="H143"/>
  <c r="H143" i="4" s="1"/>
  <c r="H143" i="5" s="1"/>
  <c r="J28" i="4"/>
  <c r="BO15" i="1"/>
  <c r="H128" i="5"/>
  <c r="J128" s="1"/>
  <c r="J67" i="4"/>
  <c r="J64"/>
  <c r="H81" i="5"/>
  <c r="H81" i="33" s="1"/>
  <c r="H81" i="7" s="1"/>
  <c r="J28" i="3"/>
  <c r="H22" i="5"/>
  <c r="H22" i="33" s="1"/>
  <c r="J22" s="1"/>
  <c r="J128" i="19"/>
  <c r="J128" i="20"/>
  <c r="H128" i="21"/>
  <c r="H30" i="5"/>
  <c r="J30" s="1"/>
  <c r="J27" i="4"/>
  <c r="H27" i="5"/>
  <c r="H28" i="33"/>
  <c r="J28" i="5"/>
  <c r="I60" i="18"/>
  <c r="H46" i="5"/>
  <c r="J46" s="1"/>
  <c r="J133" i="33"/>
  <c r="J133" i="7"/>
  <c r="J138" i="5"/>
  <c r="H140" i="33"/>
  <c r="H140" i="7" s="1"/>
  <c r="J96" i="4"/>
  <c r="H132" i="5"/>
  <c r="J132" s="1"/>
  <c r="J24" i="7"/>
  <c r="H24" i="8"/>
  <c r="BO36" i="1"/>
  <c r="J23" i="5"/>
  <c r="H23" i="33"/>
  <c r="J94"/>
  <c r="H94" i="7"/>
  <c r="H18" i="33"/>
  <c r="J18" i="5"/>
  <c r="H56"/>
  <c r="J56" i="4"/>
  <c r="J131" i="33"/>
  <c r="H131" i="7"/>
  <c r="J137" i="5"/>
  <c r="H137" i="33"/>
  <c r="J136" i="5"/>
  <c r="H136" i="33"/>
  <c r="J130" i="5"/>
  <c r="H130" i="33"/>
  <c r="J92" i="5"/>
  <c r="H92" i="33"/>
  <c r="J77" i="5"/>
  <c r="H77" i="33"/>
  <c r="H62"/>
  <c r="J62" i="5"/>
  <c r="H64" i="33"/>
  <c r="J64" i="5"/>
  <c r="J68" i="33"/>
  <c r="H68" i="7"/>
  <c r="J57" i="33"/>
  <c r="H57" i="7"/>
  <c r="J50" i="4"/>
  <c r="H50" i="5"/>
  <c r="J37" i="4"/>
  <c r="H37" i="5"/>
  <c r="H36"/>
  <c r="J36" i="4"/>
  <c r="H40" i="33"/>
  <c r="J40" i="5"/>
  <c r="J44" i="4"/>
  <c r="H44" i="5"/>
  <c r="H38" i="33"/>
  <c r="J38" i="5"/>
  <c r="H45" i="7"/>
  <c r="J45" i="33"/>
  <c r="J35" i="5"/>
  <c r="H35" i="33"/>
  <c r="H20" i="4"/>
  <c r="J20" i="3"/>
  <c r="H9" i="33"/>
  <c r="J9" i="5"/>
  <c r="J11" i="33"/>
  <c r="H11" i="7"/>
  <c r="H139" i="5"/>
  <c r="J139" i="4"/>
  <c r="J138" i="33"/>
  <c r="H138" i="7"/>
  <c r="H135" i="33"/>
  <c r="J135" i="5"/>
  <c r="H134"/>
  <c r="J134" i="4"/>
  <c r="H133" i="9"/>
  <c r="H133" i="10" s="1"/>
  <c r="J133" s="1"/>
  <c r="J133" i="8"/>
  <c r="J125" i="5"/>
  <c r="H125" i="33"/>
  <c r="H127"/>
  <c r="J127" i="5"/>
  <c r="H126" i="33"/>
  <c r="J126" i="5"/>
  <c r="J124"/>
  <c r="H124" i="33"/>
  <c r="J123" i="5"/>
  <c r="H123" i="33"/>
  <c r="J100" i="5"/>
  <c r="H100" i="33"/>
  <c r="J99" i="5"/>
  <c r="H99" i="33"/>
  <c r="J98" i="5"/>
  <c r="H98" i="33"/>
  <c r="J97" i="5"/>
  <c r="H97" i="33"/>
  <c r="J96" i="5"/>
  <c r="H96" i="33"/>
  <c r="H95" i="5"/>
  <c r="J95" i="4"/>
  <c r="J101" i="5"/>
  <c r="H101" i="33"/>
  <c r="H93" i="5"/>
  <c r="J93" i="4"/>
  <c r="H84" i="5"/>
  <c r="H85"/>
  <c r="J83"/>
  <c r="H83" i="33"/>
  <c r="J82" i="5"/>
  <c r="H82" i="33"/>
  <c r="H80"/>
  <c r="J80" i="5"/>
  <c r="J79"/>
  <c r="H79" i="33"/>
  <c r="H78"/>
  <c r="J78" i="5"/>
  <c r="J76"/>
  <c r="H76" i="33"/>
  <c r="H75"/>
  <c r="J75" i="5"/>
  <c r="H74" i="33"/>
  <c r="J74" i="5"/>
  <c r="H73" i="7"/>
  <c r="J73" i="33"/>
  <c r="H72" i="5"/>
  <c r="J72" i="4"/>
  <c r="J69"/>
  <c r="H69" i="5"/>
  <c r="J67"/>
  <c r="H67" i="33"/>
  <c r="H66"/>
  <c r="J66" i="5"/>
  <c r="H65" i="33"/>
  <c r="J65" i="5"/>
  <c r="H63" i="33"/>
  <c r="J63" i="5"/>
  <c r="H58" i="33"/>
  <c r="J58" i="5"/>
  <c r="J55" i="4"/>
  <c r="H55" i="5"/>
  <c r="J54" i="4"/>
  <c r="H54" i="5"/>
  <c r="H53" i="33"/>
  <c r="J53" i="5"/>
  <c r="J148" i="4"/>
  <c r="H148" i="5"/>
  <c r="J52"/>
  <c r="H52" i="33"/>
  <c r="J51" i="5"/>
  <c r="H51" i="33"/>
  <c r="H59"/>
  <c r="J59" i="5"/>
  <c r="J49"/>
  <c r="H49" i="33"/>
  <c r="H43" i="7"/>
  <c r="J43" i="33"/>
  <c r="J142" i="5"/>
  <c r="H142" i="33"/>
  <c r="H42" i="5"/>
  <c r="J42" i="4"/>
  <c r="J144" i="5"/>
  <c r="H144" i="33"/>
  <c r="H41" i="5"/>
  <c r="J41" i="4"/>
  <c r="H47"/>
  <c r="J47" i="3"/>
  <c r="H146" i="5"/>
  <c r="J146" i="4"/>
  <c r="H60" i="3"/>
  <c r="J60" i="2"/>
  <c r="H39" i="33"/>
  <c r="J39" i="5"/>
  <c r="H150" i="33"/>
  <c r="J15" i="4"/>
  <c r="I16" s="1"/>
  <c r="H15" i="5"/>
  <c r="H12" i="7"/>
  <c r="J12" i="33"/>
  <c r="J13" i="4"/>
  <c r="H13" i="5"/>
  <c r="H147"/>
  <c r="J147" i="4"/>
  <c r="H7" i="5"/>
  <c r="J7" i="4"/>
  <c r="J149"/>
  <c r="H149" i="5"/>
  <c r="H145"/>
  <c r="J145" i="4"/>
  <c r="J10" i="5" l="1"/>
  <c r="H29" i="4"/>
  <c r="J29" s="1"/>
  <c r="H31" i="7"/>
  <c r="J31" i="33"/>
  <c r="J119" i="7"/>
  <c r="H119" i="8"/>
  <c r="J118" i="7"/>
  <c r="H118" i="8"/>
  <c r="BO35" i="1"/>
  <c r="J19" i="5"/>
  <c r="H32" i="3"/>
  <c r="J32" s="1"/>
  <c r="H151" i="5"/>
  <c r="H151" i="33" s="1"/>
  <c r="J151" s="1"/>
  <c r="H153" i="4"/>
  <c r="H153" i="5" s="1"/>
  <c r="H153" i="33" s="1"/>
  <c r="J153" s="1"/>
  <c r="H152" i="5"/>
  <c r="J152" i="4"/>
  <c r="J143"/>
  <c r="J29" i="2"/>
  <c r="J143" i="3"/>
  <c r="J81" i="33"/>
  <c r="J81" i="5"/>
  <c r="H128" i="33"/>
  <c r="J128" s="1"/>
  <c r="H22" i="7"/>
  <c r="H22" i="8" s="1"/>
  <c r="H22" i="9" s="1"/>
  <c r="H22" i="10" s="1"/>
  <c r="J22" s="1"/>
  <c r="J22" i="5"/>
  <c r="J128" i="21"/>
  <c r="H128" i="22"/>
  <c r="H30" i="33"/>
  <c r="J30" s="1"/>
  <c r="H28" i="7"/>
  <c r="J28" i="33"/>
  <c r="J27" i="5"/>
  <c r="H27" i="33"/>
  <c r="H46"/>
  <c r="J46" s="1"/>
  <c r="H132"/>
  <c r="H132" i="7" s="1"/>
  <c r="J140" i="33"/>
  <c r="J24" i="8"/>
  <c r="H24" i="9"/>
  <c r="H24" i="10" s="1"/>
  <c r="J24" s="1"/>
  <c r="J23" i="33"/>
  <c r="H23" i="7"/>
  <c r="J19" i="33"/>
  <c r="H94" i="8"/>
  <c r="J94" i="7"/>
  <c r="J18" i="33"/>
  <c r="H18" i="7"/>
  <c r="H56" i="33"/>
  <c r="J56" i="5"/>
  <c r="H131" i="8"/>
  <c r="J131" i="7"/>
  <c r="H136"/>
  <c r="J136" i="33"/>
  <c r="J130"/>
  <c r="H130" i="7"/>
  <c r="H137"/>
  <c r="J137" i="33"/>
  <c r="J92"/>
  <c r="H92" i="7"/>
  <c r="H77"/>
  <c r="J77" i="33"/>
  <c r="J64"/>
  <c r="H64" i="7"/>
  <c r="J62" i="33"/>
  <c r="H62" i="7"/>
  <c r="H68" i="8"/>
  <c r="J68" i="7"/>
  <c r="H50" i="33"/>
  <c r="J50" i="5"/>
  <c r="J57" i="7"/>
  <c r="H57" i="8"/>
  <c r="J37" i="5"/>
  <c r="H37" i="33"/>
  <c r="J36" i="5"/>
  <c r="H36" i="33"/>
  <c r="H45" i="8"/>
  <c r="J45" i="7"/>
  <c r="H44" i="33"/>
  <c r="J44" i="5"/>
  <c r="H38" i="7"/>
  <c r="J38" i="33"/>
  <c r="H40" i="7"/>
  <c r="J40" i="33"/>
  <c r="J35"/>
  <c r="H35" i="7"/>
  <c r="H20" i="5"/>
  <c r="J20" i="4"/>
  <c r="J9" i="33"/>
  <c r="H9" i="7"/>
  <c r="H11" i="8"/>
  <c r="J11" i="7"/>
  <c r="J19"/>
  <c r="H19" i="8"/>
  <c r="J140" i="7"/>
  <c r="H140" i="8"/>
  <c r="H139" i="33"/>
  <c r="J139" i="5"/>
  <c r="J138" i="7"/>
  <c r="H138" i="8"/>
  <c r="J135" i="33"/>
  <c r="H135" i="7"/>
  <c r="H134" i="33"/>
  <c r="J134" i="5"/>
  <c r="J133" i="9"/>
  <c r="J125" i="33"/>
  <c r="H125" i="7"/>
  <c r="H127"/>
  <c r="J127" i="33"/>
  <c r="J126"/>
  <c r="H126" i="7"/>
  <c r="H124"/>
  <c r="J124" i="33"/>
  <c r="H123" i="7"/>
  <c r="J123" i="33"/>
  <c r="H100" i="7"/>
  <c r="J100" i="33"/>
  <c r="H99" i="7"/>
  <c r="J99" i="33"/>
  <c r="J98"/>
  <c r="H98" i="7"/>
  <c r="H97"/>
  <c r="J97" i="33"/>
  <c r="J96"/>
  <c r="H96" i="7"/>
  <c r="H101"/>
  <c r="J101" i="33"/>
  <c r="J95" i="5"/>
  <c r="H95" i="33"/>
  <c r="J93" i="5"/>
  <c r="H93" i="33"/>
  <c r="H84"/>
  <c r="J84" i="5"/>
  <c r="H85" i="33"/>
  <c r="J85" i="5"/>
  <c r="H83" i="7"/>
  <c r="J83" i="33"/>
  <c r="J82"/>
  <c r="H82" i="7"/>
  <c r="J81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/>
  <c r="H73" i="8"/>
  <c r="J72" i="5"/>
  <c r="H72" i="33"/>
  <c r="H69"/>
  <c r="J69" i="5"/>
  <c r="H67" i="7"/>
  <c r="J67" i="33"/>
  <c r="J66"/>
  <c r="H66" i="7"/>
  <c r="J65" i="33"/>
  <c r="H65" i="7"/>
  <c r="J63" i="33"/>
  <c r="H63" i="7"/>
  <c r="J58" i="33"/>
  <c r="H58" i="7"/>
  <c r="H55" i="33"/>
  <c r="J55" i="5"/>
  <c r="J54"/>
  <c r="H54" i="33"/>
  <c r="J53"/>
  <c r="H53" i="7"/>
  <c r="J148" i="5"/>
  <c r="H148" i="33"/>
  <c r="H52" i="7"/>
  <c r="J52" i="33"/>
  <c r="H51" i="7"/>
  <c r="J51" i="33"/>
  <c r="H59" i="7"/>
  <c r="J59" i="33"/>
  <c r="J49"/>
  <c r="H49" i="7"/>
  <c r="H43" i="8"/>
  <c r="J43" i="7"/>
  <c r="J142" i="33"/>
  <c r="H142" i="7"/>
  <c r="H42" i="33"/>
  <c r="J42" i="5"/>
  <c r="J144" i="33"/>
  <c r="H144" i="7"/>
  <c r="H41" i="33"/>
  <c r="J41" i="5"/>
  <c r="H39" i="7"/>
  <c r="J39" i="33"/>
  <c r="H146"/>
  <c r="J146" i="5"/>
  <c r="J60" i="3"/>
  <c r="H60" i="4"/>
  <c r="J47"/>
  <c r="H47" i="5"/>
  <c r="J150" i="33"/>
  <c r="H150" i="7"/>
  <c r="J15" i="5"/>
  <c r="I16" s="1"/>
  <c r="H15" i="33"/>
  <c r="H12" i="8"/>
  <c r="J12" i="7"/>
  <c r="J10" i="33"/>
  <c r="H10" i="7"/>
  <c r="J13" i="5"/>
  <c r="H13" i="33"/>
  <c r="H149"/>
  <c r="J149" i="5"/>
  <c r="J7"/>
  <c r="H7" i="33"/>
  <c r="H143"/>
  <c r="J143" i="5"/>
  <c r="J151"/>
  <c r="H145" i="33"/>
  <c r="J145" i="5"/>
  <c r="H147" i="33"/>
  <c r="J147" i="5"/>
  <c r="H29" l="1"/>
  <c r="J29" s="1"/>
  <c r="H31" i="8"/>
  <c r="J31" i="7"/>
  <c r="H118" i="9"/>
  <c r="J118" i="8"/>
  <c r="H119" i="9"/>
  <c r="J119" i="8"/>
  <c r="J153" i="4"/>
  <c r="H32"/>
  <c r="J32" s="1"/>
  <c r="J152" i="5"/>
  <c r="H152" i="33"/>
  <c r="H128" i="7"/>
  <c r="J128" s="1"/>
  <c r="J22" i="8"/>
  <c r="J22" i="7"/>
  <c r="J22" i="9"/>
  <c r="J128" i="22"/>
  <c r="H128" i="23"/>
  <c r="H30" i="7"/>
  <c r="J30" s="1"/>
  <c r="H28" i="8"/>
  <c r="J28" i="7"/>
  <c r="H27"/>
  <c r="J27" i="33"/>
  <c r="H46" i="7"/>
  <c r="H46" i="8" s="1"/>
  <c r="J153" i="5"/>
  <c r="J132" i="33"/>
  <c r="J24" i="9"/>
  <c r="J23" i="7"/>
  <c r="H23" i="8"/>
  <c r="H22" i="11"/>
  <c r="J94" i="8"/>
  <c r="H94" i="9"/>
  <c r="H94" i="10" s="1"/>
  <c r="J94" s="1"/>
  <c r="H18" i="8"/>
  <c r="J18" i="7"/>
  <c r="J56" i="33"/>
  <c r="H56" i="7"/>
  <c r="H137" i="8"/>
  <c r="J137" i="7"/>
  <c r="J136"/>
  <c r="H136" i="8"/>
  <c r="J131"/>
  <c r="H131" i="9"/>
  <c r="H131" i="10" s="1"/>
  <c r="J131" s="1"/>
  <c r="H130" i="8"/>
  <c r="J130" i="7"/>
  <c r="J92"/>
  <c r="H92" i="8"/>
  <c r="J77" i="7"/>
  <c r="H77" i="8"/>
  <c r="H68" i="9"/>
  <c r="H68" i="10" s="1"/>
  <c r="J68" s="1"/>
  <c r="J68" i="8"/>
  <c r="H64"/>
  <c r="J64" i="7"/>
  <c r="H62" i="8"/>
  <c r="J62" i="7"/>
  <c r="H50"/>
  <c r="J50" i="33"/>
  <c r="J57" i="8"/>
  <c r="H57" i="9"/>
  <c r="H57" i="10" s="1"/>
  <c r="J57" s="1"/>
  <c r="H36" i="7"/>
  <c r="J36" i="33"/>
  <c r="J37"/>
  <c r="H37" i="7"/>
  <c r="H40" i="8"/>
  <c r="J40" i="7"/>
  <c r="J45" i="8"/>
  <c r="H45" i="9"/>
  <c r="H45" i="10" s="1"/>
  <c r="J45" s="1"/>
  <c r="J38" i="7"/>
  <c r="H38" i="8"/>
  <c r="J44" i="33"/>
  <c r="H44" i="7"/>
  <c r="H35" i="8"/>
  <c r="J35" i="7"/>
  <c r="J20" i="5"/>
  <c r="H20" i="33"/>
  <c r="J9" i="7"/>
  <c r="H9" i="8"/>
  <c r="H11" i="9"/>
  <c r="H11" i="10" s="1"/>
  <c r="J11" s="1"/>
  <c r="J11" i="8"/>
  <c r="H19" i="9"/>
  <c r="H19" i="10" s="1"/>
  <c r="J19" s="1"/>
  <c r="J19" i="8"/>
  <c r="H140" i="9"/>
  <c r="H140" i="10" s="1"/>
  <c r="J140" s="1"/>
  <c r="J140" i="8"/>
  <c r="J139" i="33"/>
  <c r="H139" i="7"/>
  <c r="H138" i="9"/>
  <c r="H138" i="10" s="1"/>
  <c r="J138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/>
  <c r="H100" i="8"/>
  <c r="H99"/>
  <c r="J99" i="7"/>
  <c r="J98"/>
  <c r="H98" i="8"/>
  <c r="H97"/>
  <c r="J97" i="7"/>
  <c r="J96"/>
  <c r="H96" i="8"/>
  <c r="H101"/>
  <c r="J101" i="7"/>
  <c r="J95" i="33"/>
  <c r="H95" i="7"/>
  <c r="J93" i="33"/>
  <c r="H93" i="7"/>
  <c r="H84"/>
  <c r="J84" i="33"/>
  <c r="J85"/>
  <c r="H85" i="7"/>
  <c r="J83"/>
  <c r="H83" i="8"/>
  <c r="J82" i="7"/>
  <c r="H82" i="8"/>
  <c r="H81" i="9"/>
  <c r="H81" i="10" s="1"/>
  <c r="J81" s="1"/>
  <c r="J81" i="8"/>
  <c r="J80" i="7"/>
  <c r="H80" i="8"/>
  <c r="H79"/>
  <c r="J79" i="7"/>
  <c r="H78" i="8"/>
  <c r="J78" i="7"/>
  <c r="H76" i="8"/>
  <c r="J76" i="7"/>
  <c r="J75"/>
  <c r="H75" i="8"/>
  <c r="H74"/>
  <c r="J74" i="7"/>
  <c r="H73" i="9"/>
  <c r="H73" i="10" s="1"/>
  <c r="J73" s="1"/>
  <c r="J73" i="8"/>
  <c r="J72" i="33"/>
  <c r="H72" i="7"/>
  <c r="J69" i="33"/>
  <c r="H69" i="7"/>
  <c r="J67"/>
  <c r="H67" i="8"/>
  <c r="H66"/>
  <c r="J66" i="7"/>
  <c r="J65"/>
  <c r="H65" i="8"/>
  <c r="H63"/>
  <c r="J63" i="7"/>
  <c r="J58"/>
  <c r="H58" i="8"/>
  <c r="J55" i="33"/>
  <c r="H55" i="7"/>
  <c r="H54"/>
  <c r="J54" i="33"/>
  <c r="H53" i="8"/>
  <c r="J53" i="7"/>
  <c r="H148"/>
  <c r="J148" i="33"/>
  <c r="H52" i="8"/>
  <c r="J52" i="7"/>
  <c r="J51"/>
  <c r="H51" i="8"/>
  <c r="J49" i="7"/>
  <c r="H49" i="8"/>
  <c r="H59"/>
  <c r="J59" i="7"/>
  <c r="J142"/>
  <c r="H142" i="8"/>
  <c r="J43"/>
  <c r="H43" i="9"/>
  <c r="H43" i="10" s="1"/>
  <c r="J43" s="1"/>
  <c r="J42" i="33"/>
  <c r="H42" i="7"/>
  <c r="J144"/>
  <c r="H144" i="8"/>
  <c r="H41" i="7"/>
  <c r="J41" i="33"/>
  <c r="J60" i="4"/>
  <c r="H60" i="5"/>
  <c r="J146" i="33"/>
  <c r="H146" i="7"/>
  <c r="H47" i="33"/>
  <c r="J47" i="5"/>
  <c r="J39" i="7"/>
  <c r="H39" i="8"/>
  <c r="H150"/>
  <c r="J150" i="7"/>
  <c r="J15" i="33"/>
  <c r="I16" s="1"/>
  <c r="H15" i="7"/>
  <c r="J12" i="8"/>
  <c r="H12" i="9"/>
  <c r="H12" i="10" s="1"/>
  <c r="J12" s="1"/>
  <c r="J10" i="7"/>
  <c r="H10" i="8"/>
  <c r="H13" i="7"/>
  <c r="J13" i="33"/>
  <c r="H7" i="7"/>
  <c r="J7" i="33"/>
  <c r="J147"/>
  <c r="H147" i="7"/>
  <c r="H151"/>
  <c r="J151" s="1"/>
  <c r="H153"/>
  <c r="J153" s="1"/>
  <c r="H145"/>
  <c r="J145" i="33"/>
  <c r="J143"/>
  <c r="H143" i="7"/>
  <c r="J149" i="33"/>
  <c r="H149" i="7"/>
  <c r="H29" i="33" l="1"/>
  <c r="J29" s="1"/>
  <c r="H119" i="10"/>
  <c r="J119" i="9"/>
  <c r="H31"/>
  <c r="J31" i="8"/>
  <c r="H118" i="10"/>
  <c r="J118" i="9"/>
  <c r="H32" i="5"/>
  <c r="H32" i="33" s="1"/>
  <c r="J152"/>
  <c r="H152" i="7"/>
  <c r="H128" i="8"/>
  <c r="J128" s="1"/>
  <c r="J128" i="23"/>
  <c r="H128" i="24"/>
  <c r="H30" i="8"/>
  <c r="J30" s="1"/>
  <c r="H28" i="9"/>
  <c r="H28" i="10" s="1"/>
  <c r="J28" s="1"/>
  <c r="J28" i="8"/>
  <c r="H27"/>
  <c r="J27" i="7"/>
  <c r="J46"/>
  <c r="H24" i="11"/>
  <c r="J23" i="8"/>
  <c r="H23" i="9"/>
  <c r="H23" i="10" s="1"/>
  <c r="J23" s="1"/>
  <c r="H22" i="12"/>
  <c r="J22" i="11"/>
  <c r="J94" i="9"/>
  <c r="J18" i="8"/>
  <c r="H18" i="9"/>
  <c r="H18" i="10" s="1"/>
  <c r="J18" s="1"/>
  <c r="J56" i="7"/>
  <c r="H56" i="8"/>
  <c r="H130" i="9"/>
  <c r="H130" i="10" s="1"/>
  <c r="J130" s="1"/>
  <c r="J130" i="8"/>
  <c r="J137"/>
  <c r="H137" i="9"/>
  <c r="H137" i="10" s="1"/>
  <c r="J137" s="1"/>
  <c r="J131" i="9"/>
  <c r="J136" i="8"/>
  <c r="H136" i="9"/>
  <c r="H136" i="10" s="1"/>
  <c r="J136" s="1"/>
  <c r="H92" i="9"/>
  <c r="H92" i="10" s="1"/>
  <c r="J92" s="1"/>
  <c r="J92" i="8"/>
  <c r="H77" i="9"/>
  <c r="J77" i="8"/>
  <c r="H64" i="9"/>
  <c r="H64" i="10" s="1"/>
  <c r="J64" s="1"/>
  <c r="J64" i="8"/>
  <c r="H62" i="9"/>
  <c r="H62" i="10" s="1"/>
  <c r="J62" s="1"/>
  <c r="J62" i="8"/>
  <c r="J68" i="9"/>
  <c r="J50" i="7"/>
  <c r="H50" i="8"/>
  <c r="J57" i="9"/>
  <c r="H57" i="12"/>
  <c r="J57" s="1"/>
  <c r="J36" i="7"/>
  <c r="H36" i="8"/>
  <c r="H37"/>
  <c r="J37" i="7"/>
  <c r="J44"/>
  <c r="H44" i="8"/>
  <c r="J45" i="9"/>
  <c r="H35"/>
  <c r="H35" i="10" s="1"/>
  <c r="J35" s="1"/>
  <c r="J35" i="8"/>
  <c r="J40"/>
  <c r="H40" i="9"/>
  <c r="H40" i="10" s="1"/>
  <c r="J40" s="1"/>
  <c r="H38" i="9"/>
  <c r="H38" i="10" s="1"/>
  <c r="J38" s="1"/>
  <c r="J38" i="8"/>
  <c r="J20" i="33"/>
  <c r="H20" i="7"/>
  <c r="H9" i="9"/>
  <c r="H9" i="10" s="1"/>
  <c r="J9" s="1"/>
  <c r="J9" i="8"/>
  <c r="J11" i="9"/>
  <c r="H11" i="11"/>
  <c r="J11" s="1"/>
  <c r="J19" i="9"/>
  <c r="J140"/>
  <c r="J139" i="7"/>
  <c r="H139" i="8"/>
  <c r="J138" i="9"/>
  <c r="J135" i="8"/>
  <c r="H135" i="9"/>
  <c r="H135" i="10" s="1"/>
  <c r="J135" s="1"/>
  <c r="J134" i="7"/>
  <c r="H134" i="8"/>
  <c r="H133" i="12"/>
  <c r="J133" i="11"/>
  <c r="J132" i="8"/>
  <c r="H132" i="9"/>
  <c r="H132" i="10" s="1"/>
  <c r="J132" s="1"/>
  <c r="H125" i="9"/>
  <c r="H125" i="10" s="1"/>
  <c r="J125" s="1"/>
  <c r="J125" i="8"/>
  <c r="J127"/>
  <c r="H127" i="9"/>
  <c r="H127" i="10" s="1"/>
  <c r="J127" s="1"/>
  <c r="J126" i="8"/>
  <c r="H126" i="9"/>
  <c r="H126" i="10" s="1"/>
  <c r="J126" s="1"/>
  <c r="H124" i="9"/>
  <c r="H124" i="10" s="1"/>
  <c r="J124" s="1"/>
  <c r="J124" i="8"/>
  <c r="H123" i="9"/>
  <c r="H123" i="10" s="1"/>
  <c r="J123" s="1"/>
  <c r="J123" i="8"/>
  <c r="J100"/>
  <c r="H100" i="9"/>
  <c r="H100" i="10" s="1"/>
  <c r="J100" s="1"/>
  <c r="H99" i="9"/>
  <c r="H99" i="10" s="1"/>
  <c r="J99" s="1"/>
  <c r="J99" i="8"/>
  <c r="J98"/>
  <c r="H98" i="9"/>
  <c r="H98" i="10" s="1"/>
  <c r="J98" s="1"/>
  <c r="H97" i="9"/>
  <c r="H97" i="10" s="1"/>
  <c r="J97" s="1"/>
  <c r="J97" i="8"/>
  <c r="J96"/>
  <c r="H96" i="9"/>
  <c r="H96" i="10" s="1"/>
  <c r="J96" s="1"/>
  <c r="H95" i="8"/>
  <c r="J95" i="7"/>
  <c r="H101" i="9"/>
  <c r="H101" i="10" s="1"/>
  <c r="J101" s="1"/>
  <c r="J101" i="8"/>
  <c r="H93"/>
  <c r="J93" i="7"/>
  <c r="H84" i="8"/>
  <c r="J84" i="7"/>
  <c r="H85" i="8"/>
  <c r="J85" i="7"/>
  <c r="J83" i="8"/>
  <c r="H83" i="9"/>
  <c r="H83" i="10" s="1"/>
  <c r="J83" s="1"/>
  <c r="J82" i="8"/>
  <c r="H82" i="9"/>
  <c r="H82" i="10" s="1"/>
  <c r="J82" s="1"/>
  <c r="J81" i="9"/>
  <c r="J80" i="8"/>
  <c r="H80" i="9"/>
  <c r="H80" i="10" s="1"/>
  <c r="J80" s="1"/>
  <c r="H79" i="9"/>
  <c r="H79" i="10" s="1"/>
  <c r="J79" s="1"/>
  <c r="J79" i="8"/>
  <c r="J78"/>
  <c r="H78" i="9"/>
  <c r="H78" i="10" s="1"/>
  <c r="J78" s="1"/>
  <c r="J76" i="8"/>
  <c r="H76" i="9"/>
  <c r="H76" i="10" s="1"/>
  <c r="J76" s="1"/>
  <c r="H75" i="9"/>
  <c r="H75" i="10" s="1"/>
  <c r="J75" s="1"/>
  <c r="J75" i="8"/>
  <c r="J74"/>
  <c r="H74" i="9"/>
  <c r="H74" i="10" s="1"/>
  <c r="J74" s="1"/>
  <c r="J73" i="9"/>
  <c r="J72" i="7"/>
  <c r="H72" i="8"/>
  <c r="J69" i="7"/>
  <c r="H69" i="8"/>
  <c r="J67"/>
  <c r="H67" i="9"/>
  <c r="H67" i="10" s="1"/>
  <c r="J67" s="1"/>
  <c r="H66" i="9"/>
  <c r="H66" i="10" s="1"/>
  <c r="J66" s="1"/>
  <c r="J66" i="8"/>
  <c r="J65"/>
  <c r="H65" i="9"/>
  <c r="H65" i="10" s="1"/>
  <c r="J65" s="1"/>
  <c r="H63" i="9"/>
  <c r="H63" i="10" s="1"/>
  <c r="J63" s="1"/>
  <c r="J63" i="8"/>
  <c r="H58" i="9"/>
  <c r="H58" i="10" s="1"/>
  <c r="J58" s="1"/>
  <c r="J58" i="8"/>
  <c r="H55"/>
  <c r="J55" i="7"/>
  <c r="J54"/>
  <c r="H54" i="8"/>
  <c r="J53"/>
  <c r="H53" i="9"/>
  <c r="H53" i="10" s="1"/>
  <c r="J53" s="1"/>
  <c r="J148" i="7"/>
  <c r="H148" i="8"/>
  <c r="H52" i="9"/>
  <c r="H52" i="10" s="1"/>
  <c r="J52" s="1"/>
  <c r="J52" i="8"/>
  <c r="H51" i="9"/>
  <c r="H51" i="10" s="1"/>
  <c r="J51" s="1"/>
  <c r="J51" i="8"/>
  <c r="H49" i="9"/>
  <c r="H49" i="10" s="1"/>
  <c r="J49" s="1"/>
  <c r="J49" i="8"/>
  <c r="H59" i="9"/>
  <c r="H59" i="10" s="1"/>
  <c r="J59" s="1"/>
  <c r="J59" i="8"/>
  <c r="H46" i="9"/>
  <c r="H46" i="10" s="1"/>
  <c r="J46" s="1"/>
  <c r="J46" i="8"/>
  <c r="H142" i="9"/>
  <c r="H142" i="10" s="1"/>
  <c r="J142" s="1"/>
  <c r="J142" i="8"/>
  <c r="J43" i="9"/>
  <c r="H42" i="8"/>
  <c r="J42" i="7"/>
  <c r="H144" i="9"/>
  <c r="H144" i="10" s="1"/>
  <c r="J144" s="1"/>
  <c r="J144" i="8"/>
  <c r="H41"/>
  <c r="J41" i="7"/>
  <c r="H60" i="33"/>
  <c r="J60" i="5"/>
  <c r="H39" i="9"/>
  <c r="H39" i="10" s="1"/>
  <c r="J39" s="1"/>
  <c r="J39" i="8"/>
  <c r="J146" i="7"/>
  <c r="H146" i="8"/>
  <c r="J47" i="33"/>
  <c r="H47" i="7"/>
  <c r="J150" i="8"/>
  <c r="H150" i="9"/>
  <c r="H150" i="10" s="1"/>
  <c r="J150" s="1"/>
  <c r="J15" i="7"/>
  <c r="I16" s="1"/>
  <c r="H15" i="8"/>
  <c r="H12" i="11"/>
  <c r="J12" s="1"/>
  <c r="J12" i="9"/>
  <c r="H10"/>
  <c r="H10" i="10" s="1"/>
  <c r="J10" s="1"/>
  <c r="J10" i="8"/>
  <c r="H13"/>
  <c r="J13" i="7"/>
  <c r="H149" i="8"/>
  <c r="J149" i="7"/>
  <c r="H153" i="8"/>
  <c r="J153" s="1"/>
  <c r="H143"/>
  <c r="J143" i="7"/>
  <c r="H151" i="8"/>
  <c r="J151" s="1"/>
  <c r="H147"/>
  <c r="J147" i="7"/>
  <c r="H145" i="8"/>
  <c r="J145" i="7"/>
  <c r="J7"/>
  <c r="H7" i="8"/>
  <c r="H29" i="7" l="1"/>
  <c r="H29" i="8" s="1"/>
  <c r="J118" i="10"/>
  <c r="H118" i="11"/>
  <c r="J118" s="1"/>
  <c r="J119" i="10"/>
  <c r="H119" i="11"/>
  <c r="J119" s="1"/>
  <c r="J31" i="9"/>
  <c r="H31" i="10"/>
  <c r="J152" i="7"/>
  <c r="H152" i="8"/>
  <c r="J77" i="9"/>
  <c r="H77" i="10"/>
  <c r="J77" s="1"/>
  <c r="J128" i="24"/>
  <c r="H128" i="25"/>
  <c r="H30" i="9"/>
  <c r="J27" i="8"/>
  <c r="H27" i="9"/>
  <c r="H27" i="10" s="1"/>
  <c r="J27" s="1"/>
  <c r="J32" i="33"/>
  <c r="H32" i="7"/>
  <c r="H28" i="11"/>
  <c r="J28" i="9"/>
  <c r="J24" i="11"/>
  <c r="H24" i="12"/>
  <c r="J23" i="9"/>
  <c r="H22" i="13"/>
  <c r="J22" i="12"/>
  <c r="H94" i="11"/>
  <c r="J18" i="9"/>
  <c r="H56"/>
  <c r="H56" i="10" s="1"/>
  <c r="J56" s="1"/>
  <c r="J56" i="8"/>
  <c r="H131" i="11"/>
  <c r="J130" i="9"/>
  <c r="J136"/>
  <c r="J137"/>
  <c r="J92"/>
  <c r="H68" i="11"/>
  <c r="J62" i="9"/>
  <c r="J64"/>
  <c r="H50"/>
  <c r="H50" i="10" s="1"/>
  <c r="J50" s="1"/>
  <c r="J50" i="8"/>
  <c r="H57" i="11"/>
  <c r="H36" i="9"/>
  <c r="H36" i="10" s="1"/>
  <c r="J36" s="1"/>
  <c r="J36" i="8"/>
  <c r="H37" i="9"/>
  <c r="H37" i="10" s="1"/>
  <c r="J37" s="1"/>
  <c r="J37" i="8"/>
  <c r="J38" i="9"/>
  <c r="J35"/>
  <c r="J44" i="8"/>
  <c r="H44" i="9"/>
  <c r="H44" i="10" s="1"/>
  <c r="H45" i="11"/>
  <c r="J40" i="9"/>
  <c r="H20" i="8"/>
  <c r="J20" i="7"/>
  <c r="J9" i="9"/>
  <c r="H9" i="11"/>
  <c r="J9" s="1"/>
  <c r="H19"/>
  <c r="H140"/>
  <c r="H139" i="9"/>
  <c r="H139" i="10" s="1"/>
  <c r="J139" s="1"/>
  <c r="J139" i="8"/>
  <c r="H138" i="11"/>
  <c r="J135" i="9"/>
  <c r="H134"/>
  <c r="H134" i="10" s="1"/>
  <c r="J134" s="1"/>
  <c r="J134" i="8"/>
  <c r="H133" i="13"/>
  <c r="J133" i="12"/>
  <c r="J132" i="9"/>
  <c r="J125"/>
  <c r="J127"/>
  <c r="J126"/>
  <c r="J124"/>
  <c r="J123"/>
  <c r="J100"/>
  <c r="J99"/>
  <c r="J98"/>
  <c r="J97"/>
  <c r="J96"/>
  <c r="J101"/>
  <c r="J95" i="8"/>
  <c r="H95" i="9"/>
  <c r="H95" i="10" s="1"/>
  <c r="J95" s="1"/>
  <c r="J93" i="8"/>
  <c r="H93" i="9"/>
  <c r="H93" i="10" s="1"/>
  <c r="J93" s="1"/>
  <c r="J84" i="8"/>
  <c r="H84" i="9"/>
  <c r="H84" i="10" s="1"/>
  <c r="J84" s="1"/>
  <c r="J85" i="8"/>
  <c r="H85" i="9"/>
  <c r="H85" i="10" s="1"/>
  <c r="J85" s="1"/>
  <c r="J83" i="9"/>
  <c r="J82"/>
  <c r="H81" i="11"/>
  <c r="J80" i="9"/>
  <c r="J79"/>
  <c r="J78"/>
  <c r="J76"/>
  <c r="J75"/>
  <c r="J74"/>
  <c r="H73" i="11"/>
  <c r="J72" i="8"/>
  <c r="H72" i="9"/>
  <c r="H72" i="10" s="1"/>
  <c r="J72" s="1"/>
  <c r="J69" i="8"/>
  <c r="H69" i="9"/>
  <c r="H69" i="10" s="1"/>
  <c r="J69" s="1"/>
  <c r="J67" i="9"/>
  <c r="J66"/>
  <c r="J65"/>
  <c r="J63"/>
  <c r="J58"/>
  <c r="H58" i="12"/>
  <c r="J58" s="1"/>
  <c r="J55" i="8"/>
  <c r="H55" i="9"/>
  <c r="H55" i="10" s="1"/>
  <c r="J55" s="1"/>
  <c r="J54" i="8"/>
  <c r="H54" i="9"/>
  <c r="H54" i="10" s="1"/>
  <c r="J54" s="1"/>
  <c r="H53" i="12"/>
  <c r="J53" s="1"/>
  <c r="J53" i="9"/>
  <c r="H148"/>
  <c r="H148" i="10" s="1"/>
  <c r="J148" s="1"/>
  <c r="J148" i="8"/>
  <c r="J52" i="9"/>
  <c r="H52" i="12"/>
  <c r="J52" s="1"/>
  <c r="H51"/>
  <c r="J51" s="1"/>
  <c r="J51" i="9"/>
  <c r="H59" i="12"/>
  <c r="J59" s="1"/>
  <c r="J59" i="9"/>
  <c r="H49" i="12"/>
  <c r="J49" s="1"/>
  <c r="J49" i="9"/>
  <c r="J46"/>
  <c r="H43" i="11"/>
  <c r="J142" i="9"/>
  <c r="H42"/>
  <c r="H42" i="10" s="1"/>
  <c r="J42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s="1"/>
  <c r="J146" i="8"/>
  <c r="J150" i="9"/>
  <c r="H15"/>
  <c r="H15" i="10" s="1"/>
  <c r="J15" s="1"/>
  <c r="I16" s="1"/>
  <c r="J15" i="8"/>
  <c r="I16" s="1"/>
  <c r="H10" i="11"/>
  <c r="J10" s="1"/>
  <c r="J10" i="9"/>
  <c r="H13"/>
  <c r="H13" i="10" s="1"/>
  <c r="J13" i="8"/>
  <c r="J7"/>
  <c r="H7" i="9"/>
  <c r="J145" i="8"/>
  <c r="H145" i="9"/>
  <c r="H145" i="10" s="1"/>
  <c r="J145" s="1"/>
  <c r="H151" i="9"/>
  <c r="H153"/>
  <c r="H147"/>
  <c r="H147" i="10" s="1"/>
  <c r="J147" s="1"/>
  <c r="J147" i="8"/>
  <c r="H143" i="9"/>
  <c r="H143" i="10" s="1"/>
  <c r="J143" s="1"/>
  <c r="J143" i="8"/>
  <c r="H149" i="9"/>
  <c r="H149" i="10" s="1"/>
  <c r="J149" s="1"/>
  <c r="J149" i="8"/>
  <c r="J29" i="7" l="1"/>
  <c r="H31" i="11"/>
  <c r="J31" i="10"/>
  <c r="J152" i="8"/>
  <c r="H152" i="9"/>
  <c r="J13" i="10"/>
  <c r="H13" i="12"/>
  <c r="J30" i="9"/>
  <c r="H30" i="10"/>
  <c r="J30" s="1"/>
  <c r="J41"/>
  <c r="H41" i="11"/>
  <c r="J44" i="10"/>
  <c r="H44" i="11"/>
  <c r="J151" i="9"/>
  <c r="H151" i="10"/>
  <c r="J151" s="1"/>
  <c r="J153" i="9"/>
  <c r="H153" i="10"/>
  <c r="J153" s="1"/>
  <c r="J7" i="9"/>
  <c r="I9" s="1"/>
  <c r="H7" i="10"/>
  <c r="J7" s="1"/>
  <c r="I9" s="1"/>
  <c r="J128" i="25"/>
  <c r="H128" i="40"/>
  <c r="J29" i="8"/>
  <c r="H29" i="9"/>
  <c r="H29" i="10" s="1"/>
  <c r="J29" s="1"/>
  <c r="J27" i="9"/>
  <c r="H27" i="11"/>
  <c r="H28" i="12"/>
  <c r="J28" i="11"/>
  <c r="J32" i="7"/>
  <c r="H32" i="8"/>
  <c r="J24" i="12"/>
  <c r="H24" i="13"/>
  <c r="H23" i="11"/>
  <c r="J22" i="13"/>
  <c r="H94" i="12"/>
  <c r="J94" i="11"/>
  <c r="H18"/>
  <c r="H56" i="12"/>
  <c r="J56" s="1"/>
  <c r="J56" i="9"/>
  <c r="H137" i="11"/>
  <c r="G196" s="1"/>
  <c r="H196" s="1"/>
  <c r="H130"/>
  <c r="G194" s="1"/>
  <c r="H194" s="1"/>
  <c r="H136"/>
  <c r="H131" i="12"/>
  <c r="J131" i="11"/>
  <c r="H92"/>
  <c r="H77"/>
  <c r="H64"/>
  <c r="H62"/>
  <c r="J68"/>
  <c r="H68" i="12"/>
  <c r="J50" i="9"/>
  <c r="H50" i="12"/>
  <c r="J50" s="1"/>
  <c r="J57" i="11"/>
  <c r="J37" i="9"/>
  <c r="J36"/>
  <c r="H38" i="11"/>
  <c r="J45"/>
  <c r="H45" i="12"/>
  <c r="J44" i="9"/>
  <c r="H40" i="11"/>
  <c r="H35"/>
  <c r="H20" i="9"/>
  <c r="H20" i="10" s="1"/>
  <c r="J20" s="1"/>
  <c r="I20" s="1"/>
  <c r="J20" i="8"/>
  <c r="H11" i="12"/>
  <c r="H11" i="13" s="1"/>
  <c r="H11" i="14" s="1"/>
  <c r="H19" i="12"/>
  <c r="J19" i="11"/>
  <c r="J140"/>
  <c r="H140" i="12"/>
  <c r="J139" i="9"/>
  <c r="J138" i="11"/>
  <c r="H138" i="12"/>
  <c r="H135" i="11"/>
  <c r="J134" i="9"/>
  <c r="J133" i="13"/>
  <c r="H133" i="14"/>
  <c r="H132" i="11"/>
  <c r="H125"/>
  <c r="H127"/>
  <c r="H126"/>
  <c r="H124"/>
  <c r="H123"/>
  <c r="H100"/>
  <c r="H99"/>
  <c r="H98"/>
  <c r="H97"/>
  <c r="H96"/>
  <c r="H101"/>
  <c r="J95" i="9"/>
  <c r="J93"/>
  <c r="J84"/>
  <c r="J85"/>
  <c r="H83" i="11"/>
  <c r="H82"/>
  <c r="H81" i="12"/>
  <c r="J81" i="11"/>
  <c r="H80"/>
  <c r="H79"/>
  <c r="H78"/>
  <c r="H76"/>
  <c r="H75"/>
  <c r="H74"/>
  <c r="J73"/>
  <c r="H73" i="12"/>
  <c r="J72" i="9"/>
  <c r="J69"/>
  <c r="H67" i="11"/>
  <c r="H66"/>
  <c r="H65"/>
  <c r="H63"/>
  <c r="H58"/>
  <c r="J55" i="9"/>
  <c r="H55" i="12"/>
  <c r="J55" s="1"/>
  <c r="H54"/>
  <c r="J54" s="1"/>
  <c r="J54" i="9"/>
  <c r="H53" i="11"/>
  <c r="H52"/>
  <c r="J148" i="9"/>
  <c r="H51" i="11"/>
  <c r="H59"/>
  <c r="H49"/>
  <c r="H46"/>
  <c r="H43" i="12"/>
  <c r="J43" i="11"/>
  <c r="H142"/>
  <c r="J42" i="9"/>
  <c r="J41"/>
  <c r="H144" i="11"/>
  <c r="H60" i="8"/>
  <c r="J60" i="7"/>
  <c r="J146" i="9"/>
  <c r="J47" i="8"/>
  <c r="H47" i="9"/>
  <c r="H47" i="10" s="1"/>
  <c r="J47" s="1"/>
  <c r="H39" i="11"/>
  <c r="H150"/>
  <c r="J15" i="9"/>
  <c r="I16" s="1"/>
  <c r="H12" i="12"/>
  <c r="H12" i="13" s="1"/>
  <c r="H12" i="14" s="1"/>
  <c r="H13" i="11"/>
  <c r="J13" i="9"/>
  <c r="J147"/>
  <c r="J145"/>
  <c r="J149"/>
  <c r="J143"/>
  <c r="H31" i="12" l="1"/>
  <c r="H31" i="13" s="1"/>
  <c r="H31" i="14" s="1"/>
  <c r="H31" i="15" s="1"/>
  <c r="H31" i="16" s="1"/>
  <c r="H31" i="17" s="1"/>
  <c r="H31" i="18" s="1"/>
  <c r="H31" i="19" s="1"/>
  <c r="H31" i="20" s="1"/>
  <c r="H31" i="21" s="1"/>
  <c r="H31" i="22" s="1"/>
  <c r="H31" i="23" s="1"/>
  <c r="H31" i="24" s="1"/>
  <c r="H31" i="25" s="1"/>
  <c r="H31" i="40" s="1"/>
  <c r="H31" i="27" s="1"/>
  <c r="H31" i="28" s="1"/>
  <c r="H31" i="29" s="1"/>
  <c r="H31" i="30" s="1"/>
  <c r="H31" i="43" s="1"/>
  <c r="H31" i="31" s="1"/>
  <c r="J31" i="11"/>
  <c r="H152" i="10"/>
  <c r="J152" i="9"/>
  <c r="H30" i="11"/>
  <c r="J30" s="1"/>
  <c r="J128" i="40"/>
  <c r="H128" i="27"/>
  <c r="H29" i="11"/>
  <c r="J29" i="9"/>
  <c r="H28" i="13"/>
  <c r="J28" i="12"/>
  <c r="J32" i="8"/>
  <c r="H32" i="9"/>
  <c r="H32" i="10" s="1"/>
  <c r="J32" s="1"/>
  <c r="J27" i="11"/>
  <c r="H27" i="12"/>
  <c r="H24" i="14"/>
  <c r="J24" i="13"/>
  <c r="J23" i="11"/>
  <c r="H23" i="12"/>
  <c r="J22" i="14"/>
  <c r="H22" i="15"/>
  <c r="H94" i="13"/>
  <c r="J94" i="12"/>
  <c r="H18"/>
  <c r="J18" i="11"/>
  <c r="H56"/>
  <c r="J131" i="12"/>
  <c r="H131" i="13"/>
  <c r="H130" i="12"/>
  <c r="J130" i="11"/>
  <c r="J136"/>
  <c r="H136" i="12"/>
  <c r="J137" i="11"/>
  <c r="H137" i="12"/>
  <c r="H92"/>
  <c r="J92" i="11"/>
  <c r="H77" i="12"/>
  <c r="J77" i="11"/>
  <c r="J68" i="12"/>
  <c r="H68" i="13"/>
  <c r="J64" i="11"/>
  <c r="H64" i="12"/>
  <c r="H62"/>
  <c r="J62" i="11"/>
  <c r="H50"/>
  <c r="H57" i="13"/>
  <c r="H37" i="11"/>
  <c r="H36"/>
  <c r="H38" i="12"/>
  <c r="J38" i="11"/>
  <c r="H40" i="12"/>
  <c r="J40" i="11"/>
  <c r="H35" i="12"/>
  <c r="J35" i="11"/>
  <c r="H45" i="13"/>
  <c r="J45" i="12"/>
  <c r="J20" i="9"/>
  <c r="H9" i="12"/>
  <c r="H9" i="13" s="1"/>
  <c r="H9" i="14" s="1"/>
  <c r="J11" i="12"/>
  <c r="J19"/>
  <c r="H19" i="13"/>
  <c r="H140"/>
  <c r="J140" i="12"/>
  <c r="H139" i="11"/>
  <c r="F198" s="1"/>
  <c r="H138" i="13"/>
  <c r="J138" i="12"/>
  <c r="H135"/>
  <c r="J135" i="11"/>
  <c r="H134"/>
  <c r="H133" i="15"/>
  <c r="J133" i="14"/>
  <c r="J132" i="11"/>
  <c r="H132" i="12"/>
  <c r="J125" i="11"/>
  <c r="H125" i="12"/>
  <c r="H127"/>
  <c r="J127" i="11"/>
  <c r="H126" i="12"/>
  <c r="J126" i="11"/>
  <c r="H124" i="12"/>
  <c r="J124" i="11"/>
  <c r="J123"/>
  <c r="H123" i="12"/>
  <c r="J100" i="11"/>
  <c r="H100" i="12"/>
  <c r="H99"/>
  <c r="J99" i="11"/>
  <c r="H98" i="12"/>
  <c r="J98" i="11"/>
  <c r="J97"/>
  <c r="H97" i="12"/>
  <c r="H96"/>
  <c r="J96" i="11"/>
  <c r="J101"/>
  <c r="H101" i="12"/>
  <c r="H95" i="11"/>
  <c r="H93"/>
  <c r="H84"/>
  <c r="H85"/>
  <c r="H85" i="12" s="1"/>
  <c r="J83" i="11"/>
  <c r="H83" i="12"/>
  <c r="H82"/>
  <c r="J82" i="11"/>
  <c r="H81" i="13"/>
  <c r="J81" i="12"/>
  <c r="H80"/>
  <c r="J80" i="11"/>
  <c r="H79" i="12"/>
  <c r="J79" i="11"/>
  <c r="H78" i="12"/>
  <c r="J78" i="11"/>
  <c r="J76"/>
  <c r="H76" i="12"/>
  <c r="J75" i="11"/>
  <c r="H75" i="12"/>
  <c r="H74"/>
  <c r="J74" i="11"/>
  <c r="J73" i="12"/>
  <c r="H73" i="13"/>
  <c r="H72" i="11"/>
  <c r="H69"/>
  <c r="J67"/>
  <c r="H67" i="12"/>
  <c r="J66" i="11"/>
  <c r="H66" i="12"/>
  <c r="H65"/>
  <c r="J65" i="11"/>
  <c r="J63"/>
  <c r="H63" i="12"/>
  <c r="J58" i="11"/>
  <c r="H55"/>
  <c r="H54"/>
  <c r="J53"/>
  <c r="J52"/>
  <c r="H148"/>
  <c r="J51"/>
  <c r="J49"/>
  <c r="J59"/>
  <c r="J46"/>
  <c r="H46" i="12"/>
  <c r="J142" i="11"/>
  <c r="H142" i="12"/>
  <c r="J43"/>
  <c r="H43" i="13"/>
  <c r="H42" i="11"/>
  <c r="H144" i="12"/>
  <c r="J144" i="11"/>
  <c r="J47" i="9"/>
  <c r="J60" i="8"/>
  <c r="H60" i="9"/>
  <c r="H60" i="10" s="1"/>
  <c r="H39" i="12"/>
  <c r="J39" i="11"/>
  <c r="H146"/>
  <c r="H150" i="12"/>
  <c r="J150" i="11"/>
  <c r="H15"/>
  <c r="J12" i="12"/>
  <c r="H10"/>
  <c r="H10" i="13" s="1"/>
  <c r="H10" i="14" s="1"/>
  <c r="H151" i="11"/>
  <c r="H143"/>
  <c r="H153"/>
  <c r="H7"/>
  <c r="H145"/>
  <c r="H149"/>
  <c r="H147"/>
  <c r="J152" i="10" l="1"/>
  <c r="H152" i="11"/>
  <c r="H30" i="12"/>
  <c r="J30" s="1"/>
  <c r="J60" i="10"/>
  <c r="H60" i="11"/>
  <c r="H60" i="12" s="1"/>
  <c r="J128" i="27"/>
  <c r="H128" i="28"/>
  <c r="J1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/>
  <c r="H131" i="14"/>
  <c r="J137" i="12"/>
  <c r="H137" i="13"/>
  <c r="H92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/>
  <c r="H140" i="14"/>
  <c r="H139" i="12"/>
  <c r="J139" i="11"/>
  <c r="H138" i="14"/>
  <c r="J138" i="13"/>
  <c r="J135" i="12"/>
  <c r="H135" i="13"/>
  <c r="H134" i="12"/>
  <c r="J134" i="11"/>
  <c r="H133" i="16"/>
  <c r="J133" i="15"/>
  <c r="H132" i="13"/>
  <c r="J132" i="12"/>
  <c r="J125"/>
  <c r="H125" i="13"/>
  <c r="J127" i="12"/>
  <c r="H127" i="13"/>
  <c r="J126" i="12"/>
  <c r="H126" i="13"/>
  <c r="J124" i="12"/>
  <c r="H124" i="13"/>
  <c r="J123" i="12"/>
  <c r="H123" i="13"/>
  <c r="H100"/>
  <c r="J100" i="12"/>
  <c r="H99" i="13"/>
  <c r="J99" i="12"/>
  <c r="H98" i="13"/>
  <c r="J98" i="12"/>
  <c r="J97"/>
  <c r="H97" i="13"/>
  <c r="J96" i="12"/>
  <c r="H96" i="13"/>
  <c r="J101" i="12"/>
  <c r="H101" i="13"/>
  <c r="H95" i="12"/>
  <c r="J95" i="11"/>
  <c r="H93" i="12"/>
  <c r="J93" i="11"/>
  <c r="J85"/>
  <c r="J84"/>
  <c r="H84" i="12"/>
  <c r="J83"/>
  <c r="H83" i="13"/>
  <c r="J82" i="12"/>
  <c r="H82" i="13"/>
  <c r="H81" i="14"/>
  <c r="H81" i="15" s="1"/>
  <c r="J81" i="13"/>
  <c r="J80" i="12"/>
  <c r="H80" i="13"/>
  <c r="H79"/>
  <c r="J79" i="12"/>
  <c r="J78"/>
  <c r="H78" i="13"/>
  <c r="J76" i="12"/>
  <c r="H76" i="13"/>
  <c r="H75"/>
  <c r="J75" i="12"/>
  <c r="H74" i="13"/>
  <c r="J74" i="12"/>
  <c r="H73" i="14"/>
  <c r="J73" s="1"/>
  <c r="J73" i="13"/>
  <c r="J72" i="11"/>
  <c r="H72" i="12"/>
  <c r="H69"/>
  <c r="J69" i="11"/>
  <c r="J67" i="12"/>
  <c r="H67" i="13"/>
  <c r="J66" i="12"/>
  <c r="H66" i="13"/>
  <c r="H65"/>
  <c r="J65" i="12"/>
  <c r="J63"/>
  <c r="H63" i="13"/>
  <c r="H58"/>
  <c r="J55" i="11"/>
  <c r="J54"/>
  <c r="H53" i="13"/>
  <c r="H52"/>
  <c r="J148" i="11"/>
  <c r="H148" i="12"/>
  <c r="H51" i="13"/>
  <c r="H49"/>
  <c r="H59"/>
  <c r="H46"/>
  <c r="J46" i="12"/>
  <c r="J142"/>
  <c r="H142" i="13"/>
  <c r="H43" i="14"/>
  <c r="J43" i="13"/>
  <c r="J42" i="11"/>
  <c r="H42" i="12"/>
  <c r="J144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s="1"/>
  <c r="H15" i="12"/>
  <c r="J12" i="13"/>
  <c r="J10" i="12"/>
  <c r="H13" i="13"/>
  <c r="H13" i="14" s="1"/>
  <c r="J13" i="11"/>
  <c r="J145"/>
  <c r="H145" i="12"/>
  <c r="H151"/>
  <c r="J151" i="11"/>
  <c r="J143"/>
  <c r="H143" i="12"/>
  <c r="J149" i="11"/>
  <c r="H149" i="12"/>
  <c r="J7" i="11"/>
  <c r="I9" s="1"/>
  <c r="H7" i="12"/>
  <c r="H153"/>
  <c r="J153" i="11"/>
  <c r="H147" i="12"/>
  <c r="J147" i="11"/>
  <c r="H152" i="12" l="1"/>
  <c r="H152" i="13" s="1"/>
  <c r="J152" i="11"/>
  <c r="H30" i="13"/>
  <c r="J30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/>
  <c r="J92" i="13"/>
  <c r="H77" i="14"/>
  <c r="J77" i="13"/>
  <c r="H68" i="15"/>
  <c r="J68" i="14"/>
  <c r="J64" i="13"/>
  <c r="H64" i="14"/>
  <c r="J62" i="13"/>
  <c r="H62" i="14"/>
  <c r="J57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/>
  <c r="J38" i="13"/>
  <c r="J40"/>
  <c r="H40" i="14"/>
  <c r="H20" i="12"/>
  <c r="J20" i="11"/>
  <c r="I20" s="1"/>
  <c r="H11" i="15"/>
  <c r="J11" i="14"/>
  <c r="J9" i="13"/>
  <c r="J19" i="14"/>
  <c r="H19" i="15"/>
  <c r="H140"/>
  <c r="J140" i="14"/>
  <c r="H139" i="13"/>
  <c r="J139" i="12"/>
  <c r="J138" i="14"/>
  <c r="H138" i="15"/>
  <c r="H135" i="14"/>
  <c r="J135" i="13"/>
  <c r="J134" i="12"/>
  <c r="H134" i="13"/>
  <c r="H133" i="17"/>
  <c r="J133" i="16"/>
  <c r="H132" i="14"/>
  <c r="J132" i="13"/>
  <c r="J125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/>
  <c r="J96" i="13"/>
  <c r="J101"/>
  <c r="H101" i="14"/>
  <c r="J95" i="12"/>
  <c r="H95" i="13"/>
  <c r="H93"/>
  <c r="J93" i="12"/>
  <c r="J85"/>
  <c r="H85" i="13"/>
  <c r="J84" i="12"/>
  <c r="H84" i="13"/>
  <c r="J83"/>
  <c r="H83" i="14"/>
  <c r="H83" i="15" s="1"/>
  <c r="J82" i="13"/>
  <c r="H82" i="14"/>
  <c r="H82" i="15" s="1"/>
  <c r="J81" i="14"/>
  <c r="J80" i="13"/>
  <c r="H80" i="14"/>
  <c r="J80" s="1"/>
  <c r="H79"/>
  <c r="H80" i="15" s="1"/>
  <c r="J79" i="13"/>
  <c r="J78"/>
  <c r="H78" i="14"/>
  <c r="J76" i="13"/>
  <c r="H76" i="14"/>
  <c r="J76" s="1"/>
  <c r="J75" i="13"/>
  <c r="H75" i="14"/>
  <c r="J74" i="13"/>
  <c r="H74" i="14"/>
  <c r="H74" i="15" s="1"/>
  <c r="J72" i="12"/>
  <c r="H72" i="13"/>
  <c r="H72" i="15" s="1"/>
  <c r="J72" s="1"/>
  <c r="H69" i="13"/>
  <c r="J69" i="12"/>
  <c r="H67" i="14"/>
  <c r="J67" i="13"/>
  <c r="J66"/>
  <c r="H66" i="14"/>
  <c r="H65"/>
  <c r="J65" i="13"/>
  <c r="H63" i="14"/>
  <c r="J63" i="13"/>
  <c r="J58"/>
  <c r="H58" i="14"/>
  <c r="H55" i="13"/>
  <c r="H54"/>
  <c r="H53" i="14"/>
  <c r="J53" i="13"/>
  <c r="J52"/>
  <c r="H52" i="14"/>
  <c r="J148" i="12"/>
  <c r="H148" i="13"/>
  <c r="H51" i="14"/>
  <c r="J51" i="13"/>
  <c r="H49" i="14"/>
  <c r="J49" i="13"/>
  <c r="J59"/>
  <c r="H59" i="14"/>
  <c r="J46" i="13"/>
  <c r="H46" i="14"/>
  <c r="H142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s="1"/>
  <c r="H15" i="13"/>
  <c r="H128" s="1"/>
  <c r="H12" i="15"/>
  <c r="J12" i="14"/>
  <c r="J10" i="13"/>
  <c r="J13" i="12"/>
  <c r="H149" i="13"/>
  <c r="J149" i="12"/>
  <c r="H145" i="13"/>
  <c r="J145" i="12"/>
  <c r="H153" i="13"/>
  <c r="J153" s="1"/>
  <c r="J153" i="12"/>
  <c r="H7" i="13"/>
  <c r="J7" i="12"/>
  <c r="I9" s="1"/>
  <c r="J143"/>
  <c r="H143" i="13"/>
  <c r="J147" i="12"/>
  <c r="H147" i="13"/>
  <c r="J151" i="12"/>
  <c r="H151" i="13"/>
  <c r="J151" s="1"/>
  <c r="J152" l="1"/>
  <c r="H152" i="14"/>
  <c r="H30"/>
  <c r="J30" s="1"/>
  <c r="H29"/>
  <c r="J29" i="13"/>
  <c r="H28" i="16"/>
  <c r="J28" i="15"/>
  <c r="J32" i="12"/>
  <c r="H32" i="13"/>
  <c r="J27" i="14"/>
  <c r="H27" i="15"/>
  <c r="H76"/>
  <c r="H75"/>
  <c r="H78"/>
  <c r="H79"/>
  <c r="J77" i="14"/>
  <c r="H77" i="15"/>
  <c r="H77" i="16" s="1"/>
  <c r="H24" i="17"/>
  <c r="J24" i="16"/>
  <c r="H23" i="15"/>
  <c r="J23" i="14"/>
  <c r="H22" i="18"/>
  <c r="J22" i="17"/>
  <c r="H94" i="16"/>
  <c r="J94" i="15"/>
  <c r="H18"/>
  <c r="J18" i="14"/>
  <c r="H56"/>
  <c r="J56" i="13"/>
  <c r="J137" i="14"/>
  <c r="H137" i="15"/>
  <c r="H131" i="16"/>
  <c r="J131" i="15"/>
  <c r="H136"/>
  <c r="J136" i="14"/>
  <c r="H130" i="15"/>
  <c r="J130" i="14"/>
  <c r="H92" i="15"/>
  <c r="J92" i="14"/>
  <c r="J68" i="15"/>
  <c r="H68" i="16"/>
  <c r="J62" i="14"/>
  <c r="H62" i="15"/>
  <c r="H64"/>
  <c r="J64" i="14"/>
  <c r="J57" i="15"/>
  <c r="H57" i="16"/>
  <c r="J50" i="13"/>
  <c r="H50" i="14"/>
  <c r="J36" i="13"/>
  <c r="H36" i="14"/>
  <c r="H37"/>
  <c r="J37" i="13"/>
  <c r="H40" i="15"/>
  <c r="J40" i="14"/>
  <c r="J35"/>
  <c r="H35" i="15"/>
  <c r="H44" i="14"/>
  <c r="J44" i="13"/>
  <c r="H38" i="15"/>
  <c r="J38" i="14"/>
  <c r="J45" i="15"/>
  <c r="H45" i="16"/>
  <c r="J20" i="12"/>
  <c r="I20" s="1"/>
  <c r="H20" i="13"/>
  <c r="H11" i="16"/>
  <c r="J11" i="15"/>
  <c r="H9"/>
  <c r="J9" i="14"/>
  <c r="H19" i="16"/>
  <c r="J19" i="15"/>
  <c r="J140"/>
  <c r="H140" i="16"/>
  <c r="H139" i="14"/>
  <c r="J139" i="13"/>
  <c r="J138" i="15"/>
  <c r="H138" i="16"/>
  <c r="H135" i="15"/>
  <c r="J135" i="14"/>
  <c r="H134"/>
  <c r="J134" i="13"/>
  <c r="H133" i="18"/>
  <c r="H133" i="19" s="1"/>
  <c r="J133" i="17"/>
  <c r="H132" i="15"/>
  <c r="J132" i="14"/>
  <c r="J125"/>
  <c r="H125" i="15"/>
  <c r="J127" i="14"/>
  <c r="H127" i="15"/>
  <c r="H126"/>
  <c r="J126" i="14"/>
  <c r="H124" i="15"/>
  <c r="J124" i="14"/>
  <c r="H123" i="15"/>
  <c r="J123" i="14"/>
  <c r="H100" i="15"/>
  <c r="J100" i="14"/>
  <c r="H99" i="15"/>
  <c r="J99" i="14"/>
  <c r="H98" i="15"/>
  <c r="J98" i="14"/>
  <c r="J97"/>
  <c r="H97" i="15"/>
  <c r="J96" i="14"/>
  <c r="H96" i="15"/>
  <c r="H101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/>
  <c r="H81" i="16"/>
  <c r="J81" i="15"/>
  <c r="J79" i="14"/>
  <c r="J78"/>
  <c r="J75"/>
  <c r="J74"/>
  <c r="H72"/>
  <c r="J72" i="13"/>
  <c r="J69"/>
  <c r="H69" i="14"/>
  <c r="J67"/>
  <c r="H67" i="15"/>
  <c r="H66"/>
  <c r="J66" i="14"/>
  <c r="J65"/>
  <c r="H65" i="15"/>
  <c r="J63" i="14"/>
  <c r="H63" i="15"/>
  <c r="J58" i="14"/>
  <c r="H58" i="15"/>
  <c r="H55" i="14"/>
  <c r="J55" i="13"/>
  <c r="J54"/>
  <c r="H54" i="14"/>
  <c r="J53"/>
  <c r="H53" i="15"/>
  <c r="J148" i="13"/>
  <c r="H148" i="14"/>
  <c r="J52"/>
  <c r="H52" i="15"/>
  <c r="H51"/>
  <c r="J51" i="14"/>
  <c r="H59" i="15"/>
  <c r="J59" i="14"/>
  <c r="J49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s="1"/>
  <c r="H15" i="14"/>
  <c r="J12" i="15"/>
  <c r="H12" i="16"/>
  <c r="H10" i="15"/>
  <c r="J10" i="14"/>
  <c r="J13" i="13"/>
  <c r="H151" i="14"/>
  <c r="H147"/>
  <c r="J147" i="13"/>
  <c r="H143" i="14"/>
  <c r="J143" i="13"/>
  <c r="J7"/>
  <c r="I9" s="1"/>
  <c r="H7" i="14"/>
  <c r="H145"/>
  <c r="J145" i="13"/>
  <c r="H153" i="14"/>
  <c r="H149"/>
  <c r="J149" i="13"/>
  <c r="J152" i="14" l="1"/>
  <c r="H152" i="15"/>
  <c r="H30"/>
  <c r="J30" s="1"/>
  <c r="J29" i="14"/>
  <c r="H29" i="15"/>
  <c r="H32" i="14"/>
  <c r="J32" i="13"/>
  <c r="H28" i="17"/>
  <c r="J28" i="16"/>
  <c r="J27" i="15"/>
  <c r="H27" i="16"/>
  <c r="J77" i="15"/>
  <c r="H73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/>
  <c r="J136" i="15"/>
  <c r="J92"/>
  <c r="H92" i="16"/>
  <c r="J77"/>
  <c r="H77" i="17"/>
  <c r="H68"/>
  <c r="J68" i="16"/>
  <c r="J64" i="15"/>
  <c r="H64" i="16"/>
  <c r="J62" i="15"/>
  <c r="H62" i="16"/>
  <c r="H50" i="15"/>
  <c r="J50" i="14"/>
  <c r="H57" i="17"/>
  <c r="J57" i="16"/>
  <c r="H36" i="15"/>
  <c r="J36" i="14"/>
  <c r="J37"/>
  <c r="H37" i="15"/>
  <c r="H44"/>
  <c r="J44" i="14"/>
  <c r="H40" i="16"/>
  <c r="J40" i="15"/>
  <c r="J45" i="16"/>
  <c r="H45" i="17"/>
  <c r="J38" i="15"/>
  <c r="H38" i="16"/>
  <c r="H35"/>
  <c r="J35" i="15"/>
  <c r="H20" i="14"/>
  <c r="J20" i="13"/>
  <c r="H9" i="16"/>
  <c r="H9" i="17" s="1"/>
  <c r="J9" i="15"/>
  <c r="J11" i="16"/>
  <c r="H11" i="17"/>
  <c r="J19" i="16"/>
  <c r="H19" i="17"/>
  <c r="H140"/>
  <c r="J140" i="16"/>
  <c r="H139" i="15"/>
  <c r="J139" i="14"/>
  <c r="H138" i="17"/>
  <c r="J138" i="16"/>
  <c r="H135"/>
  <c r="J135" i="15"/>
  <c r="H134"/>
  <c r="J134" i="14"/>
  <c r="J133" i="18"/>
  <c r="H132" i="16"/>
  <c r="J132" i="15"/>
  <c r="J125"/>
  <c r="H125" i="16"/>
  <c r="H127"/>
  <c r="J127" i="15"/>
  <c r="J126"/>
  <c r="H126" i="16"/>
  <c r="J124" i="15"/>
  <c r="H124" i="16"/>
  <c r="J123" i="15"/>
  <c r="H123" i="16"/>
  <c r="J100" i="15"/>
  <c r="H100" i="16"/>
  <c r="H99"/>
  <c r="J99" i="15"/>
  <c r="H98" i="16"/>
  <c r="J98" i="15"/>
  <c r="J97"/>
  <c r="H97" i="16"/>
  <c r="H96"/>
  <c r="J96" i="15"/>
  <c r="H101" i="16"/>
  <c r="J101" i="15"/>
  <c r="H95"/>
  <c r="J95" i="14"/>
  <c r="J93"/>
  <c r="H93" i="15"/>
  <c r="J84" i="14"/>
  <c r="J85"/>
  <c r="H83" i="16"/>
  <c r="J83" i="15"/>
  <c r="J82"/>
  <c r="H82" i="16"/>
  <c r="H81" i="17"/>
  <c r="J81" i="16"/>
  <c r="J80" i="15"/>
  <c r="H80" i="16"/>
  <c r="J79" i="15"/>
  <c r="H79" i="16"/>
  <c r="J78" i="15"/>
  <c r="H78" i="16"/>
  <c r="H76"/>
  <c r="J76" i="15"/>
  <c r="H75" i="16"/>
  <c r="J75" i="15"/>
  <c r="J74"/>
  <c r="H74" i="16"/>
  <c r="J72" i="14"/>
  <c r="J69"/>
  <c r="H69" i="15"/>
  <c r="J67"/>
  <c r="H67" i="16"/>
  <c r="J66" i="15"/>
  <c r="H66" i="16"/>
  <c r="H65"/>
  <c r="J65" i="15"/>
  <c r="J63"/>
  <c r="H63" i="16"/>
  <c r="J58" i="15"/>
  <c r="H58" i="16"/>
  <c r="J55" i="14"/>
  <c r="H55" i="15"/>
  <c r="J54" i="14"/>
  <c r="H54" i="15"/>
  <c r="J53"/>
  <c r="H53" i="16"/>
  <c r="J148" i="14"/>
  <c r="H148" i="15"/>
  <c r="J52"/>
  <c r="H52" i="16"/>
  <c r="H51"/>
  <c r="J51" i="15"/>
  <c r="H49" i="16"/>
  <c r="J49" i="15"/>
  <c r="H59" i="16"/>
  <c r="J59" i="15"/>
  <c r="J46"/>
  <c r="H46" i="16"/>
  <c r="H142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s="1"/>
  <c r="H12" i="17"/>
  <c r="J12" i="16"/>
  <c r="J10" i="15"/>
  <c r="H10" i="16"/>
  <c r="J13" i="14"/>
  <c r="H13" i="15"/>
  <c r="J147" i="14"/>
  <c r="H147" i="15"/>
  <c r="H153"/>
  <c r="J153" i="14"/>
  <c r="H7" i="15"/>
  <c r="J7" i="14"/>
  <c r="I9" s="1"/>
  <c r="J149"/>
  <c r="H149" i="15"/>
  <c r="J145" i="14"/>
  <c r="H145" i="15"/>
  <c r="J143" i="14"/>
  <c r="H143" i="15"/>
  <c r="J151" i="14"/>
  <c r="H151" i="15"/>
  <c r="J152" l="1"/>
  <c r="H152" i="16"/>
  <c r="H30"/>
  <c r="J30" s="1"/>
  <c r="H29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/>
  <c r="H136" i="17"/>
  <c r="J130" i="16"/>
  <c r="H130" i="17"/>
  <c r="J131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/>
  <c r="H64" i="17"/>
  <c r="H57" i="18"/>
  <c r="J57" i="17"/>
  <c r="H50" i="16"/>
  <c r="J50" i="15"/>
  <c r="H36" i="16"/>
  <c r="J36" i="15"/>
  <c r="J37"/>
  <c r="H37" i="16"/>
  <c r="H38" i="17"/>
  <c r="J38" i="16"/>
  <c r="J45" i="17"/>
  <c r="H45" i="18"/>
  <c r="H35" i="17"/>
  <c r="J35" i="16"/>
  <c r="J40"/>
  <c r="H40" i="17"/>
  <c r="J44" i="15"/>
  <c r="H44" i="16"/>
  <c r="J20" i="14"/>
  <c r="H20" i="15"/>
  <c r="J9" i="16"/>
  <c r="J11" i="17"/>
  <c r="H11" i="18"/>
  <c r="J19" i="17"/>
  <c r="H19" i="18"/>
  <c r="H140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3" i="19"/>
  <c r="H133" i="20"/>
  <c r="H132" i="17"/>
  <c r="J132" i="16"/>
  <c r="J125"/>
  <c r="H125" i="17"/>
  <c r="H127"/>
  <c r="J127" i="16"/>
  <c r="J126"/>
  <c r="H126" i="17"/>
  <c r="J124" i="16"/>
  <c r="H124" i="17"/>
  <c r="H123"/>
  <c r="J123" i="16"/>
  <c r="J100"/>
  <c r="H100" i="17"/>
  <c r="H99"/>
  <c r="J99" i="16"/>
  <c r="H98" i="17"/>
  <c r="J98" i="16"/>
  <c r="H97" i="17"/>
  <c r="J97" i="16"/>
  <c r="J96"/>
  <c r="H96" i="17"/>
  <c r="J95" i="15"/>
  <c r="H95" i="16"/>
  <c r="H101" i="17"/>
  <c r="J101" i="16"/>
  <c r="H93"/>
  <c r="J93" i="15"/>
  <c r="H84" i="16"/>
  <c r="J84" i="15"/>
  <c r="J85"/>
  <c r="H85" i="16"/>
  <c r="J83"/>
  <c r="H83" i="17"/>
  <c r="J82" i="16"/>
  <c r="H82" i="17"/>
  <c r="H81" i="18"/>
  <c r="J81" i="17"/>
  <c r="J80" i="16"/>
  <c r="H80" i="17"/>
  <c r="J79" i="16"/>
  <c r="H79" i="17"/>
  <c r="J78" i="16"/>
  <c r="H78" i="17"/>
  <c r="H76"/>
  <c r="J76" i="16"/>
  <c r="J75"/>
  <c r="H75" i="17"/>
  <c r="H74"/>
  <c r="J74" i="16"/>
  <c r="J73" i="15"/>
  <c r="H73" i="16"/>
  <c r="H72"/>
  <c r="J69" i="15"/>
  <c r="H69" i="16"/>
  <c r="J67"/>
  <c r="H67" i="17"/>
  <c r="J66" i="16"/>
  <c r="H66" i="17"/>
  <c r="H65"/>
  <c r="J65" i="16"/>
  <c r="H63" i="17"/>
  <c r="J63" i="16"/>
  <c r="H58" i="17"/>
  <c r="J58" i="16"/>
  <c r="H55"/>
  <c r="J55" i="15"/>
  <c r="H54" i="16"/>
  <c r="J54" i="15"/>
  <c r="J53" i="16"/>
  <c r="H53" i="17"/>
  <c r="J148" i="15"/>
  <c r="H148" i="16"/>
  <c r="J52"/>
  <c r="H52" i="17"/>
  <c r="J51" i="16"/>
  <c r="H51" i="17"/>
  <c r="H49"/>
  <c r="J49" i="16"/>
  <c r="J59"/>
  <c r="H59" i="17"/>
  <c r="H46"/>
  <c r="J46" i="16"/>
  <c r="H43" i="18"/>
  <c r="J43" i="17"/>
  <c r="J142" i="16"/>
  <c r="H142" i="17"/>
  <c r="H142" i="18" s="1"/>
  <c r="J142" s="1"/>
  <c r="H42" i="16"/>
  <c r="J42" i="15"/>
  <c r="J144" i="16"/>
  <c r="H144" i="17"/>
  <c r="H41" i="16"/>
  <c r="J41" i="15"/>
  <c r="H60" i="14"/>
  <c r="J60" i="13"/>
  <c r="J47" i="14"/>
  <c r="H47" i="15"/>
  <c r="J146"/>
  <c r="H146" i="16"/>
  <c r="J39"/>
  <c r="H39" i="17"/>
  <c r="J150" i="16"/>
  <c r="H150" i="17"/>
  <c r="J15" i="15"/>
  <c r="I16" s="1"/>
  <c r="H15" i="16"/>
  <c r="J12" i="17"/>
  <c r="H12" i="18"/>
  <c r="J10" i="16"/>
  <c r="H10" i="17"/>
  <c r="J13" i="15"/>
  <c r="H13" i="16"/>
  <c r="H151"/>
  <c r="J151" i="15"/>
  <c r="J149"/>
  <c r="H149" i="16"/>
  <c r="J7" i="15"/>
  <c r="I9" s="1"/>
  <c r="H7" i="16"/>
  <c r="J143" i="15"/>
  <c r="H143" i="16"/>
  <c r="H145"/>
  <c r="J145" i="15"/>
  <c r="H147" i="16"/>
  <c r="J147" i="15"/>
  <c r="H153" i="16"/>
  <c r="J153" i="15"/>
  <c r="J152" i="16" l="1"/>
  <c r="H152" i="17"/>
  <c r="H30"/>
  <c r="J30" s="1"/>
  <c r="H29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/>
  <c r="H57" i="19"/>
  <c r="J50" i="16"/>
  <c r="H50" i="17"/>
  <c r="J36" i="16"/>
  <c r="H36" i="17"/>
  <c r="H37"/>
  <c r="J37" i="16"/>
  <c r="J38" i="17"/>
  <c r="H38" i="18"/>
  <c r="H44" i="17"/>
  <c r="J44" i="16"/>
  <c r="H35" i="18"/>
  <c r="J35" i="17"/>
  <c r="J40"/>
  <c r="H40" i="18"/>
  <c r="J45"/>
  <c r="H45" i="19"/>
  <c r="J20" i="15"/>
  <c r="H20" i="16"/>
  <c r="J9" i="17"/>
  <c r="H9" i="18"/>
  <c r="J11"/>
  <c r="H11" i="19"/>
  <c r="J19" i="18"/>
  <c r="H19" i="19"/>
  <c r="J140" i="18"/>
  <c r="J139" i="16"/>
  <c r="H139" i="17"/>
  <c r="J138" i="18"/>
  <c r="H135"/>
  <c r="H135" i="19" s="1"/>
  <c r="J135" i="17"/>
  <c r="H134"/>
  <c r="J134" i="16"/>
  <c r="J133" i="20"/>
  <c r="H133" i="21"/>
  <c r="H132" i="18"/>
  <c r="H132" i="19" s="1"/>
  <c r="J132" i="17"/>
  <c r="J125"/>
  <c r="H125" i="18"/>
  <c r="J127" i="17"/>
  <c r="H127" i="18"/>
  <c r="H126"/>
  <c r="J126" i="17"/>
  <c r="H124" i="18"/>
  <c r="J124" i="17"/>
  <c r="J123"/>
  <c r="H123" i="18"/>
  <c r="J100" i="17"/>
  <c r="H100" i="18"/>
  <c r="H99"/>
  <c r="J99" i="17"/>
  <c r="J98"/>
  <c r="H98" i="18"/>
  <c r="H97"/>
  <c r="J97" i="17"/>
  <c r="H96" i="18"/>
  <c r="J96" i="17"/>
  <c r="J95" i="16"/>
  <c r="H95" i="17"/>
  <c r="H101" i="18"/>
  <c r="J101" i="17"/>
  <c r="J93" i="16"/>
  <c r="H93" i="17"/>
  <c r="J84" i="16"/>
  <c r="H84" i="17"/>
  <c r="H85"/>
  <c r="J85" i="16"/>
  <c r="H83" i="18"/>
  <c r="J83" i="17"/>
  <c r="H82" i="18"/>
  <c r="J82" i="17"/>
  <c r="H81" i="19"/>
  <c r="J81" i="18"/>
  <c r="H80"/>
  <c r="J80" i="17"/>
  <c r="H79" i="18"/>
  <c r="J79" i="17"/>
  <c r="J78"/>
  <c r="H78" i="18"/>
  <c r="J76" i="17"/>
  <c r="H76" i="18"/>
  <c r="J74" i="17"/>
  <c r="H74" i="18"/>
  <c r="H75"/>
  <c r="J75" i="17"/>
  <c r="J73" i="16"/>
  <c r="H73" i="17"/>
  <c r="H72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/>
  <c r="H53" i="18"/>
  <c r="H148" i="17"/>
  <c r="J148" i="16"/>
  <c r="J52" i="17"/>
  <c r="H52" i="18"/>
  <c r="H51"/>
  <c r="J51" i="17"/>
  <c r="H59" i="18"/>
  <c r="J59" i="17"/>
  <c r="J49"/>
  <c r="H49" i="18"/>
  <c r="H46"/>
  <c r="J46" i="17"/>
  <c r="J142"/>
  <c r="H43" i="19"/>
  <c r="J43" i="18"/>
  <c r="J42" i="16"/>
  <c r="H42" i="17"/>
  <c r="J144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s="1"/>
  <c r="H15" i="17"/>
  <c r="J15" s="1"/>
  <c r="H12" i="19"/>
  <c r="J12" i="18"/>
  <c r="H10"/>
  <c r="J10" i="17"/>
  <c r="J13" i="16"/>
  <c r="H13" i="17"/>
  <c r="J147" i="16"/>
  <c r="H147" i="17"/>
  <c r="H143"/>
  <c r="H143" i="18" s="1"/>
  <c r="J143" s="1"/>
  <c r="J143" i="16"/>
  <c r="J149"/>
  <c r="H149" i="17"/>
  <c r="H153"/>
  <c r="J153" i="16"/>
  <c r="H145" i="17"/>
  <c r="J145" i="16"/>
  <c r="J151"/>
  <c r="H151" i="17"/>
  <c r="H7"/>
  <c r="J7" i="16"/>
  <c r="I9" s="1"/>
  <c r="J152" i="17" l="1"/>
  <c r="H152" i="18"/>
  <c r="H30"/>
  <c r="H30" i="19" s="1"/>
  <c r="J30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/>
  <c r="H131" i="20"/>
  <c r="J131" i="19"/>
  <c r="H130"/>
  <c r="J130" i="18"/>
  <c r="J137"/>
  <c r="J92"/>
  <c r="H92" i="19"/>
  <c r="H77" i="20"/>
  <c r="J77" i="19"/>
  <c r="H62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/>
  <c r="H36" i="18"/>
  <c r="H40" i="19"/>
  <c r="J40" i="18"/>
  <c r="J38"/>
  <c r="H38" i="19"/>
  <c r="H35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/>
  <c r="H140" i="20"/>
  <c r="H139" i="18"/>
  <c r="H139" i="19" s="1"/>
  <c r="J139" i="17"/>
  <c r="H138" i="20"/>
  <c r="J138" i="19"/>
  <c r="J135" i="18"/>
  <c r="H134"/>
  <c r="H134" i="19" s="1"/>
  <c r="J134" i="17"/>
  <c r="H133" i="22"/>
  <c r="J133" i="21"/>
  <c r="J132" i="18"/>
  <c r="J125"/>
  <c r="H125" i="19"/>
  <c r="J127" i="18"/>
  <c r="H127" i="19"/>
  <c r="H126"/>
  <c r="J126" i="18"/>
  <c r="J124"/>
  <c r="H124" i="19"/>
  <c r="J123" i="18"/>
  <c r="H123" i="19"/>
  <c r="J100" i="18"/>
  <c r="H100" i="19"/>
  <c r="J99" i="18"/>
  <c r="H99" i="19"/>
  <c r="H98"/>
  <c r="J98" i="18"/>
  <c r="J97"/>
  <c r="H97" i="19"/>
  <c r="J96" i="18"/>
  <c r="H96" i="19"/>
  <c r="J95" i="17"/>
  <c r="H95" i="18"/>
  <c r="J101"/>
  <c r="H101" i="19"/>
  <c r="J93" i="17"/>
  <c r="H93" i="18"/>
  <c r="J85" i="17"/>
  <c r="H85" i="18"/>
  <c r="H84"/>
  <c r="J84" i="17"/>
  <c r="J83" i="18"/>
  <c r="H83" i="19"/>
  <c r="H82"/>
  <c r="J82" i="18"/>
  <c r="J81" i="19"/>
  <c r="H81" i="20"/>
  <c r="H80" i="19"/>
  <c r="J80" i="18"/>
  <c r="J79"/>
  <c r="H79" i="19"/>
  <c r="J78" i="18"/>
  <c r="H78" i="19"/>
  <c r="J76" i="18"/>
  <c r="H76" i="19"/>
  <c r="J74" i="18"/>
  <c r="H74" i="19"/>
  <c r="J75" i="18"/>
  <c r="H75" i="19"/>
  <c r="H73" i="18"/>
  <c r="J73" i="17"/>
  <c r="J72"/>
  <c r="H72" i="18"/>
  <c r="J69" i="17"/>
  <c r="H69" i="18"/>
  <c r="H67" i="19"/>
  <c r="J67" i="18"/>
  <c r="J66"/>
  <c r="H66" i="19"/>
  <c r="H65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/>
  <c r="H52" i="19"/>
  <c r="H51"/>
  <c r="J51" i="18"/>
  <c r="J49"/>
  <c r="H49" i="19"/>
  <c r="H59"/>
  <c r="J59" i="18"/>
  <c r="J46"/>
  <c r="H46" i="19"/>
  <c r="J43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/>
  <c r="J13" i="17"/>
  <c r="J7"/>
  <c r="I9" s="1"/>
  <c r="H7" i="18"/>
  <c r="J145" i="17"/>
  <c r="H145" i="18"/>
  <c r="J143" i="17"/>
  <c r="J153"/>
  <c r="H153" i="18"/>
  <c r="H151"/>
  <c r="J151" i="17"/>
  <c r="H149" i="18"/>
  <c r="J149" i="17"/>
  <c r="H147" i="18"/>
  <c r="J147" i="17"/>
  <c r="H152" i="19" l="1"/>
  <c r="J152" i="18"/>
  <c r="H30" i="20"/>
  <c r="J30" s="1"/>
  <c r="J30" i="18"/>
  <c r="H29" i="19"/>
  <c r="J29" i="18"/>
  <c r="H27" i="20"/>
  <c r="J27" i="19"/>
  <c r="H28" i="21"/>
  <c r="J28" i="20"/>
  <c r="J32" i="17"/>
  <c r="H32" i="18"/>
  <c r="H24" i="22"/>
  <c r="J24" i="21"/>
  <c r="H23" i="20"/>
  <c r="J23" i="19"/>
  <c r="H22" i="23"/>
  <c r="J22" i="22"/>
  <c r="J94" i="20"/>
  <c r="H94" i="21"/>
  <c r="J18" i="19"/>
  <c r="H18" i="20"/>
  <c r="J56" i="18"/>
  <c r="H56" i="19"/>
  <c r="H136" i="20"/>
  <c r="J136" i="19"/>
  <c r="J137"/>
  <c r="H137" i="20"/>
  <c r="H131" i="21"/>
  <c r="J131" i="20"/>
  <c r="J130" i="19"/>
  <c r="H130" i="20"/>
  <c r="H92"/>
  <c r="J92" i="19"/>
  <c r="H77" i="21"/>
  <c r="J77" i="20"/>
  <c r="H64"/>
  <c r="J64" i="19"/>
  <c r="H68" i="21"/>
  <c r="J68" i="20"/>
  <c r="J62" i="19"/>
  <c r="H50"/>
  <c r="J50" i="18"/>
  <c r="J57" i="20"/>
  <c r="H57" i="21"/>
  <c r="J37" i="18"/>
  <c r="H37" i="19"/>
  <c r="J36" i="18"/>
  <c r="H36" i="19"/>
  <c r="H40" i="20"/>
  <c r="J40" i="19"/>
  <c r="J44" i="18"/>
  <c r="H44" i="19"/>
  <c r="J38"/>
  <c r="H38" i="20"/>
  <c r="H45" i="21"/>
  <c r="J45" i="20"/>
  <c r="J35" i="19"/>
  <c r="H35" i="20"/>
  <c r="J20" i="17"/>
  <c r="H20" i="18"/>
  <c r="J9" i="19"/>
  <c r="H9" i="20"/>
  <c r="H11" i="21"/>
  <c r="J11" i="20"/>
  <c r="J19"/>
  <c r="H19" i="21"/>
  <c r="J140" i="20"/>
  <c r="H140" i="21"/>
  <c r="J139" i="18"/>
  <c r="H138" i="21"/>
  <c r="J138" i="20"/>
  <c r="H135"/>
  <c r="J135" i="19"/>
  <c r="J134" i="18"/>
  <c r="J133" i="22"/>
  <c r="H133" i="23"/>
  <c r="H132" i="20"/>
  <c r="J132" i="19"/>
  <c r="J125"/>
  <c r="H125" i="20"/>
  <c r="J127" i="19"/>
  <c r="H127" i="20"/>
  <c r="H126"/>
  <c r="J126" i="19"/>
  <c r="H124" i="20"/>
  <c r="J124" i="19"/>
  <c r="H123" i="20"/>
  <c r="J123" i="19"/>
  <c r="J100"/>
  <c r="H100" i="20"/>
  <c r="H99"/>
  <c r="J99" i="19"/>
  <c r="H98" i="20"/>
  <c r="J98" i="19"/>
  <c r="H97" i="20"/>
  <c r="J97" i="19"/>
  <c r="H96" i="20"/>
  <c r="J96" i="19"/>
  <c r="J101"/>
  <c r="H101" i="20"/>
  <c r="J95" i="18"/>
  <c r="H95" i="19"/>
  <c r="J93" i="18"/>
  <c r="H93" i="19"/>
  <c r="J84" i="18"/>
  <c r="H84" i="19"/>
  <c r="H85"/>
  <c r="J85" i="18"/>
  <c r="J83" i="19"/>
  <c r="H83" i="20"/>
  <c r="J82" i="19"/>
  <c r="H82" i="20"/>
  <c r="J81"/>
  <c r="H81" i="21"/>
  <c r="H80" i="20"/>
  <c r="J80" i="19"/>
  <c r="J79"/>
  <c r="H79" i="20"/>
  <c r="H78"/>
  <c r="J78" i="19"/>
  <c r="J76"/>
  <c r="H76" i="20"/>
  <c r="J74" i="19"/>
  <c r="H74" i="20"/>
  <c r="H75"/>
  <c r="J75" i="19"/>
  <c r="H73"/>
  <c r="J73" i="18"/>
  <c r="H72" i="19"/>
  <c r="J72" i="18"/>
  <c r="H69" i="19"/>
  <c r="J69" i="18"/>
  <c r="J67" i="19"/>
  <c r="H67" i="20"/>
  <c r="H66"/>
  <c r="J66" i="19"/>
  <c r="H65" i="20"/>
  <c r="J65" i="19"/>
  <c r="H63" i="20"/>
  <c r="J63" i="19"/>
  <c r="J58"/>
  <c r="H58" i="20"/>
  <c r="J55" i="18"/>
  <c r="H55" i="19"/>
  <c r="H54"/>
  <c r="J54" i="18"/>
  <c r="J53" i="19"/>
  <c r="H53" i="20"/>
  <c r="J52" i="19"/>
  <c r="H52" i="20"/>
  <c r="J148" i="18"/>
  <c r="H148" i="19"/>
  <c r="J51"/>
  <c r="H51" i="20"/>
  <c r="J49" i="19"/>
  <c r="H49" i="20"/>
  <c r="J59" i="19"/>
  <c r="H59" i="20"/>
  <c r="H46"/>
  <c r="J46" i="19"/>
  <c r="J43" i="20"/>
  <c r="H43" i="21"/>
  <c r="H142" i="20"/>
  <c r="J142" i="19"/>
  <c r="H42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s="1"/>
  <c r="J12" i="20"/>
  <c r="H12" i="21"/>
  <c r="J10" i="19"/>
  <c r="H10" i="20"/>
  <c r="H13" i="19"/>
  <c r="J13" i="18"/>
  <c r="J147"/>
  <c r="H147" i="19"/>
  <c r="H151"/>
  <c r="J151" i="18"/>
  <c r="H143" i="19"/>
  <c r="J7" i="18"/>
  <c r="I9" s="1"/>
  <c r="H7" i="19"/>
  <c r="H149"/>
  <c r="J149" i="18"/>
  <c r="H153" i="19"/>
  <c r="J153" s="1"/>
  <c r="J153" i="18"/>
  <c r="H145" i="19"/>
  <c r="J145" i="18"/>
  <c r="H152" i="20" l="1"/>
  <c r="J152" i="19"/>
  <c r="H30" i="21"/>
  <c r="J30" s="1"/>
  <c r="J29" i="19"/>
  <c r="H29" i="20"/>
  <c r="J27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/>
  <c r="J92" i="20"/>
  <c r="H77" i="22"/>
  <c r="J77" i="21"/>
  <c r="H62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/>
  <c r="H36" i="20"/>
  <c r="J35"/>
  <c r="H35" i="21"/>
  <c r="H38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s="1"/>
  <c r="J133" i="23"/>
  <c r="H132" i="21"/>
  <c r="J132" i="20"/>
  <c r="J125"/>
  <c r="H125" i="21"/>
  <c r="J127" i="20"/>
  <c r="H127" i="21"/>
  <c r="H126"/>
  <c r="J126" i="20"/>
  <c r="J124"/>
  <c r="H124" i="21"/>
  <c r="H123"/>
  <c r="J123" i="20"/>
  <c r="J100"/>
  <c r="H100" i="21"/>
  <c r="H99"/>
  <c r="J99" i="20"/>
  <c r="J98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/>
  <c r="H83" i="21"/>
  <c r="J82" i="20"/>
  <c r="H82" i="21"/>
  <c r="H81" i="22"/>
  <c r="J81" i="21"/>
  <c r="J80" i="20"/>
  <c r="H80" i="21"/>
  <c r="H79"/>
  <c r="J79" i="20"/>
  <c r="H78" i="21"/>
  <c r="J78" i="20"/>
  <c r="J76"/>
  <c r="H76" i="21"/>
  <c r="J74" i="20"/>
  <c r="H74" i="21"/>
  <c r="H75"/>
  <c r="J75" i="20"/>
  <c r="J73" i="19"/>
  <c r="H73" i="20"/>
  <c r="H72"/>
  <c r="J72" i="19"/>
  <c r="J69"/>
  <c r="H69" i="20"/>
  <c r="J67"/>
  <c r="H67" i="21"/>
  <c r="H66"/>
  <c r="J66" i="20"/>
  <c r="J65"/>
  <c r="H65" i="21"/>
  <c r="J63" i="20"/>
  <c r="H63" i="21"/>
  <c r="H58"/>
  <c r="J58" i="20"/>
  <c r="J55" i="19"/>
  <c r="H55" i="20"/>
  <c r="H54"/>
  <c r="J54" i="19"/>
  <c r="H53" i="21"/>
  <c r="J53" i="20"/>
  <c r="H52" i="21"/>
  <c r="J52" i="20"/>
  <c r="H148"/>
  <c r="J148" i="19"/>
  <c r="J51" i="20"/>
  <c r="H51" i="21"/>
  <c r="J49" i="20"/>
  <c r="H49" i="21"/>
  <c r="H59"/>
  <c r="J59" i="20"/>
  <c r="J46"/>
  <c r="H46" i="21"/>
  <c r="H43" i="22"/>
  <c r="J43" i="21"/>
  <c r="H142"/>
  <c r="J142" i="20"/>
  <c r="J42" i="19"/>
  <c r="H42" i="20"/>
  <c r="H144" i="21"/>
  <c r="J144" i="20"/>
  <c r="H41"/>
  <c r="J41" i="19"/>
  <c r="H39" i="21"/>
  <c r="J39" i="20"/>
  <c r="H146"/>
  <c r="J146" i="19"/>
  <c r="J60" i="17"/>
  <c r="H60" i="18"/>
  <c r="J47"/>
  <c r="H47" i="19"/>
  <c r="J150" i="20"/>
  <c r="H150" i="21"/>
  <c r="H15" i="20"/>
  <c r="J15" i="19"/>
  <c r="I16" s="1"/>
  <c r="H12" i="22"/>
  <c r="J12" i="21"/>
  <c r="J10" i="20"/>
  <c r="H10" i="21"/>
  <c r="H13" i="20"/>
  <c r="J13" i="19"/>
  <c r="H145" i="20"/>
  <c r="J145" i="19"/>
  <c r="J7"/>
  <c r="I9" s="1"/>
  <c r="H7" i="20"/>
  <c r="H147"/>
  <c r="J147" i="19"/>
  <c r="H153" i="20"/>
  <c r="H149"/>
  <c r="J149" i="19"/>
  <c r="H151" i="20"/>
  <c r="J151" s="1"/>
  <c r="J151" i="19"/>
  <c r="H143" i="20"/>
  <c r="J143" i="19"/>
  <c r="J152" i="20" l="1"/>
  <c r="H152" i="21"/>
  <c r="H30" i="22"/>
  <c r="J30" s="1"/>
  <c r="J29" i="20"/>
  <c r="H29" i="21"/>
  <c r="H28" i="23"/>
  <c r="J28" i="22"/>
  <c r="H32" i="20"/>
  <c r="J32" i="19"/>
  <c r="J27" i="21"/>
  <c r="H27" i="22"/>
  <c r="J24" i="23"/>
  <c r="H24" i="24"/>
  <c r="H24" i="25" s="1"/>
  <c r="J24" s="1"/>
  <c r="H23" i="22"/>
  <c r="J23" i="21"/>
  <c r="J22" i="24"/>
  <c r="J94" i="22"/>
  <c r="H94" i="23"/>
  <c r="H18" i="22"/>
  <c r="J18" i="21"/>
  <c r="J56" i="20"/>
  <c r="H56" i="21"/>
  <c r="J130"/>
  <c r="H130" i="22"/>
  <c r="H131" i="23"/>
  <c r="J131" i="22"/>
  <c r="H137"/>
  <c r="J137" i="21"/>
  <c r="J136"/>
  <c r="H136" i="22"/>
  <c r="H92"/>
  <c r="J92" i="21"/>
  <c r="H77" i="23"/>
  <c r="J77" i="22"/>
  <c r="J64" i="21"/>
  <c r="H64" i="22"/>
  <c r="H62"/>
  <c r="J62" i="21"/>
  <c r="J68" i="22"/>
  <c r="H57" i="23"/>
  <c r="J57" i="22"/>
  <c r="H50" i="21"/>
  <c r="J50" i="20"/>
  <c r="J37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/>
  <c r="H19" i="23"/>
  <c r="J140" i="22"/>
  <c r="H140" i="23"/>
  <c r="H140" i="24" s="1"/>
  <c r="H140" i="25" s="1"/>
  <c r="J140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/>
  <c r="J127" i="21"/>
  <c r="J126"/>
  <c r="H126" i="22"/>
  <c r="J124" i="21"/>
  <c r="H124" i="22"/>
  <c r="H123"/>
  <c r="J123" i="21"/>
  <c r="J100"/>
  <c r="H100" i="22"/>
  <c r="H99"/>
  <c r="J99" i="21"/>
  <c r="H98" i="22"/>
  <c r="J98" i="21"/>
  <c r="J97"/>
  <c r="H97" i="22"/>
  <c r="H96"/>
  <c r="J96" i="21"/>
  <c r="H101" i="22"/>
  <c r="J101" i="21"/>
  <c r="H95"/>
  <c r="J95" i="20"/>
  <c r="H93" i="21"/>
  <c r="J93" i="20"/>
  <c r="J85"/>
  <c r="H85" i="21"/>
  <c r="H84"/>
  <c r="J84" i="20"/>
  <c r="H83" i="22"/>
  <c r="J83" i="21"/>
  <c r="H82" i="22"/>
  <c r="J82" i="21"/>
  <c r="J81" i="22"/>
  <c r="H81" i="23"/>
  <c r="H80" i="22"/>
  <c r="J80" i="21"/>
  <c r="J79"/>
  <c r="H79" i="22"/>
  <c r="H78"/>
  <c r="J78" i="21"/>
  <c r="H76" i="22"/>
  <c r="J76" i="21"/>
  <c r="H74" i="22"/>
  <c r="J74" i="21"/>
  <c r="H75" i="22"/>
  <c r="J75" i="21"/>
  <c r="H72"/>
  <c r="J72" i="20"/>
  <c r="H73" i="21"/>
  <c r="J73" i="20"/>
  <c r="J69"/>
  <c r="H69" i="21"/>
  <c r="H69" i="22" s="1"/>
  <c r="H69" i="23" s="1"/>
  <c r="H67" i="22"/>
  <c r="J67" i="21"/>
  <c r="H66" i="22"/>
  <c r="J66" i="21"/>
  <c r="J65"/>
  <c r="H65" i="22"/>
  <c r="H63"/>
  <c r="J63" i="21"/>
  <c r="H58" i="22"/>
  <c r="J58" i="21"/>
  <c r="J55" i="20"/>
  <c r="H55" i="21"/>
  <c r="H54"/>
  <c r="J54" i="20"/>
  <c r="H53" i="22"/>
  <c r="J53" i="21"/>
  <c r="H148"/>
  <c r="J148" i="20"/>
  <c r="H52" i="22"/>
  <c r="J52" i="21"/>
  <c r="H51" i="22"/>
  <c r="J51" i="21"/>
  <c r="J49"/>
  <c r="H49" i="22"/>
  <c r="H59"/>
  <c r="J59" i="21"/>
  <c r="H46" i="22"/>
  <c r="J46" i="21"/>
  <c r="H43" i="23"/>
  <c r="J43" i="22"/>
  <c r="H142"/>
  <c r="J142" i="21"/>
  <c r="H42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s="1"/>
  <c r="H15" i="21"/>
  <c r="H12" i="23"/>
  <c r="J12" i="22"/>
  <c r="H10"/>
  <c r="J10" i="21"/>
  <c r="J13" i="20"/>
  <c r="H13" i="21"/>
  <c r="H7"/>
  <c r="J7" i="20"/>
  <c r="H151" i="21"/>
  <c r="J151" s="1"/>
  <c r="H153"/>
  <c r="J153" s="1"/>
  <c r="J153" i="20"/>
  <c r="J143"/>
  <c r="H143" i="21"/>
  <c r="J149" i="20"/>
  <c r="H149" i="21"/>
  <c r="H147"/>
  <c r="J147" i="20"/>
  <c r="J145"/>
  <c r="H145" i="21"/>
  <c r="J152" l="1"/>
  <c r="H152" i="22"/>
  <c r="H30" i="23"/>
  <c r="J30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s="1"/>
  <c r="H18" i="23"/>
  <c r="J18" i="22"/>
  <c r="J56" i="21"/>
  <c r="H56" i="22"/>
  <c r="H130" i="23"/>
  <c r="J130" i="22"/>
  <c r="H131" i="24"/>
  <c r="H131" i="25" s="1"/>
  <c r="J131" s="1"/>
  <c r="J131" i="23"/>
  <c r="H137"/>
  <c r="J137" i="22"/>
  <c r="H136" i="23"/>
  <c r="J136" i="22"/>
  <c r="J92"/>
  <c r="H92" i="23"/>
  <c r="H77" i="24"/>
  <c r="H77" i="25" s="1"/>
  <c r="J77" s="1"/>
  <c r="J77" i="23"/>
  <c r="H64"/>
  <c r="J64" i="22"/>
  <c r="J62"/>
  <c r="H62" i="23"/>
  <c r="J68"/>
  <c r="H68" i="24"/>
  <c r="H68" i="25" s="1"/>
  <c r="J68" s="1"/>
  <c r="J50" i="21"/>
  <c r="H50" i="22"/>
  <c r="J57" i="23"/>
  <c r="H57" i="24"/>
  <c r="H57" i="25" s="1"/>
  <c r="J57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s="1"/>
  <c r="H20" i="21"/>
  <c r="J20" i="20"/>
  <c r="H9" i="23"/>
  <c r="J9" i="22"/>
  <c r="J11" i="23"/>
  <c r="H11" i="24"/>
  <c r="H11" i="25" s="1"/>
  <c r="J11" s="1"/>
  <c r="J19" i="23"/>
  <c r="H19" i="24"/>
  <c r="H19" i="25" s="1"/>
  <c r="J19" s="1"/>
  <c r="J140" i="23"/>
  <c r="H139" i="22"/>
  <c r="J139" i="21"/>
  <c r="J138" i="23"/>
  <c r="H135"/>
  <c r="J135" i="22"/>
  <c r="H134"/>
  <c r="J134" i="21"/>
  <c r="H133" i="40"/>
  <c r="J132" i="22"/>
  <c r="H132" i="23"/>
  <c r="J125" i="22"/>
  <c r="H125" i="23"/>
  <c r="H127"/>
  <c r="J127" i="22"/>
  <c r="H126" i="23"/>
  <c r="J126" i="22"/>
  <c r="J124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/>
  <c r="J84" i="21"/>
  <c r="H85" i="22"/>
  <c r="J85" i="21"/>
  <c r="J83" i="22"/>
  <c r="H83" i="23"/>
  <c r="H82"/>
  <c r="J82" i="22"/>
  <c r="H81" i="24"/>
  <c r="H81" i="25" s="1"/>
  <c r="J81" s="1"/>
  <c r="J81" i="23"/>
  <c r="J80" i="22"/>
  <c r="H80" i="23"/>
  <c r="H79"/>
  <c r="J79" i="22"/>
  <c r="J78"/>
  <c r="H78" i="23"/>
  <c r="J76" i="22"/>
  <c r="H76" i="23"/>
  <c r="H74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/>
  <c r="H63" i="23"/>
  <c r="H58"/>
  <c r="J58" i="22"/>
  <c r="H55"/>
  <c r="J55" i="21"/>
  <c r="J54"/>
  <c r="H54" i="22"/>
  <c r="H53" i="23"/>
  <c r="J53" i="22"/>
  <c r="H52" i="23"/>
  <c r="J52" i="22"/>
  <c r="J148" i="21"/>
  <c r="H148" i="22"/>
  <c r="H51" i="23"/>
  <c r="J51" i="22"/>
  <c r="J49"/>
  <c r="H49" i="23"/>
  <c r="J59" i="22"/>
  <c r="H59" i="23"/>
  <c r="J46" i="22"/>
  <c r="H46" i="23"/>
  <c r="H142"/>
  <c r="J142" i="22"/>
  <c r="H43" i="24"/>
  <c r="H43" i="25" s="1"/>
  <c r="J43" s="1"/>
  <c r="J43" i="23"/>
  <c r="H42" i="22"/>
  <c r="J42" i="21"/>
  <c r="H144" i="23"/>
  <c r="J144" i="22"/>
  <c r="H41"/>
  <c r="J41" i="21"/>
  <c r="J47" i="20"/>
  <c r="H47" i="21"/>
  <c r="J60" i="19"/>
  <c r="H60" i="20"/>
  <c r="H146" i="22"/>
  <c r="J146" i="21"/>
  <c r="J39" i="22"/>
  <c r="H39" i="23"/>
  <c r="H150"/>
  <c r="J150" i="22"/>
  <c r="H15"/>
  <c r="J15" i="21"/>
  <c r="I16" s="1"/>
  <c r="H12" i="24"/>
  <c r="H12" i="25" s="1"/>
  <c r="J12" s="1"/>
  <c r="J12" i="23"/>
  <c r="H10"/>
  <c r="J10" i="22"/>
  <c r="J13" i="21"/>
  <c r="H13" i="22"/>
  <c r="H145"/>
  <c r="J145" i="21"/>
  <c r="H149" i="22"/>
  <c r="J149" i="21"/>
  <c r="J143"/>
  <c r="H143" i="22"/>
  <c r="H151"/>
  <c r="J7" i="21"/>
  <c r="H7" i="22"/>
  <c r="J7" s="1"/>
  <c r="H147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s="1"/>
  <c r="H22" i="27"/>
  <c r="J22" i="40"/>
  <c r="J94" i="24"/>
  <c r="H18"/>
  <c r="H18" i="25" s="1"/>
  <c r="J18" s="1"/>
  <c r="J18" i="23"/>
  <c r="H56"/>
  <c r="J56" i="22"/>
  <c r="J136" i="23"/>
  <c r="H136" i="24"/>
  <c r="H136" i="25" s="1"/>
  <c r="J136" s="1"/>
  <c r="J131" i="24"/>
  <c r="J137" i="23"/>
  <c r="H130" i="24"/>
  <c r="H130" i="25" s="1"/>
  <c r="J130" s="1"/>
  <c r="J130" i="23"/>
  <c r="J92"/>
  <c r="H92" i="24"/>
  <c r="H92" i="25" s="1"/>
  <c r="J92" s="1"/>
  <c r="J77" i="24"/>
  <c r="J64" i="23"/>
  <c r="H64" i="24"/>
  <c r="H64" i="25" s="1"/>
  <c r="J64" s="1"/>
  <c r="J68" i="24"/>
  <c r="H62"/>
  <c r="H62" i="25" s="1"/>
  <c r="J62" s="1"/>
  <c r="J62" i="23"/>
  <c r="H50"/>
  <c r="J50" i="22"/>
  <c r="J57" i="24"/>
  <c r="H36" i="23"/>
  <c r="J36" i="22"/>
  <c r="H37" i="23"/>
  <c r="J37" i="22"/>
  <c r="J35" i="23"/>
  <c r="H35" i="24"/>
  <c r="H35" i="25" s="1"/>
  <c r="J35" s="1"/>
  <c r="J45" i="24"/>
  <c r="J40" i="23"/>
  <c r="H40" i="24"/>
  <c r="H40" i="25" s="1"/>
  <c r="J40" s="1"/>
  <c r="J38" i="23"/>
  <c r="H38" i="24"/>
  <c r="H38" i="25" s="1"/>
  <c r="J38" s="1"/>
  <c r="H44" i="23"/>
  <c r="J44" i="22"/>
  <c r="J20" i="21"/>
  <c r="H20" i="22"/>
  <c r="J9" i="23"/>
  <c r="H9" i="24"/>
  <c r="H9" i="25" s="1"/>
  <c r="J9" s="1"/>
  <c r="J11" i="24"/>
  <c r="J19"/>
  <c r="J140"/>
  <c r="H139" i="23"/>
  <c r="J139" i="22"/>
  <c r="J138" i="24"/>
  <c r="J135" i="23"/>
  <c r="H134"/>
  <c r="J134" i="22"/>
  <c r="J133" i="40"/>
  <c r="H133" i="27"/>
  <c r="J132" i="23"/>
  <c r="H132" i="24"/>
  <c r="H132" i="25" s="1"/>
  <c r="J132" s="1"/>
  <c r="J125" i="23"/>
  <c r="H125" i="24"/>
  <c r="H125" i="25" s="1"/>
  <c r="J125" s="1"/>
  <c r="H127" i="24"/>
  <c r="J127" i="23"/>
  <c r="J126"/>
  <c r="H126" i="24"/>
  <c r="H126" i="25" s="1"/>
  <c r="J126" s="1"/>
  <c r="J124" i="23"/>
  <c r="H124" i="24"/>
  <c r="H124" i="25" s="1"/>
  <c r="J124" s="1"/>
  <c r="H123" i="24"/>
  <c r="H123" i="25" s="1"/>
  <c r="J123" s="1"/>
  <c r="J123" i="23"/>
  <c r="J100"/>
  <c r="H100" i="24"/>
  <c r="H100" i="25" s="1"/>
  <c r="J100" s="1"/>
  <c r="H99" i="24"/>
  <c r="H99" i="25" s="1"/>
  <c r="J99" s="1"/>
  <c r="J99" i="23"/>
  <c r="H98" i="24"/>
  <c r="H98" i="25" s="1"/>
  <c r="J98" s="1"/>
  <c r="J98" i="23"/>
  <c r="H97" i="24"/>
  <c r="H97" i="25" s="1"/>
  <c r="J97" s="1"/>
  <c r="J97" i="23"/>
  <c r="H96" i="24"/>
  <c r="H96" i="25" s="1"/>
  <c r="J96" s="1"/>
  <c r="J96" i="23"/>
  <c r="H101" i="24"/>
  <c r="H101" i="25" s="1"/>
  <c r="J101" s="1"/>
  <c r="J101" i="23"/>
  <c r="H95"/>
  <c r="J95" i="22"/>
  <c r="J93"/>
  <c r="H93" i="23"/>
  <c r="J84" i="22"/>
  <c r="H84" i="23"/>
  <c r="H85"/>
  <c r="J85" i="22"/>
  <c r="H83" i="24"/>
  <c r="H83" i="25" s="1"/>
  <c r="J83" s="1"/>
  <c r="J83" i="23"/>
  <c r="J82"/>
  <c r="H82" i="24"/>
  <c r="H82" i="25" s="1"/>
  <c r="J82" s="1"/>
  <c r="J81" i="24"/>
  <c r="J80" i="23"/>
  <c r="H80" i="24"/>
  <c r="H80" i="25" s="1"/>
  <c r="J80" s="1"/>
  <c r="J79" i="23"/>
  <c r="H79" i="24"/>
  <c r="H79" i="25" s="1"/>
  <c r="J79" s="1"/>
  <c r="J78" i="23"/>
  <c r="H78" i="24"/>
  <c r="H78" i="25" s="1"/>
  <c r="J78" s="1"/>
  <c r="J76" i="23"/>
  <c r="H76" i="24"/>
  <c r="H76" i="25" s="1"/>
  <c r="J76" s="1"/>
  <c r="J74" i="23"/>
  <c r="H74" i="24"/>
  <c r="H74" i="25" s="1"/>
  <c r="J74" s="1"/>
  <c r="H75" i="24"/>
  <c r="H75" i="25" s="1"/>
  <c r="J75" s="1"/>
  <c r="J75" i="23"/>
  <c r="H72"/>
  <c r="J72" i="22"/>
  <c r="H73" i="23"/>
  <c r="J73" i="22"/>
  <c r="J69"/>
  <c r="H67" i="24"/>
  <c r="H67" i="25" s="1"/>
  <c r="J67" s="1"/>
  <c r="J67" i="23"/>
  <c r="J66"/>
  <c r="H66" i="24"/>
  <c r="H66" i="25" s="1"/>
  <c r="J66" s="1"/>
  <c r="J65" i="23"/>
  <c r="H65" i="24"/>
  <c r="H65" i="25" s="1"/>
  <c r="J65" s="1"/>
  <c r="J63" i="23"/>
  <c r="H63" i="24"/>
  <c r="H63" i="25" s="1"/>
  <c r="J63" s="1"/>
  <c r="H58" i="24"/>
  <c r="H58" i="25" s="1"/>
  <c r="J58" s="1"/>
  <c r="J58" i="23"/>
  <c r="H55"/>
  <c r="J55" i="22"/>
  <c r="H54" i="23"/>
  <c r="J54" i="22"/>
  <c r="J53" i="23"/>
  <c r="H53" i="24"/>
  <c r="H53" i="25" s="1"/>
  <c r="J53" s="1"/>
  <c r="J148" i="22"/>
  <c r="H148" i="23"/>
  <c r="H52" i="24"/>
  <c r="H52" i="25" s="1"/>
  <c r="J52" s="1"/>
  <c r="J52" i="23"/>
  <c r="H51" i="24"/>
  <c r="H51" i="25" s="1"/>
  <c r="J51" s="1"/>
  <c r="J51" i="23"/>
  <c r="H59" i="24"/>
  <c r="H59" i="25" s="1"/>
  <c r="J59" s="1"/>
  <c r="J59" i="23"/>
  <c r="J49"/>
  <c r="H49" i="24"/>
  <c r="H49" i="25" s="1"/>
  <c r="J49" s="1"/>
  <c r="H46" i="24"/>
  <c r="H46" i="25" s="1"/>
  <c r="J46" s="1"/>
  <c r="J46" i="23"/>
  <c r="H142" i="24"/>
  <c r="H142" i="25" s="1"/>
  <c r="J142" s="1"/>
  <c r="J142" i="23"/>
  <c r="J43" i="24"/>
  <c r="J42" i="22"/>
  <c r="H42" i="23"/>
  <c r="J41" i="22"/>
  <c r="H41" i="23"/>
  <c r="H144" i="24"/>
  <c r="H144" i="25" s="1"/>
  <c r="J144" s="1"/>
  <c r="J144" i="23"/>
  <c r="H47" i="22"/>
  <c r="J47" i="21"/>
  <c r="H39" i="24"/>
  <c r="H39" i="25" s="1"/>
  <c r="J39" s="1"/>
  <c r="J39" i="23"/>
  <c r="H60" i="21"/>
  <c r="J60" i="20"/>
  <c r="J146" i="22"/>
  <c r="H146" i="23"/>
  <c r="H150" i="24"/>
  <c r="H150" i="25" s="1"/>
  <c r="J150" s="1"/>
  <c r="J150" i="23"/>
  <c r="J15" i="22"/>
  <c r="I16" s="1"/>
  <c r="H15" i="23"/>
  <c r="J12" i="24"/>
  <c r="J10" i="23"/>
  <c r="H10" i="24"/>
  <c r="H10" i="25" s="1"/>
  <c r="J10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s="1"/>
  <c r="J127" i="24"/>
  <c r="H28" i="40"/>
  <c r="J28" i="25"/>
  <c r="J27" i="24"/>
  <c r="H27" i="25"/>
  <c r="H32" i="23"/>
  <c r="J32" i="22"/>
  <c r="J30" i="25"/>
  <c r="H30" i="40"/>
  <c r="J24"/>
  <c r="H24" i="27"/>
  <c r="J23" i="24"/>
  <c r="H22" i="28"/>
  <c r="J22" i="27"/>
  <c r="H94" i="40"/>
  <c r="J18" i="24"/>
  <c r="J56" i="23"/>
  <c r="H56" i="24"/>
  <c r="H56" i="25" s="1"/>
  <c r="J56" s="1"/>
  <c r="J130" i="24"/>
  <c r="H131" i="40"/>
  <c r="J137" i="24"/>
  <c r="J136"/>
  <c r="J92"/>
  <c r="H77" i="40"/>
  <c r="J64" i="24"/>
  <c r="H68" i="40"/>
  <c r="J62" i="24"/>
  <c r="J50" i="23"/>
  <c r="H50" i="24"/>
  <c r="H50" i="25" s="1"/>
  <c r="J50" s="1"/>
  <c r="H57" i="40"/>
  <c r="J37" i="23"/>
  <c r="H37" i="24"/>
  <c r="H37" i="25" s="1"/>
  <c r="J37" s="1"/>
  <c r="J36" i="23"/>
  <c r="H36" i="24"/>
  <c r="H36" i="25" s="1"/>
  <c r="J36" s="1"/>
  <c r="J38" i="24"/>
  <c r="J35"/>
  <c r="J44" i="23"/>
  <c r="H44" i="24"/>
  <c r="H44" i="25" s="1"/>
  <c r="J44" s="1"/>
  <c r="H45" i="40"/>
  <c r="J40" i="24"/>
  <c r="H20" i="23"/>
  <c r="J20" i="22"/>
  <c r="J9" i="24"/>
  <c r="H11" i="40"/>
  <c r="H19"/>
  <c r="H140"/>
  <c r="J139" i="23"/>
  <c r="H139" i="24"/>
  <c r="H138" i="40"/>
  <c r="J135" i="24"/>
  <c r="J134" i="23"/>
  <c r="J133" i="27"/>
  <c r="H133" i="28"/>
  <c r="J132" i="24"/>
  <c r="J125"/>
  <c r="J126"/>
  <c r="J124"/>
  <c r="J123"/>
  <c r="J100"/>
  <c r="J99"/>
  <c r="J98"/>
  <c r="J97"/>
  <c r="J96"/>
  <c r="J101"/>
  <c r="H95"/>
  <c r="H95" i="25" s="1"/>
  <c r="J95" s="1"/>
  <c r="J95" i="23"/>
  <c r="H93" i="24"/>
  <c r="H93" i="25" s="1"/>
  <c r="J93" s="1"/>
  <c r="J93" i="23"/>
  <c r="J85"/>
  <c r="H85" i="24"/>
  <c r="H85" i="25" s="1"/>
  <c r="J85" s="1"/>
  <c r="J84" i="23"/>
  <c r="H84" i="24"/>
  <c r="H84" i="25" s="1"/>
  <c r="J84" s="1"/>
  <c r="J83" i="24"/>
  <c r="J82"/>
  <c r="H81" i="40"/>
  <c r="J80" i="24"/>
  <c r="J79"/>
  <c r="J78"/>
  <c r="J76"/>
  <c r="J75"/>
  <c r="J74"/>
  <c r="H73"/>
  <c r="H73" i="25" s="1"/>
  <c r="J73" s="1"/>
  <c r="J73" i="23"/>
  <c r="H72" i="24"/>
  <c r="H72" i="25" s="1"/>
  <c r="J72" s="1"/>
  <c r="J72" i="23"/>
  <c r="J69"/>
  <c r="H69" i="24"/>
  <c r="H69" i="25" s="1"/>
  <c r="J69" s="1"/>
  <c r="J67" i="24"/>
  <c r="J66"/>
  <c r="J65"/>
  <c r="J63"/>
  <c r="J58"/>
  <c r="J55" i="23"/>
  <c r="H55" i="24"/>
  <c r="H55" i="25" s="1"/>
  <c r="J55" s="1"/>
  <c r="J54" i="23"/>
  <c r="H54" i="24"/>
  <c r="H54" i="25" s="1"/>
  <c r="J54" s="1"/>
  <c r="J53" i="24"/>
  <c r="J148" i="23"/>
  <c r="H148" i="24"/>
  <c r="H148" i="25" s="1"/>
  <c r="J148" s="1"/>
  <c r="J52" i="24"/>
  <c r="J51"/>
  <c r="J49"/>
  <c r="J59"/>
  <c r="J46"/>
  <c r="H43" i="40"/>
  <c r="J142" i="24"/>
  <c r="H42"/>
  <c r="H42" i="25" s="1"/>
  <c r="J42" s="1"/>
  <c r="J42" i="23"/>
  <c r="J41"/>
  <c r="H41" i="24"/>
  <c r="H41" i="25" s="1"/>
  <c r="J41" s="1"/>
  <c r="J144" i="24"/>
  <c r="J39"/>
  <c r="H146"/>
  <c r="H146" i="25" s="1"/>
  <c r="J146" s="1"/>
  <c r="J146" i="23"/>
  <c r="H60" i="22"/>
  <c r="J60" i="21"/>
  <c r="J47" i="22"/>
  <c r="H47" i="23"/>
  <c r="J150" i="24"/>
  <c r="J15" i="23"/>
  <c r="I16" s="1"/>
  <c r="H15" i="24"/>
  <c r="H15" i="25" s="1"/>
  <c r="J15" s="1"/>
  <c r="I16" s="1"/>
  <c r="H12" i="40"/>
  <c r="J10" i="24"/>
  <c r="H13"/>
  <c r="H13" i="25" s="1"/>
  <c r="J13" s="1"/>
  <c r="J13" i="23"/>
  <c r="H151" i="24"/>
  <c r="H151" i="25" s="1"/>
  <c r="J151" s="1"/>
  <c r="J151" i="23"/>
  <c r="J143"/>
  <c r="H143" i="24"/>
  <c r="H143" i="25" s="1"/>
  <c r="J143" s="1"/>
  <c r="H153" i="24"/>
  <c r="H153" i="25" s="1"/>
  <c r="J153" s="1"/>
  <c r="J153" i="23"/>
  <c r="H7" i="24"/>
  <c r="H7" i="25" s="1"/>
  <c r="J7" s="1"/>
  <c r="J7" i="23"/>
  <c r="J149"/>
  <c r="H149" i="24"/>
  <c r="H149" i="25" s="1"/>
  <c r="J149" s="1"/>
  <c r="H147" i="24"/>
  <c r="H147" i="25" s="1"/>
  <c r="J147" s="1"/>
  <c r="J147" i="23"/>
  <c r="H145" i="24"/>
  <c r="H145" i="25" s="1"/>
  <c r="J145" s="1"/>
  <c r="J145" i="23"/>
  <c r="H152" i="25" l="1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/>
  <c r="H130"/>
  <c r="J131"/>
  <c r="H131" i="27"/>
  <c r="H92" i="40"/>
  <c r="H77" i="27"/>
  <c r="J77" i="40"/>
  <c r="H62"/>
  <c r="J68"/>
  <c r="H68" i="27"/>
  <c r="H64" i="40"/>
  <c r="H57" i="27"/>
  <c r="J57" i="40"/>
  <c r="J50" i="24"/>
  <c r="J37"/>
  <c r="J36"/>
  <c r="J44"/>
  <c r="H35" i="40"/>
  <c r="H38"/>
  <c r="H40"/>
  <c r="H45" i="27"/>
  <c r="J45" i="40"/>
  <c r="H20" i="24"/>
  <c r="H20" i="25" s="1"/>
  <c r="J20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/>
  <c r="H127"/>
  <c r="H126"/>
  <c r="H124"/>
  <c r="H123"/>
  <c r="H100"/>
  <c r="H99"/>
  <c r="H98"/>
  <c r="H97"/>
  <c r="H96"/>
  <c r="H101"/>
  <c r="J95" i="24"/>
  <c r="J93"/>
  <c r="J85"/>
  <c r="J84"/>
  <c r="H83" i="40"/>
  <c r="H82"/>
  <c r="H81" i="27"/>
  <c r="J81" i="40"/>
  <c r="H80"/>
  <c r="H78"/>
  <c r="H79"/>
  <c r="H76"/>
  <c r="H75"/>
  <c r="H74"/>
  <c r="J73" i="24"/>
  <c r="J72"/>
  <c r="J69"/>
  <c r="H67" i="40"/>
  <c r="H66"/>
  <c r="H65"/>
  <c r="H63"/>
  <c r="H58"/>
  <c r="J55" i="24"/>
  <c r="J54"/>
  <c r="H53" i="40"/>
  <c r="H52"/>
  <c r="J148" i="24"/>
  <c r="H51" i="40"/>
  <c r="H59"/>
  <c r="H49"/>
  <c r="H46"/>
  <c r="H142"/>
  <c r="H43" i="27"/>
  <c r="J43" i="40"/>
  <c r="J42" i="24"/>
  <c r="J41"/>
  <c r="H144" i="40"/>
  <c r="H39"/>
  <c r="J146" i="24"/>
  <c r="H47"/>
  <c r="H47" i="25" s="1"/>
  <c r="J47" s="1"/>
  <c r="J47" i="23"/>
  <c r="H60"/>
  <c r="J60" i="22"/>
  <c r="H150" i="40"/>
  <c r="J15" i="24"/>
  <c r="I16" s="1"/>
  <c r="J12" i="40"/>
  <c r="H12" i="27"/>
  <c r="H10" i="40"/>
  <c r="J13" i="24"/>
  <c r="J143"/>
  <c r="J145"/>
  <c r="J153"/>
  <c r="J151"/>
  <c r="J149"/>
  <c r="J147"/>
  <c r="J7"/>
  <c r="J152" i="25" l="1"/>
  <c r="H152" i="40"/>
  <c r="H29"/>
  <c r="J29" i="25"/>
  <c r="H32"/>
  <c r="J32" i="24"/>
  <c r="J28" i="27"/>
  <c r="H28" i="28"/>
  <c r="J27" i="40"/>
  <c r="H27" i="27"/>
  <c r="J30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/>
  <c r="H130" i="27"/>
  <c r="H137"/>
  <c r="J137" i="40"/>
  <c r="J131" i="27"/>
  <c r="H131" i="28"/>
  <c r="J92" i="40"/>
  <c r="H92" i="27"/>
  <c r="H77" i="28"/>
  <c r="J77" i="27"/>
  <c r="J62" i="40"/>
  <c r="H62" i="27"/>
  <c r="H64"/>
  <c r="J64" i="40"/>
  <c r="H68" i="28"/>
  <c r="J68" i="27"/>
  <c r="H57" i="28"/>
  <c r="J57" i="27"/>
  <c r="H50" i="40"/>
  <c r="H37"/>
  <c r="H36"/>
  <c r="J40"/>
  <c r="H40" i="27"/>
  <c r="H44" i="40"/>
  <c r="H45" i="28"/>
  <c r="J45" i="27"/>
  <c r="H38"/>
  <c r="J38" i="40"/>
  <c r="J35"/>
  <c r="H35" i="27"/>
  <c r="J20" i="24"/>
  <c r="H11" i="28"/>
  <c r="J11" i="27"/>
  <c r="H9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/>
  <c r="J125" i="40"/>
  <c r="J127"/>
  <c r="H127" i="27"/>
  <c r="H126"/>
  <c r="J126" i="40"/>
  <c r="H124" i="27"/>
  <c r="J124" i="40"/>
  <c r="J123"/>
  <c r="H123" i="27"/>
  <c r="J100" i="40"/>
  <c r="H100" i="27"/>
  <c r="H99"/>
  <c r="J99" i="40"/>
  <c r="J98"/>
  <c r="H98" i="27"/>
  <c r="J97" i="40"/>
  <c r="H97" i="27"/>
  <c r="J96" i="40"/>
  <c r="H96" i="27"/>
  <c r="J101" i="40"/>
  <c r="H101" i="27"/>
  <c r="H95" i="40"/>
  <c r="H93"/>
  <c r="H85"/>
  <c r="H84"/>
  <c r="J83"/>
  <c r="H83" i="27"/>
  <c r="H82"/>
  <c r="J82" i="40"/>
  <c r="J81" i="27"/>
  <c r="H81" i="28"/>
  <c r="J80" i="40"/>
  <c r="H80" i="27"/>
  <c r="H78"/>
  <c r="J78" i="40"/>
  <c r="H79" i="27"/>
  <c r="J79" i="40"/>
  <c r="H76" i="27"/>
  <c r="J76" i="40"/>
  <c r="H75" i="27"/>
  <c r="J75" i="40"/>
  <c r="H74" i="27"/>
  <c r="J74" i="40"/>
  <c r="H72"/>
  <c r="H73"/>
  <c r="H69"/>
  <c r="H67" i="27"/>
  <c r="J67" i="40"/>
  <c r="H66" i="27"/>
  <c r="J66" i="40"/>
  <c r="H65" i="27"/>
  <c r="J65" i="40"/>
  <c r="J63"/>
  <c r="H63" i="27"/>
  <c r="H58"/>
  <c r="J58" i="40"/>
  <c r="H55"/>
  <c r="H54"/>
  <c r="J53"/>
  <c r="H53" i="27"/>
  <c r="J52" i="40"/>
  <c r="H52" i="27"/>
  <c r="H148" i="40"/>
  <c r="J51"/>
  <c r="H51" i="27"/>
  <c r="J59" i="40"/>
  <c r="H59" i="27"/>
  <c r="J49" i="40"/>
  <c r="H49" i="27"/>
  <c r="J46" i="40"/>
  <c r="H46" i="27"/>
  <c r="H142"/>
  <c r="J142" i="40"/>
  <c r="J43" i="27"/>
  <c r="H43" i="28"/>
  <c r="H42" i="40"/>
  <c r="H41"/>
  <c r="J144"/>
  <c r="H144" i="27"/>
  <c r="H39"/>
  <c r="J39" i="40"/>
  <c r="J60" i="23"/>
  <c r="H60" i="24"/>
  <c r="H60" i="25" s="1"/>
  <c r="J60" s="1"/>
  <c r="H146" i="40"/>
  <c r="J47" i="24"/>
  <c r="J150" i="40"/>
  <c r="H150" i="27"/>
  <c r="H15" i="40"/>
  <c r="H12" i="28"/>
  <c r="J12" i="27"/>
  <c r="J10" i="40"/>
  <c r="H10" i="27"/>
  <c r="H13" i="40"/>
  <c r="H7"/>
  <c r="L13" s="1"/>
  <c r="H149"/>
  <c r="H153"/>
  <c r="H145"/>
  <c r="H147"/>
  <c r="H151"/>
  <c r="H143"/>
  <c r="J152" l="1"/>
  <c r="H152" i="27"/>
  <c r="J29" i="40"/>
  <c r="H29" i="27"/>
  <c r="H32" i="40"/>
  <c r="J32" i="25"/>
  <c r="J27" i="27"/>
  <c r="H27" i="28"/>
  <c r="J28"/>
  <c r="H28" i="29"/>
  <c r="J30" i="28"/>
  <c r="H30" i="29"/>
  <c r="H24" i="30"/>
  <c r="J24" i="29"/>
  <c r="H23" i="28"/>
  <c r="J23" i="27"/>
  <c r="J22" i="30"/>
  <c r="H22" i="43"/>
  <c r="H22" i="31" s="1"/>
  <c r="J22" s="1"/>
  <c r="H22" i="42"/>
  <c r="J22" s="1"/>
  <c r="J94" i="28"/>
  <c r="H94" i="29"/>
  <c r="H18" i="28"/>
  <c r="J18" i="27"/>
  <c r="H56"/>
  <c r="J56" i="40"/>
  <c r="J137" i="27"/>
  <c r="H137" i="28"/>
  <c r="J136" i="27"/>
  <c r="H136" i="28"/>
  <c r="H131" i="29"/>
  <c r="J131" i="28"/>
  <c r="H130"/>
  <c r="J130" i="27"/>
  <c r="J92"/>
  <c r="H92" i="28"/>
  <c r="H77" i="29"/>
  <c r="J77" i="28"/>
  <c r="J62" i="27"/>
  <c r="H62" i="28"/>
  <c r="H64"/>
  <c r="J64" i="27"/>
  <c r="H68" i="29"/>
  <c r="J68" i="28"/>
  <c r="J57"/>
  <c r="H57" i="29"/>
  <c r="H50" i="27"/>
  <c r="J50" i="40"/>
  <c r="J37"/>
  <c r="H37" i="27"/>
  <c r="J36" i="40"/>
  <c r="H36" i="27"/>
  <c r="H35" i="28"/>
  <c r="J35" i="27"/>
  <c r="J38"/>
  <c r="H38" i="28"/>
  <c r="H44" i="27"/>
  <c r="J44" i="40"/>
  <c r="J40" i="27"/>
  <c r="H40" i="28"/>
  <c r="J45"/>
  <c r="H45" i="29"/>
  <c r="H20" i="40"/>
  <c r="H9" i="28"/>
  <c r="J9" i="27"/>
  <c r="H11" i="29"/>
  <c r="J11" i="28"/>
  <c r="J19"/>
  <c r="H19" i="29"/>
  <c r="H140"/>
  <c r="J140" i="28"/>
  <c r="H139" i="27"/>
  <c r="J139" i="40"/>
  <c r="J138" i="28"/>
  <c r="H138" i="29"/>
  <c r="H135" i="28"/>
  <c r="J135" i="27"/>
  <c r="H134"/>
  <c r="J134" i="40"/>
  <c r="J133" i="30"/>
  <c r="H119" i="42"/>
  <c r="J119" s="1"/>
  <c r="H133" i="43"/>
  <c r="J132" i="27"/>
  <c r="H132" i="28"/>
  <c r="J125" i="27"/>
  <c r="H125" i="28"/>
  <c r="H127"/>
  <c r="J127" i="27"/>
  <c r="J126"/>
  <c r="H126" i="28"/>
  <c r="H124"/>
  <c r="J124" i="27"/>
  <c r="H123" i="28"/>
  <c r="J123" i="27"/>
  <c r="J100"/>
  <c r="H100" i="28"/>
  <c r="H99"/>
  <c r="J99" i="27"/>
  <c r="J98"/>
  <c r="H98" i="28"/>
  <c r="H97"/>
  <c r="J97" i="27"/>
  <c r="H96" i="28"/>
  <c r="J96" i="27"/>
  <c r="J95" i="40"/>
  <c r="H95" i="27"/>
  <c r="J101"/>
  <c r="H101" i="28"/>
  <c r="J93" i="40"/>
  <c r="H93" i="27"/>
  <c r="J84" i="40"/>
  <c r="H84" i="27"/>
  <c r="J85" i="40"/>
  <c r="H85" i="27"/>
  <c r="H83" i="28"/>
  <c r="J83" i="27"/>
  <c r="J82"/>
  <c r="H82" i="28"/>
  <c r="J81"/>
  <c r="H81" i="29"/>
  <c r="H80" i="28"/>
  <c r="J80" i="27"/>
  <c r="H79" i="28"/>
  <c r="J79" i="27"/>
  <c r="J78"/>
  <c r="H78" i="28"/>
  <c r="H76"/>
  <c r="J76" i="27"/>
  <c r="H75" i="28"/>
  <c r="J75" i="27"/>
  <c r="H74" i="28"/>
  <c r="J74" i="27"/>
  <c r="J72" i="40"/>
  <c r="H72" i="27"/>
  <c r="H73"/>
  <c r="J73" i="40"/>
  <c r="J69"/>
  <c r="H69" i="27"/>
  <c r="H67" i="28"/>
  <c r="J67" i="27"/>
  <c r="H66" i="28"/>
  <c r="J66" i="27"/>
  <c r="H65" i="28"/>
  <c r="J65" i="27"/>
  <c r="H63" i="28"/>
  <c r="J63" i="27"/>
  <c r="J58"/>
  <c r="H58" i="28"/>
  <c r="J55" i="40"/>
  <c r="H55" i="27"/>
  <c r="H54"/>
  <c r="J54" i="40"/>
  <c r="H53" i="28"/>
  <c r="J53" i="27"/>
  <c r="J52"/>
  <c r="H52" i="28"/>
  <c r="H148" i="27"/>
  <c r="J148" i="40"/>
  <c r="J51" i="27"/>
  <c r="H51" i="28"/>
  <c r="H59"/>
  <c r="J59" i="27"/>
  <c r="J49"/>
  <c r="H49" i="28"/>
  <c r="H46"/>
  <c r="J46" i="27"/>
  <c r="H43" i="29"/>
  <c r="J43" i="28"/>
  <c r="J142" i="27"/>
  <c r="H142" i="28"/>
  <c r="J42" i="40"/>
  <c r="H42" i="27"/>
  <c r="H144" i="28"/>
  <c r="J144" i="27"/>
  <c r="H41"/>
  <c r="J41" i="40"/>
  <c r="H47"/>
  <c r="J60" i="24"/>
  <c r="J146" i="40"/>
  <c r="H146" i="27"/>
  <c r="H39" i="28"/>
  <c r="J39" i="27"/>
  <c r="J150"/>
  <c r="H150" i="28"/>
  <c r="H15" i="27"/>
  <c r="J15" i="40"/>
  <c r="I16" s="1"/>
  <c r="H12" i="29"/>
  <c r="J12" i="28"/>
  <c r="J10" i="27"/>
  <c r="H10" i="28"/>
  <c r="J13" i="40"/>
  <c r="H13" i="27"/>
  <c r="H7"/>
  <c r="J7" i="40"/>
  <c r="J151"/>
  <c r="H151" i="27"/>
  <c r="J151" s="1"/>
  <c r="H149"/>
  <c r="J149" i="40"/>
  <c r="J145"/>
  <c r="H145" i="27"/>
  <c r="H143"/>
  <c r="J143" i="40"/>
  <c r="J147"/>
  <c r="H147" i="27"/>
  <c r="H153"/>
  <c r="J153" s="1"/>
  <c r="J153" i="40"/>
  <c r="H133" i="31" l="1"/>
  <c r="J133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s="1"/>
  <c r="H24" i="43"/>
  <c r="H24" i="31" s="1"/>
  <c r="J24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/>
  <c r="H40" i="29"/>
  <c r="H38"/>
  <c r="J38" i="28"/>
  <c r="H44"/>
  <c r="J44" i="27"/>
  <c r="H45" i="30"/>
  <c r="J45" i="29"/>
  <c r="J20" i="40"/>
  <c r="H20" i="27"/>
  <c r="H11" i="30"/>
  <c r="J11" i="29"/>
  <c r="J9" i="28"/>
  <c r="H9" i="29"/>
  <c r="J19"/>
  <c r="H19" i="30"/>
  <c r="J140" i="29"/>
  <c r="H140" i="30"/>
  <c r="H139" i="28"/>
  <c r="J139" i="27"/>
  <c r="J138" i="29"/>
  <c r="H138" i="30"/>
  <c r="H135" i="29"/>
  <c r="J135" i="28"/>
  <c r="H134"/>
  <c r="J134" i="27"/>
  <c r="J133" i="43"/>
  <c r="H132" i="29"/>
  <c r="J132" i="28"/>
  <c r="H125" i="29"/>
  <c r="J125" i="28"/>
  <c r="H127" i="29"/>
  <c r="J127" i="28"/>
  <c r="J126"/>
  <c r="H126" i="29"/>
  <c r="J124" i="28"/>
  <c r="H124" i="29"/>
  <c r="J123" i="28"/>
  <c r="H123" i="29"/>
  <c r="J100" i="28"/>
  <c r="H100" i="29"/>
  <c r="J99" i="28"/>
  <c r="H99" i="29"/>
  <c r="H98"/>
  <c r="J98" i="28"/>
  <c r="J97"/>
  <c r="H97" i="29"/>
  <c r="J96" i="28"/>
  <c r="H96" i="29"/>
  <c r="H95" i="28"/>
  <c r="J95" i="27"/>
  <c r="J101" i="28"/>
  <c r="H101" i="29"/>
  <c r="H93" i="28"/>
  <c r="J93" i="27"/>
  <c r="J84"/>
  <c r="H84" i="28"/>
  <c r="H85"/>
  <c r="J85" i="27"/>
  <c r="J83" i="28"/>
  <c r="H83" i="29"/>
  <c r="J82" i="28"/>
  <c r="H82" i="29"/>
  <c r="H81" i="30"/>
  <c r="J81" i="29"/>
  <c r="H80"/>
  <c r="J80" i="28"/>
  <c r="J78"/>
  <c r="H78" i="29"/>
  <c r="J79" i="28"/>
  <c r="H79" i="29"/>
  <c r="H76"/>
  <c r="J76" i="28"/>
  <c r="J74"/>
  <c r="H74" i="29"/>
  <c r="J75" i="28"/>
  <c r="H75" i="29"/>
  <c r="H72" i="28"/>
  <c r="J72" i="27"/>
  <c r="J73"/>
  <c r="H73" i="28"/>
  <c r="J69" i="27"/>
  <c r="H69" i="28"/>
  <c r="J67"/>
  <c r="H67" i="29"/>
  <c r="J66" i="28"/>
  <c r="H66" i="29"/>
  <c r="H65"/>
  <c r="J65" i="28"/>
  <c r="J63"/>
  <c r="H63" i="29"/>
  <c r="J58" i="28"/>
  <c r="H58" i="29"/>
  <c r="H55" i="28"/>
  <c r="J55" i="27"/>
  <c r="J54"/>
  <c r="H54" i="28"/>
  <c r="J53"/>
  <c r="H53" i="29"/>
  <c r="J52" i="28"/>
  <c r="H52" i="29"/>
  <c r="J148" i="27"/>
  <c r="H148" i="28"/>
  <c r="J51"/>
  <c r="H51" i="29"/>
  <c r="J49" i="28"/>
  <c r="H49" i="29"/>
  <c r="J59" i="28"/>
  <c r="H59" i="29"/>
  <c r="J46" i="28"/>
  <c r="H46" i="29"/>
  <c r="J142" i="28"/>
  <c r="H142" i="29"/>
  <c r="J43"/>
  <c r="H43" i="30"/>
  <c r="H42" i="28"/>
  <c r="J42" i="27"/>
  <c r="H41" i="28"/>
  <c r="J41" i="27"/>
  <c r="J144" i="28"/>
  <c r="H144" i="29"/>
  <c r="J146" i="27"/>
  <c r="H146" i="28"/>
  <c r="J39"/>
  <c r="H39" i="29"/>
  <c r="H60" i="40"/>
  <c r="J47"/>
  <c r="H47" i="27"/>
  <c r="J150" i="28"/>
  <c r="H150" i="29"/>
  <c r="H15" i="28"/>
  <c r="J15" i="27"/>
  <c r="I16" s="1"/>
  <c r="H12" i="30"/>
  <c r="J12" i="29"/>
  <c r="J10" i="28"/>
  <c r="H10" i="29"/>
  <c r="H13" i="28"/>
  <c r="J13" i="27"/>
  <c r="J145"/>
  <c r="H145" i="28"/>
  <c r="H151"/>
  <c r="J149" i="27"/>
  <c r="H149" i="28"/>
  <c r="H147"/>
  <c r="J147" i="27"/>
  <c r="H153" i="28"/>
  <c r="J143" i="27"/>
  <c r="H143" i="28"/>
  <c r="J7" i="27"/>
  <c r="H7" i="28"/>
  <c r="J152" l="1"/>
  <c r="H152" i="29"/>
  <c r="J29" i="28"/>
  <c r="H29" i="29"/>
  <c r="H32" i="28"/>
  <c r="J32" i="27"/>
  <c r="J28" i="30"/>
  <c r="H28" i="43"/>
  <c r="J27" i="29"/>
  <c r="H27" i="30"/>
  <c r="J30"/>
  <c r="H30" i="43"/>
  <c r="J24"/>
  <c r="J23" i="29"/>
  <c r="H23" i="30"/>
  <c r="J94"/>
  <c r="H88" i="42"/>
  <c r="J88" s="1"/>
  <c r="H94" i="43"/>
  <c r="H94" i="31" s="1"/>
  <c r="J18" i="29"/>
  <c r="J56" i="28"/>
  <c r="H56" i="29"/>
  <c r="J130"/>
  <c r="H130" i="30"/>
  <c r="H117" i="42"/>
  <c r="J117" s="1"/>
  <c r="H131" i="43"/>
  <c r="J131" i="30"/>
  <c r="H137"/>
  <c r="J137" i="29"/>
  <c r="H136" i="30"/>
  <c r="J136" i="29"/>
  <c r="J92"/>
  <c r="H92" i="30"/>
  <c r="H76" i="42"/>
  <c r="J76" s="1"/>
  <c r="J77" i="30"/>
  <c r="H77" i="43"/>
  <c r="H77" i="31" s="1"/>
  <c r="J68" i="30"/>
  <c r="H68" i="43"/>
  <c r="H68" i="31" s="1"/>
  <c r="H67" i="42"/>
  <c r="J67" s="1"/>
  <c r="J62" i="29"/>
  <c r="H62" i="30"/>
  <c r="H64"/>
  <c r="J64" i="29"/>
  <c r="H57" i="43"/>
  <c r="H57" i="31" s="1"/>
  <c r="H56" i="42"/>
  <c r="J56" s="1"/>
  <c r="J57" i="30"/>
  <c r="J50" i="28"/>
  <c r="H50" i="29"/>
  <c r="J36" i="28"/>
  <c r="H36" i="29"/>
  <c r="H37"/>
  <c r="J37" i="28"/>
  <c r="J38" i="29"/>
  <c r="H38" i="30"/>
  <c r="H44" i="29"/>
  <c r="J44" i="28"/>
  <c r="H44" i="42"/>
  <c r="J44" s="1"/>
  <c r="J45" i="30"/>
  <c r="H45" i="43"/>
  <c r="H45" i="31" s="1"/>
  <c r="H35" i="30"/>
  <c r="J35" i="29"/>
  <c r="J40"/>
  <c r="H40" i="30"/>
  <c r="H20" i="28"/>
  <c r="J20" i="27"/>
  <c r="J11" i="30"/>
  <c r="H11" i="43"/>
  <c r="H11" i="42"/>
  <c r="J11" s="1"/>
  <c r="H9" i="30"/>
  <c r="J9" i="29"/>
  <c r="H19" i="42"/>
  <c r="J19" s="1"/>
  <c r="H19" i="43"/>
  <c r="J19" i="30"/>
  <c r="J140"/>
  <c r="H126" i="42"/>
  <c r="J126" s="1"/>
  <c r="H140" i="43"/>
  <c r="J139" i="28"/>
  <c r="H139" i="29"/>
  <c r="H124" i="42"/>
  <c r="J124" s="1"/>
  <c r="H138" i="43"/>
  <c r="J138" i="30"/>
  <c r="J135" i="29"/>
  <c r="H135" i="30"/>
  <c r="J134" i="28"/>
  <c r="H134" i="29"/>
  <c r="J132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/>
  <c r="J98" i="29"/>
  <c r="J97"/>
  <c r="H97" i="30"/>
  <c r="J96" i="29"/>
  <c r="H96" i="30"/>
  <c r="J101" i="29"/>
  <c r="H101" i="30"/>
  <c r="H95" i="29"/>
  <c r="J95" i="28"/>
  <c r="H93" i="29"/>
  <c r="J93" i="28"/>
  <c r="J85"/>
  <c r="H85" i="29"/>
  <c r="J84" i="28"/>
  <c r="H84" i="29"/>
  <c r="J83"/>
  <c r="H83" i="30"/>
  <c r="J82" i="29"/>
  <c r="H82" i="30"/>
  <c r="H80" i="42"/>
  <c r="J80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/>
  <c r="H73" i="29"/>
  <c r="J69" i="28"/>
  <c r="H69" i="29"/>
  <c r="J67"/>
  <c r="H67" i="30"/>
  <c r="J66" i="29"/>
  <c r="H66" i="30"/>
  <c r="J65" i="29"/>
  <c r="H65" i="30"/>
  <c r="H63"/>
  <c r="J63" i="29"/>
  <c r="J58"/>
  <c r="H58" i="30"/>
  <c r="H55" i="29"/>
  <c r="J55" i="28"/>
  <c r="H54" i="29"/>
  <c r="J54" i="28"/>
  <c r="J53" i="29"/>
  <c r="H53" i="30"/>
  <c r="J148" i="28"/>
  <c r="H148" i="29"/>
  <c r="J52"/>
  <c r="H52" i="30"/>
  <c r="J51" i="29"/>
  <c r="H51" i="30"/>
  <c r="H49"/>
  <c r="J49" i="29"/>
  <c r="J59"/>
  <c r="H59" i="30"/>
  <c r="J46" i="29"/>
  <c r="H46" i="30"/>
  <c r="H43" i="43"/>
  <c r="H43" i="31" s="1"/>
  <c r="H42" i="42"/>
  <c r="J42" s="1"/>
  <c r="J43" i="30"/>
  <c r="H142"/>
  <c r="J142" i="29"/>
  <c r="J42" i="28"/>
  <c r="H42" i="29"/>
  <c r="J144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/>
  <c r="H150" i="30"/>
  <c r="J15" i="28"/>
  <c r="I16" s="1"/>
  <c r="H15" i="29"/>
  <c r="H12" i="43"/>
  <c r="J12" i="30"/>
  <c r="H12" i="42"/>
  <c r="J1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s="1"/>
  <c r="J143" i="28"/>
  <c r="H143" i="29"/>
  <c r="J153" i="28"/>
  <c r="H153" i="29"/>
  <c r="J153" s="1"/>
  <c r="J147" i="28"/>
  <c r="H147" i="29"/>
  <c r="H12" i="31" l="1"/>
  <c r="J12" s="1"/>
  <c r="H131"/>
  <c r="J131" s="1"/>
  <c r="H11"/>
  <c r="J11" s="1"/>
  <c r="H138"/>
  <c r="J138" s="1"/>
  <c r="H140"/>
  <c r="J140" s="1"/>
  <c r="H19"/>
  <c r="J19" s="1"/>
  <c r="H30"/>
  <c r="J30" s="1"/>
  <c r="H28"/>
  <c r="J28" s="1"/>
  <c r="J68"/>
  <c r="N68"/>
  <c r="J43"/>
  <c r="N43"/>
  <c r="J45"/>
  <c r="N45"/>
  <c r="J94"/>
  <c r="N94"/>
  <c r="J152" i="29"/>
  <c r="H152" i="30"/>
  <c r="J81" i="31"/>
  <c r="N81"/>
  <c r="J77"/>
  <c r="N77"/>
  <c r="BH33" i="1"/>
  <c r="BH35" s="1"/>
  <c r="BP35" s="1"/>
  <c r="BQ35" s="1"/>
  <c r="J29" i="29"/>
  <c r="H29" i="30"/>
  <c r="J28" i="43"/>
  <c r="H32" i="29"/>
  <c r="J32" i="28"/>
  <c r="H27" i="43"/>
  <c r="H27" i="31" s="1"/>
  <c r="J27" i="30"/>
  <c r="J30" i="43"/>
  <c r="H29" i="42"/>
  <c r="J29" s="1"/>
  <c r="H23"/>
  <c r="J23" s="1"/>
  <c r="H23" i="43"/>
  <c r="H23" i="31" s="1"/>
  <c r="J23" s="1"/>
  <c r="J23" i="30"/>
  <c r="J94" i="43"/>
  <c r="J18" i="30"/>
  <c r="H18" i="42"/>
  <c r="J18" s="1"/>
  <c r="J56" i="29"/>
  <c r="H56" i="30"/>
  <c r="H137" i="43"/>
  <c r="H123" i="42"/>
  <c r="J123" s="1"/>
  <c r="J137" i="30"/>
  <c r="H130" i="43"/>
  <c r="H116" i="42"/>
  <c r="J116" s="1"/>
  <c r="J130" i="30"/>
  <c r="H136" i="43"/>
  <c r="J136" i="30"/>
  <c r="H122" i="42"/>
  <c r="J122" s="1"/>
  <c r="J131" i="43"/>
  <c r="H86" i="42"/>
  <c r="J86" s="1"/>
  <c r="H92" i="43"/>
  <c r="H92" i="31" s="1"/>
  <c r="J92" i="30"/>
  <c r="J77" i="43"/>
  <c r="H63" i="42"/>
  <c r="J63" s="1"/>
  <c r="H64" i="43"/>
  <c r="H64" i="31" s="1"/>
  <c r="J64" i="30"/>
  <c r="H62" i="43"/>
  <c r="H62" i="31" s="1"/>
  <c r="J62" i="30"/>
  <c r="H61" i="42"/>
  <c r="J61" s="1"/>
  <c r="J68" i="43"/>
  <c r="H50" i="30"/>
  <c r="J50" i="29"/>
  <c r="J57" i="43"/>
  <c r="J36" i="29"/>
  <c r="H36" i="30"/>
  <c r="J37" i="29"/>
  <c r="H37" i="30"/>
  <c r="H38" i="43"/>
  <c r="H37" i="42"/>
  <c r="J37" s="1"/>
  <c r="J38" i="30"/>
  <c r="H39" i="42"/>
  <c r="J39" s="1"/>
  <c r="J40" i="30"/>
  <c r="H40" i="43"/>
  <c r="J45"/>
  <c r="H44" i="30"/>
  <c r="J44" i="29"/>
  <c r="J35" i="30"/>
  <c r="H34" i="42"/>
  <c r="J34" s="1"/>
  <c r="H35" i="43"/>
  <c r="H20" i="29"/>
  <c r="J20" i="28"/>
  <c r="J11" i="43"/>
  <c r="H9"/>
  <c r="J9" i="30"/>
  <c r="H9" i="42"/>
  <c r="J9" s="1"/>
  <c r="J19" i="43"/>
  <c r="J140"/>
  <c r="J139" i="29"/>
  <c r="H139" i="30"/>
  <c r="J138" i="43"/>
  <c r="H121" i="42"/>
  <c r="J121" s="1"/>
  <c r="J135" i="30"/>
  <c r="H135" i="43"/>
  <c r="H134" i="30"/>
  <c r="J134" i="29"/>
  <c r="H132" i="43"/>
  <c r="H118" i="42"/>
  <c r="J118" s="1"/>
  <c r="J132" i="30"/>
  <c r="J125"/>
  <c r="H125" i="43"/>
  <c r="H125" i="31" s="1"/>
  <c r="H99" i="42"/>
  <c r="J99" s="1"/>
  <c r="H127" i="43"/>
  <c r="H127" i="31" s="1"/>
  <c r="J127" i="30"/>
  <c r="H101" i="42"/>
  <c r="J101" s="1"/>
  <c r="H100"/>
  <c r="J100" s="1"/>
  <c r="H126" i="43"/>
  <c r="H126" i="31" s="1"/>
  <c r="J126" i="30"/>
  <c r="J124"/>
  <c r="H124" i="43"/>
  <c r="H124" i="31" s="1"/>
  <c r="H98" i="42"/>
  <c r="J98" s="1"/>
  <c r="J123" i="30"/>
  <c r="H97" i="42"/>
  <c r="J97" s="1"/>
  <c r="H123" i="43"/>
  <c r="H123" i="31" s="1"/>
  <c r="H94" i="42"/>
  <c r="J94" s="1"/>
  <c r="H100" i="43"/>
  <c r="H100" i="31" s="1"/>
  <c r="J100" i="30"/>
  <c r="J99"/>
  <c r="H93" i="42"/>
  <c r="J93" s="1"/>
  <c r="H99" i="43"/>
  <c r="H99" i="31" s="1"/>
  <c r="H98" i="43"/>
  <c r="H98" i="31" s="1"/>
  <c r="H92" i="42"/>
  <c r="J92" s="1"/>
  <c r="J98" i="30"/>
  <c r="H97" i="43"/>
  <c r="H97" i="31" s="1"/>
  <c r="J97" i="30"/>
  <c r="H91" i="42"/>
  <c r="J91" s="1"/>
  <c r="H90"/>
  <c r="J90" s="1"/>
  <c r="H96" i="43"/>
  <c r="H96" i="31" s="1"/>
  <c r="J96" i="30"/>
  <c r="H95" i="42"/>
  <c r="J95" s="1"/>
  <c r="J101" i="30"/>
  <c r="H101" i="43"/>
  <c r="H101" i="31" s="1"/>
  <c r="J95" i="29"/>
  <c r="H95" i="30"/>
  <c r="J93" i="29"/>
  <c r="H93" i="30"/>
  <c r="J85" i="29"/>
  <c r="H85" i="30"/>
  <c r="H84"/>
  <c r="J84" i="29"/>
  <c r="J83" i="30"/>
  <c r="H83" i="43"/>
  <c r="H83" i="31" s="1"/>
  <c r="H82" i="42"/>
  <c r="J82" s="1"/>
  <c r="J82" i="30"/>
  <c r="H81" i="42"/>
  <c r="J81" s="1"/>
  <c r="H82" i="43"/>
  <c r="H82" i="31" s="1"/>
  <c r="J81" i="43"/>
  <c r="J80" i="30"/>
  <c r="H80" i="43"/>
  <c r="H80" i="31" s="1"/>
  <c r="H79" i="42"/>
  <c r="J79" s="1"/>
  <c r="J78" i="30"/>
  <c r="H77" i="42"/>
  <c r="J77" s="1"/>
  <c r="H78" i="43"/>
  <c r="H78" i="31" s="1"/>
  <c r="J79" i="30"/>
  <c r="H79" i="43"/>
  <c r="H79" i="31" s="1"/>
  <c r="H78" i="42"/>
  <c r="J78" s="1"/>
  <c r="H75"/>
  <c r="J75" s="1"/>
  <c r="H76" i="43"/>
  <c r="H76" i="31" s="1"/>
  <c r="J76" i="30"/>
  <c r="J74"/>
  <c r="H73" i="42"/>
  <c r="J73" s="1"/>
  <c r="H74" i="43"/>
  <c r="H74" i="31" s="1"/>
  <c r="H74" i="42"/>
  <c r="J74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s="1"/>
  <c r="J67" i="30"/>
  <c r="J66"/>
  <c r="H66" i="43"/>
  <c r="H66" i="31" s="1"/>
  <c r="H65" i="42"/>
  <c r="J65" s="1"/>
  <c r="H64"/>
  <c r="J64" s="1"/>
  <c r="J65" i="30"/>
  <c r="H65" i="43"/>
  <c r="H65" i="31" s="1"/>
  <c r="H62" i="42"/>
  <c r="J62" s="1"/>
  <c r="H63" i="43"/>
  <c r="H63" i="31" s="1"/>
  <c r="J63" i="30"/>
  <c r="H57" i="42"/>
  <c r="J57" s="1"/>
  <c r="J58" i="30"/>
  <c r="H58" i="43"/>
  <c r="J55" i="29"/>
  <c r="H55" i="30"/>
  <c r="J54" i="29"/>
  <c r="H54" i="30"/>
  <c r="H52" i="42"/>
  <c r="J52" s="1"/>
  <c r="H53" i="43"/>
  <c r="H53" i="31" s="1"/>
  <c r="J53" i="30"/>
  <c r="H148"/>
  <c r="J148" i="29"/>
  <c r="H52" i="43"/>
  <c r="H52" i="31" s="1"/>
  <c r="J52" i="30"/>
  <c r="H51" i="42"/>
  <c r="J51" s="1"/>
  <c r="H51" i="43"/>
  <c r="H51" i="31" s="1"/>
  <c r="J51" i="30"/>
  <c r="H50" i="42"/>
  <c r="J50" s="1"/>
  <c r="H49" i="43"/>
  <c r="H49" i="31" s="1"/>
  <c r="H48" i="42"/>
  <c r="J48" s="1"/>
  <c r="J49" i="30"/>
  <c r="H58" i="42"/>
  <c r="J58" s="1"/>
  <c r="J59" i="30"/>
  <c r="H59" i="43"/>
  <c r="H59" i="31" s="1"/>
  <c r="H45" i="42"/>
  <c r="J45" s="1"/>
  <c r="H46" i="43"/>
  <c r="H46" i="31" s="1"/>
  <c r="J46" i="30"/>
  <c r="H142" i="43"/>
  <c r="J142" i="30"/>
  <c r="H103" i="42"/>
  <c r="J103" s="1"/>
  <c r="J43" i="43"/>
  <c r="H42" i="30"/>
  <c r="J42" i="29"/>
  <c r="J144" i="30"/>
  <c r="H144" i="43"/>
  <c r="H105" i="42"/>
  <c r="J105" s="1"/>
  <c r="J41" i="29"/>
  <c r="H41" i="30"/>
  <c r="H60" i="28"/>
  <c r="J60" i="27"/>
  <c r="J146" i="29"/>
  <c r="H146" i="30"/>
  <c r="J39"/>
  <c r="H38" i="42"/>
  <c r="J38" s="1"/>
  <c r="H39" i="43"/>
  <c r="J47" i="28"/>
  <c r="H111" i="42"/>
  <c r="J111" s="1"/>
  <c r="H150" i="43"/>
  <c r="J150" i="30"/>
  <c r="J15" i="29"/>
  <c r="I16" s="1"/>
  <c r="H15" i="30"/>
  <c r="J12" i="43"/>
  <c r="H10"/>
  <c r="H10" i="42"/>
  <c r="J10" s="1"/>
  <c r="J10" i="30"/>
  <c r="J13" i="29"/>
  <c r="H13" i="30"/>
  <c r="J147" i="29"/>
  <c r="H147" i="30"/>
  <c r="H151"/>
  <c r="J151" s="1"/>
  <c r="J145" i="29"/>
  <c r="H145" i="30"/>
  <c r="J7" i="29"/>
  <c r="H7" i="30"/>
  <c r="H153"/>
  <c r="J153" s="1"/>
  <c r="J143" i="29"/>
  <c r="H143" i="30"/>
  <c r="J149" i="29"/>
  <c r="H149" i="30"/>
  <c r="H9" i="31" l="1"/>
  <c r="J9" s="1"/>
  <c r="H35"/>
  <c r="J35" s="1"/>
  <c r="H130"/>
  <c r="J130" s="1"/>
  <c r="H150"/>
  <c r="J150" s="1"/>
  <c r="H10"/>
  <c r="J10" s="1"/>
  <c r="H132"/>
  <c r="J132" s="1"/>
  <c r="H38"/>
  <c r="J38" s="1"/>
  <c r="H137"/>
  <c r="J137" s="1"/>
  <c r="H18"/>
  <c r="J18" s="1"/>
  <c r="H39"/>
  <c r="J39" s="1"/>
  <c r="H144"/>
  <c r="J144" s="1"/>
  <c r="H58"/>
  <c r="N58" s="1"/>
  <c r="H135"/>
  <c r="J135" s="1"/>
  <c r="H40"/>
  <c r="J40" s="1"/>
  <c r="H142"/>
  <c r="J142" s="1"/>
  <c r="H136"/>
  <c r="J136" s="1"/>
  <c r="J59"/>
  <c r="N59"/>
  <c r="J51"/>
  <c r="N51"/>
  <c r="J79"/>
  <c r="N79"/>
  <c r="J127"/>
  <c r="N127"/>
  <c r="J52"/>
  <c r="N52"/>
  <c r="J53"/>
  <c r="N53"/>
  <c r="J65"/>
  <c r="N65"/>
  <c r="J66"/>
  <c r="N66"/>
  <c r="J67"/>
  <c r="N67"/>
  <c r="J101"/>
  <c r="N101"/>
  <c r="J96"/>
  <c r="N96"/>
  <c r="J97"/>
  <c r="N97"/>
  <c r="J99"/>
  <c r="N99"/>
  <c r="J100"/>
  <c r="N100"/>
  <c r="J64"/>
  <c r="N64"/>
  <c r="J92"/>
  <c r="N92"/>
  <c r="J152" i="30"/>
  <c r="H152" i="43"/>
  <c r="H152" i="31" s="1"/>
  <c r="H113" i="42"/>
  <c r="J113" s="1"/>
  <c r="J75" i="31"/>
  <c r="N75"/>
  <c r="J78"/>
  <c r="N78"/>
  <c r="J80"/>
  <c r="N80"/>
  <c r="J98"/>
  <c r="N98"/>
  <c r="J125"/>
  <c r="N125"/>
  <c r="J57"/>
  <c r="N57"/>
  <c r="J126"/>
  <c r="N126"/>
  <c r="J46"/>
  <c r="N46"/>
  <c r="J49"/>
  <c r="N49"/>
  <c r="J63"/>
  <c r="N63"/>
  <c r="J74"/>
  <c r="N74"/>
  <c r="J76"/>
  <c r="N76"/>
  <c r="J82"/>
  <c r="N82"/>
  <c r="J83"/>
  <c r="N83"/>
  <c r="J123"/>
  <c r="N123"/>
  <c r="J124"/>
  <c r="N124"/>
  <c r="J62"/>
  <c r="N62"/>
  <c r="BP33" i="1"/>
  <c r="BQ33" s="1"/>
  <c r="J27" i="31"/>
  <c r="J29" i="30"/>
  <c r="H29" i="43"/>
  <c r="H29" i="31" s="1"/>
  <c r="H32" i="30"/>
  <c r="J32" i="29"/>
  <c r="J27" i="43"/>
  <c r="J23"/>
  <c r="J18"/>
  <c r="J56" i="30"/>
  <c r="H55" i="42"/>
  <c r="J55" s="1"/>
  <c r="H56" i="43"/>
  <c r="H56" i="31" s="1"/>
  <c r="J136" i="43"/>
  <c r="J137"/>
  <c r="J130"/>
  <c r="J92"/>
  <c r="J64"/>
  <c r="J62"/>
  <c r="H50"/>
  <c r="H50" i="31" s="1"/>
  <c r="H49" i="42"/>
  <c r="J49" s="1"/>
  <c r="J50" i="30"/>
  <c r="H35" i="42"/>
  <c r="J35" s="1"/>
  <c r="H36" i="43"/>
  <c r="J36" i="30"/>
  <c r="H37" i="43"/>
  <c r="J37" i="30"/>
  <c r="H36" i="42"/>
  <c r="J36" s="1"/>
  <c r="J35" i="43"/>
  <c r="J40"/>
  <c r="H43" i="42"/>
  <c r="J43" s="1"/>
  <c r="H44" i="43"/>
  <c r="H44" i="31" s="1"/>
  <c r="J44" i="30"/>
  <c r="J38" i="43"/>
  <c r="H20" i="30"/>
  <c r="H20" i="43" s="1"/>
  <c r="H20" i="31" s="1"/>
  <c r="J20" i="29"/>
  <c r="J9" i="43"/>
  <c r="H125" i="42"/>
  <c r="J125" s="1"/>
  <c r="H139" i="43"/>
  <c r="J139" i="30"/>
  <c r="J135" i="43"/>
  <c r="J134" i="30"/>
  <c r="H120" i="42"/>
  <c r="J120" s="1"/>
  <c r="H134" i="43"/>
  <c r="H134" i="31" s="1"/>
  <c r="J132" i="43"/>
  <c r="J125"/>
  <c r="J127"/>
  <c r="J126"/>
  <c r="J124"/>
  <c r="J123"/>
  <c r="J100"/>
  <c r="J99"/>
  <c r="J98"/>
  <c r="J97"/>
  <c r="J96"/>
  <c r="H89" i="42"/>
  <c r="J89" s="1"/>
  <c r="J95" i="30"/>
  <c r="H95" i="43"/>
  <c r="H95" i="31" s="1"/>
  <c r="J101" i="43"/>
  <c r="H93"/>
  <c r="H93" i="31" s="1"/>
  <c r="J93" i="30"/>
  <c r="H87" i="42"/>
  <c r="J87" s="1"/>
  <c r="H84" i="43"/>
  <c r="H84" i="31" s="1"/>
  <c r="H83" i="42"/>
  <c r="J83" s="1"/>
  <c r="J84" i="30"/>
  <c r="J85"/>
  <c r="H84" i="42"/>
  <c r="J84" s="1"/>
  <c r="H85" i="43"/>
  <c r="H85" i="31" s="1"/>
  <c r="J83" i="43"/>
  <c r="J82"/>
  <c r="J80"/>
  <c r="J78"/>
  <c r="J79"/>
  <c r="J76"/>
  <c r="J75"/>
  <c r="J74"/>
  <c r="H72" i="42"/>
  <c r="J72" s="1"/>
  <c r="J73" i="30"/>
  <c r="H73" i="43"/>
  <c r="H73" i="31" s="1"/>
  <c r="J72" i="30"/>
  <c r="H71" i="42"/>
  <c r="J71" s="1"/>
  <c r="H72" i="43"/>
  <c r="H72" i="31" s="1"/>
  <c r="H69" i="43"/>
  <c r="H69" i="31" s="1"/>
  <c r="H68" i="42"/>
  <c r="J68" s="1"/>
  <c r="J69" i="30"/>
  <c r="J67" i="43"/>
  <c r="J66"/>
  <c r="J65"/>
  <c r="J63"/>
  <c r="J58"/>
  <c r="H54" i="42"/>
  <c r="J54" s="1"/>
  <c r="H55" i="43"/>
  <c r="H55" i="31" s="1"/>
  <c r="J55" i="30"/>
  <c r="H53" i="42"/>
  <c r="J53" s="1"/>
  <c r="J54" i="30"/>
  <c r="H54" i="43"/>
  <c r="H54" i="31" s="1"/>
  <c r="J53" i="43"/>
  <c r="H109" i="42"/>
  <c r="J109" s="1"/>
  <c r="H148" i="43"/>
  <c r="J148" i="30"/>
  <c r="J52" i="43"/>
  <c r="J51"/>
  <c r="J49"/>
  <c r="J59"/>
  <c r="J46"/>
  <c r="J142"/>
  <c r="J42" i="30"/>
  <c r="H42" i="43"/>
  <c r="H42" i="31" s="1"/>
  <c r="H41" i="42"/>
  <c r="J41" s="1"/>
  <c r="J144" i="43"/>
  <c r="J41" i="30"/>
  <c r="H40" i="42"/>
  <c r="J40" s="1"/>
  <c r="H41" i="43"/>
  <c r="H41" i="31" s="1"/>
  <c r="J39" i="43"/>
  <c r="J47" i="29"/>
  <c r="H47" i="30"/>
  <c r="H146" i="43"/>
  <c r="H107" i="42"/>
  <c r="J107" s="1"/>
  <c r="J146" i="30"/>
  <c r="H60" i="29"/>
  <c r="J60" i="28"/>
  <c r="J150" i="43"/>
  <c r="H28" i="42"/>
  <c r="J28" s="1"/>
  <c r="J15" i="30"/>
  <c r="I16" s="1"/>
  <c r="H15" i="42"/>
  <c r="J15" s="1"/>
  <c r="I16" s="1"/>
  <c r="H15" i="43"/>
  <c r="H15" i="31" s="1"/>
  <c r="J15" s="1"/>
  <c r="I16" s="1"/>
  <c r="J10" i="43"/>
  <c r="J13" i="30"/>
  <c r="H13" i="42"/>
  <c r="J13" s="1"/>
  <c r="H13" i="43"/>
  <c r="J143" i="30"/>
  <c r="H104" i="42"/>
  <c r="J104" s="1"/>
  <c r="H106"/>
  <c r="J106" s="1"/>
  <c r="J145" i="30"/>
  <c r="H108" i="42"/>
  <c r="J108" s="1"/>
  <c r="J147" i="30"/>
  <c r="H110" i="42"/>
  <c r="J110" s="1"/>
  <c r="J149" i="30"/>
  <c r="H114" i="42"/>
  <c r="J114" s="1"/>
  <c r="H7"/>
  <c r="J7" s="1"/>
  <c r="I9" s="1"/>
  <c r="J7" i="30"/>
  <c r="H112" i="42"/>
  <c r="J112" s="1"/>
  <c r="J58" i="31" l="1"/>
  <c r="H146"/>
  <c r="J146" s="1"/>
  <c r="H13"/>
  <c r="J13" s="1"/>
  <c r="H148"/>
  <c r="J148" s="1"/>
  <c r="H139"/>
  <c r="J139" s="1"/>
  <c r="H36"/>
  <c r="J36" s="1"/>
  <c r="H37"/>
  <c r="J37" s="1"/>
  <c r="J95"/>
  <c r="N95"/>
  <c r="J69"/>
  <c r="N69"/>
  <c r="J73"/>
  <c r="N73"/>
  <c r="J84"/>
  <c r="N84"/>
  <c r="J152"/>
  <c r="J152" i="43"/>
  <c r="J72" i="31"/>
  <c r="N72"/>
  <c r="J42"/>
  <c r="N42"/>
  <c r="J54"/>
  <c r="N54"/>
  <c r="J55"/>
  <c r="N55"/>
  <c r="J85"/>
  <c r="N85"/>
  <c r="J93"/>
  <c r="N93"/>
  <c r="J44"/>
  <c r="N44"/>
  <c r="J50"/>
  <c r="N50"/>
  <c r="J41"/>
  <c r="N41"/>
  <c r="J56"/>
  <c r="N56"/>
  <c r="I9" i="30"/>
  <c r="J134" i="43"/>
  <c r="J134" i="31"/>
  <c r="J29"/>
  <c r="J29" i="43"/>
  <c r="H32"/>
  <c r="H32" i="31" s="1"/>
  <c r="J32" i="30"/>
  <c r="J56" i="43"/>
  <c r="J50"/>
  <c r="J36"/>
  <c r="J37"/>
  <c r="J44"/>
  <c r="J20" i="30"/>
  <c r="H20" i="42"/>
  <c r="J20" s="1"/>
  <c r="J20" i="31"/>
  <c r="H30" i="42"/>
  <c r="J30" s="1"/>
  <c r="J139" i="43"/>
  <c r="J95"/>
  <c r="J93"/>
  <c r="J84"/>
  <c r="J85"/>
  <c r="J72"/>
  <c r="J73"/>
  <c r="J69"/>
  <c r="J55"/>
  <c r="J54"/>
  <c r="J148"/>
  <c r="J42"/>
  <c r="J41"/>
  <c r="H60" i="30"/>
  <c r="J60" i="29"/>
  <c r="J146" i="43"/>
  <c r="J47" i="30"/>
  <c r="H46" i="42"/>
  <c r="J46" s="1"/>
  <c r="H47" i="43"/>
  <c r="H47" i="31" s="1"/>
  <c r="J15" i="43"/>
  <c r="I16" s="1"/>
  <c r="J13"/>
  <c r="H31" i="42"/>
  <c r="J31" s="1"/>
  <c r="H27"/>
  <c r="J27" s="1"/>
  <c r="J47" i="31" l="1"/>
  <c r="N47"/>
  <c r="J32" i="43"/>
  <c r="J32" i="31"/>
  <c r="J20" i="43"/>
  <c r="J60" i="30"/>
  <c r="H60" i="43"/>
  <c r="H60" i="31" s="1"/>
  <c r="H59" i="42"/>
  <c r="J59" s="1"/>
  <c r="J47" i="43"/>
  <c r="J60" i="31" l="1"/>
  <c r="N60"/>
  <c r="J60" i="43"/>
  <c r="H8" i="4"/>
  <c r="J8" l="1"/>
  <c r="I9" s="1"/>
  <c r="H8" i="5"/>
  <c r="H8" i="33" l="1"/>
  <c r="J8" i="5"/>
  <c r="I9" s="1"/>
  <c r="J8" i="33" l="1"/>
  <c r="I9" s="1"/>
  <c r="H8" i="7"/>
  <c r="J8" l="1"/>
  <c r="I9" s="1"/>
  <c r="H8" i="8"/>
  <c r="J8" l="1"/>
  <c r="I9" s="1"/>
  <c r="H8" i="9"/>
  <c r="H8" i="10" s="1"/>
  <c r="J8" s="1"/>
  <c r="J8" i="9" l="1"/>
  <c r="H8" i="11" l="1"/>
  <c r="J8" l="1"/>
  <c r="H8" i="12"/>
  <c r="J8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s="1"/>
  <c r="J8" i="21" l="1"/>
  <c r="I9" s="1"/>
  <c r="H8" i="22"/>
  <c r="J8" l="1"/>
  <c r="I9" s="1"/>
  <c r="H8" i="23"/>
  <c r="H8" i="24" l="1"/>
  <c r="J8" i="23"/>
  <c r="I9" s="1"/>
  <c r="H8" i="25" l="1"/>
  <c r="J8" i="24"/>
  <c r="I9" s="1"/>
  <c r="J8" i="25" l="1"/>
  <c r="I9" s="1"/>
  <c r="H8" i="40"/>
  <c r="H8" i="27" l="1"/>
  <c r="J8" i="40"/>
  <c r="I9" s="1"/>
  <c r="J8" i="27" l="1"/>
  <c r="I9" s="1"/>
  <c r="H8" i="28"/>
  <c r="J8" l="1"/>
  <c r="I9" s="1"/>
  <c r="H8" i="29"/>
  <c r="H8" i="30" l="1"/>
  <c r="J8" i="29"/>
  <c r="I9" s="1"/>
  <c r="H8" i="43" l="1"/>
  <c r="J8" i="30"/>
  <c r="H8" i="31" l="1"/>
  <c r="J8" s="1"/>
  <c r="J8" i="43"/>
  <c r="I18" i="42" l="1"/>
  <c r="I20" s="1"/>
  <c r="I18" i="9"/>
  <c r="I20" s="1"/>
  <c r="I18" i="25"/>
  <c r="I20" s="1"/>
  <c r="I18" i="15"/>
  <c r="I20" s="1"/>
  <c r="I18" i="18"/>
  <c r="I20" s="1"/>
  <c r="I18" i="43"/>
  <c r="I20" s="1"/>
  <c r="I18" i="17"/>
  <c r="I20" s="1"/>
  <c r="I18" i="3"/>
  <c r="I20" s="1"/>
  <c r="I18" i="14"/>
  <c r="I20" s="1"/>
  <c r="I18" i="31"/>
  <c r="I20" s="1"/>
  <c r="I18" i="21"/>
  <c r="I20" s="1"/>
  <c r="I18" i="20"/>
  <c r="I20" s="1"/>
  <c r="I18" i="4"/>
  <c r="I20" s="1"/>
  <c r="I18" i="19"/>
  <c r="I20" s="1"/>
  <c r="I18" i="27"/>
  <c r="I20" s="1"/>
  <c r="I18" i="5"/>
  <c r="I20" s="1"/>
  <c r="I18" i="16"/>
  <c r="I20" s="1"/>
  <c r="I18" i="30"/>
  <c r="I20" s="1"/>
  <c r="I18" i="23"/>
  <c r="I20" s="1"/>
  <c r="I18" i="40"/>
  <c r="I20" s="1"/>
  <c r="I18" i="13"/>
  <c r="I20" s="1"/>
  <c r="I20" i="24"/>
  <c r="I18" i="7"/>
  <c r="I20" s="1"/>
  <c r="I18" i="22"/>
  <c r="I20" s="1"/>
  <c r="I18" i="33"/>
  <c r="I20" s="1"/>
  <c r="I18" i="29"/>
  <c r="I20" s="1"/>
  <c r="I18" i="28"/>
  <c r="I20" s="1"/>
  <c r="I18" i="8"/>
  <c r="I20" s="1"/>
  <c r="G7" i="43"/>
  <c r="H7" s="1"/>
  <c r="G149" l="1"/>
  <c r="H149" s="1"/>
  <c r="H149" i="31" s="1"/>
  <c r="J149" s="1"/>
  <c r="G147" i="43"/>
  <c r="H147" s="1"/>
  <c r="H147" i="31" s="1"/>
  <c r="J147" s="1"/>
  <c r="G151" i="43"/>
  <c r="H151" s="1"/>
  <c r="H151" i="31" s="1"/>
  <c r="I33" i="1"/>
  <c r="I59" i="43"/>
  <c r="G145"/>
  <c r="H145" s="1"/>
  <c r="H145" i="31" s="1"/>
  <c r="H7"/>
  <c r="G143" i="43"/>
  <c r="H143" s="1"/>
  <c r="H143" i="31" s="1"/>
  <c r="I13" i="43"/>
  <c r="G153"/>
  <c r="H153" s="1"/>
  <c r="H153" i="31" s="1"/>
  <c r="E31" i="47" l="1"/>
  <c r="M31" s="1"/>
  <c r="I35" i="1"/>
  <c r="I37" s="1"/>
  <c r="J149" i="43"/>
  <c r="J147"/>
  <c r="J153"/>
  <c r="J153" i="31"/>
  <c r="J7" i="43"/>
  <c r="I9" s="1"/>
  <c r="J7" i="31"/>
  <c r="I9" s="1"/>
  <c r="J151"/>
  <c r="J151" i="43"/>
  <c r="J143" i="31"/>
  <c r="J143" i="43"/>
  <c r="L33" i="1"/>
  <c r="L35" s="1"/>
  <c r="BN33"/>
  <c r="BN35" s="1"/>
  <c r="BM33"/>
  <c r="BM35" s="1"/>
  <c r="BL33"/>
  <c r="BL35" s="1"/>
  <c r="J145" i="31"/>
  <c r="J145" i="43"/>
</calcChain>
</file>

<file path=xl/sharedStrings.xml><?xml version="1.0" encoding="utf-8"?>
<sst xmlns="http://schemas.openxmlformats.org/spreadsheetml/2006/main" count="10209" uniqueCount="345">
  <si>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</si>
  <si>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</si>
  <si>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</si>
  <si>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</si>
  <si>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</si>
  <si>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</si>
  <si>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</si>
  <si>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</si>
  <si>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</si>
  <si>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</si>
  <si>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</si>
  <si>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</si>
  <si>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</si>
  <si>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</si>
  <si>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</si>
  <si>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</si>
  <si>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</si>
  <si>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</si>
  <si>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</si>
  <si>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</si>
  <si>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</si>
  <si>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</si>
  <si>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</si>
  <si>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</si>
  <si>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</si>
  <si>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</si>
  <si>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</si>
  <si>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</si>
  <si>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</si>
  <si>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</si>
  <si>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</si>
  <si>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</si>
  <si>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</si>
  <si>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</si>
  <si>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</si>
  <si>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</si>
  <si>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</si>
  <si>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</si>
  <si>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</si>
  <si>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</si>
  <si>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</si>
  <si>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</si>
  <si>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</si>
  <si>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</si>
  <si>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</si>
  <si>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</si>
  <si>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</si>
  <si>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</si>
  <si>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</si>
  <si>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</si>
  <si>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</si>
  <si>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</si>
  <si>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</si>
  <si>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</si>
  <si>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</si>
  <si>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</si>
  <si>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</si>
  <si>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</si>
  <si>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</si>
  <si>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</si>
  <si>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</si>
  <si>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</si>
  <si>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</si>
  <si>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</si>
  <si>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</si>
  <si>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</si>
  <si>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</si>
  <si>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</si>
  <si>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</si>
  <si>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</si>
  <si>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</si>
  <si>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</si>
  <si>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</si>
  <si>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</si>
  <si>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</si>
  <si>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</si>
  <si>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</si>
  <si>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</si>
  <si>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</si>
  <si>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</si>
  <si>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</si>
  <si>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</si>
  <si>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</si>
  <si>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</si>
  <si>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</si>
  <si>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</si>
  <si>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</si>
  <si>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</si>
  <si>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</si>
  <si>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</si>
  <si>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</si>
  <si>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</si>
  <si>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 xml:space="preserve">Prato </t>
  </si>
  <si>
    <t xml:space="preserve">San- Qi Indian </t>
  </si>
  <si>
    <t xml:space="preserve">San- Qi Japanese </t>
  </si>
  <si>
    <t xml:space="preserve">The club </t>
  </si>
  <si>
    <t xml:space="preserve">AER </t>
  </si>
  <si>
    <t>COLD ROOM'S</t>
  </si>
  <si>
    <t xml:space="preserve">Ball Room 1 </t>
  </si>
  <si>
    <t xml:space="preserve">Ball Room 2 </t>
  </si>
  <si>
    <t xml:space="preserve">B1 Laundry </t>
  </si>
  <si>
    <t xml:space="preserve">STP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</si>
  <si>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</si>
  <si>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</si>
  <si>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</si>
  <si>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</si>
  <si>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</si>
  <si>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</si>
  <si>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</si>
  <si>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</si>
  <si>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</si>
  <si>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</si>
  <si>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</si>
  <si>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CT</t>
  </si>
  <si>
    <t xml:space="preserve">MGL </t>
  </si>
  <si>
    <t>HWG</t>
  </si>
  <si>
    <t>Prato</t>
  </si>
  <si>
    <t>BR-1</t>
  </si>
  <si>
    <t>SanQi IND</t>
  </si>
  <si>
    <t>SanQi JPN</t>
  </si>
  <si>
    <t xml:space="preserve">Boiler 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</si>
  <si>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</si>
  <si>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</si>
  <si>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</si>
  <si>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</si>
  <si>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</si>
  <si>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</si>
  <si>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</si>
  <si>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</si>
  <si>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</si>
  <si>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</si>
  <si>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</si>
  <si>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</si>
  <si>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</si>
  <si>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</si>
  <si>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</si>
  <si>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</si>
  <si>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</si>
  <si>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</si>
  <si>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</si>
  <si>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</si>
  <si>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</si>
  <si>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</si>
  <si>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</si>
  <si>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</si>
  <si>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</si>
  <si>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</si>
  <si>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</si>
  <si>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</si>
  <si>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</si>
  <si>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</si>
  <si>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</si>
  <si>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</si>
  <si>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</si>
  <si>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</si>
  <si>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</si>
  <si>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</si>
  <si>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</si>
  <si>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</si>
  <si>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</si>
  <si>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</si>
  <si>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</si>
  <si>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</si>
  <si>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</si>
  <si>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</si>
  <si>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</si>
  <si>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</si>
  <si>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</si>
  <si>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</si>
  <si>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</si>
  <si>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</si>
  <si>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</si>
  <si>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</si>
  <si>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</si>
  <si>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</si>
  <si>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</si>
  <si>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</si>
  <si>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</si>
  <si>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</si>
  <si>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</si>
  <si>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</si>
  <si>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</si>
  <si>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</si>
  <si>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</si>
  <si>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</si>
  <si>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</si>
  <si>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</si>
  <si>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</si>
  <si>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</si>
  <si>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</si>
  <si>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</si>
  <si>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</si>
  <si>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</si>
  <si>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</si>
  <si>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</si>
  <si>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</si>
  <si>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</si>
  <si>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</si>
  <si>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</si>
  <si>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</si>
  <si>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</si>
  <si>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</si>
  <si>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</si>
  <si>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</si>
  <si>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</si>
  <si>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</si>
  <si>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</si>
  <si>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</si>
  <si>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</si>
  <si>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</si>
  <si>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</si>
  <si>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</si>
  <si>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</si>
  <si>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</si>
  <si>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</si>
  <si>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</si>
  <si>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</si>
  <si>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</si>
  <si>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</si>
  <si>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</si>
  <si>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</si>
  <si>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</si>
  <si>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</si>
  <si>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</si>
  <si>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</si>
  <si>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</si>
  <si>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</si>
  <si>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</si>
  <si>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</si>
  <si>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</si>
  <si>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</si>
  <si>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</si>
  <si>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</si>
  <si>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</si>
  <si>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</si>
  <si>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</si>
  <si>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</si>
  <si>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</si>
  <si>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</si>
  <si>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</si>
  <si>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</si>
  <si>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</si>
  <si>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</si>
  <si>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</si>
  <si>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</si>
  <si>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</si>
  <si>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</si>
  <si>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</si>
  <si>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</si>
  <si>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</si>
  <si>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</si>
  <si>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</si>
  <si>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</si>
  <si>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</si>
  <si>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</si>
  <si>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</si>
  <si>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</si>
  <si>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</si>
  <si>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</si>
  <si>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</si>
  <si>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</si>
  <si>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</si>
  <si>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</si>
  <si>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</si>
  <si>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</si>
  <si>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</si>
  <si>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</si>
  <si>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</si>
  <si>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</si>
  <si>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</si>
  <si>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</si>
  <si>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</si>
  <si>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</si>
  <si>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</si>
  <si>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</si>
  <si>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</si>
  <si>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</si>
  <si>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</si>
  <si>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</si>
  <si>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</si>
  <si>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</si>
  <si>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`</t>
  </si>
  <si>
    <t>10th</t>
  </si>
  <si>
    <t xml:space="preserve"> Daily Utility Consumption Report</t>
  </si>
  <si>
    <t>Prepaired by- Nilesh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</si>
  <si>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</si>
  <si>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</si>
  <si>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>Prepaired by--Ramesh</t>
  </si>
  <si>
    <t xml:space="preserve">  </t>
  </si>
  <si>
    <t>Lighting</t>
  </si>
  <si>
    <t>Prepaired by- Ramesh</t>
  </si>
  <si>
    <t>\</t>
  </si>
  <si>
    <t>25th floor - 10075.91</t>
  </si>
  <si>
    <t>1643044-1655344</t>
  </si>
  <si>
    <t>Prepaired by-- Ramesh</t>
  </si>
  <si>
    <t>GLR</t>
  </si>
  <si>
    <t>Prepaired by--- Ramesh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</si>
  <si>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</si>
  <si>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</si>
  <si>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</si>
  <si>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</si>
  <si>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</si>
  <si>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</si>
  <si>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</si>
  <si>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</si>
  <si>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</si>
  <si>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</si>
  <si>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</si>
  <si>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</si>
  <si>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</si>
  <si>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</si>
  <si>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</si>
  <si>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</si>
  <si>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</si>
  <si>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</si>
  <si>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</si>
  <si>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</si>
  <si>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</si>
  <si>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</si>
  <si>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</si>
  <si>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</si>
  <si>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</si>
  <si>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Prepaired by--- Nilesh</t>
  </si>
  <si>
    <t>Room Nights</t>
  </si>
  <si>
    <t>Comp Night</t>
  </si>
  <si>
    <t>Hotel Occupancy Occ%</t>
  </si>
  <si>
    <t xml:space="preserve">Total Covers Guests </t>
  </si>
  <si>
    <t>Cummulative %</t>
  </si>
  <si>
    <t>Prepaired by-- Nilesh</t>
  </si>
  <si>
    <t>Prepaired by --- Nilesh</t>
  </si>
  <si>
    <t xml:space="preserve">Prepaired by-- Nilesh </t>
  </si>
  <si>
    <t xml:space="preserve">Prepaired by--- Devendra  </t>
  </si>
  <si>
    <t xml:space="preserve">Prepaired by---Devendra </t>
  </si>
  <si>
    <t xml:space="preserve">Prepaired by - Devendra </t>
  </si>
  <si>
    <t xml:space="preserve">Prepaired by ---Devendra </t>
  </si>
  <si>
    <t>Prepaired by Ramesh</t>
  </si>
  <si>
    <t xml:space="preserve">Percentage  of ele, unit per area </t>
  </si>
  <si>
    <t>Prepaired by--Prakash</t>
  </si>
  <si>
    <t>Prepaired by------- Prakash</t>
  </si>
  <si>
    <t>Prepaired by --Prakash</t>
  </si>
  <si>
    <t>Prepaired by- Prakash</t>
  </si>
  <si>
    <t>Prepaired by----Prakash</t>
  </si>
  <si>
    <t>Prepaired by---Nilesh</t>
  </si>
  <si>
    <t>Prepaired by--  Nilesh</t>
  </si>
  <si>
    <t>Prepaired by----Nilesh</t>
  </si>
</sst>
</file>

<file path=xl/styles.xml><?xml version="1.0" encoding="utf-8"?>
<styleSheet xmlns="http://schemas.openxmlformats.org/spreadsheetml/2006/main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</numFmts>
  <fonts count="127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i/>
      <sz val="18"/>
      <color rgb="FFFF0000"/>
      <name val="Arial Black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sz val="18"/>
      <name val="Arial Black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i/>
      <sz val="18"/>
      <name val="Arial"/>
      <family val="2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2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2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" fillId="0" borderId="0"/>
    <xf numFmtId="0" fontId="15" fillId="0" borderId="0"/>
    <xf numFmtId="0" fontId="15" fillId="0" borderId="0"/>
    <xf numFmtId="0" fontId="2" fillId="0" borderId="0"/>
    <xf numFmtId="0" fontId="89" fillId="0" borderId="0" applyNumberFormat="0" applyFill="0" applyBorder="0" applyAlignment="0" applyProtection="0"/>
    <xf numFmtId="0" fontId="1" fillId="0" borderId="0"/>
  </cellStyleXfs>
  <cellXfs count="1620">
    <xf numFmtId="0" fontId="0" fillId="0" borderId="0" xfId="0"/>
    <xf numFmtId="0" fontId="4" fillId="0" borderId="1" xfId="1" applyFont="1" applyFill="1" applyBorder="1" applyAlignment="1">
      <alignment horizontal="center" vertical="center" wrapText="1"/>
    </xf>
    <xf numFmtId="1" fontId="5" fillId="0" borderId="1" xfId="1" applyNumberFormat="1" applyFont="1" applyBorder="1" applyAlignment="1">
      <alignment vertical="center" wrapText="1"/>
    </xf>
    <xf numFmtId="0" fontId="5" fillId="0" borderId="1" xfId="1" applyNumberFormat="1" applyFont="1" applyBorder="1" applyAlignment="1">
      <alignment horizontal="center" vertical="center" wrapText="1"/>
    </xf>
    <xf numFmtId="1" fontId="5" fillId="3" borderId="1" xfId="1" applyNumberFormat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4" fillId="0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8" fillId="0" borderId="1" xfId="1" applyFont="1" applyFill="1" applyBorder="1" applyAlignment="1">
      <alignment vertical="top" wrapText="1"/>
    </xf>
    <xf numFmtId="0" fontId="8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9" fillId="0" borderId="1" xfId="1" applyFont="1" applyFill="1" applyBorder="1" applyAlignment="1">
      <alignment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vertical="center" wrapText="1"/>
    </xf>
    <xf numFmtId="0" fontId="11" fillId="7" borderId="1" xfId="1" applyFont="1" applyFill="1" applyBorder="1" applyAlignment="1">
      <alignment vertical="top" wrapText="1"/>
    </xf>
    <xf numFmtId="1" fontId="11" fillId="7" borderId="1" xfId="1" applyNumberFormat="1" applyFont="1" applyFill="1" applyBorder="1" applyAlignment="1">
      <alignment vertical="top" wrapText="1"/>
    </xf>
    <xf numFmtId="2" fontId="11" fillId="0" borderId="1" xfId="1" applyNumberFormat="1" applyFont="1" applyFill="1" applyBorder="1" applyAlignment="1">
      <alignment vertical="top" wrapText="1"/>
    </xf>
    <xf numFmtId="2" fontId="11" fillId="0" borderId="1" xfId="1" applyNumberFormat="1" applyFont="1" applyBorder="1" applyAlignment="1"/>
    <xf numFmtId="10" fontId="11" fillId="0" borderId="1" xfId="1" applyNumberFormat="1" applyFont="1" applyBorder="1" applyAlignment="1"/>
    <xf numFmtId="2" fontId="11" fillId="7" borderId="1" xfId="1" applyNumberFormat="1" applyFont="1" applyFill="1" applyBorder="1" applyAlignment="1"/>
    <xf numFmtId="1" fontId="12" fillId="0" borderId="1" xfId="1" applyNumberFormat="1" applyFont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1" fontId="11" fillId="0" borderId="1" xfId="1" applyNumberFormat="1" applyFont="1" applyFill="1" applyBorder="1" applyAlignment="1">
      <alignment horizontal="center" vertical="center" wrapText="1"/>
    </xf>
    <xf numFmtId="1" fontId="11" fillId="2" borderId="1" xfId="1" applyNumberFormat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1" fontId="11" fillId="0" borderId="1" xfId="1" applyNumberFormat="1" applyFont="1" applyBorder="1" applyAlignment="1">
      <alignment vertical="center" wrapText="1"/>
    </xf>
    <xf numFmtId="0" fontId="11" fillId="0" borderId="1" xfId="1" applyNumberFormat="1" applyFont="1" applyBorder="1" applyAlignment="1">
      <alignment horizontal="center" vertical="center" wrapText="1"/>
    </xf>
    <xf numFmtId="1" fontId="11" fillId="0" borderId="1" xfId="1" applyNumberFormat="1" applyFont="1" applyBorder="1" applyAlignment="1"/>
    <xf numFmtId="1" fontId="2" fillId="0" borderId="0" xfId="1" applyNumberFormat="1" applyFont="1"/>
    <xf numFmtId="0" fontId="14" fillId="0" borderId="0" xfId="2" applyFont="1" applyAlignment="1" applyProtection="1"/>
    <xf numFmtId="0" fontId="0" fillId="0" borderId="0" xfId="0" applyFill="1"/>
    <xf numFmtId="0" fontId="16" fillId="0" borderId="0" xfId="0" applyFont="1"/>
    <xf numFmtId="0" fontId="17" fillId="9" borderId="1" xfId="3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 vertical="center"/>
    </xf>
    <xf numFmtId="1" fontId="17" fillId="9" borderId="1" xfId="3" applyNumberFormat="1" applyFont="1" applyFill="1" applyBorder="1" applyAlignment="1">
      <alignment horizontal="center"/>
    </xf>
    <xf numFmtId="164" fontId="17" fillId="9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 vertical="center"/>
    </xf>
    <xf numFmtId="0" fontId="16" fillId="0" borderId="0" xfId="0" applyFont="1" applyBorder="1"/>
    <xf numFmtId="0" fontId="17" fillId="9" borderId="1" xfId="3" applyFont="1" applyFill="1" applyBorder="1"/>
    <xf numFmtId="9" fontId="16" fillId="9" borderId="1" xfId="3" applyNumberFormat="1" applyFont="1" applyFill="1" applyBorder="1" applyAlignment="1">
      <alignment horizontal="left"/>
    </xf>
    <xf numFmtId="2" fontId="17" fillId="9" borderId="1" xfId="3" applyNumberFormat="1" applyFont="1" applyFill="1" applyBorder="1" applyAlignment="1">
      <alignment horizontal="center"/>
    </xf>
    <xf numFmtId="9" fontId="16" fillId="9" borderId="1" xfId="3" applyNumberFormat="1" applyFont="1" applyFill="1" applyBorder="1" applyAlignment="1">
      <alignment horizontal="center"/>
    </xf>
    <xf numFmtId="1" fontId="16" fillId="9" borderId="1" xfId="3" applyNumberFormat="1" applyFont="1" applyFill="1" applyBorder="1" applyAlignment="1">
      <alignment horizontal="center"/>
    </xf>
    <xf numFmtId="0" fontId="16" fillId="9" borderId="2" xfId="3" applyNumberFormat="1" applyFont="1" applyFill="1" applyBorder="1" applyAlignment="1">
      <alignment horizontal="center" vertical="center"/>
    </xf>
    <xf numFmtId="164" fontId="17" fillId="2" borderId="6" xfId="3" applyNumberFormat="1" applyFont="1" applyFill="1" applyBorder="1" applyAlignment="1">
      <alignment horizontal="center"/>
    </xf>
    <xf numFmtId="0" fontId="16" fillId="9" borderId="1" xfId="3" applyNumberFormat="1" applyFont="1" applyFill="1" applyBorder="1" applyAlignment="1">
      <alignment horizontal="center"/>
    </xf>
    <xf numFmtId="164" fontId="17" fillId="2" borderId="6" xfId="3" applyNumberFormat="1" applyFont="1" applyFill="1" applyBorder="1" applyAlignment="1">
      <alignment horizontal="center" vertical="center" wrapText="1" shrinkToFit="1"/>
    </xf>
    <xf numFmtId="0" fontId="17" fillId="8" borderId="1" xfId="3" applyFont="1" applyFill="1" applyBorder="1" applyAlignment="1">
      <alignment horizontal="center" vertical="center"/>
    </xf>
    <xf numFmtId="0" fontId="17" fillId="8" borderId="1" xfId="3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/>
    </xf>
    <xf numFmtId="1" fontId="17" fillId="8" borderId="1" xfId="3" applyNumberFormat="1" applyFont="1" applyFill="1" applyBorder="1" applyAlignment="1">
      <alignment horizontal="center"/>
    </xf>
    <xf numFmtId="1" fontId="17" fillId="8" borderId="2" xfId="5" applyNumberFormat="1" applyFont="1" applyFill="1" applyBorder="1" applyAlignment="1" applyProtection="1">
      <alignment horizontal="center"/>
    </xf>
    <xf numFmtId="1" fontId="17" fillId="2" borderId="6" xfId="5" applyNumberFormat="1" applyFont="1" applyFill="1" applyBorder="1" applyAlignment="1" applyProtection="1">
      <alignment horizontal="center"/>
    </xf>
    <xf numFmtId="0" fontId="17" fillId="11" borderId="1" xfId="3" applyFont="1" applyFill="1" applyBorder="1" applyAlignment="1">
      <alignment horizontal="center" vertical="center"/>
    </xf>
    <xf numFmtId="1" fontId="17" fillId="11" borderId="1" xfId="3" applyNumberFormat="1" applyFont="1" applyFill="1" applyBorder="1" applyAlignment="1">
      <alignment horizontal="center" vertical="center"/>
    </xf>
    <xf numFmtId="1" fontId="16" fillId="12" borderId="1" xfId="3" applyNumberFormat="1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 vertical="center"/>
    </xf>
    <xf numFmtId="167" fontId="17" fillId="8" borderId="2" xfId="3" applyNumberFormat="1" applyFont="1" applyFill="1" applyBorder="1" applyAlignment="1">
      <alignment vertical="center"/>
    </xf>
    <xf numFmtId="167" fontId="17" fillId="8" borderId="3" xfId="3" applyNumberFormat="1" applyFont="1" applyFill="1" applyBorder="1" applyAlignment="1">
      <alignment vertical="center"/>
    </xf>
    <xf numFmtId="167" fontId="17" fillId="8" borderId="4" xfId="3" applyNumberFormat="1" applyFont="1" applyFill="1" applyBorder="1" applyAlignment="1">
      <alignment vertical="center"/>
    </xf>
    <xf numFmtId="0" fontId="16" fillId="0" borderId="1" xfId="4" applyFont="1" applyBorder="1" applyAlignment="1">
      <alignment horizontal="center"/>
    </xf>
    <xf numFmtId="1" fontId="17" fillId="8" borderId="1" xfId="5" applyNumberFormat="1" applyFont="1" applyFill="1" applyBorder="1" applyAlignment="1">
      <alignment horizontal="center" vertical="center"/>
    </xf>
    <xf numFmtId="2" fontId="16" fillId="8" borderId="1" xfId="3" applyNumberFormat="1" applyFont="1" applyFill="1" applyBorder="1" applyAlignment="1">
      <alignment horizontal="right"/>
    </xf>
    <xf numFmtId="2" fontId="17" fillId="8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7" fillId="11" borderId="1" xfId="3" applyNumberFormat="1" applyFont="1" applyFill="1" applyBorder="1" applyAlignment="1">
      <alignment horizontal="center"/>
    </xf>
    <xf numFmtId="0" fontId="16" fillId="11" borderId="1" xfId="3" applyFont="1" applyFill="1" applyBorder="1" applyAlignment="1">
      <alignment horizontal="center"/>
    </xf>
    <xf numFmtId="1" fontId="17" fillId="11" borderId="2" xfId="3" applyNumberFormat="1" applyFont="1" applyFill="1" applyBorder="1" applyAlignment="1">
      <alignment horizontal="center"/>
    </xf>
    <xf numFmtId="0" fontId="17" fillId="2" borderId="6" xfId="3" applyFont="1" applyFill="1" applyBorder="1" applyAlignment="1">
      <alignment horizontal="center"/>
    </xf>
    <xf numFmtId="2" fontId="17" fillId="8" borderId="2" xfId="3" applyNumberFormat="1" applyFont="1" applyFill="1" applyBorder="1" applyAlignment="1">
      <alignment horizontal="left" vertical="center"/>
    </xf>
    <xf numFmtId="2" fontId="17" fillId="8" borderId="3" xfId="3" applyNumberFormat="1" applyFont="1" applyFill="1" applyBorder="1" applyAlignment="1">
      <alignment horizontal="left" vertical="center"/>
    </xf>
    <xf numFmtId="2" fontId="17" fillId="8" borderId="4" xfId="3" applyNumberFormat="1" applyFont="1" applyFill="1" applyBorder="1" applyAlignment="1">
      <alignment horizontal="left" vertical="center"/>
    </xf>
    <xf numFmtId="1" fontId="17" fillId="8" borderId="1" xfId="3" applyNumberFormat="1" applyFont="1" applyFill="1" applyBorder="1" applyAlignment="1">
      <alignment horizontal="center" vertical="center"/>
    </xf>
    <xf numFmtId="0" fontId="16" fillId="0" borderId="1" xfId="4" applyFont="1" applyBorder="1"/>
    <xf numFmtId="0" fontId="16" fillId="2" borderId="1" xfId="3" applyFont="1" applyFill="1" applyBorder="1" applyAlignment="1">
      <alignment horizontal="center"/>
    </xf>
    <xf numFmtId="0" fontId="3" fillId="0" borderId="1" xfId="4" applyFont="1" applyBorder="1" applyAlignment="1">
      <alignment horizontal="center"/>
    </xf>
    <xf numFmtId="2" fontId="17" fillId="2" borderId="6" xfId="5" applyNumberFormat="1" applyFont="1" applyFill="1" applyBorder="1" applyAlignment="1" applyProtection="1">
      <alignment horizontal="center"/>
    </xf>
    <xf numFmtId="165" fontId="16" fillId="0" borderId="1" xfId="6" applyNumberFormat="1" applyFont="1" applyFill="1" applyBorder="1" applyAlignment="1"/>
    <xf numFmtId="165" fontId="17" fillId="2" borderId="6" xfId="6" applyNumberFormat="1" applyFont="1" applyFill="1" applyBorder="1" applyAlignment="1">
      <alignment horizontal="center"/>
    </xf>
    <xf numFmtId="1" fontId="16" fillId="8" borderId="1" xfId="5" applyNumberFormat="1" applyFont="1" applyFill="1" applyBorder="1" applyAlignment="1">
      <alignment horizontal="right"/>
    </xf>
    <xf numFmtId="43" fontId="16" fillId="8" borderId="1" xfId="7" applyFont="1" applyFill="1" applyBorder="1" applyAlignment="1">
      <alignment horizontal="right" wrapText="1"/>
    </xf>
    <xf numFmtId="164" fontId="17" fillId="2" borderId="6" xfId="5" applyNumberFormat="1" applyFont="1" applyFill="1" applyBorder="1" applyAlignment="1" applyProtection="1">
      <alignment horizontal="center"/>
    </xf>
    <xf numFmtId="0" fontId="17" fillId="0" borderId="1" xfId="4" applyFont="1" applyBorder="1"/>
    <xf numFmtId="164" fontId="16" fillId="12" borderId="1" xfId="5" applyNumberFormat="1" applyFont="1" applyFill="1" applyBorder="1" applyAlignment="1" applyProtection="1">
      <alignment horizontal="right"/>
    </xf>
    <xf numFmtId="0" fontId="20" fillId="0" borderId="1" xfId="4" applyFont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1" fontId="17" fillId="8" borderId="2" xfId="3" applyNumberFormat="1" applyFont="1" applyFill="1" applyBorder="1" applyAlignment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2" fontId="16" fillId="8" borderId="1" xfId="9" applyNumberFormat="1" applyFont="1" applyFill="1" applyBorder="1" applyAlignment="1">
      <alignment horizontal="right"/>
    </xf>
    <xf numFmtId="1" fontId="21" fillId="0" borderId="1" xfId="4" applyNumberFormat="1" applyFont="1" applyBorder="1" applyAlignment="1">
      <alignment horizontal="center"/>
    </xf>
    <xf numFmtId="1" fontId="21" fillId="8" borderId="1" xfId="3" applyNumberFormat="1" applyFont="1" applyFill="1" applyBorder="1" applyAlignment="1">
      <alignment horizontal="center" vertical="center"/>
    </xf>
    <xf numFmtId="0" fontId="18" fillId="10" borderId="1" xfId="3" applyFont="1" applyFill="1" applyBorder="1" applyAlignment="1"/>
    <xf numFmtId="0" fontId="18" fillId="10" borderId="2" xfId="3" applyFont="1" applyFill="1" applyBorder="1" applyAlignment="1"/>
    <xf numFmtId="0" fontId="18" fillId="10" borderId="3" xfId="3" applyFont="1" applyFill="1" applyBorder="1" applyAlignment="1"/>
    <xf numFmtId="0" fontId="17" fillId="10" borderId="3" xfId="3" applyFont="1" applyFill="1" applyBorder="1" applyAlignment="1"/>
    <xf numFmtId="1" fontId="17" fillId="10" borderId="1" xfId="3" applyNumberFormat="1" applyFont="1" applyFill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 vertical="top"/>
    </xf>
    <xf numFmtId="1" fontId="17" fillId="10" borderId="2" xfId="5" applyNumberFormat="1" applyFont="1" applyFill="1" applyBorder="1" applyAlignment="1" applyProtection="1">
      <alignment horizontal="center"/>
    </xf>
    <xf numFmtId="164" fontId="16" fillId="8" borderId="1" xfId="5" applyNumberFormat="1" applyFont="1" applyFill="1" applyBorder="1" applyAlignment="1" applyProtection="1">
      <alignment horizontal="center" vertical="top"/>
    </xf>
    <xf numFmtId="0" fontId="18" fillId="10" borderId="1" xfId="4" applyFont="1" applyFill="1" applyBorder="1"/>
    <xf numFmtId="0" fontId="17" fillId="10" borderId="1" xfId="4" applyFont="1" applyFill="1" applyBorder="1"/>
    <xf numFmtId="0" fontId="3" fillId="10" borderId="1" xfId="4" applyFont="1" applyFill="1" applyBorder="1" applyAlignment="1">
      <alignment horizontal="center"/>
    </xf>
    <xf numFmtId="1" fontId="17" fillId="10" borderId="1" xfId="5" applyNumberFormat="1" applyFont="1" applyFill="1" applyBorder="1" applyAlignment="1">
      <alignment horizontal="center" vertical="center"/>
    </xf>
    <xf numFmtId="0" fontId="3" fillId="0" borderId="1" xfId="4" applyFont="1" applyBorder="1" applyAlignment="1">
      <alignment horizontal="center" wrapText="1"/>
    </xf>
    <xf numFmtId="164" fontId="17" fillId="2" borderId="0" xfId="5" applyNumberFormat="1" applyFont="1" applyFill="1" applyBorder="1" applyAlignment="1" applyProtection="1">
      <alignment horizontal="center"/>
    </xf>
    <xf numFmtId="2" fontId="22" fillId="8" borderId="1" xfId="3" applyNumberFormat="1" applyFont="1" applyFill="1" applyBorder="1" applyAlignment="1">
      <alignment horizontal="right"/>
    </xf>
    <xf numFmtId="0" fontId="23" fillId="13" borderId="1" xfId="4" applyFont="1" applyFill="1" applyBorder="1"/>
    <xf numFmtId="0" fontId="24" fillId="0" borderId="0" xfId="0" applyFont="1"/>
    <xf numFmtId="10" fontId="16" fillId="9" borderId="1" xfId="3" applyNumberFormat="1" applyFont="1" applyFill="1" applyBorder="1" applyAlignment="1">
      <alignment horizontal="center"/>
    </xf>
    <xf numFmtId="0" fontId="25" fillId="2" borderId="6" xfId="3" applyFont="1" applyFill="1" applyBorder="1" applyAlignment="1">
      <alignment horizontal="center" vertical="center"/>
    </xf>
    <xf numFmtId="0" fontId="24" fillId="0" borderId="0" xfId="0" applyFont="1" applyBorder="1"/>
    <xf numFmtId="164" fontId="25" fillId="2" borderId="6" xfId="3" applyNumberFormat="1" applyFont="1" applyFill="1" applyBorder="1" applyAlignment="1">
      <alignment horizontal="center"/>
    </xf>
    <xf numFmtId="2" fontId="20" fillId="8" borderId="1" xfId="3" applyNumberFormat="1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/>
    </xf>
    <xf numFmtId="0" fontId="20" fillId="8" borderId="1" xfId="3" applyFont="1" applyFill="1" applyBorder="1" applyAlignment="1">
      <alignment horizontal="center" vertical="center"/>
    </xf>
    <xf numFmtId="1" fontId="27" fillId="11" borderId="1" xfId="3" applyNumberFormat="1" applyFont="1" applyFill="1" applyBorder="1" applyAlignment="1">
      <alignment horizontal="center"/>
    </xf>
    <xf numFmtId="1" fontId="23" fillId="11" borderId="2" xfId="3" applyNumberFormat="1" applyFont="1" applyFill="1" applyBorder="1" applyAlignment="1">
      <alignment horizontal="center"/>
    </xf>
    <xf numFmtId="1" fontId="27" fillId="8" borderId="1" xfId="5" applyNumberFormat="1" applyFont="1" applyFill="1" applyBorder="1" applyAlignment="1">
      <alignment horizontal="center" vertical="center"/>
    </xf>
    <xf numFmtId="164" fontId="20" fillId="8" borderId="1" xfId="5" applyNumberFormat="1" applyFont="1" applyFill="1" applyBorder="1" applyAlignment="1">
      <alignment horizontal="center" vertical="center"/>
    </xf>
    <xf numFmtId="0" fontId="27" fillId="11" borderId="1" xfId="3" applyFont="1" applyFill="1" applyBorder="1" applyAlignment="1">
      <alignment horizontal="center" vertical="center"/>
    </xf>
    <xf numFmtId="1" fontId="16" fillId="12" borderId="1" xfId="5" applyNumberFormat="1" applyFont="1" applyFill="1" applyBorder="1" applyAlignment="1" applyProtection="1">
      <alignment horizontal="center"/>
    </xf>
    <xf numFmtId="0" fontId="27" fillId="11" borderId="1" xfId="3" applyFont="1" applyFill="1" applyBorder="1" applyAlignment="1">
      <alignment horizontal="center"/>
    </xf>
    <xf numFmtId="1" fontId="27" fillId="8" borderId="1" xfId="3" applyNumberFormat="1" applyFont="1" applyFill="1" applyBorder="1" applyAlignment="1">
      <alignment horizontal="center"/>
    </xf>
    <xf numFmtId="165" fontId="27" fillId="8" borderId="1" xfId="6" applyNumberFormat="1" applyFont="1" applyFill="1" applyBorder="1" applyAlignment="1">
      <alignment horizontal="center"/>
    </xf>
    <xf numFmtId="164" fontId="27" fillId="8" borderId="1" xfId="3" applyNumberFormat="1" applyFont="1" applyFill="1" applyBorder="1" applyAlignment="1">
      <alignment horizontal="center"/>
    </xf>
    <xf numFmtId="2" fontId="27" fillId="8" borderId="1" xfId="3" applyNumberFormat="1" applyFont="1" applyFill="1" applyBorder="1" applyAlignment="1">
      <alignment horizontal="center"/>
    </xf>
    <xf numFmtId="0" fontId="17" fillId="8" borderId="7" xfId="3" applyFont="1" applyFill="1" applyBorder="1" applyAlignment="1">
      <alignment horizontal="center"/>
    </xf>
    <xf numFmtId="0" fontId="3" fillId="0" borderId="7" xfId="4" applyFont="1" applyBorder="1" applyAlignment="1">
      <alignment horizontal="center"/>
    </xf>
    <xf numFmtId="1" fontId="27" fillId="8" borderId="7" xfId="5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 applyProtection="1">
      <alignment horizontal="center"/>
    </xf>
    <xf numFmtId="0" fontId="17" fillId="8" borderId="8" xfId="3" applyFont="1" applyFill="1" applyBorder="1" applyAlignment="1">
      <alignment horizontal="center"/>
    </xf>
    <xf numFmtId="0" fontId="16" fillId="0" borderId="8" xfId="4" applyFont="1" applyBorder="1" applyAlignment="1">
      <alignment horizontal="center"/>
    </xf>
    <xf numFmtId="1" fontId="17" fillId="8" borderId="8" xfId="5" applyNumberFormat="1" applyFont="1" applyFill="1" applyBorder="1" applyAlignment="1">
      <alignment horizontal="center" vertical="center"/>
    </xf>
    <xf numFmtId="43" fontId="16" fillId="8" borderId="8" xfId="7" applyFont="1" applyFill="1" applyBorder="1" applyAlignment="1">
      <alignment horizontal="right" wrapText="1"/>
    </xf>
    <xf numFmtId="1" fontId="17" fillId="8" borderId="12" xfId="5" applyNumberFormat="1" applyFont="1" applyFill="1" applyBorder="1" applyAlignment="1" applyProtection="1">
      <alignment horizontal="center"/>
    </xf>
    <xf numFmtId="1" fontId="20" fillId="8" borderId="1" xfId="5" applyNumberFormat="1" applyFont="1" applyFill="1" applyBorder="1" applyAlignment="1">
      <alignment horizontal="center" vertical="center"/>
    </xf>
    <xf numFmtId="0" fontId="22" fillId="11" borderId="1" xfId="3" applyFont="1" applyFill="1" applyBorder="1" applyAlignment="1">
      <alignment horizontal="center" vertical="center"/>
    </xf>
    <xf numFmtId="44" fontId="21" fillId="8" borderId="1" xfId="8" applyFont="1" applyFill="1" applyBorder="1" applyAlignment="1">
      <alignment horizontal="center"/>
    </xf>
    <xf numFmtId="1" fontId="22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168" fontId="27" fillId="8" borderId="1" xfId="5" applyNumberFormat="1" applyFont="1" applyFill="1" applyBorder="1" applyAlignment="1" applyProtection="1">
      <alignment vertical="center"/>
    </xf>
    <xf numFmtId="164" fontId="22" fillId="8" borderId="1" xfId="5" applyNumberFormat="1" applyFont="1" applyFill="1" applyBorder="1" applyAlignment="1" applyProtection="1">
      <alignment horizontal="center"/>
    </xf>
    <xf numFmtId="0" fontId="20" fillId="2" borderId="1" xfId="3" applyFont="1" applyFill="1" applyBorder="1" applyAlignment="1">
      <alignment horizontal="center"/>
    </xf>
    <xf numFmtId="169" fontId="20" fillId="8" borderId="1" xfId="5" applyNumberFormat="1" applyFont="1" applyFill="1" applyBorder="1" applyAlignment="1" applyProtection="1">
      <alignment vertical="center"/>
    </xf>
    <xf numFmtId="1" fontId="28" fillId="2" borderId="1" xfId="3" applyNumberFormat="1" applyFont="1" applyFill="1" applyBorder="1" applyAlignment="1">
      <alignment horizontal="center" vertical="top"/>
    </xf>
    <xf numFmtId="0" fontId="16" fillId="10" borderId="1" xfId="3" applyFont="1" applyFill="1" applyBorder="1" applyAlignment="1"/>
    <xf numFmtId="0" fontId="30" fillId="0" borderId="0" xfId="4" applyFont="1"/>
    <xf numFmtId="0" fontId="22" fillId="13" borderId="1" xfId="0" applyFont="1" applyFill="1" applyBorder="1"/>
    <xf numFmtId="1" fontId="24" fillId="0" borderId="0" xfId="0" applyNumberFormat="1" applyFont="1" applyAlignment="1">
      <alignment horizontal="center"/>
    </xf>
    <xf numFmtId="1" fontId="24" fillId="0" borderId="0" xfId="0" applyNumberFormat="1" applyFont="1"/>
    <xf numFmtId="1" fontId="17" fillId="8" borderId="1" xfId="5" applyNumberFormat="1" applyFont="1" applyFill="1" applyBorder="1" applyAlignment="1" applyProtection="1">
      <alignment horizontal="center"/>
    </xf>
    <xf numFmtId="0" fontId="16" fillId="2" borderId="1" xfId="3" applyNumberFormat="1" applyFont="1" applyFill="1" applyBorder="1" applyAlignment="1">
      <alignment horizontal="center"/>
    </xf>
    <xf numFmtId="2" fontId="16" fillId="8" borderId="7" xfId="3" applyNumberFormat="1" applyFont="1" applyFill="1" applyBorder="1" applyAlignment="1">
      <alignment horizontal="center"/>
    </xf>
    <xf numFmtId="1" fontId="17" fillId="8" borderId="7" xfId="3" applyNumberFormat="1" applyFont="1" applyFill="1" applyBorder="1" applyAlignment="1">
      <alignment horizontal="center"/>
    </xf>
    <xf numFmtId="2" fontId="16" fillId="8" borderId="8" xfId="3" applyNumberFormat="1" applyFont="1" applyFill="1" applyBorder="1" applyAlignment="1">
      <alignment horizontal="center"/>
    </xf>
    <xf numFmtId="1" fontId="17" fillId="8" borderId="8" xfId="3" applyNumberFormat="1" applyFont="1" applyFill="1" applyBorder="1" applyAlignment="1">
      <alignment horizontal="center"/>
    </xf>
    <xf numFmtId="2" fontId="16" fillId="8" borderId="1" xfId="3" applyNumberFormat="1" applyFont="1" applyFill="1" applyBorder="1" applyAlignment="1">
      <alignment horizontal="center" vertical="center"/>
    </xf>
    <xf numFmtId="0" fontId="21" fillId="2" borderId="2" xfId="3" applyFont="1" applyFill="1" applyBorder="1" applyAlignment="1">
      <alignment horizontal="center"/>
    </xf>
    <xf numFmtId="0" fontId="21" fillId="2" borderId="3" xfId="3" applyFont="1" applyFill="1" applyBorder="1" applyAlignment="1">
      <alignment horizontal="center"/>
    </xf>
    <xf numFmtId="0" fontId="21" fillId="2" borderId="4" xfId="3" applyFont="1" applyFill="1" applyBorder="1" applyAlignment="1">
      <alignment horizontal="center"/>
    </xf>
    <xf numFmtId="0" fontId="21" fillId="13" borderId="2" xfId="3" applyFont="1" applyFill="1" applyBorder="1" applyAlignment="1">
      <alignment horizontal="center"/>
    </xf>
    <xf numFmtId="0" fontId="21" fillId="13" borderId="3" xfId="3" applyFont="1" applyFill="1" applyBorder="1" applyAlignment="1">
      <alignment horizontal="center"/>
    </xf>
    <xf numFmtId="0" fontId="21" fillId="13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 vertical="center"/>
    </xf>
    <xf numFmtId="0" fontId="17" fillId="13" borderId="3" xfId="3" applyFont="1" applyFill="1" applyBorder="1" applyAlignment="1">
      <alignment horizontal="center" vertical="center"/>
    </xf>
    <xf numFmtId="0" fontId="17" fillId="13" borderId="4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 vertical="center"/>
    </xf>
    <xf numFmtId="0" fontId="17" fillId="10" borderId="1" xfId="3" applyFont="1" applyFill="1" applyBorder="1" applyAlignment="1">
      <alignment horizontal="center"/>
    </xf>
    <xf numFmtId="0" fontId="17" fillId="8" borderId="3" xfId="3" applyFont="1" applyFill="1" applyBorder="1" applyAlignment="1">
      <alignment horizontal="left" vertical="justify"/>
    </xf>
    <xf numFmtId="0" fontId="17" fillId="8" borderId="4" xfId="3" applyFont="1" applyFill="1" applyBorder="1" applyAlignment="1">
      <alignment horizontal="left" vertical="justify"/>
    </xf>
    <xf numFmtId="0" fontId="17" fillId="10" borderId="2" xfId="3" applyFont="1" applyFill="1" applyBorder="1" applyAlignment="1">
      <alignment horizontal="center"/>
    </xf>
    <xf numFmtId="0" fontId="17" fillId="10" borderId="3" xfId="3" applyFont="1" applyFill="1" applyBorder="1" applyAlignment="1">
      <alignment horizontal="center"/>
    </xf>
    <xf numFmtId="0" fontId="17" fillId="10" borderId="4" xfId="3" applyFont="1" applyFill="1" applyBorder="1" applyAlignment="1">
      <alignment horizontal="center"/>
    </xf>
    <xf numFmtId="0" fontId="17" fillId="13" borderId="2" xfId="3" applyFont="1" applyFill="1" applyBorder="1" applyAlignment="1">
      <alignment horizontal="center"/>
    </xf>
    <xf numFmtId="0" fontId="17" fillId="13" borderId="3" xfId="3" applyFont="1" applyFill="1" applyBorder="1" applyAlignment="1">
      <alignment horizontal="center"/>
    </xf>
    <xf numFmtId="0" fontId="17" fillId="13" borderId="4" xfId="3" applyFont="1" applyFill="1" applyBorder="1" applyAlignment="1">
      <alignment horizontal="center"/>
    </xf>
    <xf numFmtId="0" fontId="17" fillId="8" borderId="9" xfId="3" applyFont="1" applyFill="1" applyBorder="1" applyAlignment="1">
      <alignment horizontal="left"/>
    </xf>
    <xf numFmtId="0" fontId="17" fillId="8" borderId="10" xfId="3" applyFont="1" applyFill="1" applyBorder="1" applyAlignment="1">
      <alignment horizontal="left"/>
    </xf>
    <xf numFmtId="0" fontId="17" fillId="8" borderId="11" xfId="3" applyFont="1" applyFill="1" applyBorder="1" applyAlignment="1">
      <alignment horizontal="left"/>
    </xf>
    <xf numFmtId="0" fontId="17" fillId="8" borderId="12" xfId="3" applyFont="1" applyFill="1" applyBorder="1" applyAlignment="1">
      <alignment horizontal="left"/>
    </xf>
    <xf numFmtId="0" fontId="17" fillId="8" borderId="5" xfId="3" applyFont="1" applyFill="1" applyBorder="1" applyAlignment="1">
      <alignment horizontal="left"/>
    </xf>
    <xf numFmtId="0" fontId="17" fillId="8" borderId="13" xfId="3" applyFont="1" applyFill="1" applyBorder="1" applyAlignment="1">
      <alignment horizontal="left"/>
    </xf>
    <xf numFmtId="0" fontId="16" fillId="9" borderId="3" xfId="3" applyFont="1" applyFill="1" applyBorder="1" applyAlignment="1">
      <alignment horizontal="center"/>
    </xf>
    <xf numFmtId="0" fontId="17" fillId="8" borderId="1" xfId="3" applyFont="1" applyFill="1" applyBorder="1" applyAlignment="1">
      <alignment horizontal="left" vertical="center"/>
    </xf>
    <xf numFmtId="0" fontId="16" fillId="9" borderId="1" xfId="3" applyFont="1" applyFill="1" applyBorder="1" applyAlignment="1">
      <alignment horizontal="center" vertical="center"/>
    </xf>
    <xf numFmtId="0" fontId="17" fillId="8" borderId="2" xfId="3" applyFont="1" applyFill="1" applyBorder="1" applyAlignment="1">
      <alignment horizontal="left" vertical="center"/>
    </xf>
    <xf numFmtId="0" fontId="17" fillId="8" borderId="3" xfId="3" applyFont="1" applyFill="1" applyBorder="1" applyAlignment="1">
      <alignment horizontal="left" vertical="center"/>
    </xf>
    <xf numFmtId="0" fontId="17" fillId="8" borderId="4" xfId="3" applyFont="1" applyFill="1" applyBorder="1" applyAlignment="1">
      <alignment horizontal="left" vertical="center"/>
    </xf>
    <xf numFmtId="170" fontId="17" fillId="9" borderId="1" xfId="3" applyNumberFormat="1" applyFont="1" applyFill="1" applyBorder="1" applyAlignment="1">
      <alignment horizontal="center"/>
    </xf>
    <xf numFmtId="0" fontId="3" fillId="2" borderId="1" xfId="4" applyFont="1" applyFill="1" applyBorder="1" applyAlignment="1">
      <alignment horizontal="center"/>
    </xf>
    <xf numFmtId="0" fontId="17" fillId="8" borderId="1" xfId="3" applyFont="1" applyFill="1" applyBorder="1" applyAlignment="1">
      <alignment horizontal="left"/>
    </xf>
    <xf numFmtId="1" fontId="17" fillId="8" borderId="1" xfId="5" applyNumberFormat="1" applyFont="1" applyFill="1" applyBorder="1" applyAlignment="1" applyProtection="1">
      <alignment horizontal="center" vertical="center"/>
    </xf>
    <xf numFmtId="1" fontId="23" fillId="10" borderId="1" xfId="5" applyNumberFormat="1" applyFont="1" applyFill="1" applyBorder="1" applyAlignment="1" applyProtection="1">
      <alignment horizontal="center"/>
    </xf>
    <xf numFmtId="164" fontId="16" fillId="2" borderId="1" xfId="5" applyNumberFormat="1" applyFont="1" applyFill="1" applyBorder="1" applyAlignment="1" applyProtection="1">
      <alignment horizontal="center" vertical="top"/>
    </xf>
    <xf numFmtId="164" fontId="16" fillId="2" borderId="1" xfId="5" applyNumberFormat="1" applyFont="1" applyFill="1" applyBorder="1" applyAlignment="1" applyProtection="1">
      <alignment horizontal="center" vertical="center"/>
    </xf>
    <xf numFmtId="1" fontId="17" fillId="2" borderId="1" xfId="3" applyNumberFormat="1" applyFont="1" applyFill="1" applyBorder="1" applyAlignment="1">
      <alignment horizontal="center" vertical="center"/>
    </xf>
    <xf numFmtId="1" fontId="17" fillId="8" borderId="7" xfId="5" applyNumberFormat="1" applyFont="1" applyFill="1" applyBorder="1" applyAlignment="1">
      <alignment horizontal="center" vertical="center"/>
    </xf>
    <xf numFmtId="1" fontId="17" fillId="8" borderId="15" xfId="5" applyNumberFormat="1" applyFont="1" applyFill="1" applyBorder="1" applyAlignment="1" applyProtection="1">
      <alignment horizontal="center" vertical="center"/>
    </xf>
    <xf numFmtId="1" fontId="17" fillId="2" borderId="1" xfId="5" applyNumberFormat="1" applyFont="1" applyFill="1" applyBorder="1" applyAlignment="1">
      <alignment horizontal="center" vertical="center"/>
    </xf>
    <xf numFmtId="1" fontId="17" fillId="2" borderId="1" xfId="3" applyNumberFormat="1" applyFont="1" applyFill="1" applyBorder="1" applyAlignment="1">
      <alignment horizontal="center"/>
    </xf>
    <xf numFmtId="0" fontId="17" fillId="2" borderId="1" xfId="4" applyFont="1" applyFill="1" applyBorder="1" applyAlignment="1">
      <alignment horizontal="center"/>
    </xf>
    <xf numFmtId="0" fontId="17" fillId="2" borderId="1" xfId="3" applyFont="1" applyFill="1" applyBorder="1" applyAlignment="1">
      <alignment horizontal="center" vertical="center"/>
    </xf>
    <xf numFmtId="0" fontId="17" fillId="0" borderId="1" xfId="4" applyFont="1" applyBorder="1" applyAlignment="1">
      <alignment horizontal="center"/>
    </xf>
    <xf numFmtId="164" fontId="16" fillId="10" borderId="1" xfId="5" applyNumberFormat="1" applyFont="1" applyFill="1" applyBorder="1" applyAlignment="1" applyProtection="1">
      <alignment horizontal="center"/>
    </xf>
    <xf numFmtId="0" fontId="16" fillId="0" borderId="1" xfId="4" applyFont="1" applyBorder="1" applyAlignment="1">
      <alignment horizontal="center" vertical="center"/>
    </xf>
    <xf numFmtId="0" fontId="16" fillId="2" borderId="1" xfId="4" applyFont="1" applyFill="1" applyBorder="1" applyAlignment="1">
      <alignment horizontal="center"/>
    </xf>
    <xf numFmtId="1" fontId="0" fillId="0" borderId="0" xfId="0" applyNumberFormat="1"/>
    <xf numFmtId="0" fontId="17" fillId="9" borderId="1" xfId="3" applyFont="1" applyFill="1" applyBorder="1" applyAlignment="1">
      <alignment horizontal="right" vertical="center"/>
    </xf>
    <xf numFmtId="9" fontId="17" fillId="9" borderId="1" xfId="4" applyNumberFormat="1" applyFont="1" applyFill="1" applyBorder="1"/>
    <xf numFmtId="0" fontId="18" fillId="8" borderId="9" xfId="3" applyFont="1" applyFill="1" applyBorder="1" applyAlignment="1">
      <alignment horizontal="center" vertical="center"/>
    </xf>
    <xf numFmtId="0" fontId="18" fillId="8" borderId="10" xfId="3" applyFont="1" applyFill="1" applyBorder="1" applyAlignment="1">
      <alignment horizontal="center" vertical="center"/>
    </xf>
    <xf numFmtId="0" fontId="18" fillId="8" borderId="11" xfId="3" applyFont="1" applyFill="1" applyBorder="1" applyAlignment="1">
      <alignment horizontal="center" vertical="center"/>
    </xf>
    <xf numFmtId="0" fontId="17" fillId="8" borderId="7" xfId="3" applyFont="1" applyFill="1" applyBorder="1" applyAlignment="1">
      <alignment horizontal="center" vertical="center"/>
    </xf>
    <xf numFmtId="2" fontId="18" fillId="2" borderId="7" xfId="3" applyNumberFormat="1" applyFont="1" applyFill="1" applyBorder="1" applyAlignment="1">
      <alignment horizontal="center" vertical="center"/>
    </xf>
    <xf numFmtId="164" fontId="18" fillId="8" borderId="7" xfId="3" applyNumberFormat="1" applyFont="1" applyFill="1" applyBorder="1" applyAlignment="1">
      <alignment horizontal="center" wrapText="1" shrinkToFit="1"/>
    </xf>
    <xf numFmtId="2" fontId="26" fillId="8" borderId="7" xfId="3" applyNumberFormat="1" applyFont="1" applyFill="1" applyBorder="1" applyAlignment="1">
      <alignment horizontal="right" vertical="center"/>
    </xf>
    <xf numFmtId="1" fontId="26" fillId="8" borderId="7" xfId="3" applyNumberFormat="1" applyFont="1" applyFill="1" applyBorder="1" applyAlignment="1">
      <alignment horizontal="center" vertical="center"/>
    </xf>
    <xf numFmtId="0" fontId="17" fillId="2" borderId="2" xfId="3" applyFont="1" applyFill="1" applyBorder="1" applyAlignment="1">
      <alignment horizontal="left" vertical="center"/>
    </xf>
    <xf numFmtId="0" fontId="17" fillId="2" borderId="3" xfId="3" applyFont="1" applyFill="1" applyBorder="1" applyAlignment="1">
      <alignment horizontal="left" vertical="center"/>
    </xf>
    <xf numFmtId="0" fontId="17" fillId="2" borderId="4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center"/>
    </xf>
    <xf numFmtId="1" fontId="17" fillId="2" borderId="2" xfId="5" applyNumberFormat="1" applyFont="1" applyFill="1" applyBorder="1" applyAlignment="1" applyProtection="1">
      <alignment horizontal="center"/>
    </xf>
    <xf numFmtId="0" fontId="17" fillId="10" borderId="3" xfId="3" applyFont="1" applyFill="1" applyBorder="1" applyAlignment="1">
      <alignment vertical="center"/>
    </xf>
    <xf numFmtId="0" fontId="17" fillId="10" borderId="4" xfId="3" applyFont="1" applyFill="1" applyBorder="1" applyAlignment="1">
      <alignment vertical="center"/>
    </xf>
    <xf numFmtId="0" fontId="2" fillId="0" borderId="1" xfId="1" applyFont="1" applyBorder="1" applyAlignment="1">
      <alignment vertical="center" wrapText="1"/>
    </xf>
    <xf numFmtId="0" fontId="6" fillId="14" borderId="1" xfId="1" applyFont="1" applyFill="1" applyBorder="1" applyAlignment="1">
      <alignment horizontal="center" vertical="center" wrapText="1"/>
    </xf>
    <xf numFmtId="0" fontId="11" fillId="14" borderId="1" xfId="1" applyFont="1" applyFill="1" applyBorder="1" applyAlignment="1">
      <alignment vertical="top" wrapText="1"/>
    </xf>
    <xf numFmtId="1" fontId="2" fillId="14" borderId="0" xfId="1" applyNumberFormat="1" applyFont="1" applyFill="1"/>
    <xf numFmtId="0" fontId="0" fillId="14" borderId="0" xfId="0" applyFill="1"/>
    <xf numFmtId="0" fontId="5" fillId="14" borderId="1" xfId="1" applyFont="1" applyFill="1" applyBorder="1" applyAlignment="1">
      <alignment horizontal="center" vertical="center" wrapText="1"/>
    </xf>
    <xf numFmtId="1" fontId="11" fillId="14" borderId="1" xfId="1" applyNumberFormat="1" applyFont="1" applyFill="1" applyBorder="1" applyAlignment="1">
      <alignment vertical="top" wrapText="1"/>
    </xf>
    <xf numFmtId="0" fontId="11" fillId="14" borderId="1" xfId="1" applyFont="1" applyFill="1" applyBorder="1" applyAlignment="1">
      <alignment horizontal="center"/>
    </xf>
    <xf numFmtId="164" fontId="11" fillId="14" borderId="1" xfId="1" applyNumberFormat="1" applyFont="1" applyFill="1" applyBorder="1" applyAlignment="1">
      <alignment horizontal="center"/>
    </xf>
    <xf numFmtId="2" fontId="11" fillId="14" borderId="1" xfId="1" applyNumberFormat="1" applyFont="1" applyFill="1" applyBorder="1" applyAlignment="1">
      <alignment vertical="top" wrapText="1"/>
    </xf>
    <xf numFmtId="1" fontId="11" fillId="14" borderId="1" xfId="1" applyNumberFormat="1" applyFont="1" applyFill="1" applyBorder="1" applyAlignment="1">
      <alignment horizontal="center" vertical="top" wrapText="1"/>
    </xf>
    <xf numFmtId="0" fontId="17" fillId="0" borderId="2" xfId="4" applyFont="1" applyBorder="1" applyAlignment="1">
      <alignment vertical="center"/>
    </xf>
    <xf numFmtId="0" fontId="17" fillId="0" borderId="3" xfId="4" applyFont="1" applyBorder="1" applyAlignment="1">
      <alignment vertical="center"/>
    </xf>
    <xf numFmtId="0" fontId="17" fillId="0" borderId="4" xfId="4" applyFont="1" applyBorder="1" applyAlignment="1">
      <alignment vertical="center"/>
    </xf>
    <xf numFmtId="0" fontId="17" fillId="8" borderId="12" xfId="3" applyFont="1" applyFill="1" applyBorder="1" applyAlignment="1">
      <alignment horizontal="left" vertical="center"/>
    </xf>
    <xf numFmtId="0" fontId="17" fillId="8" borderId="5" xfId="3" applyFont="1" applyFill="1" applyBorder="1" applyAlignment="1">
      <alignment horizontal="left" vertical="center"/>
    </xf>
    <xf numFmtId="0" fontId="17" fillId="8" borderId="13" xfId="3" applyFont="1" applyFill="1" applyBorder="1" applyAlignment="1">
      <alignment horizontal="left" vertical="center"/>
    </xf>
    <xf numFmtId="0" fontId="16" fillId="2" borderId="8" xfId="3" applyNumberFormat="1" applyFont="1" applyFill="1" applyBorder="1" applyAlignment="1">
      <alignment horizontal="center"/>
    </xf>
    <xf numFmtId="0" fontId="17" fillId="8" borderId="9" xfId="3" applyFont="1" applyFill="1" applyBorder="1" applyAlignment="1">
      <alignment horizontal="left" vertical="center"/>
    </xf>
    <xf numFmtId="0" fontId="17" fillId="8" borderId="10" xfId="3" applyFont="1" applyFill="1" applyBorder="1" applyAlignment="1">
      <alignment horizontal="left" vertical="center"/>
    </xf>
    <xf numFmtId="0" fontId="17" fillId="8" borderId="11" xfId="3" applyFont="1" applyFill="1" applyBorder="1" applyAlignment="1">
      <alignment horizontal="left" vertical="center"/>
    </xf>
    <xf numFmtId="0" fontId="16" fillId="2" borderId="7" xfId="3" applyNumberFormat="1" applyFont="1" applyFill="1" applyBorder="1" applyAlignment="1">
      <alignment horizontal="center"/>
    </xf>
    <xf numFmtId="1" fontId="17" fillId="2" borderId="8" xfId="3" applyNumberFormat="1" applyFont="1" applyFill="1" applyBorder="1" applyAlignment="1">
      <alignment horizontal="center"/>
    </xf>
    <xf numFmtId="2" fontId="16" fillId="2" borderId="8" xfId="3" applyNumberFormat="1" applyFont="1" applyFill="1" applyBorder="1" applyAlignment="1">
      <alignment horizontal="right"/>
    </xf>
    <xf numFmtId="9" fontId="11" fillId="2" borderId="1" xfId="1" applyNumberFormat="1" applyFont="1" applyFill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2" fontId="11" fillId="0" borderId="2" xfId="1" applyNumberFormat="1" applyFont="1" applyBorder="1" applyAlignment="1"/>
    <xf numFmtId="0" fontId="8" fillId="0" borderId="21" xfId="1" applyFont="1" applyFill="1" applyBorder="1" applyAlignment="1">
      <alignment vertical="top" wrapText="1"/>
    </xf>
    <xf numFmtId="0" fontId="8" fillId="0" borderId="15" xfId="1" applyFont="1" applyFill="1" applyBorder="1" applyAlignment="1">
      <alignment vertical="top" wrapText="1"/>
    </xf>
    <xf numFmtId="1" fontId="11" fillId="2" borderId="21" xfId="1" applyNumberFormat="1" applyFont="1" applyFill="1" applyBorder="1" applyAlignment="1">
      <alignment vertical="center" wrapText="1"/>
    </xf>
    <xf numFmtId="1" fontId="11" fillId="2" borderId="15" xfId="1" applyNumberFormat="1" applyFont="1" applyFill="1" applyBorder="1" applyAlignment="1">
      <alignment vertical="center" wrapText="1"/>
    </xf>
    <xf numFmtId="2" fontId="33" fillId="8" borderId="1" xfId="3" applyNumberFormat="1" applyFont="1" applyFill="1" applyBorder="1" applyAlignment="1">
      <alignment horizontal="center"/>
    </xf>
    <xf numFmtId="0" fontId="33" fillId="0" borderId="1" xfId="4" applyFont="1" applyBorder="1" applyAlignment="1">
      <alignment horizontal="center"/>
    </xf>
    <xf numFmtId="2" fontId="34" fillId="8" borderId="1" xfId="3" applyNumberFormat="1" applyFont="1" applyFill="1" applyBorder="1" applyAlignment="1">
      <alignment horizontal="center"/>
    </xf>
    <xf numFmtId="0" fontId="35" fillId="0" borderId="7" xfId="4" applyFont="1" applyBorder="1" applyAlignment="1">
      <alignment horizontal="center"/>
    </xf>
    <xf numFmtId="0" fontId="35" fillId="0" borderId="1" xfId="4" applyFont="1" applyBorder="1" applyAlignment="1">
      <alignment horizontal="center"/>
    </xf>
    <xf numFmtId="0" fontId="34" fillId="8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center" vertical="center"/>
    </xf>
    <xf numFmtId="1" fontId="34" fillId="2" borderId="1" xfId="3" applyNumberFormat="1" applyFont="1" applyFill="1" applyBorder="1" applyAlignment="1">
      <alignment horizontal="center" vertical="center"/>
    </xf>
    <xf numFmtId="0" fontId="35" fillId="0" borderId="1" xfId="4" applyFont="1" applyBorder="1" applyAlignment="1">
      <alignment horizontal="center" wrapText="1"/>
    </xf>
    <xf numFmtId="0" fontId="35" fillId="2" borderId="1" xfId="4" applyFont="1" applyFill="1" applyBorder="1" applyAlignment="1">
      <alignment horizontal="center"/>
    </xf>
    <xf numFmtId="0" fontId="34" fillId="2" borderId="1" xfId="3" applyFont="1" applyFill="1" applyBorder="1" applyAlignment="1">
      <alignment horizontal="center" vertical="center"/>
    </xf>
    <xf numFmtId="0" fontId="34" fillId="2" borderId="1" xfId="3" applyFont="1" applyFill="1" applyBorder="1" applyAlignment="1">
      <alignment horizontal="center"/>
    </xf>
    <xf numFmtId="0" fontId="33" fillId="0" borderId="8" xfId="4" applyFont="1" applyBorder="1" applyAlignment="1">
      <alignment horizontal="center"/>
    </xf>
    <xf numFmtId="0" fontId="33" fillId="2" borderId="1" xfId="3" applyNumberFormat="1" applyFont="1" applyFill="1" applyBorder="1" applyAlignment="1">
      <alignment horizontal="center"/>
    </xf>
    <xf numFmtId="1" fontId="34" fillId="8" borderId="1" xfId="3" applyNumberFormat="1" applyFont="1" applyFill="1" applyBorder="1" applyAlignment="1">
      <alignment horizontal="center"/>
    </xf>
    <xf numFmtId="1" fontId="33" fillId="12" borderId="1" xfId="3" applyNumberFormat="1" applyFont="1" applyFill="1" applyBorder="1" applyAlignment="1">
      <alignment horizontal="center"/>
    </xf>
    <xf numFmtId="1" fontId="34" fillId="8" borderId="1" xfId="5" applyNumberFormat="1" applyFont="1" applyFill="1" applyBorder="1" applyAlignment="1">
      <alignment horizontal="center" vertical="center"/>
    </xf>
    <xf numFmtId="9" fontId="34" fillId="8" borderId="1" xfId="6" applyNumberFormat="1" applyFont="1" applyFill="1" applyBorder="1" applyAlignment="1">
      <alignment horizontal="center"/>
    </xf>
    <xf numFmtId="0" fontId="37" fillId="0" borderId="0" xfId="0" applyFont="1"/>
    <xf numFmtId="166" fontId="38" fillId="9" borderId="2" xfId="3" applyNumberFormat="1" applyFont="1" applyFill="1" applyBorder="1" applyAlignment="1">
      <alignment horizontal="left"/>
    </xf>
    <xf numFmtId="170" fontId="34" fillId="9" borderId="1" xfId="3" applyNumberFormat="1" applyFont="1" applyFill="1" applyBorder="1" applyAlignment="1">
      <alignment horizontal="center"/>
    </xf>
    <xf numFmtId="9" fontId="34" fillId="9" borderId="1" xfId="4" applyNumberFormat="1" applyFont="1" applyFill="1" applyBorder="1"/>
    <xf numFmtId="0" fontId="33" fillId="9" borderId="1" xfId="3" applyFont="1" applyFill="1" applyBorder="1" applyAlignment="1">
      <alignment horizontal="center" vertical="center"/>
    </xf>
    <xf numFmtId="1" fontId="33" fillId="9" borderId="1" xfId="3" applyNumberFormat="1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left"/>
    </xf>
    <xf numFmtId="0" fontId="33" fillId="9" borderId="1" xfId="3" applyFont="1" applyFill="1" applyBorder="1" applyAlignment="1">
      <alignment horizontal="left"/>
    </xf>
    <xf numFmtId="10" fontId="33" fillId="9" borderId="1" xfId="3" applyNumberFormat="1" applyFont="1" applyFill="1" applyBorder="1" applyAlignment="1">
      <alignment horizontal="center"/>
    </xf>
    <xf numFmtId="1" fontId="33" fillId="9" borderId="1" xfId="3" applyNumberFormat="1" applyFont="1" applyFill="1" applyBorder="1" applyAlignment="1">
      <alignment horizontal="center"/>
    </xf>
    <xf numFmtId="0" fontId="39" fillId="2" borderId="6" xfId="3" applyFont="1" applyFill="1" applyBorder="1" applyAlignment="1">
      <alignment horizontal="center" vertical="center"/>
    </xf>
    <xf numFmtId="0" fontId="37" fillId="0" borderId="0" xfId="0" applyFont="1" applyBorder="1"/>
    <xf numFmtId="0" fontId="34" fillId="9" borderId="1" xfId="3" applyFont="1" applyFill="1" applyBorder="1"/>
    <xf numFmtId="2" fontId="34" fillId="9" borderId="1" xfId="3" applyNumberFormat="1" applyFont="1" applyFill="1" applyBorder="1" applyAlignment="1">
      <alignment horizontal="center"/>
    </xf>
    <xf numFmtId="9" fontId="33" fillId="9" borderId="1" xfId="3" applyNumberFormat="1" applyFont="1" applyFill="1" applyBorder="1" applyAlignment="1">
      <alignment horizontal="center"/>
    </xf>
    <xf numFmtId="164" fontId="39" fillId="2" borderId="6" xfId="3" applyNumberFormat="1" applyFont="1" applyFill="1" applyBorder="1" applyAlignment="1">
      <alignment horizontal="center"/>
    </xf>
    <xf numFmtId="0" fontId="38" fillId="8" borderId="9" xfId="3" applyFont="1" applyFill="1" applyBorder="1" applyAlignment="1">
      <alignment horizontal="center" vertical="center"/>
    </xf>
    <xf numFmtId="0" fontId="38" fillId="8" borderId="10" xfId="3" applyFont="1" applyFill="1" applyBorder="1" applyAlignment="1">
      <alignment horizontal="center" vertical="center"/>
    </xf>
    <xf numFmtId="0" fontId="38" fillId="8" borderId="11" xfId="3" applyFont="1" applyFill="1" applyBorder="1" applyAlignment="1">
      <alignment horizontal="center" vertical="center"/>
    </xf>
    <xf numFmtId="0" fontId="34" fillId="8" borderId="7" xfId="3" applyFont="1" applyFill="1" applyBorder="1" applyAlignment="1">
      <alignment horizontal="center" vertical="center"/>
    </xf>
    <xf numFmtId="2" fontId="38" fillId="2" borderId="7" xfId="3" applyNumberFormat="1" applyFont="1" applyFill="1" applyBorder="1" applyAlignment="1">
      <alignment horizontal="center" vertical="center"/>
    </xf>
    <xf numFmtId="164" fontId="38" fillId="8" borderId="7" xfId="3" applyNumberFormat="1" applyFont="1" applyFill="1" applyBorder="1" applyAlignment="1">
      <alignment horizontal="center" wrapText="1" shrinkToFit="1"/>
    </xf>
    <xf numFmtId="2" fontId="40" fillId="8" borderId="7" xfId="3" applyNumberFormat="1" applyFont="1" applyFill="1" applyBorder="1" applyAlignment="1">
      <alignment horizontal="right" vertical="center"/>
    </xf>
    <xf numFmtId="1" fontId="40" fillId="8" borderId="7" xfId="3" applyNumberFormat="1" applyFont="1" applyFill="1" applyBorder="1" applyAlignment="1">
      <alignment horizontal="center" vertical="center"/>
    </xf>
    <xf numFmtId="164" fontId="34" fillId="2" borderId="6" xfId="3" applyNumberFormat="1" applyFont="1" applyFill="1" applyBorder="1" applyAlignment="1">
      <alignment horizontal="center" vertical="center" wrapText="1" shrinkToFit="1"/>
    </xf>
    <xf numFmtId="0" fontId="34" fillId="2" borderId="6" xfId="3" applyFont="1" applyFill="1" applyBorder="1" applyAlignment="1">
      <alignment horizontal="center" vertical="center"/>
    </xf>
    <xf numFmtId="0" fontId="34" fillId="8" borderId="9" xfId="3" applyFont="1" applyFill="1" applyBorder="1" applyAlignment="1">
      <alignment horizontal="left" vertical="center"/>
    </xf>
    <xf numFmtId="0" fontId="34" fillId="8" borderId="10" xfId="3" applyFont="1" applyFill="1" applyBorder="1" applyAlignment="1">
      <alignment horizontal="left" vertical="center"/>
    </xf>
    <xf numFmtId="0" fontId="34" fillId="8" borderId="11" xfId="3" applyFont="1" applyFill="1" applyBorder="1" applyAlignment="1">
      <alignment horizontal="left" vertical="center"/>
    </xf>
    <xf numFmtId="0" fontId="34" fillId="8" borderId="7" xfId="3" applyFont="1" applyFill="1" applyBorder="1" applyAlignment="1">
      <alignment horizontal="center"/>
    </xf>
    <xf numFmtId="2" fontId="33" fillId="8" borderId="7" xfId="3" applyNumberFormat="1" applyFont="1" applyFill="1" applyBorder="1" applyAlignment="1">
      <alignment horizontal="center"/>
    </xf>
    <xf numFmtId="1" fontId="34" fillId="2" borderId="7" xfId="5" applyNumberFormat="1" applyFont="1" applyFill="1" applyBorder="1" applyAlignment="1">
      <alignment horizontal="center" vertical="center"/>
    </xf>
    <xf numFmtId="1" fontId="34" fillId="8" borderId="2" xfId="5" applyNumberFormat="1" applyFont="1" applyFill="1" applyBorder="1" applyAlignment="1" applyProtection="1">
      <alignment horizontal="center"/>
    </xf>
    <xf numFmtId="1" fontId="34" fillId="2" borderId="6" xfId="5" applyNumberFormat="1" applyFont="1" applyFill="1" applyBorder="1" applyAlignment="1" applyProtection="1">
      <alignment horizontal="center"/>
    </xf>
    <xf numFmtId="0" fontId="34" fillId="8" borderId="12" xfId="3" applyFont="1" applyFill="1" applyBorder="1" applyAlignment="1">
      <alignment horizontal="left" vertical="center"/>
    </xf>
    <xf numFmtId="0" fontId="34" fillId="8" borderId="5" xfId="3" applyFont="1" applyFill="1" applyBorder="1" applyAlignment="1">
      <alignment horizontal="left" vertical="center"/>
    </xf>
    <xf numFmtId="0" fontId="34" fillId="8" borderId="13" xfId="3" applyFont="1" applyFill="1" applyBorder="1" applyAlignment="1">
      <alignment horizontal="left" vertical="center"/>
    </xf>
    <xf numFmtId="0" fontId="34" fillId="8" borderId="8" xfId="3" applyFont="1" applyFill="1" applyBorder="1" applyAlignment="1">
      <alignment horizontal="center"/>
    </xf>
    <xf numFmtId="2" fontId="33" fillId="8" borderId="8" xfId="3" applyNumberFormat="1" applyFont="1" applyFill="1" applyBorder="1" applyAlignment="1">
      <alignment horizontal="center"/>
    </xf>
    <xf numFmtId="1" fontId="34" fillId="8" borderId="8" xfId="5" applyNumberFormat="1" applyFont="1" applyFill="1" applyBorder="1" applyAlignment="1">
      <alignment horizontal="center" vertical="center"/>
    </xf>
    <xf numFmtId="167" fontId="34" fillId="8" borderId="2" xfId="3" applyNumberFormat="1" applyFont="1" applyFill="1" applyBorder="1" applyAlignment="1">
      <alignment vertical="center"/>
    </xf>
    <xf numFmtId="167" fontId="34" fillId="8" borderId="3" xfId="3" applyNumberFormat="1" applyFont="1" applyFill="1" applyBorder="1" applyAlignment="1">
      <alignment vertical="center"/>
    </xf>
    <xf numFmtId="167" fontId="34" fillId="8" borderId="4" xfId="3" applyNumberFormat="1" applyFont="1" applyFill="1" applyBorder="1" applyAlignment="1">
      <alignment vertical="center"/>
    </xf>
    <xf numFmtId="1" fontId="34" fillId="2" borderId="1" xfId="5" applyNumberFormat="1" applyFont="1" applyFill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right"/>
    </xf>
    <xf numFmtId="0" fontId="34" fillId="8" borderId="2" xfId="3" applyFont="1" applyFill="1" applyBorder="1" applyAlignment="1">
      <alignment horizontal="left" vertical="center"/>
    </xf>
    <xf numFmtId="0" fontId="34" fillId="8" borderId="3" xfId="3" applyFont="1" applyFill="1" applyBorder="1" applyAlignment="1">
      <alignment horizontal="left" vertical="center"/>
    </xf>
    <xf numFmtId="0" fontId="34" fillId="8" borderId="4" xfId="3" applyFont="1" applyFill="1" applyBorder="1" applyAlignment="1">
      <alignment horizontal="left" vertical="center"/>
    </xf>
    <xf numFmtId="0" fontId="34" fillId="2" borderId="6" xfId="3" applyFont="1" applyFill="1" applyBorder="1" applyAlignment="1">
      <alignment horizontal="center"/>
    </xf>
    <xf numFmtId="0" fontId="34" fillId="8" borderId="9" xfId="3" applyFont="1" applyFill="1" applyBorder="1" applyAlignment="1">
      <alignment horizontal="left"/>
    </xf>
    <xf numFmtId="0" fontId="34" fillId="8" borderId="10" xfId="3" applyFont="1" applyFill="1" applyBorder="1" applyAlignment="1">
      <alignment horizontal="left"/>
    </xf>
    <xf numFmtId="0" fontId="34" fillId="8" borderId="11" xfId="3" applyFont="1" applyFill="1" applyBorder="1" applyAlignment="1">
      <alignment horizontal="left"/>
    </xf>
    <xf numFmtId="0" fontId="34" fillId="2" borderId="2" xfId="3" applyFont="1" applyFill="1" applyBorder="1" applyAlignment="1">
      <alignment horizontal="left" vertical="center"/>
    </xf>
    <xf numFmtId="0" fontId="34" fillId="2" borderId="3" xfId="3" applyFont="1" applyFill="1" applyBorder="1" applyAlignment="1">
      <alignment horizontal="left" vertical="center"/>
    </xf>
    <xf numFmtId="0" fontId="34" fillId="2" borderId="4" xfId="3" applyFont="1" applyFill="1" applyBorder="1" applyAlignment="1">
      <alignment horizontal="left" vertical="center"/>
    </xf>
    <xf numFmtId="0" fontId="33" fillId="2" borderId="1" xfId="4" applyFont="1" applyFill="1" applyBorder="1" applyAlignment="1">
      <alignment horizontal="center"/>
    </xf>
    <xf numFmtId="1" fontId="34" fillId="2" borderId="8" xfId="3" applyNumberFormat="1" applyFont="1" applyFill="1" applyBorder="1" applyAlignment="1">
      <alignment horizontal="center"/>
    </xf>
    <xf numFmtId="1" fontId="34" fillId="2" borderId="2" xfId="5" applyNumberFormat="1" applyFont="1" applyFill="1" applyBorder="1" applyAlignment="1" applyProtection="1">
      <alignment horizontal="center"/>
    </xf>
    <xf numFmtId="0" fontId="33" fillId="0" borderId="1" xfId="4" applyFont="1" applyBorder="1"/>
    <xf numFmtId="0" fontId="44" fillId="8" borderId="1" xfId="3" applyFont="1" applyFill="1" applyBorder="1" applyAlignment="1">
      <alignment horizontal="center"/>
    </xf>
    <xf numFmtId="164" fontId="44" fillId="8" borderId="1" xfId="5" applyNumberFormat="1" applyFont="1" applyFill="1" applyBorder="1" applyAlignment="1">
      <alignment horizontal="center" vertical="center"/>
    </xf>
    <xf numFmtId="1" fontId="33" fillId="12" borderId="1" xfId="5" applyNumberFormat="1" applyFont="1" applyFill="1" applyBorder="1" applyAlignment="1" applyProtection="1">
      <alignment horizontal="center"/>
    </xf>
    <xf numFmtId="0" fontId="44" fillId="0" borderId="1" xfId="4" applyFont="1" applyBorder="1" applyAlignment="1">
      <alignment horizontal="center"/>
    </xf>
    <xf numFmtId="0" fontId="47" fillId="2" borderId="2" xfId="3" applyFont="1" applyFill="1" applyBorder="1" applyAlignment="1">
      <alignment horizontal="center"/>
    </xf>
    <xf numFmtId="0" fontId="47" fillId="2" borderId="3" xfId="3" applyFont="1" applyFill="1" applyBorder="1" applyAlignment="1">
      <alignment horizontal="center"/>
    </xf>
    <xf numFmtId="0" fontId="47" fillId="2" borderId="4" xfId="3" applyFont="1" applyFill="1" applyBorder="1" applyAlignment="1">
      <alignment horizontal="center"/>
    </xf>
    <xf numFmtId="44" fontId="47" fillId="8" borderId="1" xfId="8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center"/>
    </xf>
    <xf numFmtId="164" fontId="42" fillId="8" borderId="1" xfId="3" applyNumberFormat="1" applyFont="1" applyFill="1" applyBorder="1" applyAlignment="1">
      <alignment horizontal="center"/>
    </xf>
    <xf numFmtId="1" fontId="46" fillId="8" borderId="1" xfId="3" applyNumberFormat="1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164" fontId="46" fillId="8" borderId="1" xfId="5" applyNumberFormat="1" applyFont="1" applyFill="1" applyBorder="1" applyAlignment="1" applyProtection="1">
      <alignment horizontal="center"/>
    </xf>
    <xf numFmtId="1" fontId="47" fillId="0" borderId="1" xfId="4" applyNumberFormat="1" applyFont="1" applyBorder="1" applyAlignment="1">
      <alignment horizontal="center"/>
    </xf>
    <xf numFmtId="2" fontId="46" fillId="8" borderId="1" xfId="3" applyNumberFormat="1" applyFont="1" applyFill="1" applyBorder="1" applyAlignment="1">
      <alignment horizontal="right"/>
    </xf>
    <xf numFmtId="1" fontId="47" fillId="8" borderId="1" xfId="3" applyNumberFormat="1" applyFont="1" applyFill="1" applyBorder="1" applyAlignment="1">
      <alignment horizontal="center" vertical="center"/>
    </xf>
    <xf numFmtId="0" fontId="44" fillId="2" borderId="1" xfId="3" applyFont="1" applyFill="1" applyBorder="1" applyAlignment="1">
      <alignment horizontal="center"/>
    </xf>
    <xf numFmtId="1" fontId="45" fillId="2" borderId="1" xfId="3" applyNumberFormat="1" applyFont="1" applyFill="1" applyBorder="1" applyAlignment="1">
      <alignment horizontal="center" vertical="top"/>
    </xf>
    <xf numFmtId="0" fontId="33" fillId="0" borderId="1" xfId="4" applyFont="1" applyBorder="1" applyAlignment="1">
      <alignment horizontal="center" vertical="center"/>
    </xf>
    <xf numFmtId="2" fontId="33" fillId="8" borderId="1" xfId="3" applyNumberFormat="1" applyFont="1" applyFill="1" applyBorder="1" applyAlignment="1">
      <alignment horizontal="center" vertical="center"/>
    </xf>
    <xf numFmtId="2" fontId="34" fillId="8" borderId="2" xfId="3" applyNumberFormat="1" applyFont="1" applyFill="1" applyBorder="1" applyAlignment="1">
      <alignment horizontal="left" vertical="center"/>
    </xf>
    <xf numFmtId="2" fontId="34" fillId="8" borderId="3" xfId="3" applyNumberFormat="1" applyFont="1" applyFill="1" applyBorder="1" applyAlignment="1">
      <alignment horizontal="left" vertical="center"/>
    </xf>
    <xf numFmtId="2" fontId="34" fillId="8" borderId="4" xfId="3" applyNumberFormat="1" applyFont="1" applyFill="1" applyBorder="1" applyAlignment="1">
      <alignment horizontal="left" vertical="center"/>
    </xf>
    <xf numFmtId="1" fontId="34" fillId="8" borderId="1" xfId="3" applyNumberFormat="1" applyFont="1" applyFill="1" applyBorder="1" applyAlignment="1">
      <alignment horizontal="center" vertical="center"/>
    </xf>
    <xf numFmtId="0" fontId="34" fillId="8" borderId="3" xfId="3" applyFont="1" applyFill="1" applyBorder="1" applyAlignment="1">
      <alignment horizontal="left" vertical="justify"/>
    </xf>
    <xf numFmtId="0" fontId="34" fillId="8" borderId="4" xfId="3" applyFont="1" applyFill="1" applyBorder="1" applyAlignment="1">
      <alignment horizontal="left" vertical="justify"/>
    </xf>
    <xf numFmtId="0" fontId="34" fillId="8" borderId="1" xfId="3" applyFont="1" applyFill="1" applyBorder="1" applyAlignment="1">
      <alignment horizontal="left" vertical="center"/>
    </xf>
    <xf numFmtId="0" fontId="34" fillId="0" borderId="2" xfId="4" applyFont="1" applyBorder="1" applyAlignment="1">
      <alignment vertical="center"/>
    </xf>
    <xf numFmtId="0" fontId="34" fillId="0" borderId="3" xfId="4" applyFont="1" applyBorder="1" applyAlignment="1">
      <alignment vertical="center"/>
    </xf>
    <xf numFmtId="0" fontId="34" fillId="0" borderId="4" xfId="4" applyFont="1" applyBorder="1" applyAlignment="1">
      <alignment vertical="center"/>
    </xf>
    <xf numFmtId="164" fontId="33" fillId="2" borderId="1" xfId="5" applyNumberFormat="1" applyFont="1" applyFill="1" applyBorder="1" applyAlignment="1" applyProtection="1">
      <alignment horizontal="center" vertical="center"/>
    </xf>
    <xf numFmtId="164" fontId="33" fillId="8" borderId="1" xfId="5" applyNumberFormat="1" applyFont="1" applyFill="1" applyBorder="1" applyAlignment="1" applyProtection="1">
      <alignment horizontal="center" vertical="top"/>
    </xf>
    <xf numFmtId="2" fontId="34" fillId="2" borderId="6" xfId="5" applyNumberFormat="1" applyFont="1" applyFill="1" applyBorder="1" applyAlignment="1" applyProtection="1">
      <alignment horizontal="center"/>
    </xf>
    <xf numFmtId="165" fontId="34" fillId="2" borderId="6" xfId="6" applyNumberFormat="1" applyFont="1" applyFill="1" applyBorder="1" applyAlignment="1">
      <alignment horizontal="center"/>
    </xf>
    <xf numFmtId="0" fontId="33" fillId="2" borderId="1" xfId="3" applyFont="1" applyFill="1" applyBorder="1" applyAlignment="1">
      <alignment horizontal="center"/>
    </xf>
    <xf numFmtId="0" fontId="34" fillId="2" borderId="1" xfId="4" applyFont="1" applyFill="1" applyBorder="1" applyAlignment="1">
      <alignment horizontal="center"/>
    </xf>
    <xf numFmtId="1" fontId="34" fillId="2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164" fontId="34" fillId="2" borderId="6" xfId="5" applyNumberFormat="1" applyFont="1" applyFill="1" applyBorder="1" applyAlignment="1" applyProtection="1">
      <alignment horizontal="center"/>
    </xf>
    <xf numFmtId="0" fontId="34" fillId="0" borderId="1" xfId="4" applyFont="1" applyBorder="1"/>
    <xf numFmtId="0" fontId="33" fillId="0" borderId="0" xfId="0" applyFont="1" applyBorder="1"/>
    <xf numFmtId="0" fontId="33" fillId="0" borderId="0" xfId="0" applyFont="1"/>
    <xf numFmtId="164" fontId="34" fillId="2" borderId="6" xfId="3" applyNumberFormat="1" applyFont="1" applyFill="1" applyBorder="1" applyAlignment="1">
      <alignment horizontal="center"/>
    </xf>
    <xf numFmtId="0" fontId="34" fillId="8" borderId="12" xfId="3" applyFont="1" applyFill="1" applyBorder="1" applyAlignment="1">
      <alignment horizontal="left"/>
    </xf>
    <xf numFmtId="0" fontId="34" fillId="8" borderId="5" xfId="3" applyFont="1" applyFill="1" applyBorder="1" applyAlignment="1">
      <alignment horizontal="left"/>
    </xf>
    <xf numFmtId="0" fontId="34" fillId="8" borderId="13" xfId="3" applyFont="1" applyFill="1" applyBorder="1" applyAlignment="1">
      <alignment horizontal="left"/>
    </xf>
    <xf numFmtId="43" fontId="33" fillId="8" borderId="8" xfId="7" applyFont="1" applyFill="1" applyBorder="1" applyAlignment="1">
      <alignment horizontal="right" wrapText="1"/>
    </xf>
    <xf numFmtId="43" fontId="33" fillId="8" borderId="1" xfId="7" applyFont="1" applyFill="1" applyBorder="1" applyAlignment="1">
      <alignment horizontal="right" wrapText="1"/>
    </xf>
    <xf numFmtId="165" fontId="33" fillId="0" borderId="1" xfId="6" applyNumberFormat="1" applyFont="1" applyFill="1" applyBorder="1" applyAlignment="1"/>
    <xf numFmtId="164" fontId="34" fillId="2" borderId="0" xfId="5" applyNumberFormat="1" applyFont="1" applyFill="1" applyBorder="1" applyAlignment="1" applyProtection="1">
      <alignment horizontal="center"/>
    </xf>
    <xf numFmtId="1" fontId="33" fillId="8" borderId="1" xfId="5" applyNumberFormat="1" applyFont="1" applyFill="1" applyBorder="1" applyAlignment="1">
      <alignment horizontal="right"/>
    </xf>
    <xf numFmtId="0" fontId="49" fillId="0" borderId="0" xfId="4" applyFont="1"/>
    <xf numFmtId="1" fontId="37" fillId="0" borderId="0" xfId="0" applyNumberFormat="1" applyFont="1" applyAlignment="1">
      <alignment horizontal="center"/>
    </xf>
    <xf numFmtId="1" fontId="37" fillId="0" borderId="0" xfId="0" applyNumberFormat="1" applyFont="1"/>
    <xf numFmtId="168" fontId="42" fillId="8" borderId="1" xfId="5" applyNumberFormat="1" applyFont="1" applyFill="1" applyBorder="1" applyAlignment="1" applyProtection="1">
      <alignment horizontal="center" vertical="center"/>
    </xf>
    <xf numFmtId="169" fontId="44" fillId="8" borderId="1" xfId="5" applyNumberFormat="1" applyFont="1" applyFill="1" applyBorder="1" applyAlignment="1" applyProtection="1">
      <alignment horizontal="center" vertical="center"/>
    </xf>
    <xf numFmtId="2" fontId="33" fillId="12" borderId="8" xfId="3" applyNumberFormat="1" applyFont="1" applyFill="1" applyBorder="1" applyAlignment="1">
      <alignment horizontal="center"/>
    </xf>
    <xf numFmtId="1" fontId="33" fillId="8" borderId="1" xfId="3" applyNumberFormat="1" applyFont="1" applyFill="1" applyBorder="1" applyAlignment="1">
      <alignment horizontal="center"/>
    </xf>
    <xf numFmtId="2" fontId="16" fillId="2" borderId="1" xfId="3" applyNumberFormat="1" applyFont="1" applyFill="1" applyBorder="1" applyAlignment="1">
      <alignment horizontal="right"/>
    </xf>
    <xf numFmtId="1" fontId="11" fillId="2" borderId="3" xfId="1" applyNumberFormat="1" applyFont="1" applyFill="1" applyBorder="1" applyAlignment="1">
      <alignment vertical="center" wrapText="1"/>
    </xf>
    <xf numFmtId="0" fontId="39" fillId="2" borderId="0" xfId="3" applyFont="1" applyFill="1" applyBorder="1" applyAlignment="1">
      <alignment horizontal="center" vertical="center"/>
    </xf>
    <xf numFmtId="164" fontId="39" fillId="2" borderId="0" xfId="3" applyNumberFormat="1" applyFont="1" applyFill="1" applyBorder="1" applyAlignment="1">
      <alignment horizontal="center"/>
    </xf>
    <xf numFmtId="1" fontId="34" fillId="2" borderId="0" xfId="5" applyNumberFormat="1" applyFont="1" applyFill="1" applyBorder="1" applyAlignment="1" applyProtection="1">
      <alignment horizontal="center"/>
    </xf>
    <xf numFmtId="0" fontId="34" fillId="2" borderId="0" xfId="3" applyFont="1" applyFill="1" applyBorder="1" applyAlignment="1">
      <alignment horizontal="center"/>
    </xf>
    <xf numFmtId="2" fontId="16" fillId="12" borderId="8" xfId="3" applyNumberFormat="1" applyFont="1" applyFill="1" applyBorder="1" applyAlignment="1">
      <alignment horizontal="center"/>
    </xf>
    <xf numFmtId="0" fontId="50" fillId="0" borderId="0" xfId="0" applyFont="1"/>
    <xf numFmtId="0" fontId="50" fillId="0" borderId="0" xfId="0" applyFont="1" applyBorder="1"/>
    <xf numFmtId="0" fontId="52" fillId="0" borderId="0" xfId="0" applyFont="1" applyBorder="1"/>
    <xf numFmtId="0" fontId="52" fillId="0" borderId="0" xfId="0" applyFont="1"/>
    <xf numFmtId="164" fontId="51" fillId="2" borderId="0" xfId="5" applyNumberFormat="1" applyFont="1" applyFill="1" applyBorder="1" applyAlignment="1" applyProtection="1">
      <alignment horizontal="center"/>
    </xf>
    <xf numFmtId="0" fontId="54" fillId="0" borderId="0" xfId="4" applyFont="1"/>
    <xf numFmtId="1" fontId="50" fillId="0" borderId="0" xfId="0" applyNumberFormat="1" applyFont="1"/>
    <xf numFmtId="9" fontId="0" fillId="0" borderId="0" xfId="0" applyNumberFormat="1"/>
    <xf numFmtId="9" fontId="11" fillId="0" borderId="1" xfId="1" applyNumberFormat="1" applyFont="1" applyBorder="1" applyAlignment="1">
      <alignment vertical="center" wrapText="1"/>
    </xf>
    <xf numFmtId="0" fontId="34" fillId="0" borderId="2" xfId="4" applyFont="1" applyBorder="1"/>
    <xf numFmtId="1" fontId="37" fillId="0" borderId="0" xfId="0" applyNumberFormat="1" applyFont="1" applyBorder="1"/>
    <xf numFmtId="0" fontId="33" fillId="9" borderId="1" xfId="3" applyFont="1" applyFill="1" applyBorder="1" applyAlignment="1"/>
    <xf numFmtId="0" fontId="34" fillId="9" borderId="1" xfId="3" applyFont="1" applyFill="1" applyBorder="1" applyAlignment="1">
      <alignment horizontal="center"/>
    </xf>
    <xf numFmtId="1" fontId="55" fillId="2" borderId="1" xfId="5" applyNumberFormat="1" applyFont="1" applyFill="1" applyBorder="1" applyAlignment="1">
      <alignment horizontal="center" vertical="center"/>
    </xf>
    <xf numFmtId="1" fontId="55" fillId="8" borderId="1" xfId="5" applyNumberFormat="1" applyFont="1" applyFill="1" applyBorder="1" applyAlignment="1">
      <alignment horizontal="center" vertical="center"/>
    </xf>
    <xf numFmtId="0" fontId="34" fillId="15" borderId="1" xfId="3" applyFont="1" applyFill="1" applyBorder="1" applyAlignment="1">
      <alignment horizontal="center" vertical="center"/>
    </xf>
    <xf numFmtId="1" fontId="34" fillId="15" borderId="1" xfId="3" applyNumberFormat="1" applyFont="1" applyFill="1" applyBorder="1" applyAlignment="1">
      <alignment horizontal="center" vertical="center"/>
    </xf>
    <xf numFmtId="1" fontId="34" fillId="15" borderId="2" xfId="3" applyNumberFormat="1" applyFont="1" applyFill="1" applyBorder="1" applyAlignment="1">
      <alignment horizontal="center" vertical="center"/>
    </xf>
    <xf numFmtId="0" fontId="42" fillId="15" borderId="1" xfId="3" applyFont="1" applyFill="1" applyBorder="1" applyAlignment="1">
      <alignment horizontal="center"/>
    </xf>
    <xf numFmtId="1" fontId="42" fillId="15" borderId="1" xfId="3" applyNumberFormat="1" applyFont="1" applyFill="1" applyBorder="1" applyAlignment="1">
      <alignment horizontal="center"/>
    </xf>
    <xf numFmtId="0" fontId="42" fillId="15" borderId="1" xfId="3" applyFont="1" applyFill="1" applyBorder="1" applyAlignment="1">
      <alignment horizontal="center" vertical="center"/>
    </xf>
    <xf numFmtId="0" fontId="46" fillId="15" borderId="1" xfId="3" applyFont="1" applyFill="1" applyBorder="1" applyAlignment="1">
      <alignment horizontal="center" vertical="center"/>
    </xf>
    <xf numFmtId="0" fontId="38" fillId="15" borderId="1" xfId="3" applyFont="1" applyFill="1" applyBorder="1" applyAlignment="1"/>
    <xf numFmtId="0" fontId="38" fillId="15" borderId="2" xfId="3" applyFont="1" applyFill="1" applyBorder="1" applyAlignment="1"/>
    <xf numFmtId="0" fontId="38" fillId="15" borderId="3" xfId="3" applyFont="1" applyFill="1" applyBorder="1" applyAlignment="1"/>
    <xf numFmtId="0" fontId="34" fillId="15" borderId="3" xfId="3" applyFont="1" applyFill="1" applyBorder="1" applyAlignment="1"/>
    <xf numFmtId="0" fontId="34" fillId="15" borderId="4" xfId="3" applyFont="1" applyFill="1" applyBorder="1" applyAlignment="1">
      <alignment vertical="center"/>
    </xf>
    <xf numFmtId="0" fontId="33" fillId="15" borderId="1" xfId="3" applyFont="1" applyFill="1" applyBorder="1" applyAlignment="1"/>
    <xf numFmtId="0" fontId="34" fillId="15" borderId="3" xfId="3" applyFont="1" applyFill="1" applyBorder="1" applyAlignment="1">
      <alignment horizontal="center"/>
    </xf>
    <xf numFmtId="1" fontId="34" fillId="15" borderId="1" xfId="5" applyNumberFormat="1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/>
    </xf>
    <xf numFmtId="0" fontId="34" fillId="16" borderId="3" xfId="3" applyFont="1" applyFill="1" applyBorder="1" applyAlignment="1">
      <alignment horizontal="center"/>
    </xf>
    <xf numFmtId="0" fontId="34" fillId="16" borderId="4" xfId="3" applyFont="1" applyFill="1" applyBorder="1" applyAlignment="1">
      <alignment horizontal="center"/>
    </xf>
    <xf numFmtId="0" fontId="34" fillId="16" borderId="2" xfId="3" applyFont="1" applyFill="1" applyBorder="1" applyAlignment="1">
      <alignment horizontal="center" vertical="center"/>
    </xf>
    <xf numFmtId="0" fontId="34" fillId="16" borderId="3" xfId="3" applyFont="1" applyFill="1" applyBorder="1" applyAlignment="1">
      <alignment horizontal="center" vertical="center"/>
    </xf>
    <xf numFmtId="0" fontId="34" fillId="16" borderId="4" xfId="3" applyFont="1" applyFill="1" applyBorder="1" applyAlignment="1">
      <alignment horizontal="center" vertical="center"/>
    </xf>
    <xf numFmtId="0" fontId="47" fillId="16" borderId="2" xfId="3" applyFont="1" applyFill="1" applyBorder="1" applyAlignment="1">
      <alignment horizontal="center"/>
    </xf>
    <xf numFmtId="0" fontId="47" fillId="16" borderId="3" xfId="3" applyFont="1" applyFill="1" applyBorder="1" applyAlignment="1">
      <alignment horizontal="center"/>
    </xf>
    <xf numFmtId="0" fontId="47" fillId="16" borderId="4" xfId="3" applyFont="1" applyFill="1" applyBorder="1" applyAlignment="1">
      <alignment horizontal="center"/>
    </xf>
    <xf numFmtId="0" fontId="43" fillId="16" borderId="1" xfId="4" applyFont="1" applyFill="1" applyBorder="1"/>
    <xf numFmtId="0" fontId="46" fillId="16" borderId="1" xfId="0" applyFont="1" applyFill="1" applyBorder="1"/>
    <xf numFmtId="1" fontId="42" fillId="2" borderId="1" xfId="3" applyNumberFormat="1" applyFont="1" applyFill="1" applyBorder="1" applyAlignment="1">
      <alignment horizontal="center"/>
    </xf>
    <xf numFmtId="2" fontId="33" fillId="8" borderId="1" xfId="9" applyNumberFormat="1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 vertical="center"/>
    </xf>
    <xf numFmtId="0" fontId="34" fillId="8" borderId="8" xfId="3" applyFont="1" applyFill="1" applyBorder="1" applyAlignment="1">
      <alignment horizontal="center" vertical="center"/>
    </xf>
    <xf numFmtId="2" fontId="16" fillId="8" borderId="25" xfId="3" applyNumberFormat="1" applyFont="1" applyFill="1" applyBorder="1" applyAlignment="1">
      <alignment horizontal="center"/>
    </xf>
    <xf numFmtId="0" fontId="34" fillId="2" borderId="8" xfId="3" applyFont="1" applyFill="1" applyBorder="1" applyAlignment="1">
      <alignment horizontal="center"/>
    </xf>
    <xf numFmtId="0" fontId="34" fillId="15" borderId="8" xfId="3" applyFont="1" applyFill="1" applyBorder="1" applyAlignment="1">
      <alignment horizontal="center"/>
    </xf>
    <xf numFmtId="2" fontId="16" fillId="8" borderId="26" xfId="3" applyNumberFormat="1" applyFont="1" applyFill="1" applyBorder="1" applyAlignment="1">
      <alignment horizontal="center"/>
    </xf>
    <xf numFmtId="0" fontId="8" fillId="0" borderId="2" xfId="1" applyFont="1" applyBorder="1" applyAlignment="1">
      <alignment horizontal="center" vertical="top" wrapText="1"/>
    </xf>
    <xf numFmtId="0" fontId="2" fillId="0" borderId="1" xfId="1" applyFont="1" applyFill="1" applyBorder="1" applyAlignment="1">
      <alignment horizontal="center" vertical="center" wrapText="1"/>
    </xf>
    <xf numFmtId="0" fontId="44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0" fontId="38" fillId="2" borderId="1" xfId="4" applyFont="1" applyFill="1" applyBorder="1" applyAlignment="1">
      <alignment horizontal="left"/>
    </xf>
    <xf numFmtId="0" fontId="38" fillId="2" borderId="1" xfId="4" applyFont="1" applyFill="1" applyBorder="1" applyAlignment="1"/>
    <xf numFmtId="2" fontId="33" fillId="2" borderId="1" xfId="3" applyNumberFormat="1" applyFont="1" applyFill="1" applyBorder="1" applyAlignment="1">
      <alignment horizontal="right"/>
    </xf>
    <xf numFmtId="0" fontId="38" fillId="2" borderId="8" xfId="4" applyFont="1" applyFill="1" applyBorder="1" applyAlignment="1">
      <alignment horizontal="left"/>
    </xf>
    <xf numFmtId="2" fontId="52" fillId="8" borderId="1" xfId="3" applyNumberFormat="1" applyFont="1" applyFill="1" applyBorder="1" applyAlignment="1">
      <alignment horizontal="center"/>
    </xf>
    <xf numFmtId="164" fontId="51" fillId="2" borderId="0" xfId="3" applyNumberFormat="1" applyFont="1" applyFill="1" applyBorder="1" applyAlignment="1">
      <alignment horizontal="center" vertical="center" wrapText="1" shrinkToFit="1"/>
    </xf>
    <xf numFmtId="0" fontId="51" fillId="2" borderId="0" xfId="3" applyFont="1" applyFill="1" applyBorder="1" applyAlignment="1">
      <alignment horizontal="center" vertical="center"/>
    </xf>
    <xf numFmtId="1" fontId="51" fillId="2" borderId="0" xfId="5" applyNumberFormat="1" applyFont="1" applyFill="1" applyBorder="1" applyAlignment="1" applyProtection="1">
      <alignment horizontal="center"/>
    </xf>
    <xf numFmtId="0" fontId="51" fillId="2" borderId="0" xfId="3" applyFont="1" applyFill="1" applyBorder="1" applyAlignment="1">
      <alignment horizontal="center"/>
    </xf>
    <xf numFmtId="2" fontId="51" fillId="2" borderId="0" xfId="5" applyNumberFormat="1" applyFont="1" applyFill="1" applyBorder="1" applyAlignment="1" applyProtection="1">
      <alignment horizontal="center"/>
    </xf>
    <xf numFmtId="165" fontId="51" fillId="2" borderId="0" xfId="6" applyNumberFormat="1" applyFont="1" applyFill="1" applyBorder="1" applyAlignment="1">
      <alignment horizontal="center"/>
    </xf>
    <xf numFmtId="164" fontId="51" fillId="2" borderId="0" xfId="3" applyNumberFormat="1" applyFont="1" applyFill="1" applyBorder="1" applyAlignment="1">
      <alignment horizontal="center"/>
    </xf>
    <xf numFmtId="0" fontId="57" fillId="0" borderId="30" xfId="4" applyFont="1" applyBorder="1" applyAlignment="1">
      <alignment vertical="center" wrapText="1"/>
    </xf>
    <xf numFmtId="0" fontId="57" fillId="0" borderId="25" xfId="4" applyFont="1" applyBorder="1" applyAlignment="1">
      <alignment vertical="center" wrapText="1"/>
    </xf>
    <xf numFmtId="0" fontId="34" fillId="15" borderId="1" xfId="3" applyFont="1" applyFill="1" applyBorder="1" applyAlignment="1">
      <alignment horizontal="center"/>
    </xf>
    <xf numFmtId="0" fontId="34" fillId="8" borderId="1" xfId="3" applyFont="1" applyFill="1" applyBorder="1" applyAlignment="1">
      <alignment horizontal="left"/>
    </xf>
    <xf numFmtId="1" fontId="5" fillId="0" borderId="1" xfId="1" applyNumberFormat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1" fontId="58" fillId="2" borderId="1" xfId="1" applyNumberFormat="1" applyFont="1" applyFill="1" applyBorder="1" applyAlignment="1">
      <alignment vertical="center" wrapText="1"/>
    </xf>
    <xf numFmtId="2" fontId="50" fillId="0" borderId="0" xfId="0" applyNumberFormat="1" applyFont="1"/>
    <xf numFmtId="0" fontId="50" fillId="0" borderId="0" xfId="0" applyFont="1" applyFill="1"/>
    <xf numFmtId="0" fontId="61" fillId="0" borderId="0" xfId="0" applyFont="1"/>
    <xf numFmtId="1" fontId="34" fillId="0" borderId="1" xfId="3" applyNumberFormat="1" applyFont="1" applyFill="1" applyBorder="1" applyAlignment="1">
      <alignment horizontal="center"/>
    </xf>
    <xf numFmtId="0" fontId="60" fillId="0" borderId="1" xfId="0" applyFont="1" applyFill="1" applyBorder="1"/>
    <xf numFmtId="0" fontId="61" fillId="0" borderId="0" xfId="0" applyFont="1" applyBorder="1"/>
    <xf numFmtId="0" fontId="61" fillId="0" borderId="1" xfId="0" applyFont="1" applyBorder="1" applyAlignment="1">
      <alignment horizontal="center"/>
    </xf>
    <xf numFmtId="1" fontId="61" fillId="0" borderId="1" xfId="0" applyNumberFormat="1" applyFont="1" applyBorder="1" applyAlignment="1">
      <alignment horizontal="center"/>
    </xf>
    <xf numFmtId="0" fontId="61" fillId="2" borderId="1" xfId="0" applyFont="1" applyFill="1" applyBorder="1" applyAlignment="1">
      <alignment horizontal="center"/>
    </xf>
    <xf numFmtId="0" fontId="60" fillId="0" borderId="1" xfId="0" applyFont="1" applyFill="1" applyBorder="1" applyAlignment="1">
      <alignment horizontal="center"/>
    </xf>
    <xf numFmtId="0" fontId="61" fillId="0" borderId="1" xfId="0" applyFont="1" applyFill="1" applyBorder="1" applyAlignment="1">
      <alignment horizontal="center"/>
    </xf>
    <xf numFmtId="1" fontId="34" fillId="0" borderId="1" xfId="5" applyNumberFormat="1" applyFont="1" applyFill="1" applyBorder="1" applyAlignment="1" applyProtection="1">
      <alignment horizontal="center"/>
    </xf>
    <xf numFmtId="1" fontId="61" fillId="0" borderId="1" xfId="0" applyNumberFormat="1" applyFont="1" applyFill="1" applyBorder="1" applyAlignment="1">
      <alignment horizontal="center"/>
    </xf>
    <xf numFmtId="1" fontId="61" fillId="0" borderId="0" xfId="0" applyNumberFormat="1" applyFont="1" applyAlignment="1">
      <alignment horizontal="center"/>
    </xf>
    <xf numFmtId="1" fontId="61" fillId="0" borderId="0" xfId="0" applyNumberFormat="1" applyFont="1"/>
    <xf numFmtId="0" fontId="61" fillId="0" borderId="0" xfId="0" applyFont="1" applyFill="1"/>
    <xf numFmtId="0" fontId="60" fillId="0" borderId="0" xfId="0" applyFont="1" applyFill="1"/>
    <xf numFmtId="1" fontId="60" fillId="0" borderId="1" xfId="0" applyNumberFormat="1" applyFont="1" applyFill="1" applyBorder="1"/>
    <xf numFmtId="0" fontId="34" fillId="0" borderId="32" xfId="3" applyFont="1" applyFill="1" applyBorder="1" applyAlignment="1">
      <alignment horizontal="center" vertical="center"/>
    </xf>
    <xf numFmtId="0" fontId="34" fillId="0" borderId="25" xfId="3" applyFont="1" applyFill="1" applyBorder="1" applyAlignment="1">
      <alignment horizontal="center" vertical="center"/>
    </xf>
    <xf numFmtId="2" fontId="33" fillId="0" borderId="25" xfId="3" applyNumberFormat="1" applyFont="1" applyFill="1" applyBorder="1" applyAlignment="1">
      <alignment horizontal="center" vertical="center"/>
    </xf>
    <xf numFmtId="0" fontId="35" fillId="0" borderId="25" xfId="4" applyFont="1" applyFill="1" applyBorder="1" applyAlignment="1">
      <alignment horizontal="center" vertical="center"/>
    </xf>
    <xf numFmtId="1" fontId="34" fillId="0" borderId="25" xfId="5" applyNumberFormat="1" applyFont="1" applyFill="1" applyBorder="1" applyAlignment="1">
      <alignment horizontal="center" vertical="center"/>
    </xf>
    <xf numFmtId="1" fontId="34" fillId="0" borderId="25" xfId="3" applyNumberFormat="1" applyFont="1" applyFill="1" applyBorder="1" applyAlignment="1">
      <alignment horizontal="center" vertical="center"/>
    </xf>
    <xf numFmtId="0" fontId="61" fillId="0" borderId="0" xfId="0" applyFont="1" applyFill="1" applyBorder="1" applyAlignment="1">
      <alignment horizontal="center" vertical="center"/>
    </xf>
    <xf numFmtId="1" fontId="34" fillId="0" borderId="30" xfId="5" applyNumberFormat="1" applyFont="1" applyFill="1" applyBorder="1" applyAlignment="1" applyProtection="1">
      <alignment horizontal="center" vertical="center"/>
    </xf>
    <xf numFmtId="0" fontId="34" fillId="10" borderId="32" xfId="3" applyFont="1" applyFill="1" applyBorder="1" applyAlignment="1">
      <alignment horizontal="center" vertical="center"/>
    </xf>
    <xf numFmtId="2" fontId="33" fillId="10" borderId="25" xfId="3" applyNumberFormat="1" applyFont="1" applyFill="1" applyBorder="1" applyAlignment="1">
      <alignment horizontal="center" vertical="center"/>
    </xf>
    <xf numFmtId="0" fontId="35" fillId="10" borderId="25" xfId="4" applyFont="1" applyFill="1" applyBorder="1" applyAlignment="1">
      <alignment horizontal="center" vertical="center"/>
    </xf>
    <xf numFmtId="1" fontId="34" fillId="10" borderId="25" xfId="5" applyNumberFormat="1" applyFont="1" applyFill="1" applyBorder="1" applyAlignment="1">
      <alignment horizontal="center" vertical="center"/>
    </xf>
    <xf numFmtId="1" fontId="34" fillId="10" borderId="25" xfId="3" applyNumberFormat="1" applyFont="1" applyFill="1" applyBorder="1" applyAlignment="1">
      <alignment horizontal="center" vertical="center"/>
    </xf>
    <xf numFmtId="0" fontId="61" fillId="10" borderId="0" xfId="0" applyFont="1" applyFill="1" applyBorder="1" applyAlignment="1">
      <alignment horizontal="center" vertical="center"/>
    </xf>
    <xf numFmtId="1" fontId="34" fillId="10" borderId="30" xfId="5" applyNumberFormat="1" applyFont="1" applyFill="1" applyBorder="1" applyAlignment="1" applyProtection="1">
      <alignment horizontal="center" vertical="center"/>
    </xf>
    <xf numFmtId="1" fontId="60" fillId="0" borderId="1" xfId="0" applyNumberFormat="1" applyFont="1" applyFill="1" applyBorder="1" applyAlignment="1">
      <alignment horizontal="center"/>
    </xf>
    <xf numFmtId="0" fontId="61" fillId="0" borderId="1" xfId="0" applyFont="1" applyFill="1" applyBorder="1"/>
    <xf numFmtId="0" fontId="34" fillId="10" borderId="24" xfId="3" applyFont="1" applyFill="1" applyBorder="1" applyAlignment="1">
      <alignment horizontal="center" vertical="center"/>
    </xf>
    <xf numFmtId="0" fontId="61" fillId="0" borderId="4" xfId="0" applyFont="1" applyBorder="1" applyAlignment="1">
      <alignment horizontal="center"/>
    </xf>
    <xf numFmtId="0" fontId="60" fillId="0" borderId="4" xfId="0" applyFont="1" applyFill="1" applyBorder="1"/>
    <xf numFmtId="0" fontId="61" fillId="0" borderId="4" xfId="0" applyFont="1" applyFill="1" applyBorder="1" applyAlignment="1">
      <alignment horizontal="center"/>
    </xf>
    <xf numFmtId="0" fontId="34" fillId="10" borderId="0" xfId="3" applyFont="1" applyFill="1" applyBorder="1" applyAlignment="1">
      <alignment horizontal="center" vertical="center"/>
    </xf>
    <xf numFmtId="0" fontId="60" fillId="0" borderId="1" xfId="0" applyFont="1" applyFill="1" applyBorder="1" applyAlignment="1">
      <alignment horizontal="left"/>
    </xf>
    <xf numFmtId="0" fontId="33" fillId="0" borderId="1" xfId="0" applyFont="1" applyFill="1" applyBorder="1"/>
    <xf numFmtId="1" fontId="61" fillId="0" borderId="0" xfId="0" applyNumberFormat="1" applyFont="1" applyFill="1" applyAlignment="1">
      <alignment horizontal="center"/>
    </xf>
    <xf numFmtId="1" fontId="61" fillId="0" borderId="0" xfId="0" applyNumberFormat="1" applyFont="1" applyFill="1"/>
    <xf numFmtId="1" fontId="33" fillId="2" borderId="1" xfId="3" applyNumberFormat="1" applyFont="1" applyFill="1" applyBorder="1" applyAlignment="1">
      <alignment horizontal="center"/>
    </xf>
    <xf numFmtId="0" fontId="59" fillId="0" borderId="1" xfId="0" applyFont="1" applyBorder="1"/>
    <xf numFmtId="9" fontId="59" fillId="0" borderId="1" xfId="0" applyNumberFormat="1" applyFont="1" applyBorder="1"/>
    <xf numFmtId="1" fontId="59" fillId="0" borderId="1" xfId="0" applyNumberFormat="1" applyFont="1" applyBorder="1"/>
    <xf numFmtId="0" fontId="0" fillId="0" borderId="0" xfId="0" applyAlignment="1">
      <alignment vertical="center" wrapText="1"/>
    </xf>
    <xf numFmtId="0" fontId="59" fillId="0" borderId="1" xfId="0" applyFont="1" applyBorder="1" applyAlignment="1">
      <alignment vertical="center" wrapText="1"/>
    </xf>
    <xf numFmtId="0" fontId="62" fillId="15" borderId="1" xfId="3" applyFont="1" applyFill="1" applyBorder="1" applyAlignment="1"/>
    <xf numFmtId="0" fontId="68" fillId="0" borderId="0" xfId="0" applyFont="1"/>
    <xf numFmtId="2" fontId="69" fillId="8" borderId="1" xfId="3" applyNumberFormat="1" applyFont="1" applyFill="1" applyBorder="1" applyAlignment="1">
      <alignment horizontal="center"/>
    </xf>
    <xf numFmtId="0" fontId="72" fillId="0" borderId="0" xfId="0" applyFont="1"/>
    <xf numFmtId="0" fontId="70" fillId="0" borderId="0" xfId="0" applyFont="1"/>
    <xf numFmtId="0" fontId="62" fillId="15" borderId="1" xfId="3" applyFont="1" applyFill="1" applyBorder="1" applyAlignment="1">
      <alignment horizontal="center" vertical="center"/>
    </xf>
    <xf numFmtId="0" fontId="62" fillId="8" borderId="1" xfId="3" applyFont="1" applyFill="1" applyBorder="1" applyAlignment="1">
      <alignment horizontal="center" vertical="center"/>
    </xf>
    <xf numFmtId="1" fontId="69" fillId="8" borderId="1" xfId="3" applyNumberFormat="1" applyFont="1" applyFill="1" applyBorder="1" applyAlignment="1">
      <alignment horizontal="center"/>
    </xf>
    <xf numFmtId="0" fontId="63" fillId="9" borderId="1" xfId="3" applyFont="1" applyFill="1" applyBorder="1" applyAlignment="1">
      <alignment horizontal="center" vertical="center"/>
    </xf>
    <xf numFmtId="10" fontId="63" fillId="9" borderId="1" xfId="3" applyNumberFormat="1" applyFont="1" applyFill="1" applyBorder="1" applyAlignment="1">
      <alignment horizontal="center"/>
    </xf>
    <xf numFmtId="1" fontId="63" fillId="9" borderId="1" xfId="3" applyNumberFormat="1" applyFont="1" applyFill="1" applyBorder="1" applyAlignment="1">
      <alignment horizontal="center"/>
    </xf>
    <xf numFmtId="2" fontId="63" fillId="9" borderId="1" xfId="3" applyNumberFormat="1" applyFont="1" applyFill="1" applyBorder="1" applyAlignment="1">
      <alignment horizontal="center"/>
    </xf>
    <xf numFmtId="9" fontId="63" fillId="9" borderId="1" xfId="3" applyNumberFormat="1" applyFont="1" applyFill="1" applyBorder="1" applyAlignment="1">
      <alignment horizontal="center"/>
    </xf>
    <xf numFmtId="0" fontId="71" fillId="0" borderId="0" xfId="0" applyFont="1"/>
    <xf numFmtId="2" fontId="69" fillId="2" borderId="1" xfId="3" applyNumberFormat="1" applyFont="1" applyFill="1" applyBorder="1" applyAlignment="1">
      <alignment horizontal="center" vertical="center"/>
    </xf>
    <xf numFmtId="164" fontId="69" fillId="8" borderId="1" xfId="3" applyNumberFormat="1" applyFont="1" applyFill="1" applyBorder="1" applyAlignment="1">
      <alignment horizontal="center" wrapText="1" shrinkToFit="1"/>
    </xf>
    <xf numFmtId="2" fontId="69" fillId="8" borderId="1" xfId="3" applyNumberFormat="1" applyFont="1" applyFill="1" applyBorder="1" applyAlignment="1">
      <alignment horizontal="center" vertical="center"/>
    </xf>
    <xf numFmtId="1" fontId="69" fillId="8" borderId="1" xfId="3" applyNumberFormat="1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horizontal="center"/>
    </xf>
    <xf numFmtId="1" fontId="69" fillId="2" borderId="1" xfId="5" applyNumberFormat="1" applyFont="1" applyFill="1" applyBorder="1" applyAlignment="1">
      <alignment horizontal="center" vertical="center"/>
    </xf>
    <xf numFmtId="0" fontId="69" fillId="2" borderId="1" xfId="3" applyNumberFormat="1" applyFont="1" applyFill="1" applyBorder="1" applyAlignment="1">
      <alignment horizontal="center"/>
    </xf>
    <xf numFmtId="2" fontId="69" fillId="8" borderId="8" xfId="3" applyNumberFormat="1" applyFont="1" applyFill="1" applyBorder="1" applyAlignment="1">
      <alignment horizontal="center"/>
    </xf>
    <xf numFmtId="1" fontId="69" fillId="2" borderId="7" xfId="5" applyNumberFormat="1" applyFont="1" applyFill="1" applyBorder="1" applyAlignment="1">
      <alignment horizontal="center" vertical="center"/>
    </xf>
    <xf numFmtId="1" fontId="69" fillId="2" borderId="8" xfId="3" applyNumberFormat="1" applyFont="1" applyFill="1" applyBorder="1" applyAlignment="1">
      <alignment horizontal="center"/>
    </xf>
    <xf numFmtId="0" fontId="69" fillId="0" borderId="1" xfId="4" applyFont="1" applyBorder="1" applyAlignment="1">
      <alignment horizontal="center"/>
    </xf>
    <xf numFmtId="1" fontId="69" fillId="12" borderId="1" xfId="3" applyNumberFormat="1" applyFont="1" applyFill="1" applyBorder="1" applyAlignment="1">
      <alignment horizontal="center"/>
    </xf>
    <xf numFmtId="2" fontId="69" fillId="8" borderId="1" xfId="3" applyNumberFormat="1" applyFont="1" applyFill="1" applyBorder="1" applyAlignment="1">
      <alignment horizontal="right"/>
    </xf>
    <xf numFmtId="1" fontId="69" fillId="8" borderId="1" xfId="5" applyNumberFormat="1" applyFont="1" applyFill="1" applyBorder="1" applyAlignment="1">
      <alignment horizontal="center" vertical="center"/>
    </xf>
    <xf numFmtId="2" fontId="69" fillId="2" borderId="1" xfId="3" applyNumberFormat="1" applyFont="1" applyFill="1" applyBorder="1" applyAlignment="1">
      <alignment horizontal="center"/>
    </xf>
    <xf numFmtId="0" fontId="74" fillId="15" borderId="1" xfId="3" applyFont="1" applyFill="1" applyBorder="1" applyAlignment="1">
      <alignment horizontal="center"/>
    </xf>
    <xf numFmtId="0" fontId="75" fillId="0" borderId="1" xfId="4" applyFont="1" applyBorder="1" applyAlignment="1">
      <alignment horizontal="center"/>
    </xf>
    <xf numFmtId="0" fontId="69" fillId="2" borderId="1" xfId="4" applyFont="1" applyFill="1" applyBorder="1" applyAlignment="1">
      <alignment horizontal="center"/>
    </xf>
    <xf numFmtId="1" fontId="69" fillId="2" borderId="1" xfId="3" applyNumberFormat="1" applyFont="1" applyFill="1" applyBorder="1" applyAlignment="1">
      <alignment horizontal="center"/>
    </xf>
    <xf numFmtId="2" fontId="69" fillId="12" borderId="1" xfId="3" applyNumberFormat="1" applyFont="1" applyFill="1" applyBorder="1" applyAlignment="1">
      <alignment horizontal="center"/>
    </xf>
    <xf numFmtId="1" fontId="74" fillId="15" borderId="1" xfId="3" applyNumberFormat="1" applyFont="1" applyFill="1" applyBorder="1" applyAlignment="1">
      <alignment horizontal="center"/>
    </xf>
    <xf numFmtId="0" fontId="69" fillId="0" borderId="1" xfId="4" applyFont="1" applyBorder="1"/>
    <xf numFmtId="0" fontId="76" fillId="8" borderId="1" xfId="3" applyFont="1" applyFill="1" applyBorder="1" applyAlignment="1">
      <alignment horizontal="center"/>
    </xf>
    <xf numFmtId="164" fontId="76" fillId="8" borderId="1" xfId="5" applyNumberFormat="1" applyFont="1" applyFill="1" applyBorder="1" applyAlignment="1">
      <alignment horizontal="center" vertical="center"/>
    </xf>
    <xf numFmtId="1" fontId="69" fillId="12" borderId="1" xfId="5" applyNumberFormat="1" applyFont="1" applyFill="1" applyBorder="1" applyAlignment="1" applyProtection="1">
      <alignment horizontal="center"/>
    </xf>
    <xf numFmtId="0" fontId="76" fillId="2" borderId="1" xfId="4" applyFont="1" applyFill="1" applyBorder="1" applyAlignment="1">
      <alignment horizontal="center"/>
    </xf>
    <xf numFmtId="0" fontId="74" fillId="15" borderId="1" xfId="3" applyFont="1" applyFill="1" applyBorder="1" applyAlignment="1">
      <alignment horizontal="center" vertical="center"/>
    </xf>
    <xf numFmtId="1" fontId="69" fillId="15" borderId="1" xfId="3" applyNumberFormat="1" applyFont="1" applyFill="1" applyBorder="1" applyAlignment="1">
      <alignment horizontal="center" vertical="center"/>
    </xf>
    <xf numFmtId="0" fontId="77" fillId="15" borderId="1" xfId="3" applyFont="1" applyFill="1" applyBorder="1" applyAlignment="1">
      <alignment horizontal="center" vertical="center"/>
    </xf>
    <xf numFmtId="2" fontId="78" fillId="8" borderId="1" xfId="3" applyNumberFormat="1" applyFont="1" applyFill="1" applyBorder="1" applyAlignment="1">
      <alignment horizontal="center"/>
    </xf>
    <xf numFmtId="164" fontId="74" fillId="8" borderId="1" xfId="3" applyNumberFormat="1" applyFont="1" applyFill="1" applyBorder="1" applyAlignment="1">
      <alignment horizontal="center"/>
    </xf>
    <xf numFmtId="1" fontId="77" fillId="8" borderId="1" xfId="3" applyNumberFormat="1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69" fillId="8" borderId="1" xfId="9" applyNumberFormat="1" applyFont="1" applyFill="1" applyBorder="1" applyAlignment="1">
      <alignment horizontal="center"/>
    </xf>
    <xf numFmtId="168" fontId="74" fillId="8" borderId="1" xfId="5" applyNumberFormat="1" applyFont="1" applyFill="1" applyBorder="1" applyAlignment="1" applyProtection="1">
      <alignment horizontal="center" vertical="center"/>
    </xf>
    <xf numFmtId="164" fontId="77" fillId="8" borderId="1" xfId="5" applyNumberFormat="1" applyFont="1" applyFill="1" applyBorder="1" applyAlignment="1" applyProtection="1">
      <alignment horizontal="center"/>
    </xf>
    <xf numFmtId="1" fontId="78" fillId="0" borderId="1" xfId="4" applyNumberFormat="1" applyFont="1" applyBorder="1" applyAlignment="1">
      <alignment horizontal="center"/>
    </xf>
    <xf numFmtId="2" fontId="77" fillId="8" borderId="1" xfId="3" applyNumberFormat="1" applyFont="1" applyFill="1" applyBorder="1" applyAlignment="1">
      <alignment horizontal="right"/>
    </xf>
    <xf numFmtId="1" fontId="78" fillId="8" borderId="1" xfId="3" applyNumberFormat="1" applyFont="1" applyFill="1" applyBorder="1" applyAlignment="1">
      <alignment horizontal="center" vertical="center"/>
    </xf>
    <xf numFmtId="0" fontId="76" fillId="2" borderId="1" xfId="3" applyFont="1" applyFill="1" applyBorder="1" applyAlignment="1">
      <alignment horizontal="center"/>
    </xf>
    <xf numFmtId="169" fontId="76" fillId="8" borderId="1" xfId="5" applyNumberFormat="1" applyFont="1" applyFill="1" applyBorder="1" applyAlignment="1" applyProtection="1">
      <alignment horizontal="center" vertical="center"/>
    </xf>
    <xf numFmtId="1" fontId="76" fillId="2" borderId="1" xfId="3" applyNumberFormat="1" applyFont="1" applyFill="1" applyBorder="1" applyAlignment="1">
      <alignment horizontal="center" vertical="top"/>
    </xf>
    <xf numFmtId="0" fontId="69" fillId="0" borderId="1" xfId="4" applyFont="1" applyBorder="1" applyAlignment="1">
      <alignment horizontal="center" vertical="center"/>
    </xf>
    <xf numFmtId="0" fontId="69" fillId="8" borderId="1" xfId="3" applyFont="1" applyFill="1" applyBorder="1" applyAlignment="1">
      <alignment horizontal="center" vertical="center"/>
    </xf>
    <xf numFmtId="0" fontId="69" fillId="15" borderId="1" xfId="3" applyFont="1" applyFill="1" applyBorder="1" applyAlignment="1">
      <alignment vertical="center"/>
    </xf>
    <xf numFmtId="0" fontId="69" fillId="15" borderId="1" xfId="3" applyFont="1" applyFill="1" applyBorder="1" applyAlignment="1"/>
    <xf numFmtId="1" fontId="69" fillId="2" borderId="1" xfId="3" applyNumberFormat="1" applyFont="1" applyFill="1" applyBorder="1" applyAlignment="1">
      <alignment horizontal="center" vertical="center"/>
    </xf>
    <xf numFmtId="164" fontId="69" fillId="2" borderId="1" xfId="5" applyNumberFormat="1" applyFont="1" applyFill="1" applyBorder="1" applyAlignment="1" applyProtection="1">
      <alignment horizontal="center" vertical="center"/>
    </xf>
    <xf numFmtId="164" fontId="69" fillId="8" borderId="1" xfId="5" applyNumberFormat="1" applyFont="1" applyFill="1" applyBorder="1" applyAlignment="1" applyProtection="1">
      <alignment horizontal="center" vertical="top"/>
    </xf>
    <xf numFmtId="0" fontId="69" fillId="2" borderId="1" xfId="4" applyFont="1" applyFill="1" applyBorder="1" applyAlignment="1">
      <alignment horizontal="left"/>
    </xf>
    <xf numFmtId="0" fontId="69" fillId="2" borderId="1" xfId="4" applyFont="1" applyFill="1" applyBorder="1" applyAlignment="1"/>
    <xf numFmtId="0" fontId="75" fillId="2" borderId="1" xfId="4" applyFont="1" applyFill="1" applyBorder="1" applyAlignment="1">
      <alignment horizontal="center" wrapText="1"/>
    </xf>
    <xf numFmtId="0" fontId="75" fillId="0" borderId="1" xfId="4" applyFont="1" applyFill="1" applyBorder="1" applyAlignment="1">
      <alignment horizontal="center" wrapText="1"/>
    </xf>
    <xf numFmtId="0" fontId="75" fillId="0" borderId="1" xfId="4" applyFont="1" applyBorder="1" applyAlignment="1">
      <alignment horizontal="center" wrapText="1"/>
    </xf>
    <xf numFmtId="0" fontId="75" fillId="2" borderId="1" xfId="4" applyFont="1" applyFill="1" applyBorder="1" applyAlignment="1">
      <alignment horizontal="center"/>
    </xf>
    <xf numFmtId="0" fontId="69" fillId="8" borderId="1" xfId="3" applyFont="1" applyFill="1" applyBorder="1" applyAlignment="1">
      <alignment horizontal="center"/>
    </xf>
    <xf numFmtId="0" fontId="69" fillId="2" borderId="1" xfId="3" applyFont="1" applyFill="1" applyBorder="1" applyAlignment="1">
      <alignment horizontal="center"/>
    </xf>
    <xf numFmtId="1" fontId="74" fillId="2" borderId="1" xfId="3" applyNumberFormat="1" applyFont="1" applyFill="1" applyBorder="1" applyAlignment="1">
      <alignment horizontal="center"/>
    </xf>
    <xf numFmtId="43" fontId="69" fillId="8" borderId="1" xfId="7" applyFont="1" applyFill="1" applyBorder="1" applyAlignment="1">
      <alignment horizontal="right" wrapText="1"/>
    </xf>
    <xf numFmtId="2" fontId="69" fillId="10" borderId="25" xfId="3" applyNumberFormat="1" applyFont="1" applyFill="1" applyBorder="1" applyAlignment="1">
      <alignment horizontal="center" vertical="center"/>
    </xf>
    <xf numFmtId="0" fontId="75" fillId="10" borderId="25" xfId="4" applyFont="1" applyFill="1" applyBorder="1" applyAlignment="1">
      <alignment horizontal="center" vertical="center"/>
    </xf>
    <xf numFmtId="1" fontId="69" fillId="10" borderId="25" xfId="5" applyNumberFormat="1" applyFont="1" applyFill="1" applyBorder="1" applyAlignment="1">
      <alignment horizontal="center" vertical="center"/>
    </xf>
    <xf numFmtId="1" fontId="69" fillId="10" borderId="25" xfId="3" applyNumberFormat="1" applyFont="1" applyFill="1" applyBorder="1" applyAlignment="1">
      <alignment horizontal="center" vertical="center"/>
    </xf>
    <xf numFmtId="0" fontId="74" fillId="10" borderId="0" xfId="0" applyFont="1" applyFill="1" applyBorder="1" applyAlignment="1">
      <alignment horizontal="center" vertical="center"/>
    </xf>
    <xf numFmtId="0" fontId="74" fillId="0" borderId="1" xfId="0" applyFont="1" applyBorder="1" applyAlignment="1">
      <alignment horizontal="center"/>
    </xf>
    <xf numFmtId="1" fontId="74" fillId="0" borderId="1" xfId="0" applyNumberFormat="1" applyFont="1" applyBorder="1" applyAlignment="1">
      <alignment horizontal="center"/>
    </xf>
    <xf numFmtId="0" fontId="74" fillId="0" borderId="1" xfId="0" applyFont="1" applyFill="1" applyBorder="1" applyAlignment="1">
      <alignment horizontal="center"/>
    </xf>
    <xf numFmtId="0" fontId="74" fillId="0" borderId="1" xfId="0" applyFont="1" applyFill="1" applyBorder="1"/>
    <xf numFmtId="1" fontId="74" fillId="0" borderId="1" xfId="0" applyNumberFormat="1" applyFont="1" applyFill="1" applyBorder="1" applyAlignment="1">
      <alignment horizontal="center"/>
    </xf>
    <xf numFmtId="1" fontId="69" fillId="0" borderId="1" xfId="5" applyNumberFormat="1" applyFont="1" applyFill="1" applyBorder="1" applyAlignment="1" applyProtection="1">
      <alignment horizontal="center"/>
    </xf>
    <xf numFmtId="0" fontId="74" fillId="0" borderId="0" xfId="0" applyFont="1"/>
    <xf numFmtId="1" fontId="74" fillId="0" borderId="0" xfId="0" applyNumberFormat="1" applyFont="1" applyAlignment="1">
      <alignment horizontal="center"/>
    </xf>
    <xf numFmtId="1" fontId="74" fillId="0" borderId="0" xfId="0" applyNumberFormat="1" applyFont="1"/>
    <xf numFmtId="1" fontId="69" fillId="15" borderId="1" xfId="5" applyNumberFormat="1" applyFont="1" applyFill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0" fontId="74" fillId="0" borderId="1" xfId="0" applyFont="1" applyBorder="1"/>
    <xf numFmtId="9" fontId="69" fillId="8" borderId="1" xfId="6" applyNumberFormat="1" applyFont="1" applyFill="1" applyBorder="1" applyAlignment="1">
      <alignment horizontal="center"/>
    </xf>
    <xf numFmtId="165" fontId="69" fillId="0" borderId="1" xfId="6" applyNumberFormat="1" applyFont="1" applyFill="1" applyBorder="1" applyAlignment="1"/>
    <xf numFmtId="1" fontId="69" fillId="8" borderId="1" xfId="5" applyNumberFormat="1" applyFont="1" applyFill="1" applyBorder="1" applyAlignment="1">
      <alignment horizontal="right"/>
    </xf>
    <xf numFmtId="0" fontId="79" fillId="0" borderId="0" xfId="0" applyFont="1"/>
    <xf numFmtId="1" fontId="79" fillId="0" borderId="0" xfId="0" applyNumberFormat="1" applyFont="1" applyAlignment="1">
      <alignment horizontal="center"/>
    </xf>
    <xf numFmtId="1" fontId="79" fillId="0" borderId="0" xfId="0" applyNumberFormat="1" applyFont="1"/>
    <xf numFmtId="2" fontId="33" fillId="8" borderId="11" xfId="3" applyNumberFormat="1" applyFont="1" applyFill="1" applyBorder="1" applyAlignment="1">
      <alignment horizontal="center"/>
    </xf>
    <xf numFmtId="164" fontId="69" fillId="8" borderId="15" xfId="3" applyNumberFormat="1" applyFont="1" applyFill="1" applyBorder="1" applyAlignment="1">
      <alignment horizontal="center" wrapText="1" shrinkToFit="1"/>
    </xf>
    <xf numFmtId="0" fontId="69" fillId="15" borderId="15" xfId="3" applyFont="1" applyFill="1" applyBorder="1" applyAlignment="1">
      <alignment horizontal="center"/>
    </xf>
    <xf numFmtId="1" fontId="69" fillId="8" borderId="15" xfId="5" applyNumberFormat="1" applyFont="1" applyFill="1" applyBorder="1" applyAlignment="1" applyProtection="1">
      <alignment horizontal="center"/>
    </xf>
    <xf numFmtId="1" fontId="69" fillId="2" borderId="15" xfId="5" applyNumberFormat="1" applyFont="1" applyFill="1" applyBorder="1" applyAlignment="1" applyProtection="1">
      <alignment horizontal="center"/>
    </xf>
    <xf numFmtId="1" fontId="69" fillId="15" borderId="15" xfId="3" applyNumberFormat="1" applyFont="1" applyFill="1" applyBorder="1" applyAlignment="1">
      <alignment horizontal="center" vertical="center"/>
    </xf>
    <xf numFmtId="0" fontId="69" fillId="15" borderId="15" xfId="3" applyFont="1" applyFill="1" applyBorder="1" applyAlignment="1"/>
    <xf numFmtId="0" fontId="69" fillId="2" borderId="15" xfId="4" applyFont="1" applyFill="1" applyBorder="1" applyAlignment="1"/>
    <xf numFmtId="1" fontId="69" fillId="10" borderId="31" xfId="5" applyNumberFormat="1" applyFont="1" applyFill="1" applyBorder="1" applyAlignment="1" applyProtection="1">
      <alignment horizontal="center" vertical="center"/>
    </xf>
    <xf numFmtId="1" fontId="74" fillId="0" borderId="15" xfId="0" applyNumberFormat="1" applyFont="1" applyBorder="1" applyAlignment="1">
      <alignment horizontal="center"/>
    </xf>
    <xf numFmtId="1" fontId="74" fillId="0" borderId="15" xfId="0" applyNumberFormat="1" applyFont="1" applyFill="1" applyBorder="1" applyAlignment="1">
      <alignment horizontal="center"/>
    </xf>
    <xf numFmtId="0" fontId="74" fillId="0" borderId="0" xfId="0" applyFont="1" applyBorder="1"/>
    <xf numFmtId="1" fontId="74" fillId="0" borderId="0" xfId="0" applyNumberFormat="1" applyFont="1" applyBorder="1" applyAlignment="1">
      <alignment horizontal="center"/>
    </xf>
    <xf numFmtId="1" fontId="74" fillId="0" borderId="35" xfId="0" applyNumberFormat="1" applyFont="1" applyBorder="1"/>
    <xf numFmtId="0" fontId="74" fillId="15" borderId="15" xfId="3" applyFont="1" applyFill="1" applyBorder="1" applyAlignment="1">
      <alignment horizontal="center"/>
    </xf>
    <xf numFmtId="1" fontId="69" fillId="15" borderId="15" xfId="5" applyNumberFormat="1" applyFont="1" applyFill="1" applyBorder="1" applyAlignment="1">
      <alignment horizontal="center"/>
    </xf>
    <xf numFmtId="2" fontId="69" fillId="8" borderId="7" xfId="3" applyNumberFormat="1" applyFont="1" applyFill="1" applyBorder="1" applyAlignment="1">
      <alignment horizontal="center"/>
    </xf>
    <xf numFmtId="9" fontId="69" fillId="8" borderId="7" xfId="6" applyNumberFormat="1" applyFont="1" applyFill="1" applyBorder="1" applyAlignment="1">
      <alignment horizontal="center"/>
    </xf>
    <xf numFmtId="1" fontId="69" fillId="8" borderId="7" xfId="3" applyNumberFormat="1" applyFont="1" applyFill="1" applyBorder="1" applyAlignment="1">
      <alignment horizontal="center"/>
    </xf>
    <xf numFmtId="2" fontId="69" fillId="8" borderId="7" xfId="3" applyNumberFormat="1" applyFont="1" applyFill="1" applyBorder="1" applyAlignment="1">
      <alignment horizontal="right"/>
    </xf>
    <xf numFmtId="1" fontId="69" fillId="8" borderId="23" xfId="5" applyNumberFormat="1" applyFont="1" applyFill="1" applyBorder="1" applyAlignment="1" applyProtection="1">
      <alignment horizontal="center"/>
    </xf>
    <xf numFmtId="9" fontId="63" fillId="9" borderId="21" xfId="3" applyNumberFormat="1" applyFont="1" applyFill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66" fillId="16" borderId="1" xfId="0" applyFont="1" applyFill="1" applyBorder="1"/>
    <xf numFmtId="0" fontId="68" fillId="0" borderId="0" xfId="0" applyFont="1" applyBorder="1"/>
    <xf numFmtId="0" fontId="71" fillId="0" borderId="1" xfId="0" applyFont="1" applyFill="1" applyBorder="1" applyAlignment="1">
      <alignment horizontal="left"/>
    </xf>
    <xf numFmtId="166" fontId="63" fillId="9" borderId="21" xfId="3" applyNumberFormat="1" applyFont="1" applyFill="1" applyBorder="1" applyAlignment="1">
      <alignment horizontal="left"/>
    </xf>
    <xf numFmtId="0" fontId="63" fillId="9" borderId="21" xfId="3" applyFont="1" applyFill="1" applyBorder="1"/>
    <xf numFmtId="0" fontId="63" fillId="8" borderId="21" xfId="3" applyFont="1" applyFill="1" applyBorder="1" applyAlignment="1">
      <alignment horizontal="center" vertical="center"/>
    </xf>
    <xf numFmtId="0" fontId="63" fillId="8" borderId="21" xfId="3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 vertical="center"/>
    </xf>
    <xf numFmtId="0" fontId="63" fillId="8" borderId="28" xfId="3" applyFont="1" applyFill="1" applyBorder="1" applyAlignment="1">
      <alignment horizontal="left" vertical="center"/>
    </xf>
    <xf numFmtId="0" fontId="63" fillId="8" borderId="5" xfId="3" applyFont="1" applyFill="1" applyBorder="1" applyAlignment="1">
      <alignment horizontal="left" vertical="center"/>
    </xf>
    <xf numFmtId="0" fontId="63" fillId="8" borderId="13" xfId="3" applyFont="1" applyFill="1" applyBorder="1" applyAlignment="1">
      <alignment horizontal="left" vertical="center"/>
    </xf>
    <xf numFmtId="167" fontId="63" fillId="8" borderId="21" xfId="3" applyNumberFormat="1" applyFont="1" applyFill="1" applyBorder="1" applyAlignment="1">
      <alignment vertical="center"/>
    </xf>
    <xf numFmtId="167" fontId="62" fillId="8" borderId="1" xfId="3" applyNumberFormat="1" applyFont="1" applyFill="1" applyBorder="1" applyAlignment="1">
      <alignment vertical="center"/>
    </xf>
    <xf numFmtId="0" fontId="63" fillId="16" borderId="21" xfId="3" applyFont="1" applyFill="1" applyBorder="1" applyAlignment="1">
      <alignment horizontal="center"/>
    </xf>
    <xf numFmtId="0" fontId="62" fillId="16" borderId="1" xfId="3" applyFont="1" applyFill="1" applyBorder="1" applyAlignment="1">
      <alignment horizontal="center"/>
    </xf>
    <xf numFmtId="0" fontId="63" fillId="2" borderId="21" xfId="3" applyFont="1" applyFill="1" applyBorder="1" applyAlignment="1">
      <alignment horizontal="left" vertical="center"/>
    </xf>
    <xf numFmtId="0" fontId="62" fillId="2" borderId="1" xfId="3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/>
    </xf>
    <xf numFmtId="0" fontId="63" fillId="16" borderId="21" xfId="3" applyFont="1" applyFill="1" applyBorder="1" applyAlignment="1">
      <alignment horizontal="center" vertical="center"/>
    </xf>
    <xf numFmtId="0" fontId="62" fillId="16" borderId="1" xfId="3" applyFont="1" applyFill="1" applyBorder="1" applyAlignment="1">
      <alignment horizontal="center" vertical="center"/>
    </xf>
    <xf numFmtId="0" fontId="73" fillId="2" borderId="16" xfId="3" applyFont="1" applyFill="1" applyBorder="1" applyAlignment="1">
      <alignment horizontal="center"/>
    </xf>
    <xf numFmtId="0" fontId="73" fillId="2" borderId="3" xfId="3" applyFont="1" applyFill="1" applyBorder="1" applyAlignment="1">
      <alignment horizontal="center"/>
    </xf>
    <xf numFmtId="0" fontId="73" fillId="2" borderId="4" xfId="3" applyFont="1" applyFill="1" applyBorder="1" applyAlignment="1">
      <alignment horizontal="center"/>
    </xf>
    <xf numFmtId="0" fontId="73" fillId="16" borderId="16" xfId="3" applyFont="1" applyFill="1" applyBorder="1" applyAlignment="1">
      <alignment horizontal="center"/>
    </xf>
    <xf numFmtId="0" fontId="73" fillId="16" borderId="3" xfId="3" applyFont="1" applyFill="1" applyBorder="1" applyAlignment="1">
      <alignment horizontal="center"/>
    </xf>
    <xf numFmtId="0" fontId="73" fillId="16" borderId="4" xfId="3" applyFont="1" applyFill="1" applyBorder="1" applyAlignment="1">
      <alignment horizontal="center"/>
    </xf>
    <xf numFmtId="0" fontId="63" fillId="15" borderId="21" xfId="3" applyFont="1" applyFill="1" applyBorder="1" applyAlignment="1">
      <alignment horizontal="left"/>
    </xf>
    <xf numFmtId="2" fontId="63" fillId="8" borderId="21" xfId="3" applyNumberFormat="1" applyFont="1" applyFill="1" applyBorder="1" applyAlignment="1">
      <alignment horizontal="left" vertical="center"/>
    </xf>
    <xf numFmtId="2" fontId="62" fillId="8" borderId="1" xfId="3" applyNumberFormat="1" applyFont="1" applyFill="1" applyBorder="1" applyAlignment="1">
      <alignment horizontal="left" vertical="center"/>
    </xf>
    <xf numFmtId="0" fontId="62" fillId="8" borderId="1" xfId="3" applyFont="1" applyFill="1" applyBorder="1" applyAlignment="1">
      <alignment horizontal="left" vertical="justify"/>
    </xf>
    <xf numFmtId="0" fontId="63" fillId="15" borderId="21" xfId="3" applyFont="1" applyFill="1" applyBorder="1" applyAlignment="1"/>
    <xf numFmtId="0" fontId="63" fillId="0" borderId="21" xfId="4" applyFont="1" applyBorder="1" applyAlignment="1">
      <alignment vertical="center"/>
    </xf>
    <xf numFmtId="0" fontId="62" fillId="0" borderId="1" xfId="4" applyFont="1" applyBorder="1" applyAlignment="1">
      <alignment vertical="center"/>
    </xf>
    <xf numFmtId="0" fontId="65" fillId="16" borderId="21" xfId="4" applyFont="1" applyFill="1" applyBorder="1"/>
    <xf numFmtId="0" fontId="63" fillId="15" borderId="21" xfId="3" applyFont="1" applyFill="1" applyBorder="1" applyAlignment="1">
      <alignment horizontal="center"/>
    </xf>
    <xf numFmtId="0" fontId="63" fillId="10" borderId="33" xfId="3" applyFont="1" applyFill="1" applyBorder="1" applyAlignment="1">
      <alignment horizontal="center" vertical="center"/>
    </xf>
    <xf numFmtId="0" fontId="63" fillId="10" borderId="0" xfId="3" applyFont="1" applyFill="1" applyBorder="1" applyAlignment="1">
      <alignment horizontal="center" vertical="center"/>
    </xf>
    <xf numFmtId="0" fontId="63" fillId="0" borderId="21" xfId="4" applyFont="1" applyBorder="1"/>
    <xf numFmtId="0" fontId="63" fillId="15" borderId="21" xfId="3" applyFont="1" applyFill="1" applyBorder="1" applyAlignment="1">
      <alignment horizontal="center" vertical="center"/>
    </xf>
    <xf numFmtId="9" fontId="69" fillId="9" borderId="1" xfId="4" applyNumberFormat="1" applyFont="1" applyFill="1" applyBorder="1"/>
    <xf numFmtId="0" fontId="69" fillId="9" borderId="1" xfId="3" applyFont="1" applyFill="1" applyBorder="1" applyAlignment="1"/>
    <xf numFmtId="1" fontId="63" fillId="9" borderId="15" xfId="3" applyNumberFormat="1" applyFont="1" applyFill="1" applyBorder="1" applyAlignment="1">
      <alignment horizontal="center" vertical="center"/>
    </xf>
    <xf numFmtId="0" fontId="63" fillId="9" borderId="1" xfId="3" applyFont="1" applyFill="1" applyBorder="1" applyAlignment="1">
      <alignment horizontal="left"/>
    </xf>
    <xf numFmtId="1" fontId="63" fillId="9" borderId="15" xfId="3" applyNumberFormat="1" applyFont="1" applyFill="1" applyBorder="1" applyAlignment="1">
      <alignment horizontal="center"/>
    </xf>
    <xf numFmtId="9" fontId="63" fillId="9" borderId="1" xfId="3" applyNumberFormat="1" applyFont="1" applyFill="1" applyBorder="1" applyAlignment="1">
      <alignment horizontal="left"/>
    </xf>
    <xf numFmtId="0" fontId="69" fillId="8" borderId="8" xfId="3" applyFont="1" applyFill="1" applyBorder="1" applyAlignment="1">
      <alignment horizontal="center"/>
    </xf>
    <xf numFmtId="44" fontId="78" fillId="8" borderId="1" xfId="8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0" fontId="69" fillId="2" borderId="1" xfId="3" applyFont="1" applyFill="1" applyBorder="1" applyAlignment="1">
      <alignment horizontal="center" vertical="center"/>
    </xf>
    <xf numFmtId="0" fontId="69" fillId="10" borderId="32" xfId="3" applyFont="1" applyFill="1" applyBorder="1" applyAlignment="1">
      <alignment horizontal="center" vertical="center"/>
    </xf>
    <xf numFmtId="0" fontId="74" fillId="0" borderId="4" xfId="0" applyFont="1" applyBorder="1" applyAlignment="1">
      <alignment horizontal="center"/>
    </xf>
    <xf numFmtId="0" fontId="79" fillId="0" borderId="4" xfId="0" applyFont="1" applyFill="1" applyBorder="1"/>
    <xf numFmtId="0" fontId="74" fillId="0" borderId="4" xfId="0" applyFont="1" applyFill="1" applyBorder="1" applyAlignment="1">
      <alignment horizontal="center"/>
    </xf>
    <xf numFmtId="0" fontId="69" fillId="8" borderId="7" xfId="3" applyFont="1" applyFill="1" applyBorder="1" applyAlignment="1">
      <alignment horizontal="center"/>
    </xf>
    <xf numFmtId="0" fontId="69" fillId="12" borderId="1" xfId="4" applyFont="1" applyFill="1" applyBorder="1" applyAlignment="1">
      <alignment horizontal="center"/>
    </xf>
    <xf numFmtId="0" fontId="69" fillId="0" borderId="1" xfId="3" applyFont="1" applyFill="1" applyBorder="1" applyAlignment="1">
      <alignment horizontal="center"/>
    </xf>
    <xf numFmtId="1" fontId="83" fillId="12" borderId="0" xfId="0" applyNumberFormat="1" applyFont="1" applyFill="1"/>
    <xf numFmtId="1" fontId="83" fillId="0" borderId="0" xfId="0" applyNumberFormat="1" applyFont="1"/>
    <xf numFmtId="0" fontId="68" fillId="9" borderId="1" xfId="3" applyFont="1" applyFill="1" applyBorder="1" applyAlignment="1">
      <alignment horizontal="center" vertical="center"/>
    </xf>
    <xf numFmtId="2" fontId="68" fillId="9" borderId="1" xfId="3" applyNumberFormat="1" applyFont="1" applyFill="1" applyBorder="1" applyAlignment="1">
      <alignment horizontal="center"/>
    </xf>
    <xf numFmtId="2" fontId="74" fillId="2" borderId="1" xfId="3" applyNumberFormat="1" applyFont="1" applyFill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center"/>
    </xf>
    <xf numFmtId="2" fontId="74" fillId="8" borderId="8" xfId="3" applyNumberFormat="1" applyFont="1" applyFill="1" applyBorder="1" applyAlignment="1">
      <alignment horizontal="center"/>
    </xf>
    <xf numFmtId="0" fontId="74" fillId="0" borderId="1" xfId="4" applyFont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74" fillId="2" borderId="1" xfId="4" applyFont="1" applyFill="1" applyBorder="1" applyAlignment="1">
      <alignment horizontal="center"/>
    </xf>
    <xf numFmtId="0" fontId="74" fillId="8" borderId="1" xfId="3" applyFont="1" applyFill="1" applyBorder="1" applyAlignment="1">
      <alignment horizontal="center"/>
    </xf>
    <xf numFmtId="2" fontId="74" fillId="8" borderId="1" xfId="9" applyNumberFormat="1" applyFont="1" applyFill="1" applyBorder="1" applyAlignment="1">
      <alignment horizontal="center"/>
    </xf>
    <xf numFmtId="0" fontId="74" fillId="2" borderId="1" xfId="3" applyFont="1" applyFill="1" applyBorder="1" applyAlignment="1">
      <alignment horizontal="center"/>
    </xf>
    <xf numFmtId="0" fontId="74" fillId="0" borderId="1" xfId="4" applyFont="1" applyBorder="1" applyAlignment="1">
      <alignment horizontal="center" vertical="center"/>
    </xf>
    <xf numFmtId="2" fontId="74" fillId="8" borderId="1" xfId="3" applyNumberFormat="1" applyFont="1" applyFill="1" applyBorder="1" applyAlignment="1">
      <alignment horizontal="center" vertical="center"/>
    </xf>
    <xf numFmtId="0" fontId="74" fillId="8" borderId="1" xfId="3" applyFont="1" applyFill="1" applyBorder="1" applyAlignment="1">
      <alignment horizontal="center" vertical="center"/>
    </xf>
    <xf numFmtId="0" fontId="74" fillId="0" borderId="1" xfId="4" applyFont="1" applyFill="1" applyBorder="1" applyAlignment="1">
      <alignment horizontal="center" vertical="center"/>
    </xf>
    <xf numFmtId="0" fontId="74" fillId="15" borderId="1" xfId="3" applyFont="1" applyFill="1" applyBorder="1" applyAlignment="1">
      <alignment vertical="center"/>
    </xf>
    <xf numFmtId="1" fontId="74" fillId="2" borderId="1" xfId="3" applyNumberFormat="1" applyFont="1" applyFill="1" applyBorder="1" applyAlignment="1">
      <alignment horizontal="center" vertical="center"/>
    </xf>
    <xf numFmtId="0" fontId="74" fillId="2" borderId="1" xfId="4" applyFont="1" applyFill="1" applyBorder="1" applyAlignment="1"/>
    <xf numFmtId="0" fontId="74" fillId="2" borderId="1" xfId="4" applyFont="1" applyFill="1" applyBorder="1" applyAlignment="1">
      <alignment horizontal="center" wrapText="1"/>
    </xf>
    <xf numFmtId="0" fontId="74" fillId="0" borderId="1" xfId="4" applyFont="1" applyFill="1" applyBorder="1" applyAlignment="1">
      <alignment horizontal="center" wrapText="1"/>
    </xf>
    <xf numFmtId="0" fontId="74" fillId="0" borderId="1" xfId="4" applyFont="1" applyBorder="1" applyAlignment="1">
      <alignment horizontal="center" wrapText="1"/>
    </xf>
    <xf numFmtId="0" fontId="74" fillId="0" borderId="1" xfId="3" applyFont="1" applyFill="1" applyBorder="1" applyAlignment="1">
      <alignment horizontal="center"/>
    </xf>
    <xf numFmtId="0" fontId="74" fillId="10" borderId="25" xfId="4" applyFont="1" applyFill="1" applyBorder="1" applyAlignment="1">
      <alignment horizontal="center" vertical="center"/>
    </xf>
    <xf numFmtId="0" fontId="74" fillId="12" borderId="1" xfId="4" applyFont="1" applyFill="1" applyBorder="1" applyAlignment="1">
      <alignment horizontal="center"/>
    </xf>
    <xf numFmtId="2" fontId="74" fillId="8" borderId="7" xfId="3" applyNumberFormat="1" applyFont="1" applyFill="1" applyBorder="1" applyAlignment="1">
      <alignment horizontal="center"/>
    </xf>
    <xf numFmtId="0" fontId="69" fillId="0" borderId="1" xfId="4" applyFont="1" applyFill="1" applyBorder="1" applyAlignment="1">
      <alignment horizontal="center"/>
    </xf>
    <xf numFmtId="1" fontId="69" fillId="0" borderId="1" xfId="5" applyNumberFormat="1" applyFont="1" applyFill="1" applyBorder="1" applyAlignment="1">
      <alignment horizontal="center" vertical="center"/>
    </xf>
    <xf numFmtId="0" fontId="69" fillId="0" borderId="1" xfId="4" applyFont="1" applyFill="1" applyBorder="1" applyAlignment="1">
      <alignment horizontal="center" vertical="center"/>
    </xf>
    <xf numFmtId="0" fontId="69" fillId="2" borderId="1" xfId="4" applyFont="1" applyFill="1" applyBorder="1" applyAlignment="1">
      <alignment horizontal="center" wrapText="1"/>
    </xf>
    <xf numFmtId="0" fontId="69" fillId="0" borderId="1" xfId="4" applyFont="1" applyFill="1" applyBorder="1" applyAlignment="1">
      <alignment horizontal="center" wrapText="1"/>
    </xf>
    <xf numFmtId="0" fontId="69" fillId="0" borderId="1" xfId="4" applyFont="1" applyBorder="1" applyAlignment="1">
      <alignment horizontal="center" wrapText="1"/>
    </xf>
    <xf numFmtId="0" fontId="69" fillId="10" borderId="25" xfId="4" applyFont="1" applyFill="1" applyBorder="1" applyAlignment="1">
      <alignment horizontal="center" vertical="center"/>
    </xf>
    <xf numFmtId="0" fontId="69" fillId="0" borderId="1" xfId="0" applyFont="1" applyBorder="1" applyAlignment="1">
      <alignment horizontal="center"/>
    </xf>
    <xf numFmtId="0" fontId="69" fillId="0" borderId="1" xfId="0" applyFont="1" applyFill="1" applyBorder="1" applyAlignment="1">
      <alignment horizontal="center"/>
    </xf>
    <xf numFmtId="1" fontId="69" fillId="0" borderId="1" xfId="0" applyNumberFormat="1" applyFont="1" applyFill="1" applyBorder="1" applyAlignment="1">
      <alignment horizontal="center"/>
    </xf>
    <xf numFmtId="0" fontId="69" fillId="0" borderId="0" xfId="0" applyFont="1" applyBorder="1"/>
    <xf numFmtId="0" fontId="84" fillId="0" borderId="0" xfId="0" applyFont="1"/>
    <xf numFmtId="0" fontId="69" fillId="0" borderId="0" xfId="0" applyFont="1"/>
    <xf numFmtId="1" fontId="85" fillId="20" borderId="1" xfId="5" applyNumberFormat="1" applyFont="1" applyFill="1" applyBorder="1" applyAlignment="1">
      <alignment horizontal="center" vertical="center"/>
    </xf>
    <xf numFmtId="0" fontId="81" fillId="21" borderId="21" xfId="3" applyFont="1" applyFill="1" applyBorder="1" applyAlignment="1">
      <alignment horizontal="left"/>
    </xf>
    <xf numFmtId="0" fontId="80" fillId="21" borderId="1" xfId="3" applyFont="1" applyFill="1" applyBorder="1" applyAlignment="1">
      <alignment horizontal="left"/>
    </xf>
    <xf numFmtId="0" fontId="85" fillId="21" borderId="1" xfId="3" applyFont="1" applyFill="1" applyBorder="1" applyAlignment="1">
      <alignment horizontal="center"/>
    </xf>
    <xf numFmtId="0" fontId="85" fillId="21" borderId="1" xfId="4" applyFont="1" applyFill="1" applyBorder="1" applyAlignment="1">
      <alignment horizontal="center"/>
    </xf>
    <xf numFmtId="1" fontId="85" fillId="21" borderId="1" xfId="5" applyNumberFormat="1" applyFont="1" applyFill="1" applyBorder="1" applyAlignment="1">
      <alignment horizontal="center" vertical="center"/>
    </xf>
    <xf numFmtId="1" fontId="85" fillId="21" borderId="1" xfId="3" applyNumberFormat="1" applyFont="1" applyFill="1" applyBorder="1" applyAlignment="1">
      <alignment horizontal="center"/>
    </xf>
    <xf numFmtId="0" fontId="85" fillId="21" borderId="1" xfId="3" applyNumberFormat="1" applyFont="1" applyFill="1" applyBorder="1" applyAlignment="1">
      <alignment horizontal="center"/>
    </xf>
    <xf numFmtId="1" fontId="85" fillId="21" borderId="15" xfId="5" applyNumberFormat="1" applyFont="1" applyFill="1" applyBorder="1" applyAlignment="1" applyProtection="1">
      <alignment horizontal="center"/>
    </xf>
    <xf numFmtId="0" fontId="81" fillId="21" borderId="21" xfId="3" applyFont="1" applyFill="1" applyBorder="1" applyAlignment="1">
      <alignment horizontal="left" vertical="center"/>
    </xf>
    <xf numFmtId="0" fontId="80" fillId="21" borderId="1" xfId="3" applyFont="1" applyFill="1" applyBorder="1" applyAlignment="1">
      <alignment horizontal="left" vertical="center"/>
    </xf>
    <xf numFmtId="2" fontId="85" fillId="21" borderId="1" xfId="3" applyNumberFormat="1" applyFont="1" applyFill="1" applyBorder="1" applyAlignment="1">
      <alignment horizontal="center"/>
    </xf>
    <xf numFmtId="0" fontId="68" fillId="8" borderId="21" xfId="3" applyFont="1" applyFill="1" applyBorder="1" applyAlignment="1">
      <alignment horizontal="left" vertical="center"/>
    </xf>
    <xf numFmtId="0" fontId="70" fillId="8" borderId="1" xfId="3" applyFont="1" applyFill="1" applyBorder="1" applyAlignment="1">
      <alignment horizontal="left" vertical="center"/>
    </xf>
    <xf numFmtId="1" fontId="74" fillId="20" borderId="1" xfId="5" applyNumberFormat="1" applyFont="1" applyFill="1" applyBorder="1" applyAlignment="1">
      <alignment horizontal="center" vertical="center"/>
    </xf>
    <xf numFmtId="1" fontId="74" fillId="8" borderId="1" xfId="3" applyNumberFormat="1" applyFont="1" applyFill="1" applyBorder="1" applyAlignment="1">
      <alignment horizontal="center"/>
    </xf>
    <xf numFmtId="0" fontId="74" fillId="2" borderId="1" xfId="3" applyNumberFormat="1" applyFont="1" applyFill="1" applyBorder="1" applyAlignment="1">
      <alignment horizontal="center"/>
    </xf>
    <xf numFmtId="1" fontId="74" fillId="8" borderId="15" xfId="5" applyNumberFormat="1" applyFont="1" applyFill="1" applyBorder="1" applyAlignment="1" applyProtection="1">
      <alignment horizontal="center"/>
    </xf>
    <xf numFmtId="0" fontId="68" fillId="8" borderId="28" xfId="3" applyFont="1" applyFill="1" applyBorder="1" applyAlignment="1">
      <alignment horizontal="left" vertical="center"/>
    </xf>
    <xf numFmtId="0" fontId="68" fillId="8" borderId="5" xfId="3" applyFont="1" applyFill="1" applyBorder="1" applyAlignment="1">
      <alignment horizontal="left" vertical="center"/>
    </xf>
    <xf numFmtId="0" fontId="68" fillId="8" borderId="13" xfId="3" applyFont="1" applyFill="1" applyBorder="1" applyAlignment="1">
      <alignment horizontal="left" vertical="center"/>
    </xf>
    <xf numFmtId="0" fontId="74" fillId="8" borderId="8" xfId="3" applyFont="1" applyFill="1" applyBorder="1" applyAlignment="1">
      <alignment horizontal="center"/>
    </xf>
    <xf numFmtId="1" fontId="74" fillId="2" borderId="8" xfId="3" applyNumberFormat="1" applyFont="1" applyFill="1" applyBorder="1" applyAlignment="1">
      <alignment horizontal="center"/>
    </xf>
    <xf numFmtId="167" fontId="68" fillId="8" borderId="21" xfId="3" applyNumberFormat="1" applyFont="1" applyFill="1" applyBorder="1" applyAlignment="1">
      <alignment vertical="center"/>
    </xf>
    <xf numFmtId="167" fontId="70" fillId="8" borderId="1" xfId="3" applyNumberFormat="1" applyFont="1" applyFill="1" applyBorder="1" applyAlignment="1">
      <alignment vertical="center"/>
    </xf>
    <xf numFmtId="1" fontId="74" fillId="2" borderId="1" xfId="5" applyNumberFormat="1" applyFont="1" applyFill="1" applyBorder="1" applyAlignment="1">
      <alignment horizontal="center" vertical="center"/>
    </xf>
    <xf numFmtId="1" fontId="74" fillId="12" borderId="1" xfId="3" applyNumberFormat="1" applyFont="1" applyFill="1" applyBorder="1" applyAlignment="1">
      <alignment horizontal="center"/>
    </xf>
    <xf numFmtId="2" fontId="74" fillId="8" borderId="1" xfId="3" applyNumberFormat="1" applyFont="1" applyFill="1" applyBorder="1" applyAlignment="1">
      <alignment horizontal="right"/>
    </xf>
    <xf numFmtId="0" fontId="68" fillId="16" borderId="21" xfId="3" applyFont="1" applyFill="1" applyBorder="1" applyAlignment="1">
      <alignment horizontal="center"/>
    </xf>
    <xf numFmtId="0" fontId="70" fillId="16" borderId="1" xfId="3" applyFont="1" applyFill="1" applyBorder="1" applyAlignment="1">
      <alignment horizontal="center"/>
    </xf>
    <xf numFmtId="1" fontId="74" fillId="8" borderId="1" xfId="5" applyNumberFormat="1" applyFont="1" applyFill="1" applyBorder="1" applyAlignment="1">
      <alignment horizontal="center" vertical="center"/>
    </xf>
    <xf numFmtId="2" fontId="74" fillId="2" borderId="1" xfId="3" applyNumberFormat="1" applyFont="1" applyFill="1" applyBorder="1" applyAlignment="1">
      <alignment horizontal="center"/>
    </xf>
    <xf numFmtId="0" fontId="74" fillId="0" borderId="1" xfId="4" applyFont="1" applyBorder="1"/>
    <xf numFmtId="164" fontId="74" fillId="20" borderId="1" xfId="5" applyNumberFormat="1" applyFont="1" applyFill="1" applyBorder="1" applyAlignment="1">
      <alignment horizontal="center" vertical="center"/>
    </xf>
    <xf numFmtId="1" fontId="74" fillId="12" borderId="1" xfId="5" applyNumberFormat="1" applyFont="1" applyFill="1" applyBorder="1" applyAlignment="1" applyProtection="1">
      <alignment horizontal="center"/>
    </xf>
    <xf numFmtId="1" fontId="69" fillId="8" borderId="1" xfId="9" applyNumberFormat="1" applyFont="1" applyFill="1" applyBorder="1" applyAlignment="1">
      <alignment horizontal="center"/>
    </xf>
    <xf numFmtId="0" fontId="69" fillId="21" borderId="1" xfId="4" applyFont="1" applyFill="1" applyBorder="1" applyAlignment="1">
      <alignment horizontal="center"/>
    </xf>
    <xf numFmtId="0" fontId="75" fillId="12" borderId="1" xfId="4" applyFont="1" applyFill="1" applyBorder="1" applyAlignment="1">
      <alignment horizontal="center"/>
    </xf>
    <xf numFmtId="1" fontId="74" fillId="2" borderId="8" xfId="5" applyNumberFormat="1" applyFont="1" applyFill="1" applyBorder="1" applyAlignment="1">
      <alignment horizontal="center" vertical="center"/>
    </xf>
    <xf numFmtId="0" fontId="74" fillId="21" borderId="1" xfId="4" applyFont="1" applyFill="1" applyBorder="1" applyAlignment="1">
      <alignment horizontal="center"/>
    </xf>
    <xf numFmtId="171" fontId="50" fillId="0" borderId="0" xfId="0" applyNumberFormat="1" applyFont="1"/>
    <xf numFmtId="0" fontId="77" fillId="0" borderId="1" xfId="4" applyFont="1" applyBorder="1" applyAlignment="1">
      <alignment horizontal="center"/>
    </xf>
    <xf numFmtId="1" fontId="83" fillId="0" borderId="5" xfId="0" applyNumberFormat="1" applyFont="1" applyBorder="1"/>
    <xf numFmtId="0" fontId="77" fillId="0" borderId="1" xfId="0" applyFont="1" applyFill="1" applyBorder="1" applyAlignment="1">
      <alignment horizontal="center"/>
    </xf>
    <xf numFmtId="0" fontId="77" fillId="8" borderId="1" xfId="3" applyFont="1" applyFill="1" applyBorder="1" applyAlignment="1">
      <alignment horizontal="center" vertical="center"/>
    </xf>
    <xf numFmtId="0" fontId="77" fillId="0" borderId="1" xfId="0" applyFont="1" applyBorder="1" applyAlignment="1">
      <alignment horizontal="center"/>
    </xf>
    <xf numFmtId="0" fontId="77" fillId="0" borderId="1" xfId="4" applyFont="1" applyBorder="1" applyAlignment="1">
      <alignment horizontal="center" wrapText="1"/>
    </xf>
    <xf numFmtId="2" fontId="77" fillId="8" borderId="1" xfId="3" applyNumberFormat="1" applyFont="1" applyFill="1" applyBorder="1" applyAlignment="1">
      <alignment horizontal="center"/>
    </xf>
    <xf numFmtId="2" fontId="77" fillId="8" borderId="8" xfId="3" applyNumberFormat="1" applyFont="1" applyFill="1" applyBorder="1" applyAlignment="1">
      <alignment horizontal="center"/>
    </xf>
    <xf numFmtId="0" fontId="77" fillId="21" borderId="1" xfId="4" applyFont="1" applyFill="1" applyBorder="1" applyAlignment="1">
      <alignment horizontal="center"/>
    </xf>
    <xf numFmtId="0" fontId="77" fillId="0" borderId="1" xfId="4" applyFont="1" applyBorder="1" applyAlignment="1">
      <alignment horizontal="center" vertical="center"/>
    </xf>
    <xf numFmtId="2" fontId="77" fillId="8" borderId="1" xfId="3" applyNumberFormat="1" applyFont="1" applyFill="1" applyBorder="1" applyAlignment="1">
      <alignment horizontal="center" vertical="center"/>
    </xf>
    <xf numFmtId="0" fontId="77" fillId="12" borderId="1" xfId="4" applyFont="1" applyFill="1" applyBorder="1" applyAlignment="1">
      <alignment horizontal="center" vertical="center"/>
    </xf>
    <xf numFmtId="0" fontId="77" fillId="0" borderId="1" xfId="4" applyFont="1" applyFill="1" applyBorder="1" applyAlignment="1">
      <alignment horizontal="center" vertical="center"/>
    </xf>
    <xf numFmtId="1" fontId="77" fillId="2" borderId="1" xfId="3" applyNumberFormat="1" applyFont="1" applyFill="1" applyBorder="1" applyAlignment="1">
      <alignment horizontal="center" vertical="center"/>
    </xf>
    <xf numFmtId="0" fontId="77" fillId="0" borderId="1" xfId="4" applyFont="1" applyFill="1" applyBorder="1" applyAlignment="1">
      <alignment horizontal="center"/>
    </xf>
    <xf numFmtId="0" fontId="74" fillId="12" borderId="1" xfId="0" applyFont="1" applyFill="1" applyBorder="1" applyAlignment="1">
      <alignment horizontal="center"/>
    </xf>
    <xf numFmtId="0" fontId="77" fillId="0" borderId="1" xfId="3" applyFont="1" applyFill="1" applyBorder="1" applyAlignment="1">
      <alignment horizontal="center"/>
    </xf>
    <xf numFmtId="0" fontId="77" fillId="0" borderId="1" xfId="4" applyFont="1" applyFill="1" applyBorder="1" applyAlignment="1">
      <alignment horizontal="center" wrapText="1"/>
    </xf>
    <xf numFmtId="0" fontId="77" fillId="2" borderId="1" xfId="4" applyFont="1" applyFill="1" applyBorder="1" applyAlignment="1">
      <alignment horizontal="center" wrapText="1"/>
    </xf>
    <xf numFmtId="1" fontId="69" fillId="0" borderId="1" xfId="3" applyNumberFormat="1" applyFont="1" applyFill="1" applyBorder="1" applyAlignment="1">
      <alignment horizontal="center"/>
    </xf>
    <xf numFmtId="2" fontId="69" fillId="0" borderId="1" xfId="3" applyNumberFormat="1" applyFont="1" applyFill="1" applyBorder="1" applyAlignment="1">
      <alignment horizontal="center"/>
    </xf>
    <xf numFmtId="1" fontId="69" fillId="0" borderId="15" xfId="5" applyNumberFormat="1" applyFont="1" applyFill="1" applyBorder="1" applyAlignment="1" applyProtection="1">
      <alignment horizontal="center"/>
    </xf>
    <xf numFmtId="172" fontId="50" fillId="0" borderId="0" xfId="0" applyNumberFormat="1" applyFont="1"/>
    <xf numFmtId="0" fontId="69" fillId="12" borderId="1" xfId="3" applyFont="1" applyFill="1" applyBorder="1" applyAlignment="1">
      <alignment horizontal="center"/>
    </xf>
    <xf numFmtId="0" fontId="37" fillId="0" borderId="0" xfId="0" applyFont="1" applyFill="1"/>
    <xf numFmtId="172" fontId="50" fillId="0" borderId="0" xfId="0" applyNumberFormat="1" applyFont="1" applyFill="1"/>
    <xf numFmtId="171" fontId="50" fillId="0" borderId="0" xfId="0" applyNumberFormat="1" applyFont="1" applyFill="1"/>
    <xf numFmtId="1" fontId="50" fillId="0" borderId="0" xfId="0" applyNumberFormat="1" applyFont="1" applyFill="1"/>
    <xf numFmtId="1" fontId="83" fillId="0" borderId="0" xfId="0" applyNumberFormat="1" applyFont="1" applyFill="1"/>
    <xf numFmtId="1" fontId="83" fillId="0" borderId="5" xfId="0" applyNumberFormat="1" applyFont="1" applyFill="1" applyBorder="1"/>
    <xf numFmtId="0" fontId="86" fillId="0" borderId="0" xfId="0" applyFont="1" applyFill="1" applyAlignment="1">
      <alignment horizontal="center"/>
    </xf>
    <xf numFmtId="0" fontId="87" fillId="0" borderId="0" xfId="0" applyFont="1" applyFill="1" applyAlignment="1">
      <alignment horizontal="center"/>
    </xf>
    <xf numFmtId="1" fontId="86" fillId="0" borderId="0" xfId="0" applyNumberFormat="1" applyFont="1" applyFill="1" applyAlignment="1">
      <alignment horizontal="center"/>
    </xf>
    <xf numFmtId="1" fontId="88" fillId="0" borderId="0" xfId="0" applyNumberFormat="1" applyFont="1" applyFill="1" applyAlignment="1">
      <alignment horizontal="center"/>
    </xf>
    <xf numFmtId="1" fontId="88" fillId="0" borderId="5" xfId="0" applyNumberFormat="1" applyFont="1" applyFill="1" applyBorder="1" applyAlignment="1">
      <alignment horizontal="center"/>
    </xf>
    <xf numFmtId="1" fontId="50" fillId="12" borderId="0" xfId="0" applyNumberFormat="1" applyFont="1" applyFill="1"/>
    <xf numFmtId="1" fontId="86" fillId="12" borderId="0" xfId="0" applyNumberFormat="1" applyFont="1" applyFill="1" applyAlignment="1">
      <alignment horizontal="center"/>
    </xf>
    <xf numFmtId="0" fontId="50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173" fontId="50" fillId="0" borderId="0" xfId="0" applyNumberFormat="1" applyFont="1" applyAlignment="1">
      <alignment horizontal="center"/>
    </xf>
    <xf numFmtId="173" fontId="50" fillId="12" borderId="0" xfId="0" applyNumberFormat="1" applyFont="1" applyFill="1" applyAlignment="1">
      <alignment horizontal="center"/>
    </xf>
    <xf numFmtId="173" fontId="50" fillId="0" borderId="0" xfId="0" applyNumberFormat="1" applyFont="1" applyFill="1" applyAlignment="1">
      <alignment horizontal="center"/>
    </xf>
    <xf numFmtId="172" fontId="50" fillId="12" borderId="0" xfId="0" applyNumberFormat="1" applyFont="1" applyFill="1"/>
    <xf numFmtId="172" fontId="86" fillId="12" borderId="0" xfId="0" applyNumberFormat="1" applyFont="1" applyFill="1" applyAlignment="1">
      <alignment horizontal="center"/>
    </xf>
    <xf numFmtId="0" fontId="65" fillId="0" borderId="21" xfId="4" applyFont="1" applyFill="1" applyBorder="1"/>
    <xf numFmtId="0" fontId="66" fillId="0" borderId="1" xfId="0" applyFont="1" applyFill="1" applyBorder="1"/>
    <xf numFmtId="0" fontId="69" fillId="0" borderId="1" xfId="4" applyFont="1" applyFill="1" applyBorder="1"/>
    <xf numFmtId="164" fontId="51" fillId="0" borderId="0" xfId="5" applyNumberFormat="1" applyFont="1" applyFill="1" applyBorder="1" applyAlignment="1" applyProtection="1">
      <alignment horizontal="center"/>
    </xf>
    <xf numFmtId="0" fontId="52" fillId="0" borderId="0" xfId="0" applyFont="1" applyFill="1" applyBorder="1"/>
    <xf numFmtId="0" fontId="52" fillId="0" borderId="0" xfId="0" applyFont="1" applyFill="1"/>
    <xf numFmtId="1" fontId="63" fillId="9" borderId="1" xfId="3" applyNumberFormat="1" applyFont="1" applyFill="1" applyBorder="1" applyAlignment="1">
      <alignment horizontal="center" vertical="center"/>
    </xf>
    <xf numFmtId="1" fontId="69" fillId="8" borderId="8" xfId="3" applyNumberFormat="1" applyFont="1" applyFill="1" applyBorder="1" applyAlignment="1">
      <alignment horizontal="center"/>
    </xf>
    <xf numFmtId="1" fontId="69" fillId="0" borderId="1" xfId="4" applyNumberFormat="1" applyFont="1" applyBorder="1" applyAlignment="1">
      <alignment horizontal="center"/>
    </xf>
    <xf numFmtId="1" fontId="69" fillId="15" borderId="1" xfId="3" applyNumberFormat="1" applyFont="1" applyFill="1" applyBorder="1" applyAlignment="1">
      <alignment horizontal="center"/>
    </xf>
    <xf numFmtId="1" fontId="69" fillId="21" borderId="1" xfId="4" applyNumberFormat="1" applyFont="1" applyFill="1" applyBorder="1" applyAlignment="1">
      <alignment horizontal="center"/>
    </xf>
    <xf numFmtId="1" fontId="69" fillId="2" borderId="1" xfId="4" applyNumberFormat="1" applyFont="1" applyFill="1" applyBorder="1" applyAlignment="1">
      <alignment horizontal="center"/>
    </xf>
    <xf numFmtId="1" fontId="69" fillId="0" borderId="1" xfId="4" applyNumberFormat="1" applyFont="1" applyBorder="1" applyAlignment="1">
      <alignment horizontal="center" vertical="center"/>
    </xf>
    <xf numFmtId="1" fontId="69" fillId="0" borderId="1" xfId="4" applyNumberFormat="1" applyFont="1" applyFill="1" applyBorder="1" applyAlignment="1">
      <alignment horizontal="center" vertical="center"/>
    </xf>
    <xf numFmtId="1" fontId="69" fillId="15" borderId="1" xfId="3" applyNumberFormat="1" applyFont="1" applyFill="1" applyBorder="1" applyAlignment="1">
      <alignment vertical="center"/>
    </xf>
    <xf numFmtId="1" fontId="69" fillId="0" borderId="1" xfId="4" applyNumberFormat="1" applyFont="1" applyFill="1" applyBorder="1" applyAlignment="1">
      <alignment horizontal="center"/>
    </xf>
    <xf numFmtId="1" fontId="69" fillId="2" borderId="1" xfId="4" applyNumberFormat="1" applyFont="1" applyFill="1" applyBorder="1" applyAlignment="1"/>
    <xf numFmtId="1" fontId="69" fillId="2" borderId="1" xfId="4" applyNumberFormat="1" applyFont="1" applyFill="1" applyBorder="1" applyAlignment="1">
      <alignment horizontal="center" wrapText="1"/>
    </xf>
    <xf numFmtId="1" fontId="69" fillId="0" borderId="1" xfId="4" applyNumberFormat="1" applyFont="1" applyFill="1" applyBorder="1" applyAlignment="1">
      <alignment horizontal="center" wrapText="1"/>
    </xf>
    <xf numFmtId="1" fontId="69" fillId="0" borderId="1" xfId="4" applyNumberFormat="1" applyFont="1" applyBorder="1" applyAlignment="1">
      <alignment horizontal="center" wrapText="1"/>
    </xf>
    <xf numFmtId="1" fontId="74" fillId="0" borderId="1" xfId="3" applyNumberFormat="1" applyFont="1" applyFill="1" applyBorder="1" applyAlignment="1">
      <alignment horizontal="center"/>
    </xf>
    <xf numFmtId="1" fontId="69" fillId="10" borderId="25" xfId="4" applyNumberFormat="1" applyFont="1" applyFill="1" applyBorder="1" applyAlignment="1">
      <alignment horizontal="center" vertical="center"/>
    </xf>
    <xf numFmtId="1" fontId="69" fillId="0" borderId="1" xfId="0" applyNumberFormat="1" applyFont="1" applyBorder="1" applyAlignment="1">
      <alignment horizontal="center"/>
    </xf>
    <xf numFmtId="1" fontId="69" fillId="0" borderId="0" xfId="0" applyNumberFormat="1" applyFont="1" applyBorder="1"/>
    <xf numFmtId="1" fontId="69" fillId="12" borderId="1" xfId="4" applyNumberFormat="1" applyFont="1" applyFill="1" applyBorder="1" applyAlignment="1">
      <alignment horizontal="center"/>
    </xf>
    <xf numFmtId="1" fontId="84" fillId="0" borderId="0" xfId="0" applyNumberFormat="1" applyFont="1"/>
    <xf numFmtId="1" fontId="69" fillId="0" borderId="0" xfId="0" applyNumberFormat="1" applyFont="1"/>
    <xf numFmtId="1" fontId="85" fillId="21" borderId="1" xfId="4" applyNumberFormat="1" applyFont="1" applyFill="1" applyBorder="1" applyAlignment="1">
      <alignment horizontal="center"/>
    </xf>
    <xf numFmtId="1" fontId="74" fillId="0" borderId="1" xfId="4" applyNumberFormat="1" applyFont="1" applyBorder="1" applyAlignment="1">
      <alignment horizontal="center"/>
    </xf>
    <xf numFmtId="1" fontId="75" fillId="0" borderId="1" xfId="4" applyNumberFormat="1" applyFont="1" applyBorder="1" applyAlignment="1">
      <alignment horizontal="center"/>
    </xf>
    <xf numFmtId="1" fontId="76" fillId="2" borderId="1" xfId="4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" fontId="76" fillId="2" borderId="1" xfId="3" applyNumberFormat="1" applyFont="1" applyFill="1" applyBorder="1" applyAlignment="1">
      <alignment horizontal="center"/>
    </xf>
    <xf numFmtId="1" fontId="75" fillId="2" borderId="1" xfId="4" applyNumberFormat="1" applyFont="1" applyFill="1" applyBorder="1" applyAlignment="1">
      <alignment horizontal="center" wrapText="1"/>
    </xf>
    <xf numFmtId="1" fontId="75" fillId="2" borderId="1" xfId="4" applyNumberFormat="1" applyFont="1" applyFill="1" applyBorder="1" applyAlignment="1">
      <alignment horizontal="center"/>
    </xf>
    <xf numFmtId="1" fontId="75" fillId="10" borderId="25" xfId="4" applyNumberFormat="1" applyFont="1" applyFill="1" applyBorder="1" applyAlignment="1">
      <alignment horizontal="center" vertical="center"/>
    </xf>
    <xf numFmtId="1" fontId="74" fillId="0" borderId="0" xfId="0" applyNumberFormat="1" applyFont="1" applyBorder="1"/>
    <xf numFmtId="1" fontId="75" fillId="0" borderId="1" xfId="4" applyNumberFormat="1" applyFont="1" applyFill="1" applyBorder="1" applyAlignment="1">
      <alignment horizontal="center"/>
    </xf>
    <xf numFmtId="1" fontId="75" fillId="12" borderId="1" xfId="4" applyNumberFormat="1" applyFont="1" applyFill="1" applyBorder="1" applyAlignment="1">
      <alignment horizontal="center"/>
    </xf>
    <xf numFmtId="0" fontId="90" fillId="0" borderId="0" xfId="0" applyFont="1" applyFill="1"/>
    <xf numFmtId="0" fontId="13" fillId="0" borderId="0" xfId="2" applyAlignment="1" applyProtection="1"/>
    <xf numFmtId="0" fontId="13" fillId="0" borderId="0" xfId="2" applyFill="1" applyAlignment="1" applyProtection="1"/>
    <xf numFmtId="0" fontId="89" fillId="0" borderId="0" xfId="16" applyAlignment="1" applyProtection="1"/>
    <xf numFmtId="1" fontId="13" fillId="0" borderId="0" xfId="2" applyNumberFormat="1" applyAlignment="1" applyProtection="1"/>
    <xf numFmtId="1" fontId="69" fillId="12" borderId="1" xfId="5" applyNumberFormat="1" applyFont="1" applyFill="1" applyBorder="1" applyAlignment="1">
      <alignment horizontal="center" vertical="center"/>
    </xf>
    <xf numFmtId="1" fontId="69" fillId="12" borderId="15" xfId="5" applyNumberFormat="1" applyFont="1" applyFill="1" applyBorder="1" applyAlignment="1" applyProtection="1">
      <alignment horizontal="center"/>
    </xf>
    <xf numFmtId="0" fontId="50" fillId="12" borderId="0" xfId="0" applyFont="1" applyFill="1"/>
    <xf numFmtId="0" fontId="63" fillId="12" borderId="21" xfId="3" applyFont="1" applyFill="1" applyBorder="1" applyAlignment="1">
      <alignment horizontal="left"/>
    </xf>
    <xf numFmtId="0" fontId="63" fillId="12" borderId="1" xfId="3" applyFont="1" applyFill="1" applyBorder="1" applyAlignment="1">
      <alignment horizontal="left"/>
    </xf>
    <xf numFmtId="2" fontId="69" fillId="12" borderId="1" xfId="3" applyNumberFormat="1" applyFont="1" applyFill="1" applyBorder="1" applyAlignment="1">
      <alignment horizontal="right"/>
    </xf>
    <xf numFmtId="1" fontId="52" fillId="0" borderId="0" xfId="0" applyNumberFormat="1" applyFont="1"/>
    <xf numFmtId="1" fontId="52" fillId="0" borderId="0" xfId="0" applyNumberFormat="1" applyFont="1" applyFill="1"/>
    <xf numFmtId="1" fontId="60" fillId="0" borderId="0" xfId="0" applyNumberFormat="1" applyFont="1" applyFill="1"/>
    <xf numFmtId="1" fontId="77" fillId="12" borderId="1" xfId="5" applyNumberFormat="1" applyFont="1" applyFill="1" applyBorder="1" applyAlignment="1">
      <alignment horizontal="center" vertical="center"/>
    </xf>
    <xf numFmtId="0" fontId="74" fillId="0" borderId="4" xfId="0" applyFont="1" applyFill="1" applyBorder="1"/>
    <xf numFmtId="1" fontId="92" fillId="0" borderId="1" xfId="0" applyNumberFormat="1" applyFont="1" applyFill="1" applyBorder="1" applyAlignment="1">
      <alignment horizontal="center" wrapText="1"/>
    </xf>
    <xf numFmtId="0" fontId="75" fillId="12" borderId="1" xfId="4" applyFont="1" applyFill="1" applyBorder="1" applyAlignment="1">
      <alignment horizontal="center" wrapText="1"/>
    </xf>
    <xf numFmtId="0" fontId="69" fillId="12" borderId="1" xfId="4" applyFont="1" applyFill="1" applyBorder="1" applyAlignment="1">
      <alignment horizontal="center" wrapText="1"/>
    </xf>
    <xf numFmtId="0" fontId="69" fillId="12" borderId="1" xfId="0" applyFont="1" applyFill="1" applyBorder="1" applyAlignment="1">
      <alignment horizontal="center"/>
    </xf>
    <xf numFmtId="0" fontId="68" fillId="0" borderId="1" xfId="0" applyFont="1" applyBorder="1"/>
    <xf numFmtId="0" fontId="70" fillId="0" borderId="1" xfId="0" applyFont="1" applyBorder="1"/>
    <xf numFmtId="0" fontId="63" fillId="0" borderId="1" xfId="4" applyFont="1" applyBorder="1" applyAlignment="1">
      <alignment vertical="center"/>
    </xf>
    <xf numFmtId="0" fontId="80" fillId="2" borderId="1" xfId="3" applyFont="1" applyFill="1" applyBorder="1" applyAlignment="1">
      <alignment horizontal="left"/>
    </xf>
    <xf numFmtId="0" fontId="85" fillId="2" borderId="1" xfId="3" applyFont="1" applyFill="1" applyBorder="1" applyAlignment="1">
      <alignment horizontal="center"/>
    </xf>
    <xf numFmtId="0" fontId="85" fillId="2" borderId="1" xfId="4" applyFont="1" applyFill="1" applyBorder="1" applyAlignment="1">
      <alignment horizontal="center"/>
    </xf>
    <xf numFmtId="0" fontId="81" fillId="2" borderId="21" xfId="3" applyFont="1" applyFill="1" applyBorder="1" applyAlignment="1">
      <alignment horizontal="left" vertical="center"/>
    </xf>
    <xf numFmtId="0" fontId="80" fillId="2" borderId="1" xfId="3" applyFont="1" applyFill="1" applyBorder="1" applyAlignment="1">
      <alignment horizontal="left" vertical="center"/>
    </xf>
    <xf numFmtId="0" fontId="63" fillId="2" borderId="21" xfId="3" applyFont="1" applyFill="1" applyBorder="1" applyAlignment="1">
      <alignment horizontal="left"/>
    </xf>
    <xf numFmtId="0" fontId="62" fillId="2" borderId="1" xfId="3" applyFont="1" applyFill="1" applyBorder="1" applyAlignment="1">
      <alignment horizontal="left"/>
    </xf>
    <xf numFmtId="0" fontId="68" fillId="2" borderId="1" xfId="0" applyFont="1" applyFill="1" applyBorder="1"/>
    <xf numFmtId="0" fontId="70" fillId="2" borderId="1" xfId="0" applyFont="1" applyFill="1" applyBorder="1"/>
    <xf numFmtId="0" fontId="63" fillId="2" borderId="1" xfId="4" applyFont="1" applyFill="1" applyBorder="1" applyAlignment="1">
      <alignment vertical="center"/>
    </xf>
    <xf numFmtId="0" fontId="62" fillId="2" borderId="1" xfId="4" applyFont="1" applyFill="1" applyBorder="1" applyAlignment="1">
      <alignment vertical="center"/>
    </xf>
    <xf numFmtId="0" fontId="68" fillId="2" borderId="0" xfId="0" applyFont="1" applyFill="1"/>
    <xf numFmtId="0" fontId="70" fillId="2" borderId="0" xfId="0" applyFont="1" applyFill="1"/>
    <xf numFmtId="0" fontId="74" fillId="2" borderId="0" xfId="0" applyFont="1" applyFill="1"/>
    <xf numFmtId="0" fontId="69" fillId="2" borderId="0" xfId="0" applyFont="1" applyFill="1"/>
    <xf numFmtId="1" fontId="74" fillId="2" borderId="0" xfId="0" applyNumberFormat="1" applyFont="1" applyFill="1"/>
    <xf numFmtId="0" fontId="69" fillId="2" borderId="1" xfId="0" applyFont="1" applyFill="1" applyBorder="1" applyAlignment="1">
      <alignment horizontal="center"/>
    </xf>
    <xf numFmtId="0" fontId="61" fillId="0" borderId="25" xfId="0" applyFont="1" applyFill="1" applyBorder="1" applyAlignment="1">
      <alignment horizontal="center"/>
    </xf>
    <xf numFmtId="1" fontId="50" fillId="0" borderId="0" xfId="0" applyNumberFormat="1" applyFont="1" applyBorder="1"/>
    <xf numFmtId="0" fontId="94" fillId="0" borderId="0" xfId="0" applyFont="1"/>
    <xf numFmtId="166" fontId="95" fillId="9" borderId="21" xfId="3" applyNumberFormat="1" applyFont="1" applyFill="1" applyBorder="1" applyAlignment="1">
      <alignment horizontal="left"/>
    </xf>
    <xf numFmtId="0" fontId="95" fillId="9" borderId="1" xfId="3" applyFont="1" applyFill="1" applyBorder="1" applyAlignment="1">
      <alignment horizontal="center"/>
    </xf>
    <xf numFmtId="9" fontId="95" fillId="9" borderId="1" xfId="4" applyNumberFormat="1" applyFont="1" applyFill="1" applyBorder="1"/>
    <xf numFmtId="0" fontId="95" fillId="9" borderId="1" xfId="3" applyFont="1" applyFill="1" applyBorder="1" applyAlignment="1">
      <alignment horizontal="center" vertical="center"/>
    </xf>
    <xf numFmtId="1" fontId="95" fillId="9" borderId="15" xfId="3" applyNumberFormat="1" applyFont="1" applyFill="1" applyBorder="1" applyAlignment="1">
      <alignment horizontal="center" vertical="center"/>
    </xf>
    <xf numFmtId="9" fontId="95" fillId="9" borderId="21" xfId="3" applyNumberFormat="1" applyFont="1" applyFill="1" applyBorder="1" applyAlignment="1">
      <alignment horizontal="left"/>
    </xf>
    <xf numFmtId="0" fontId="95" fillId="9" borderId="1" xfId="3" applyFont="1" applyFill="1" applyBorder="1" applyAlignment="1">
      <alignment horizontal="left"/>
    </xf>
    <xf numFmtId="0" fontId="95" fillId="9" borderId="1" xfId="3" applyFont="1" applyFill="1" applyBorder="1" applyAlignment="1"/>
    <xf numFmtId="10" fontId="95" fillId="9" borderId="1" xfId="3" applyNumberFormat="1" applyFont="1" applyFill="1" applyBorder="1" applyAlignment="1">
      <alignment horizontal="center"/>
    </xf>
    <xf numFmtId="1" fontId="95" fillId="9" borderId="1" xfId="3" applyNumberFormat="1" applyFont="1" applyFill="1" applyBorder="1" applyAlignment="1">
      <alignment horizontal="center"/>
    </xf>
    <xf numFmtId="1" fontId="95" fillId="9" borderId="15" xfId="3" applyNumberFormat="1" applyFont="1" applyFill="1" applyBorder="1" applyAlignment="1">
      <alignment horizontal="center"/>
    </xf>
    <xf numFmtId="0" fontId="96" fillId="2" borderId="0" xfId="3" applyFont="1" applyFill="1" applyBorder="1" applyAlignment="1">
      <alignment horizontal="center" vertical="center"/>
    </xf>
    <xf numFmtId="0" fontId="94" fillId="0" borderId="0" xfId="0" applyFont="1" applyBorder="1"/>
    <xf numFmtId="0" fontId="95" fillId="9" borderId="21" xfId="3" applyFont="1" applyFill="1" applyBorder="1"/>
    <xf numFmtId="9" fontId="95" fillId="9" borderId="1" xfId="3" applyNumberFormat="1" applyFont="1" applyFill="1" applyBorder="1" applyAlignment="1">
      <alignment horizontal="left"/>
    </xf>
    <xf numFmtId="2" fontId="95" fillId="9" borderId="1" xfId="3" applyNumberFormat="1" applyFont="1" applyFill="1" applyBorder="1" applyAlignment="1">
      <alignment horizontal="center"/>
    </xf>
    <xf numFmtId="9" fontId="95" fillId="9" borderId="1" xfId="3" applyNumberFormat="1" applyFont="1" applyFill="1" applyBorder="1" applyAlignment="1">
      <alignment horizontal="center"/>
    </xf>
    <xf numFmtId="164" fontId="96" fillId="2" borderId="0" xfId="3" applyNumberFormat="1" applyFont="1" applyFill="1" applyBorder="1" applyAlignment="1">
      <alignment horizontal="center"/>
    </xf>
    <xf numFmtId="0" fontId="95" fillId="8" borderId="21" xfId="3" applyFont="1" applyFill="1" applyBorder="1" applyAlignment="1">
      <alignment horizontal="center" vertical="center"/>
    </xf>
    <xf numFmtId="0" fontId="95" fillId="8" borderId="1" xfId="3" applyFont="1" applyFill="1" applyBorder="1" applyAlignment="1">
      <alignment horizontal="center" vertical="center"/>
    </xf>
    <xf numFmtId="2" fontId="95" fillId="2" borderId="1" xfId="3" applyNumberFormat="1" applyFont="1" applyFill="1" applyBorder="1" applyAlignment="1">
      <alignment horizontal="center" vertical="center"/>
    </xf>
    <xf numFmtId="164" fontId="95" fillId="8" borderId="1" xfId="3" applyNumberFormat="1" applyFont="1" applyFill="1" applyBorder="1" applyAlignment="1">
      <alignment horizontal="center" wrapText="1" shrinkToFit="1"/>
    </xf>
    <xf numFmtId="2" fontId="95" fillId="8" borderId="1" xfId="3" applyNumberFormat="1" applyFont="1" applyFill="1" applyBorder="1" applyAlignment="1">
      <alignment horizontal="center" vertical="center"/>
    </xf>
    <xf numFmtId="1" fontId="95" fillId="8" borderId="1" xfId="3" applyNumberFormat="1" applyFont="1" applyFill="1" applyBorder="1" applyAlignment="1">
      <alignment horizontal="center" vertical="center"/>
    </xf>
    <xf numFmtId="164" fontId="95" fillId="8" borderId="15" xfId="3" applyNumberFormat="1" applyFont="1" applyFill="1" applyBorder="1" applyAlignment="1">
      <alignment horizontal="center" wrapText="1" shrinkToFit="1"/>
    </xf>
    <xf numFmtId="164" fontId="97" fillId="2" borderId="0" xfId="3" applyNumberFormat="1" applyFont="1" applyFill="1" applyBorder="1" applyAlignment="1">
      <alignment horizontal="center" vertical="center" wrapText="1" shrinkToFit="1"/>
    </xf>
    <xf numFmtId="0" fontId="95" fillId="15" borderId="1" xfId="3" applyFont="1" applyFill="1" applyBorder="1" applyAlignment="1">
      <alignment horizontal="center" vertical="center"/>
    </xf>
    <xf numFmtId="0" fontId="95" fillId="15" borderId="1" xfId="3" applyFont="1" applyFill="1" applyBorder="1" applyAlignment="1">
      <alignment horizontal="center"/>
    </xf>
    <xf numFmtId="0" fontId="95" fillId="15" borderId="15" xfId="3" applyFont="1" applyFill="1" applyBorder="1" applyAlignment="1">
      <alignment horizontal="center"/>
    </xf>
    <xf numFmtId="0" fontId="97" fillId="2" borderId="0" xfId="3" applyFont="1" applyFill="1" applyBorder="1" applyAlignment="1">
      <alignment horizontal="center" vertical="center"/>
    </xf>
    <xf numFmtId="0" fontId="95" fillId="8" borderId="21" xfId="3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center"/>
    </xf>
    <xf numFmtId="2" fontId="95" fillId="8" borderId="1" xfId="3" applyNumberFormat="1" applyFont="1" applyFill="1" applyBorder="1" applyAlignment="1">
      <alignment horizontal="center"/>
    </xf>
    <xf numFmtId="1" fontId="95" fillId="2" borderId="1" xfId="5" applyNumberFormat="1" applyFont="1" applyFill="1" applyBorder="1" applyAlignment="1">
      <alignment horizontal="center" vertical="center"/>
    </xf>
    <xf numFmtId="1" fontId="95" fillId="8" borderId="1" xfId="3" applyNumberFormat="1" applyFont="1" applyFill="1" applyBorder="1" applyAlignment="1">
      <alignment horizontal="center"/>
    </xf>
    <xf numFmtId="0" fontId="95" fillId="2" borderId="1" xfId="3" applyNumberFormat="1" applyFont="1" applyFill="1" applyBorder="1" applyAlignment="1">
      <alignment horizontal="center"/>
    </xf>
    <xf numFmtId="1" fontId="95" fillId="8" borderId="15" xfId="5" applyNumberFormat="1" applyFont="1" applyFill="1" applyBorder="1" applyAlignment="1" applyProtection="1">
      <alignment horizontal="center"/>
    </xf>
    <xf numFmtId="2" fontId="99" fillId="8" borderId="11" xfId="3" applyNumberFormat="1" applyFont="1" applyFill="1" applyBorder="1" applyAlignment="1">
      <alignment horizontal="center"/>
    </xf>
    <xf numFmtId="1" fontId="94" fillId="0" borderId="0" xfId="0" applyNumberFormat="1" applyFont="1"/>
    <xf numFmtId="0" fontId="95" fillId="8" borderId="28" xfId="3" applyFont="1" applyFill="1" applyBorder="1" applyAlignment="1">
      <alignment horizontal="left" vertical="center"/>
    </xf>
    <xf numFmtId="0" fontId="95" fillId="8" borderId="5" xfId="3" applyFont="1" applyFill="1" applyBorder="1" applyAlignment="1">
      <alignment horizontal="left" vertical="center"/>
    </xf>
    <xf numFmtId="0" fontId="95" fillId="8" borderId="13" xfId="3" applyFont="1" applyFill="1" applyBorder="1" applyAlignment="1">
      <alignment horizontal="left" vertical="center"/>
    </xf>
    <xf numFmtId="0" fontId="95" fillId="8" borderId="8" xfId="3" applyFont="1" applyFill="1" applyBorder="1" applyAlignment="1">
      <alignment horizontal="center"/>
    </xf>
    <xf numFmtId="2" fontId="95" fillId="8" borderId="8" xfId="3" applyNumberFormat="1" applyFont="1" applyFill="1" applyBorder="1" applyAlignment="1">
      <alignment horizontal="center"/>
    </xf>
    <xf numFmtId="1" fontId="95" fillId="2" borderId="7" xfId="5" applyNumberFormat="1" applyFont="1" applyFill="1" applyBorder="1" applyAlignment="1">
      <alignment horizontal="center" vertical="center"/>
    </xf>
    <xf numFmtId="1" fontId="95" fillId="2" borderId="8" xfId="3" applyNumberFormat="1" applyFont="1" applyFill="1" applyBorder="1" applyAlignment="1">
      <alignment horizontal="center"/>
    </xf>
    <xf numFmtId="2" fontId="99" fillId="8" borderId="1" xfId="3" applyNumberFormat="1" applyFont="1" applyFill="1" applyBorder="1" applyAlignment="1">
      <alignment horizontal="center"/>
    </xf>
    <xf numFmtId="2" fontId="94" fillId="0" borderId="0" xfId="0" applyNumberFormat="1" applyFont="1"/>
    <xf numFmtId="167" fontId="95" fillId="8" borderId="21" xfId="3" applyNumberFormat="1" applyFont="1" applyFill="1" applyBorder="1" applyAlignment="1">
      <alignment vertical="center"/>
    </xf>
    <xf numFmtId="167" fontId="95" fillId="8" borderId="1" xfId="3" applyNumberFormat="1" applyFont="1" applyFill="1" applyBorder="1" applyAlignment="1">
      <alignment vertical="center"/>
    </xf>
    <xf numFmtId="0" fontId="95" fillId="0" borderId="1" xfId="4" applyFont="1" applyBorder="1" applyAlignment="1">
      <alignment horizontal="center"/>
    </xf>
    <xf numFmtId="1" fontId="95" fillId="12" borderId="1" xfId="3" applyNumberFormat="1" applyFont="1" applyFill="1" applyBorder="1" applyAlignment="1">
      <alignment horizontal="center"/>
    </xf>
    <xf numFmtId="1" fontId="97" fillId="2" borderId="0" xfId="5" applyNumberFormat="1" applyFont="1" applyFill="1" applyBorder="1" applyAlignment="1" applyProtection="1">
      <alignment horizontal="center"/>
    </xf>
    <xf numFmtId="2" fontId="95" fillId="8" borderId="1" xfId="3" applyNumberFormat="1" applyFont="1" applyFill="1" applyBorder="1" applyAlignment="1">
      <alignment horizontal="right"/>
    </xf>
    <xf numFmtId="0" fontId="95" fillId="16" borderId="21" xfId="3" applyFont="1" applyFill="1" applyBorder="1" applyAlignment="1">
      <alignment horizontal="center"/>
    </xf>
    <xf numFmtId="0" fontId="95" fillId="16" borderId="1" xfId="3" applyFont="1" applyFill="1" applyBorder="1" applyAlignment="1">
      <alignment horizontal="center"/>
    </xf>
    <xf numFmtId="1" fontId="95" fillId="8" borderId="1" xfId="5" applyNumberFormat="1" applyFont="1" applyFill="1" applyBorder="1" applyAlignment="1">
      <alignment horizontal="center" vertical="center"/>
    </xf>
    <xf numFmtId="2" fontId="95" fillId="2" borderId="1" xfId="3" applyNumberFormat="1" applyFont="1" applyFill="1" applyBorder="1" applyAlignment="1">
      <alignment horizontal="center"/>
    </xf>
    <xf numFmtId="0" fontId="100" fillId="15" borderId="1" xfId="3" applyFont="1" applyFill="1" applyBorder="1" applyAlignment="1">
      <alignment horizontal="center"/>
    </xf>
    <xf numFmtId="0" fontId="97" fillId="2" borderId="0" xfId="3" applyFont="1" applyFill="1" applyBorder="1" applyAlignment="1">
      <alignment horizontal="center"/>
    </xf>
    <xf numFmtId="0" fontId="95" fillId="8" borderId="21" xfId="3" applyFont="1" applyFill="1" applyBorder="1" applyAlignment="1">
      <alignment horizontal="left"/>
    </xf>
    <xf numFmtId="0" fontId="95" fillId="8" borderId="1" xfId="3" applyFont="1" applyFill="1" applyBorder="1" applyAlignment="1">
      <alignment horizontal="left"/>
    </xf>
    <xf numFmtId="0" fontId="101" fillId="0" borderId="1" xfId="4" applyFont="1" applyBorder="1" applyAlignment="1">
      <alignment horizontal="center"/>
    </xf>
    <xf numFmtId="0" fontId="95" fillId="2" borderId="21" xfId="3" applyFont="1" applyFill="1" applyBorder="1" applyAlignment="1">
      <alignment horizontal="left" vertical="center"/>
    </xf>
    <xf numFmtId="0" fontId="95" fillId="2" borderId="1" xfId="3" applyFont="1" applyFill="1" applyBorder="1" applyAlignment="1">
      <alignment horizontal="left" vertical="center"/>
    </xf>
    <xf numFmtId="0" fontId="95" fillId="2" borderId="1" xfId="3" applyFont="1" applyFill="1" applyBorder="1" applyAlignment="1">
      <alignment horizontal="center"/>
    </xf>
    <xf numFmtId="0" fontId="95" fillId="2" borderId="1" xfId="4" applyFont="1" applyFill="1" applyBorder="1" applyAlignment="1">
      <alignment horizontal="center"/>
    </xf>
    <xf numFmtId="1" fontId="95" fillId="2" borderId="1" xfId="3" applyNumberFormat="1" applyFont="1" applyFill="1" applyBorder="1" applyAlignment="1">
      <alignment horizontal="center"/>
    </xf>
    <xf numFmtId="2" fontId="95" fillId="12" borderId="1" xfId="3" applyNumberFormat="1" applyFont="1" applyFill="1" applyBorder="1" applyAlignment="1">
      <alignment horizontal="center"/>
    </xf>
    <xf numFmtId="1" fontId="95" fillId="2" borderId="15" xfId="5" applyNumberFormat="1" applyFont="1" applyFill="1" applyBorder="1" applyAlignment="1" applyProtection="1">
      <alignment horizontal="center"/>
    </xf>
    <xf numFmtId="1" fontId="100" fillId="15" borderId="1" xfId="3" applyNumberFormat="1" applyFont="1" applyFill="1" applyBorder="1" applyAlignment="1">
      <alignment horizontal="center"/>
    </xf>
    <xf numFmtId="0" fontId="95" fillId="0" borderId="1" xfId="4" applyFont="1" applyBorder="1"/>
    <xf numFmtId="0" fontId="102" fillId="8" borderId="1" xfId="3" applyFont="1" applyFill="1" applyBorder="1" applyAlignment="1">
      <alignment horizontal="center"/>
    </xf>
    <xf numFmtId="164" fontId="102" fillId="8" borderId="1" xfId="5" applyNumberFormat="1" applyFont="1" applyFill="1" applyBorder="1" applyAlignment="1">
      <alignment horizontal="center" vertical="center"/>
    </xf>
    <xf numFmtId="1" fontId="95" fillId="12" borderId="1" xfId="5" applyNumberFormat="1" applyFont="1" applyFill="1" applyBorder="1" applyAlignment="1" applyProtection="1">
      <alignment horizontal="center"/>
    </xf>
    <xf numFmtId="0" fontId="95" fillId="16" borderId="21" xfId="3" applyFont="1" applyFill="1" applyBorder="1" applyAlignment="1">
      <alignment horizontal="center" vertical="center"/>
    </xf>
    <xf numFmtId="0" fontId="95" fillId="16" borderId="1" xfId="3" applyFont="1" applyFill="1" applyBorder="1" applyAlignment="1">
      <alignment horizontal="center" vertical="center"/>
    </xf>
    <xf numFmtId="0" fontId="102" fillId="2" borderId="1" xfId="4" applyFont="1" applyFill="1" applyBorder="1" applyAlignment="1">
      <alignment horizontal="center"/>
    </xf>
    <xf numFmtId="0" fontId="100" fillId="15" borderId="1" xfId="3" applyFont="1" applyFill="1" applyBorder="1" applyAlignment="1">
      <alignment horizontal="center" vertical="center"/>
    </xf>
    <xf numFmtId="1" fontId="95" fillId="15" borderId="1" xfId="3" applyNumberFormat="1" applyFont="1" applyFill="1" applyBorder="1" applyAlignment="1">
      <alignment horizontal="center" vertical="center"/>
    </xf>
    <xf numFmtId="0" fontId="103" fillId="15" borderId="1" xfId="3" applyFont="1" applyFill="1" applyBorder="1" applyAlignment="1">
      <alignment horizontal="center" vertical="center"/>
    </xf>
    <xf numFmtId="1" fontId="95" fillId="15" borderId="15" xfId="3" applyNumberFormat="1" applyFont="1" applyFill="1" applyBorder="1" applyAlignment="1">
      <alignment horizontal="center" vertical="center"/>
    </xf>
    <xf numFmtId="0" fontId="104" fillId="0" borderId="0" xfId="0" applyFont="1" applyBorder="1"/>
    <xf numFmtId="0" fontId="104" fillId="0" borderId="0" xfId="0" applyFont="1"/>
    <xf numFmtId="0" fontId="105" fillId="2" borderId="16" xfId="3" applyFont="1" applyFill="1" applyBorder="1" applyAlignment="1">
      <alignment horizontal="center"/>
    </xf>
    <xf numFmtId="0" fontId="105" fillId="2" borderId="3" xfId="3" applyFont="1" applyFill="1" applyBorder="1" applyAlignment="1">
      <alignment horizontal="center"/>
    </xf>
    <xf numFmtId="0" fontId="105" fillId="2" borderId="4" xfId="3" applyFont="1" applyFill="1" applyBorder="1" applyAlignment="1">
      <alignment horizontal="center"/>
    </xf>
    <xf numFmtId="44" fontId="105" fillId="8" borderId="1" xfId="8" applyFont="1" applyFill="1" applyBorder="1" applyAlignment="1">
      <alignment horizontal="center"/>
    </xf>
    <xf numFmtId="2" fontId="105" fillId="8" borderId="1" xfId="3" applyNumberFormat="1" applyFont="1" applyFill="1" applyBorder="1" applyAlignment="1">
      <alignment horizontal="center"/>
    </xf>
    <xf numFmtId="164" fontId="100" fillId="8" borderId="1" xfId="3" applyNumberFormat="1" applyFont="1" applyFill="1" applyBorder="1" applyAlignment="1">
      <alignment horizontal="center"/>
    </xf>
    <xf numFmtId="1" fontId="103" fillId="8" borderId="1" xfId="3" applyNumberFormat="1" applyFont="1" applyFill="1" applyBorder="1" applyAlignment="1">
      <alignment horizontal="center"/>
    </xf>
    <xf numFmtId="0" fontId="105" fillId="8" borderId="1" xfId="3" applyFont="1" applyFill="1" applyBorder="1" applyAlignment="1">
      <alignment horizontal="center"/>
    </xf>
    <xf numFmtId="1" fontId="105" fillId="8" borderId="1" xfId="5" applyNumberFormat="1" applyFont="1" applyFill="1" applyBorder="1" applyAlignment="1">
      <alignment horizontal="center" vertical="center"/>
    </xf>
    <xf numFmtId="2" fontId="95" fillId="8" borderId="1" xfId="9" applyNumberFormat="1" applyFont="1" applyFill="1" applyBorder="1" applyAlignment="1">
      <alignment horizontal="center"/>
    </xf>
    <xf numFmtId="168" fontId="100" fillId="8" borderId="1" xfId="5" applyNumberFormat="1" applyFont="1" applyFill="1" applyBorder="1" applyAlignment="1" applyProtection="1">
      <alignment horizontal="center" vertical="center"/>
    </xf>
    <xf numFmtId="164" fontId="103" fillId="8" borderId="1" xfId="5" applyNumberFormat="1" applyFont="1" applyFill="1" applyBorder="1" applyAlignment="1" applyProtection="1">
      <alignment horizontal="center"/>
    </xf>
    <xf numFmtId="2" fontId="103" fillId="8" borderId="1" xfId="3" applyNumberFormat="1" applyFont="1" applyFill="1" applyBorder="1" applyAlignment="1">
      <alignment horizontal="right"/>
    </xf>
    <xf numFmtId="0" fontId="105" fillId="16" borderId="16" xfId="3" applyFont="1" applyFill="1" applyBorder="1" applyAlignment="1">
      <alignment horizontal="center"/>
    </xf>
    <xf numFmtId="0" fontId="105" fillId="16" borderId="3" xfId="3" applyFont="1" applyFill="1" applyBorder="1" applyAlignment="1">
      <alignment horizontal="center"/>
    </xf>
    <xf numFmtId="0" fontId="105" fillId="16" borderId="4" xfId="3" applyFont="1" applyFill="1" applyBorder="1" applyAlignment="1">
      <alignment horizontal="center"/>
    </xf>
    <xf numFmtId="0" fontId="102" fillId="2" borderId="1" xfId="3" applyFont="1" applyFill="1" applyBorder="1" applyAlignment="1">
      <alignment horizontal="center"/>
    </xf>
    <xf numFmtId="169" fontId="102" fillId="8" borderId="1" xfId="5" applyNumberFormat="1" applyFont="1" applyFill="1" applyBorder="1" applyAlignment="1" applyProtection="1">
      <alignment horizontal="center" vertical="center"/>
    </xf>
    <xf numFmtId="1" fontId="102" fillId="2" borderId="1" xfId="3" applyNumberFormat="1" applyFont="1" applyFill="1" applyBorder="1" applyAlignment="1">
      <alignment horizontal="center" vertical="top"/>
    </xf>
    <xf numFmtId="0" fontId="95" fillId="15" borderId="21" xfId="3" applyFont="1" applyFill="1" applyBorder="1" applyAlignment="1">
      <alignment horizontal="left"/>
    </xf>
    <xf numFmtId="0" fontId="95" fillId="15" borderId="1" xfId="3" applyFont="1" applyFill="1" applyBorder="1" applyAlignment="1">
      <alignment horizontal="left"/>
    </xf>
    <xf numFmtId="0" fontId="95" fillId="0" borderId="1" xfId="4" applyFont="1" applyBorder="1" applyAlignment="1">
      <alignment horizontal="center" vertical="center"/>
    </xf>
    <xf numFmtId="2" fontId="95" fillId="8" borderId="21" xfId="3" applyNumberFormat="1" applyFont="1" applyFill="1" applyBorder="1" applyAlignment="1">
      <alignment horizontal="left" vertical="center"/>
    </xf>
    <xf numFmtId="2" fontId="95" fillId="8" borderId="1" xfId="3" applyNumberFormat="1" applyFont="1" applyFill="1" applyBorder="1" applyAlignment="1">
      <alignment horizontal="left" vertical="center"/>
    </xf>
    <xf numFmtId="0" fontId="95" fillId="8" borderId="1" xfId="3" applyFont="1" applyFill="1" applyBorder="1" applyAlignment="1">
      <alignment horizontal="left" vertical="justify"/>
    </xf>
    <xf numFmtId="0" fontId="95" fillId="15" borderId="21" xfId="3" applyFont="1" applyFill="1" applyBorder="1" applyAlignment="1"/>
    <xf numFmtId="0" fontId="95" fillId="15" borderId="1" xfId="3" applyFont="1" applyFill="1" applyBorder="1" applyAlignment="1"/>
    <xf numFmtId="0" fontId="95" fillId="15" borderId="1" xfId="3" applyFont="1" applyFill="1" applyBorder="1" applyAlignment="1">
      <alignment vertical="center"/>
    </xf>
    <xf numFmtId="0" fontId="95" fillId="15" borderId="15" xfId="3" applyFont="1" applyFill="1" applyBorder="1" applyAlignment="1"/>
    <xf numFmtId="0" fontId="95" fillId="0" borderId="21" xfId="4" applyFont="1" applyBorder="1" applyAlignment="1">
      <alignment vertical="center"/>
    </xf>
    <xf numFmtId="0" fontId="95" fillId="0" borderId="1" xfId="4" applyFont="1" applyBorder="1" applyAlignment="1">
      <alignment vertical="center"/>
    </xf>
    <xf numFmtId="1" fontId="95" fillId="2" borderId="1" xfId="3" applyNumberFormat="1" applyFont="1" applyFill="1" applyBorder="1" applyAlignment="1">
      <alignment horizontal="center" vertical="center"/>
    </xf>
    <xf numFmtId="164" fontId="95" fillId="2" borderId="1" xfId="5" applyNumberFormat="1" applyFont="1" applyFill="1" applyBorder="1" applyAlignment="1" applyProtection="1">
      <alignment horizontal="center" vertical="center"/>
    </xf>
    <xf numFmtId="164" fontId="95" fillId="8" borderId="1" xfId="5" applyNumberFormat="1" applyFont="1" applyFill="1" applyBorder="1" applyAlignment="1" applyProtection="1">
      <alignment horizontal="center" vertical="top"/>
    </xf>
    <xf numFmtId="2" fontId="97" fillId="2" borderId="0" xfId="5" applyNumberFormat="1" applyFont="1" applyFill="1" applyBorder="1" applyAlignment="1" applyProtection="1">
      <alignment horizontal="center"/>
    </xf>
    <xf numFmtId="165" fontId="97" fillId="2" borderId="0" xfId="6" applyNumberFormat="1" applyFont="1" applyFill="1" applyBorder="1" applyAlignment="1">
      <alignment horizontal="center"/>
    </xf>
    <xf numFmtId="0" fontId="95" fillId="2" borderId="1" xfId="4" applyFont="1" applyFill="1" applyBorder="1" applyAlignment="1">
      <alignment horizontal="left"/>
    </xf>
    <xf numFmtId="0" fontId="95" fillId="2" borderId="1" xfId="4" applyFont="1" applyFill="1" applyBorder="1" applyAlignment="1"/>
    <xf numFmtId="0" fontId="95" fillId="2" borderId="15" xfId="4" applyFont="1" applyFill="1" applyBorder="1" applyAlignment="1"/>
    <xf numFmtId="0" fontId="101" fillId="2" borderId="1" xfId="4" applyFont="1" applyFill="1" applyBorder="1" applyAlignment="1">
      <alignment horizontal="center" wrapText="1"/>
    </xf>
    <xf numFmtId="0" fontId="101" fillId="0" borderId="1" xfId="4" applyFont="1" applyFill="1" applyBorder="1" applyAlignment="1">
      <alignment horizontal="center" wrapText="1"/>
    </xf>
    <xf numFmtId="0" fontId="101" fillId="0" borderId="1" xfId="4" applyFont="1" applyBorder="1" applyAlignment="1">
      <alignment horizontal="center" wrapText="1"/>
    </xf>
    <xf numFmtId="0" fontId="95" fillId="0" borderId="21" xfId="4" applyFont="1" applyBorder="1" applyAlignment="1">
      <alignment horizontal="left"/>
    </xf>
    <xf numFmtId="0" fontId="101" fillId="2" borderId="1" xfId="4" applyFont="1" applyFill="1" applyBorder="1" applyAlignment="1">
      <alignment horizontal="center"/>
    </xf>
    <xf numFmtId="0" fontId="95" fillId="2" borderId="1" xfId="3" applyFont="1" applyFill="1" applyBorder="1" applyAlignment="1">
      <alignment horizontal="center" vertical="center"/>
    </xf>
    <xf numFmtId="0" fontId="101" fillId="0" borderId="21" xfId="4" applyFont="1" applyBorder="1" applyAlignment="1">
      <alignment horizontal="left"/>
    </xf>
    <xf numFmtId="0" fontId="101" fillId="0" borderId="1" xfId="4" applyFont="1" applyBorder="1" applyAlignment="1">
      <alignment horizontal="left"/>
    </xf>
    <xf numFmtId="0" fontId="95" fillId="0" borderId="1" xfId="3" applyFont="1" applyFill="1" applyBorder="1" applyAlignment="1">
      <alignment horizontal="center"/>
    </xf>
    <xf numFmtId="164" fontId="97" fillId="2" borderId="0" xfId="5" applyNumberFormat="1" applyFont="1" applyFill="1" applyBorder="1" applyAlignment="1" applyProtection="1">
      <alignment horizontal="center"/>
    </xf>
    <xf numFmtId="0" fontId="103" fillId="16" borderId="21" xfId="4" applyFont="1" applyFill="1" applyBorder="1"/>
    <xf numFmtId="0" fontId="103" fillId="16" borderId="1" xfId="0" applyFont="1" applyFill="1" applyBorder="1"/>
    <xf numFmtId="0" fontId="99" fillId="0" borderId="0" xfId="0" applyFont="1" applyBorder="1"/>
    <xf numFmtId="0" fontId="99" fillId="0" borderId="0" xfId="0" applyFont="1"/>
    <xf numFmtId="0" fontId="103" fillId="0" borderId="21" xfId="4" applyFont="1" applyFill="1" applyBorder="1"/>
    <xf numFmtId="0" fontId="103" fillId="0" borderId="1" xfId="0" applyFont="1" applyFill="1" applyBorder="1"/>
    <xf numFmtId="0" fontId="95" fillId="0" borderId="1" xfId="4" applyFont="1" applyFill="1" applyBorder="1"/>
    <xf numFmtId="0" fontId="100" fillId="0" borderId="1" xfId="3" applyFont="1" applyFill="1" applyBorder="1" applyAlignment="1">
      <alignment horizontal="center"/>
    </xf>
    <xf numFmtId="1" fontId="95" fillId="0" borderId="1" xfId="3" applyNumberFormat="1" applyFont="1" applyFill="1" applyBorder="1" applyAlignment="1">
      <alignment horizontal="center"/>
    </xf>
    <xf numFmtId="1" fontId="95" fillId="0" borderId="1" xfId="5" applyNumberFormat="1" applyFont="1" applyFill="1" applyBorder="1" applyAlignment="1">
      <alignment horizontal="center" vertical="center"/>
    </xf>
    <xf numFmtId="1" fontId="95" fillId="0" borderId="15" xfId="5" applyNumberFormat="1" applyFont="1" applyFill="1" applyBorder="1" applyAlignment="1" applyProtection="1">
      <alignment horizontal="center"/>
    </xf>
    <xf numFmtId="164" fontId="97" fillId="0" borderId="0" xfId="5" applyNumberFormat="1" applyFont="1" applyFill="1" applyBorder="1" applyAlignment="1" applyProtection="1">
      <alignment horizontal="center"/>
    </xf>
    <xf numFmtId="0" fontId="99" fillId="0" borderId="0" xfId="0" applyFont="1" applyFill="1" applyBorder="1"/>
    <xf numFmtId="0" fontId="99" fillId="0" borderId="0" xfId="0" applyFont="1" applyFill="1"/>
    <xf numFmtId="0" fontId="95" fillId="15" borderId="21" xfId="3" applyFont="1" applyFill="1" applyBorder="1" applyAlignment="1">
      <alignment horizontal="center"/>
    </xf>
    <xf numFmtId="164" fontId="97" fillId="2" borderId="0" xfId="3" applyNumberFormat="1" applyFont="1" applyFill="1" applyBorder="1" applyAlignment="1">
      <alignment horizontal="center"/>
    </xf>
    <xf numFmtId="1" fontId="100" fillId="2" borderId="1" xfId="3" applyNumberFormat="1" applyFont="1" applyFill="1" applyBorder="1" applyAlignment="1">
      <alignment horizontal="center"/>
    </xf>
    <xf numFmtId="43" fontId="95" fillId="8" borderId="1" xfId="7" applyFont="1" applyFill="1" applyBorder="1" applyAlignment="1">
      <alignment horizontal="right" wrapText="1"/>
    </xf>
    <xf numFmtId="0" fontId="95" fillId="10" borderId="33" xfId="3" applyFont="1" applyFill="1" applyBorder="1" applyAlignment="1">
      <alignment horizontal="center" vertical="center"/>
    </xf>
    <xf numFmtId="0" fontId="95" fillId="10" borderId="0" xfId="3" applyFont="1" applyFill="1" applyBorder="1" applyAlignment="1">
      <alignment horizontal="center" vertical="center"/>
    </xf>
    <xf numFmtId="0" fontId="95" fillId="10" borderId="32" xfId="3" applyFont="1" applyFill="1" applyBorder="1" applyAlignment="1">
      <alignment horizontal="center" vertical="center"/>
    </xf>
    <xf numFmtId="2" fontId="95" fillId="10" borderId="25" xfId="3" applyNumberFormat="1" applyFont="1" applyFill="1" applyBorder="1" applyAlignment="1">
      <alignment horizontal="center" vertical="center"/>
    </xf>
    <xf numFmtId="0" fontId="101" fillId="10" borderId="25" xfId="4" applyFont="1" applyFill="1" applyBorder="1" applyAlignment="1">
      <alignment horizontal="center" vertical="center"/>
    </xf>
    <xf numFmtId="1" fontId="95" fillId="10" borderId="25" xfId="5" applyNumberFormat="1" applyFont="1" applyFill="1" applyBorder="1" applyAlignment="1">
      <alignment horizontal="center" vertical="center"/>
    </xf>
    <xf numFmtId="1" fontId="95" fillId="10" borderId="25" xfId="3" applyNumberFormat="1" applyFont="1" applyFill="1" applyBorder="1" applyAlignment="1">
      <alignment horizontal="center" vertical="center"/>
    </xf>
    <xf numFmtId="0" fontId="100" fillId="10" borderId="0" xfId="0" applyFont="1" applyFill="1" applyBorder="1" applyAlignment="1">
      <alignment horizontal="center" vertical="center"/>
    </xf>
    <xf numFmtId="1" fontId="95" fillId="10" borderId="31" xfId="5" applyNumberFormat="1" applyFont="1" applyFill="1" applyBorder="1" applyAlignment="1" applyProtection="1">
      <alignment horizontal="center" vertical="center"/>
    </xf>
    <xf numFmtId="0" fontId="100" fillId="0" borderId="0" xfId="0" applyFont="1" applyBorder="1"/>
    <xf numFmtId="0" fontId="100" fillId="0" borderId="4" xfId="0" applyFont="1" applyBorder="1" applyAlignment="1">
      <alignment horizontal="center"/>
    </xf>
    <xf numFmtId="0" fontId="100" fillId="0" borderId="1" xfId="0" applyFont="1" applyBorder="1" applyAlignment="1">
      <alignment horizontal="center"/>
    </xf>
    <xf numFmtId="1" fontId="100" fillId="0" borderId="1" xfId="0" applyNumberFormat="1" applyFont="1" applyBorder="1" applyAlignment="1">
      <alignment horizontal="center"/>
    </xf>
    <xf numFmtId="1" fontId="100" fillId="0" borderId="15" xfId="0" applyNumberFormat="1" applyFont="1" applyBorder="1" applyAlignment="1">
      <alignment horizontal="center"/>
    </xf>
    <xf numFmtId="0" fontId="100" fillId="0" borderId="1" xfId="0" applyFont="1" applyBorder="1" applyAlignment="1">
      <alignment horizontal="left"/>
    </xf>
    <xf numFmtId="0" fontId="100" fillId="0" borderId="1" xfId="0" applyFont="1" applyFill="1" applyBorder="1" applyAlignment="1">
      <alignment horizontal="center"/>
    </xf>
    <xf numFmtId="0" fontId="91" fillId="0" borderId="1" xfId="0" applyFont="1" applyFill="1" applyBorder="1" applyAlignment="1">
      <alignment horizontal="left"/>
    </xf>
    <xf numFmtId="0" fontId="91" fillId="0" borderId="4" xfId="0" applyFont="1" applyFill="1" applyBorder="1"/>
    <xf numFmtId="0" fontId="104" fillId="0" borderId="0" xfId="0" applyFont="1" applyFill="1"/>
    <xf numFmtId="0" fontId="100" fillId="0" borderId="1" xfId="0" applyFont="1" applyFill="1" applyBorder="1" applyAlignment="1">
      <alignment horizontal="left"/>
    </xf>
    <xf numFmtId="0" fontId="100" fillId="0" borderId="4" xfId="0" applyFont="1" applyFill="1" applyBorder="1" applyAlignment="1">
      <alignment horizontal="center"/>
    </xf>
    <xf numFmtId="0" fontId="100" fillId="0" borderId="1" xfId="0" applyFont="1" applyFill="1" applyBorder="1"/>
    <xf numFmtId="1" fontId="100" fillId="0" borderId="1" xfId="0" applyNumberFormat="1" applyFont="1" applyFill="1" applyBorder="1" applyAlignment="1">
      <alignment horizontal="center"/>
    </xf>
    <xf numFmtId="1" fontId="100" fillId="0" borderId="15" xfId="0" applyNumberFormat="1" applyFont="1" applyFill="1" applyBorder="1" applyAlignment="1">
      <alignment horizontal="center"/>
    </xf>
    <xf numFmtId="1" fontId="100" fillId="0" borderId="0" xfId="0" applyNumberFormat="1" applyFont="1" applyBorder="1" applyAlignment="1">
      <alignment horizontal="center"/>
    </xf>
    <xf numFmtId="1" fontId="100" fillId="0" borderId="35" xfId="0" applyNumberFormat="1" applyFont="1" applyBorder="1"/>
    <xf numFmtId="0" fontId="100" fillId="15" borderId="15" xfId="3" applyFont="1" applyFill="1" applyBorder="1" applyAlignment="1">
      <alignment horizontal="center"/>
    </xf>
    <xf numFmtId="0" fontId="95" fillId="12" borderId="1" xfId="4" applyFont="1" applyFill="1" applyBorder="1" applyAlignment="1">
      <alignment horizontal="center"/>
    </xf>
    <xf numFmtId="0" fontId="95" fillId="0" borderId="21" xfId="4" applyFont="1" applyBorder="1"/>
    <xf numFmtId="0" fontId="95" fillId="15" borderId="21" xfId="3" applyFont="1" applyFill="1" applyBorder="1" applyAlignment="1">
      <alignment horizontal="center" vertical="center"/>
    </xf>
    <xf numFmtId="1" fontId="95" fillId="15" borderId="1" xfId="5" applyNumberFormat="1" applyFont="1" applyFill="1" applyBorder="1" applyAlignment="1">
      <alignment horizontal="center"/>
    </xf>
    <xf numFmtId="1" fontId="95" fillId="15" borderId="15" xfId="5" applyNumberFormat="1" applyFont="1" applyFill="1" applyBorder="1" applyAlignment="1">
      <alignment horizontal="center"/>
    </xf>
    <xf numFmtId="0" fontId="101" fillId="0" borderId="1" xfId="4" applyFont="1" applyFill="1" applyBorder="1" applyAlignment="1">
      <alignment horizontal="center"/>
    </xf>
    <xf numFmtId="0" fontId="100" fillId="0" borderId="1" xfId="0" applyFont="1" applyBorder="1"/>
    <xf numFmtId="9" fontId="95" fillId="8" borderId="1" xfId="6" applyNumberFormat="1" applyFont="1" applyFill="1" applyBorder="1" applyAlignment="1">
      <alignment horizontal="center"/>
    </xf>
    <xf numFmtId="165" fontId="95" fillId="0" borderId="1" xfId="6" applyNumberFormat="1" applyFont="1" applyFill="1" applyBorder="1" applyAlignment="1"/>
    <xf numFmtId="1" fontId="95" fillId="8" borderId="1" xfId="5" applyNumberFormat="1" applyFont="1" applyFill="1" applyBorder="1" applyAlignment="1">
      <alignment horizontal="right"/>
    </xf>
    <xf numFmtId="0" fontId="107" fillId="0" borderId="0" xfId="4" applyFont="1"/>
    <xf numFmtId="0" fontId="95" fillId="8" borderId="7" xfId="3" applyFont="1" applyFill="1" applyBorder="1" applyAlignment="1">
      <alignment horizontal="center"/>
    </xf>
    <xf numFmtId="2" fontId="95" fillId="8" borderId="7" xfId="3" applyNumberFormat="1" applyFont="1" applyFill="1" applyBorder="1" applyAlignment="1">
      <alignment horizontal="center"/>
    </xf>
    <xf numFmtId="9" fontId="95" fillId="8" borderId="7" xfId="6" applyNumberFormat="1" applyFont="1" applyFill="1" applyBorder="1" applyAlignment="1">
      <alignment horizontal="center"/>
    </xf>
    <xf numFmtId="2" fontId="95" fillId="8" borderId="7" xfId="3" applyNumberFormat="1" applyFont="1" applyFill="1" applyBorder="1" applyAlignment="1">
      <alignment horizontal="right"/>
    </xf>
    <xf numFmtId="1" fontId="95" fillId="8" borderId="23" xfId="5" applyNumberFormat="1" applyFont="1" applyFill="1" applyBorder="1" applyAlignment="1" applyProtection="1">
      <alignment horizontal="center"/>
    </xf>
    <xf numFmtId="0" fontId="91" fillId="0" borderId="0" xfId="0" applyFont="1"/>
    <xf numFmtId="1" fontId="91" fillId="0" borderId="0" xfId="0" applyNumberFormat="1" applyFont="1" applyAlignment="1">
      <alignment horizontal="center"/>
    </xf>
    <xf numFmtId="1" fontId="91" fillId="0" borderId="0" xfId="0" applyNumberFormat="1" applyFont="1"/>
    <xf numFmtId="0" fontId="100" fillId="0" borderId="0" xfId="0" applyFont="1"/>
    <xf numFmtId="1" fontId="100" fillId="0" borderId="0" xfId="0" applyNumberFormat="1" applyFont="1" applyAlignment="1">
      <alignment horizontal="center"/>
    </xf>
    <xf numFmtId="1" fontId="100" fillId="0" borderId="0" xfId="0" applyNumberFormat="1" applyFont="1"/>
    <xf numFmtId="0" fontId="94" fillId="0" borderId="0" xfId="0" applyFont="1" applyAlignment="1">
      <alignment horizontal="center" vertical="center"/>
    </xf>
    <xf numFmtId="0" fontId="104" fillId="0" borderId="0" xfId="0" applyFont="1" applyAlignment="1">
      <alignment horizontal="center" vertical="center"/>
    </xf>
    <xf numFmtId="1" fontId="94" fillId="0" borderId="0" xfId="0" applyNumberFormat="1" applyFont="1" applyAlignment="1">
      <alignment horizontal="center" vertical="center"/>
    </xf>
    <xf numFmtId="0" fontId="99" fillId="0" borderId="0" xfId="0" applyFont="1" applyAlignment="1">
      <alignment horizontal="center" vertical="center"/>
    </xf>
    <xf numFmtId="0" fontId="99" fillId="0" borderId="0" xfId="0" applyFont="1" applyFill="1" applyAlignment="1">
      <alignment horizontal="center" vertical="center"/>
    </xf>
    <xf numFmtId="1" fontId="99" fillId="0" borderId="0" xfId="0" applyNumberFormat="1" applyFont="1" applyFill="1" applyAlignment="1">
      <alignment horizontal="center" vertical="center"/>
    </xf>
    <xf numFmtId="0" fontId="104" fillId="0" borderId="0" xfId="0" applyFont="1" applyFill="1" applyAlignment="1">
      <alignment horizontal="center" vertical="center"/>
    </xf>
    <xf numFmtId="0" fontId="90" fillId="0" borderId="0" xfId="0" applyFont="1" applyFill="1" applyAlignment="1">
      <alignment horizontal="center" vertical="center"/>
    </xf>
    <xf numFmtId="0" fontId="95" fillId="0" borderId="1" xfId="0" applyFont="1" applyBorder="1" applyAlignment="1">
      <alignment horizontal="center"/>
    </xf>
    <xf numFmtId="1" fontId="95" fillId="0" borderId="1" xfId="0" applyNumberFormat="1" applyFont="1" applyBorder="1" applyAlignment="1">
      <alignment horizontal="center"/>
    </xf>
    <xf numFmtId="1" fontId="95" fillId="12" borderId="1" xfId="5" applyNumberFormat="1" applyFont="1" applyFill="1" applyBorder="1" applyAlignment="1">
      <alignment horizontal="center" vertical="center"/>
    </xf>
    <xf numFmtId="174" fontId="99" fillId="0" borderId="0" xfId="0" applyNumberFormat="1" applyFont="1" applyFill="1" applyAlignment="1">
      <alignment horizontal="center" vertical="center"/>
    </xf>
    <xf numFmtId="171" fontId="94" fillId="0" borderId="0" xfId="0" applyNumberFormat="1" applyFont="1" applyAlignment="1">
      <alignment horizontal="center" vertical="center"/>
    </xf>
    <xf numFmtId="164" fontId="94" fillId="0" borderId="0" xfId="0" applyNumberFormat="1" applyFont="1" applyAlignment="1">
      <alignment horizontal="center" vertical="center"/>
    </xf>
    <xf numFmtId="9" fontId="95" fillId="9" borderId="1" xfId="4" applyNumberFormat="1" applyFont="1" applyFill="1" applyBorder="1" applyAlignment="1">
      <alignment horizontal="center"/>
    </xf>
    <xf numFmtId="164" fontId="76" fillId="12" borderId="1" xfId="5" applyNumberFormat="1" applyFont="1" applyFill="1" applyBorder="1" applyAlignment="1">
      <alignment horizontal="center" vertical="center"/>
    </xf>
    <xf numFmtId="2" fontId="74" fillId="8" borderId="0" xfId="3" applyNumberFormat="1" applyFont="1" applyFill="1" applyBorder="1" applyAlignment="1">
      <alignment horizontal="center"/>
    </xf>
    <xf numFmtId="2" fontId="50" fillId="0" borderId="0" xfId="0" applyNumberFormat="1" applyFont="1" applyBorder="1"/>
    <xf numFmtId="168" fontId="74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59" fillId="12" borderId="1" xfId="0" applyFont="1" applyFill="1" applyBorder="1"/>
    <xf numFmtId="1" fontId="83" fillId="0" borderId="0" xfId="0" applyNumberFormat="1" applyFont="1" applyBorder="1"/>
    <xf numFmtId="1" fontId="69" fillId="2" borderId="0" xfId="0" applyNumberFormat="1" applyFont="1" applyFill="1"/>
    <xf numFmtId="1" fontId="15" fillId="0" borderId="1" xfId="0" applyNumberFormat="1" applyFont="1" applyFill="1" applyBorder="1" applyAlignment="1">
      <alignment horizontal="center" wrapText="1"/>
    </xf>
    <xf numFmtId="170" fontId="33" fillId="9" borderId="1" xfId="3" applyNumberFormat="1" applyFont="1" applyFill="1" applyBorder="1" applyAlignment="1">
      <alignment horizontal="center"/>
    </xf>
    <xf numFmtId="170" fontId="109" fillId="9" borderId="1" xfId="3" applyNumberFormat="1" applyFont="1" applyFill="1" applyBorder="1" applyAlignment="1">
      <alignment horizontal="center"/>
    </xf>
    <xf numFmtId="0" fontId="69" fillId="2" borderId="1" xfId="4" applyFont="1" applyFill="1" applyBorder="1" applyAlignment="1">
      <alignment horizontal="center" vertical="center"/>
    </xf>
    <xf numFmtId="164" fontId="76" fillId="2" borderId="1" xfId="5" applyNumberFormat="1" applyFont="1" applyFill="1" applyBorder="1" applyAlignment="1">
      <alignment horizontal="center" vertical="center"/>
    </xf>
    <xf numFmtId="1" fontId="85" fillId="2" borderId="1" xfId="5" applyNumberFormat="1" applyFont="1" applyFill="1" applyBorder="1" applyAlignment="1">
      <alignment horizontal="center" vertical="center"/>
    </xf>
    <xf numFmtId="0" fontId="110" fillId="0" borderId="0" xfId="0" applyFont="1"/>
    <xf numFmtId="0" fontId="15" fillId="0" borderId="1" xfId="0" applyFont="1" applyBorder="1" applyAlignment="1">
      <alignment horizontal="center" wrapText="1"/>
    </xf>
    <xf numFmtId="0" fontId="15" fillId="0" borderId="30" xfId="0" applyFont="1" applyBorder="1" applyAlignment="1">
      <alignment horizontal="center" wrapText="1"/>
    </xf>
    <xf numFmtId="16" fontId="15" fillId="0" borderId="1" xfId="0" applyNumberFormat="1" applyFont="1" applyBorder="1" applyAlignment="1">
      <alignment horizontal="center" wrapText="1"/>
    </xf>
    <xf numFmtId="1" fontId="15" fillId="0" borderId="1" xfId="0" applyNumberFormat="1" applyFont="1" applyBorder="1" applyAlignment="1">
      <alignment horizontal="center" wrapText="1"/>
    </xf>
    <xf numFmtId="16" fontId="15" fillId="0" borderId="1" xfId="0" applyNumberFormat="1" applyFont="1" applyFill="1" applyBorder="1" applyAlignment="1">
      <alignment horizontal="center" wrapText="1"/>
    </xf>
    <xf numFmtId="0" fontId="15" fillId="0" borderId="1" xfId="0" applyFont="1" applyFill="1" applyBorder="1" applyAlignment="1">
      <alignment horizontal="center" wrapText="1"/>
    </xf>
    <xf numFmtId="0" fontId="110" fillId="0" borderId="0" xfId="0" applyFont="1" applyFill="1"/>
    <xf numFmtId="1" fontId="15" fillId="2" borderId="1" xfId="0" applyNumberFormat="1" applyFont="1" applyFill="1" applyBorder="1" applyAlignment="1">
      <alignment horizontal="center" wrapText="1"/>
    </xf>
    <xf numFmtId="1" fontId="111" fillId="0" borderId="1" xfId="0" applyNumberFormat="1" applyFont="1" applyFill="1" applyBorder="1" applyAlignment="1">
      <alignment horizontal="center" wrapText="1"/>
    </xf>
    <xf numFmtId="1" fontId="110" fillId="0" borderId="0" xfId="0" applyNumberFormat="1" applyFont="1"/>
    <xf numFmtId="1" fontId="110" fillId="0" borderId="0" xfId="0" applyNumberFormat="1" applyFont="1" applyFill="1"/>
    <xf numFmtId="0" fontId="74" fillId="2" borderId="1" xfId="0" applyFont="1" applyFill="1" applyBorder="1" applyAlignment="1">
      <alignment horizontal="center"/>
    </xf>
    <xf numFmtId="164" fontId="74" fillId="12" borderId="1" xfId="5" applyNumberFormat="1" applyFont="1" applyFill="1" applyBorder="1" applyAlignment="1">
      <alignment horizontal="center" vertical="center"/>
    </xf>
    <xf numFmtId="1" fontId="74" fillId="12" borderId="1" xfId="5" applyNumberFormat="1" applyFont="1" applyFill="1" applyBorder="1" applyAlignment="1">
      <alignment horizontal="center" vertical="center"/>
    </xf>
    <xf numFmtId="1" fontId="92" fillId="0" borderId="1" xfId="0" applyNumberFormat="1" applyFont="1" applyBorder="1" applyAlignment="1">
      <alignment horizontal="center" wrapText="1"/>
    </xf>
    <xf numFmtId="1" fontId="111" fillId="0" borderId="1" xfId="0" applyNumberFormat="1" applyFont="1" applyBorder="1" applyAlignment="1">
      <alignment horizontal="center" wrapText="1"/>
    </xf>
    <xf numFmtId="1" fontId="85" fillId="2" borderId="1" xfId="3" applyNumberFormat="1" applyFont="1" applyFill="1" applyBorder="1" applyAlignment="1">
      <alignment horizontal="center"/>
    </xf>
    <xf numFmtId="1" fontId="85" fillId="2" borderId="15" xfId="5" applyNumberFormat="1" applyFont="1" applyFill="1" applyBorder="1" applyAlignment="1" applyProtection="1">
      <alignment horizontal="center"/>
    </xf>
    <xf numFmtId="169" fontId="76" fillId="8" borderId="1" xfId="5" applyNumberFormat="1" applyFont="1" applyFill="1" applyBorder="1" applyAlignment="1" applyProtection="1">
      <alignment vertical="center"/>
    </xf>
    <xf numFmtId="1" fontId="69" fillId="22" borderId="1" xfId="5" applyNumberFormat="1" applyFont="1" applyFill="1" applyBorder="1" applyAlignment="1">
      <alignment horizontal="center" vertical="center"/>
    </xf>
    <xf numFmtId="0" fontId="69" fillId="12" borderId="1" xfId="4" applyFont="1" applyFill="1" applyBorder="1" applyAlignment="1">
      <alignment horizontal="center" vertical="center"/>
    </xf>
    <xf numFmtId="0" fontId="69" fillId="10" borderId="1" xfId="4" applyFont="1" applyFill="1" applyBorder="1" applyAlignment="1">
      <alignment horizontal="center"/>
    </xf>
    <xf numFmtId="1" fontId="69" fillId="10" borderId="1" xfId="5" applyNumberFormat="1" applyFont="1" applyFill="1" applyBorder="1" applyAlignment="1">
      <alignment horizontal="center" vertical="center"/>
    </xf>
    <xf numFmtId="1" fontId="69" fillId="17" borderId="1" xfId="5" applyNumberFormat="1" applyFont="1" applyFill="1" applyBorder="1" applyAlignment="1">
      <alignment horizontal="center" vertical="center"/>
    </xf>
    <xf numFmtId="0" fontId="75" fillId="10" borderId="1" xfId="4" applyFont="1" applyFill="1" applyBorder="1" applyAlignment="1">
      <alignment horizontal="center"/>
    </xf>
    <xf numFmtId="0" fontId="75" fillId="22" borderId="1" xfId="4" applyFont="1" applyFill="1" applyBorder="1" applyAlignment="1">
      <alignment horizontal="center"/>
    </xf>
    <xf numFmtId="0" fontId="69" fillId="22" borderId="1" xfId="4" applyFont="1" applyFill="1" applyBorder="1" applyAlignment="1">
      <alignment horizontal="center"/>
    </xf>
    <xf numFmtId="0" fontId="69" fillId="17" borderId="1" xfId="4" applyFont="1" applyFill="1" applyBorder="1" applyAlignment="1">
      <alignment horizontal="center"/>
    </xf>
    <xf numFmtId="0" fontId="62" fillId="2" borderId="1" xfId="3" applyFont="1" applyFill="1" applyBorder="1" applyAlignment="1">
      <alignment horizontal="left" vertical="justify"/>
    </xf>
    <xf numFmtId="0" fontId="69" fillId="12" borderId="1" xfId="3" applyNumberFormat="1" applyFont="1" applyFill="1" applyBorder="1" applyAlignment="1">
      <alignment horizontal="center"/>
    </xf>
    <xf numFmtId="1" fontId="92" fillId="2" borderId="1" xfId="0" applyNumberFormat="1" applyFont="1" applyFill="1" applyBorder="1" applyAlignment="1">
      <alignment horizontal="center" wrapText="1"/>
    </xf>
    <xf numFmtId="1" fontId="92" fillId="12" borderId="1" xfId="0" applyNumberFormat="1" applyFont="1" applyFill="1" applyBorder="1" applyAlignment="1">
      <alignment horizontal="center" wrapText="1"/>
    </xf>
    <xf numFmtId="0" fontId="59" fillId="0" borderId="1" xfId="0" applyFont="1" applyFill="1" applyBorder="1" applyAlignment="1">
      <alignment vertical="center" wrapText="1"/>
    </xf>
    <xf numFmtId="0" fontId="59" fillId="0" borderId="1" xfId="0" applyFont="1" applyFill="1" applyBorder="1"/>
    <xf numFmtId="0" fontId="63" fillId="0" borderId="21" xfId="3" applyFont="1" applyFill="1" applyBorder="1" applyAlignment="1">
      <alignment horizontal="left"/>
    </xf>
    <xf numFmtId="0" fontId="63" fillId="0" borderId="1" xfId="3" applyFont="1" applyFill="1" applyBorder="1" applyAlignment="1">
      <alignment horizontal="left"/>
    </xf>
    <xf numFmtId="2" fontId="69" fillId="0" borderId="1" xfId="3" applyNumberFormat="1" applyFont="1" applyFill="1" applyBorder="1" applyAlignment="1">
      <alignment horizontal="right"/>
    </xf>
    <xf numFmtId="1" fontId="112" fillId="0" borderId="0" xfId="0" applyNumberFormat="1" applyFont="1"/>
    <xf numFmtId="1" fontId="113" fillId="0" borderId="0" xfId="0" applyNumberFormat="1" applyFont="1"/>
    <xf numFmtId="49" fontId="100" fillId="0" borderId="0" xfId="0" applyNumberFormat="1" applyFont="1"/>
    <xf numFmtId="1" fontId="114" fillId="0" borderId="1" xfId="0" applyNumberFormat="1" applyFont="1" applyFill="1" applyBorder="1" applyAlignment="1">
      <alignment horizontal="center" wrapText="1"/>
    </xf>
    <xf numFmtId="170" fontId="99" fillId="9" borderId="1" xfId="3" applyNumberFormat="1" applyFont="1" applyFill="1" applyBorder="1" applyAlignment="1">
      <alignment horizontal="center"/>
    </xf>
    <xf numFmtId="1" fontId="15" fillId="15" borderId="1" xfId="0" applyNumberFormat="1" applyFont="1" applyFill="1" applyBorder="1" applyAlignment="1">
      <alignment horizontal="center" wrapText="1"/>
    </xf>
    <xf numFmtId="0" fontId="110" fillId="15" borderId="0" xfId="0" applyFont="1" applyFill="1"/>
    <xf numFmtId="1" fontId="110" fillId="15" borderId="0" xfId="0" applyNumberFormat="1" applyFont="1" applyFill="1"/>
    <xf numFmtId="16" fontId="15" fillId="0" borderId="25" xfId="0" applyNumberFormat="1" applyFont="1" applyBorder="1" applyAlignment="1">
      <alignment horizontal="center" wrapText="1"/>
    </xf>
    <xf numFmtId="16" fontId="15" fillId="0" borderId="0" xfId="0" applyNumberFormat="1" applyFont="1" applyBorder="1" applyAlignment="1">
      <alignment horizontal="center" wrapText="1"/>
    </xf>
    <xf numFmtId="0" fontId="110" fillId="0" borderId="0" xfId="0" applyFont="1" applyBorder="1"/>
    <xf numFmtId="0" fontId="116" fillId="0" borderId="1" xfId="0" applyFont="1" applyBorder="1"/>
    <xf numFmtId="0" fontId="110" fillId="0" borderId="1" xfId="0" applyFont="1" applyBorder="1"/>
    <xf numFmtId="0" fontId="110" fillId="22" borderId="1" xfId="0" applyFont="1" applyFill="1" applyBorder="1"/>
    <xf numFmtId="0" fontId="115" fillId="0" borderId="1" xfId="0" applyFont="1" applyBorder="1"/>
    <xf numFmtId="1" fontId="117" fillId="21" borderId="1" xfId="3" applyNumberFormat="1" applyFont="1" applyFill="1" applyBorder="1" applyAlignment="1">
      <alignment horizontal="center"/>
    </xf>
    <xf numFmtId="0" fontId="117" fillId="21" borderId="1" xfId="3" applyNumberFormat="1" applyFont="1" applyFill="1" applyBorder="1" applyAlignment="1">
      <alignment horizontal="center"/>
    </xf>
    <xf numFmtId="1" fontId="117" fillId="21" borderId="15" xfId="5" applyNumberFormat="1" applyFont="1" applyFill="1" applyBorder="1" applyAlignment="1" applyProtection="1">
      <alignment horizontal="center"/>
    </xf>
    <xf numFmtId="2" fontId="117" fillId="21" borderId="1" xfId="3" applyNumberFormat="1" applyFont="1" applyFill="1" applyBorder="1" applyAlignment="1">
      <alignment horizontal="center"/>
    </xf>
    <xf numFmtId="1" fontId="117" fillId="8" borderId="1" xfId="3" applyNumberFormat="1" applyFont="1" applyFill="1" applyBorder="1" applyAlignment="1">
      <alignment horizontal="center"/>
    </xf>
    <xf numFmtId="2" fontId="117" fillId="2" borderId="1" xfId="3" applyNumberFormat="1" applyFont="1" applyFill="1" applyBorder="1" applyAlignment="1">
      <alignment horizontal="center"/>
    </xf>
    <xf numFmtId="1" fontId="117" fillId="8" borderId="15" xfId="5" applyNumberFormat="1" applyFont="1" applyFill="1" applyBorder="1" applyAlignment="1" applyProtection="1">
      <alignment horizontal="center"/>
    </xf>
    <xf numFmtId="0" fontId="117" fillId="15" borderId="1" xfId="3" applyFont="1" applyFill="1" applyBorder="1" applyAlignment="1">
      <alignment horizontal="center"/>
    </xf>
    <xf numFmtId="0" fontId="117" fillId="15" borderId="15" xfId="3" applyFont="1" applyFill="1" applyBorder="1" applyAlignment="1">
      <alignment horizontal="center"/>
    </xf>
    <xf numFmtId="0" fontId="117" fillId="2" borderId="1" xfId="3" applyNumberFormat="1" applyFont="1" applyFill="1" applyBorder="1" applyAlignment="1">
      <alignment horizontal="center"/>
    </xf>
    <xf numFmtId="0" fontId="117" fillId="8" borderId="1" xfId="3" applyFont="1" applyFill="1" applyBorder="1" applyAlignment="1">
      <alignment horizontal="center"/>
    </xf>
    <xf numFmtId="1" fontId="117" fillId="15" borderId="1" xfId="3" applyNumberFormat="1" applyFont="1" applyFill="1" applyBorder="1" applyAlignment="1">
      <alignment horizontal="center"/>
    </xf>
    <xf numFmtId="0" fontId="117" fillId="21" borderId="1" xfId="3" applyFont="1" applyFill="1" applyBorder="1" applyAlignment="1">
      <alignment horizontal="center"/>
    </xf>
    <xf numFmtId="1" fontId="117" fillId="21" borderId="1" xfId="4" applyNumberFormat="1" applyFont="1" applyFill="1" applyBorder="1" applyAlignment="1">
      <alignment horizontal="center"/>
    </xf>
    <xf numFmtId="0" fontId="118" fillId="0" borderId="0" xfId="2" applyFont="1" applyAlignment="1" applyProtection="1"/>
    <xf numFmtId="2" fontId="118" fillId="0" borderId="0" xfId="2" applyNumberFormat="1" applyFont="1" applyAlignment="1" applyProtection="1"/>
    <xf numFmtId="0" fontId="63" fillId="0" borderId="21" xfId="3" applyFont="1" applyFill="1" applyBorder="1" applyAlignment="1">
      <alignment horizontal="left" vertical="center"/>
    </xf>
    <xf numFmtId="0" fontId="62" fillId="0" borderId="1" xfId="3" applyFont="1" applyFill="1" applyBorder="1" applyAlignment="1">
      <alignment horizontal="left" vertical="justify"/>
    </xf>
    <xf numFmtId="1" fontId="51" fillId="0" borderId="0" xfId="5" applyNumberFormat="1" applyFont="1" applyFill="1" applyBorder="1" applyAlignment="1" applyProtection="1">
      <alignment horizontal="center"/>
    </xf>
    <xf numFmtId="0" fontId="50" fillId="0" borderId="0" xfId="0" applyFont="1" applyFill="1" applyBorder="1"/>
    <xf numFmtId="0" fontId="62" fillId="0" borderId="1" xfId="3" applyFont="1" applyFill="1" applyBorder="1" applyAlignment="1">
      <alignment horizontal="left" vertical="center"/>
    </xf>
    <xf numFmtId="1" fontId="69" fillId="0" borderId="1" xfId="3" applyNumberFormat="1" applyFont="1" applyFill="1" applyBorder="1" applyAlignment="1">
      <alignment horizontal="center" vertical="center"/>
    </xf>
    <xf numFmtId="2" fontId="63" fillId="0" borderId="21" xfId="3" applyNumberFormat="1" applyFont="1" applyFill="1" applyBorder="1" applyAlignment="1">
      <alignment horizontal="left" vertical="center"/>
    </xf>
    <xf numFmtId="2" fontId="62" fillId="0" borderId="1" xfId="3" applyNumberFormat="1" applyFont="1" applyFill="1" applyBorder="1" applyAlignment="1">
      <alignment horizontal="left" vertical="center"/>
    </xf>
    <xf numFmtId="0" fontId="51" fillId="0" borderId="0" xfId="3" applyFont="1" applyFill="1" applyBorder="1" applyAlignment="1">
      <alignment horizontal="center"/>
    </xf>
    <xf numFmtId="170" fontId="16" fillId="9" borderId="1" xfId="3" applyNumberFormat="1" applyFont="1" applyFill="1" applyBorder="1" applyAlignment="1">
      <alignment horizontal="center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110" fillId="17" borderId="5" xfId="0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1" fillId="0" borderId="1" xfId="0" applyFont="1" applyFill="1" applyBorder="1" applyAlignment="1">
      <alignment horizontal="left"/>
    </xf>
    <xf numFmtId="0" fontId="61" fillId="0" borderId="1" xfId="0" applyFont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3" fillId="9" borderId="2" xfId="3" applyFont="1" applyFill="1" applyBorder="1" applyAlignment="1">
      <alignment horizontal="center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6" fillId="9" borderId="2" xfId="3" applyFont="1" applyFill="1" applyBorder="1" applyAlignment="1">
      <alignment horizontal="center"/>
    </xf>
    <xf numFmtId="0" fontId="16" fillId="9" borderId="4" xfId="3" applyFont="1" applyFill="1" applyBorder="1" applyAlignment="1">
      <alignment horizontal="center"/>
    </xf>
    <xf numFmtId="0" fontId="95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119" fillId="0" borderId="36" xfId="17" applyFont="1" applyBorder="1" applyAlignment="1">
      <alignment horizontal="center"/>
    </xf>
    <xf numFmtId="0" fontId="120" fillId="0" borderId="36" xfId="17" applyFont="1" applyBorder="1" applyAlignment="1">
      <alignment horizontal="center"/>
    </xf>
    <xf numFmtId="1" fontId="120" fillId="0" borderId="36" xfId="17" applyNumberFormat="1" applyFont="1" applyBorder="1" applyAlignment="1">
      <alignment horizontal="center"/>
    </xf>
    <xf numFmtId="1" fontId="119" fillId="0" borderId="36" xfId="17" applyNumberFormat="1" applyFont="1" applyBorder="1" applyAlignment="1">
      <alignment horizontal="center" wrapText="1"/>
    </xf>
    <xf numFmtId="0" fontId="119" fillId="0" borderId="36" xfId="17" applyFont="1" applyBorder="1" applyAlignment="1">
      <alignment horizontal="center" wrapText="1"/>
    </xf>
    <xf numFmtId="0" fontId="119" fillId="0" borderId="0" xfId="17" applyFont="1" applyAlignment="1">
      <alignment wrapText="1"/>
    </xf>
    <xf numFmtId="0" fontId="119" fillId="0" borderId="0" xfId="17" applyFont="1"/>
    <xf numFmtId="0" fontId="15" fillId="0" borderId="0" xfId="17" applyFont="1" applyAlignment="1">
      <alignment horizontal="center"/>
    </xf>
    <xf numFmtId="0" fontId="92" fillId="0" borderId="0" xfId="17" applyFont="1" applyAlignment="1">
      <alignment horizontal="center"/>
    </xf>
    <xf numFmtId="1" fontId="92" fillId="0" borderId="0" xfId="17" applyNumberFormat="1" applyFont="1" applyAlignment="1">
      <alignment horizontal="center"/>
    </xf>
    <xf numFmtId="1" fontId="1" fillId="0" borderId="0" xfId="17" applyNumberFormat="1" applyAlignment="1">
      <alignment horizontal="center"/>
    </xf>
    <xf numFmtId="2" fontId="1" fillId="0" borderId="0" xfId="17" applyNumberFormat="1" applyAlignment="1">
      <alignment horizontal="center"/>
    </xf>
    <xf numFmtId="2" fontId="1" fillId="0" borderId="0" xfId="17" applyNumberFormat="1"/>
    <xf numFmtId="0" fontId="1" fillId="0" borderId="0" xfId="17"/>
    <xf numFmtId="0" fontId="1" fillId="0" borderId="0" xfId="17" applyAlignment="1">
      <alignment horizontal="center"/>
    </xf>
    <xf numFmtId="0" fontId="69" fillId="0" borderId="1" xfId="3" applyFont="1" applyFill="1" applyBorder="1" applyAlignment="1">
      <alignment horizontal="center" vertical="center"/>
    </xf>
    <xf numFmtId="0" fontId="123" fillId="21" borderId="1" xfId="3" applyFont="1" applyFill="1" applyBorder="1" applyAlignment="1">
      <alignment horizontal="center"/>
    </xf>
    <xf numFmtId="0" fontId="123" fillId="21" borderId="1" xfId="4" applyFont="1" applyFill="1" applyBorder="1" applyAlignment="1">
      <alignment horizontal="center"/>
    </xf>
    <xf numFmtId="1" fontId="53" fillId="2" borderId="0" xfId="5" applyNumberFormat="1" applyFont="1" applyFill="1" applyBorder="1" applyAlignment="1" applyProtection="1">
      <alignment horizontal="center"/>
    </xf>
    <xf numFmtId="0" fontId="124" fillId="0" borderId="0" xfId="0" applyFont="1" applyBorder="1"/>
    <xf numFmtId="0" fontId="124" fillId="0" borderId="0" xfId="0" applyFont="1"/>
    <xf numFmtId="1" fontId="124" fillId="0" borderId="0" xfId="0" applyNumberFormat="1" applyFont="1"/>
    <xf numFmtId="0" fontId="121" fillId="21" borderId="21" xfId="3" applyFont="1" applyFill="1" applyBorder="1" applyAlignment="1">
      <alignment horizontal="left" vertical="center"/>
    </xf>
    <xf numFmtId="0" fontId="122" fillId="21" borderId="1" xfId="3" applyFont="1" applyFill="1" applyBorder="1" applyAlignment="1">
      <alignment horizontal="left" vertical="center"/>
    </xf>
    <xf numFmtId="1" fontId="125" fillId="21" borderId="1" xfId="3" applyNumberFormat="1" applyFont="1" applyFill="1" applyBorder="1" applyAlignment="1">
      <alignment horizontal="center"/>
    </xf>
    <xf numFmtId="0" fontId="125" fillId="21" borderId="1" xfId="3" applyNumberFormat="1" applyFont="1" applyFill="1" applyBorder="1" applyAlignment="1">
      <alignment horizontal="center"/>
    </xf>
    <xf numFmtId="1" fontId="125" fillId="21" borderId="15" xfId="5" applyNumberFormat="1" applyFont="1" applyFill="1" applyBorder="1" applyAlignment="1" applyProtection="1">
      <alignment horizontal="center"/>
    </xf>
    <xf numFmtId="1" fontId="125" fillId="21" borderId="1" xfId="5" applyNumberFormat="1" applyFont="1" applyFill="1" applyBorder="1" applyAlignment="1">
      <alignment horizontal="center" vertical="center"/>
    </xf>
    <xf numFmtId="2" fontId="125" fillId="21" borderId="1" xfId="3" applyNumberFormat="1" applyFont="1" applyFill="1" applyBorder="1" applyAlignment="1">
      <alignment horizontal="center"/>
    </xf>
    <xf numFmtId="0" fontId="68" fillId="21" borderId="21" xfId="3" applyFont="1" applyFill="1" applyBorder="1" applyAlignment="1">
      <alignment horizontal="left"/>
    </xf>
    <xf numFmtId="0" fontId="70" fillId="21" borderId="1" xfId="3" applyFont="1" applyFill="1" applyBorder="1" applyAlignment="1">
      <alignment horizontal="left"/>
    </xf>
    <xf numFmtId="0" fontId="74" fillId="21" borderId="1" xfId="3" applyFont="1" applyFill="1" applyBorder="1" applyAlignment="1">
      <alignment horizontal="center"/>
    </xf>
    <xf numFmtId="0" fontId="50" fillId="0" borderId="0" xfId="0" applyFont="1" applyFill="1" applyAlignment="1">
      <alignment horizontal="center"/>
    </xf>
    <xf numFmtId="0" fontId="37" fillId="0" borderId="0" xfId="0" applyFont="1" applyFill="1" applyAlignment="1">
      <alignment horizontal="center"/>
    </xf>
    <xf numFmtId="0" fontId="63" fillId="0" borderId="1" xfId="4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71" fillId="0" borderId="1" xfId="0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3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3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0" fontId="71" fillId="0" borderId="1" xfId="0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2" fontId="51" fillId="12" borderId="0" xfId="5" applyNumberFormat="1" applyFont="1" applyFill="1" applyBorder="1" applyAlignment="1" applyProtection="1">
      <alignment horizontal="center"/>
    </xf>
    <xf numFmtId="0" fontId="50" fillId="12" borderId="0" xfId="0" applyFont="1" applyFill="1" applyBorder="1"/>
    <xf numFmtId="0" fontId="63" fillId="15" borderId="15" xfId="3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63" fillId="0" borderId="21" xfId="4" applyFont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center"/>
    </xf>
    <xf numFmtId="1" fontId="69" fillId="12" borderId="1" xfId="3" applyNumberFormat="1" applyFont="1" applyFill="1" applyBorder="1" applyAlignment="1">
      <alignment horizontal="center" vertical="center"/>
    </xf>
    <xf numFmtId="0" fontId="33" fillId="2" borderId="1" xfId="4" applyFont="1" applyFill="1" applyBorder="1" applyAlignment="1">
      <alignment horizontal="center" vertical="center"/>
    </xf>
    <xf numFmtId="0" fontId="101" fillId="12" borderId="1" xfId="4" applyFont="1" applyFill="1" applyBorder="1" applyAlignment="1">
      <alignment horizontal="center" wrapText="1"/>
    </xf>
    <xf numFmtId="1" fontId="69" fillId="2" borderId="1" xfId="4" applyNumberFormat="1" applyFont="1" applyFill="1" applyBorder="1" applyAlignment="1">
      <alignment horizontal="center" vertical="center"/>
    </xf>
    <xf numFmtId="16" fontId="3" fillId="2" borderId="0" xfId="1" applyNumberFormat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" fillId="0" borderId="19" xfId="1" applyFont="1" applyFill="1" applyBorder="1" applyAlignment="1">
      <alignment horizontal="center" vertical="center" wrapText="1"/>
    </xf>
    <xf numFmtId="0" fontId="2" fillId="0" borderId="14" xfId="1" applyFont="1" applyFill="1" applyBorder="1" applyAlignment="1">
      <alignment horizontal="center" vertical="center" wrapText="1"/>
    </xf>
    <xf numFmtId="0" fontId="2" fillId="0" borderId="20" xfId="1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110" fillId="16" borderId="5" xfId="0" applyFont="1" applyFill="1" applyBorder="1" applyAlignment="1">
      <alignment horizontal="center"/>
    </xf>
    <xf numFmtId="0" fontId="110" fillId="17" borderId="5" xfId="0" applyFont="1" applyFill="1" applyBorder="1" applyAlignment="1">
      <alignment horizontal="center"/>
    </xf>
    <xf numFmtId="0" fontId="110" fillId="19" borderId="5" xfId="0" applyFont="1" applyFill="1" applyBorder="1" applyAlignment="1">
      <alignment horizontal="center"/>
    </xf>
    <xf numFmtId="0" fontId="63" fillId="0" borderId="1" xfId="4" applyFont="1" applyBorder="1" applyAlignment="1">
      <alignment horizontal="left"/>
    </xf>
    <xf numFmtId="0" fontId="67" fillId="0" borderId="16" xfId="4" applyFont="1" applyBorder="1" applyAlignment="1">
      <alignment horizontal="left"/>
    </xf>
    <xf numFmtId="0" fontId="67" fillId="0" borderId="3" xfId="4" applyFont="1" applyBorder="1" applyAlignment="1">
      <alignment horizontal="left"/>
    </xf>
    <xf numFmtId="0" fontId="67" fillId="0" borderId="4" xfId="4" applyFont="1" applyBorder="1" applyAlignment="1">
      <alignment horizontal="left"/>
    </xf>
    <xf numFmtId="0" fontId="63" fillId="0" borderId="16" xfId="4" applyFont="1" applyBorder="1" applyAlignment="1">
      <alignment horizontal="left"/>
    </xf>
    <xf numFmtId="0" fontId="63" fillId="0" borderId="3" xfId="4" applyFont="1" applyBorder="1" applyAlignment="1">
      <alignment horizontal="left"/>
    </xf>
    <xf numFmtId="0" fontId="63" fillId="0" borderId="4" xfId="4" applyFont="1" applyBorder="1" applyAlignment="1">
      <alignment horizontal="left"/>
    </xf>
    <xf numFmtId="0" fontId="56" fillId="15" borderId="16" xfId="4" applyFont="1" applyFill="1" applyBorder="1" applyAlignment="1">
      <alignment horizontal="left"/>
    </xf>
    <xf numFmtId="0" fontId="56" fillId="15" borderId="3" xfId="4" applyFont="1" applyFill="1" applyBorder="1" applyAlignment="1">
      <alignment horizontal="left"/>
    </xf>
    <xf numFmtId="0" fontId="56" fillId="15" borderId="29" xfId="4" applyFont="1" applyFill="1" applyBorder="1" applyAlignment="1">
      <alignment horizontal="left"/>
    </xf>
    <xf numFmtId="0" fontId="63" fillId="12" borderId="16" xfId="4" applyFont="1" applyFill="1" applyBorder="1" applyAlignment="1">
      <alignment horizontal="left"/>
    </xf>
    <xf numFmtId="0" fontId="63" fillId="12" borderId="3" xfId="4" applyFont="1" applyFill="1" applyBorder="1" applyAlignment="1">
      <alignment horizontal="left"/>
    </xf>
    <xf numFmtId="0" fontId="63" fillId="12" borderId="4" xfId="4" applyFont="1" applyFill="1" applyBorder="1" applyAlignment="1">
      <alignment horizontal="left"/>
    </xf>
    <xf numFmtId="0" fontId="68" fillId="0" borderId="16" xfId="0" applyFont="1" applyFill="1" applyBorder="1" applyAlignment="1">
      <alignment horizontal="left"/>
    </xf>
    <xf numFmtId="0" fontId="68" fillId="0" borderId="4" xfId="0" applyFont="1" applyFill="1" applyBorder="1" applyAlignment="1">
      <alignment horizontal="left"/>
    </xf>
    <xf numFmtId="0" fontId="68" fillId="0" borderId="16" xfId="0" applyFont="1" applyBorder="1" applyAlignment="1">
      <alignment horizontal="left"/>
    </xf>
    <xf numFmtId="0" fontId="68" fillId="0" borderId="4" xfId="0" applyFont="1" applyBorder="1" applyAlignment="1">
      <alignment horizontal="left"/>
    </xf>
    <xf numFmtId="0" fontId="71" fillId="0" borderId="16" xfId="0" applyFont="1" applyBorder="1" applyAlignment="1">
      <alignment horizontal="left"/>
    </xf>
    <xf numFmtId="0" fontId="71" fillId="0" borderId="4" xfId="0" applyFont="1" applyBorder="1" applyAlignment="1">
      <alignment horizontal="left"/>
    </xf>
    <xf numFmtId="0" fontId="71" fillId="18" borderId="16" xfId="0" applyFont="1" applyFill="1" applyBorder="1" applyAlignment="1">
      <alignment horizontal="left"/>
    </xf>
    <xf numFmtId="0" fontId="71" fillId="18" borderId="4" xfId="0" applyFont="1" applyFill="1" applyBorder="1" applyAlignment="1">
      <alignment horizontal="left"/>
    </xf>
    <xf numFmtId="0" fontId="68" fillId="18" borderId="16" xfId="0" applyFont="1" applyFill="1" applyBorder="1" applyAlignment="1">
      <alignment horizontal="left"/>
    </xf>
    <xf numFmtId="0" fontId="68" fillId="18" borderId="4" xfId="0" applyFont="1" applyFill="1" applyBorder="1" applyAlignment="1">
      <alignment horizontal="left"/>
    </xf>
    <xf numFmtId="0" fontId="71" fillId="17" borderId="16" xfId="0" applyFont="1" applyFill="1" applyBorder="1" applyAlignment="1">
      <alignment horizontal="left"/>
    </xf>
    <xf numFmtId="0" fontId="71" fillId="17" borderId="4" xfId="0" applyFont="1" applyFill="1" applyBorder="1" applyAlignment="1">
      <alignment horizontal="left"/>
    </xf>
    <xf numFmtId="0" fontId="63" fillId="8" borderId="16" xfId="3" applyFont="1" applyFill="1" applyBorder="1" applyAlignment="1">
      <alignment horizontal="left"/>
    </xf>
    <xf numFmtId="0" fontId="63" fillId="8" borderId="3" xfId="3" applyFont="1" applyFill="1" applyBorder="1" applyAlignment="1">
      <alignment horizontal="left"/>
    </xf>
    <xf numFmtId="0" fontId="63" fillId="8" borderId="4" xfId="3" applyFont="1" applyFill="1" applyBorder="1" applyAlignment="1">
      <alignment horizontal="left"/>
    </xf>
    <xf numFmtId="0" fontId="63" fillId="2" borderId="16" xfId="4" applyFont="1" applyFill="1" applyBorder="1" applyAlignment="1">
      <alignment horizontal="left"/>
    </xf>
    <xf numFmtId="0" fontId="63" fillId="2" borderId="3" xfId="4" applyFont="1" applyFill="1" applyBorder="1" applyAlignment="1">
      <alignment horizontal="left"/>
    </xf>
    <xf numFmtId="0" fontId="63" fillId="2" borderId="4" xfId="4" applyFont="1" applyFill="1" applyBorder="1" applyAlignment="1">
      <alignment horizontal="left"/>
    </xf>
    <xf numFmtId="0" fontId="63" fillId="8" borderId="27" xfId="3" applyFont="1" applyFill="1" applyBorder="1" applyAlignment="1">
      <alignment horizontal="left"/>
    </xf>
    <xf numFmtId="0" fontId="63" fillId="8" borderId="10" xfId="3" applyFont="1" applyFill="1" applyBorder="1" applyAlignment="1">
      <alignment horizontal="left"/>
    </xf>
    <xf numFmtId="0" fontId="63" fillId="8" borderId="11" xfId="3" applyFont="1" applyFill="1" applyBorder="1" applyAlignment="1">
      <alignment horizontal="left"/>
    </xf>
    <xf numFmtId="0" fontId="62" fillId="15" borderId="16" xfId="3" applyFont="1" applyFill="1" applyBorder="1" applyAlignment="1">
      <alignment horizontal="center"/>
    </xf>
    <xf numFmtId="0" fontId="62" fillId="15" borderId="4" xfId="3" applyFont="1" applyFill="1" applyBorder="1" applyAlignment="1">
      <alignment horizontal="center"/>
    </xf>
    <xf numFmtId="0" fontId="82" fillId="8" borderId="19" xfId="3" applyFont="1" applyFill="1" applyBorder="1" applyAlignment="1">
      <alignment horizontal="center"/>
    </xf>
    <xf numFmtId="0" fontId="82" fillId="8" borderId="14" xfId="3" applyFont="1" applyFill="1" applyBorder="1" applyAlignment="1">
      <alignment horizontal="center"/>
    </xf>
    <xf numFmtId="0" fontId="82" fillId="8" borderId="20" xfId="3" applyFont="1" applyFill="1" applyBorder="1" applyAlignment="1">
      <alignment horizontal="center"/>
    </xf>
    <xf numFmtId="0" fontId="80" fillId="15" borderId="16" xfId="3" applyFont="1" applyFill="1" applyBorder="1" applyAlignment="1">
      <alignment horizontal="center" vertical="center"/>
    </xf>
    <xf numFmtId="0" fontId="80" fillId="15" borderId="3" xfId="3" applyFont="1" applyFill="1" applyBorder="1" applyAlignment="1">
      <alignment horizontal="center" vertical="center"/>
    </xf>
    <xf numFmtId="0" fontId="80" fillId="15" borderId="4" xfId="3" applyFont="1" applyFill="1" applyBorder="1" applyAlignment="1">
      <alignment horizontal="center" vertical="center"/>
    </xf>
    <xf numFmtId="0" fontId="80" fillId="15" borderId="16" xfId="3" applyFont="1" applyFill="1" applyBorder="1" applyAlignment="1">
      <alignment horizontal="center"/>
    </xf>
    <xf numFmtId="0" fontId="80" fillId="15" borderId="3" xfId="3" applyFont="1" applyFill="1" applyBorder="1" applyAlignment="1">
      <alignment horizontal="center"/>
    </xf>
    <xf numFmtId="0" fontId="80" fillId="15" borderId="4" xfId="3" applyFont="1" applyFill="1" applyBorder="1" applyAlignment="1">
      <alignment horizontal="center"/>
    </xf>
    <xf numFmtId="0" fontId="63" fillId="9" borderId="2" xfId="3" applyFont="1" applyFill="1" applyBorder="1" applyAlignment="1">
      <alignment horizontal="center"/>
    </xf>
    <xf numFmtId="0" fontId="63" fillId="9" borderId="4" xfId="3" applyFont="1" applyFill="1" applyBorder="1" applyAlignment="1">
      <alignment horizontal="center"/>
    </xf>
    <xf numFmtId="0" fontId="81" fillId="15" borderId="16" xfId="3" applyFont="1" applyFill="1" applyBorder="1" applyAlignment="1">
      <alignment horizontal="center" vertical="center"/>
    </xf>
    <xf numFmtId="0" fontId="81" fillId="15" borderId="3" xfId="3" applyFont="1" applyFill="1" applyBorder="1" applyAlignment="1">
      <alignment horizontal="center" vertical="center"/>
    </xf>
    <xf numFmtId="0" fontId="81" fillId="15" borderId="4" xfId="3" applyFont="1" applyFill="1" applyBorder="1" applyAlignment="1">
      <alignment horizontal="center" vertical="center"/>
    </xf>
    <xf numFmtId="0" fontId="51" fillId="2" borderId="16" xfId="3" applyFont="1" applyFill="1" applyBorder="1" applyAlignment="1">
      <alignment horizontal="center" vertical="justify"/>
    </xf>
    <xf numFmtId="0" fontId="51" fillId="2" borderId="3" xfId="3" applyFont="1" applyFill="1" applyBorder="1" applyAlignment="1">
      <alignment horizontal="center" vertical="justify"/>
    </xf>
    <xf numFmtId="0" fontId="51" fillId="2" borderId="29" xfId="3" applyFont="1" applyFill="1" applyBorder="1" applyAlignment="1">
      <alignment horizontal="center" vertical="justify"/>
    </xf>
    <xf numFmtId="0" fontId="62" fillId="15" borderId="16" xfId="3" applyFont="1" applyFill="1" applyBorder="1" applyAlignment="1">
      <alignment horizontal="left"/>
    </xf>
    <xf numFmtId="0" fontId="62" fillId="15" borderId="3" xfId="3" applyFont="1" applyFill="1" applyBorder="1" applyAlignment="1">
      <alignment horizontal="left"/>
    </xf>
    <xf numFmtId="0" fontId="62" fillId="15" borderId="4" xfId="3" applyFont="1" applyFill="1" applyBorder="1" applyAlignment="1">
      <alignment horizontal="left"/>
    </xf>
    <xf numFmtId="0" fontId="62" fillId="16" borderId="16" xfId="3" applyFont="1" applyFill="1" applyBorder="1" applyAlignment="1">
      <alignment horizontal="left"/>
    </xf>
    <xf numFmtId="0" fontId="62" fillId="16" borderId="3" xfId="3" applyFont="1" applyFill="1" applyBorder="1" applyAlignment="1">
      <alignment horizontal="left"/>
    </xf>
    <xf numFmtId="0" fontId="62" fillId="16" borderId="4" xfId="3" applyFont="1" applyFill="1" applyBorder="1" applyAlignment="1">
      <alignment horizontal="left"/>
    </xf>
    <xf numFmtId="0" fontId="63" fillId="17" borderId="28" xfId="0" applyFont="1" applyFill="1" applyBorder="1" applyAlignment="1">
      <alignment horizontal="center"/>
    </xf>
    <xf numFmtId="0" fontId="63" fillId="17" borderId="5" xfId="0" applyFont="1" applyFill="1" applyBorder="1" applyAlignment="1">
      <alignment horizontal="center"/>
    </xf>
    <xf numFmtId="0" fontId="71" fillId="0" borderId="3" xfId="0" applyFont="1" applyBorder="1" applyAlignment="1">
      <alignment horizontal="left"/>
    </xf>
    <xf numFmtId="0" fontId="108" fillId="0" borderId="2" xfId="0" applyFont="1" applyBorder="1" applyAlignment="1">
      <alignment horizontal="center"/>
    </xf>
    <xf numFmtId="0" fontId="108" fillId="0" borderId="3" xfId="0" applyFont="1" applyBorder="1" applyAlignment="1">
      <alignment horizontal="center"/>
    </xf>
    <xf numFmtId="0" fontId="108" fillId="0" borderId="4" xfId="0" applyFont="1" applyBorder="1" applyAlignment="1">
      <alignment horizontal="center"/>
    </xf>
    <xf numFmtId="0" fontId="68" fillId="17" borderId="16" xfId="0" applyFont="1" applyFill="1" applyBorder="1" applyAlignment="1">
      <alignment horizontal="left"/>
    </xf>
    <xf numFmtId="0" fontId="68" fillId="17" borderId="4" xfId="0" applyFont="1" applyFill="1" applyBorder="1" applyAlignment="1">
      <alignment horizontal="left"/>
    </xf>
    <xf numFmtId="0" fontId="68" fillId="0" borderId="3" xfId="0" applyFont="1" applyBorder="1" applyAlignment="1">
      <alignment horizontal="left"/>
    </xf>
    <xf numFmtId="0" fontId="68" fillId="8" borderId="16" xfId="3" applyFont="1" applyFill="1" applyBorder="1" applyAlignment="1">
      <alignment horizontal="left"/>
    </xf>
    <xf numFmtId="0" fontId="68" fillId="8" borderId="3" xfId="3" applyFont="1" applyFill="1" applyBorder="1" applyAlignment="1">
      <alignment horizontal="left"/>
    </xf>
    <xf numFmtId="0" fontId="68" fillId="8" borderId="4" xfId="3" applyFont="1" applyFill="1" applyBorder="1" applyAlignment="1">
      <alignment horizontal="left"/>
    </xf>
    <xf numFmtId="0" fontId="63" fillId="2" borderId="1" xfId="4" applyFont="1" applyFill="1" applyBorder="1" applyAlignment="1">
      <alignment horizontal="left"/>
    </xf>
    <xf numFmtId="0" fontId="67" fillId="12" borderId="16" xfId="4" applyFont="1" applyFill="1" applyBorder="1" applyAlignment="1">
      <alignment horizontal="left"/>
    </xf>
    <xf numFmtId="0" fontId="67" fillId="12" borderId="3" xfId="4" applyFont="1" applyFill="1" applyBorder="1" applyAlignment="1">
      <alignment horizontal="left"/>
    </xf>
    <xf numFmtId="0" fontId="67" fillId="12" borderId="4" xfId="4" applyFont="1" applyFill="1" applyBorder="1" applyAlignment="1">
      <alignment horizontal="left"/>
    </xf>
    <xf numFmtId="0" fontId="61" fillId="0" borderId="1" xfId="0" applyFont="1" applyFill="1" applyBorder="1" applyAlignment="1">
      <alignment horizontal="left"/>
    </xf>
    <xf numFmtId="0" fontId="61" fillId="0" borderId="1" xfId="0" applyFont="1" applyBorder="1" applyAlignment="1">
      <alignment horizontal="left"/>
    </xf>
    <xf numFmtId="0" fontId="60" fillId="17" borderId="1" xfId="0" applyFont="1" applyFill="1" applyBorder="1" applyAlignment="1">
      <alignment horizontal="left"/>
    </xf>
    <xf numFmtId="0" fontId="60" fillId="0" borderId="1" xfId="0" applyFont="1" applyBorder="1" applyAlignment="1">
      <alignment horizontal="left"/>
    </xf>
    <xf numFmtId="0" fontId="60" fillId="18" borderId="1" xfId="0" applyFont="1" applyFill="1" applyBorder="1" applyAlignment="1">
      <alignment horizontal="left"/>
    </xf>
    <xf numFmtId="0" fontId="61" fillId="18" borderId="1" xfId="0" applyFont="1" applyFill="1" applyBorder="1" applyAlignment="1">
      <alignment horizontal="left"/>
    </xf>
    <xf numFmtId="0" fontId="33" fillId="17" borderId="6" xfId="0" applyFont="1" applyFill="1" applyBorder="1" applyAlignment="1">
      <alignment horizontal="center"/>
    </xf>
    <xf numFmtId="0" fontId="33" fillId="17" borderId="0" xfId="0" applyFont="1" applyFill="1" applyBorder="1" applyAlignment="1">
      <alignment horizontal="center"/>
    </xf>
    <xf numFmtId="0" fontId="34" fillId="16" borderId="2" xfId="3" applyFont="1" applyFill="1" applyBorder="1" applyAlignment="1">
      <alignment horizontal="left"/>
    </xf>
    <xf numFmtId="0" fontId="34" fillId="16" borderId="3" xfId="3" applyFont="1" applyFill="1" applyBorder="1" applyAlignment="1">
      <alignment horizontal="left"/>
    </xf>
    <xf numFmtId="0" fontId="34" fillId="16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left"/>
    </xf>
    <xf numFmtId="0" fontId="34" fillId="15" borderId="3" xfId="3" applyFont="1" applyFill="1" applyBorder="1" applyAlignment="1">
      <alignment horizontal="left"/>
    </xf>
    <xf numFmtId="0" fontId="34" fillId="15" borderId="4" xfId="3" applyFont="1" applyFill="1" applyBorder="1" applyAlignment="1">
      <alignment horizontal="left"/>
    </xf>
    <xf numFmtId="0" fontId="34" fillId="15" borderId="2" xfId="3" applyFont="1" applyFill="1" applyBorder="1" applyAlignment="1">
      <alignment horizontal="center"/>
    </xf>
    <xf numFmtId="0" fontId="34" fillId="15" borderId="4" xfId="3" applyFont="1" applyFill="1" applyBorder="1" applyAlignment="1">
      <alignment horizontal="center"/>
    </xf>
    <xf numFmtId="0" fontId="34" fillId="8" borderId="2" xfId="3" applyFont="1" applyFill="1" applyBorder="1" applyAlignment="1">
      <alignment horizontal="left"/>
    </xf>
    <xf numFmtId="0" fontId="34" fillId="8" borderId="3" xfId="3" applyFont="1" applyFill="1" applyBorder="1" applyAlignment="1">
      <alignment horizontal="left"/>
    </xf>
    <xf numFmtId="0" fontId="34" fillId="8" borderId="4" xfId="3" applyFont="1" applyFill="1" applyBorder="1" applyAlignment="1">
      <alignment horizontal="left"/>
    </xf>
    <xf numFmtId="0" fontId="34" fillId="0" borderId="2" xfId="4" applyFont="1" applyBorder="1" applyAlignment="1">
      <alignment horizontal="left"/>
    </xf>
    <xf numFmtId="0" fontId="34" fillId="0" borderId="3" xfId="4" applyFont="1" applyBorder="1" applyAlignment="1">
      <alignment horizontal="left"/>
    </xf>
    <xf numFmtId="0" fontId="34" fillId="0" borderId="4" xfId="4" applyFont="1" applyBorder="1" applyAlignment="1">
      <alignment horizontal="left"/>
    </xf>
    <xf numFmtId="0" fontId="35" fillId="0" borderId="16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48" fillId="0" borderId="2" xfId="4" applyFont="1" applyBorder="1" applyAlignment="1">
      <alignment horizontal="left"/>
    </xf>
    <xf numFmtId="0" fontId="48" fillId="0" borderId="3" xfId="4" applyFont="1" applyBorder="1" applyAlignment="1">
      <alignment horizontal="left"/>
    </xf>
    <xf numFmtId="0" fontId="48" fillId="0" borderId="4" xfId="4" applyFont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8" fillId="15" borderId="2" xfId="4" applyFont="1" applyFill="1" applyBorder="1" applyAlignment="1">
      <alignment horizontal="left"/>
    </xf>
    <xf numFmtId="0" fontId="38" fillId="15" borderId="3" xfId="4" applyFont="1" applyFill="1" applyBorder="1" applyAlignment="1">
      <alignment horizontal="left"/>
    </xf>
    <xf numFmtId="0" fontId="38" fillId="15" borderId="4" xfId="4" applyFont="1" applyFill="1" applyBorder="1" applyAlignment="1">
      <alignment horizontal="left"/>
    </xf>
    <xf numFmtId="0" fontId="34" fillId="2" borderId="2" xfId="4" applyFont="1" applyFill="1" applyBorder="1" applyAlignment="1">
      <alignment horizontal="left"/>
    </xf>
    <xf numFmtId="0" fontId="34" fillId="2" borderId="3" xfId="4" applyFont="1" applyFill="1" applyBorder="1" applyAlignment="1">
      <alignment horizontal="left"/>
    </xf>
    <xf numFmtId="0" fontId="34" fillId="2" borderId="4" xfId="4" applyFont="1" applyFill="1" applyBorder="1" applyAlignment="1">
      <alignment horizontal="left"/>
    </xf>
    <xf numFmtId="0" fontId="41" fillId="15" borderId="2" xfId="3" applyFont="1" applyFill="1" applyBorder="1" applyAlignment="1">
      <alignment horizontal="center"/>
    </xf>
    <xf numFmtId="0" fontId="41" fillId="15" borderId="3" xfId="3" applyFont="1" applyFill="1" applyBorder="1" applyAlignment="1">
      <alignment horizontal="center"/>
    </xf>
    <xf numFmtId="0" fontId="41" fillId="15" borderId="4" xfId="3" applyFont="1" applyFill="1" applyBorder="1" applyAlignment="1">
      <alignment horizontal="center"/>
    </xf>
    <xf numFmtId="0" fontId="34" fillId="2" borderId="2" xfId="3" applyFont="1" applyFill="1" applyBorder="1" applyAlignment="1">
      <alignment horizontal="center" vertical="justify"/>
    </xf>
    <xf numFmtId="0" fontId="34" fillId="2" borderId="3" xfId="3" applyFont="1" applyFill="1" applyBorder="1" applyAlignment="1">
      <alignment horizontal="center" vertical="justify"/>
    </xf>
    <xf numFmtId="0" fontId="34" fillId="2" borderId="4" xfId="3" applyFont="1" applyFill="1" applyBorder="1" applyAlignment="1">
      <alignment horizontal="center" vertical="justify"/>
    </xf>
    <xf numFmtId="0" fontId="41" fillId="15" borderId="2" xfId="3" applyFont="1" applyFill="1" applyBorder="1" applyAlignment="1">
      <alignment horizontal="center" vertical="center"/>
    </xf>
    <xf numFmtId="0" fontId="41" fillId="15" borderId="3" xfId="3" applyFont="1" applyFill="1" applyBorder="1" applyAlignment="1">
      <alignment horizontal="center" vertical="center"/>
    </xf>
    <xf numFmtId="0" fontId="41" fillId="15" borderId="4" xfId="3" applyFont="1" applyFill="1" applyBorder="1" applyAlignment="1">
      <alignment horizontal="center" vertical="center"/>
    </xf>
    <xf numFmtId="0" fontId="36" fillId="8" borderId="5" xfId="3" applyFont="1" applyFill="1" applyBorder="1" applyAlignment="1">
      <alignment horizontal="center"/>
    </xf>
    <xf numFmtId="0" fontId="41" fillId="15" borderId="17" xfId="3" applyFont="1" applyFill="1" applyBorder="1" applyAlignment="1">
      <alignment horizontal="center" vertical="center"/>
    </xf>
    <xf numFmtId="0" fontId="41" fillId="15" borderId="14" xfId="3" applyFont="1" applyFill="1" applyBorder="1" applyAlignment="1">
      <alignment horizontal="center" vertical="center"/>
    </xf>
    <xf numFmtId="0" fontId="41" fillId="15" borderId="18" xfId="3" applyFont="1" applyFill="1" applyBorder="1" applyAlignment="1">
      <alignment horizontal="center" vertical="center"/>
    </xf>
    <xf numFmtId="0" fontId="33" fillId="9" borderId="2" xfId="3" applyFont="1" applyFill="1" applyBorder="1" applyAlignment="1">
      <alignment horizontal="center"/>
    </xf>
    <xf numFmtId="0" fontId="33" fillId="9" borderId="4" xfId="3" applyFont="1" applyFill="1" applyBorder="1" applyAlignment="1">
      <alignment horizontal="center"/>
    </xf>
    <xf numFmtId="0" fontId="95" fillId="0" borderId="1" xfId="4" applyFont="1" applyBorder="1" applyAlignment="1">
      <alignment horizontal="left"/>
    </xf>
    <xf numFmtId="0" fontId="100" fillId="0" borderId="16" xfId="0" applyFont="1" applyBorder="1" applyAlignment="1">
      <alignment horizontal="left"/>
    </xf>
    <xf numFmtId="0" fontId="100" fillId="0" borderId="4" xfId="0" applyFont="1" applyBorder="1" applyAlignment="1">
      <alignment horizontal="left"/>
    </xf>
    <xf numFmtId="0" fontId="91" fillId="0" borderId="16" xfId="0" applyFont="1" applyBorder="1" applyAlignment="1">
      <alignment horizontal="left"/>
    </xf>
    <xf numFmtId="0" fontId="91" fillId="0" borderId="4" xfId="0" applyFont="1" applyBorder="1" applyAlignment="1">
      <alignment horizontal="left"/>
    </xf>
    <xf numFmtId="0" fontId="91" fillId="18" borderId="16" xfId="0" applyFont="1" applyFill="1" applyBorder="1" applyAlignment="1">
      <alignment horizontal="left"/>
    </xf>
    <xf numFmtId="0" fontId="91" fillId="18" borderId="4" xfId="0" applyFont="1" applyFill="1" applyBorder="1" applyAlignment="1">
      <alignment horizontal="left"/>
    </xf>
    <xf numFmtId="0" fontId="100" fillId="0" borderId="16" xfId="0" applyFont="1" applyFill="1" applyBorder="1" applyAlignment="1">
      <alignment horizontal="left"/>
    </xf>
    <xf numFmtId="0" fontId="100" fillId="0" borderId="4" xfId="0" applyFont="1" applyFill="1" applyBorder="1" applyAlignment="1">
      <alignment horizontal="left"/>
    </xf>
    <xf numFmtId="0" fontId="100" fillId="18" borderId="16" xfId="0" applyFont="1" applyFill="1" applyBorder="1" applyAlignment="1">
      <alignment horizontal="left"/>
    </xf>
    <xf numFmtId="0" fontId="100" fillId="18" borderId="4" xfId="0" applyFont="1" applyFill="1" applyBorder="1" applyAlignment="1">
      <alignment horizontal="left"/>
    </xf>
    <xf numFmtId="0" fontId="91" fillId="17" borderId="16" xfId="0" applyFont="1" applyFill="1" applyBorder="1" applyAlignment="1">
      <alignment horizontal="left"/>
    </xf>
    <xf numFmtId="0" fontId="91" fillId="17" borderId="4" xfId="0" applyFont="1" applyFill="1" applyBorder="1" applyAlignment="1">
      <alignment horizontal="left"/>
    </xf>
    <xf numFmtId="0" fontId="95" fillId="8" borderId="16" xfId="3" applyFont="1" applyFill="1" applyBorder="1" applyAlignment="1">
      <alignment horizontal="left"/>
    </xf>
    <xf numFmtId="0" fontId="95" fillId="8" borderId="3" xfId="3" applyFont="1" applyFill="1" applyBorder="1" applyAlignment="1">
      <alignment horizontal="left"/>
    </xf>
    <xf numFmtId="0" fontId="95" fillId="8" borderId="4" xfId="3" applyFont="1" applyFill="1" applyBorder="1" applyAlignment="1">
      <alignment horizontal="left"/>
    </xf>
    <xf numFmtId="0" fontId="95" fillId="8" borderId="27" xfId="3" applyFont="1" applyFill="1" applyBorder="1" applyAlignment="1">
      <alignment horizontal="left"/>
    </xf>
    <xf numFmtId="0" fontId="95" fillId="8" borderId="10" xfId="3" applyFont="1" applyFill="1" applyBorder="1" applyAlignment="1">
      <alignment horizontal="left"/>
    </xf>
    <xf numFmtId="0" fontId="95" fillId="8" borderId="11" xfId="3" applyFont="1" applyFill="1" applyBorder="1" applyAlignment="1">
      <alignment horizontal="left"/>
    </xf>
    <xf numFmtId="0" fontId="95" fillId="0" borderId="16" xfId="4" applyFont="1" applyBorder="1" applyAlignment="1">
      <alignment horizontal="left"/>
    </xf>
    <xf numFmtId="0" fontId="95" fillId="0" borderId="3" xfId="4" applyFont="1" applyBorder="1" applyAlignment="1">
      <alignment horizontal="left"/>
    </xf>
    <xf numFmtId="0" fontId="95" fillId="0" borderId="4" xfId="4" applyFont="1" applyBorder="1" applyAlignment="1">
      <alignment horizontal="left"/>
    </xf>
    <xf numFmtId="0" fontId="95" fillId="16" borderId="16" xfId="3" applyFont="1" applyFill="1" applyBorder="1" applyAlignment="1">
      <alignment horizontal="left"/>
    </xf>
    <xf numFmtId="0" fontId="95" fillId="16" borderId="3" xfId="3" applyFont="1" applyFill="1" applyBorder="1" applyAlignment="1">
      <alignment horizontal="left"/>
    </xf>
    <xf numFmtId="0" fontId="95" fillId="16" borderId="4" xfId="3" applyFont="1" applyFill="1" applyBorder="1" applyAlignment="1">
      <alignment horizontal="left"/>
    </xf>
    <xf numFmtId="0" fontId="95" fillId="15" borderId="16" xfId="3" applyFont="1" applyFill="1" applyBorder="1" applyAlignment="1">
      <alignment horizontal="left"/>
    </xf>
    <xf numFmtId="0" fontId="95" fillId="15" borderId="3" xfId="3" applyFont="1" applyFill="1" applyBorder="1" applyAlignment="1">
      <alignment horizontal="left"/>
    </xf>
    <xf numFmtId="0" fontId="95" fillId="15" borderId="4" xfId="3" applyFont="1" applyFill="1" applyBorder="1" applyAlignment="1">
      <alignment horizontal="left"/>
    </xf>
    <xf numFmtId="0" fontId="95" fillId="15" borderId="16" xfId="3" applyFont="1" applyFill="1" applyBorder="1" applyAlignment="1">
      <alignment horizontal="center"/>
    </xf>
    <xf numFmtId="0" fontId="95" fillId="15" borderId="4" xfId="3" applyFont="1" applyFill="1" applyBorder="1" applyAlignment="1">
      <alignment horizontal="center"/>
    </xf>
    <xf numFmtId="0" fontId="95" fillId="17" borderId="28" xfId="0" applyFont="1" applyFill="1" applyBorder="1" applyAlignment="1">
      <alignment horizontal="center"/>
    </xf>
    <xf numFmtId="0" fontId="95" fillId="17" borderId="5" xfId="0" applyFont="1" applyFill="1" applyBorder="1" applyAlignment="1">
      <alignment horizontal="center"/>
    </xf>
    <xf numFmtId="0" fontId="91" fillId="0" borderId="3" xfId="0" applyFont="1" applyBorder="1" applyAlignment="1">
      <alignment horizontal="left"/>
    </xf>
    <xf numFmtId="0" fontId="101" fillId="0" borderId="16" xfId="4" applyFont="1" applyBorder="1" applyAlignment="1">
      <alignment horizontal="left"/>
    </xf>
    <xf numFmtId="0" fontId="101" fillId="0" borderId="3" xfId="4" applyFont="1" applyBorder="1" applyAlignment="1">
      <alignment horizontal="left"/>
    </xf>
    <xf numFmtId="0" fontId="101" fillId="0" borderId="4" xfId="4" applyFont="1" applyBorder="1" applyAlignment="1">
      <alignment horizontal="left"/>
    </xf>
    <xf numFmtId="0" fontId="106" fillId="15" borderId="16" xfId="4" applyFont="1" applyFill="1" applyBorder="1" applyAlignment="1">
      <alignment horizontal="left"/>
    </xf>
    <xf numFmtId="0" fontId="106" fillId="15" borderId="3" xfId="4" applyFont="1" applyFill="1" applyBorder="1" applyAlignment="1">
      <alignment horizontal="left"/>
    </xf>
    <xf numFmtId="0" fontId="106" fillId="15" borderId="29" xfId="4" applyFont="1" applyFill="1" applyBorder="1" applyAlignment="1">
      <alignment horizontal="left"/>
    </xf>
    <xf numFmtId="0" fontId="95" fillId="2" borderId="16" xfId="4" applyFont="1" applyFill="1" applyBorder="1" applyAlignment="1">
      <alignment horizontal="left"/>
    </xf>
    <xf numFmtId="0" fontId="95" fillId="2" borderId="3" xfId="4" applyFont="1" applyFill="1" applyBorder="1" applyAlignment="1">
      <alignment horizontal="left"/>
    </xf>
    <xf numFmtId="0" fontId="95" fillId="2" borderId="4" xfId="4" applyFont="1" applyFill="1" applyBorder="1" applyAlignment="1">
      <alignment horizontal="left"/>
    </xf>
    <xf numFmtId="0" fontId="93" fillId="8" borderId="19" xfId="3" applyFont="1" applyFill="1" applyBorder="1" applyAlignment="1">
      <alignment horizontal="center"/>
    </xf>
    <xf numFmtId="0" fontId="93" fillId="8" borderId="14" xfId="3" applyFont="1" applyFill="1" applyBorder="1" applyAlignment="1">
      <alignment horizontal="center"/>
    </xf>
    <xf numFmtId="0" fontId="93" fillId="8" borderId="20" xfId="3" applyFont="1" applyFill="1" applyBorder="1" applyAlignment="1">
      <alignment horizontal="center"/>
    </xf>
    <xf numFmtId="0" fontId="98" fillId="15" borderId="16" xfId="3" applyFont="1" applyFill="1" applyBorder="1" applyAlignment="1">
      <alignment horizontal="center" vertical="center"/>
    </xf>
    <xf numFmtId="0" fontId="98" fillId="15" borderId="3" xfId="3" applyFont="1" applyFill="1" applyBorder="1" applyAlignment="1">
      <alignment horizontal="center" vertical="center"/>
    </xf>
    <xf numFmtId="0" fontId="98" fillId="15" borderId="4" xfId="3" applyFont="1" applyFill="1" applyBorder="1" applyAlignment="1">
      <alignment horizontal="center" vertical="center"/>
    </xf>
    <xf numFmtId="0" fontId="98" fillId="15" borderId="16" xfId="3" applyFont="1" applyFill="1" applyBorder="1" applyAlignment="1">
      <alignment horizontal="center"/>
    </xf>
    <xf numFmtId="0" fontId="98" fillId="15" borderId="3" xfId="3" applyFont="1" applyFill="1" applyBorder="1" applyAlignment="1">
      <alignment horizontal="center"/>
    </xf>
    <xf numFmtId="0" fontId="98" fillId="15" borderId="4" xfId="3" applyFont="1" applyFill="1" applyBorder="1" applyAlignment="1">
      <alignment horizontal="center"/>
    </xf>
    <xf numFmtId="0" fontId="95" fillId="9" borderId="2" xfId="3" applyFont="1" applyFill="1" applyBorder="1" applyAlignment="1">
      <alignment horizontal="center"/>
    </xf>
    <xf numFmtId="0" fontId="95" fillId="9" borderId="4" xfId="3" applyFont="1" applyFill="1" applyBorder="1" applyAlignment="1">
      <alignment horizontal="center"/>
    </xf>
    <xf numFmtId="0" fontId="97" fillId="2" borderId="16" xfId="3" applyFont="1" applyFill="1" applyBorder="1" applyAlignment="1">
      <alignment horizontal="center" vertical="justify"/>
    </xf>
    <xf numFmtId="0" fontId="97" fillId="2" borderId="3" xfId="3" applyFont="1" applyFill="1" applyBorder="1" applyAlignment="1">
      <alignment horizontal="center" vertical="justify"/>
    </xf>
    <xf numFmtId="0" fontId="97" fillId="2" borderId="29" xfId="3" applyFont="1" applyFill="1" applyBorder="1" applyAlignment="1">
      <alignment horizontal="center" vertical="justify"/>
    </xf>
    <xf numFmtId="0" fontId="71" fillId="18" borderId="21" xfId="0" applyFont="1" applyFill="1" applyBorder="1" applyAlignment="1">
      <alignment horizontal="left"/>
    </xf>
    <xf numFmtId="0" fontId="71" fillId="18" borderId="1" xfId="0" applyFont="1" applyFill="1" applyBorder="1" applyAlignment="1">
      <alignment horizontal="left"/>
    </xf>
    <xf numFmtId="0" fontId="68" fillId="0" borderId="21" xfId="0" applyFont="1" applyFill="1" applyBorder="1" applyAlignment="1">
      <alignment horizontal="left"/>
    </xf>
    <xf numFmtId="0" fontId="68" fillId="0" borderId="1" xfId="0" applyFont="1" applyFill="1" applyBorder="1" applyAlignment="1">
      <alignment horizontal="left"/>
    </xf>
    <xf numFmtId="0" fontId="68" fillId="0" borderId="2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8" fillId="18" borderId="21" xfId="0" applyFont="1" applyFill="1" applyBorder="1" applyAlignment="1">
      <alignment horizontal="left"/>
    </xf>
    <xf numFmtId="0" fontId="68" fillId="18" borderId="1" xfId="0" applyFont="1" applyFill="1" applyBorder="1" applyAlignment="1">
      <alignment horizontal="left"/>
    </xf>
    <xf numFmtId="0" fontId="71" fillId="17" borderId="21" xfId="0" applyFont="1" applyFill="1" applyBorder="1" applyAlignment="1">
      <alignment horizontal="left"/>
    </xf>
    <xf numFmtId="0" fontId="71" fillId="17" borderId="1" xfId="0" applyFont="1" applyFill="1" applyBorder="1" applyAlignment="1">
      <alignment horizontal="left"/>
    </xf>
    <xf numFmtId="0" fontId="71" fillId="0" borderId="2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63" fillId="8" borderId="21" xfId="3" applyFont="1" applyFill="1" applyBorder="1" applyAlignment="1">
      <alignment horizontal="left"/>
    </xf>
    <xf numFmtId="0" fontId="63" fillId="8" borderId="1" xfId="3" applyFont="1" applyFill="1" applyBorder="1" applyAlignment="1">
      <alignment horizontal="left"/>
    </xf>
    <xf numFmtId="0" fontId="63" fillId="9" borderId="1" xfId="3" applyFont="1" applyFill="1" applyBorder="1" applyAlignment="1">
      <alignment horizontal="center"/>
    </xf>
    <xf numFmtId="0" fontId="80" fillId="15" borderId="21" xfId="3" applyFont="1" applyFill="1" applyBorder="1" applyAlignment="1">
      <alignment horizontal="center" vertical="center"/>
    </xf>
    <xf numFmtId="0" fontId="80" fillId="15" borderId="1" xfId="3" applyFont="1" applyFill="1" applyBorder="1" applyAlignment="1">
      <alignment horizontal="center" vertical="center"/>
    </xf>
    <xf numFmtId="0" fontId="80" fillId="15" borderId="21" xfId="3" applyFont="1" applyFill="1" applyBorder="1" applyAlignment="1">
      <alignment horizontal="center"/>
    </xf>
    <xf numFmtId="0" fontId="80" fillId="15" borderId="1" xfId="3" applyFont="1" applyFill="1" applyBorder="1" applyAlignment="1">
      <alignment horizontal="center"/>
    </xf>
    <xf numFmtId="0" fontId="56" fillId="15" borderId="21" xfId="4" applyFont="1" applyFill="1" applyBorder="1" applyAlignment="1">
      <alignment horizontal="left"/>
    </xf>
    <xf numFmtId="0" fontId="56" fillId="15" borderId="1" xfId="4" applyFont="1" applyFill="1" applyBorder="1" applyAlignment="1">
      <alignment horizontal="left"/>
    </xf>
    <xf numFmtId="0" fontId="56" fillId="15" borderId="15" xfId="4" applyFont="1" applyFill="1" applyBorder="1" applyAlignment="1">
      <alignment horizontal="left"/>
    </xf>
    <xf numFmtId="0" fontId="51" fillId="2" borderId="21" xfId="3" applyFont="1" applyFill="1" applyBorder="1" applyAlignment="1">
      <alignment horizontal="center" vertical="justify"/>
    </xf>
    <xf numFmtId="0" fontId="51" fillId="2" borderId="1" xfId="3" applyFont="1" applyFill="1" applyBorder="1" applyAlignment="1">
      <alignment horizontal="center" vertical="justify"/>
    </xf>
    <xf numFmtId="0" fontId="51" fillId="2" borderId="15" xfId="3" applyFont="1" applyFill="1" applyBorder="1" applyAlignment="1">
      <alignment horizontal="center" vertical="justify"/>
    </xf>
    <xf numFmtId="0" fontId="63" fillId="0" borderId="21" xfId="4" applyFont="1" applyBorder="1" applyAlignment="1">
      <alignment horizontal="left"/>
    </xf>
    <xf numFmtId="0" fontId="63" fillId="2" borderId="21" xfId="4" applyFont="1" applyFill="1" applyBorder="1" applyAlignment="1">
      <alignment horizontal="left"/>
    </xf>
    <xf numFmtId="0" fontId="67" fillId="0" borderId="21" xfId="4" applyFont="1" applyBorder="1" applyAlignment="1">
      <alignment horizontal="left"/>
    </xf>
    <xf numFmtId="0" fontId="67" fillId="0" borderId="1" xfId="4" applyFont="1" applyBorder="1" applyAlignment="1">
      <alignment horizontal="left"/>
    </xf>
    <xf numFmtId="0" fontId="62" fillId="16" borderId="21" xfId="3" applyFont="1" applyFill="1" applyBorder="1" applyAlignment="1">
      <alignment horizontal="left"/>
    </xf>
    <xf numFmtId="0" fontId="62" fillId="16" borderId="1" xfId="3" applyFont="1" applyFill="1" applyBorder="1" applyAlignment="1">
      <alignment horizontal="left"/>
    </xf>
    <xf numFmtId="0" fontId="62" fillId="15" borderId="21" xfId="3" applyFont="1" applyFill="1" applyBorder="1" applyAlignment="1">
      <alignment horizontal="left"/>
    </xf>
    <xf numFmtId="0" fontId="62" fillId="15" borderId="1" xfId="3" applyFont="1" applyFill="1" applyBorder="1" applyAlignment="1">
      <alignment horizontal="left"/>
    </xf>
    <xf numFmtId="0" fontId="62" fillId="15" borderId="21" xfId="3" applyFont="1" applyFill="1" applyBorder="1" applyAlignment="1">
      <alignment horizontal="center"/>
    </xf>
    <xf numFmtId="0" fontId="62" fillId="15" borderId="1" xfId="3" applyFont="1" applyFill="1" applyBorder="1" applyAlignment="1">
      <alignment horizontal="center"/>
    </xf>
    <xf numFmtId="0" fontId="63" fillId="17" borderId="34" xfId="0" applyFont="1" applyFill="1" applyBorder="1" applyAlignment="1">
      <alignment horizontal="center"/>
    </xf>
    <xf numFmtId="0" fontId="63" fillId="17" borderId="0" xfId="0" applyFont="1" applyFill="1" applyBorder="1" applyAlignment="1">
      <alignment horizontal="center"/>
    </xf>
    <xf numFmtId="0" fontId="63" fillId="8" borderId="22" xfId="3" applyFont="1" applyFill="1" applyBorder="1" applyAlignment="1">
      <alignment horizontal="left"/>
    </xf>
    <xf numFmtId="0" fontId="63" fillId="8" borderId="7" xfId="3" applyFont="1" applyFill="1" applyBorder="1" applyAlignment="1">
      <alignment horizontal="left"/>
    </xf>
    <xf numFmtId="0" fontId="17" fillId="8" borderId="2" xfId="3" applyFont="1" applyFill="1" applyBorder="1" applyAlignment="1">
      <alignment horizontal="left"/>
    </xf>
    <xf numFmtId="0" fontId="17" fillId="8" borderId="3" xfId="3" applyFont="1" applyFill="1" applyBorder="1" applyAlignment="1">
      <alignment horizontal="left"/>
    </xf>
    <xf numFmtId="0" fontId="17" fillId="8" borderId="4" xfId="3" applyFont="1" applyFill="1" applyBorder="1" applyAlignment="1">
      <alignment horizontal="left"/>
    </xf>
    <xf numFmtId="0" fontId="17" fillId="10" borderId="2" xfId="3" applyFont="1" applyFill="1" applyBorder="1" applyAlignment="1">
      <alignment horizontal="left"/>
    </xf>
    <xf numFmtId="0" fontId="17" fillId="10" borderId="3" xfId="3" applyFont="1" applyFill="1" applyBorder="1" applyAlignment="1">
      <alignment horizontal="left"/>
    </xf>
    <xf numFmtId="0" fontId="17" fillId="10" borderId="4" xfId="3" applyFont="1" applyFill="1" applyBorder="1" applyAlignment="1">
      <alignment horizontal="left"/>
    </xf>
    <xf numFmtId="0" fontId="3" fillId="0" borderId="16" xfId="4" applyFont="1" applyBorder="1" applyAlignment="1">
      <alignment horizontal="left"/>
    </xf>
    <xf numFmtId="0" fontId="3" fillId="0" borderId="3" xfId="4" applyFont="1" applyBorder="1" applyAlignment="1">
      <alignment horizontal="left"/>
    </xf>
    <xf numFmtId="0" fontId="3" fillId="0" borderId="4" xfId="4" applyFont="1" applyBorder="1" applyAlignment="1">
      <alignment horizontal="left"/>
    </xf>
    <xf numFmtId="0" fontId="29" fillId="0" borderId="2" xfId="4" applyFont="1" applyBorder="1" applyAlignment="1">
      <alignment horizontal="left"/>
    </xf>
    <xf numFmtId="0" fontId="29" fillId="0" borderId="3" xfId="4" applyFont="1" applyBorder="1" applyAlignment="1">
      <alignment horizontal="left"/>
    </xf>
    <xf numFmtId="0" fontId="29" fillId="0" borderId="4" xfId="4" applyFont="1" applyBorder="1" applyAlignment="1">
      <alignment horizontal="left"/>
    </xf>
    <xf numFmtId="0" fontId="17" fillId="0" borderId="2" xfId="4" applyFont="1" applyBorder="1" applyAlignment="1">
      <alignment horizontal="left"/>
    </xf>
    <xf numFmtId="0" fontId="17" fillId="0" borderId="3" xfId="4" applyFont="1" applyBorder="1" applyAlignment="1">
      <alignment horizontal="left"/>
    </xf>
    <xf numFmtId="0" fontId="17" fillId="0" borderId="4" xfId="4" applyFont="1" applyBorder="1" applyAlignment="1">
      <alignment horizontal="left"/>
    </xf>
    <xf numFmtId="0" fontId="3" fillId="0" borderId="2" xfId="4" applyFont="1" applyBorder="1" applyAlignment="1">
      <alignment horizontal="left"/>
    </xf>
    <xf numFmtId="0" fontId="32" fillId="10" borderId="2" xfId="3" applyFont="1" applyFill="1" applyBorder="1" applyAlignment="1">
      <alignment horizontal="center"/>
    </xf>
    <xf numFmtId="0" fontId="32" fillId="10" borderId="3" xfId="3" applyFont="1" applyFill="1" applyBorder="1" applyAlignment="1">
      <alignment horizontal="center"/>
    </xf>
    <xf numFmtId="0" fontId="32" fillId="10" borderId="4" xfId="3" applyFont="1" applyFill="1" applyBorder="1" applyAlignment="1">
      <alignment horizontal="center"/>
    </xf>
    <xf numFmtId="0" fontId="32" fillId="10" borderId="2" xfId="3" applyFont="1" applyFill="1" applyBorder="1" applyAlignment="1">
      <alignment horizontal="center" vertical="center"/>
    </xf>
    <xf numFmtId="0" fontId="32" fillId="10" borderId="3" xfId="3" applyFont="1" applyFill="1" applyBorder="1" applyAlignment="1">
      <alignment horizontal="center" vertical="center"/>
    </xf>
    <xf numFmtId="0" fontId="32" fillId="10" borderId="4" xfId="3" applyFont="1" applyFill="1" applyBorder="1" applyAlignment="1">
      <alignment horizontal="center" vertical="center"/>
    </xf>
    <xf numFmtId="0" fontId="31" fillId="8" borderId="5" xfId="3" applyFont="1" applyFill="1" applyBorder="1" applyAlignment="1">
      <alignment horizontal="center"/>
    </xf>
    <xf numFmtId="166" fontId="18" fillId="9" borderId="2" xfId="3" applyNumberFormat="1" applyFont="1" applyFill="1" applyBorder="1" applyAlignment="1">
      <alignment horizontal="left"/>
    </xf>
    <xf numFmtId="166" fontId="18" fillId="9" borderId="4" xfId="3" applyNumberFormat="1" applyFont="1" applyFill="1" applyBorder="1" applyAlignment="1">
      <alignment horizontal="left"/>
    </xf>
    <xf numFmtId="0" fontId="17" fillId="2" borderId="2" xfId="3" applyFont="1" applyFill="1" applyBorder="1" applyAlignment="1">
      <alignment horizontal="center" vertical="justify"/>
    </xf>
    <xf numFmtId="0" fontId="17" fillId="2" borderId="3" xfId="3" applyFont="1" applyFill="1" applyBorder="1" applyAlignment="1">
      <alignment horizontal="center" vertical="justify"/>
    </xf>
    <xf numFmtId="0" fontId="17" fillId="2" borderId="4" xfId="3" applyFont="1" applyFill="1" applyBorder="1" applyAlignment="1">
      <alignment horizontal="center" vertical="justify"/>
    </xf>
    <xf numFmtId="0" fontId="17" fillId="11" borderId="2" xfId="3" applyFont="1" applyFill="1" applyBorder="1" applyAlignment="1">
      <alignment horizontal="center"/>
    </xf>
    <xf numFmtId="0" fontId="17" fillId="11" borderId="4" xfId="3" applyFont="1" applyFill="1" applyBorder="1" applyAlignment="1">
      <alignment horizontal="center"/>
    </xf>
    <xf numFmtId="0" fontId="32" fillId="10" borderId="17" xfId="3" applyFont="1" applyFill="1" applyBorder="1" applyAlignment="1">
      <alignment horizontal="center" vertical="center"/>
    </xf>
    <xf numFmtId="0" fontId="32" fillId="10" borderId="14" xfId="3" applyFont="1" applyFill="1" applyBorder="1" applyAlignment="1">
      <alignment horizontal="center" vertical="center"/>
    </xf>
    <xf numFmtId="0" fontId="32" fillId="10" borderId="18" xfId="3" applyFont="1" applyFill="1" applyBorder="1" applyAlignment="1">
      <alignment horizontal="center" vertical="center"/>
    </xf>
    <xf numFmtId="1" fontId="119" fillId="0" borderId="1" xfId="17" applyNumberFormat="1" applyFont="1" applyBorder="1" applyAlignment="1">
      <alignment horizontal="center" wrapText="1"/>
    </xf>
    <xf numFmtId="0" fontId="1" fillId="0" borderId="1" xfId="17" applyNumberFormat="1" applyBorder="1" applyAlignment="1">
      <alignment horizontal="center"/>
    </xf>
    <xf numFmtId="1" fontId="1" fillId="0" borderId="1" xfId="17" applyNumberFormat="1" applyBorder="1" applyAlignment="1">
      <alignment horizontal="center"/>
    </xf>
    <xf numFmtId="1" fontId="126" fillId="0" borderId="1" xfId="0" applyNumberFormat="1" applyFont="1" applyBorder="1" applyAlignment="1">
      <alignment horizontal="center"/>
    </xf>
  </cellXfs>
  <cellStyles count="18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calcChain" Target="calcChain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cked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23.610000000000582</c:v>
                </c:pt>
                <c:pt idx="1">
                  <c:v>24.470000000001164</c:v>
                </c:pt>
                <c:pt idx="2">
                  <c:v>23.849999999998545</c:v>
                </c:pt>
                <c:pt idx="3">
                  <c:v>24.139999999999418</c:v>
                </c:pt>
                <c:pt idx="4">
                  <c:v>24.100000000002183</c:v>
                </c:pt>
                <c:pt idx="5">
                  <c:v>24.469999999997526</c:v>
                </c:pt>
                <c:pt idx="6">
                  <c:v>23.970000000001164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24.269999999996799</c:v>
                </c:pt>
                <c:pt idx="11">
                  <c:v>24.120000000002619</c:v>
                </c:pt>
                <c:pt idx="12">
                  <c:v>23.610000000000582</c:v>
                </c:pt>
                <c:pt idx="13">
                  <c:v>24.400000000001455</c:v>
                </c:pt>
                <c:pt idx="14">
                  <c:v>23.599999999998545</c:v>
                </c:pt>
                <c:pt idx="15">
                  <c:v>24</c:v>
                </c:pt>
                <c:pt idx="16">
                  <c:v>24.470000000001164</c:v>
                </c:pt>
                <c:pt idx="17">
                  <c:v>24.44999999999709</c:v>
                </c:pt>
                <c:pt idx="18">
                  <c:v>24.470000000001164</c:v>
                </c:pt>
                <c:pt idx="19">
                  <c:v>25.250000000003183</c:v>
                </c:pt>
                <c:pt idx="20">
                  <c:v>23.529999999998836</c:v>
                </c:pt>
                <c:pt idx="21">
                  <c:v>24.479999999995925</c:v>
                </c:pt>
                <c:pt idx="22">
                  <c:v>23.940000000004375</c:v>
                </c:pt>
                <c:pt idx="23">
                  <c:v>23.549999999995634</c:v>
                </c:pt>
                <c:pt idx="24">
                  <c:v>23.959999999999127</c:v>
                </c:pt>
                <c:pt idx="25">
                  <c:v>23.820000000001755</c:v>
                </c:pt>
                <c:pt idx="26">
                  <c:v>24.269999999996799</c:v>
                </c:pt>
                <c:pt idx="27">
                  <c:v>23.810000000004948</c:v>
                </c:pt>
                <c:pt idx="28">
                  <c:v>24.059999999997672</c:v>
                </c:pt>
                <c:pt idx="29">
                  <c:v>32019.729999999996</c:v>
                </c:pt>
                <c:pt idx="30">
                  <c:v>23.919999999998254</c:v>
                </c:pt>
                <c:pt idx="31">
                  <c:v>32742.319999999992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Val val="1"/>
        </c:dLbls>
        <c:dropLines/>
        <c:marker val="1"/>
        <c:axId val="130837888"/>
        <c:axId val="130843776"/>
      </c:lineChart>
      <c:catAx>
        <c:axId val="1308378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843776"/>
        <c:crosses val="autoZero"/>
        <c:auto val="1"/>
        <c:lblAlgn val="ctr"/>
        <c:lblOffset val="100"/>
      </c:catAx>
      <c:valAx>
        <c:axId val="130843776"/>
        <c:scaling>
          <c:orientation val="minMax"/>
          <c:max val="40"/>
          <c:min val="25"/>
        </c:scaling>
        <c:delete val="1"/>
        <c:axPos val="l"/>
        <c:numFmt formatCode="0" sourceLinked="1"/>
        <c:tickLblPos val="none"/>
        <c:crossAx val="130837888"/>
        <c:crosses val="autoZero"/>
        <c:crossBetween val="between"/>
        <c:majorUnit val="2"/>
      </c:valAx>
    </c:plotArea>
    <c:legend>
      <c:legendPos val="t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7.5099999999983993</c:v>
                </c:pt>
                <c:pt idx="1">
                  <c:v>7.0100000000020373</c:v>
                </c:pt>
                <c:pt idx="2">
                  <c:v>7.9399999999986903</c:v>
                </c:pt>
                <c:pt idx="3">
                  <c:v>8.5900000000001455</c:v>
                </c:pt>
                <c:pt idx="4">
                  <c:v>7.3300000000017462</c:v>
                </c:pt>
                <c:pt idx="5">
                  <c:v>7.3800000000010186</c:v>
                </c:pt>
                <c:pt idx="6">
                  <c:v>9.4400000000096043</c:v>
                </c:pt>
                <c:pt idx="7">
                  <c:v>8.2099999999991269</c:v>
                </c:pt>
                <c:pt idx="8">
                  <c:v>7.9099999999853026</c:v>
                </c:pt>
                <c:pt idx="9">
                  <c:v>8.8800000000046566</c:v>
                </c:pt>
                <c:pt idx="10">
                  <c:v>9.8899999999994179</c:v>
                </c:pt>
                <c:pt idx="11">
                  <c:v>11.200000000004366</c:v>
                </c:pt>
                <c:pt idx="12">
                  <c:v>12.210000000006403</c:v>
                </c:pt>
                <c:pt idx="13">
                  <c:v>10.469999999997526</c:v>
                </c:pt>
                <c:pt idx="14">
                  <c:v>11.220000000001164</c:v>
                </c:pt>
                <c:pt idx="15">
                  <c:v>12.090000000000146</c:v>
                </c:pt>
                <c:pt idx="16">
                  <c:v>10.959999999991851</c:v>
                </c:pt>
                <c:pt idx="17">
                  <c:v>12.450000000004366</c:v>
                </c:pt>
                <c:pt idx="18">
                  <c:v>12.590000000000146</c:v>
                </c:pt>
                <c:pt idx="19">
                  <c:v>12.270000000000437</c:v>
                </c:pt>
                <c:pt idx="20">
                  <c:v>9.8599999999969441</c:v>
                </c:pt>
                <c:pt idx="21">
                  <c:v>9.5200000000004366</c:v>
                </c:pt>
                <c:pt idx="22">
                  <c:v>10.180000000000291</c:v>
                </c:pt>
                <c:pt idx="23">
                  <c:v>6.8800000000010186</c:v>
                </c:pt>
                <c:pt idx="24">
                  <c:v>6.8800000000010186</c:v>
                </c:pt>
                <c:pt idx="25">
                  <c:v>8.680000000000291</c:v>
                </c:pt>
                <c:pt idx="26">
                  <c:v>9.430000000000291</c:v>
                </c:pt>
                <c:pt idx="27">
                  <c:v>-1.0000000002037268E-2</c:v>
                </c:pt>
                <c:pt idx="28">
                  <c:v>8.930000000000291</c:v>
                </c:pt>
                <c:pt idx="29">
                  <c:v>-853.22999999999229</c:v>
                </c:pt>
                <c:pt idx="30">
                  <c:v>6.3300000000017462</c:v>
                </c:pt>
                <c:pt idx="31">
                  <c:v>-580.99999999998545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ropLines/>
        <c:marker val="1"/>
        <c:axId val="130418176"/>
        <c:axId val="130419712"/>
      </c:lineChart>
      <c:catAx>
        <c:axId val="130418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19712"/>
        <c:crosses val="autoZero"/>
        <c:auto val="1"/>
        <c:lblAlgn val="ctr"/>
        <c:lblOffset val="100"/>
      </c:catAx>
      <c:valAx>
        <c:axId val="130419712"/>
        <c:scaling>
          <c:orientation val="minMax"/>
          <c:max val="30"/>
          <c:min val="5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18176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5662"/>
          <c:h val="8.8317037293400014E-2"/>
        </c:manualLayout>
      </c:layout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197</c:v>
                </c:pt>
                <c:pt idx="1">
                  <c:v>175</c:v>
                </c:pt>
                <c:pt idx="2">
                  <c:v>167</c:v>
                </c:pt>
                <c:pt idx="3">
                  <c:v>153</c:v>
                </c:pt>
                <c:pt idx="4">
                  <c:v>132</c:v>
                </c:pt>
                <c:pt idx="5">
                  <c:v>118</c:v>
                </c:pt>
                <c:pt idx="6">
                  <c:v>122</c:v>
                </c:pt>
                <c:pt idx="7">
                  <c:v>128</c:v>
                </c:pt>
                <c:pt idx="8">
                  <c:v>157</c:v>
                </c:pt>
                <c:pt idx="9">
                  <c:v>141</c:v>
                </c:pt>
                <c:pt idx="10">
                  <c:v>194</c:v>
                </c:pt>
                <c:pt idx="11">
                  <c:v>152</c:v>
                </c:pt>
                <c:pt idx="12">
                  <c:v>174</c:v>
                </c:pt>
                <c:pt idx="13">
                  <c:v>151</c:v>
                </c:pt>
                <c:pt idx="14">
                  <c:v>173</c:v>
                </c:pt>
                <c:pt idx="15">
                  <c:v>254</c:v>
                </c:pt>
                <c:pt idx="16">
                  <c:v>179</c:v>
                </c:pt>
                <c:pt idx="17">
                  <c:v>192</c:v>
                </c:pt>
                <c:pt idx="18">
                  <c:v>172</c:v>
                </c:pt>
                <c:pt idx="19">
                  <c:v>190</c:v>
                </c:pt>
                <c:pt idx="20">
                  <c:v>179</c:v>
                </c:pt>
                <c:pt idx="21">
                  <c:v>177</c:v>
                </c:pt>
                <c:pt idx="22">
                  <c:v>203</c:v>
                </c:pt>
                <c:pt idx="23">
                  <c:v>190</c:v>
                </c:pt>
                <c:pt idx="24">
                  <c:v>183</c:v>
                </c:pt>
                <c:pt idx="25">
                  <c:v>189</c:v>
                </c:pt>
                <c:pt idx="26">
                  <c:v>174</c:v>
                </c:pt>
                <c:pt idx="27">
                  <c:v>173</c:v>
                </c:pt>
                <c:pt idx="28">
                  <c:v>151</c:v>
                </c:pt>
                <c:pt idx="29">
                  <c:v>-6373</c:v>
                </c:pt>
                <c:pt idx="30">
                  <c:v>184</c:v>
                </c:pt>
                <c:pt idx="31">
                  <c:v>-1249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upDownBars>
          <c:gapWidth val="150"/>
          <c:upBars/>
          <c:downBars/>
        </c:upDownBars>
        <c:marker val="1"/>
        <c:axId val="130453504"/>
        <c:axId val="130455040"/>
      </c:lineChart>
      <c:catAx>
        <c:axId val="130453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55040"/>
        <c:crosses val="autoZero"/>
        <c:auto val="1"/>
        <c:lblAlgn val="ctr"/>
        <c:lblOffset val="100"/>
      </c:catAx>
      <c:valAx>
        <c:axId val="130455040"/>
        <c:scaling>
          <c:orientation val="minMax"/>
          <c:max val="350"/>
          <c:min val="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453504"/>
        <c:crosses val="autoZero"/>
        <c:crossBetween val="between"/>
        <c:minorUnit val="2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5136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693.89999999990687</c:v>
                </c:pt>
                <c:pt idx="1">
                  <c:v>822.62000000011176</c:v>
                </c:pt>
                <c:pt idx="2">
                  <c:v>815.68999999994412</c:v>
                </c:pt>
                <c:pt idx="3">
                  <c:v>757.68999999994412</c:v>
                </c:pt>
                <c:pt idx="4">
                  <c:v>526</c:v>
                </c:pt>
                <c:pt idx="5">
                  <c:v>694.69999999995343</c:v>
                </c:pt>
                <c:pt idx="6">
                  <c:v>621.30000000004657</c:v>
                </c:pt>
                <c:pt idx="7">
                  <c:v>752</c:v>
                </c:pt>
                <c:pt idx="8">
                  <c:v>759</c:v>
                </c:pt>
                <c:pt idx="9">
                  <c:v>776</c:v>
                </c:pt>
                <c:pt idx="10">
                  <c:v>919.05199999990873</c:v>
                </c:pt>
                <c:pt idx="11">
                  <c:v>954.90400000009686</c:v>
                </c:pt>
                <c:pt idx="12">
                  <c:v>902.5230000000447</c:v>
                </c:pt>
                <c:pt idx="13">
                  <c:v>854.40299999993294</c:v>
                </c:pt>
                <c:pt idx="14">
                  <c:v>920.0679999999702</c:v>
                </c:pt>
                <c:pt idx="15">
                  <c:v>1070.3789999999572</c:v>
                </c:pt>
                <c:pt idx="16">
                  <c:v>972.67500000004657</c:v>
                </c:pt>
                <c:pt idx="17">
                  <c:v>944.77600000007078</c:v>
                </c:pt>
                <c:pt idx="18">
                  <c:v>914.14999999990687</c:v>
                </c:pt>
                <c:pt idx="19">
                  <c:v>930.07000000006519</c:v>
                </c:pt>
                <c:pt idx="20">
                  <c:v>906.93999999994412</c:v>
                </c:pt>
                <c:pt idx="21">
                  <c:v>904</c:v>
                </c:pt>
                <c:pt idx="22">
                  <c:v>934.93999999994412</c:v>
                </c:pt>
                <c:pt idx="23">
                  <c:v>748.12000000011176</c:v>
                </c:pt>
                <c:pt idx="24">
                  <c:v>930.86000000010245</c:v>
                </c:pt>
                <c:pt idx="25">
                  <c:v>855.13999999989755</c:v>
                </c:pt>
                <c:pt idx="26">
                  <c:v>843.93999999994412</c:v>
                </c:pt>
                <c:pt idx="27">
                  <c:v>434.06000000005588</c:v>
                </c:pt>
                <c:pt idx="28">
                  <c:v>826.96999999997206</c:v>
                </c:pt>
                <c:pt idx="29">
                  <c:v>-77642.192000000039</c:v>
                </c:pt>
                <c:pt idx="30">
                  <c:v>827.6500000001397</c:v>
                </c:pt>
                <c:pt idx="31">
                  <c:v>-52827.67200000002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marker val="1"/>
        <c:axId val="97998336"/>
        <c:axId val="97999872"/>
      </c:lineChart>
      <c:catAx>
        <c:axId val="97998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99872"/>
        <c:crosses val="autoZero"/>
        <c:auto val="1"/>
        <c:lblAlgn val="ctr"/>
        <c:lblOffset val="100"/>
      </c:catAx>
      <c:valAx>
        <c:axId val="97999872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98336"/>
        <c:crosses val="autoZero"/>
        <c:crossBetween val="between"/>
        <c:minorUnit val="5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</c:title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32E-2"/>
                  <c:y val="-4.4004400440049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-149036.01</c:v>
                </c:pt>
                <c:pt idx="30">
                  <c:v>0</c:v>
                </c:pt>
                <c:pt idx="31">
                  <c:v>-149036.01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4286.0299999999988</c:v>
                </c:pt>
                <c:pt idx="1">
                  <c:v>4119</c:v>
                </c:pt>
                <c:pt idx="2">
                  <c:v>4158.7900000000081</c:v>
                </c:pt>
                <c:pt idx="3">
                  <c:v>3898.2099999999919</c:v>
                </c:pt>
                <c:pt idx="4">
                  <c:v>3854</c:v>
                </c:pt>
                <c:pt idx="5">
                  <c:v>3789</c:v>
                </c:pt>
                <c:pt idx="6">
                  <c:v>3874</c:v>
                </c:pt>
                <c:pt idx="7">
                  <c:v>3961</c:v>
                </c:pt>
                <c:pt idx="8">
                  <c:v>4014</c:v>
                </c:pt>
                <c:pt idx="9">
                  <c:v>4463</c:v>
                </c:pt>
                <c:pt idx="10">
                  <c:v>4114.2099999999919</c:v>
                </c:pt>
                <c:pt idx="11">
                  <c:v>4087.2200000000012</c:v>
                </c:pt>
                <c:pt idx="12">
                  <c:v>4090.820000000007</c:v>
                </c:pt>
                <c:pt idx="13">
                  <c:v>3857.7300000000105</c:v>
                </c:pt>
                <c:pt idx="14">
                  <c:v>4189.9700000000012</c:v>
                </c:pt>
                <c:pt idx="15">
                  <c:v>4135.8999999999942</c:v>
                </c:pt>
                <c:pt idx="16">
                  <c:v>4374.6000000000058</c:v>
                </c:pt>
                <c:pt idx="17">
                  <c:v>4182.2200000000012</c:v>
                </c:pt>
                <c:pt idx="18">
                  <c:v>4176.6999999999825</c:v>
                </c:pt>
                <c:pt idx="19">
                  <c:v>0</c:v>
                </c:pt>
                <c:pt idx="20">
                  <c:v>4123.8600000000151</c:v>
                </c:pt>
                <c:pt idx="21">
                  <c:v>4075.5999999999767</c:v>
                </c:pt>
                <c:pt idx="22">
                  <c:v>4262.7600000000093</c:v>
                </c:pt>
                <c:pt idx="23">
                  <c:v>4203.9500000000116</c:v>
                </c:pt>
                <c:pt idx="24">
                  <c:v>4326</c:v>
                </c:pt>
                <c:pt idx="25">
                  <c:v>4151.8499999999767</c:v>
                </c:pt>
                <c:pt idx="26">
                  <c:v>4080.1500000000233</c:v>
                </c:pt>
                <c:pt idx="27">
                  <c:v>4173</c:v>
                </c:pt>
                <c:pt idx="28">
                  <c:v>4185.9699999999721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ropLines/>
        <c:marker val="1"/>
        <c:axId val="98062720"/>
        <c:axId val="98064256"/>
      </c:lineChart>
      <c:catAx>
        <c:axId val="98062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64256"/>
        <c:crosses val="autoZero"/>
        <c:auto val="1"/>
        <c:lblAlgn val="ctr"/>
        <c:lblOffset val="100"/>
      </c:catAx>
      <c:valAx>
        <c:axId val="98064256"/>
        <c:scaling>
          <c:orientation val="minMax"/>
          <c:max val="9000"/>
          <c:min val="6000"/>
        </c:scaling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</c:title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062720"/>
        <c:crosses val="autoZero"/>
        <c:crossBetween val="between"/>
        <c:minorUnit val="500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0.67000000004190952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0.32999999995809048</c:v>
                </c:pt>
                <c:pt idx="28">
                  <c:v>0</c:v>
                </c:pt>
                <c:pt idx="29">
                  <c:v>-95366.689999999944</c:v>
                </c:pt>
                <c:pt idx="30">
                  <c:v>0</c:v>
                </c:pt>
                <c:pt idx="31">
                  <c:v>-95365.689999999944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marker val="1"/>
        <c:axId val="97917184"/>
        <c:axId val="97918976"/>
      </c:lineChart>
      <c:catAx>
        <c:axId val="97917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18976"/>
        <c:crosses val="autoZero"/>
        <c:auto val="1"/>
        <c:lblAlgn val="ctr"/>
        <c:lblOffset val="100"/>
      </c:catAx>
      <c:valAx>
        <c:axId val="97918976"/>
        <c:scaling>
          <c:orientation val="minMax"/>
          <c:max val="5000"/>
          <c:min val="35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1718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0.43</c:v>
                </c:pt>
                <c:pt idx="1">
                  <c:v>0.54</c:v>
                </c:pt>
                <c:pt idx="2">
                  <c:v>0.39</c:v>
                </c:pt>
                <c:pt idx="3">
                  <c:v>0.21</c:v>
                </c:pt>
                <c:pt idx="4">
                  <c:v>0.23</c:v>
                </c:pt>
                <c:pt idx="5">
                  <c:v>0.41</c:v>
                </c:pt>
                <c:pt idx="6">
                  <c:v>0.44</c:v>
                </c:pt>
                <c:pt idx="7">
                  <c:v>0.45</c:v>
                </c:pt>
                <c:pt idx="8">
                  <c:v>0.75</c:v>
                </c:pt>
                <c:pt idx="9">
                  <c:v>0.64</c:v>
                </c:pt>
                <c:pt idx="10">
                  <c:v>0.59899999999999998</c:v>
                </c:pt>
                <c:pt idx="11">
                  <c:v>0.72</c:v>
                </c:pt>
                <c:pt idx="12">
                  <c:v>0.71</c:v>
                </c:pt>
                <c:pt idx="13">
                  <c:v>0.66830000000000001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0.33</c:v>
                </c:pt>
                <c:pt idx="24">
                  <c:v>0.65</c:v>
                </c:pt>
                <c:pt idx="25">
                  <c:v>0.44</c:v>
                </c:pt>
                <c:pt idx="26">
                  <c:v>0.49</c:v>
                </c:pt>
                <c:pt idx="27">
                  <c:v>0.52</c:v>
                </c:pt>
                <c:pt idx="28">
                  <c:v>0.66</c:v>
                </c:pt>
                <c:pt idx="29">
                  <c:v>0.3</c:v>
                </c:pt>
                <c:pt idx="30">
                  <c:v>30</c:v>
                </c:pt>
                <c:pt idx="31">
                  <c:v>1.4541064516129032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marker val="1"/>
        <c:axId val="97959936"/>
        <c:axId val="97961472"/>
      </c:lineChart>
      <c:catAx>
        <c:axId val="97959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961472"/>
        <c:crosses val="autoZero"/>
        <c:auto val="1"/>
        <c:lblAlgn val="ctr"/>
        <c:lblOffset val="100"/>
      </c:catAx>
      <c:valAx>
        <c:axId val="979614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9795993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4833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4833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4833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20215</c:v>
                </c:pt>
                <c:pt idx="1">
                  <c:v>19576</c:v>
                </c:pt>
                <c:pt idx="2">
                  <c:v>19258</c:v>
                </c:pt>
                <c:pt idx="3">
                  <c:v>18476</c:v>
                </c:pt>
                <c:pt idx="4">
                  <c:v>17831</c:v>
                </c:pt>
                <c:pt idx="5">
                  <c:v>17839</c:v>
                </c:pt>
                <c:pt idx="6">
                  <c:v>17899</c:v>
                </c:pt>
                <c:pt idx="7">
                  <c:v>18873</c:v>
                </c:pt>
                <c:pt idx="8">
                  <c:v>18833</c:v>
                </c:pt>
                <c:pt idx="9">
                  <c:v>20209</c:v>
                </c:pt>
                <c:pt idx="10">
                  <c:v>20389</c:v>
                </c:pt>
                <c:pt idx="11">
                  <c:v>20105</c:v>
                </c:pt>
                <c:pt idx="12">
                  <c:v>20850</c:v>
                </c:pt>
                <c:pt idx="13">
                  <c:v>19342</c:v>
                </c:pt>
                <c:pt idx="14">
                  <c:v>20815</c:v>
                </c:pt>
                <c:pt idx="15">
                  <c:v>19975</c:v>
                </c:pt>
                <c:pt idx="16">
                  <c:v>20881</c:v>
                </c:pt>
                <c:pt idx="17">
                  <c:v>20163</c:v>
                </c:pt>
                <c:pt idx="18">
                  <c:v>19963</c:v>
                </c:pt>
                <c:pt idx="19">
                  <c:v>19855</c:v>
                </c:pt>
                <c:pt idx="20">
                  <c:v>19415</c:v>
                </c:pt>
                <c:pt idx="21">
                  <c:v>19510</c:v>
                </c:pt>
                <c:pt idx="22">
                  <c:v>19709</c:v>
                </c:pt>
                <c:pt idx="23">
                  <c:v>19391</c:v>
                </c:pt>
                <c:pt idx="24">
                  <c:v>19169</c:v>
                </c:pt>
                <c:pt idx="25">
                  <c:v>18998</c:v>
                </c:pt>
                <c:pt idx="26">
                  <c:v>18736</c:v>
                </c:pt>
                <c:pt idx="27">
                  <c:v>19357</c:v>
                </c:pt>
                <c:pt idx="28">
                  <c:v>18748</c:v>
                </c:pt>
                <c:pt idx="29">
                  <c:v>-2314382</c:v>
                </c:pt>
                <c:pt idx="30">
                  <c:v>19398</c:v>
                </c:pt>
                <c:pt idx="31">
                  <c:v>-1730604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ropLines/>
        <c:marker val="1"/>
        <c:axId val="98203520"/>
        <c:axId val="98205056"/>
      </c:lineChart>
      <c:catAx>
        <c:axId val="98203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05056"/>
        <c:crosses val="autoZero"/>
        <c:auto val="1"/>
        <c:lblAlgn val="ctr"/>
        <c:lblOffset val="100"/>
      </c:catAx>
      <c:valAx>
        <c:axId val="98205056"/>
        <c:scaling>
          <c:orientation val="minMax"/>
          <c:max val="34000"/>
          <c:min val="2500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203520"/>
        <c:crosses val="autoZero"/>
        <c:crossBetween val="between"/>
        <c:majorUnit val="2000"/>
      </c:valAx>
    </c:plotArea>
    <c:dispBlanksAs val="gap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9.75</c:v>
                </c:pt>
                <c:pt idx="1">
                  <c:v>9.1300000000001091</c:v>
                </c:pt>
                <c:pt idx="2">
                  <c:v>7.930000000000291</c:v>
                </c:pt>
                <c:pt idx="3">
                  <c:v>7.6599999999998545</c:v>
                </c:pt>
                <c:pt idx="4">
                  <c:v>7.8599999999996726</c:v>
                </c:pt>
                <c:pt idx="5">
                  <c:v>6.5900000000001455</c:v>
                </c:pt>
                <c:pt idx="6">
                  <c:v>7.6700000000000728</c:v>
                </c:pt>
                <c:pt idx="7">
                  <c:v>6.9700000000002547</c:v>
                </c:pt>
                <c:pt idx="8">
                  <c:v>7.1499999999996362</c:v>
                </c:pt>
                <c:pt idx="9">
                  <c:v>8.2600000000002183</c:v>
                </c:pt>
                <c:pt idx="10">
                  <c:v>7.1700000000000728</c:v>
                </c:pt>
                <c:pt idx="11">
                  <c:v>8.5100000000002183</c:v>
                </c:pt>
                <c:pt idx="12">
                  <c:v>8.5999999999994543</c:v>
                </c:pt>
                <c:pt idx="13">
                  <c:v>6.6999999999998181</c:v>
                </c:pt>
                <c:pt idx="14">
                  <c:v>7.5299999999999727</c:v>
                </c:pt>
                <c:pt idx="15">
                  <c:v>7.8200000000001637</c:v>
                </c:pt>
                <c:pt idx="16">
                  <c:v>8.2100000000000364</c:v>
                </c:pt>
                <c:pt idx="17">
                  <c:v>7.5999999999999091</c:v>
                </c:pt>
                <c:pt idx="18">
                  <c:v>7.3599999999999</c:v>
                </c:pt>
                <c:pt idx="19">
                  <c:v>6.9300000000000637</c:v>
                </c:pt>
                <c:pt idx="20">
                  <c:v>6.75</c:v>
                </c:pt>
                <c:pt idx="21">
                  <c:v>7.4900000000000091</c:v>
                </c:pt>
                <c:pt idx="22">
                  <c:v>7.0099999999999909</c:v>
                </c:pt>
                <c:pt idx="23">
                  <c:v>7.9100000000000819</c:v>
                </c:pt>
                <c:pt idx="24">
                  <c:v>7.0099999999999909</c:v>
                </c:pt>
                <c:pt idx="25">
                  <c:v>7.7599999999999909</c:v>
                </c:pt>
                <c:pt idx="26">
                  <c:v>7.2799999999999727</c:v>
                </c:pt>
                <c:pt idx="27">
                  <c:v>8.4400000000002819</c:v>
                </c:pt>
                <c:pt idx="28">
                  <c:v>7.1300000000001091</c:v>
                </c:pt>
                <c:pt idx="29">
                  <c:v>-736.60999999999967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marker val="1"/>
        <c:axId val="98118656"/>
        <c:axId val="98128640"/>
      </c:lineChart>
      <c:catAx>
        <c:axId val="981186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28640"/>
        <c:crosses val="autoZero"/>
        <c:auto val="1"/>
        <c:lblAlgn val="ctr"/>
        <c:lblOffset val="100"/>
      </c:catAx>
      <c:valAx>
        <c:axId val="98128640"/>
        <c:scaling>
          <c:orientation val="minMax"/>
          <c:max val="14"/>
          <c:min val="8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811865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title>
      <c:txPr>
        <a:bodyPr/>
        <a:lstStyle/>
        <a:p>
          <a:pPr>
            <a:defRPr lang="en-US"/>
          </a:pPr>
          <a:endParaRPr lang="en-US"/>
        </a:p>
      </c:txPr>
    </c:title>
    <c:view3D>
      <c:rotX val="30"/>
      <c:hPercent val="100"/>
      <c:depthPercent val="100"/>
      <c:perspective val="30"/>
    </c:view3D>
    <c:plotArea>
      <c:layout/>
      <c:pie3DChart>
        <c:varyColors val="1"/>
        <c:dLbls>
          <c:showPercent val="1"/>
        </c:dLbls>
      </c:pie3DChart>
    </c:plotArea>
    <c:legend>
      <c:legendPos val="t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1"/>
  <c:lang val="en-US"/>
  <c:chart>
    <c:view3D>
      <c:rotX val="30"/>
      <c:perspective val="30"/>
    </c:view3D>
    <c:plotArea>
      <c:layout/>
      <c:pie3DChart>
        <c:varyColors val="1"/>
      </c:pie3DChart>
      <c:spPr>
        <a:noFill/>
        <a:ln w="25400">
          <a:noFill/>
        </a:ln>
      </c:spPr>
    </c:plotArea>
    <c:plotVisOnly val="1"/>
    <c:dispBlanksAs val="zero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1828817210434806E-2"/>
          <c:y val="7.4487823818535512E-2"/>
          <c:w val="0.84489954093855446"/>
          <c:h val="0.79838984032443594"/>
        </c:manualLayout>
      </c:layout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Load'!$AC$7:$AC$27</c:f>
              <c:numCache>
                <c:formatCode>0</c:formatCode>
                <c:ptCount val="21"/>
                <c:pt idx="0">
                  <c:v>226.42000000004191</c:v>
                </c:pt>
                <c:pt idx="1">
                  <c:v>238.06999999994878</c:v>
                </c:pt>
                <c:pt idx="2">
                  <c:v>200.51000000000931</c:v>
                </c:pt>
                <c:pt idx="3">
                  <c:v>238</c:v>
                </c:pt>
                <c:pt idx="4">
                  <c:v>209</c:v>
                </c:pt>
                <c:pt idx="5">
                  <c:v>217</c:v>
                </c:pt>
                <c:pt idx="6">
                  <c:v>251</c:v>
                </c:pt>
                <c:pt idx="7">
                  <c:v>228.84999999997672</c:v>
                </c:pt>
                <c:pt idx="8">
                  <c:v>260.1600000000326</c:v>
                </c:pt>
                <c:pt idx="9">
                  <c:v>275.92000000004191</c:v>
                </c:pt>
                <c:pt idx="10">
                  <c:v>241.66299999994226</c:v>
                </c:pt>
                <c:pt idx="11">
                  <c:v>270.45700000005309</c:v>
                </c:pt>
                <c:pt idx="12">
                  <c:v>281.80999999993946</c:v>
                </c:pt>
                <c:pt idx="13">
                  <c:v>295.32400000002235</c:v>
                </c:pt>
                <c:pt idx="14">
                  <c:v>271.81599999999162</c:v>
                </c:pt>
                <c:pt idx="15">
                  <c:v>265</c:v>
                </c:pt>
                <c:pt idx="16">
                  <c:v>249.8399999999674</c:v>
                </c:pt>
                <c:pt idx="17">
                  <c:v>243.01000000000931</c:v>
                </c:pt>
                <c:pt idx="18">
                  <c:v>268.22999999998137</c:v>
                </c:pt>
                <c:pt idx="19">
                  <c:v>245.85999999998603</c:v>
                </c:pt>
                <c:pt idx="20">
                  <c:v>269.06000000005588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Load'!$AH$7:$AH$27</c:f>
              <c:numCache>
                <c:formatCode>0</c:formatCode>
                <c:ptCount val="21"/>
                <c:pt idx="0">
                  <c:v>460.2199999998993</c:v>
                </c:pt>
                <c:pt idx="1">
                  <c:v>209.73000000005413</c:v>
                </c:pt>
                <c:pt idx="2">
                  <c:v>405.18999999994412</c:v>
                </c:pt>
                <c:pt idx="3">
                  <c:v>290.30000000004657</c:v>
                </c:pt>
                <c:pt idx="4">
                  <c:v>463</c:v>
                </c:pt>
                <c:pt idx="5">
                  <c:v>426</c:v>
                </c:pt>
                <c:pt idx="6">
                  <c:v>386</c:v>
                </c:pt>
                <c:pt idx="7">
                  <c:v>553.90199999992547</c:v>
                </c:pt>
                <c:pt idx="8">
                  <c:v>579.16400000007161</c:v>
                </c:pt>
                <c:pt idx="9">
                  <c:v>510.06299999998555</c:v>
                </c:pt>
                <c:pt idx="10">
                  <c:v>508.32000000000698</c:v>
                </c:pt>
                <c:pt idx="11">
                  <c:v>526.39099999992504</c:v>
                </c:pt>
                <c:pt idx="12">
                  <c:v>633.42900000000736</c:v>
                </c:pt>
                <c:pt idx="13">
                  <c:v>552.89100000003054</c:v>
                </c:pt>
                <c:pt idx="14">
                  <c:v>571.59000000005835</c:v>
                </c:pt>
                <c:pt idx="15">
                  <c:v>551.85999999991873</c:v>
                </c:pt>
                <c:pt idx="16">
                  <c:v>553.36000000009153</c:v>
                </c:pt>
                <c:pt idx="17">
                  <c:v>543.09999999995307</c:v>
                </c:pt>
                <c:pt idx="18">
                  <c:v>510.44000000002052</c:v>
                </c:pt>
                <c:pt idx="19">
                  <c:v>561.14999999993415</c:v>
                </c:pt>
                <c:pt idx="20">
                  <c:v>375.97000000007574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Load'!$AE$7:$AE$27</c:f>
              <c:numCache>
                <c:formatCode>0</c:formatCode>
                <c:ptCount val="21"/>
                <c:pt idx="0">
                  <c:v>48.25</c:v>
                </c:pt>
                <c:pt idx="1">
                  <c:v>53</c:v>
                </c:pt>
                <c:pt idx="2">
                  <c:v>58</c:v>
                </c:pt>
                <c:pt idx="3">
                  <c:v>63</c:v>
                </c:pt>
                <c:pt idx="4">
                  <c:v>56</c:v>
                </c:pt>
                <c:pt idx="5">
                  <c:v>88</c:v>
                </c:pt>
                <c:pt idx="6">
                  <c:v>90</c:v>
                </c:pt>
                <c:pt idx="7">
                  <c:v>88.600000000005821</c:v>
                </c:pt>
                <c:pt idx="8">
                  <c:v>64.679999999993015</c:v>
                </c:pt>
                <c:pt idx="9">
                  <c:v>86.64000000001397</c:v>
                </c:pt>
                <c:pt idx="10">
                  <c:v>64.419999999983702</c:v>
                </c:pt>
                <c:pt idx="11">
                  <c:v>88.519999999989523</c:v>
                </c:pt>
                <c:pt idx="12">
                  <c:v>107.64000000001397</c:v>
                </c:pt>
                <c:pt idx="13">
                  <c:v>81.959999999991851</c:v>
                </c:pt>
                <c:pt idx="14">
                  <c:v>70.770000000018626</c:v>
                </c:pt>
                <c:pt idx="15">
                  <c:v>66.989999999990687</c:v>
                </c:pt>
                <c:pt idx="16">
                  <c:v>86.070000000006985</c:v>
                </c:pt>
                <c:pt idx="17">
                  <c:v>80.729999999981374</c:v>
                </c:pt>
                <c:pt idx="18">
                  <c:v>80.029999999998836</c:v>
                </c:pt>
                <c:pt idx="19">
                  <c:v>83.430000000022119</c:v>
                </c:pt>
                <c:pt idx="20">
                  <c:v>64.889999999984866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marker val="1"/>
        <c:axId val="128952960"/>
        <c:axId val="128962944"/>
      </c:lineChart>
      <c:catAx>
        <c:axId val="128952960"/>
        <c:scaling>
          <c:orientation val="minMax"/>
        </c:scaling>
        <c:axPos val="b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28962944"/>
        <c:crosses val="autoZero"/>
        <c:auto val="1"/>
        <c:lblAlgn val="ctr"/>
        <c:lblOffset val="100"/>
      </c:catAx>
      <c:valAx>
        <c:axId val="128962944"/>
        <c:scaling>
          <c:orientation val="minMax"/>
        </c:scaling>
        <c:axPos val="l"/>
        <c:majorGridlines/>
        <c:numFmt formatCode="0" sourceLinked="1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28952960"/>
        <c:crosses val="autoZero"/>
        <c:crossBetween val="between"/>
      </c:valAx>
    </c:plotArea>
    <c:legend>
      <c:legendPos val="r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</c:title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ser>
          <c:idx val="0"/>
          <c:order val="0"/>
          <c:dLbls>
            <c:dLbl>
              <c:idx val="0"/>
              <c:layout>
                <c:manualLayout>
                  <c:x val="-1.8126888217535147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33</c:v>
                </c:pt>
                <c:pt idx="1">
                  <c:v>71</c:v>
                </c:pt>
                <c:pt idx="2">
                  <c:v>60</c:v>
                </c:pt>
                <c:pt idx="3">
                  <c:v>68</c:v>
                </c:pt>
                <c:pt idx="4">
                  <c:v>0</c:v>
                </c:pt>
                <c:pt idx="5">
                  <c:v>57</c:v>
                </c:pt>
                <c:pt idx="6">
                  <c:v>48</c:v>
                </c:pt>
                <c:pt idx="7">
                  <c:v>59</c:v>
                </c:pt>
                <c:pt idx="8">
                  <c:v>68</c:v>
                </c:pt>
                <c:pt idx="9">
                  <c:v>61</c:v>
                </c:pt>
                <c:pt idx="10">
                  <c:v>93</c:v>
                </c:pt>
                <c:pt idx="11">
                  <c:v>71</c:v>
                </c:pt>
                <c:pt idx="12">
                  <c:v>67</c:v>
                </c:pt>
                <c:pt idx="13">
                  <c:v>68</c:v>
                </c:pt>
                <c:pt idx="14">
                  <c:v>115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ropLines/>
        <c:marker val="1"/>
        <c:axId val="163923840"/>
        <c:axId val="163925376"/>
      </c:lineChart>
      <c:lineChart>
        <c:grouping val="stacke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3326755</c:v>
                </c:pt>
                <c:pt idx="1">
                  <c:v>3346487</c:v>
                </c:pt>
                <c:pt idx="2">
                  <c:v>3384591</c:v>
                </c:pt>
                <c:pt idx="3">
                  <c:v>3365919</c:v>
                </c:pt>
                <c:pt idx="4">
                  <c:v>0</c:v>
                </c:pt>
                <c:pt idx="5">
                  <c:v>3420748</c:v>
                </c:pt>
                <c:pt idx="6">
                  <c:v>3438920</c:v>
                </c:pt>
                <c:pt idx="7">
                  <c:v>3457986</c:v>
                </c:pt>
                <c:pt idx="8">
                  <c:v>3477016</c:v>
                </c:pt>
                <c:pt idx="9">
                  <c:v>3497397</c:v>
                </c:pt>
                <c:pt idx="10">
                  <c:v>3517889</c:v>
                </c:pt>
                <c:pt idx="11">
                  <c:v>3538080</c:v>
                </c:pt>
                <c:pt idx="12">
                  <c:v>3558997</c:v>
                </c:pt>
                <c:pt idx="13">
                  <c:v>3578408</c:v>
                </c:pt>
                <c:pt idx="14">
                  <c:v>3599308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marker val="1"/>
        <c:axId val="163935360"/>
        <c:axId val="163936896"/>
      </c:lineChart>
      <c:catAx>
        <c:axId val="163923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25376"/>
        <c:crosses val="autoZero"/>
        <c:auto val="1"/>
        <c:lblAlgn val="ctr"/>
        <c:lblOffset val="100"/>
      </c:catAx>
      <c:valAx>
        <c:axId val="163925376"/>
        <c:scaling>
          <c:orientation val="minMax"/>
          <c:max val="1700"/>
          <c:min val="115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23840"/>
        <c:crosses val="autoZero"/>
        <c:crossBetween val="between"/>
        <c:minorUnit val="50"/>
      </c:valAx>
      <c:catAx>
        <c:axId val="163935360"/>
        <c:scaling>
          <c:orientation val="minMax"/>
        </c:scaling>
        <c:delete val="1"/>
        <c:axPos val="b"/>
        <c:tickLblPos val="none"/>
        <c:crossAx val="163936896"/>
        <c:crosses val="autoZero"/>
        <c:auto val="1"/>
        <c:lblAlgn val="ctr"/>
        <c:lblOffset val="100"/>
      </c:catAx>
      <c:valAx>
        <c:axId val="163936896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35360"/>
        <c:crosses val="max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marker val="1"/>
        <c:axId val="163969664"/>
        <c:axId val="164143488"/>
      </c:lineChart>
      <c:catAx>
        <c:axId val="16396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143488"/>
        <c:crosses val="autoZero"/>
        <c:auto val="1"/>
        <c:lblAlgn val="ctr"/>
        <c:lblOffset val="100"/>
      </c:catAx>
      <c:valAx>
        <c:axId val="164143488"/>
        <c:scaling>
          <c:orientation val="minMax"/>
          <c:max val="5000"/>
          <c:min val="35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69664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</c:title>
    <c:plotArea>
      <c:layout/>
      <c:lineChart>
        <c:grouping val="standard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3326755</c:v>
                </c:pt>
                <c:pt idx="1">
                  <c:v>3346487</c:v>
                </c:pt>
                <c:pt idx="2">
                  <c:v>3384591</c:v>
                </c:pt>
                <c:pt idx="3">
                  <c:v>3365919</c:v>
                </c:pt>
                <c:pt idx="4">
                  <c:v>0</c:v>
                </c:pt>
                <c:pt idx="5">
                  <c:v>3420748</c:v>
                </c:pt>
                <c:pt idx="6">
                  <c:v>3438920</c:v>
                </c:pt>
                <c:pt idx="7">
                  <c:v>3457986</c:v>
                </c:pt>
                <c:pt idx="8">
                  <c:v>3477016</c:v>
                </c:pt>
                <c:pt idx="9">
                  <c:v>3497397</c:v>
                </c:pt>
                <c:pt idx="10">
                  <c:v>3517889</c:v>
                </c:pt>
                <c:pt idx="11">
                  <c:v>3538080</c:v>
                </c:pt>
                <c:pt idx="12">
                  <c:v>3558997</c:v>
                </c:pt>
                <c:pt idx="13">
                  <c:v>3578408</c:v>
                </c:pt>
                <c:pt idx="14">
                  <c:v>3599308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ropLines/>
        <c:marker val="1"/>
        <c:axId val="164508416"/>
        <c:axId val="164509952"/>
      </c:lineChart>
      <c:catAx>
        <c:axId val="164508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09952"/>
        <c:crosses val="autoZero"/>
        <c:auto val="1"/>
        <c:lblAlgn val="ctr"/>
        <c:lblOffset val="100"/>
      </c:catAx>
      <c:valAx>
        <c:axId val="164509952"/>
        <c:scaling>
          <c:orientation val="minMax"/>
          <c:min val="10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08416"/>
        <c:crosses val="autoZero"/>
        <c:crossBetween val="between"/>
      </c:valAx>
    </c:plotArea>
    <c:legend>
      <c:legendPos val="r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6583"/>
        </c:manualLayout>
      </c:layout>
      <c:lineChart>
        <c:grouping val="standard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98</c:v>
                </c:pt>
                <c:pt idx="1">
                  <c:v>69</c:v>
                </c:pt>
                <c:pt idx="2">
                  <c:v>64</c:v>
                </c:pt>
                <c:pt idx="3">
                  <c:v>76</c:v>
                </c:pt>
                <c:pt idx="4">
                  <c:v>0</c:v>
                </c:pt>
                <c:pt idx="5">
                  <c:v>45</c:v>
                </c:pt>
                <c:pt idx="6">
                  <c:v>87</c:v>
                </c:pt>
                <c:pt idx="7">
                  <c:v>55</c:v>
                </c:pt>
                <c:pt idx="8">
                  <c:v>42</c:v>
                </c:pt>
                <c:pt idx="9">
                  <c:v>46</c:v>
                </c:pt>
                <c:pt idx="10">
                  <c:v>91</c:v>
                </c:pt>
                <c:pt idx="11">
                  <c:v>80</c:v>
                </c:pt>
                <c:pt idx="12">
                  <c:v>66</c:v>
                </c:pt>
                <c:pt idx="13">
                  <c:v>64</c:v>
                </c:pt>
                <c:pt idx="14">
                  <c:v>62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marker val="1"/>
        <c:axId val="164544512"/>
        <c:axId val="164546048"/>
      </c:lineChart>
      <c:lineChart>
        <c:grouping val="standard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3326755</c:v>
                </c:pt>
                <c:pt idx="1">
                  <c:v>3346487</c:v>
                </c:pt>
                <c:pt idx="2">
                  <c:v>3384591</c:v>
                </c:pt>
                <c:pt idx="3">
                  <c:v>3365919</c:v>
                </c:pt>
                <c:pt idx="4">
                  <c:v>0</c:v>
                </c:pt>
                <c:pt idx="5">
                  <c:v>3420748</c:v>
                </c:pt>
                <c:pt idx="6">
                  <c:v>3438920</c:v>
                </c:pt>
                <c:pt idx="7">
                  <c:v>3457986</c:v>
                </c:pt>
                <c:pt idx="8">
                  <c:v>3477016</c:v>
                </c:pt>
                <c:pt idx="9">
                  <c:v>3497397</c:v>
                </c:pt>
                <c:pt idx="10">
                  <c:v>3517889</c:v>
                </c:pt>
                <c:pt idx="11">
                  <c:v>3538080</c:v>
                </c:pt>
                <c:pt idx="12">
                  <c:v>3558997</c:v>
                </c:pt>
                <c:pt idx="13">
                  <c:v>3578408</c:v>
                </c:pt>
                <c:pt idx="14">
                  <c:v>3599308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marker val="1"/>
        <c:axId val="164547584"/>
        <c:axId val="164553472"/>
      </c:lineChart>
      <c:catAx>
        <c:axId val="164544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46048"/>
        <c:crosses val="autoZero"/>
        <c:auto val="1"/>
        <c:lblAlgn val="ctr"/>
        <c:lblOffset val="100"/>
      </c:catAx>
      <c:valAx>
        <c:axId val="164546048"/>
        <c:scaling>
          <c:orientation val="minMax"/>
          <c:min val="6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44512"/>
        <c:crosses val="autoZero"/>
        <c:crossBetween val="between"/>
      </c:valAx>
      <c:catAx>
        <c:axId val="164547584"/>
        <c:scaling>
          <c:orientation val="minMax"/>
        </c:scaling>
        <c:delete val="1"/>
        <c:axPos val="b"/>
        <c:tickLblPos val="none"/>
        <c:crossAx val="164553472"/>
        <c:crosses val="autoZero"/>
        <c:auto val="1"/>
        <c:lblAlgn val="ctr"/>
        <c:lblOffset val="100"/>
      </c:catAx>
      <c:valAx>
        <c:axId val="164553472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5475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604.66999999999825</c:v>
                </c:pt>
                <c:pt idx="1">
                  <c:v>589</c:v>
                </c:pt>
                <c:pt idx="2">
                  <c:v>574.69000000000233</c:v>
                </c:pt>
                <c:pt idx="3">
                  <c:v>563</c:v>
                </c:pt>
                <c:pt idx="4">
                  <c:v>0</c:v>
                </c:pt>
                <c:pt idx="5">
                  <c:v>579.40000000000146</c:v>
                </c:pt>
                <c:pt idx="6">
                  <c:v>583.48999999999796</c:v>
                </c:pt>
                <c:pt idx="7">
                  <c:v>578</c:v>
                </c:pt>
                <c:pt idx="8">
                  <c:v>583</c:v>
                </c:pt>
                <c:pt idx="9">
                  <c:v>599</c:v>
                </c:pt>
                <c:pt idx="10">
                  <c:v>617.5460000000021</c:v>
                </c:pt>
                <c:pt idx="11">
                  <c:v>629.40399999999499</c:v>
                </c:pt>
                <c:pt idx="12">
                  <c:v>632.51000000000204</c:v>
                </c:pt>
                <c:pt idx="13">
                  <c:v>592.90099999999802</c:v>
                </c:pt>
                <c:pt idx="14">
                  <c:v>631.31999999999971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marker val="1"/>
        <c:axId val="163290112"/>
        <c:axId val="163300096"/>
      </c:lineChart>
      <c:lineChart>
        <c:grouping val="standard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3326755</c:v>
                </c:pt>
                <c:pt idx="1">
                  <c:v>3346487</c:v>
                </c:pt>
                <c:pt idx="2">
                  <c:v>3384591</c:v>
                </c:pt>
                <c:pt idx="3">
                  <c:v>3365919</c:v>
                </c:pt>
                <c:pt idx="4">
                  <c:v>0</c:v>
                </c:pt>
                <c:pt idx="5">
                  <c:v>3420748</c:v>
                </c:pt>
                <c:pt idx="6">
                  <c:v>3438920</c:v>
                </c:pt>
                <c:pt idx="7">
                  <c:v>3457986</c:v>
                </c:pt>
                <c:pt idx="8">
                  <c:v>3477016</c:v>
                </c:pt>
                <c:pt idx="9">
                  <c:v>3497397</c:v>
                </c:pt>
                <c:pt idx="10">
                  <c:v>3517889</c:v>
                </c:pt>
                <c:pt idx="11">
                  <c:v>3538080</c:v>
                </c:pt>
                <c:pt idx="12">
                  <c:v>3558997</c:v>
                </c:pt>
                <c:pt idx="13">
                  <c:v>3578408</c:v>
                </c:pt>
                <c:pt idx="14">
                  <c:v>3599308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marker val="1"/>
        <c:axId val="163301632"/>
        <c:axId val="163303424"/>
      </c:lineChart>
      <c:catAx>
        <c:axId val="163290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00096"/>
        <c:crosses val="autoZero"/>
        <c:auto val="1"/>
        <c:lblAlgn val="ctr"/>
        <c:lblOffset val="100"/>
      </c:catAx>
      <c:valAx>
        <c:axId val="163300096"/>
        <c:scaling>
          <c:orientation val="minMax"/>
          <c:min val="8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90112"/>
        <c:crosses val="autoZero"/>
        <c:crossBetween val="between"/>
        <c:majorUnit val="2"/>
      </c:valAx>
      <c:catAx>
        <c:axId val="163301632"/>
        <c:scaling>
          <c:orientation val="minMax"/>
        </c:scaling>
        <c:delete val="1"/>
        <c:axPos val="b"/>
        <c:tickLblPos val="none"/>
        <c:crossAx val="163303424"/>
        <c:crosses val="autoZero"/>
        <c:auto val="1"/>
        <c:lblAlgn val="ctr"/>
        <c:lblOffset val="100"/>
      </c:catAx>
      <c:valAx>
        <c:axId val="163303424"/>
        <c:scaling>
          <c:orientation val="minMax"/>
        </c:scaling>
        <c:axPos val="r"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01632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246529</xdr:colOff>
      <xdr:row>44</xdr:row>
      <xdr:rowOff>67235</xdr:rowOff>
    </xdr:from>
    <xdr:to>
      <xdr:col>30</xdr:col>
      <xdr:colOff>313765</xdr:colOff>
      <xdr:row>57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esktop/Report%20HLP%202020/12%20DEC%20%20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39">
          <cell r="E39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G15">
            <v>827.6500000001397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">
          <cell r="D3">
            <v>30</v>
          </cell>
        </row>
        <row r="5">
          <cell r="D5" t="str">
            <v>Unit</v>
          </cell>
        </row>
        <row r="7">
          <cell r="G7">
            <v>19398</v>
          </cell>
        </row>
        <row r="8">
          <cell r="G8">
            <v>19595</v>
          </cell>
        </row>
        <row r="20">
          <cell r="G20">
            <v>184</v>
          </cell>
        </row>
        <row r="24">
          <cell r="G24">
            <v>0</v>
          </cell>
        </row>
        <row r="35">
          <cell r="G35">
            <v>0</v>
          </cell>
        </row>
        <row r="36">
          <cell r="G36">
            <v>668.5800000000163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8.999999999650754E-2</v>
          </cell>
        </row>
        <row r="43">
          <cell r="G43">
            <v>1972.7200000000885</v>
          </cell>
        </row>
        <row r="44">
          <cell r="G44">
            <v>0</v>
          </cell>
        </row>
        <row r="49">
          <cell r="G49">
            <v>2791.390000000014</v>
          </cell>
        </row>
        <row r="50">
          <cell r="G50">
            <v>1070.4400000000023</v>
          </cell>
        </row>
        <row r="51">
          <cell r="G51">
            <v>1472.3400000000038</v>
          </cell>
        </row>
        <row r="52">
          <cell r="G52">
            <v>2047.2800000000279</v>
          </cell>
        </row>
        <row r="53">
          <cell r="G53">
            <v>4400.9700000000012</v>
          </cell>
        </row>
        <row r="54">
          <cell r="G54">
            <v>79.989999999999782</v>
          </cell>
        </row>
        <row r="56">
          <cell r="G56">
            <v>4263.1199999999953</v>
          </cell>
        </row>
        <row r="57">
          <cell r="H57">
            <v>0</v>
          </cell>
        </row>
        <row r="84">
          <cell r="G84">
            <v>377</v>
          </cell>
        </row>
        <row r="95">
          <cell r="G95">
            <v>63</v>
          </cell>
        </row>
        <row r="96">
          <cell r="G96">
            <v>15</v>
          </cell>
        </row>
        <row r="97">
          <cell r="G97">
            <v>22</v>
          </cell>
        </row>
        <row r="123">
          <cell r="G123">
            <v>241.35000000009313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23.919999999998254</v>
          </cell>
        </row>
        <row r="136">
          <cell r="G136">
            <v>6.3300000000017462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7.9200000000000728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topLeftCell="A13" workbookViewId="0">
      <selection activeCell="N14" sqref="N14"/>
    </sheetView>
  </sheetViews>
  <sheetFormatPr defaultColWidth="9" defaultRowHeight="15"/>
  <cols>
    <col min="1" max="1" width="9.6640625" style="1276" customWidth="1"/>
    <col min="2" max="3" width="9" style="1270"/>
    <col min="4" max="4" width="10.44140625" style="1271" customWidth="1"/>
    <col min="5" max="5" width="9.77734375" style="1272" customWidth="1"/>
    <col min="6" max="6" width="9.77734375" style="1276" customWidth="1"/>
    <col min="7" max="10" width="9" style="1276"/>
    <col min="11" max="12" width="9" style="1272"/>
    <col min="13" max="13" width="0" style="1275" hidden="1" customWidth="1"/>
    <col min="14" max="256" width="9" style="1275"/>
    <col min="257" max="257" width="9.6640625" style="1275" customWidth="1"/>
    <col min="258" max="259" width="9" style="1275"/>
    <col min="260" max="260" width="10.44140625" style="1275" customWidth="1"/>
    <col min="261" max="262" width="9.77734375" style="1275" customWidth="1"/>
    <col min="263" max="268" width="9" style="1275"/>
    <col min="269" max="269" width="0" style="1275" hidden="1" customWidth="1"/>
    <col min="270" max="512" width="9" style="1275"/>
    <col min="513" max="513" width="9.6640625" style="1275" customWidth="1"/>
    <col min="514" max="515" width="9" style="1275"/>
    <col min="516" max="516" width="10.44140625" style="1275" customWidth="1"/>
    <col min="517" max="518" width="9.77734375" style="1275" customWidth="1"/>
    <col min="519" max="524" width="9" style="1275"/>
    <col min="525" max="525" width="0" style="1275" hidden="1" customWidth="1"/>
    <col min="526" max="768" width="9" style="1275"/>
    <col min="769" max="769" width="9.6640625" style="1275" customWidth="1"/>
    <col min="770" max="771" width="9" style="1275"/>
    <col min="772" max="772" width="10.44140625" style="1275" customWidth="1"/>
    <col min="773" max="774" width="9.77734375" style="1275" customWidth="1"/>
    <col min="775" max="780" width="9" style="1275"/>
    <col min="781" max="781" width="0" style="1275" hidden="1" customWidth="1"/>
    <col min="782" max="1024" width="9" style="1275"/>
    <col min="1025" max="1025" width="9.6640625" style="1275" customWidth="1"/>
    <col min="1026" max="1027" width="9" style="1275"/>
    <col min="1028" max="1028" width="10.44140625" style="1275" customWidth="1"/>
    <col min="1029" max="1030" width="9.77734375" style="1275" customWidth="1"/>
    <col min="1031" max="1036" width="9" style="1275"/>
    <col min="1037" max="1037" width="0" style="1275" hidden="1" customWidth="1"/>
    <col min="1038" max="1280" width="9" style="1275"/>
    <col min="1281" max="1281" width="9.6640625" style="1275" customWidth="1"/>
    <col min="1282" max="1283" width="9" style="1275"/>
    <col min="1284" max="1284" width="10.44140625" style="1275" customWidth="1"/>
    <col min="1285" max="1286" width="9.77734375" style="1275" customWidth="1"/>
    <col min="1287" max="1292" width="9" style="1275"/>
    <col min="1293" max="1293" width="0" style="1275" hidden="1" customWidth="1"/>
    <col min="1294" max="1536" width="9" style="1275"/>
    <col min="1537" max="1537" width="9.6640625" style="1275" customWidth="1"/>
    <col min="1538" max="1539" width="9" style="1275"/>
    <col min="1540" max="1540" width="10.44140625" style="1275" customWidth="1"/>
    <col min="1541" max="1542" width="9.77734375" style="1275" customWidth="1"/>
    <col min="1543" max="1548" width="9" style="1275"/>
    <col min="1549" max="1549" width="0" style="1275" hidden="1" customWidth="1"/>
    <col min="1550" max="1792" width="9" style="1275"/>
    <col min="1793" max="1793" width="9.6640625" style="1275" customWidth="1"/>
    <col min="1794" max="1795" width="9" style="1275"/>
    <col min="1796" max="1796" width="10.44140625" style="1275" customWidth="1"/>
    <col min="1797" max="1798" width="9.77734375" style="1275" customWidth="1"/>
    <col min="1799" max="1804" width="9" style="1275"/>
    <col min="1805" max="1805" width="0" style="1275" hidden="1" customWidth="1"/>
    <col min="1806" max="2048" width="9" style="1275"/>
    <col min="2049" max="2049" width="9.6640625" style="1275" customWidth="1"/>
    <col min="2050" max="2051" width="9" style="1275"/>
    <col min="2052" max="2052" width="10.44140625" style="1275" customWidth="1"/>
    <col min="2053" max="2054" width="9.77734375" style="1275" customWidth="1"/>
    <col min="2055" max="2060" width="9" style="1275"/>
    <col min="2061" max="2061" width="0" style="1275" hidden="1" customWidth="1"/>
    <col min="2062" max="2304" width="9" style="1275"/>
    <col min="2305" max="2305" width="9.6640625" style="1275" customWidth="1"/>
    <col min="2306" max="2307" width="9" style="1275"/>
    <col min="2308" max="2308" width="10.44140625" style="1275" customWidth="1"/>
    <col min="2309" max="2310" width="9.77734375" style="1275" customWidth="1"/>
    <col min="2311" max="2316" width="9" style="1275"/>
    <col min="2317" max="2317" width="0" style="1275" hidden="1" customWidth="1"/>
    <col min="2318" max="2560" width="9" style="1275"/>
    <col min="2561" max="2561" width="9.6640625" style="1275" customWidth="1"/>
    <col min="2562" max="2563" width="9" style="1275"/>
    <col min="2564" max="2564" width="10.44140625" style="1275" customWidth="1"/>
    <col min="2565" max="2566" width="9.77734375" style="1275" customWidth="1"/>
    <col min="2567" max="2572" width="9" style="1275"/>
    <col min="2573" max="2573" width="0" style="1275" hidden="1" customWidth="1"/>
    <col min="2574" max="2816" width="9" style="1275"/>
    <col min="2817" max="2817" width="9.6640625" style="1275" customWidth="1"/>
    <col min="2818" max="2819" width="9" style="1275"/>
    <col min="2820" max="2820" width="10.44140625" style="1275" customWidth="1"/>
    <col min="2821" max="2822" width="9.77734375" style="1275" customWidth="1"/>
    <col min="2823" max="2828" width="9" style="1275"/>
    <col min="2829" max="2829" width="0" style="1275" hidden="1" customWidth="1"/>
    <col min="2830" max="3072" width="9" style="1275"/>
    <col min="3073" max="3073" width="9.6640625" style="1275" customWidth="1"/>
    <col min="3074" max="3075" width="9" style="1275"/>
    <col min="3076" max="3076" width="10.44140625" style="1275" customWidth="1"/>
    <col min="3077" max="3078" width="9.77734375" style="1275" customWidth="1"/>
    <col min="3079" max="3084" width="9" style="1275"/>
    <col min="3085" max="3085" width="0" style="1275" hidden="1" customWidth="1"/>
    <col min="3086" max="3328" width="9" style="1275"/>
    <col min="3329" max="3329" width="9.6640625" style="1275" customWidth="1"/>
    <col min="3330" max="3331" width="9" style="1275"/>
    <col min="3332" max="3332" width="10.44140625" style="1275" customWidth="1"/>
    <col min="3333" max="3334" width="9.77734375" style="1275" customWidth="1"/>
    <col min="3335" max="3340" width="9" style="1275"/>
    <col min="3341" max="3341" width="0" style="1275" hidden="1" customWidth="1"/>
    <col min="3342" max="3584" width="9" style="1275"/>
    <col min="3585" max="3585" width="9.6640625" style="1275" customWidth="1"/>
    <col min="3586" max="3587" width="9" style="1275"/>
    <col min="3588" max="3588" width="10.44140625" style="1275" customWidth="1"/>
    <col min="3589" max="3590" width="9.77734375" style="1275" customWidth="1"/>
    <col min="3591" max="3596" width="9" style="1275"/>
    <col min="3597" max="3597" width="0" style="1275" hidden="1" customWidth="1"/>
    <col min="3598" max="3840" width="9" style="1275"/>
    <col min="3841" max="3841" width="9.6640625" style="1275" customWidth="1"/>
    <col min="3842" max="3843" width="9" style="1275"/>
    <col min="3844" max="3844" width="10.44140625" style="1275" customWidth="1"/>
    <col min="3845" max="3846" width="9.77734375" style="1275" customWidth="1"/>
    <col min="3847" max="3852" width="9" style="1275"/>
    <col min="3853" max="3853" width="0" style="1275" hidden="1" customWidth="1"/>
    <col min="3854" max="4096" width="9" style="1275"/>
    <col min="4097" max="4097" width="9.6640625" style="1275" customWidth="1"/>
    <col min="4098" max="4099" width="9" style="1275"/>
    <col min="4100" max="4100" width="10.44140625" style="1275" customWidth="1"/>
    <col min="4101" max="4102" width="9.77734375" style="1275" customWidth="1"/>
    <col min="4103" max="4108" width="9" style="1275"/>
    <col min="4109" max="4109" width="0" style="1275" hidden="1" customWidth="1"/>
    <col min="4110" max="4352" width="9" style="1275"/>
    <col min="4353" max="4353" width="9.6640625" style="1275" customWidth="1"/>
    <col min="4354" max="4355" width="9" style="1275"/>
    <col min="4356" max="4356" width="10.44140625" style="1275" customWidth="1"/>
    <col min="4357" max="4358" width="9.77734375" style="1275" customWidth="1"/>
    <col min="4359" max="4364" width="9" style="1275"/>
    <col min="4365" max="4365" width="0" style="1275" hidden="1" customWidth="1"/>
    <col min="4366" max="4608" width="9" style="1275"/>
    <col min="4609" max="4609" width="9.6640625" style="1275" customWidth="1"/>
    <col min="4610" max="4611" width="9" style="1275"/>
    <col min="4612" max="4612" width="10.44140625" style="1275" customWidth="1"/>
    <col min="4613" max="4614" width="9.77734375" style="1275" customWidth="1"/>
    <col min="4615" max="4620" width="9" style="1275"/>
    <col min="4621" max="4621" width="0" style="1275" hidden="1" customWidth="1"/>
    <col min="4622" max="4864" width="9" style="1275"/>
    <col min="4865" max="4865" width="9.6640625" style="1275" customWidth="1"/>
    <col min="4866" max="4867" width="9" style="1275"/>
    <col min="4868" max="4868" width="10.44140625" style="1275" customWidth="1"/>
    <col min="4869" max="4870" width="9.77734375" style="1275" customWidth="1"/>
    <col min="4871" max="4876" width="9" style="1275"/>
    <col min="4877" max="4877" width="0" style="1275" hidden="1" customWidth="1"/>
    <col min="4878" max="5120" width="9" style="1275"/>
    <col min="5121" max="5121" width="9.6640625" style="1275" customWidth="1"/>
    <col min="5122" max="5123" width="9" style="1275"/>
    <col min="5124" max="5124" width="10.44140625" style="1275" customWidth="1"/>
    <col min="5125" max="5126" width="9.77734375" style="1275" customWidth="1"/>
    <col min="5127" max="5132" width="9" style="1275"/>
    <col min="5133" max="5133" width="0" style="1275" hidden="1" customWidth="1"/>
    <col min="5134" max="5376" width="9" style="1275"/>
    <col min="5377" max="5377" width="9.6640625" style="1275" customWidth="1"/>
    <col min="5378" max="5379" width="9" style="1275"/>
    <col min="5380" max="5380" width="10.44140625" style="1275" customWidth="1"/>
    <col min="5381" max="5382" width="9.77734375" style="1275" customWidth="1"/>
    <col min="5383" max="5388" width="9" style="1275"/>
    <col min="5389" max="5389" width="0" style="1275" hidden="1" customWidth="1"/>
    <col min="5390" max="5632" width="9" style="1275"/>
    <col min="5633" max="5633" width="9.6640625" style="1275" customWidth="1"/>
    <col min="5634" max="5635" width="9" style="1275"/>
    <col min="5636" max="5636" width="10.44140625" style="1275" customWidth="1"/>
    <col min="5637" max="5638" width="9.77734375" style="1275" customWidth="1"/>
    <col min="5639" max="5644" width="9" style="1275"/>
    <col min="5645" max="5645" width="0" style="1275" hidden="1" customWidth="1"/>
    <col min="5646" max="5888" width="9" style="1275"/>
    <col min="5889" max="5889" width="9.6640625" style="1275" customWidth="1"/>
    <col min="5890" max="5891" width="9" style="1275"/>
    <col min="5892" max="5892" width="10.44140625" style="1275" customWidth="1"/>
    <col min="5893" max="5894" width="9.77734375" style="1275" customWidth="1"/>
    <col min="5895" max="5900" width="9" style="1275"/>
    <col min="5901" max="5901" width="0" style="1275" hidden="1" customWidth="1"/>
    <col min="5902" max="6144" width="9" style="1275"/>
    <col min="6145" max="6145" width="9.6640625" style="1275" customWidth="1"/>
    <col min="6146" max="6147" width="9" style="1275"/>
    <col min="6148" max="6148" width="10.44140625" style="1275" customWidth="1"/>
    <col min="6149" max="6150" width="9.77734375" style="1275" customWidth="1"/>
    <col min="6151" max="6156" width="9" style="1275"/>
    <col min="6157" max="6157" width="0" style="1275" hidden="1" customWidth="1"/>
    <col min="6158" max="6400" width="9" style="1275"/>
    <col min="6401" max="6401" width="9.6640625" style="1275" customWidth="1"/>
    <col min="6402" max="6403" width="9" style="1275"/>
    <col min="6404" max="6404" width="10.44140625" style="1275" customWidth="1"/>
    <col min="6405" max="6406" width="9.77734375" style="1275" customWidth="1"/>
    <col min="6407" max="6412" width="9" style="1275"/>
    <col min="6413" max="6413" width="0" style="1275" hidden="1" customWidth="1"/>
    <col min="6414" max="6656" width="9" style="1275"/>
    <col min="6657" max="6657" width="9.6640625" style="1275" customWidth="1"/>
    <col min="6658" max="6659" width="9" style="1275"/>
    <col min="6660" max="6660" width="10.44140625" style="1275" customWidth="1"/>
    <col min="6661" max="6662" width="9.77734375" style="1275" customWidth="1"/>
    <col min="6663" max="6668" width="9" style="1275"/>
    <col min="6669" max="6669" width="0" style="1275" hidden="1" customWidth="1"/>
    <col min="6670" max="6912" width="9" style="1275"/>
    <col min="6913" max="6913" width="9.6640625" style="1275" customWidth="1"/>
    <col min="6914" max="6915" width="9" style="1275"/>
    <col min="6916" max="6916" width="10.44140625" style="1275" customWidth="1"/>
    <col min="6917" max="6918" width="9.77734375" style="1275" customWidth="1"/>
    <col min="6919" max="6924" width="9" style="1275"/>
    <col min="6925" max="6925" width="0" style="1275" hidden="1" customWidth="1"/>
    <col min="6926" max="7168" width="9" style="1275"/>
    <col min="7169" max="7169" width="9.6640625" style="1275" customWidth="1"/>
    <col min="7170" max="7171" width="9" style="1275"/>
    <col min="7172" max="7172" width="10.44140625" style="1275" customWidth="1"/>
    <col min="7173" max="7174" width="9.77734375" style="1275" customWidth="1"/>
    <col min="7175" max="7180" width="9" style="1275"/>
    <col min="7181" max="7181" width="0" style="1275" hidden="1" customWidth="1"/>
    <col min="7182" max="7424" width="9" style="1275"/>
    <col min="7425" max="7425" width="9.6640625" style="1275" customWidth="1"/>
    <col min="7426" max="7427" width="9" style="1275"/>
    <col min="7428" max="7428" width="10.44140625" style="1275" customWidth="1"/>
    <col min="7429" max="7430" width="9.77734375" style="1275" customWidth="1"/>
    <col min="7431" max="7436" width="9" style="1275"/>
    <col min="7437" max="7437" width="0" style="1275" hidden="1" customWidth="1"/>
    <col min="7438" max="7680" width="9" style="1275"/>
    <col min="7681" max="7681" width="9.6640625" style="1275" customWidth="1"/>
    <col min="7682" max="7683" width="9" style="1275"/>
    <col min="7684" max="7684" width="10.44140625" style="1275" customWidth="1"/>
    <col min="7685" max="7686" width="9.77734375" style="1275" customWidth="1"/>
    <col min="7687" max="7692" width="9" style="1275"/>
    <col min="7693" max="7693" width="0" style="1275" hidden="1" customWidth="1"/>
    <col min="7694" max="7936" width="9" style="1275"/>
    <col min="7937" max="7937" width="9.6640625" style="1275" customWidth="1"/>
    <col min="7938" max="7939" width="9" style="1275"/>
    <col min="7940" max="7940" width="10.44140625" style="1275" customWidth="1"/>
    <col min="7941" max="7942" width="9.77734375" style="1275" customWidth="1"/>
    <col min="7943" max="7948" width="9" style="1275"/>
    <col min="7949" max="7949" width="0" style="1275" hidden="1" customWidth="1"/>
    <col min="7950" max="8192" width="9" style="1275"/>
    <col min="8193" max="8193" width="9.6640625" style="1275" customWidth="1"/>
    <col min="8194" max="8195" width="9" style="1275"/>
    <col min="8196" max="8196" width="10.44140625" style="1275" customWidth="1"/>
    <col min="8197" max="8198" width="9.77734375" style="1275" customWidth="1"/>
    <col min="8199" max="8204" width="9" style="1275"/>
    <col min="8205" max="8205" width="0" style="1275" hidden="1" customWidth="1"/>
    <col min="8206" max="8448" width="9" style="1275"/>
    <col min="8449" max="8449" width="9.6640625" style="1275" customWidth="1"/>
    <col min="8450" max="8451" width="9" style="1275"/>
    <col min="8452" max="8452" width="10.44140625" style="1275" customWidth="1"/>
    <col min="8453" max="8454" width="9.77734375" style="1275" customWidth="1"/>
    <col min="8455" max="8460" width="9" style="1275"/>
    <col min="8461" max="8461" width="0" style="1275" hidden="1" customWidth="1"/>
    <col min="8462" max="8704" width="9" style="1275"/>
    <col min="8705" max="8705" width="9.6640625" style="1275" customWidth="1"/>
    <col min="8706" max="8707" width="9" style="1275"/>
    <col min="8708" max="8708" width="10.44140625" style="1275" customWidth="1"/>
    <col min="8709" max="8710" width="9.77734375" style="1275" customWidth="1"/>
    <col min="8711" max="8716" width="9" style="1275"/>
    <col min="8717" max="8717" width="0" style="1275" hidden="1" customWidth="1"/>
    <col min="8718" max="8960" width="9" style="1275"/>
    <col min="8961" max="8961" width="9.6640625" style="1275" customWidth="1"/>
    <col min="8962" max="8963" width="9" style="1275"/>
    <col min="8964" max="8964" width="10.44140625" style="1275" customWidth="1"/>
    <col min="8965" max="8966" width="9.77734375" style="1275" customWidth="1"/>
    <col min="8967" max="8972" width="9" style="1275"/>
    <col min="8973" max="8973" width="0" style="1275" hidden="1" customWidth="1"/>
    <col min="8974" max="9216" width="9" style="1275"/>
    <col min="9217" max="9217" width="9.6640625" style="1275" customWidth="1"/>
    <col min="9218" max="9219" width="9" style="1275"/>
    <col min="9220" max="9220" width="10.44140625" style="1275" customWidth="1"/>
    <col min="9221" max="9222" width="9.77734375" style="1275" customWidth="1"/>
    <col min="9223" max="9228" width="9" style="1275"/>
    <col min="9229" max="9229" width="0" style="1275" hidden="1" customWidth="1"/>
    <col min="9230" max="9472" width="9" style="1275"/>
    <col min="9473" max="9473" width="9.6640625" style="1275" customWidth="1"/>
    <col min="9474" max="9475" width="9" style="1275"/>
    <col min="9476" max="9476" width="10.44140625" style="1275" customWidth="1"/>
    <col min="9477" max="9478" width="9.77734375" style="1275" customWidth="1"/>
    <col min="9479" max="9484" width="9" style="1275"/>
    <col min="9485" max="9485" width="0" style="1275" hidden="1" customWidth="1"/>
    <col min="9486" max="9728" width="9" style="1275"/>
    <col min="9729" max="9729" width="9.6640625" style="1275" customWidth="1"/>
    <col min="9730" max="9731" width="9" style="1275"/>
    <col min="9732" max="9732" width="10.44140625" style="1275" customWidth="1"/>
    <col min="9733" max="9734" width="9.77734375" style="1275" customWidth="1"/>
    <col min="9735" max="9740" width="9" style="1275"/>
    <col min="9741" max="9741" width="0" style="1275" hidden="1" customWidth="1"/>
    <col min="9742" max="9984" width="9" style="1275"/>
    <col min="9985" max="9985" width="9.6640625" style="1275" customWidth="1"/>
    <col min="9986" max="9987" width="9" style="1275"/>
    <col min="9988" max="9988" width="10.44140625" style="1275" customWidth="1"/>
    <col min="9989" max="9990" width="9.77734375" style="1275" customWidth="1"/>
    <col min="9991" max="9996" width="9" style="1275"/>
    <col min="9997" max="9997" width="0" style="1275" hidden="1" customWidth="1"/>
    <col min="9998" max="10240" width="9" style="1275"/>
    <col min="10241" max="10241" width="9.6640625" style="1275" customWidth="1"/>
    <col min="10242" max="10243" width="9" style="1275"/>
    <col min="10244" max="10244" width="10.44140625" style="1275" customWidth="1"/>
    <col min="10245" max="10246" width="9.77734375" style="1275" customWidth="1"/>
    <col min="10247" max="10252" width="9" style="1275"/>
    <col min="10253" max="10253" width="0" style="1275" hidden="1" customWidth="1"/>
    <col min="10254" max="10496" width="9" style="1275"/>
    <col min="10497" max="10497" width="9.6640625" style="1275" customWidth="1"/>
    <col min="10498" max="10499" width="9" style="1275"/>
    <col min="10500" max="10500" width="10.44140625" style="1275" customWidth="1"/>
    <col min="10501" max="10502" width="9.77734375" style="1275" customWidth="1"/>
    <col min="10503" max="10508" width="9" style="1275"/>
    <col min="10509" max="10509" width="0" style="1275" hidden="1" customWidth="1"/>
    <col min="10510" max="10752" width="9" style="1275"/>
    <col min="10753" max="10753" width="9.6640625" style="1275" customWidth="1"/>
    <col min="10754" max="10755" width="9" style="1275"/>
    <col min="10756" max="10756" width="10.44140625" style="1275" customWidth="1"/>
    <col min="10757" max="10758" width="9.77734375" style="1275" customWidth="1"/>
    <col min="10759" max="10764" width="9" style="1275"/>
    <col min="10765" max="10765" width="0" style="1275" hidden="1" customWidth="1"/>
    <col min="10766" max="11008" width="9" style="1275"/>
    <col min="11009" max="11009" width="9.6640625" style="1275" customWidth="1"/>
    <col min="11010" max="11011" width="9" style="1275"/>
    <col min="11012" max="11012" width="10.44140625" style="1275" customWidth="1"/>
    <col min="11013" max="11014" width="9.77734375" style="1275" customWidth="1"/>
    <col min="11015" max="11020" width="9" style="1275"/>
    <col min="11021" max="11021" width="0" style="1275" hidden="1" customWidth="1"/>
    <col min="11022" max="11264" width="9" style="1275"/>
    <col min="11265" max="11265" width="9.6640625" style="1275" customWidth="1"/>
    <col min="11266" max="11267" width="9" style="1275"/>
    <col min="11268" max="11268" width="10.44140625" style="1275" customWidth="1"/>
    <col min="11269" max="11270" width="9.77734375" style="1275" customWidth="1"/>
    <col min="11271" max="11276" width="9" style="1275"/>
    <col min="11277" max="11277" width="0" style="1275" hidden="1" customWidth="1"/>
    <col min="11278" max="11520" width="9" style="1275"/>
    <col min="11521" max="11521" width="9.6640625" style="1275" customWidth="1"/>
    <col min="11522" max="11523" width="9" style="1275"/>
    <col min="11524" max="11524" width="10.44140625" style="1275" customWidth="1"/>
    <col min="11525" max="11526" width="9.77734375" style="1275" customWidth="1"/>
    <col min="11527" max="11532" width="9" style="1275"/>
    <col min="11533" max="11533" width="0" style="1275" hidden="1" customWidth="1"/>
    <col min="11534" max="11776" width="9" style="1275"/>
    <col min="11777" max="11777" width="9.6640625" style="1275" customWidth="1"/>
    <col min="11778" max="11779" width="9" style="1275"/>
    <col min="11780" max="11780" width="10.44140625" style="1275" customWidth="1"/>
    <col min="11781" max="11782" width="9.77734375" style="1275" customWidth="1"/>
    <col min="11783" max="11788" width="9" style="1275"/>
    <col min="11789" max="11789" width="0" style="1275" hidden="1" customWidth="1"/>
    <col min="11790" max="12032" width="9" style="1275"/>
    <col min="12033" max="12033" width="9.6640625" style="1275" customWidth="1"/>
    <col min="12034" max="12035" width="9" style="1275"/>
    <col min="12036" max="12036" width="10.44140625" style="1275" customWidth="1"/>
    <col min="12037" max="12038" width="9.77734375" style="1275" customWidth="1"/>
    <col min="12039" max="12044" width="9" style="1275"/>
    <col min="12045" max="12045" width="0" style="1275" hidden="1" customWidth="1"/>
    <col min="12046" max="12288" width="9" style="1275"/>
    <col min="12289" max="12289" width="9.6640625" style="1275" customWidth="1"/>
    <col min="12290" max="12291" width="9" style="1275"/>
    <col min="12292" max="12292" width="10.44140625" style="1275" customWidth="1"/>
    <col min="12293" max="12294" width="9.77734375" style="1275" customWidth="1"/>
    <col min="12295" max="12300" width="9" style="1275"/>
    <col min="12301" max="12301" width="0" style="1275" hidden="1" customWidth="1"/>
    <col min="12302" max="12544" width="9" style="1275"/>
    <col min="12545" max="12545" width="9.6640625" style="1275" customWidth="1"/>
    <col min="12546" max="12547" width="9" style="1275"/>
    <col min="12548" max="12548" width="10.44140625" style="1275" customWidth="1"/>
    <col min="12549" max="12550" width="9.77734375" style="1275" customWidth="1"/>
    <col min="12551" max="12556" width="9" style="1275"/>
    <col min="12557" max="12557" width="0" style="1275" hidden="1" customWidth="1"/>
    <col min="12558" max="12800" width="9" style="1275"/>
    <col min="12801" max="12801" width="9.6640625" style="1275" customWidth="1"/>
    <col min="12802" max="12803" width="9" style="1275"/>
    <col min="12804" max="12804" width="10.44140625" style="1275" customWidth="1"/>
    <col min="12805" max="12806" width="9.77734375" style="1275" customWidth="1"/>
    <col min="12807" max="12812" width="9" style="1275"/>
    <col min="12813" max="12813" width="0" style="1275" hidden="1" customWidth="1"/>
    <col min="12814" max="13056" width="9" style="1275"/>
    <col min="13057" max="13057" width="9.6640625" style="1275" customWidth="1"/>
    <col min="13058" max="13059" width="9" style="1275"/>
    <col min="13060" max="13060" width="10.44140625" style="1275" customWidth="1"/>
    <col min="13061" max="13062" width="9.77734375" style="1275" customWidth="1"/>
    <col min="13063" max="13068" width="9" style="1275"/>
    <col min="13069" max="13069" width="0" style="1275" hidden="1" customWidth="1"/>
    <col min="13070" max="13312" width="9" style="1275"/>
    <col min="13313" max="13313" width="9.6640625" style="1275" customWidth="1"/>
    <col min="13314" max="13315" width="9" style="1275"/>
    <col min="13316" max="13316" width="10.44140625" style="1275" customWidth="1"/>
    <col min="13317" max="13318" width="9.77734375" style="1275" customWidth="1"/>
    <col min="13319" max="13324" width="9" style="1275"/>
    <col min="13325" max="13325" width="0" style="1275" hidden="1" customWidth="1"/>
    <col min="13326" max="13568" width="9" style="1275"/>
    <col min="13569" max="13569" width="9.6640625" style="1275" customWidth="1"/>
    <col min="13570" max="13571" width="9" style="1275"/>
    <col min="13572" max="13572" width="10.44140625" style="1275" customWidth="1"/>
    <col min="13573" max="13574" width="9.77734375" style="1275" customWidth="1"/>
    <col min="13575" max="13580" width="9" style="1275"/>
    <col min="13581" max="13581" width="0" style="1275" hidden="1" customWidth="1"/>
    <col min="13582" max="13824" width="9" style="1275"/>
    <col min="13825" max="13825" width="9.6640625" style="1275" customWidth="1"/>
    <col min="13826" max="13827" width="9" style="1275"/>
    <col min="13828" max="13828" width="10.44140625" style="1275" customWidth="1"/>
    <col min="13829" max="13830" width="9.77734375" style="1275" customWidth="1"/>
    <col min="13831" max="13836" width="9" style="1275"/>
    <col min="13837" max="13837" width="0" style="1275" hidden="1" customWidth="1"/>
    <col min="13838" max="14080" width="9" style="1275"/>
    <col min="14081" max="14081" width="9.6640625" style="1275" customWidth="1"/>
    <col min="14082" max="14083" width="9" style="1275"/>
    <col min="14084" max="14084" width="10.44140625" style="1275" customWidth="1"/>
    <col min="14085" max="14086" width="9.77734375" style="1275" customWidth="1"/>
    <col min="14087" max="14092" width="9" style="1275"/>
    <col min="14093" max="14093" width="0" style="1275" hidden="1" customWidth="1"/>
    <col min="14094" max="14336" width="9" style="1275"/>
    <col min="14337" max="14337" width="9.6640625" style="1275" customWidth="1"/>
    <col min="14338" max="14339" width="9" style="1275"/>
    <col min="14340" max="14340" width="10.44140625" style="1275" customWidth="1"/>
    <col min="14341" max="14342" width="9.77734375" style="1275" customWidth="1"/>
    <col min="14343" max="14348" width="9" style="1275"/>
    <col min="14349" max="14349" width="0" style="1275" hidden="1" customWidth="1"/>
    <col min="14350" max="14592" width="9" style="1275"/>
    <col min="14593" max="14593" width="9.6640625" style="1275" customWidth="1"/>
    <col min="14594" max="14595" width="9" style="1275"/>
    <col min="14596" max="14596" width="10.44140625" style="1275" customWidth="1"/>
    <col min="14597" max="14598" width="9.77734375" style="1275" customWidth="1"/>
    <col min="14599" max="14604" width="9" style="1275"/>
    <col min="14605" max="14605" width="0" style="1275" hidden="1" customWidth="1"/>
    <col min="14606" max="14848" width="9" style="1275"/>
    <col min="14849" max="14849" width="9.6640625" style="1275" customWidth="1"/>
    <col min="14850" max="14851" width="9" style="1275"/>
    <col min="14852" max="14852" width="10.44140625" style="1275" customWidth="1"/>
    <col min="14853" max="14854" width="9.77734375" style="1275" customWidth="1"/>
    <col min="14855" max="14860" width="9" style="1275"/>
    <col min="14861" max="14861" width="0" style="1275" hidden="1" customWidth="1"/>
    <col min="14862" max="15104" width="9" style="1275"/>
    <col min="15105" max="15105" width="9.6640625" style="1275" customWidth="1"/>
    <col min="15106" max="15107" width="9" style="1275"/>
    <col min="15108" max="15108" width="10.44140625" style="1275" customWidth="1"/>
    <col min="15109" max="15110" width="9.77734375" style="1275" customWidth="1"/>
    <col min="15111" max="15116" width="9" style="1275"/>
    <col min="15117" max="15117" width="0" style="1275" hidden="1" customWidth="1"/>
    <col min="15118" max="15360" width="9" style="1275"/>
    <col min="15361" max="15361" width="9.6640625" style="1275" customWidth="1"/>
    <col min="15362" max="15363" width="9" style="1275"/>
    <col min="15364" max="15364" width="10.44140625" style="1275" customWidth="1"/>
    <col min="15365" max="15366" width="9.77734375" style="1275" customWidth="1"/>
    <col min="15367" max="15372" width="9" style="1275"/>
    <col min="15373" max="15373" width="0" style="1275" hidden="1" customWidth="1"/>
    <col min="15374" max="15616" width="9" style="1275"/>
    <col min="15617" max="15617" width="9.6640625" style="1275" customWidth="1"/>
    <col min="15618" max="15619" width="9" style="1275"/>
    <col min="15620" max="15620" width="10.44140625" style="1275" customWidth="1"/>
    <col min="15621" max="15622" width="9.77734375" style="1275" customWidth="1"/>
    <col min="15623" max="15628" width="9" style="1275"/>
    <col min="15629" max="15629" width="0" style="1275" hidden="1" customWidth="1"/>
    <col min="15630" max="15872" width="9" style="1275"/>
    <col min="15873" max="15873" width="9.6640625" style="1275" customWidth="1"/>
    <col min="15874" max="15875" width="9" style="1275"/>
    <col min="15876" max="15876" width="10.44140625" style="1275" customWidth="1"/>
    <col min="15877" max="15878" width="9.77734375" style="1275" customWidth="1"/>
    <col min="15879" max="15884" width="9" style="1275"/>
    <col min="15885" max="15885" width="0" style="1275" hidden="1" customWidth="1"/>
    <col min="15886" max="16128" width="9" style="1275"/>
    <col min="16129" max="16129" width="9.6640625" style="1275" customWidth="1"/>
    <col min="16130" max="16131" width="9" style="1275"/>
    <col min="16132" max="16132" width="10.44140625" style="1275" customWidth="1"/>
    <col min="16133" max="16134" width="9.77734375" style="1275" customWidth="1"/>
    <col min="16135" max="16140" width="9" style="1275"/>
    <col min="16141" max="16141" width="0" style="1275" hidden="1" customWidth="1"/>
    <col min="16142" max="16384" width="9" style="1275"/>
  </cols>
  <sheetData>
    <row r="1" spans="1:13" s="1268" customFormat="1" ht="60.75" thickBot="1">
      <c r="A1" s="1262" t="s">
        <v>308</v>
      </c>
      <c r="B1" s="1263" t="s">
        <v>309</v>
      </c>
      <c r="C1" s="1263" t="s">
        <v>310</v>
      </c>
      <c r="D1" s="1264" t="s">
        <v>311</v>
      </c>
      <c r="E1" s="1265" t="s">
        <v>312</v>
      </c>
      <c r="F1" s="1266" t="s">
        <v>313</v>
      </c>
      <c r="G1" s="1265" t="s">
        <v>320</v>
      </c>
      <c r="H1" s="1266" t="s">
        <v>321</v>
      </c>
      <c r="I1" s="1266" t="s">
        <v>314</v>
      </c>
      <c r="J1" s="1266" t="s">
        <v>315</v>
      </c>
      <c r="K1" s="1265" t="s">
        <v>316</v>
      </c>
      <c r="L1" s="1265" t="s">
        <v>317</v>
      </c>
      <c r="M1" s="1267" t="s">
        <v>318</v>
      </c>
    </row>
    <row r="2" spans="1:13">
      <c r="A2" s="1269" t="s">
        <v>319</v>
      </c>
      <c r="B2" s="1270">
        <v>1</v>
      </c>
      <c r="C2" s="1270">
        <v>1</v>
      </c>
      <c r="D2" s="1271">
        <v>2021</v>
      </c>
      <c r="E2" s="1272">
        <f>'Daily HLP'!I4</f>
        <v>20215</v>
      </c>
      <c r="F2" s="1273">
        <f>'Daily HLP'!J4</f>
        <v>9</v>
      </c>
      <c r="G2" s="1273">
        <f>'Daily HLP'!M4</f>
        <v>693.89999999990687</v>
      </c>
      <c r="H2" s="1273">
        <f>'Daily HLP'!N4</f>
        <v>35</v>
      </c>
      <c r="I2" s="1273">
        <f>'Daily HLP'!P4</f>
        <v>197</v>
      </c>
      <c r="J2" s="1273">
        <f>'Daily HLP'!Q4</f>
        <v>134</v>
      </c>
      <c r="K2" s="1619">
        <f>SUM(G2:H2)</f>
        <v>728.89999999990687</v>
      </c>
      <c r="L2" s="1272">
        <f>'[1]Consommation mensuel énergie'!E10</f>
        <v>0</v>
      </c>
      <c r="M2" s="1274" t="e">
        <f>E2*F2+G2*H2+#REF!*#REF!+I2*J2</f>
        <v>#REF!</v>
      </c>
    </row>
    <row r="3" spans="1:13">
      <c r="A3" s="1269" t="s">
        <v>319</v>
      </c>
      <c r="B3" s="1270">
        <f>B2+1</f>
        <v>2</v>
      </c>
      <c r="C3" s="1270">
        <v>1</v>
      </c>
      <c r="D3" s="1271">
        <v>2021</v>
      </c>
      <c r="E3" s="1272">
        <f>'Daily HLP'!I5</f>
        <v>19576</v>
      </c>
      <c r="F3" s="1273">
        <f>F2</f>
        <v>9</v>
      </c>
      <c r="G3" s="1273">
        <f>'Daily HLP'!M5</f>
        <v>822.62000000011176</v>
      </c>
      <c r="H3" s="1273">
        <f>H2</f>
        <v>35</v>
      </c>
      <c r="I3" s="1273">
        <f>'Daily HLP'!P5</f>
        <v>175</v>
      </c>
      <c r="J3" s="1273">
        <f>J2</f>
        <v>134</v>
      </c>
      <c r="K3" s="1619">
        <f t="shared" ref="K3:K4" si="0">SUM(G3:H3)</f>
        <v>857.62000000011176</v>
      </c>
      <c r="L3" s="1272">
        <f>'[1]Consommation mensuel énergie'!E11</f>
        <v>0</v>
      </c>
      <c r="M3" s="1274" t="e">
        <f>E3*F3+G3*H3+#REF!*#REF!+I3*J3</f>
        <v>#REF!</v>
      </c>
    </row>
    <row r="4" spans="1:13">
      <c r="A4" s="1269" t="s">
        <v>319</v>
      </c>
      <c r="B4" s="1270">
        <f t="shared" ref="B4:B31" si="1">B3+1</f>
        <v>3</v>
      </c>
      <c r="C4" s="1270">
        <v>1</v>
      </c>
      <c r="D4" s="1271">
        <v>2021</v>
      </c>
      <c r="E4" s="1272">
        <f>'Daily HLP'!I6</f>
        <v>19258</v>
      </c>
      <c r="F4" s="1273">
        <f t="shared" ref="F4:F31" si="2">F3</f>
        <v>9</v>
      </c>
      <c r="G4" s="1273">
        <f>'Daily HLP'!M6</f>
        <v>815.68999999994412</v>
      </c>
      <c r="H4" s="1273">
        <f t="shared" ref="H4:H31" si="3">H3</f>
        <v>35</v>
      </c>
      <c r="I4" s="1273">
        <f>'Daily HLP'!P6</f>
        <v>167</v>
      </c>
      <c r="J4" s="1273">
        <f t="shared" ref="J4:J31" si="4">J3</f>
        <v>134</v>
      </c>
      <c r="K4" s="1619">
        <f t="shared" si="0"/>
        <v>850.68999999994412</v>
      </c>
      <c r="L4" s="1272">
        <f>'[1]Consommation mensuel énergie'!E12</f>
        <v>0</v>
      </c>
      <c r="M4" s="1274" t="e">
        <f>E4*F4+G4*H4+#REF!*#REF!+I4*J4</f>
        <v>#REF!</v>
      </c>
    </row>
    <row r="5" spans="1:13">
      <c r="A5" s="1269" t="s">
        <v>319</v>
      </c>
      <c r="B5" s="1270">
        <f t="shared" si="1"/>
        <v>4</v>
      </c>
      <c r="C5" s="1270">
        <v>1</v>
      </c>
      <c r="D5" s="1271">
        <v>2021</v>
      </c>
      <c r="E5" s="1272">
        <f>'Daily HLP'!I7</f>
        <v>18476</v>
      </c>
      <c r="F5" s="1273">
        <f t="shared" si="2"/>
        <v>9</v>
      </c>
      <c r="G5" s="1273">
        <f>'Daily HLP'!M7</f>
        <v>757.68999999994412</v>
      </c>
      <c r="H5" s="1273">
        <f t="shared" si="3"/>
        <v>35</v>
      </c>
      <c r="I5" s="1273">
        <f>'Daily HLP'!P7</f>
        <v>153</v>
      </c>
      <c r="J5" s="1273">
        <f t="shared" si="4"/>
        <v>134</v>
      </c>
      <c r="K5" s="1272">
        <v>0</v>
      </c>
      <c r="L5" s="1272">
        <f>'[1]Consommation mensuel énergie'!E13</f>
        <v>0</v>
      </c>
      <c r="M5" s="1274" t="e">
        <f>E5*F5+G5*H5+#REF!*#REF!+I5*J5</f>
        <v>#REF!</v>
      </c>
    </row>
    <row r="6" spans="1:13">
      <c r="A6" s="1269" t="s">
        <v>319</v>
      </c>
      <c r="B6" s="1270">
        <f t="shared" si="1"/>
        <v>5</v>
      </c>
      <c r="C6" s="1270">
        <v>1</v>
      </c>
      <c r="D6" s="1271">
        <v>2021</v>
      </c>
      <c r="E6" s="1272">
        <f>'Daily HLP'!I8</f>
        <v>17831</v>
      </c>
      <c r="F6" s="1273">
        <f t="shared" si="2"/>
        <v>9</v>
      </c>
      <c r="G6" s="1273">
        <f>'Daily HLP'!M8</f>
        <v>526</v>
      </c>
      <c r="H6" s="1273">
        <f t="shared" si="3"/>
        <v>35</v>
      </c>
      <c r="I6" s="1273">
        <f>'Daily HLP'!P8</f>
        <v>132</v>
      </c>
      <c r="J6" s="1273">
        <f t="shared" si="4"/>
        <v>134</v>
      </c>
      <c r="K6" s="1272">
        <v>0</v>
      </c>
      <c r="L6" s="1272">
        <f>'[1]Consommation mensuel énergie'!E14</f>
        <v>0</v>
      </c>
      <c r="M6" s="1274" t="e">
        <f>E6*F6+G6*H6+#REF!*#REF!+I6*J6</f>
        <v>#REF!</v>
      </c>
    </row>
    <row r="7" spans="1:13">
      <c r="A7" s="1269" t="s">
        <v>319</v>
      </c>
      <c r="B7" s="1270">
        <f t="shared" si="1"/>
        <v>6</v>
      </c>
      <c r="C7" s="1270">
        <v>1</v>
      </c>
      <c r="D7" s="1271">
        <v>2021</v>
      </c>
      <c r="E7" s="1272">
        <f>'Daily HLP'!I9</f>
        <v>17839</v>
      </c>
      <c r="F7" s="1273">
        <f t="shared" si="2"/>
        <v>9</v>
      </c>
      <c r="G7" s="1273">
        <f>'Daily HLP'!M9</f>
        <v>694.69999999995343</v>
      </c>
      <c r="H7" s="1273">
        <f t="shared" si="3"/>
        <v>35</v>
      </c>
      <c r="I7" s="1273">
        <f>'Daily HLP'!P9</f>
        <v>118</v>
      </c>
      <c r="J7" s="1273">
        <f t="shared" si="4"/>
        <v>134</v>
      </c>
      <c r="K7" s="1272">
        <v>0</v>
      </c>
      <c r="L7" s="1272">
        <f>'[1]Consommation mensuel énergie'!E15</f>
        <v>0</v>
      </c>
      <c r="M7" s="1274" t="e">
        <f>E7*F7+G7*H7+#REF!*#REF!+I7*J7</f>
        <v>#REF!</v>
      </c>
    </row>
    <row r="8" spans="1:13">
      <c r="A8" s="1269" t="s">
        <v>319</v>
      </c>
      <c r="B8" s="1270">
        <f t="shared" si="1"/>
        <v>7</v>
      </c>
      <c r="C8" s="1270">
        <v>1</v>
      </c>
      <c r="D8" s="1271">
        <v>2021</v>
      </c>
      <c r="E8" s="1272">
        <f>'Daily HLP'!I10</f>
        <v>17899</v>
      </c>
      <c r="F8" s="1273">
        <f t="shared" si="2"/>
        <v>9</v>
      </c>
      <c r="G8" s="1273">
        <f>'Daily HLP'!M10</f>
        <v>621.30000000004657</v>
      </c>
      <c r="H8" s="1273">
        <f t="shared" si="3"/>
        <v>35</v>
      </c>
      <c r="I8" s="1273">
        <f>'Daily HLP'!P10</f>
        <v>122</v>
      </c>
      <c r="J8" s="1273">
        <f t="shared" si="4"/>
        <v>134</v>
      </c>
      <c r="K8" s="1272">
        <v>117</v>
      </c>
      <c r="L8" s="1272">
        <f>'[1]Consommation mensuel énergie'!E16</f>
        <v>0</v>
      </c>
      <c r="M8" s="1274" t="e">
        <f>E8*F8+G8*H8+#REF!*#REF!+I8*J8</f>
        <v>#REF!</v>
      </c>
    </row>
    <row r="9" spans="1:13">
      <c r="A9" s="1269" t="s">
        <v>319</v>
      </c>
      <c r="B9" s="1270">
        <f t="shared" si="1"/>
        <v>8</v>
      </c>
      <c r="C9" s="1270">
        <v>1</v>
      </c>
      <c r="D9" s="1271">
        <v>2021</v>
      </c>
      <c r="E9" s="1272">
        <f>'Daily HLP'!I11</f>
        <v>18873</v>
      </c>
      <c r="F9" s="1273">
        <f t="shared" si="2"/>
        <v>9</v>
      </c>
      <c r="G9" s="1273">
        <f>'Daily HLP'!M11</f>
        <v>752</v>
      </c>
      <c r="H9" s="1273">
        <f t="shared" si="3"/>
        <v>35</v>
      </c>
      <c r="I9" s="1273">
        <f>'Daily HLP'!P11</f>
        <v>128</v>
      </c>
      <c r="J9" s="1273">
        <f t="shared" si="4"/>
        <v>134</v>
      </c>
      <c r="K9" s="1272">
        <v>117</v>
      </c>
      <c r="L9" s="1272">
        <f>'[1]Consommation mensuel énergie'!E17</f>
        <v>0</v>
      </c>
      <c r="M9" s="1274" t="e">
        <f>E9*F9+G9*H9+#REF!*#REF!+I9*J9</f>
        <v>#REF!</v>
      </c>
    </row>
    <row r="10" spans="1:13">
      <c r="A10" s="1269" t="s">
        <v>319</v>
      </c>
      <c r="B10" s="1270">
        <f t="shared" si="1"/>
        <v>9</v>
      </c>
      <c r="C10" s="1270">
        <v>1</v>
      </c>
      <c r="D10" s="1271">
        <v>2021</v>
      </c>
      <c r="E10" s="1272">
        <f>'Daily HLP'!I12</f>
        <v>18833</v>
      </c>
      <c r="F10" s="1273">
        <f t="shared" si="2"/>
        <v>9</v>
      </c>
      <c r="G10" s="1273">
        <f>'Daily HLP'!M12</f>
        <v>759</v>
      </c>
      <c r="H10" s="1273">
        <f t="shared" si="3"/>
        <v>35</v>
      </c>
      <c r="I10" s="1273">
        <f>'Daily HLP'!P12</f>
        <v>157</v>
      </c>
      <c r="J10" s="1273">
        <f t="shared" si="4"/>
        <v>134</v>
      </c>
      <c r="K10" s="1272">
        <v>117</v>
      </c>
      <c r="L10" s="1272">
        <f>'[1]Consommation mensuel énergie'!E18</f>
        <v>0</v>
      </c>
      <c r="M10" s="1274" t="e">
        <f>E10*F10+G10*H10+#REF!*#REF!+I10*J10</f>
        <v>#REF!</v>
      </c>
    </row>
    <row r="11" spans="1:13">
      <c r="A11" s="1269" t="s">
        <v>319</v>
      </c>
      <c r="B11" s="1270">
        <f t="shared" si="1"/>
        <v>10</v>
      </c>
      <c r="C11" s="1270">
        <v>1</v>
      </c>
      <c r="D11" s="1271">
        <v>2021</v>
      </c>
      <c r="E11" s="1272">
        <f>'Daily HLP'!I13</f>
        <v>20209</v>
      </c>
      <c r="F11" s="1273">
        <f t="shared" si="2"/>
        <v>9</v>
      </c>
      <c r="G11" s="1273">
        <f>'Daily HLP'!M13</f>
        <v>776</v>
      </c>
      <c r="H11" s="1273">
        <f t="shared" si="3"/>
        <v>35</v>
      </c>
      <c r="I11" s="1273">
        <f>'Daily HLP'!P13</f>
        <v>141</v>
      </c>
      <c r="J11" s="1273">
        <f t="shared" si="4"/>
        <v>134</v>
      </c>
      <c r="K11" s="1272">
        <v>182</v>
      </c>
      <c r="L11" s="1272">
        <f>'[1]Consommation mensuel énergie'!E19</f>
        <v>0</v>
      </c>
      <c r="M11" s="1274" t="e">
        <f>E11*F11+G11*H11+#REF!*#REF!+I11*J11</f>
        <v>#REF!</v>
      </c>
    </row>
    <row r="12" spans="1:13">
      <c r="A12" s="1269" t="s">
        <v>319</v>
      </c>
      <c r="B12" s="1270">
        <f t="shared" si="1"/>
        <v>11</v>
      </c>
      <c r="C12" s="1270">
        <v>1</v>
      </c>
      <c r="D12" s="1271">
        <v>2021</v>
      </c>
      <c r="E12" s="1272">
        <f>'Daily HLP'!I14</f>
        <v>20389</v>
      </c>
      <c r="F12" s="1273">
        <f t="shared" si="2"/>
        <v>9</v>
      </c>
      <c r="G12" s="1273">
        <f>'Daily HLP'!M14</f>
        <v>919.05199999990873</v>
      </c>
      <c r="H12" s="1273">
        <f t="shared" si="3"/>
        <v>35</v>
      </c>
      <c r="I12" s="1273">
        <f>'Daily HLP'!P14</f>
        <v>194</v>
      </c>
      <c r="J12" s="1273">
        <f t="shared" si="4"/>
        <v>134</v>
      </c>
      <c r="K12" s="1272">
        <v>181</v>
      </c>
      <c r="L12" s="1272">
        <f>'[1]Consommation mensuel énergie'!E20</f>
        <v>0</v>
      </c>
      <c r="M12" s="1274" t="e">
        <f>E12*F12+G12*H12+#REF!*#REF!+I12*J12</f>
        <v>#REF!</v>
      </c>
    </row>
    <row r="13" spans="1:13">
      <c r="A13" s="1269" t="s">
        <v>319</v>
      </c>
      <c r="B13" s="1270">
        <f t="shared" si="1"/>
        <v>12</v>
      </c>
      <c r="C13" s="1270">
        <v>1</v>
      </c>
      <c r="D13" s="1271">
        <v>2021</v>
      </c>
      <c r="E13" s="1272">
        <f>'Daily HLP'!I15</f>
        <v>20105</v>
      </c>
      <c r="F13" s="1273">
        <f t="shared" si="2"/>
        <v>9</v>
      </c>
      <c r="G13" s="1273">
        <f>'Daily HLP'!M15</f>
        <v>954.90400000009686</v>
      </c>
      <c r="H13" s="1273">
        <f t="shared" si="3"/>
        <v>35</v>
      </c>
      <c r="I13" s="1273">
        <f>'Daily HLP'!P15</f>
        <v>152</v>
      </c>
      <c r="J13" s="1273">
        <f t="shared" si="4"/>
        <v>134</v>
      </c>
      <c r="K13" s="1272">
        <v>169</v>
      </c>
      <c r="L13" s="1272">
        <f>'[1]Consommation mensuel énergie'!E21</f>
        <v>0</v>
      </c>
      <c r="M13" s="1274" t="e">
        <f>E13*F13+G13*H13+#REF!*#REF!+I13*J13</f>
        <v>#REF!</v>
      </c>
    </row>
    <row r="14" spans="1:13">
      <c r="A14" s="1269" t="s">
        <v>319</v>
      </c>
      <c r="B14" s="1270">
        <f t="shared" si="1"/>
        <v>13</v>
      </c>
      <c r="C14" s="1270">
        <v>1</v>
      </c>
      <c r="D14" s="1271">
        <v>2021</v>
      </c>
      <c r="E14" s="1272">
        <f>'Daily HLP'!I16</f>
        <v>20850</v>
      </c>
      <c r="F14" s="1273">
        <f t="shared" si="2"/>
        <v>9</v>
      </c>
      <c r="G14" s="1273">
        <f>'Daily HLP'!M16</f>
        <v>902.5230000000447</v>
      </c>
      <c r="H14" s="1273">
        <f t="shared" si="3"/>
        <v>35</v>
      </c>
      <c r="I14" s="1273">
        <f>'Daily HLP'!P16</f>
        <v>174</v>
      </c>
      <c r="J14" s="1273">
        <f t="shared" si="4"/>
        <v>134</v>
      </c>
      <c r="K14" s="1272">
        <v>174</v>
      </c>
      <c r="L14" s="1272">
        <f>'[1]Consommation mensuel énergie'!E22</f>
        <v>0</v>
      </c>
      <c r="M14" s="1274" t="e">
        <f>E14*F14+G14*H14+#REF!*#REF!+I14*J14</f>
        <v>#REF!</v>
      </c>
    </row>
    <row r="15" spans="1:13">
      <c r="A15" s="1269" t="s">
        <v>319</v>
      </c>
      <c r="B15" s="1270">
        <f t="shared" si="1"/>
        <v>14</v>
      </c>
      <c r="C15" s="1270">
        <v>1</v>
      </c>
      <c r="D15" s="1271">
        <v>2021</v>
      </c>
      <c r="E15" s="1272">
        <f>'Daily HLP'!I17</f>
        <v>19342</v>
      </c>
      <c r="F15" s="1273">
        <f t="shared" si="2"/>
        <v>9</v>
      </c>
      <c r="G15" s="1273">
        <f>'Daily HLP'!M17</f>
        <v>854.40299999993294</v>
      </c>
      <c r="H15" s="1273">
        <f t="shared" si="3"/>
        <v>35</v>
      </c>
      <c r="I15" s="1273">
        <f>'Daily HLP'!P17</f>
        <v>151</v>
      </c>
      <c r="J15" s="1273">
        <f t="shared" si="4"/>
        <v>134</v>
      </c>
      <c r="K15" s="1272">
        <v>148</v>
      </c>
      <c r="L15" s="1272">
        <f>'[1]Consommation mensuel énergie'!E23</f>
        <v>0</v>
      </c>
      <c r="M15" s="1274" t="e">
        <f>E15*F15+G15*H15+#REF!*#REF!+I15*J15</f>
        <v>#REF!</v>
      </c>
    </row>
    <row r="16" spans="1:13">
      <c r="A16" s="1269" t="s">
        <v>319</v>
      </c>
      <c r="B16" s="1270">
        <f t="shared" si="1"/>
        <v>15</v>
      </c>
      <c r="C16" s="1270">
        <v>1</v>
      </c>
      <c r="D16" s="1271">
        <v>2021</v>
      </c>
      <c r="E16" s="1272">
        <f>'Daily HLP'!I18</f>
        <v>20815</v>
      </c>
      <c r="F16" s="1273">
        <f t="shared" si="2"/>
        <v>9</v>
      </c>
      <c r="G16" s="1273">
        <f>'Daily HLP'!M18</f>
        <v>920.0679999999702</v>
      </c>
      <c r="H16" s="1273">
        <f t="shared" si="3"/>
        <v>35</v>
      </c>
      <c r="I16" s="1273">
        <f>'Daily HLP'!P18</f>
        <v>173</v>
      </c>
      <c r="J16" s="1273">
        <f t="shared" si="4"/>
        <v>134</v>
      </c>
      <c r="K16" s="1272">
        <v>148</v>
      </c>
      <c r="L16" s="1272">
        <f>'[1]Consommation mensuel énergie'!E24</f>
        <v>0</v>
      </c>
      <c r="M16" s="1274" t="e">
        <f>E16*F16+G16*H16+#REF!*#REF!+I16*J16</f>
        <v>#REF!</v>
      </c>
    </row>
    <row r="17" spans="1:13">
      <c r="A17" s="1269" t="s">
        <v>319</v>
      </c>
      <c r="B17" s="1270">
        <f t="shared" si="1"/>
        <v>16</v>
      </c>
      <c r="C17" s="1270">
        <v>1</v>
      </c>
      <c r="D17" s="1271">
        <v>2021</v>
      </c>
      <c r="E17" s="1272">
        <f>'Daily HLP'!I19</f>
        <v>19975</v>
      </c>
      <c r="F17" s="1273">
        <f t="shared" si="2"/>
        <v>9</v>
      </c>
      <c r="G17" s="1273">
        <f>'Daily HLP'!M19</f>
        <v>1070.3789999999572</v>
      </c>
      <c r="H17" s="1273">
        <f t="shared" si="3"/>
        <v>35</v>
      </c>
      <c r="I17" s="1273">
        <f>'Daily HLP'!P19</f>
        <v>254</v>
      </c>
      <c r="J17" s="1273">
        <f t="shared" si="4"/>
        <v>134</v>
      </c>
      <c r="K17" s="1272">
        <v>174</v>
      </c>
      <c r="L17" s="1272">
        <f>'[1]Consommation mensuel énergie'!E25</f>
        <v>0</v>
      </c>
      <c r="M17" s="1274" t="e">
        <f>E17*F17+G17*H17+#REF!*#REF!+I17*J17</f>
        <v>#REF!</v>
      </c>
    </row>
    <row r="18" spans="1:13">
      <c r="A18" s="1269" t="s">
        <v>319</v>
      </c>
      <c r="B18" s="1270">
        <f t="shared" si="1"/>
        <v>17</v>
      </c>
      <c r="C18" s="1270">
        <v>1</v>
      </c>
      <c r="D18" s="1271">
        <v>2021</v>
      </c>
      <c r="E18" s="1272">
        <f>'Daily HLP'!I20</f>
        <v>20881</v>
      </c>
      <c r="F18" s="1273">
        <f t="shared" si="2"/>
        <v>9</v>
      </c>
      <c r="G18" s="1273">
        <f>'Daily HLP'!M20</f>
        <v>972.67500000004657</v>
      </c>
      <c r="H18" s="1273">
        <f t="shared" si="3"/>
        <v>35</v>
      </c>
      <c r="I18" s="1273">
        <f>'Daily HLP'!P20</f>
        <v>179</v>
      </c>
      <c r="J18" s="1273">
        <f t="shared" si="4"/>
        <v>134</v>
      </c>
      <c r="K18" s="1272">
        <v>166</v>
      </c>
      <c r="L18" s="1272">
        <f>'[1]Consommation mensuel énergie'!E26</f>
        <v>0</v>
      </c>
      <c r="M18" s="1274" t="e">
        <f>E18*F18+G18*H18+#REF!*#REF!+I18*J18</f>
        <v>#REF!</v>
      </c>
    </row>
    <row r="19" spans="1:13">
      <c r="A19" s="1269" t="s">
        <v>319</v>
      </c>
      <c r="B19" s="1270">
        <f t="shared" si="1"/>
        <v>18</v>
      </c>
      <c r="C19" s="1270">
        <v>1</v>
      </c>
      <c r="D19" s="1271">
        <v>2021</v>
      </c>
      <c r="E19" s="1272">
        <f>'Daily HLP'!I21</f>
        <v>20163</v>
      </c>
      <c r="F19" s="1273">
        <f t="shared" si="2"/>
        <v>9</v>
      </c>
      <c r="G19" s="1273">
        <f>'Daily HLP'!M21</f>
        <v>944.77600000007078</v>
      </c>
      <c r="H19" s="1273">
        <f t="shared" si="3"/>
        <v>35</v>
      </c>
      <c r="I19" s="1273">
        <f>'Daily HLP'!P21</f>
        <v>192</v>
      </c>
      <c r="J19" s="1273">
        <f t="shared" si="4"/>
        <v>134</v>
      </c>
      <c r="K19" s="1272">
        <v>197</v>
      </c>
      <c r="L19" s="1272">
        <f>'[1]Consommation mensuel énergie'!E27</f>
        <v>0</v>
      </c>
      <c r="M19" s="1274" t="e">
        <f>E19*F19+G19*H19+#REF!*#REF!+I19*J19</f>
        <v>#REF!</v>
      </c>
    </row>
    <row r="20" spans="1:13">
      <c r="A20" s="1269" t="s">
        <v>319</v>
      </c>
      <c r="B20" s="1270">
        <f t="shared" si="1"/>
        <v>19</v>
      </c>
      <c r="C20" s="1270">
        <v>1</v>
      </c>
      <c r="D20" s="1271">
        <v>2021</v>
      </c>
      <c r="E20" s="1272">
        <f>'Daily HLP'!I22</f>
        <v>19963</v>
      </c>
      <c r="F20" s="1273">
        <f t="shared" si="2"/>
        <v>9</v>
      </c>
      <c r="G20" s="1273">
        <f>'Daily HLP'!M22</f>
        <v>914.14999999990687</v>
      </c>
      <c r="H20" s="1273">
        <f t="shared" si="3"/>
        <v>35</v>
      </c>
      <c r="I20" s="1273">
        <f>'Daily HLP'!P22</f>
        <v>172</v>
      </c>
      <c r="J20" s="1273">
        <f t="shared" si="4"/>
        <v>134</v>
      </c>
      <c r="K20" s="1272">
        <v>166</v>
      </c>
      <c r="L20" s="1272">
        <v>283</v>
      </c>
      <c r="M20" s="1274" t="e">
        <f>E20*F20+G20*H20+#REF!*#REF!+I20*J20</f>
        <v>#REF!</v>
      </c>
    </row>
    <row r="21" spans="1:13">
      <c r="A21" s="1269" t="s">
        <v>319</v>
      </c>
      <c r="B21" s="1270">
        <f t="shared" si="1"/>
        <v>20</v>
      </c>
      <c r="C21" s="1270">
        <v>1</v>
      </c>
      <c r="D21" s="1271">
        <v>2021</v>
      </c>
      <c r="E21" s="1272">
        <f>'Daily HLP'!I23</f>
        <v>19855</v>
      </c>
      <c r="F21" s="1273">
        <f t="shared" si="2"/>
        <v>9</v>
      </c>
      <c r="G21" s="1273">
        <f>'Daily HLP'!M23</f>
        <v>930.07000000006519</v>
      </c>
      <c r="H21" s="1273">
        <f t="shared" si="3"/>
        <v>35</v>
      </c>
      <c r="I21" s="1273">
        <f>'Daily HLP'!P23</f>
        <v>190</v>
      </c>
      <c r="J21" s="1273">
        <f t="shared" si="4"/>
        <v>134</v>
      </c>
      <c r="K21" s="1272">
        <v>168</v>
      </c>
      <c r="L21" s="1272">
        <v>333</v>
      </c>
      <c r="M21" s="1274" t="e">
        <f>E21*F21+G21*H21+#REF!*#REF!+I21*J21</f>
        <v>#REF!</v>
      </c>
    </row>
    <row r="22" spans="1:13">
      <c r="A22" s="1269" t="s">
        <v>319</v>
      </c>
      <c r="B22" s="1270">
        <f t="shared" si="1"/>
        <v>21</v>
      </c>
      <c r="C22" s="1270">
        <v>1</v>
      </c>
      <c r="D22" s="1271">
        <v>2021</v>
      </c>
      <c r="E22" s="1272">
        <f>'Daily HLP'!I24</f>
        <v>19415</v>
      </c>
      <c r="F22" s="1273">
        <f t="shared" si="2"/>
        <v>9</v>
      </c>
      <c r="G22" s="1273">
        <f>'Daily HLP'!M24</f>
        <v>906.93999999994412</v>
      </c>
      <c r="H22" s="1273">
        <f t="shared" si="3"/>
        <v>35</v>
      </c>
      <c r="I22" s="1273">
        <f>'Daily HLP'!P24</f>
        <v>179</v>
      </c>
      <c r="J22" s="1273">
        <f t="shared" si="4"/>
        <v>134</v>
      </c>
      <c r="K22" s="1272">
        <v>159</v>
      </c>
      <c r="L22" s="1272">
        <v>324</v>
      </c>
      <c r="M22" s="1274" t="e">
        <f>E22*F22+G22*H22+#REF!*#REF!+I22*J22</f>
        <v>#REF!</v>
      </c>
    </row>
    <row r="23" spans="1:13">
      <c r="A23" s="1269" t="s">
        <v>319</v>
      </c>
      <c r="B23" s="1270">
        <f t="shared" si="1"/>
        <v>22</v>
      </c>
      <c r="C23" s="1270">
        <v>1</v>
      </c>
      <c r="D23" s="1271">
        <v>2021</v>
      </c>
      <c r="E23" s="1272">
        <f>'Daily HLP'!I25</f>
        <v>19510</v>
      </c>
      <c r="F23" s="1273">
        <f t="shared" si="2"/>
        <v>9</v>
      </c>
      <c r="G23" s="1273">
        <f>'Daily HLP'!M25</f>
        <v>904</v>
      </c>
      <c r="H23" s="1273">
        <f t="shared" si="3"/>
        <v>35</v>
      </c>
      <c r="I23" s="1273">
        <f>'Daily HLP'!P25</f>
        <v>177</v>
      </c>
      <c r="J23" s="1273">
        <f t="shared" si="4"/>
        <v>134</v>
      </c>
      <c r="K23" s="1272">
        <v>147</v>
      </c>
      <c r="L23" s="1272">
        <v>381</v>
      </c>
      <c r="M23" s="1274" t="e">
        <f>E23*F23+G23*H23+#REF!*#REF!+I23*J23</f>
        <v>#REF!</v>
      </c>
    </row>
    <row r="24" spans="1:13">
      <c r="A24" s="1269" t="s">
        <v>319</v>
      </c>
      <c r="B24" s="1270">
        <f t="shared" si="1"/>
        <v>23</v>
      </c>
      <c r="C24" s="1270">
        <v>1</v>
      </c>
      <c r="D24" s="1271">
        <v>2021</v>
      </c>
      <c r="E24" s="1272">
        <f>'Daily HLP'!I26</f>
        <v>19709</v>
      </c>
      <c r="F24" s="1273">
        <f t="shared" si="2"/>
        <v>9</v>
      </c>
      <c r="G24" s="1273">
        <f>'Daily HLP'!M26</f>
        <v>934.93999999994412</v>
      </c>
      <c r="H24" s="1273">
        <f t="shared" si="3"/>
        <v>35</v>
      </c>
      <c r="I24" s="1273">
        <f>'Daily HLP'!P26</f>
        <v>203</v>
      </c>
      <c r="J24" s="1273">
        <f t="shared" si="4"/>
        <v>134</v>
      </c>
      <c r="K24" s="1272">
        <v>178</v>
      </c>
      <c r="L24" s="1272">
        <v>592</v>
      </c>
      <c r="M24" s="1274" t="e">
        <f>E24*F24+G24*H24+#REF!*#REF!+I24*J24</f>
        <v>#REF!</v>
      </c>
    </row>
    <row r="25" spans="1:13">
      <c r="A25" s="1269" t="s">
        <v>319</v>
      </c>
      <c r="B25" s="1270">
        <f t="shared" si="1"/>
        <v>24</v>
      </c>
      <c r="C25" s="1270">
        <v>1</v>
      </c>
      <c r="D25" s="1271">
        <v>2021</v>
      </c>
      <c r="E25" s="1272">
        <f>'Daily HLP'!I27</f>
        <v>19391</v>
      </c>
      <c r="F25" s="1273">
        <f t="shared" si="2"/>
        <v>9</v>
      </c>
      <c r="G25" s="1273">
        <f>'Daily HLP'!M27</f>
        <v>748.12000000011176</v>
      </c>
      <c r="H25" s="1273">
        <f t="shared" si="3"/>
        <v>35</v>
      </c>
      <c r="I25" s="1273">
        <f>'Daily HLP'!P27</f>
        <v>190</v>
      </c>
      <c r="J25" s="1273">
        <f t="shared" si="4"/>
        <v>134</v>
      </c>
      <c r="K25" s="1272">
        <v>197</v>
      </c>
      <c r="L25" s="1272">
        <v>412</v>
      </c>
      <c r="M25" s="1274" t="e">
        <f>E25*F25+G25*H25+#REF!*#REF!+I25*J25</f>
        <v>#REF!</v>
      </c>
    </row>
    <row r="26" spans="1:13">
      <c r="A26" s="1269" t="s">
        <v>319</v>
      </c>
      <c r="B26" s="1270">
        <f>B25+1</f>
        <v>25</v>
      </c>
      <c r="C26" s="1270">
        <v>1</v>
      </c>
      <c r="D26" s="1271">
        <v>2021</v>
      </c>
      <c r="E26" s="1272">
        <f>'Daily HLP'!I28</f>
        <v>19169</v>
      </c>
      <c r="F26" s="1273">
        <f t="shared" si="2"/>
        <v>9</v>
      </c>
      <c r="G26" s="1273">
        <f>'Daily HLP'!M28</f>
        <v>930.86000000010245</v>
      </c>
      <c r="H26" s="1273">
        <f t="shared" si="3"/>
        <v>35</v>
      </c>
      <c r="I26" s="1273">
        <f>'Daily HLP'!P28</f>
        <v>183</v>
      </c>
      <c r="J26" s="1273">
        <f t="shared" si="4"/>
        <v>134</v>
      </c>
      <c r="K26" s="1272">
        <v>116</v>
      </c>
      <c r="L26" s="1272">
        <v>524</v>
      </c>
      <c r="M26" s="1274" t="e">
        <f>E26*F26+G26*H26+#REF!*#REF!+I26*J26</f>
        <v>#REF!</v>
      </c>
    </row>
    <row r="27" spans="1:13">
      <c r="A27" s="1269" t="s">
        <v>319</v>
      </c>
      <c r="B27" s="1270">
        <f t="shared" si="1"/>
        <v>26</v>
      </c>
      <c r="C27" s="1270">
        <v>1</v>
      </c>
      <c r="D27" s="1271">
        <v>2021</v>
      </c>
      <c r="E27" s="1272">
        <f>'Daily HLP'!I29</f>
        <v>18998</v>
      </c>
      <c r="F27" s="1273">
        <f t="shared" si="2"/>
        <v>9</v>
      </c>
      <c r="G27" s="1273">
        <f>'Daily HLP'!M29</f>
        <v>855.13999999989755</v>
      </c>
      <c r="H27" s="1273">
        <f t="shared" si="3"/>
        <v>35</v>
      </c>
      <c r="I27" s="1273">
        <f>'Daily HLP'!P29</f>
        <v>189</v>
      </c>
      <c r="J27" s="1273">
        <f t="shared" si="4"/>
        <v>134</v>
      </c>
      <c r="K27" s="1272">
        <v>128</v>
      </c>
      <c r="L27" s="1272">
        <v>354</v>
      </c>
      <c r="M27" s="1274" t="e">
        <f>E27*F27+G27*H27+#REF!*#REF!+I27*J27</f>
        <v>#REF!</v>
      </c>
    </row>
    <row r="28" spans="1:13">
      <c r="A28" s="1269" t="s">
        <v>319</v>
      </c>
      <c r="B28" s="1270">
        <f t="shared" si="1"/>
        <v>27</v>
      </c>
      <c r="C28" s="1270">
        <v>1</v>
      </c>
      <c r="D28" s="1271">
        <v>2021</v>
      </c>
      <c r="E28" s="1272">
        <f>'Daily HLP'!I30</f>
        <v>18736</v>
      </c>
      <c r="F28" s="1273">
        <f t="shared" si="2"/>
        <v>9</v>
      </c>
      <c r="G28" s="1273">
        <f>'Daily HLP'!M30</f>
        <v>843.93999999994412</v>
      </c>
      <c r="H28" s="1273">
        <f t="shared" si="3"/>
        <v>35</v>
      </c>
      <c r="I28" s="1273">
        <f>'Daily HLP'!P30</f>
        <v>174</v>
      </c>
      <c r="J28" s="1273">
        <f t="shared" si="4"/>
        <v>134</v>
      </c>
      <c r="K28" s="1272">
        <v>86</v>
      </c>
      <c r="L28" s="1272">
        <v>249</v>
      </c>
      <c r="M28" s="1274" t="e">
        <f>E28*F28+G28*H28+#REF!*#REF!+I28*J28</f>
        <v>#REF!</v>
      </c>
    </row>
    <row r="29" spans="1:13">
      <c r="A29" s="1269" t="s">
        <v>319</v>
      </c>
      <c r="B29" s="1270">
        <f t="shared" si="1"/>
        <v>28</v>
      </c>
      <c r="C29" s="1270">
        <v>1</v>
      </c>
      <c r="D29" s="1271">
        <v>2021</v>
      </c>
      <c r="E29" s="1272">
        <f>'Daily HLP'!I31</f>
        <v>19357</v>
      </c>
      <c r="F29" s="1273">
        <f t="shared" si="2"/>
        <v>9</v>
      </c>
      <c r="G29" s="1273">
        <f>'Daily HLP'!M31</f>
        <v>434.06000000005588</v>
      </c>
      <c r="H29" s="1273">
        <f t="shared" si="3"/>
        <v>35</v>
      </c>
      <c r="I29" s="1273">
        <f>'Daily HLP'!P31</f>
        <v>173</v>
      </c>
      <c r="J29" s="1273">
        <f t="shared" si="4"/>
        <v>134</v>
      </c>
      <c r="K29" s="1272">
        <v>96</v>
      </c>
      <c r="L29" s="1272">
        <v>325</v>
      </c>
      <c r="M29" s="1274" t="e">
        <f>E29*F29+G29*H29+#REF!*#REF!+I29*J29</f>
        <v>#REF!</v>
      </c>
    </row>
    <row r="30" spans="1:13">
      <c r="A30" s="1269" t="s">
        <v>319</v>
      </c>
      <c r="B30" s="1270">
        <f t="shared" si="1"/>
        <v>29</v>
      </c>
      <c r="C30" s="1270">
        <v>1</v>
      </c>
      <c r="D30" s="1271">
        <v>2021</v>
      </c>
      <c r="E30" s="1272">
        <f>'Daily HLP'!I32</f>
        <v>18748</v>
      </c>
      <c r="F30" s="1273">
        <f t="shared" si="2"/>
        <v>9</v>
      </c>
      <c r="G30" s="1273">
        <f>'Daily HLP'!M32</f>
        <v>826.96999999997206</v>
      </c>
      <c r="H30" s="1273">
        <f t="shared" si="3"/>
        <v>35</v>
      </c>
      <c r="I30" s="1273">
        <f>'Daily HLP'!P32</f>
        <v>151</v>
      </c>
      <c r="J30" s="1273">
        <f t="shared" si="4"/>
        <v>134</v>
      </c>
      <c r="K30" s="1272">
        <v>102</v>
      </c>
      <c r="L30" s="1272">
        <v>423</v>
      </c>
      <c r="M30" s="1274" t="e">
        <f>E30*F30+G30*H30+#REF!*#REF!+I30*J30</f>
        <v>#REF!</v>
      </c>
    </row>
    <row r="31" spans="1:13">
      <c r="A31" s="1269" t="s">
        <v>319</v>
      </c>
      <c r="B31" s="1270">
        <f t="shared" si="1"/>
        <v>30</v>
      </c>
      <c r="C31" s="1270">
        <v>1</v>
      </c>
      <c r="D31" s="1271">
        <v>2021</v>
      </c>
      <c r="E31" s="1272">
        <f>'Daily HLP'!I33</f>
        <v>-2314382</v>
      </c>
      <c r="F31" s="1273">
        <f t="shared" si="2"/>
        <v>9</v>
      </c>
      <c r="G31" s="1273">
        <f>'Daily HLP'!M33</f>
        <v>-77642.192000000039</v>
      </c>
      <c r="H31" s="1273">
        <f t="shared" si="3"/>
        <v>35</v>
      </c>
      <c r="I31" s="1273">
        <f>'Daily HLP'!P33</f>
        <v>-6373</v>
      </c>
      <c r="J31" s="1273">
        <f t="shared" si="4"/>
        <v>134</v>
      </c>
      <c r="K31" s="1272">
        <v>125</v>
      </c>
      <c r="L31" s="1272">
        <f>'[1]Consommation mensuel énergie'!E39</f>
        <v>0</v>
      </c>
      <c r="M31" s="1274" t="e">
        <f>E31*F31+G31*H31+#REF!*#REF!+I31*J31</f>
        <v>#REF!</v>
      </c>
    </row>
    <row r="32" spans="1:13" s="1272" customFormat="1">
      <c r="A32" s="1276"/>
      <c r="B32" s="1270"/>
      <c r="C32" s="1270"/>
      <c r="D32" s="1271"/>
      <c r="F32" s="1273"/>
      <c r="G32" s="1273"/>
      <c r="H32" s="1273"/>
      <c r="I32" s="1273"/>
      <c r="J32" s="1273"/>
      <c r="M32" s="1275"/>
    </row>
    <row r="33" spans="1:13" s="1272" customFormat="1">
      <c r="A33" s="1276"/>
      <c r="B33" s="1270"/>
      <c r="C33" s="1270"/>
      <c r="D33" s="1271"/>
      <c r="F33" s="1273"/>
      <c r="G33" s="1273"/>
      <c r="H33" s="1273"/>
      <c r="I33" s="1273"/>
      <c r="J33" s="1273"/>
      <c r="M33" s="1275"/>
    </row>
    <row r="34" spans="1:13" s="1272" customFormat="1">
      <c r="A34" s="1276"/>
      <c r="B34" s="1270"/>
      <c r="C34" s="1270"/>
      <c r="D34" s="1271"/>
      <c r="F34" s="1273"/>
      <c r="G34" s="1273"/>
      <c r="H34" s="1273"/>
      <c r="I34" s="1273"/>
      <c r="J34" s="1273"/>
      <c r="M34" s="1275"/>
    </row>
    <row r="35" spans="1:13" s="1272" customFormat="1">
      <c r="A35" s="1276"/>
      <c r="B35" s="1270"/>
      <c r="C35" s="1270"/>
      <c r="D35" s="1271"/>
      <c r="F35" s="1273"/>
      <c r="G35" s="1273"/>
      <c r="H35" s="1273"/>
      <c r="I35" s="1273"/>
      <c r="J35" s="1273"/>
      <c r="M35" s="1275"/>
    </row>
    <row r="36" spans="1:13" s="1272" customFormat="1">
      <c r="A36" s="1276"/>
      <c r="B36" s="1270"/>
      <c r="C36" s="1270"/>
      <c r="D36" s="1271"/>
      <c r="F36" s="1273"/>
      <c r="G36" s="1273"/>
      <c r="H36" s="1273"/>
      <c r="I36" s="1273"/>
      <c r="J36" s="1273"/>
      <c r="M36" s="1275"/>
    </row>
    <row r="37" spans="1:13" s="1272" customFormat="1">
      <c r="A37" s="1276"/>
      <c r="B37" s="1270"/>
      <c r="C37" s="1270"/>
      <c r="D37" s="1271"/>
      <c r="F37" s="1273"/>
      <c r="G37" s="1273"/>
      <c r="H37" s="1273"/>
      <c r="I37" s="1273"/>
      <c r="J37" s="1273"/>
      <c r="M37" s="1275"/>
    </row>
    <row r="38" spans="1:13" s="1272" customFormat="1">
      <c r="A38" s="1276"/>
      <c r="B38" s="1270"/>
      <c r="C38" s="1270"/>
      <c r="D38" s="1271"/>
      <c r="F38" s="1273"/>
      <c r="G38" s="1273"/>
      <c r="H38" s="1273"/>
      <c r="I38" s="1273"/>
      <c r="J38" s="1273"/>
      <c r="M38" s="1275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41"/>
  <sheetViews>
    <sheetView zoomScale="80" zoomScaleNormal="80" workbookViewId="0">
      <pane xSplit="1" topLeftCell="B1" activePane="topRight" state="frozen"/>
      <selection activeCell="F104" sqref="F104"/>
      <selection pane="topRight" activeCell="F4" sqref="F4"/>
    </sheetView>
  </sheetViews>
  <sheetFormatPr defaultRowHeight="15.7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>
      <c r="A1" s="1347"/>
      <c r="B1" s="1347"/>
      <c r="C1" s="1347"/>
      <c r="D1" s="1347"/>
      <c r="E1" s="1347"/>
      <c r="F1" s="1347"/>
      <c r="G1" s="1347"/>
      <c r="H1" s="1347"/>
      <c r="I1" s="1347"/>
      <c r="J1" s="1347"/>
      <c r="K1" s="1347"/>
      <c r="L1" s="1347"/>
      <c r="M1" s="1347"/>
      <c r="N1" s="1347"/>
      <c r="O1" s="1347"/>
      <c r="P1" s="1347"/>
      <c r="Q1" s="1347"/>
      <c r="R1" s="1347"/>
      <c r="S1" s="1347"/>
      <c r="T1" s="1347"/>
      <c r="U1" s="1347"/>
      <c r="V1" s="1347"/>
      <c r="W1" s="1347"/>
      <c r="X1" s="1347"/>
      <c r="Y1" s="1347"/>
      <c r="Z1" s="1347"/>
      <c r="AA1" s="1347"/>
      <c r="AB1" s="1347"/>
      <c r="AC1" s="1347"/>
      <c r="AD1" s="1347"/>
      <c r="AE1" s="1347"/>
      <c r="AF1" s="1347"/>
      <c r="AG1" s="1347"/>
      <c r="AH1" s="1347"/>
      <c r="AI1" s="1347"/>
      <c r="AJ1" s="1347"/>
      <c r="AK1" s="1347"/>
      <c r="AL1" s="1347"/>
      <c r="AM1" s="1347"/>
      <c r="AN1" s="1347"/>
      <c r="AO1" s="1347"/>
      <c r="AP1" s="1347"/>
      <c r="AQ1" s="1347"/>
      <c r="AR1" s="1347"/>
      <c r="AS1" s="1347"/>
      <c r="AT1" s="1347"/>
      <c r="AU1" s="1347"/>
      <c r="AV1" s="1347"/>
      <c r="AW1" s="1347"/>
      <c r="AX1" s="1347"/>
      <c r="AY1" s="1347"/>
      <c r="AZ1" s="1347"/>
      <c r="BA1" s="1347"/>
      <c r="BB1" s="1347"/>
      <c r="BC1" s="1347"/>
      <c r="BD1" s="1347"/>
      <c r="BE1" s="1347"/>
      <c r="BF1" s="1347"/>
      <c r="BG1" s="1347"/>
      <c r="BH1" s="1347"/>
      <c r="BI1" s="1347"/>
      <c r="BJ1" s="1347"/>
      <c r="BK1" s="1347"/>
      <c r="BL1" s="1347"/>
      <c r="BM1" s="1347"/>
      <c r="BN1" s="1347"/>
      <c r="BO1" s="1347"/>
    </row>
    <row r="2" spans="1:70" ht="28.5" customHeight="1">
      <c r="A2" s="1" t="s">
        <v>0</v>
      </c>
      <c r="B2" s="1" t="s">
        <v>0</v>
      </c>
      <c r="C2" s="1224" t="s">
        <v>1</v>
      </c>
      <c r="D2" s="2" t="s">
        <v>2</v>
      </c>
      <c r="E2" s="3" t="s">
        <v>3</v>
      </c>
      <c r="F2" s="476" t="s">
        <v>4</v>
      </c>
      <c r="G2" s="476" t="s">
        <v>5</v>
      </c>
      <c r="H2" s="476"/>
      <c r="I2" s="1348" t="s">
        <v>6</v>
      </c>
      <c r="J2" s="1348"/>
      <c r="K2" s="1348"/>
      <c r="L2" s="237"/>
      <c r="M2" s="1349" t="s">
        <v>7</v>
      </c>
      <c r="N2" s="1349"/>
      <c r="O2" s="1349"/>
      <c r="P2" s="1350" t="s">
        <v>8</v>
      </c>
      <c r="Q2" s="1350"/>
      <c r="R2" s="1350"/>
      <c r="S2" s="237" t="s">
        <v>9</v>
      </c>
      <c r="T2" s="1351" t="s">
        <v>10</v>
      </c>
      <c r="U2" s="1351"/>
      <c r="V2" s="1351"/>
      <c r="W2" s="1352" t="s">
        <v>11</v>
      </c>
      <c r="X2" s="1353"/>
      <c r="Y2" s="1354"/>
      <c r="Z2" s="1223"/>
      <c r="AA2" s="1355" t="s">
        <v>12</v>
      </c>
      <c r="AB2" s="1355"/>
      <c r="AC2" s="1355"/>
      <c r="AD2" s="1355"/>
      <c r="AE2" s="1224"/>
      <c r="AF2" s="1224" t="s">
        <v>13</v>
      </c>
      <c r="AG2" s="1224" t="s">
        <v>14</v>
      </c>
      <c r="AH2" s="1355" t="s">
        <v>15</v>
      </c>
      <c r="AI2" s="1355"/>
      <c r="AJ2" s="1355"/>
      <c r="AK2" s="1224" t="s">
        <v>16</v>
      </c>
      <c r="AL2" s="1355" t="s">
        <v>17</v>
      </c>
      <c r="AM2" s="1355"/>
      <c r="AN2" s="1355"/>
      <c r="AO2" s="1224" t="s">
        <v>18</v>
      </c>
      <c r="AP2" s="5" t="s">
        <v>19</v>
      </c>
      <c r="AQ2" s="1356" t="s">
        <v>20</v>
      </c>
      <c r="AR2" s="1357"/>
      <c r="AS2" s="1357"/>
      <c r="AT2" s="1357"/>
      <c r="AU2" s="1357"/>
      <c r="AV2" s="1357"/>
      <c r="AW2" s="1357"/>
      <c r="AX2" s="1357"/>
      <c r="AY2" s="1357"/>
      <c r="AZ2" s="1358"/>
      <c r="BA2" s="1356" t="s">
        <v>21</v>
      </c>
      <c r="BB2" s="1357"/>
      <c r="BC2" s="1357"/>
      <c r="BD2" s="1357"/>
      <c r="BE2" s="1357"/>
      <c r="BF2" s="1357"/>
      <c r="BG2" s="1357"/>
      <c r="BH2" s="1357"/>
      <c r="BI2" s="1357"/>
      <c r="BJ2" s="477"/>
      <c r="BK2" s="457"/>
      <c r="BL2" s="232"/>
      <c r="BM2" s="232"/>
      <c r="BN2" s="232"/>
      <c r="BO2" s="1224" t="s">
        <v>22</v>
      </c>
      <c r="BQ2" t="s">
        <v>23</v>
      </c>
    </row>
    <row r="3" spans="1:70" s="15" customFormat="1" ht="4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56" t="s">
        <v>62</v>
      </c>
      <c r="BJ3" s="456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>
      <c r="A4" s="16">
        <v>1</v>
      </c>
      <c r="B4" s="17">
        <v>1</v>
      </c>
      <c r="C4" s="18"/>
      <c r="D4" s="19">
        <f>'1'!D3</f>
        <v>31</v>
      </c>
      <c r="E4" s="256">
        <f>'1'!D4</f>
        <v>0.72</v>
      </c>
      <c r="F4" s="256">
        <f>'1'!D2</f>
        <v>0.43</v>
      </c>
      <c r="G4" s="19">
        <f>'1'!G8</f>
        <v>20383</v>
      </c>
      <c r="H4" s="19">
        <f>'1'!G8</f>
        <v>20383</v>
      </c>
      <c r="I4" s="19">
        <f>'1'!G7</f>
        <v>20215</v>
      </c>
      <c r="J4" s="19">
        <f>'1'!F27</f>
        <v>9</v>
      </c>
      <c r="K4" s="242">
        <f>H4*J4</f>
        <v>183447</v>
      </c>
      <c r="L4" s="238">
        <f>I4/202</f>
        <v>100.07425742574257</v>
      </c>
      <c r="M4" s="19">
        <f>'1'!G15</f>
        <v>693.89999999990687</v>
      </c>
      <c r="N4" s="19">
        <v>35</v>
      </c>
      <c r="O4" s="238">
        <f>M4*N4</f>
        <v>24286.49999999674</v>
      </c>
      <c r="P4" s="19">
        <f>'1'!G20</f>
        <v>197</v>
      </c>
      <c r="Q4" s="19">
        <v>134</v>
      </c>
      <c r="R4" s="239">
        <f t="shared" ref="R4:R34" si="0">P4*Q4</f>
        <v>26398</v>
      </c>
      <c r="S4" s="240">
        <f t="shared" ref="S4:S34" si="1">P4/(F4*202/100)</f>
        <v>226.80174994243609</v>
      </c>
      <c r="T4" s="19">
        <f>'1'!G24</f>
        <v>0</v>
      </c>
      <c r="U4" s="19">
        <v>69</v>
      </c>
      <c r="V4" s="241">
        <f>T4*U4</f>
        <v>0</v>
      </c>
      <c r="W4" s="22">
        <f>'1'!G95</f>
        <v>60</v>
      </c>
      <c r="X4" s="22">
        <f>'1'!G96</f>
        <v>33</v>
      </c>
      <c r="Y4" s="22">
        <f>'1'!G97</f>
        <v>37</v>
      </c>
      <c r="Z4" s="22">
        <f>W4+X4+Y4</f>
        <v>130</v>
      </c>
      <c r="AA4" s="19">
        <f>'1'!G132</f>
        <v>0</v>
      </c>
      <c r="AB4" s="19">
        <f>'1'!G133</f>
        <v>0</v>
      </c>
      <c r="AC4" s="19">
        <f>'1'!G134</f>
        <v>0</v>
      </c>
      <c r="AD4" s="19">
        <f>'1'!G135</f>
        <v>23.610000000000582</v>
      </c>
      <c r="AE4" s="19">
        <f>AA4+AB4+AC4+AD4</f>
        <v>23.610000000000582</v>
      </c>
      <c r="AF4" s="23">
        <f t="shared" ref="AF4:AF34" si="2">AV4+AW4+BF4+BG4</f>
        <v>5051.8999999999651</v>
      </c>
      <c r="AG4" s="23">
        <f>AF4/AE4</f>
        <v>213.97289284200934</v>
      </c>
      <c r="AH4" s="19">
        <f>'1'!G136</f>
        <v>2.1499999999978172</v>
      </c>
      <c r="AI4" s="19">
        <f>'1'!G137</f>
        <v>0</v>
      </c>
      <c r="AJ4" s="19">
        <f>'1'!G138</f>
        <v>5.3600000000005821</v>
      </c>
      <c r="AK4" s="19">
        <f>AH4+AI4+AJ4</f>
        <v>7.5099999999983993</v>
      </c>
      <c r="AL4" s="19">
        <f>'1'!G139</f>
        <v>0</v>
      </c>
      <c r="AM4" s="19">
        <f>'1'!G140</f>
        <v>9.75</v>
      </c>
      <c r="AN4" s="19"/>
      <c r="AO4" s="19">
        <f>AL4+AM4</f>
        <v>9.75</v>
      </c>
      <c r="AP4" s="258">
        <f>'1'!G123</f>
        <v>293.94999999995343</v>
      </c>
      <c r="AQ4" s="261">
        <f>'1'!G35</f>
        <v>0</v>
      </c>
      <c r="AR4" s="19">
        <f>'1'!G37</f>
        <v>0</v>
      </c>
      <c r="AS4" s="19">
        <f>'1'!G38</f>
        <v>0</v>
      </c>
      <c r="AT4" s="19">
        <f>'1'!G39</f>
        <v>0</v>
      </c>
      <c r="AU4" s="19">
        <f>'1'!G40</f>
        <v>0</v>
      </c>
      <c r="AV4" s="19">
        <f>'1'!G41</f>
        <v>1.9999999960418791E-2</v>
      </c>
      <c r="AW4" s="19">
        <f>'1'!G42</f>
        <v>0</v>
      </c>
      <c r="AX4" s="19">
        <f>'1'!G43</f>
        <v>1964.5699999999488</v>
      </c>
      <c r="AY4" s="19">
        <f>'1'!G44</f>
        <v>0</v>
      </c>
      <c r="AZ4" s="262">
        <f>'1'!G36</f>
        <v>693.92999999999302</v>
      </c>
      <c r="BA4" s="261">
        <f>'1'!G49</f>
        <v>2937</v>
      </c>
      <c r="BB4" s="19">
        <f>'1'!G51</f>
        <v>1471.8899999999994</v>
      </c>
      <c r="BC4" s="19">
        <f>'1'!G52</f>
        <v>2161.3699999999953</v>
      </c>
      <c r="BD4" s="19">
        <f>'1'!G53</f>
        <v>4286.0299999999988</v>
      </c>
      <c r="BE4" s="19">
        <f>'1'!G54</f>
        <v>62.460000000000036</v>
      </c>
      <c r="BF4" s="19">
        <f>'1'!G55</f>
        <v>-0.36999999999534339</v>
      </c>
      <c r="BG4" s="19">
        <f>'1'!G56</f>
        <v>5052.25</v>
      </c>
      <c r="BH4" s="19">
        <f>'1'!G57</f>
        <v>0</v>
      </c>
      <c r="BI4" s="262">
        <f>'1'!G50</f>
        <v>1013.570000000007</v>
      </c>
      <c r="BJ4" s="401">
        <f>SUM(AV4,AW4,BF4,BG4)</f>
        <v>5051.8999999999651</v>
      </c>
      <c r="BK4" s="401">
        <f>'1'!G84</f>
        <v>446</v>
      </c>
      <c r="BL4" s="23">
        <f>SUM(AQ4,AV4,AW4,AX4,BA4,BF4,BG4,BH4)/I4%</f>
        <v>49.238041058619409</v>
      </c>
      <c r="BM4" s="23">
        <f>SUM(AT4,BD4)/I4%</f>
        <v>21.202226069750179</v>
      </c>
      <c r="BN4" s="24">
        <f>(AS4+BC4)/I4</f>
        <v>0.10691911946574303</v>
      </c>
      <c r="BO4" s="25">
        <f>K4+O4+R4+V4</f>
        <v>234131.49999999674</v>
      </c>
      <c r="BP4" s="213">
        <f>SUM(AV4,AW4,AX4,BF4,BG4,BH4,BK4)</f>
        <v>7462.4699999999139</v>
      </c>
      <c r="BQ4">
        <f>BP4/(AE4*280)</f>
        <v>1.1288300962061673</v>
      </c>
      <c r="BR4" s="213">
        <f>SUM(AV4,AW4,BF4,BG4)/(AE4*400)</f>
        <v>0.53493223210502339</v>
      </c>
    </row>
    <row r="5" spans="1:70">
      <c r="A5" s="16">
        <v>2</v>
      </c>
      <c r="B5" s="26">
        <v>2</v>
      </c>
      <c r="C5" s="26"/>
      <c r="D5" s="19">
        <f>'2'!D3</f>
        <v>27</v>
      </c>
      <c r="E5" s="256">
        <f>'2'!D4</f>
        <v>0.74</v>
      </c>
      <c r="F5" s="256">
        <f>'2'!D2</f>
        <v>0.54</v>
      </c>
      <c r="G5" s="19">
        <f>'2'!G8</f>
        <v>19732</v>
      </c>
      <c r="H5" s="19">
        <f>'2'!G8</f>
        <v>19732</v>
      </c>
      <c r="I5" s="19">
        <f>'2'!G7</f>
        <v>19576</v>
      </c>
      <c r="J5" s="19">
        <v>10</v>
      </c>
      <c r="K5" s="242">
        <f t="shared" ref="K5:K34" si="3">H5*J5</f>
        <v>197320</v>
      </c>
      <c r="L5" s="238">
        <f t="shared" ref="L5:L34" si="4">I5/202</f>
        <v>96.910891089108915</v>
      </c>
      <c r="M5" s="19">
        <f>'2'!G15</f>
        <v>822.62000000011176</v>
      </c>
      <c r="N5" s="19">
        <v>35</v>
      </c>
      <c r="O5" s="238">
        <f t="shared" ref="O5:O34" si="5">M5*N5</f>
        <v>28791.700000003912</v>
      </c>
      <c r="P5" s="19">
        <f>'2'!G20</f>
        <v>175</v>
      </c>
      <c r="Q5" s="19">
        <v>134</v>
      </c>
      <c r="R5" s="239">
        <f t="shared" si="0"/>
        <v>23450</v>
      </c>
      <c r="S5" s="240">
        <f t="shared" si="1"/>
        <v>160.43270993766041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71</v>
      </c>
      <c r="X5" s="22">
        <f>'2'!G96</f>
        <v>16</v>
      </c>
      <c r="Y5" s="22">
        <f>'2'!G97</f>
        <v>23</v>
      </c>
      <c r="Z5" s="22">
        <f t="shared" ref="Z5:Z34" si="7">W5+X5+Y5</f>
        <v>110</v>
      </c>
      <c r="AA5" s="19">
        <f>'2'!G132</f>
        <v>0</v>
      </c>
      <c r="AB5" s="19">
        <f>'2'!G133</f>
        <v>0</v>
      </c>
      <c r="AC5" s="19">
        <f>'2'!G134</f>
        <v>0</v>
      </c>
      <c r="AD5" s="19">
        <f>'2'!G135</f>
        <v>24.470000000001164</v>
      </c>
      <c r="AE5" s="19">
        <f t="shared" ref="AE5:AE34" si="8">AA5+AB5+AC5+AD5</f>
        <v>24.470000000001164</v>
      </c>
      <c r="AF5" s="23">
        <f t="shared" si="2"/>
        <v>4714.8600000000733</v>
      </c>
      <c r="AG5" s="23">
        <f t="shared" ref="AG5:AG34" si="9">AF5/AE5</f>
        <v>192.67919901920104</v>
      </c>
      <c r="AH5" s="19">
        <f>'2'!G136</f>
        <v>7.0100000000020373</v>
      </c>
      <c r="AI5" s="19">
        <f>'2'!G137</f>
        <v>0</v>
      </c>
      <c r="AJ5" s="19">
        <f>'2'!G138</f>
        <v>0</v>
      </c>
      <c r="AK5" s="19">
        <f t="shared" ref="AK5:AK34" si="10">AH5+AI5+AJ5</f>
        <v>7.0100000000020373</v>
      </c>
      <c r="AL5" s="19">
        <f>'2'!G139</f>
        <v>0</v>
      </c>
      <c r="AM5" s="19">
        <f>'2'!G140</f>
        <v>9.1300000000001091</v>
      </c>
      <c r="AN5" s="19"/>
      <c r="AO5" s="19">
        <f t="shared" ref="AO5:AO34" si="11">AL5+AM5</f>
        <v>9.1300000000001091</v>
      </c>
      <c r="AP5" s="258">
        <f>'2'!G123</f>
        <v>276.39000000001397</v>
      </c>
      <c r="AQ5" s="261">
        <f>'2'!G35</f>
        <v>0</v>
      </c>
      <c r="AR5" s="19">
        <f>'2'!G37</f>
        <v>0</v>
      </c>
      <c r="AS5" s="19">
        <f>'2'!G38</f>
        <v>0</v>
      </c>
      <c r="AT5" s="19">
        <f>'2'!G39</f>
        <v>0</v>
      </c>
      <c r="AU5" s="19">
        <f>'2'!G40</f>
        <v>0</v>
      </c>
      <c r="AV5" s="19">
        <f>'2'!G41</f>
        <v>-6.9999999948777258E-2</v>
      </c>
      <c r="AW5" s="19">
        <f>'2'!G42</f>
        <v>0</v>
      </c>
      <c r="AX5" s="19">
        <f>'2'!G43</f>
        <v>2000</v>
      </c>
      <c r="AY5" s="19">
        <f>'2'!G44</f>
        <v>0</v>
      </c>
      <c r="AZ5" s="262">
        <f>'2'!G36</f>
        <v>643.54999999998836</v>
      </c>
      <c r="BA5" s="261">
        <f>'2'!G49</f>
        <v>2838.8099999999977</v>
      </c>
      <c r="BB5" s="19">
        <f>'2'!G51</f>
        <v>1418</v>
      </c>
      <c r="BC5" s="19">
        <f>'2'!G52</f>
        <v>2047</v>
      </c>
      <c r="BD5" s="19">
        <f>'2'!G53</f>
        <v>4119</v>
      </c>
      <c r="BE5" s="19">
        <f>'2'!G54</f>
        <v>59.979999999999563</v>
      </c>
      <c r="BF5" s="19">
        <f>'2'!G55</f>
        <v>0.10000000000582077</v>
      </c>
      <c r="BG5" s="19">
        <f>'2'!G56</f>
        <v>4714.8300000000163</v>
      </c>
      <c r="BH5" s="19">
        <f>'2'!G57</f>
        <v>0</v>
      </c>
      <c r="BI5" s="262">
        <f>'2'!G50</f>
        <v>977.51000000000931</v>
      </c>
      <c r="BJ5" s="401">
        <f t="shared" ref="BJ5:BJ34" si="12">SUM(AV5,AW5,BF5,BG5)</f>
        <v>4714.8600000000733</v>
      </c>
      <c r="BK5" s="401">
        <f>'2'!G84</f>
        <v>484</v>
      </c>
      <c r="BL5" s="23">
        <f t="shared" ref="BL5:BL34" si="13">SUM(AQ5,AV5,AW5,AX5,BA5,BF5,BG5,BH5)/I5%</f>
        <v>48.80297302819816</v>
      </c>
      <c r="BM5" s="23">
        <f t="shared" ref="BM5:BM34" si="14">SUM(AT5,BD5)/I5%</f>
        <v>21.041070698814877</v>
      </c>
      <c r="BN5" s="24">
        <f t="shared" ref="BN5:BN34" si="15">(AS5+BC5)/I5</f>
        <v>0.10456681651001226</v>
      </c>
      <c r="BO5" s="25">
        <f t="shared" ref="BO5:BO34" si="16">K5+O5+R5+V5</f>
        <v>249561.70000000391</v>
      </c>
      <c r="BP5" s="213">
        <f t="shared" ref="BP5:BP35" si="17">SUM(AV5,AW5,AX5,BF5,BG5,BH5,BK5)</f>
        <v>7198.8600000000733</v>
      </c>
      <c r="BQ5">
        <f t="shared" ref="BQ5:BQ35" si="18">BP5/(AE5*280)</f>
        <v>1.0506830521337689</v>
      </c>
    </row>
    <row r="6" spans="1:70">
      <c r="A6" s="16">
        <v>3</v>
      </c>
      <c r="B6" s="26">
        <v>3</v>
      </c>
      <c r="C6" s="26"/>
      <c r="D6" s="19">
        <f>'3'!D3</f>
        <v>24</v>
      </c>
      <c r="E6" s="256">
        <f>'3'!D4</f>
        <v>0.76</v>
      </c>
      <c r="F6" s="256">
        <f>'3'!D2</f>
        <v>0.39</v>
      </c>
      <c r="G6" s="19">
        <f>'3'!G8</f>
        <v>19432</v>
      </c>
      <c r="H6" s="19">
        <f>'3'!G8</f>
        <v>19432</v>
      </c>
      <c r="I6" s="19">
        <f>'3'!G7</f>
        <v>19258</v>
      </c>
      <c r="J6" s="19">
        <v>10</v>
      </c>
      <c r="K6" s="242">
        <f t="shared" si="3"/>
        <v>194320</v>
      </c>
      <c r="L6" s="238">
        <f t="shared" si="4"/>
        <v>95.336633663366342</v>
      </c>
      <c r="M6" s="19">
        <f>'3'!G15</f>
        <v>815.68999999994412</v>
      </c>
      <c r="N6" s="19">
        <v>35</v>
      </c>
      <c r="O6" s="238">
        <f t="shared" si="5"/>
        <v>28549.149999998044</v>
      </c>
      <c r="P6" s="19">
        <f>'3'!G20</f>
        <v>167</v>
      </c>
      <c r="Q6" s="19">
        <v>134</v>
      </c>
      <c r="R6" s="239">
        <f t="shared" si="0"/>
        <v>22378</v>
      </c>
      <c r="S6" s="240">
        <f t="shared" si="1"/>
        <v>211.98273673521197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60</v>
      </c>
      <c r="X6" s="22">
        <f>'3'!G96</f>
        <v>20</v>
      </c>
      <c r="Y6" s="22">
        <f>'3'!G97</f>
        <v>17</v>
      </c>
      <c r="Z6" s="22">
        <f>W6+X6+Y6</f>
        <v>97</v>
      </c>
      <c r="AA6" s="19">
        <f>'3'!G132</f>
        <v>0</v>
      </c>
      <c r="AB6" s="19">
        <f>'3'!G133</f>
        <v>0</v>
      </c>
      <c r="AC6" s="19">
        <f>'3'!G134</f>
        <v>0</v>
      </c>
      <c r="AD6" s="19">
        <f>'3'!G135</f>
        <v>23.849999999998545</v>
      </c>
      <c r="AE6" s="19">
        <f t="shared" si="8"/>
        <v>23.849999999998545</v>
      </c>
      <c r="AF6" s="23">
        <f t="shared" si="2"/>
        <v>4109.1699999999837</v>
      </c>
      <c r="AG6" s="23">
        <f t="shared" si="9"/>
        <v>172.29224318659263</v>
      </c>
      <c r="AH6" s="19">
        <f>'3'!G136</f>
        <v>7.9399999999986903</v>
      </c>
      <c r="AI6" s="19">
        <f>'3'!G137</f>
        <v>0</v>
      </c>
      <c r="AJ6" s="19">
        <f>'3'!G138</f>
        <v>0</v>
      </c>
      <c r="AK6" s="19">
        <f t="shared" si="10"/>
        <v>7.9399999999986903</v>
      </c>
      <c r="AL6" s="19">
        <f>'3'!G139</f>
        <v>0</v>
      </c>
      <c r="AM6" s="19">
        <f>'3'!G140</f>
        <v>7.930000000000291</v>
      </c>
      <c r="AN6" s="19"/>
      <c r="AO6" s="19">
        <f t="shared" si="11"/>
        <v>7.930000000000291</v>
      </c>
      <c r="AP6" s="258">
        <f>'3'!G123</f>
        <v>245.60999999998603</v>
      </c>
      <c r="AQ6" s="261">
        <f>'3'!G35</f>
        <v>0</v>
      </c>
      <c r="AR6" s="19">
        <f>'3'!G37</f>
        <v>0</v>
      </c>
      <c r="AS6" s="19">
        <f>'3'!G38</f>
        <v>0</v>
      </c>
      <c r="AT6" s="19">
        <f>'3'!G39</f>
        <v>0</v>
      </c>
      <c r="AU6" s="19">
        <f>'3'!G40</f>
        <v>0</v>
      </c>
      <c r="AV6" s="19">
        <f>'3'!G41</f>
        <v>0</v>
      </c>
      <c r="AW6" s="19">
        <f>'3'!G42</f>
        <v>0</v>
      </c>
      <c r="AX6" s="19">
        <f>'3'!G43</f>
        <v>2040.7900000000373</v>
      </c>
      <c r="AY6" s="19">
        <f>'3'!G44</f>
        <v>0</v>
      </c>
      <c r="AZ6" s="262">
        <f>'3'!G36</f>
        <v>597.26000000000931</v>
      </c>
      <c r="BA6" s="261">
        <f>'3'!G49</f>
        <v>2802.6300000000047</v>
      </c>
      <c r="BB6" s="19">
        <f>'3'!G51</f>
        <v>1376.5899999999965</v>
      </c>
      <c r="BC6" s="19">
        <f>'3'!G52</f>
        <v>2064</v>
      </c>
      <c r="BD6" s="19">
        <f>'3'!G53</f>
        <v>4158.7900000000081</v>
      </c>
      <c r="BE6" s="19">
        <f>'3'!G54</f>
        <v>59.020000000000437</v>
      </c>
      <c r="BF6" s="19">
        <f>'3'!G55</f>
        <v>0</v>
      </c>
      <c r="BG6" s="19">
        <f>'3'!G56</f>
        <v>4109.1699999999837</v>
      </c>
      <c r="BH6" s="19">
        <f>'3'!G57</f>
        <v>0</v>
      </c>
      <c r="BI6" s="262">
        <f>'3'!G50</f>
        <v>1334.1599999999744</v>
      </c>
      <c r="BJ6" s="401">
        <f t="shared" si="12"/>
        <v>4109.1699999999837</v>
      </c>
      <c r="BK6" s="401">
        <f>'3'!G84</f>
        <v>489</v>
      </c>
      <c r="BL6" s="23">
        <f t="shared" si="13"/>
        <v>46.487641499636645</v>
      </c>
      <c r="BM6" s="23">
        <f t="shared" si="14"/>
        <v>21.595129296915609</v>
      </c>
      <c r="BN6" s="24">
        <f t="shared" si="15"/>
        <v>0.10717623844635996</v>
      </c>
      <c r="BO6" s="25">
        <f t="shared" si="16"/>
        <v>245247.14999999804</v>
      </c>
      <c r="BP6" s="213">
        <f t="shared" si="17"/>
        <v>6638.960000000021</v>
      </c>
      <c r="BQ6">
        <f t="shared" si="18"/>
        <v>0.99415393830494547</v>
      </c>
    </row>
    <row r="7" spans="1:70">
      <c r="A7" s="16">
        <v>4</v>
      </c>
      <c r="B7" s="27">
        <v>4</v>
      </c>
      <c r="C7" s="27"/>
      <c r="D7" s="19">
        <f>'4'!D3</f>
        <v>28</v>
      </c>
      <c r="E7" s="256">
        <f>'4'!D4</f>
        <v>0.8</v>
      </c>
      <c r="F7" s="256">
        <f>'4'!D2</f>
        <v>0.21</v>
      </c>
      <c r="G7" s="19">
        <f>'4'!G8</f>
        <v>18672</v>
      </c>
      <c r="H7" s="19">
        <f>'4'!G8</f>
        <v>18672</v>
      </c>
      <c r="I7" s="19">
        <f>'4'!G7</f>
        <v>18476</v>
      </c>
      <c r="J7" s="19">
        <v>10</v>
      </c>
      <c r="K7" s="242">
        <f t="shared" si="3"/>
        <v>186720</v>
      </c>
      <c r="L7" s="238">
        <f t="shared" si="4"/>
        <v>91.465346534653463</v>
      </c>
      <c r="M7" s="19">
        <f>'4'!G15</f>
        <v>757.68999999994412</v>
      </c>
      <c r="N7" s="19">
        <v>35</v>
      </c>
      <c r="O7" s="238">
        <f t="shared" si="5"/>
        <v>26519.149999998044</v>
      </c>
      <c r="P7" s="19">
        <f>'4'!G20</f>
        <v>153</v>
      </c>
      <c r="Q7" s="19">
        <v>134</v>
      </c>
      <c r="R7" s="239">
        <f t="shared" si="0"/>
        <v>20502</v>
      </c>
      <c r="S7" s="240">
        <f t="shared" si="1"/>
        <v>360.67892503536063</v>
      </c>
      <c r="T7" s="19">
        <f>'4'!G24</f>
        <v>0</v>
      </c>
      <c r="U7" s="19">
        <v>69</v>
      </c>
      <c r="V7" s="241">
        <f t="shared" si="6"/>
        <v>0</v>
      </c>
      <c r="W7" s="22">
        <f>'4'!G95</f>
        <v>68</v>
      </c>
      <c r="X7" s="22">
        <f>'4'!G96</f>
        <v>14</v>
      </c>
      <c r="Y7" s="22">
        <f>'4'!G97</f>
        <v>15</v>
      </c>
      <c r="Z7" s="22">
        <f t="shared" si="7"/>
        <v>97</v>
      </c>
      <c r="AA7" s="19">
        <f>'4'!G132</f>
        <v>0</v>
      </c>
      <c r="AB7" s="19">
        <f>'4'!G133</f>
        <v>0</v>
      </c>
      <c r="AC7" s="19">
        <f>'4'!G134</f>
        <v>0</v>
      </c>
      <c r="AD7" s="19">
        <f>'4'!G135</f>
        <v>24.139999999999418</v>
      </c>
      <c r="AE7" s="19">
        <f t="shared" si="8"/>
        <v>24.139999999999418</v>
      </c>
      <c r="AF7" s="23">
        <f t="shared" si="2"/>
        <v>4016.9100000000035</v>
      </c>
      <c r="AG7" s="23">
        <f t="shared" si="9"/>
        <v>166.40057995029414</v>
      </c>
      <c r="AH7" s="19">
        <f>'4'!G136</f>
        <v>8.5900000000001455</v>
      </c>
      <c r="AI7" s="19">
        <f>'4'!G137</f>
        <v>0</v>
      </c>
      <c r="AJ7" s="19">
        <f>'4'!G138</f>
        <v>0</v>
      </c>
      <c r="AK7" s="19">
        <f t="shared" si="10"/>
        <v>8.5900000000001455</v>
      </c>
      <c r="AL7" s="19">
        <f>'4'!G139</f>
        <v>0</v>
      </c>
      <c r="AM7" s="19">
        <f>'4'!G140</f>
        <v>7.6599999999998545</v>
      </c>
      <c r="AN7" s="19"/>
      <c r="AO7" s="19">
        <f t="shared" si="11"/>
        <v>7.6599999999998545</v>
      </c>
      <c r="AP7" s="258">
        <f>'4'!G123</f>
        <v>226.42000000004191</v>
      </c>
      <c r="AQ7" s="261">
        <f>'4'!G35</f>
        <v>0</v>
      </c>
      <c r="AR7" s="19">
        <f>'4'!G37</f>
        <v>0</v>
      </c>
      <c r="AS7" s="19">
        <f>'4'!G38</f>
        <v>0.38000000000465661</v>
      </c>
      <c r="AT7" s="19">
        <f>'4'!G39</f>
        <v>0</v>
      </c>
      <c r="AU7" s="19">
        <f>'4'!G40</f>
        <v>0</v>
      </c>
      <c r="AV7" s="19">
        <f>'4'!G41</f>
        <v>0</v>
      </c>
      <c r="AW7" s="19">
        <f>'4'!G42</f>
        <v>-8.999999999650754E-2</v>
      </c>
      <c r="AX7" s="19">
        <f>'4'!G43</f>
        <v>1991.2099999999627</v>
      </c>
      <c r="AY7" s="19">
        <f>'4'!G44</f>
        <v>0</v>
      </c>
      <c r="AZ7" s="262">
        <f>'4'!G36</f>
        <v>635.19000000000233</v>
      </c>
      <c r="BA7" s="261">
        <f>'4'!G49</f>
        <v>2986.5599999999977</v>
      </c>
      <c r="BB7" s="19">
        <f>'4'!G51</f>
        <v>1381.4100000000035</v>
      </c>
      <c r="BC7" s="19">
        <f>'4'!G52</f>
        <v>1862</v>
      </c>
      <c r="BD7" s="19">
        <f>'4'!G53</f>
        <v>3898.2099999999919</v>
      </c>
      <c r="BE7" s="19">
        <f>'4'!G54</f>
        <v>57.520000000000437</v>
      </c>
      <c r="BF7" s="19">
        <f>'4'!G55</f>
        <v>0</v>
      </c>
      <c r="BG7" s="19">
        <f>'4'!G56</f>
        <v>4017</v>
      </c>
      <c r="BH7" s="19">
        <f>'4'!G57</f>
        <v>0</v>
      </c>
      <c r="BI7" s="262">
        <f>'4'!G50</f>
        <v>930.3300000000163</v>
      </c>
      <c r="BJ7" s="401">
        <f t="shared" si="12"/>
        <v>4016.9100000000035</v>
      </c>
      <c r="BK7" s="401">
        <f>'3'!G84</f>
        <v>489</v>
      </c>
      <c r="BL7" s="23">
        <f t="shared" si="13"/>
        <v>48.683048278848041</v>
      </c>
      <c r="BM7" s="23">
        <f t="shared" si="14"/>
        <v>21.09877679151327</v>
      </c>
      <c r="BN7" s="24">
        <f t="shared" si="15"/>
        <v>0.10079995670058479</v>
      </c>
      <c r="BO7" s="25">
        <f t="shared" si="16"/>
        <v>233741.14999999804</v>
      </c>
      <c r="BP7" s="213">
        <f t="shared" si="17"/>
        <v>6497.1199999999662</v>
      </c>
      <c r="BQ7">
        <f t="shared" si="18"/>
        <v>0.96122618061310849</v>
      </c>
    </row>
    <row r="8" spans="1:70">
      <c r="A8" s="16">
        <v>5</v>
      </c>
      <c r="B8" s="27">
        <v>5</v>
      </c>
      <c r="C8" s="27"/>
      <c r="D8" s="19">
        <f>'5'!D3</f>
        <v>22</v>
      </c>
      <c r="E8" s="256">
        <f>'5'!D4</f>
        <v>0.78</v>
      </c>
      <c r="F8" s="256">
        <f>'5'!D2</f>
        <v>0.23</v>
      </c>
      <c r="G8" s="19">
        <f>'5'!G8</f>
        <v>18082</v>
      </c>
      <c r="H8" s="19">
        <f>'5'!G8</f>
        <v>18082</v>
      </c>
      <c r="I8" s="19">
        <f>'5'!G7</f>
        <v>17831</v>
      </c>
      <c r="J8" s="19">
        <v>10</v>
      </c>
      <c r="K8" s="242">
        <f t="shared" si="3"/>
        <v>180820</v>
      </c>
      <c r="L8" s="238">
        <f t="shared" si="4"/>
        <v>88.272277227722768</v>
      </c>
      <c r="M8" s="19">
        <f>'5'!G15</f>
        <v>526</v>
      </c>
      <c r="N8" s="19">
        <v>35</v>
      </c>
      <c r="O8" s="238">
        <f t="shared" si="5"/>
        <v>18410</v>
      </c>
      <c r="P8" s="19">
        <f>'5'!G20</f>
        <v>132</v>
      </c>
      <c r="Q8" s="19">
        <v>134</v>
      </c>
      <c r="R8" s="239">
        <f t="shared" si="0"/>
        <v>17688</v>
      </c>
      <c r="S8" s="240">
        <f t="shared" si="1"/>
        <v>284.11536805854496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44</v>
      </c>
      <c r="X8" s="22">
        <f>'5'!G96</f>
        <v>18</v>
      </c>
      <c r="Y8" s="22">
        <f>'5'!G97</f>
        <v>15</v>
      </c>
      <c r="Z8" s="22">
        <f t="shared" si="7"/>
        <v>77</v>
      </c>
      <c r="AA8" s="19">
        <f>'5'!G132</f>
        <v>0</v>
      </c>
      <c r="AB8" s="19">
        <f>'5'!G133</f>
        <v>0</v>
      </c>
      <c r="AC8" s="19">
        <f>'5'!G134</f>
        <v>0</v>
      </c>
      <c r="AD8" s="19">
        <f>'5'!G135</f>
        <v>24.100000000002183</v>
      </c>
      <c r="AE8" s="19">
        <f t="shared" si="8"/>
        <v>24.100000000002183</v>
      </c>
      <c r="AF8" s="23">
        <f t="shared" si="2"/>
        <v>3520</v>
      </c>
      <c r="AG8" s="23">
        <f t="shared" si="9"/>
        <v>146.05809128629383</v>
      </c>
      <c r="AH8" s="19">
        <f>'5'!G136</f>
        <v>-0.38999999999941792</v>
      </c>
      <c r="AI8" s="19">
        <f>'5'!G137</f>
        <v>0</v>
      </c>
      <c r="AJ8" s="19">
        <f>'5'!G138</f>
        <v>7.7200000000011642</v>
      </c>
      <c r="AK8" s="19">
        <f t="shared" si="10"/>
        <v>7.3300000000017462</v>
      </c>
      <c r="AL8" s="19">
        <f>'5'!G139</f>
        <v>0</v>
      </c>
      <c r="AM8" s="19">
        <f>'5'!G140</f>
        <v>7.8599999999996726</v>
      </c>
      <c r="AN8" s="19"/>
      <c r="AO8" s="19">
        <f t="shared" si="11"/>
        <v>7.8599999999996726</v>
      </c>
      <c r="AP8" s="258">
        <f>'5'!G123</f>
        <v>238.06999999994878</v>
      </c>
      <c r="AQ8" s="261">
        <f>'5'!G35</f>
        <v>0</v>
      </c>
      <c r="AR8" s="19">
        <f>'5'!G37</f>
        <v>0</v>
      </c>
      <c r="AS8" s="19">
        <f>'5'!G38</f>
        <v>0</v>
      </c>
      <c r="AT8" s="19">
        <f>'5'!G39</f>
        <v>0</v>
      </c>
      <c r="AU8" s="19">
        <f>'5'!G40</f>
        <v>0</v>
      </c>
      <c r="AV8" s="19">
        <f>'5'!G41</f>
        <v>0</v>
      </c>
      <c r="AW8" s="19">
        <f>'5'!G42</f>
        <v>0</v>
      </c>
      <c r="AX8" s="19">
        <f>'5'!G43</f>
        <v>2032.8699999999953</v>
      </c>
      <c r="AY8" s="19">
        <f>'5'!G44</f>
        <v>0</v>
      </c>
      <c r="AZ8" s="262">
        <f>'5'!G36</f>
        <v>816.73000000001048</v>
      </c>
      <c r="BA8" s="261">
        <f>'5'!G49</f>
        <v>2800.6600000000035</v>
      </c>
      <c r="BB8" s="19">
        <f>'5'!G51</f>
        <v>1371.4799999999959</v>
      </c>
      <c r="BC8" s="19">
        <f>'5'!G52</f>
        <v>1884</v>
      </c>
      <c r="BD8" s="19">
        <f>'5'!G53</f>
        <v>3854</v>
      </c>
      <c r="BE8" s="19">
        <f>'5'!G54</f>
        <v>57.279999999999745</v>
      </c>
      <c r="BF8" s="19">
        <f>'5'!G55</f>
        <v>0</v>
      </c>
      <c r="BG8" s="19">
        <f>'5'!G56</f>
        <v>3520</v>
      </c>
      <c r="BH8" s="19">
        <f>'5'!G57</f>
        <v>0</v>
      </c>
      <c r="BI8" s="262">
        <f>'5'!G50</f>
        <v>956.6699999999837</v>
      </c>
      <c r="BJ8" s="401">
        <f t="shared" si="12"/>
        <v>3520</v>
      </c>
      <c r="BK8" s="401">
        <f>'5'!G84</f>
        <v>568</v>
      </c>
      <c r="BL8" s="23">
        <f t="shared" si="13"/>
        <v>46.848353990241705</v>
      </c>
      <c r="BM8" s="23">
        <f t="shared" si="14"/>
        <v>21.614042958891819</v>
      </c>
      <c r="BN8" s="24">
        <f t="shared" si="15"/>
        <v>0.10565868431383546</v>
      </c>
      <c r="BO8" s="25">
        <f t="shared" si="16"/>
        <v>216918</v>
      </c>
      <c r="BP8" s="213">
        <f t="shared" si="17"/>
        <v>6120.8699999999953</v>
      </c>
      <c r="BQ8">
        <f t="shared" si="18"/>
        <v>0.90706431535261423</v>
      </c>
    </row>
    <row r="9" spans="1:70">
      <c r="A9" s="16">
        <v>6</v>
      </c>
      <c r="B9" s="17">
        <v>6</v>
      </c>
      <c r="C9" s="26"/>
      <c r="D9" s="19">
        <f>'6'!D3</f>
        <v>24</v>
      </c>
      <c r="E9" s="256">
        <f>'6'!D4</f>
        <v>0.72</v>
      </c>
      <c r="F9" s="256">
        <f>'6'!D2</f>
        <v>0.41</v>
      </c>
      <c r="G9" s="19">
        <f>'6'!G8</f>
        <v>18075</v>
      </c>
      <c r="H9" s="19">
        <f>'6'!G8</f>
        <v>18075</v>
      </c>
      <c r="I9" s="19">
        <f>'6'!G7</f>
        <v>17839</v>
      </c>
      <c r="J9" s="19">
        <v>10</v>
      </c>
      <c r="K9" s="242">
        <f t="shared" si="3"/>
        <v>180750</v>
      </c>
      <c r="L9" s="238">
        <f t="shared" si="4"/>
        <v>88.311881188118818</v>
      </c>
      <c r="M9" s="19">
        <f>'6'!G15</f>
        <v>694.69999999995343</v>
      </c>
      <c r="N9" s="19">
        <v>35</v>
      </c>
      <c r="O9" s="238">
        <f t="shared" si="5"/>
        <v>24314.49999999837</v>
      </c>
      <c r="P9" s="19">
        <f>'6'!G20</f>
        <v>118</v>
      </c>
      <c r="Q9" s="19">
        <v>134</v>
      </c>
      <c r="R9" s="239">
        <f t="shared" si="0"/>
        <v>15812</v>
      </c>
      <c r="S9" s="240">
        <f t="shared" si="1"/>
        <v>142.47766240038638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57</v>
      </c>
      <c r="X9" s="22">
        <f>'6'!G96</f>
        <v>21</v>
      </c>
      <c r="Y9" s="22">
        <f>'6'!G97</f>
        <v>12</v>
      </c>
      <c r="Z9" s="22">
        <f t="shared" si="7"/>
        <v>90</v>
      </c>
      <c r="AA9" s="19">
        <f>'6'!G132</f>
        <v>0</v>
      </c>
      <c r="AB9" s="19">
        <f>'6'!G133</f>
        <v>0</v>
      </c>
      <c r="AC9" s="19">
        <f>'6'!G134</f>
        <v>0</v>
      </c>
      <c r="AD9" s="19">
        <f>'6'!G135</f>
        <v>24.469999999997526</v>
      </c>
      <c r="AE9" s="19">
        <f t="shared" si="8"/>
        <v>24.469999999997526</v>
      </c>
      <c r="AF9" s="23">
        <f t="shared" si="2"/>
        <v>3389</v>
      </c>
      <c r="AG9" s="23">
        <f t="shared" si="9"/>
        <v>138.4961176951509</v>
      </c>
      <c r="AH9" s="19">
        <f>'6'!G136</f>
        <v>7.3800000000010186</v>
      </c>
      <c r="AI9" s="19">
        <f>'6'!G137</f>
        <v>0</v>
      </c>
      <c r="AJ9" s="19">
        <f>'6'!G138</f>
        <v>0</v>
      </c>
      <c r="AK9" s="19">
        <f t="shared" si="10"/>
        <v>7.3800000000010186</v>
      </c>
      <c r="AL9" s="19">
        <f>'6'!G139</f>
        <v>0</v>
      </c>
      <c r="AM9" s="19">
        <f>'6'!G140</f>
        <v>6.5900000000001455</v>
      </c>
      <c r="AN9" s="19"/>
      <c r="AO9" s="19">
        <f t="shared" si="11"/>
        <v>6.5900000000001455</v>
      </c>
      <c r="AP9" s="258">
        <f>'6'!G123</f>
        <v>200.51000000000931</v>
      </c>
      <c r="AQ9" s="261">
        <f>'6'!G35</f>
        <v>0</v>
      </c>
      <c r="AR9" s="19">
        <f>'6'!G37</f>
        <v>0</v>
      </c>
      <c r="AS9" s="19">
        <f>'6'!G38</f>
        <v>0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2064.1300000000047</v>
      </c>
      <c r="AY9" s="19">
        <f>'6'!G44</f>
        <v>0</v>
      </c>
      <c r="AZ9" s="262">
        <f>'6'!G36</f>
        <v>872.26999999998952</v>
      </c>
      <c r="BA9" s="261">
        <f>'6'!G49</f>
        <v>2791.1399999999849</v>
      </c>
      <c r="BB9" s="19">
        <f>'6'!G51</f>
        <v>1400.5200000000041</v>
      </c>
      <c r="BC9" s="19">
        <f>'6'!G52</f>
        <v>1958</v>
      </c>
      <c r="BD9" s="19">
        <f>'6'!G53</f>
        <v>3789</v>
      </c>
      <c r="BE9" s="19">
        <f>'6'!G54</f>
        <v>65.630000000000109</v>
      </c>
      <c r="BF9" s="19">
        <f>'6'!G55</f>
        <v>0</v>
      </c>
      <c r="BG9" s="19">
        <f>'6'!G56</f>
        <v>3389</v>
      </c>
      <c r="BH9" s="19">
        <f>'6'!G57</f>
        <v>0</v>
      </c>
      <c r="BI9" s="262">
        <f>'6'!G50</f>
        <v>899.3300000000163</v>
      </c>
      <c r="BJ9" s="401">
        <f t="shared" si="12"/>
        <v>3389</v>
      </c>
      <c r="BK9" s="401">
        <f>'6'!G84</f>
        <v>544</v>
      </c>
      <c r="BL9" s="23">
        <f t="shared" si="13"/>
        <v>46.214866304164978</v>
      </c>
      <c r="BM9" s="23">
        <f t="shared" si="14"/>
        <v>21.239979819496611</v>
      </c>
      <c r="BN9" s="24">
        <f t="shared" si="15"/>
        <v>0.10975951566791861</v>
      </c>
      <c r="BO9" s="25">
        <f t="shared" si="16"/>
        <v>220876.49999999837</v>
      </c>
      <c r="BP9" s="213">
        <f t="shared" si="17"/>
        <v>5997.1300000000047</v>
      </c>
      <c r="BQ9">
        <f t="shared" si="18"/>
        <v>0.87528898359516183</v>
      </c>
    </row>
    <row r="10" spans="1:70">
      <c r="A10" s="16">
        <v>7</v>
      </c>
      <c r="B10" s="26">
        <v>7</v>
      </c>
      <c r="C10" s="27"/>
      <c r="D10" s="19">
        <f>'7'!D3</f>
        <v>30</v>
      </c>
      <c r="E10" s="256">
        <f>'7'!D4</f>
        <v>0.65</v>
      </c>
      <c r="F10" s="256">
        <f>'7'!D2</f>
        <v>0.44</v>
      </c>
      <c r="G10" s="19">
        <f>'7'!G8</f>
        <v>18172</v>
      </c>
      <c r="H10" s="19">
        <f>'7'!G8</f>
        <v>18172</v>
      </c>
      <c r="I10" s="19">
        <f>'7'!G7</f>
        <v>17899</v>
      </c>
      <c r="J10" s="19">
        <v>10</v>
      </c>
      <c r="K10" s="242">
        <f t="shared" si="3"/>
        <v>181720</v>
      </c>
      <c r="L10" s="238">
        <f t="shared" si="4"/>
        <v>88.60891089108911</v>
      </c>
      <c r="M10" s="19">
        <f>'7'!G15</f>
        <v>621.30000000004657</v>
      </c>
      <c r="N10" s="19">
        <v>35</v>
      </c>
      <c r="O10" s="238">
        <f t="shared" si="5"/>
        <v>21745.50000000163</v>
      </c>
      <c r="P10" s="19">
        <f>'7'!G20</f>
        <v>122</v>
      </c>
      <c r="Q10" s="19">
        <v>134</v>
      </c>
      <c r="R10" s="239">
        <f t="shared" si="0"/>
        <v>16348</v>
      </c>
      <c r="S10" s="240">
        <f t="shared" si="1"/>
        <v>137.26372637263728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48</v>
      </c>
      <c r="X10" s="22">
        <f>'7'!G96</f>
        <v>14</v>
      </c>
      <c r="Y10" s="22">
        <f>'7'!G97</f>
        <v>15</v>
      </c>
      <c r="Z10" s="22">
        <f t="shared" si="7"/>
        <v>77</v>
      </c>
      <c r="AA10" s="19">
        <f>'7'!G132</f>
        <v>0</v>
      </c>
      <c r="AB10" s="19">
        <f>'7'!G133</f>
        <v>0</v>
      </c>
      <c r="AC10" s="19">
        <f>'7'!G134</f>
        <v>0</v>
      </c>
      <c r="AD10" s="19">
        <f>'7'!G135</f>
        <v>23.970000000001164</v>
      </c>
      <c r="AE10" s="19">
        <f t="shared" si="8"/>
        <v>23.970000000001164</v>
      </c>
      <c r="AF10" s="23">
        <f t="shared" si="2"/>
        <v>3605</v>
      </c>
      <c r="AG10" s="23">
        <f t="shared" si="9"/>
        <v>150.39632874425635</v>
      </c>
      <c r="AH10" s="19">
        <f>'7'!G136</f>
        <v>2.069999999999709</v>
      </c>
      <c r="AI10" s="19">
        <f>'7'!G137</f>
        <v>0</v>
      </c>
      <c r="AJ10" s="19">
        <f>'7'!G138</f>
        <v>7.3700000000098953</v>
      </c>
      <c r="AK10" s="19">
        <f t="shared" si="10"/>
        <v>9.4400000000096043</v>
      </c>
      <c r="AL10" s="19">
        <f>'7'!G139</f>
        <v>0</v>
      </c>
      <c r="AM10" s="19">
        <f>'7'!G140</f>
        <v>7.6700000000000728</v>
      </c>
      <c r="AN10" s="19"/>
      <c r="AO10" s="19">
        <f t="shared" si="11"/>
        <v>7.6700000000000728</v>
      </c>
      <c r="AP10" s="258">
        <f>'7'!G123</f>
        <v>238</v>
      </c>
      <c r="AQ10" s="261">
        <f>'7'!G35</f>
        <v>0</v>
      </c>
      <c r="AR10" s="19">
        <f>'7'!G37</f>
        <v>0</v>
      </c>
      <c r="AS10" s="19">
        <f>'7'!G38</f>
        <v>-0.38000000000465661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2063</v>
      </c>
      <c r="AY10" s="19">
        <f>'7'!G44</f>
        <v>0</v>
      </c>
      <c r="AZ10" s="262">
        <f>'7'!G36</f>
        <v>812</v>
      </c>
      <c r="BA10" s="261">
        <f>'7'!G49</f>
        <v>2601.2000000000116</v>
      </c>
      <c r="BB10" s="19">
        <f>'7'!G51</f>
        <v>1423</v>
      </c>
      <c r="BC10" s="19">
        <f>'7'!G52</f>
        <v>2008</v>
      </c>
      <c r="BD10" s="19">
        <f>'7'!G53</f>
        <v>3874</v>
      </c>
      <c r="BE10" s="19">
        <f>'7'!G54</f>
        <v>62.569999999999709</v>
      </c>
      <c r="BF10" s="19">
        <f>'7'!G55</f>
        <v>0</v>
      </c>
      <c r="BG10" s="19">
        <f>'7'!G56</f>
        <v>3605</v>
      </c>
      <c r="BH10" s="19">
        <f>'7'!G57</f>
        <v>0</v>
      </c>
      <c r="BI10" s="262">
        <f>'7'!G50</f>
        <v>938</v>
      </c>
      <c r="BJ10" s="401">
        <f t="shared" si="12"/>
        <v>3605</v>
      </c>
      <c r="BK10" s="401">
        <f>'7'!G84</f>
        <v>452</v>
      </c>
      <c r="BL10" s="23">
        <f t="shared" si="13"/>
        <v>46.199229007207173</v>
      </c>
      <c r="BM10" s="23">
        <f t="shared" si="14"/>
        <v>21.643667243980108</v>
      </c>
      <c r="BN10" s="24">
        <f t="shared" si="15"/>
        <v>0.11216380803396812</v>
      </c>
      <c r="BO10" s="25">
        <f t="shared" si="16"/>
        <v>219813.50000000163</v>
      </c>
      <c r="BP10" s="213">
        <f t="shared" si="17"/>
        <v>6120</v>
      </c>
      <c r="BQ10">
        <f t="shared" si="18"/>
        <v>0.91185410334342076</v>
      </c>
    </row>
    <row r="11" spans="1:70">
      <c r="A11" s="16">
        <v>8</v>
      </c>
      <c r="B11" s="26">
        <v>8</v>
      </c>
      <c r="C11" s="18"/>
      <c r="D11" s="19">
        <f>'8'!D3</f>
        <v>30</v>
      </c>
      <c r="E11" s="256">
        <f>'8'!D4</f>
        <v>0.66</v>
      </c>
      <c r="F11" s="256">
        <f>'8'!D2</f>
        <v>0.45</v>
      </c>
      <c r="G11" s="19">
        <f>'8'!G8</f>
        <v>19066</v>
      </c>
      <c r="H11" s="19">
        <f>'8'!G8</f>
        <v>19066</v>
      </c>
      <c r="I11" s="19">
        <f>'8'!G7</f>
        <v>18873</v>
      </c>
      <c r="J11" s="19">
        <v>10</v>
      </c>
      <c r="K11" s="242">
        <f t="shared" si="3"/>
        <v>190660</v>
      </c>
      <c r="L11" s="238">
        <f t="shared" si="4"/>
        <v>93.430693069306926</v>
      </c>
      <c r="M11" s="19">
        <f>'8'!G15</f>
        <v>752</v>
      </c>
      <c r="N11" s="19">
        <v>35</v>
      </c>
      <c r="O11" s="238">
        <f t="shared" si="5"/>
        <v>26320</v>
      </c>
      <c r="P11" s="19">
        <f>'8'!G20</f>
        <v>128</v>
      </c>
      <c r="Q11" s="19">
        <v>134</v>
      </c>
      <c r="R11" s="239">
        <f t="shared" si="0"/>
        <v>17152</v>
      </c>
      <c r="S11" s="240">
        <f t="shared" si="1"/>
        <v>140.81408140814082</v>
      </c>
      <c r="T11" s="19">
        <f>'8'!G24</f>
        <v>0</v>
      </c>
      <c r="U11" s="19">
        <v>69</v>
      </c>
      <c r="V11" s="241">
        <f t="shared" si="6"/>
        <v>0</v>
      </c>
      <c r="W11" s="22">
        <f>'8'!G95</f>
        <v>59</v>
      </c>
      <c r="X11" s="22">
        <f>'8'!G96</f>
        <v>16</v>
      </c>
      <c r="Y11" s="22">
        <f>'8'!G97</f>
        <v>16</v>
      </c>
      <c r="Z11" s="22">
        <f t="shared" si="7"/>
        <v>91</v>
      </c>
      <c r="AA11" s="19">
        <f>'8'!G132</f>
        <v>0</v>
      </c>
      <c r="AB11" s="19">
        <f>'8'!G133</f>
        <v>0</v>
      </c>
      <c r="AC11" s="19">
        <f>'8'!G134</f>
        <v>0</v>
      </c>
      <c r="AD11" s="19">
        <f>'8'!G135</f>
        <v>24</v>
      </c>
      <c r="AE11" s="19">
        <f t="shared" si="8"/>
        <v>24</v>
      </c>
      <c r="AF11" s="23">
        <f t="shared" si="2"/>
        <v>4131</v>
      </c>
      <c r="AG11" s="23">
        <f t="shared" si="9"/>
        <v>172.125</v>
      </c>
      <c r="AH11" s="19">
        <f>'8'!G136</f>
        <v>8.2099999999991269</v>
      </c>
      <c r="AI11" s="19">
        <f>'8'!G137</f>
        <v>0</v>
      </c>
      <c r="AJ11" s="19">
        <f>'8'!G138</f>
        <v>0</v>
      </c>
      <c r="AK11" s="19">
        <f t="shared" si="10"/>
        <v>8.2099999999991269</v>
      </c>
      <c r="AL11" s="19">
        <f>'8'!G139</f>
        <v>0</v>
      </c>
      <c r="AM11" s="19">
        <f>'8'!G140</f>
        <v>6.9700000000002547</v>
      </c>
      <c r="AN11" s="19"/>
      <c r="AO11" s="19">
        <f t="shared" si="11"/>
        <v>6.9700000000002547</v>
      </c>
      <c r="AP11" s="258">
        <f>'8'!G123</f>
        <v>209</v>
      </c>
      <c r="AQ11" s="261">
        <f>'8'!G35</f>
        <v>0</v>
      </c>
      <c r="AR11" s="19">
        <f>'8'!G37</f>
        <v>0</v>
      </c>
      <c r="AS11" s="19">
        <f>'8'!G38</f>
        <v>0</v>
      </c>
      <c r="AT11" s="19">
        <f>'8'!G39</f>
        <v>0</v>
      </c>
      <c r="AU11" s="19">
        <f>'8'!G40</f>
        <v>0</v>
      </c>
      <c r="AV11" s="19">
        <f>'8'!G41</f>
        <v>0</v>
      </c>
      <c r="AW11" s="19">
        <f>'8'!G42</f>
        <v>0</v>
      </c>
      <c r="AX11" s="19">
        <f>'8'!G43</f>
        <v>2058</v>
      </c>
      <c r="AY11" s="23">
        <f>'8'!G44</f>
        <v>0</v>
      </c>
      <c r="AZ11" s="262">
        <f>'8'!G36</f>
        <v>787</v>
      </c>
      <c r="BA11" s="261">
        <f>'8'!G49</f>
        <v>2830</v>
      </c>
      <c r="BB11" s="19">
        <f>'8'!G51</f>
        <v>1426</v>
      </c>
      <c r="BC11" s="19">
        <f>'8'!G52</f>
        <v>1991</v>
      </c>
      <c r="BD11" s="19">
        <f>'8'!G53</f>
        <v>3961</v>
      </c>
      <c r="BE11" s="19">
        <f>'8'!G54</f>
        <v>56</v>
      </c>
      <c r="BF11" s="19">
        <f>'8'!G55</f>
        <v>0</v>
      </c>
      <c r="BG11" s="19">
        <f>'8'!G56</f>
        <v>4131</v>
      </c>
      <c r="BH11" s="19">
        <f>'8'!G57</f>
        <v>0</v>
      </c>
      <c r="BI11" s="262">
        <f>'8'!G50</f>
        <v>990</v>
      </c>
      <c r="BJ11" s="401">
        <f t="shared" si="12"/>
        <v>4131</v>
      </c>
      <c r="BK11" s="401">
        <f>'8'!G84</f>
        <v>518</v>
      </c>
      <c r="BL11" s="23">
        <f t="shared" si="13"/>
        <v>47.787845069676258</v>
      </c>
      <c r="BM11" s="23">
        <f t="shared" si="14"/>
        <v>20.987654320987655</v>
      </c>
      <c r="BN11" s="24">
        <f t="shared" si="15"/>
        <v>0.10549462194669634</v>
      </c>
      <c r="BO11" s="25">
        <f t="shared" si="16"/>
        <v>234132</v>
      </c>
      <c r="BP11" s="213">
        <f t="shared" si="17"/>
        <v>6707</v>
      </c>
      <c r="BQ11">
        <f t="shared" si="18"/>
        <v>0.99806547619047614</v>
      </c>
    </row>
    <row r="12" spans="1:70">
      <c r="A12" s="16">
        <v>9</v>
      </c>
      <c r="B12" s="27">
        <v>9</v>
      </c>
      <c r="C12" s="26"/>
      <c r="D12" s="19">
        <f>'9'!D3</f>
        <v>31</v>
      </c>
      <c r="E12" s="256">
        <f>'9'!D4</f>
        <v>0.65</v>
      </c>
      <c r="F12" s="256">
        <f>'9'!D2</f>
        <v>0.75</v>
      </c>
      <c r="G12" s="19">
        <f>'9'!G8</f>
        <v>19030</v>
      </c>
      <c r="H12" s="19">
        <f>'9'!G8</f>
        <v>19030</v>
      </c>
      <c r="I12" s="19">
        <f>'9'!G7</f>
        <v>18833</v>
      </c>
      <c r="J12" s="19">
        <v>10</v>
      </c>
      <c r="K12" s="242">
        <f t="shared" si="3"/>
        <v>190300</v>
      </c>
      <c r="L12" s="238">
        <f t="shared" si="4"/>
        <v>93.232673267326732</v>
      </c>
      <c r="M12" s="19">
        <f>'9'!G15</f>
        <v>759</v>
      </c>
      <c r="N12" s="19">
        <v>35</v>
      </c>
      <c r="O12" s="238">
        <f t="shared" si="5"/>
        <v>26565</v>
      </c>
      <c r="P12" s="19">
        <f>'9'!G20</f>
        <v>157</v>
      </c>
      <c r="Q12" s="19">
        <v>134</v>
      </c>
      <c r="R12" s="239">
        <f t="shared" si="0"/>
        <v>21038</v>
      </c>
      <c r="S12" s="240">
        <f t="shared" si="1"/>
        <v>103.63036303630363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68</v>
      </c>
      <c r="X12" s="22">
        <f>'9'!G96</f>
        <v>17</v>
      </c>
      <c r="Y12" s="22">
        <f>'9'!G97</f>
        <v>22</v>
      </c>
      <c r="Z12" s="22">
        <f t="shared" si="7"/>
        <v>107</v>
      </c>
      <c r="AA12" s="19">
        <f>'9'!G132</f>
        <v>0</v>
      </c>
      <c r="AB12" s="19">
        <f>'9'!G133</f>
        <v>0</v>
      </c>
      <c r="AC12" s="19">
        <f>'9'!G134</f>
        <v>0</v>
      </c>
      <c r="AD12" s="19">
        <f>'9'!G135</f>
        <v>24</v>
      </c>
      <c r="AE12" s="19">
        <f t="shared" si="8"/>
        <v>24</v>
      </c>
      <c r="AF12" s="23">
        <f t="shared" si="2"/>
        <v>4116</v>
      </c>
      <c r="AG12" s="23">
        <f t="shared" si="9"/>
        <v>171.5</v>
      </c>
      <c r="AH12" s="19">
        <f>'9'!G136</f>
        <v>7.1899999999986903</v>
      </c>
      <c r="AI12" s="19">
        <f>'9'!G137</f>
        <v>0</v>
      </c>
      <c r="AJ12" s="19">
        <f>'9'!G138</f>
        <v>0.71999999998661224</v>
      </c>
      <c r="AK12" s="19">
        <f t="shared" si="10"/>
        <v>7.9099999999853026</v>
      </c>
      <c r="AL12" s="19">
        <f>'9'!G139</f>
        <v>0</v>
      </c>
      <c r="AM12" s="19">
        <f>'9'!G140</f>
        <v>7.1499999999996362</v>
      </c>
      <c r="AN12" s="19"/>
      <c r="AO12" s="19">
        <f t="shared" si="11"/>
        <v>7.1499999999996362</v>
      </c>
      <c r="AP12" s="258">
        <f>'9'!G123</f>
        <v>217</v>
      </c>
      <c r="AQ12" s="261">
        <f>'9'!G35</f>
        <v>0</v>
      </c>
      <c r="AR12" s="19">
        <f>'9'!G37</f>
        <v>0</v>
      </c>
      <c r="AS12" s="19">
        <f>'9'!G38</f>
        <v>0</v>
      </c>
      <c r="AT12" s="19">
        <f>'9'!G39</f>
        <v>0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2063</v>
      </c>
      <c r="AY12" s="23">
        <f>'9'!G44</f>
        <v>0</v>
      </c>
      <c r="AZ12" s="262">
        <f>'9'!G36</f>
        <v>624</v>
      </c>
      <c r="BA12" s="261">
        <f>'9'!G49</f>
        <v>2759</v>
      </c>
      <c r="BB12" s="19">
        <f>'9'!G51</f>
        <v>1480</v>
      </c>
      <c r="BC12" s="19">
        <f>'9'!G52</f>
        <v>2047</v>
      </c>
      <c r="BD12" s="19">
        <f>'9'!G53</f>
        <v>4014</v>
      </c>
      <c r="BE12" s="19">
        <f>'9'!G54</f>
        <v>55</v>
      </c>
      <c r="BF12" s="19">
        <f>'9'!G55</f>
        <v>0</v>
      </c>
      <c r="BG12" s="19">
        <f>'9'!G56</f>
        <v>4116</v>
      </c>
      <c r="BH12" s="19">
        <f>'9'!G57</f>
        <v>0</v>
      </c>
      <c r="BI12" s="262">
        <f>'9'!G50</f>
        <v>995</v>
      </c>
      <c r="BJ12" s="401">
        <f t="shared" si="12"/>
        <v>4116</v>
      </c>
      <c r="BK12" s="401">
        <f>'8'!G84</f>
        <v>518</v>
      </c>
      <c r="BL12" s="23">
        <f t="shared" si="13"/>
        <v>47.459247066319755</v>
      </c>
      <c r="BM12" s="23">
        <f t="shared" si="14"/>
        <v>21.313651569054318</v>
      </c>
      <c r="BN12" s="24">
        <f t="shared" si="15"/>
        <v>0.10869218924228748</v>
      </c>
      <c r="BO12" s="25">
        <f t="shared" si="16"/>
        <v>237903</v>
      </c>
      <c r="BP12" s="213">
        <f t="shared" si="17"/>
        <v>6697</v>
      </c>
      <c r="BQ12">
        <f t="shared" si="18"/>
        <v>0.99657738095238091</v>
      </c>
    </row>
    <row r="13" spans="1:70">
      <c r="A13" s="16">
        <v>10</v>
      </c>
      <c r="B13" s="27">
        <v>10</v>
      </c>
      <c r="C13" s="26"/>
      <c r="D13" s="19">
        <f>'10'!D3</f>
        <v>29</v>
      </c>
      <c r="E13" s="256">
        <f>'10'!D4</f>
        <v>0.77</v>
      </c>
      <c r="F13" s="256">
        <f>'10'!D2</f>
        <v>0.64</v>
      </c>
      <c r="G13" s="19">
        <f>'10'!G8</f>
        <v>20381</v>
      </c>
      <c r="H13" s="19">
        <f>'10'!G8</f>
        <v>20381</v>
      </c>
      <c r="I13" s="19">
        <f>'10'!G7</f>
        <v>20209</v>
      </c>
      <c r="J13" s="19">
        <v>10</v>
      </c>
      <c r="K13" s="242">
        <f t="shared" si="3"/>
        <v>203810</v>
      </c>
      <c r="L13" s="238">
        <f t="shared" si="4"/>
        <v>100.04455445544555</v>
      </c>
      <c r="M13" s="19">
        <f>'10'!G15</f>
        <v>776</v>
      </c>
      <c r="N13" s="19">
        <v>35</v>
      </c>
      <c r="O13" s="238">
        <f t="shared" si="5"/>
        <v>27160</v>
      </c>
      <c r="P13" s="19">
        <f>'10'!G20</f>
        <v>141</v>
      </c>
      <c r="Q13" s="19">
        <v>134</v>
      </c>
      <c r="R13" s="239">
        <f t="shared" si="0"/>
        <v>18894</v>
      </c>
      <c r="S13" s="240">
        <f t="shared" si="1"/>
        <v>109.06559405940594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61</v>
      </c>
      <c r="X13" s="22">
        <f>'10'!G96</f>
        <v>21</v>
      </c>
      <c r="Y13" s="22">
        <f>'10'!G97</f>
        <v>27</v>
      </c>
      <c r="Z13" s="22">
        <f t="shared" si="7"/>
        <v>109</v>
      </c>
      <c r="AA13" s="19">
        <f>'10'!G132</f>
        <v>0</v>
      </c>
      <c r="AB13" s="19">
        <f>'10'!G133</f>
        <v>0</v>
      </c>
      <c r="AC13" s="19">
        <f>'10'!G134</f>
        <v>0</v>
      </c>
      <c r="AD13" s="19">
        <f>'10'!G135</f>
        <v>24</v>
      </c>
      <c r="AE13" s="19">
        <f t="shared" si="8"/>
        <v>24</v>
      </c>
      <c r="AF13" s="23">
        <f t="shared" si="2"/>
        <v>4689</v>
      </c>
      <c r="AG13" s="23">
        <f t="shared" si="9"/>
        <v>195.375</v>
      </c>
      <c r="AH13" s="19">
        <f>'10'!G136</f>
        <v>4.1100000000005821</v>
      </c>
      <c r="AI13" s="19">
        <f>'10'!G137</f>
        <v>0</v>
      </c>
      <c r="AJ13" s="19">
        <f>'10'!G138</f>
        <v>4.7700000000040745</v>
      </c>
      <c r="AK13" s="19">
        <f t="shared" si="10"/>
        <v>8.8800000000046566</v>
      </c>
      <c r="AL13" s="19">
        <f>'10'!G139</f>
        <v>0</v>
      </c>
      <c r="AM13" s="19">
        <f>'10'!G140</f>
        <v>8.2600000000002183</v>
      </c>
      <c r="AN13" s="19"/>
      <c r="AO13" s="19">
        <f t="shared" si="11"/>
        <v>8.2600000000002183</v>
      </c>
      <c r="AP13" s="258">
        <f>'10'!G123</f>
        <v>251</v>
      </c>
      <c r="AQ13" s="261">
        <f>'10'!G35</f>
        <v>0</v>
      </c>
      <c r="AR13" s="19">
        <f>'10'!G37</f>
        <v>0</v>
      </c>
      <c r="AS13" s="19">
        <f>'10'!G38</f>
        <v>0</v>
      </c>
      <c r="AT13" s="19">
        <f>'10'!G39</f>
        <v>0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2061</v>
      </c>
      <c r="AY13" s="23">
        <f>'10'!G44</f>
        <v>0</v>
      </c>
      <c r="AZ13" s="262">
        <f>'10'!G36</f>
        <v>601</v>
      </c>
      <c r="BA13" s="261">
        <f>'10'!G49</f>
        <v>2846</v>
      </c>
      <c r="BB13" s="19">
        <f>'10'!G51</f>
        <v>1451</v>
      </c>
      <c r="BC13" s="19">
        <f>'10'!G52</f>
        <v>2096</v>
      </c>
      <c r="BD13" s="19">
        <f>'10'!G53</f>
        <v>4463</v>
      </c>
      <c r="BE13" s="19">
        <f>'10'!G54</f>
        <v>57</v>
      </c>
      <c r="BF13" s="19">
        <f>'10'!G55</f>
        <v>0</v>
      </c>
      <c r="BG13" s="19">
        <f>'10'!G56</f>
        <v>4689</v>
      </c>
      <c r="BH13" s="19">
        <f>'10'!G57</f>
        <v>0</v>
      </c>
      <c r="BI13" s="262">
        <f>'10'!G50</f>
        <v>1317</v>
      </c>
      <c r="BJ13" s="401">
        <f t="shared" si="12"/>
        <v>4689</v>
      </c>
      <c r="BK13" s="401">
        <f>'8'!G84</f>
        <v>518</v>
      </c>
      <c r="BL13" s="23">
        <f t="shared" si="13"/>
        <v>47.483794349052403</v>
      </c>
      <c r="BM13" s="23">
        <f t="shared" si="14"/>
        <v>22.08421990202385</v>
      </c>
      <c r="BN13" s="24">
        <f t="shared" si="15"/>
        <v>0.10371616606462467</v>
      </c>
      <c r="BO13" s="25">
        <f t="shared" si="16"/>
        <v>249864</v>
      </c>
      <c r="BP13" s="213">
        <f t="shared" si="17"/>
        <v>7268</v>
      </c>
      <c r="BQ13">
        <f t="shared" si="18"/>
        <v>1.081547619047619</v>
      </c>
    </row>
    <row r="14" spans="1:70">
      <c r="A14" s="16">
        <v>11</v>
      </c>
      <c r="B14" s="17">
        <v>11</v>
      </c>
      <c r="C14" s="27"/>
      <c r="D14" s="19">
        <f>'11'!D3</f>
        <v>29</v>
      </c>
      <c r="E14" s="256">
        <f>'11'!D4</f>
        <v>0.68</v>
      </c>
      <c r="F14" s="256">
        <f>'11'!D2</f>
        <v>0.59899999999999998</v>
      </c>
      <c r="G14" s="19">
        <f>'11'!G8</f>
        <v>20492</v>
      </c>
      <c r="H14" s="19">
        <f>'11'!G8</f>
        <v>20492</v>
      </c>
      <c r="I14" s="19">
        <f>'11'!G7</f>
        <v>20389</v>
      </c>
      <c r="J14" s="19">
        <v>10</v>
      </c>
      <c r="K14" s="242">
        <f t="shared" si="3"/>
        <v>204920</v>
      </c>
      <c r="L14" s="238">
        <f t="shared" si="4"/>
        <v>100.93564356435644</v>
      </c>
      <c r="M14" s="19">
        <f>'11'!G15</f>
        <v>919.05199999990873</v>
      </c>
      <c r="N14" s="19">
        <v>35</v>
      </c>
      <c r="O14" s="238">
        <f t="shared" si="5"/>
        <v>32166.819999996806</v>
      </c>
      <c r="P14" s="19">
        <f>'11'!G20</f>
        <v>194</v>
      </c>
      <c r="Q14" s="19">
        <v>134</v>
      </c>
      <c r="R14" s="239">
        <f t="shared" si="0"/>
        <v>25996</v>
      </c>
      <c r="S14" s="240">
        <f t="shared" si="1"/>
        <v>160.33322864840744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93</v>
      </c>
      <c r="X14" s="22">
        <f>'11'!G96</f>
        <v>19</v>
      </c>
      <c r="Y14" s="22">
        <f>'11'!G97</f>
        <v>20</v>
      </c>
      <c r="Z14" s="22">
        <f t="shared" si="7"/>
        <v>132</v>
      </c>
      <c r="AA14" s="19">
        <f>'11'!G132</f>
        <v>0</v>
      </c>
      <c r="AB14" s="19">
        <f>'11'!G133</f>
        <v>0</v>
      </c>
      <c r="AC14" s="19">
        <f>'11'!G134</f>
        <v>9.2699999999967986</v>
      </c>
      <c r="AD14" s="19">
        <f>'11'!G135</f>
        <v>15</v>
      </c>
      <c r="AE14" s="19">
        <f t="shared" si="8"/>
        <v>24.269999999996799</v>
      </c>
      <c r="AF14" s="23">
        <f t="shared" si="2"/>
        <v>4923.0386999999837</v>
      </c>
      <c r="AG14" s="23">
        <f t="shared" si="9"/>
        <v>202.844610630434</v>
      </c>
      <c r="AH14" s="19">
        <f>'11'!G136</f>
        <v>0</v>
      </c>
      <c r="AI14" s="19">
        <f>'11'!G137</f>
        <v>9.8899999999994179</v>
      </c>
      <c r="AJ14" s="19">
        <f>'11'!G138</f>
        <v>0</v>
      </c>
      <c r="AK14" s="19">
        <f t="shared" si="10"/>
        <v>9.8899999999994179</v>
      </c>
      <c r="AL14" s="19">
        <f>'11'!G139</f>
        <v>-0.36999999999989086</v>
      </c>
      <c r="AM14" s="19">
        <f>'11'!G140</f>
        <v>7.5399999999999636</v>
      </c>
      <c r="AN14" s="19"/>
      <c r="AO14" s="19">
        <f t="shared" si="11"/>
        <v>7.1700000000000728</v>
      </c>
      <c r="AP14" s="258">
        <f>'11'!G123</f>
        <v>228.84999999997672</v>
      </c>
      <c r="AQ14" s="261">
        <f>'11'!G35</f>
        <v>0.67000000004190952</v>
      </c>
      <c r="AR14" s="19">
        <f>'11'!G37</f>
        <v>0</v>
      </c>
      <c r="AS14" s="19">
        <f>'11'!G38</f>
        <v>0</v>
      </c>
      <c r="AT14" s="19">
        <f>'11'!G39</f>
        <v>0</v>
      </c>
      <c r="AU14" s="19">
        <f>'11'!G40</f>
        <v>0</v>
      </c>
      <c r="AV14" s="19">
        <f>'11'!G41</f>
        <v>0</v>
      </c>
      <c r="AW14" s="19">
        <f>'11'!G42</f>
        <v>9.900000000197906E-2</v>
      </c>
      <c r="AX14" s="19">
        <f>'11'!G43</f>
        <v>2107.8299999999581</v>
      </c>
      <c r="AY14" s="23">
        <f>'11'!G44</f>
        <v>0</v>
      </c>
      <c r="AZ14" s="262">
        <f>'11'!G36</f>
        <v>585.07000000000698</v>
      </c>
      <c r="BA14" s="261">
        <f>'11'!G49</f>
        <v>2990.6300000000047</v>
      </c>
      <c r="BB14" s="19">
        <f>'11'!G51</f>
        <v>1460.7350000000006</v>
      </c>
      <c r="BC14" s="19">
        <f>'11'!G52</f>
        <v>2206.5900000000256</v>
      </c>
      <c r="BD14" s="19">
        <f>'11'!G53</f>
        <v>4114.2099999999919</v>
      </c>
      <c r="BE14" s="19">
        <f>'11'!G54</f>
        <v>55.595500000000357</v>
      </c>
      <c r="BF14" s="19">
        <f>'11'!G55</f>
        <v>1753.7097000000001</v>
      </c>
      <c r="BG14" s="19">
        <f>'11'!G56</f>
        <v>3169.2299999999814</v>
      </c>
      <c r="BH14" s="19">
        <f>'11'!G57</f>
        <v>0</v>
      </c>
      <c r="BI14" s="262">
        <f>'11'!G50</f>
        <v>1238.4699999999721</v>
      </c>
      <c r="BJ14" s="401">
        <f t="shared" si="12"/>
        <v>4923.0386999999837</v>
      </c>
      <c r="BK14" s="401">
        <f>'11'!G84</f>
        <v>661</v>
      </c>
      <c r="BL14" s="23">
        <f t="shared" si="13"/>
        <v>49.154782971209904</v>
      </c>
      <c r="BM14" s="23">
        <f t="shared" si="14"/>
        <v>20.178576683505774</v>
      </c>
      <c r="BN14" s="24">
        <f t="shared" si="15"/>
        <v>0.10822453283633457</v>
      </c>
      <c r="BO14" s="25">
        <f t="shared" si="16"/>
        <v>263082.81999999681</v>
      </c>
      <c r="BP14" s="213">
        <f t="shared" si="17"/>
        <v>7691.8686999999418</v>
      </c>
      <c r="BQ14">
        <f t="shared" si="18"/>
        <v>1.1318895608924828</v>
      </c>
    </row>
    <row r="15" spans="1:70">
      <c r="A15" s="16">
        <v>12</v>
      </c>
      <c r="B15" s="26">
        <v>12</v>
      </c>
      <c r="C15" s="27"/>
      <c r="D15" s="19">
        <f>'12'!D3</f>
        <v>24</v>
      </c>
      <c r="E15" s="256">
        <f>'12'!D4</f>
        <v>0.68</v>
      </c>
      <c r="F15" s="256">
        <f>'12'!D2</f>
        <v>0.72</v>
      </c>
      <c r="G15" s="19">
        <f>'12'!G8</f>
        <v>20191</v>
      </c>
      <c r="H15" s="19">
        <f>'12'!G8</f>
        <v>20191</v>
      </c>
      <c r="I15" s="19">
        <f>'12'!G7</f>
        <v>20105</v>
      </c>
      <c r="J15" s="19">
        <v>10</v>
      </c>
      <c r="K15" s="242">
        <f t="shared" si="3"/>
        <v>201910</v>
      </c>
      <c r="L15" s="238">
        <f t="shared" si="4"/>
        <v>99.529702970297024</v>
      </c>
      <c r="M15" s="19">
        <f>'12'!G15</f>
        <v>954.90400000009686</v>
      </c>
      <c r="N15" s="19">
        <v>35</v>
      </c>
      <c r="O15" s="234">
        <f t="shared" si="5"/>
        <v>33421.64000000339</v>
      </c>
      <c r="P15" s="19">
        <f>'12'!G20</f>
        <v>152</v>
      </c>
      <c r="Q15" s="19">
        <v>134</v>
      </c>
      <c r="R15" s="239">
        <f t="shared" si="0"/>
        <v>20368</v>
      </c>
      <c r="S15" s="240">
        <f t="shared" si="1"/>
        <v>104.51045104510452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71</v>
      </c>
      <c r="X15" s="22">
        <f>'12'!G96</f>
        <v>21</v>
      </c>
      <c r="Y15" s="22">
        <f>'12'!G97</f>
        <v>17</v>
      </c>
      <c r="Z15" s="22">
        <f t="shared" si="7"/>
        <v>109</v>
      </c>
      <c r="AA15" s="19">
        <f>'12'!G132</f>
        <v>0</v>
      </c>
      <c r="AB15" s="19">
        <f>'12'!G133</f>
        <v>0</v>
      </c>
      <c r="AC15" s="19">
        <f>'12'!G134</f>
        <v>24.120000000002619</v>
      </c>
      <c r="AD15" s="19">
        <f>'12'!G135</f>
        <v>0</v>
      </c>
      <c r="AE15" s="19">
        <f t="shared" si="8"/>
        <v>24.120000000002619</v>
      </c>
      <c r="AF15" s="23">
        <f t="shared" si="2"/>
        <v>4720.4602999999997</v>
      </c>
      <c r="AG15" s="23">
        <f t="shared" si="9"/>
        <v>195.70730928687757</v>
      </c>
      <c r="AH15" s="19">
        <f>'12'!G136</f>
        <v>9.9500000000007276</v>
      </c>
      <c r="AI15" s="19">
        <f>'12'!G137</f>
        <v>6.0000000001309672E-2</v>
      </c>
      <c r="AJ15" s="19">
        <f>'12'!G138</f>
        <v>1.1900000000023283</v>
      </c>
      <c r="AK15" s="19">
        <f t="shared" si="10"/>
        <v>11.200000000004366</v>
      </c>
      <c r="AL15" s="19">
        <f>'12'!G139</f>
        <v>0</v>
      </c>
      <c r="AM15" s="19">
        <f>'12'!G140</f>
        <v>8.5100000000002183</v>
      </c>
      <c r="AN15" s="19"/>
      <c r="AO15" s="19">
        <f t="shared" si="11"/>
        <v>8.5100000000002183</v>
      </c>
      <c r="AP15" s="258">
        <f>'12'!G123</f>
        <v>260.1600000000326</v>
      </c>
      <c r="AQ15" s="261">
        <f>'12'!G35</f>
        <v>0</v>
      </c>
      <c r="AR15" s="19">
        <f>'12'!G37</f>
        <v>0</v>
      </c>
      <c r="AS15" s="19">
        <f>'12'!G38</f>
        <v>0</v>
      </c>
      <c r="AT15" s="19">
        <f>'12'!G39</f>
        <v>0</v>
      </c>
      <c r="AU15" s="19">
        <f>'12'!G40</f>
        <v>0</v>
      </c>
      <c r="AV15" s="19">
        <f>'12'!G41</f>
        <v>0</v>
      </c>
      <c r="AW15" s="19">
        <f>'12'!G42</f>
        <v>0</v>
      </c>
      <c r="AX15" s="19">
        <f>'12'!G43</f>
        <v>2279.6800000000512</v>
      </c>
      <c r="AY15" s="23">
        <f>'12'!G44</f>
        <v>0</v>
      </c>
      <c r="AZ15" s="262">
        <f>'12'!G36</f>
        <v>617.88000000000466</v>
      </c>
      <c r="BA15" s="261">
        <f>'12'!G49</f>
        <v>3294.7200000000012</v>
      </c>
      <c r="BB15" s="19">
        <f>'12'!G51</f>
        <v>1498.4320000000007</v>
      </c>
      <c r="BC15" s="19">
        <f>'12'!G52</f>
        <v>1956.2399999999907</v>
      </c>
      <c r="BD15" s="19">
        <f>'12'!G53</f>
        <v>4087.2200000000012</v>
      </c>
      <c r="BE15" s="19">
        <f>'12'!G54</f>
        <v>57.854499999999462</v>
      </c>
      <c r="BF15" s="19">
        <f>'12'!G55</f>
        <v>4720.4602999999997</v>
      </c>
      <c r="BG15" s="19">
        <f>'12'!G56</f>
        <v>0</v>
      </c>
      <c r="BH15" s="19">
        <f>'12'!G57</f>
        <v>0</v>
      </c>
      <c r="BI15" s="262">
        <f>'12'!G50</f>
        <v>985.96000000002095</v>
      </c>
      <c r="BJ15" s="401">
        <f t="shared" si="12"/>
        <v>4720.4602999999997</v>
      </c>
      <c r="BK15" s="401">
        <f>'12'!G84</f>
        <v>776</v>
      </c>
      <c r="BL15" s="23">
        <f t="shared" si="13"/>
        <v>51.205472767968416</v>
      </c>
      <c r="BM15" s="23">
        <f t="shared" si="14"/>
        <v>20.329370803282771</v>
      </c>
      <c r="BN15" s="24">
        <f t="shared" si="15"/>
        <v>9.7301168863466334E-2</v>
      </c>
      <c r="BO15" s="25">
        <f t="shared" si="16"/>
        <v>255699.64000000339</v>
      </c>
      <c r="BP15" s="213">
        <f t="shared" si="17"/>
        <v>7776.140300000051</v>
      </c>
      <c r="BQ15">
        <f t="shared" si="18"/>
        <v>1.1514067016108751</v>
      </c>
    </row>
    <row r="16" spans="1:70">
      <c r="A16" s="16">
        <v>13</v>
      </c>
      <c r="B16" s="26">
        <v>13</v>
      </c>
      <c r="C16" s="26"/>
      <c r="D16" s="19">
        <f>'13'!D3</f>
        <v>26</v>
      </c>
      <c r="E16" s="256">
        <f>'13'!D4</f>
        <v>0.74</v>
      </c>
      <c r="F16" s="256">
        <f>'13'!D2</f>
        <v>0.71</v>
      </c>
      <c r="G16" s="19">
        <f>'13'!G8</f>
        <v>20917</v>
      </c>
      <c r="H16" s="19">
        <f>'13'!G8</f>
        <v>20917</v>
      </c>
      <c r="I16" s="19">
        <f>'13'!G7</f>
        <v>20850</v>
      </c>
      <c r="J16" s="19">
        <v>10</v>
      </c>
      <c r="K16" s="242">
        <f t="shared" si="3"/>
        <v>209170</v>
      </c>
      <c r="L16" s="238">
        <f t="shared" si="4"/>
        <v>103.21782178217822</v>
      </c>
      <c r="M16" s="19">
        <f>'13'!G15</f>
        <v>902.5230000000447</v>
      </c>
      <c r="N16" s="19">
        <v>35</v>
      </c>
      <c r="O16" s="234">
        <f t="shared" si="5"/>
        <v>31588.305000001565</v>
      </c>
      <c r="P16" s="19">
        <f>'13'!G20</f>
        <v>174</v>
      </c>
      <c r="Q16" s="19">
        <v>134</v>
      </c>
      <c r="R16" s="239">
        <f t="shared" si="0"/>
        <v>23316</v>
      </c>
      <c r="S16" s="240">
        <f t="shared" si="1"/>
        <v>121.32199135406499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67</v>
      </c>
      <c r="X16" s="22">
        <f>'13'!G96</f>
        <v>16</v>
      </c>
      <c r="Y16" s="22">
        <f>'13'!G97</f>
        <v>17</v>
      </c>
      <c r="Z16" s="22">
        <f t="shared" si="7"/>
        <v>100</v>
      </c>
      <c r="AA16" s="19">
        <f>'13'!G132</f>
        <v>0</v>
      </c>
      <c r="AB16" s="19">
        <f>'13'!G133</f>
        <v>0</v>
      </c>
      <c r="AC16" s="19">
        <f>'13'!G134</f>
        <v>23.610000000000582</v>
      </c>
      <c r="AD16" s="19">
        <f>'13'!G135</f>
        <v>0</v>
      </c>
      <c r="AE16" s="19">
        <f t="shared" si="8"/>
        <v>23.610000000000582</v>
      </c>
      <c r="AF16" s="23">
        <f t="shared" si="2"/>
        <v>4888.0419999999885</v>
      </c>
      <c r="AG16" s="23">
        <f t="shared" si="9"/>
        <v>207.0326980093125</v>
      </c>
      <c r="AH16" s="19">
        <f>'13'!G136</f>
        <v>7.3600000000005821</v>
      </c>
      <c r="AI16" s="19">
        <f>'13'!G137</f>
        <v>0</v>
      </c>
      <c r="AJ16" s="19">
        <f>'13'!G138</f>
        <v>4.8500000000058208</v>
      </c>
      <c r="AK16" s="19">
        <f t="shared" si="10"/>
        <v>12.210000000006403</v>
      </c>
      <c r="AL16" s="19">
        <f>'13'!G139</f>
        <v>2.5</v>
      </c>
      <c r="AM16" s="19">
        <f>'13'!G140</f>
        <v>6.0999999999994543</v>
      </c>
      <c r="AN16" s="19"/>
      <c r="AO16" s="19">
        <f t="shared" si="11"/>
        <v>8.5999999999994543</v>
      </c>
      <c r="AP16" s="258">
        <f>'13'!G123</f>
        <v>275.92000000004191</v>
      </c>
      <c r="AQ16" s="261">
        <f>'13'!G35</f>
        <v>0</v>
      </c>
      <c r="AR16" s="19">
        <f>'13'!G37</f>
        <v>0</v>
      </c>
      <c r="AS16" s="19">
        <f>'13'!G38</f>
        <v>0</v>
      </c>
      <c r="AT16" s="19">
        <f>'13'!G39</f>
        <v>0</v>
      </c>
      <c r="AU16" s="19">
        <f>'13'!G40</f>
        <v>0</v>
      </c>
      <c r="AV16" s="19">
        <f>'13'!G41</f>
        <v>4.9999999988358468E-2</v>
      </c>
      <c r="AW16" s="19">
        <f>'13'!G42</f>
        <v>0</v>
      </c>
      <c r="AX16" s="19">
        <f>'13'!G43</f>
        <v>2454.3199999999488</v>
      </c>
      <c r="AY16" s="23">
        <f>'13'!G44</f>
        <v>0</v>
      </c>
      <c r="AZ16" s="262">
        <f>'13'!G36</f>
        <v>697.95999999996275</v>
      </c>
      <c r="BA16" s="261">
        <f>'13'!G49</f>
        <v>3612.2399999999907</v>
      </c>
      <c r="BB16" s="19">
        <f>'13'!G51</f>
        <v>1492.5829999999987</v>
      </c>
      <c r="BC16" s="19">
        <f>'13'!G52</f>
        <v>1969.7999999999884</v>
      </c>
      <c r="BD16" s="19">
        <f>'13'!G53</f>
        <v>4090.820000000007</v>
      </c>
      <c r="BE16" s="19">
        <f>'13'!G54</f>
        <v>50.650000000000546</v>
      </c>
      <c r="BF16" s="19">
        <f>'13'!G55</f>
        <v>4887.9920000000002</v>
      </c>
      <c r="BG16" s="19">
        <f>'13'!G56</f>
        <v>0</v>
      </c>
      <c r="BH16" s="19">
        <f>'13'!G57</f>
        <v>0</v>
      </c>
      <c r="BI16" s="262">
        <f>'13'!G50</f>
        <v>1073.2399999999907</v>
      </c>
      <c r="BJ16" s="401">
        <f t="shared" si="12"/>
        <v>4888.0419999999885</v>
      </c>
      <c r="BK16" s="401">
        <f>'13'!G84</f>
        <v>872</v>
      </c>
      <c r="BL16" s="23">
        <f t="shared" si="13"/>
        <v>52.540057553956487</v>
      </c>
      <c r="BM16" s="23">
        <f t="shared" si="14"/>
        <v>19.62023980815351</v>
      </c>
      <c r="BN16" s="24">
        <f t="shared" si="15"/>
        <v>9.4474820143884336E-2</v>
      </c>
      <c r="BO16" s="25">
        <f t="shared" si="16"/>
        <v>264074.30500000156</v>
      </c>
      <c r="BP16" s="213">
        <f t="shared" si="17"/>
        <v>8214.3619999999373</v>
      </c>
      <c r="BQ16">
        <f t="shared" si="18"/>
        <v>1.2425670115568062</v>
      </c>
    </row>
    <row r="17" spans="1:69">
      <c r="A17" s="16">
        <v>14</v>
      </c>
      <c r="B17" s="17">
        <v>14</v>
      </c>
      <c r="C17" s="27"/>
      <c r="D17" s="19">
        <f>'14'!D3</f>
        <v>24</v>
      </c>
      <c r="E17" s="256">
        <f>'14'!D4</f>
        <v>0.64</v>
      </c>
      <c r="F17" s="256">
        <f>'14'!D2</f>
        <v>0.66830000000000001</v>
      </c>
      <c r="G17" s="19">
        <f>'14'!G8</f>
        <v>19411</v>
      </c>
      <c r="H17" s="19">
        <f>'14'!G8</f>
        <v>19411</v>
      </c>
      <c r="I17" s="19">
        <f>'14'!G7</f>
        <v>19342</v>
      </c>
      <c r="J17" s="19">
        <v>10</v>
      </c>
      <c r="K17" s="242">
        <f t="shared" si="3"/>
        <v>194110</v>
      </c>
      <c r="L17" s="238">
        <f t="shared" si="4"/>
        <v>95.752475247524757</v>
      </c>
      <c r="M17" s="19">
        <f>'14'!G15</f>
        <v>854.40299999993294</v>
      </c>
      <c r="N17" s="19">
        <v>35</v>
      </c>
      <c r="O17" s="234">
        <f t="shared" si="5"/>
        <v>29904.104999997653</v>
      </c>
      <c r="P17" s="19">
        <f>'14'!G20</f>
        <v>151</v>
      </c>
      <c r="Q17" s="19">
        <v>134</v>
      </c>
      <c r="R17" s="239">
        <f t="shared" si="0"/>
        <v>20234</v>
      </c>
      <c r="S17" s="240">
        <f t="shared" si="1"/>
        <v>111.85466893240275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68</v>
      </c>
      <c r="X17" s="22">
        <f>'14'!G96</f>
        <v>10</v>
      </c>
      <c r="Y17" s="22">
        <f>'14'!G97</f>
        <v>15</v>
      </c>
      <c r="Z17" s="22">
        <f>W17+X17+Y17</f>
        <v>93</v>
      </c>
      <c r="AA17" s="19">
        <f>'14'!G132</f>
        <v>0</v>
      </c>
      <c r="AB17" s="19">
        <f>'14'!G133</f>
        <v>0</v>
      </c>
      <c r="AC17" s="19">
        <f>'14'!G134</f>
        <v>24.400000000001455</v>
      </c>
      <c r="AD17" s="19">
        <f>'14'!G135</f>
        <v>0</v>
      </c>
      <c r="AE17" s="19">
        <f t="shared" si="8"/>
        <v>24.400000000001455</v>
      </c>
      <c r="AF17" s="23">
        <f t="shared" si="2"/>
        <v>4347.5380000000368</v>
      </c>
      <c r="AG17" s="23">
        <f t="shared" si="9"/>
        <v>178.1777868852368</v>
      </c>
      <c r="AH17" s="19">
        <f>'14'!G136</f>
        <v>8.0499999999992724</v>
      </c>
      <c r="AI17" s="19">
        <f>'14'!G137</f>
        <v>0</v>
      </c>
      <c r="AJ17" s="19">
        <f>'14'!G138</f>
        <v>2.4199999999982538</v>
      </c>
      <c r="AK17" s="19">
        <f t="shared" si="10"/>
        <v>10.469999999997526</v>
      </c>
      <c r="AL17" s="19">
        <f>'14'!G139</f>
        <v>6.6999999999998181</v>
      </c>
      <c r="AM17" s="19">
        <f>'14'!G140</f>
        <v>0</v>
      </c>
      <c r="AN17" s="19"/>
      <c r="AO17" s="19">
        <f t="shared" si="11"/>
        <v>6.6999999999998181</v>
      </c>
      <c r="AP17" s="258">
        <f>'14'!G123</f>
        <v>241.66299999994226</v>
      </c>
      <c r="AQ17" s="261">
        <f>'14'!G35</f>
        <v>0</v>
      </c>
      <c r="AR17" s="19">
        <f>'14'!G37</f>
        <v>0</v>
      </c>
      <c r="AS17" s="19">
        <f>'14'!G38</f>
        <v>0</v>
      </c>
      <c r="AT17" s="19">
        <f>'14'!G39</f>
        <v>0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2310.7200000000885</v>
      </c>
      <c r="AY17" s="23">
        <f>'14'!G44</f>
        <v>0</v>
      </c>
      <c r="AZ17" s="262">
        <f>'14'!G36</f>
        <v>689.28000000002794</v>
      </c>
      <c r="BA17" s="261">
        <f>'14'!G49</f>
        <v>3348.9200000000128</v>
      </c>
      <c r="BB17" s="19">
        <f>'14'!G51</f>
        <v>1404.8010000000068</v>
      </c>
      <c r="BC17" s="19">
        <f>'14'!G52</f>
        <v>1878.2399999999907</v>
      </c>
      <c r="BD17" s="19">
        <f>'14'!G53</f>
        <v>3857.7300000000105</v>
      </c>
      <c r="BE17" s="19">
        <f>'14'!G54</f>
        <v>61.929999999999382</v>
      </c>
      <c r="BF17" s="19">
        <f>'14'!G55</f>
        <v>4347.4979999999996</v>
      </c>
      <c r="BG17" s="19">
        <f>'14'!G56</f>
        <v>4.0000000037252903E-2</v>
      </c>
      <c r="BH17" s="19">
        <f>'14'!G57</f>
        <v>0</v>
      </c>
      <c r="BI17" s="262">
        <f>'14'!G50</f>
        <v>979.32000000000698</v>
      </c>
      <c r="BJ17" s="401">
        <f t="shared" si="12"/>
        <v>4347.5380000000368</v>
      </c>
      <c r="BK17" s="401">
        <f>'14'!G84</f>
        <v>791</v>
      </c>
      <c r="BL17" s="23">
        <f t="shared" si="13"/>
        <v>51.738072588150857</v>
      </c>
      <c r="BM17" s="23">
        <f t="shared" si="14"/>
        <v>19.944835073932431</v>
      </c>
      <c r="BN17" s="24">
        <f t="shared" si="15"/>
        <v>9.7106814186743398E-2</v>
      </c>
      <c r="BO17" s="25">
        <f t="shared" si="16"/>
        <v>244248.10499999765</v>
      </c>
      <c r="BP17" s="213">
        <f t="shared" si="17"/>
        <v>7449.2580000001253</v>
      </c>
      <c r="BQ17">
        <f t="shared" si="18"/>
        <v>1.0903480679156441</v>
      </c>
    </row>
    <row r="18" spans="1:69">
      <c r="A18" s="16">
        <v>15</v>
      </c>
      <c r="B18" s="26">
        <v>15</v>
      </c>
      <c r="C18" s="18"/>
      <c r="D18" s="19">
        <f>'15'!D3</f>
        <v>29</v>
      </c>
      <c r="E18" s="256">
        <f>'15'!D4</f>
        <v>0.8</v>
      </c>
      <c r="F18" s="256">
        <f>'15'!D2</f>
        <v>0.5</v>
      </c>
      <c r="G18" s="19">
        <f>'15'!G8</f>
        <v>20900</v>
      </c>
      <c r="H18" s="19">
        <f>'15'!G8</f>
        <v>20900</v>
      </c>
      <c r="I18" s="19">
        <f>'15'!G7</f>
        <v>20815</v>
      </c>
      <c r="J18" s="19">
        <v>10</v>
      </c>
      <c r="K18" s="242">
        <f t="shared" si="3"/>
        <v>209000</v>
      </c>
      <c r="L18" s="238">
        <f t="shared" si="4"/>
        <v>103.04455445544555</v>
      </c>
      <c r="M18" s="19">
        <f>'15'!G15</f>
        <v>920.0679999999702</v>
      </c>
      <c r="N18" s="19">
        <v>35</v>
      </c>
      <c r="O18" s="234">
        <f t="shared" si="5"/>
        <v>32202.379999998957</v>
      </c>
      <c r="P18" s="19">
        <f>'15'!G20</f>
        <v>173</v>
      </c>
      <c r="Q18" s="19">
        <v>134</v>
      </c>
      <c r="R18" s="239">
        <f t="shared" si="0"/>
        <v>23182</v>
      </c>
      <c r="S18" s="240">
        <f t="shared" si="1"/>
        <v>171.28712871287129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115</v>
      </c>
      <c r="X18" s="22">
        <f>'15'!G96</f>
        <v>12</v>
      </c>
      <c r="Y18" s="22">
        <f>'15'!G97</f>
        <v>22</v>
      </c>
      <c r="Z18" s="22">
        <f t="shared" si="7"/>
        <v>149</v>
      </c>
      <c r="AA18" s="19">
        <f>'15'!G132</f>
        <v>0</v>
      </c>
      <c r="AB18" s="19">
        <f>'15'!G133</f>
        <v>0</v>
      </c>
      <c r="AC18" s="19">
        <f>'15'!G134</f>
        <v>23.599999999998545</v>
      </c>
      <c r="AD18" s="19">
        <f>'15'!G135</f>
        <v>0</v>
      </c>
      <c r="AE18" s="19">
        <f t="shared" si="8"/>
        <v>23.599999999998545</v>
      </c>
      <c r="AF18" s="23">
        <f t="shared" si="2"/>
        <v>4453.7129999999524</v>
      </c>
      <c r="AG18" s="23">
        <f t="shared" si="9"/>
        <v>188.71665254238249</v>
      </c>
      <c r="AH18" s="19">
        <f>'15'!G136</f>
        <v>8.2200000000011642</v>
      </c>
      <c r="AI18" s="19">
        <f>'15'!G137</f>
        <v>0</v>
      </c>
      <c r="AJ18" s="19">
        <f>'15'!G138</f>
        <v>3</v>
      </c>
      <c r="AK18" s="19">
        <f t="shared" si="10"/>
        <v>11.220000000001164</v>
      </c>
      <c r="AL18" s="19">
        <f>'15'!G139</f>
        <v>7.5299999999999727</v>
      </c>
      <c r="AM18" s="19">
        <f>'15'!G140</f>
        <v>0</v>
      </c>
      <c r="AN18" s="19"/>
      <c r="AO18" s="19">
        <f t="shared" si="11"/>
        <v>7.5299999999999727</v>
      </c>
      <c r="AP18" s="258">
        <f>'15'!G123</f>
        <v>270.45700000005309</v>
      </c>
      <c r="AQ18" s="261">
        <f>'15'!G35</f>
        <v>0</v>
      </c>
      <c r="AR18" s="19">
        <f>'15'!G37</f>
        <v>0</v>
      </c>
      <c r="AS18" s="19">
        <f>'15'!G38</f>
        <v>0</v>
      </c>
      <c r="AT18" s="19">
        <f>'15'!G39</f>
        <v>0</v>
      </c>
      <c r="AU18" s="19">
        <f>'15'!G40</f>
        <v>0</v>
      </c>
      <c r="AV18" s="19">
        <f>'15'!G41</f>
        <v>0</v>
      </c>
      <c r="AW18" s="19">
        <f>'15'!G42</f>
        <v>0</v>
      </c>
      <c r="AX18" s="19">
        <f>'15'!G43</f>
        <v>2449.4499999999534</v>
      </c>
      <c r="AY18" s="23">
        <f>'15'!G44</f>
        <v>0</v>
      </c>
      <c r="AZ18" s="262">
        <f>'15'!G36</f>
        <v>747.59999999997672</v>
      </c>
      <c r="BA18" s="261">
        <f>'15'!G49</f>
        <v>3589.1399999999849</v>
      </c>
      <c r="BB18" s="19">
        <f>'15'!G51</f>
        <v>1550.8389999999927</v>
      </c>
      <c r="BC18" s="19">
        <f>'15'!G52</f>
        <v>2055.8800000000047</v>
      </c>
      <c r="BD18" s="19">
        <f>'15'!G53</f>
        <v>4189.9700000000012</v>
      </c>
      <c r="BE18" s="19">
        <f>'15'!G54</f>
        <v>63.710000000000036</v>
      </c>
      <c r="BF18" s="19">
        <f>'15'!G55</f>
        <v>4453.512999999999</v>
      </c>
      <c r="BG18" s="19">
        <f>'15'!G56</f>
        <v>0.19999999995343387</v>
      </c>
      <c r="BH18" s="19">
        <f>'15'!G57</f>
        <v>0</v>
      </c>
      <c r="BI18" s="262">
        <f>'15'!G50</f>
        <v>1141.4000000000233</v>
      </c>
      <c r="BJ18" s="401">
        <f t="shared" si="12"/>
        <v>4453.7129999999524</v>
      </c>
      <c r="BK18" s="401">
        <f>'15'!G84</f>
        <v>836</v>
      </c>
      <c r="BL18" s="23">
        <f t="shared" si="13"/>
        <v>50.407412923372043</v>
      </c>
      <c r="BM18" s="23">
        <f t="shared" si="14"/>
        <v>20.129570021619031</v>
      </c>
      <c r="BN18" s="24">
        <f t="shared" si="15"/>
        <v>9.8769156858035292E-2</v>
      </c>
      <c r="BO18" s="25">
        <f t="shared" si="16"/>
        <v>264384.37999999896</v>
      </c>
      <c r="BP18" s="213">
        <f t="shared" si="17"/>
        <v>7739.1629999999059</v>
      </c>
      <c r="BQ18">
        <f t="shared" si="18"/>
        <v>1.1711808414044163</v>
      </c>
    </row>
    <row r="19" spans="1:69">
      <c r="A19" s="16">
        <v>16</v>
      </c>
      <c r="B19" s="26">
        <v>16</v>
      </c>
      <c r="C19" s="26"/>
      <c r="D19" s="19">
        <f>'16'!D3</f>
        <v>29</v>
      </c>
      <c r="E19" s="256">
        <f>'16'!D4</f>
        <v>0.8</v>
      </c>
      <c r="F19" s="256">
        <f>'16'!D2</f>
        <v>0.5</v>
      </c>
      <c r="G19" s="19">
        <f>'16'!G8</f>
        <v>20048</v>
      </c>
      <c r="H19" s="19">
        <f>'16'!G8</f>
        <v>20048</v>
      </c>
      <c r="I19" s="19">
        <f>'16'!G7</f>
        <v>19975</v>
      </c>
      <c r="J19" s="19">
        <v>10</v>
      </c>
      <c r="K19" s="242">
        <f t="shared" si="3"/>
        <v>200480</v>
      </c>
      <c r="L19" s="238">
        <f t="shared" si="4"/>
        <v>98.886138613861391</v>
      </c>
      <c r="M19" s="19">
        <f>'16'!G15</f>
        <v>1070.3789999999572</v>
      </c>
      <c r="N19" s="19">
        <v>35</v>
      </c>
      <c r="O19" s="234">
        <f t="shared" si="5"/>
        <v>37463.264999998501</v>
      </c>
      <c r="P19" s="19">
        <f>'16'!G20</f>
        <v>254</v>
      </c>
      <c r="Q19" s="19">
        <v>134</v>
      </c>
      <c r="R19" s="239">
        <f t="shared" si="0"/>
        <v>34036</v>
      </c>
      <c r="S19" s="240">
        <f t="shared" si="1"/>
        <v>251.48514851485149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113</v>
      </c>
      <c r="X19" s="22">
        <f>'16'!G96</f>
        <v>21</v>
      </c>
      <c r="Y19" s="22">
        <f>'16'!G97</f>
        <v>26</v>
      </c>
      <c r="Z19" s="22">
        <f t="shared" si="7"/>
        <v>160</v>
      </c>
      <c r="AA19" s="19">
        <f>'16'!G132</f>
        <v>0</v>
      </c>
      <c r="AB19" s="19">
        <f>'16'!G133</f>
        <v>0</v>
      </c>
      <c r="AC19" s="19">
        <f>'16'!G134</f>
        <v>24</v>
      </c>
      <c r="AD19" s="19">
        <f>'16'!G135</f>
        <v>0</v>
      </c>
      <c r="AE19" s="19">
        <f t="shared" si="8"/>
        <v>24</v>
      </c>
      <c r="AF19" s="23">
        <f t="shared" si="2"/>
        <v>3822.507999999998</v>
      </c>
      <c r="AG19" s="23">
        <f t="shared" si="9"/>
        <v>159.27116666666657</v>
      </c>
      <c r="AH19" s="19">
        <f>'16'!G136</f>
        <v>10.009999999998399</v>
      </c>
      <c r="AI19" s="19">
        <f>'16'!G137</f>
        <v>0</v>
      </c>
      <c r="AJ19" s="19">
        <f>'16'!G138</f>
        <v>2.0800000000017462</v>
      </c>
      <c r="AK19" s="19">
        <f t="shared" si="10"/>
        <v>12.090000000000146</v>
      </c>
      <c r="AL19" s="19">
        <f>'16'!G139</f>
        <v>7.8200000000001637</v>
      </c>
      <c r="AM19" s="19">
        <f>'16'!G140</f>
        <v>0</v>
      </c>
      <c r="AN19" s="19"/>
      <c r="AO19" s="19">
        <f t="shared" si="11"/>
        <v>7.8200000000001637</v>
      </c>
      <c r="AP19" s="258">
        <f>'16'!G123</f>
        <v>281.80999999993946</v>
      </c>
      <c r="AQ19" s="261">
        <f>'16'!G35</f>
        <v>0</v>
      </c>
      <c r="AR19" s="19">
        <f>'16'!G37</f>
        <v>0</v>
      </c>
      <c r="AS19" s="19">
        <f>'16'!G38</f>
        <v>0</v>
      </c>
      <c r="AT19" s="19">
        <f>'16'!G39</f>
        <v>0</v>
      </c>
      <c r="AU19" s="19">
        <f>'16'!G40</f>
        <v>0</v>
      </c>
      <c r="AV19" s="19">
        <f>'16'!G41</f>
        <v>0</v>
      </c>
      <c r="AW19" s="19">
        <f>'16'!G42</f>
        <v>-9.900000000197906E-2</v>
      </c>
      <c r="AX19" s="19">
        <f>'16'!G43</f>
        <v>2311.5100000000093</v>
      </c>
      <c r="AY19" s="23">
        <f>'16'!G44</f>
        <v>0</v>
      </c>
      <c r="AZ19" s="262">
        <f>'16'!G36</f>
        <v>648.82000000000698</v>
      </c>
      <c r="BA19" s="261">
        <f>'16'!G49</f>
        <v>3407.9200000000128</v>
      </c>
      <c r="BB19" s="19">
        <f>'16'!G51</f>
        <v>1488.9199999999983</v>
      </c>
      <c r="BC19" s="19">
        <f>'16'!G52</f>
        <v>2161.2800000000279</v>
      </c>
      <c r="BD19" s="19">
        <f>'16'!G53</f>
        <v>4135.8999999999942</v>
      </c>
      <c r="BE19" s="19">
        <f>'16'!G54</f>
        <v>61.440000000000509</v>
      </c>
      <c r="BF19" s="19">
        <f>'16'!G55</f>
        <v>3822.607</v>
      </c>
      <c r="BG19" s="19">
        <f>'16'!G56</f>
        <v>0</v>
      </c>
      <c r="BH19" s="19">
        <f>'16'!G57</f>
        <v>0</v>
      </c>
      <c r="BI19" s="262">
        <f>'16'!G50</f>
        <v>1364.320000000007</v>
      </c>
      <c r="BJ19" s="401">
        <f t="shared" si="12"/>
        <v>3822.507999999998</v>
      </c>
      <c r="BK19" s="401">
        <f>'16'!G84</f>
        <v>815</v>
      </c>
      <c r="BL19" s="23">
        <f t="shared" si="13"/>
        <v>47.76940175219034</v>
      </c>
      <c r="BM19" s="23">
        <f t="shared" si="14"/>
        <v>20.705381727158919</v>
      </c>
      <c r="BN19" s="24">
        <f t="shared" si="15"/>
        <v>0.10819924906132805</v>
      </c>
      <c r="BO19" s="25">
        <f t="shared" si="16"/>
        <v>271979.2649999985</v>
      </c>
      <c r="BP19" s="213">
        <f t="shared" si="17"/>
        <v>6949.0180000000073</v>
      </c>
      <c r="BQ19">
        <f t="shared" si="18"/>
        <v>1.0340800595238107</v>
      </c>
    </row>
    <row r="20" spans="1:69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0.5</v>
      </c>
      <c r="G20" s="19">
        <f>'17'!G8</f>
        <v>20933</v>
      </c>
      <c r="H20" s="19">
        <f>'17'!G8</f>
        <v>20933</v>
      </c>
      <c r="I20" s="19">
        <f>'17'!G7</f>
        <v>20881</v>
      </c>
      <c r="J20" s="19">
        <v>10</v>
      </c>
      <c r="K20" s="242">
        <f t="shared" si="3"/>
        <v>209330</v>
      </c>
      <c r="L20" s="238">
        <f t="shared" si="4"/>
        <v>103.37128712871286</v>
      </c>
      <c r="M20" s="19">
        <f>'17'!G15</f>
        <v>972.67500000004657</v>
      </c>
      <c r="N20" s="19">
        <v>35</v>
      </c>
      <c r="O20" s="234">
        <f t="shared" si="5"/>
        <v>34043.62500000163</v>
      </c>
      <c r="P20" s="19">
        <f>'17'!G20</f>
        <v>179</v>
      </c>
      <c r="Q20" s="19">
        <v>134</v>
      </c>
      <c r="R20" s="239">
        <f t="shared" si="0"/>
        <v>23986</v>
      </c>
      <c r="S20" s="240">
        <f t="shared" si="1"/>
        <v>177.22772277227722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86</v>
      </c>
      <c r="X20" s="22">
        <f>'17'!G96</f>
        <v>22</v>
      </c>
      <c r="Y20" s="22">
        <f>'17'!G97</f>
        <v>30</v>
      </c>
      <c r="Z20" s="22">
        <f t="shared" si="7"/>
        <v>138</v>
      </c>
      <c r="AA20" s="19">
        <f>'17'!G132</f>
        <v>0</v>
      </c>
      <c r="AB20" s="19">
        <f>'17'!G133</f>
        <v>0</v>
      </c>
      <c r="AC20" s="19">
        <f>'17'!G134</f>
        <v>24.470000000001164</v>
      </c>
      <c r="AD20" s="19">
        <f>'17'!G135</f>
        <v>0</v>
      </c>
      <c r="AE20" s="19">
        <f t="shared" si="8"/>
        <v>24.470000000001164</v>
      </c>
      <c r="AF20" s="23">
        <f t="shared" si="2"/>
        <v>4283.5390000000443</v>
      </c>
      <c r="AG20" s="23">
        <f t="shared" si="9"/>
        <v>175.05267674703066</v>
      </c>
      <c r="AH20" s="19">
        <f>'17'!G136</f>
        <v>9.6900000000023283</v>
      </c>
      <c r="AI20" s="19">
        <f>'17'!G137</f>
        <v>0</v>
      </c>
      <c r="AJ20" s="19">
        <f>'17'!G138</f>
        <v>1.2699999999895226</v>
      </c>
      <c r="AK20" s="19">
        <f t="shared" si="10"/>
        <v>10.959999999991851</v>
      </c>
      <c r="AL20" s="19">
        <f>'17'!G139</f>
        <v>8.2100000000000364</v>
      </c>
      <c r="AM20" s="19">
        <f>'17'!G140</f>
        <v>0</v>
      </c>
      <c r="AN20" s="19"/>
      <c r="AO20" s="19">
        <f t="shared" si="11"/>
        <v>8.2100000000000364</v>
      </c>
      <c r="AP20" s="258">
        <f>'17'!G123</f>
        <v>295.32400000002235</v>
      </c>
      <c r="AQ20" s="261">
        <f>'17'!G35</f>
        <v>0</v>
      </c>
      <c r="AR20" s="19">
        <f>'17'!G37</f>
        <v>0</v>
      </c>
      <c r="AS20" s="19">
        <f>'17'!G38</f>
        <v>0</v>
      </c>
      <c r="AT20" s="19">
        <f>'17'!G39</f>
        <v>0</v>
      </c>
      <c r="AU20" s="19">
        <f>'17'!G40</f>
        <v>0</v>
      </c>
      <c r="AV20" s="19">
        <f>'17'!G41</f>
        <v>0</v>
      </c>
      <c r="AW20" s="19">
        <f>'17'!G42</f>
        <v>9.900000000197906E-2</v>
      </c>
      <c r="AX20" s="19">
        <f>'17'!G43</f>
        <v>2443.9200000000419</v>
      </c>
      <c r="AY20" s="23">
        <f>'17'!G44</f>
        <v>0</v>
      </c>
      <c r="AZ20" s="262">
        <f>'17'!G36</f>
        <v>643.22000000003027</v>
      </c>
      <c r="BA20" s="261">
        <f>'17'!G49</f>
        <v>3574.1999999999825</v>
      </c>
      <c r="BB20" s="19">
        <f>'17'!G51</f>
        <v>1509.4300000000076</v>
      </c>
      <c r="BC20" s="19">
        <f>'17'!G52</f>
        <v>2085.7199999999721</v>
      </c>
      <c r="BD20" s="19">
        <f>'17'!G53</f>
        <v>4374.6000000000058</v>
      </c>
      <c r="BE20" s="19">
        <f>'17'!G54</f>
        <v>58.840000000000146</v>
      </c>
      <c r="BF20" s="19">
        <f>'17'!G55</f>
        <v>4282.5200000000004</v>
      </c>
      <c r="BG20" s="19">
        <f>'17'!G56</f>
        <v>0.92000000004190952</v>
      </c>
      <c r="BH20" s="19">
        <f>'17'!G57</f>
        <v>0</v>
      </c>
      <c r="BI20" s="262">
        <f>'17'!G50</f>
        <v>1191.7599999999511</v>
      </c>
      <c r="BJ20" s="401">
        <f t="shared" si="12"/>
        <v>4283.5390000000443</v>
      </c>
      <c r="BK20" s="401">
        <f>'17'!G84</f>
        <v>847</v>
      </c>
      <c r="BL20" s="23">
        <f t="shared" si="13"/>
        <v>49.33508452660346</v>
      </c>
      <c r="BM20" s="23">
        <f t="shared" si="14"/>
        <v>20.950146065801473</v>
      </c>
      <c r="BN20" s="24">
        <f t="shared" si="15"/>
        <v>9.9886020784443849E-2</v>
      </c>
      <c r="BO20" s="25">
        <f t="shared" si="16"/>
        <v>267359.62500000163</v>
      </c>
      <c r="BP20" s="213">
        <f t="shared" si="17"/>
        <v>7574.4590000000862</v>
      </c>
      <c r="BQ20">
        <f t="shared" si="18"/>
        <v>1.1055022184598817</v>
      </c>
    </row>
    <row r="21" spans="1:69">
      <c r="A21" s="16">
        <v>18</v>
      </c>
      <c r="B21" s="27">
        <v>18</v>
      </c>
      <c r="C21" s="27"/>
      <c r="D21" s="19">
        <f>'18'!D3</f>
        <v>29</v>
      </c>
      <c r="E21" s="256">
        <f>'18'!D4</f>
        <v>0.8</v>
      </c>
      <c r="F21" s="256">
        <f>'18'!D2</f>
        <v>0.5</v>
      </c>
      <c r="G21" s="19">
        <f>'18'!G8</f>
        <v>20245</v>
      </c>
      <c r="H21" s="19">
        <f>'18'!G8</f>
        <v>20245</v>
      </c>
      <c r="I21" s="19">
        <f>'18'!G7</f>
        <v>20163</v>
      </c>
      <c r="J21" s="19">
        <v>10</v>
      </c>
      <c r="K21" s="242">
        <f t="shared" si="3"/>
        <v>202450</v>
      </c>
      <c r="L21" s="238">
        <f t="shared" si="4"/>
        <v>99.816831683168317</v>
      </c>
      <c r="M21" s="19">
        <f>'18'!G15</f>
        <v>944.77600000007078</v>
      </c>
      <c r="N21" s="19">
        <v>35</v>
      </c>
      <c r="O21" s="234">
        <f t="shared" si="5"/>
        <v>33067.160000002477</v>
      </c>
      <c r="P21" s="19">
        <f>'18'!G20</f>
        <v>192</v>
      </c>
      <c r="Q21" s="19">
        <v>134</v>
      </c>
      <c r="R21" s="239">
        <f t="shared" si="0"/>
        <v>25728</v>
      </c>
      <c r="S21" s="240">
        <f t="shared" si="1"/>
        <v>190.0990099009901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84</v>
      </c>
      <c r="X21" s="22">
        <f>'18'!G96</f>
        <v>17</v>
      </c>
      <c r="Y21" s="22">
        <f>'18'!G97</f>
        <v>24</v>
      </c>
      <c r="Z21" s="22">
        <f t="shared" si="7"/>
        <v>125</v>
      </c>
      <c r="AA21" s="19">
        <f>'18'!G132</f>
        <v>0</v>
      </c>
      <c r="AB21" s="19">
        <f>'18'!G133</f>
        <v>0</v>
      </c>
      <c r="AC21" s="19">
        <f>'18'!G134</f>
        <v>24.44999999999709</v>
      </c>
      <c r="AD21" s="19">
        <f>'18'!G135</f>
        <v>0</v>
      </c>
      <c r="AE21" s="19">
        <f t="shared" si="8"/>
        <v>24.44999999999709</v>
      </c>
      <c r="AF21" s="23">
        <f t="shared" si="2"/>
        <v>4436.6809999999969</v>
      </c>
      <c r="AG21" s="23">
        <f t="shared" si="9"/>
        <v>181.45934560329346</v>
      </c>
      <c r="AH21" s="19">
        <f>'18'!G136</f>
        <v>9.0999999999985448</v>
      </c>
      <c r="AI21" s="19">
        <f>'18'!G137</f>
        <v>0</v>
      </c>
      <c r="AJ21" s="19">
        <f>'18'!G138</f>
        <v>3.3500000000058208</v>
      </c>
      <c r="AK21" s="19">
        <f t="shared" si="10"/>
        <v>12.450000000004366</v>
      </c>
      <c r="AL21" s="19">
        <f>'18'!G139</f>
        <v>7.5999999999999091</v>
      </c>
      <c r="AM21" s="19">
        <f>'18'!G140</f>
        <v>0</v>
      </c>
      <c r="AN21" s="19"/>
      <c r="AO21" s="19">
        <f t="shared" si="11"/>
        <v>7.5999999999999091</v>
      </c>
      <c r="AP21" s="258">
        <f>'18'!G123</f>
        <v>271.81599999999162</v>
      </c>
      <c r="AQ21" s="261">
        <f>'18'!G35</f>
        <v>0</v>
      </c>
      <c r="AR21" s="19">
        <f>'18'!G37</f>
        <v>0</v>
      </c>
      <c r="AS21" s="19">
        <f>'18'!G38</f>
        <v>0</v>
      </c>
      <c r="AT21" s="19">
        <f>'18'!G39</f>
        <v>0</v>
      </c>
      <c r="AU21" s="19">
        <f>'18'!G40</f>
        <v>0</v>
      </c>
      <c r="AV21" s="19">
        <f>'18'!G41</f>
        <v>0</v>
      </c>
      <c r="AW21" s="19">
        <f>'18'!G42</f>
        <v>-9.0000000054715201E-3</v>
      </c>
      <c r="AX21" s="19">
        <f>'18'!G43</f>
        <v>2394.8800000000047</v>
      </c>
      <c r="AY21" s="23">
        <f>'18'!G44</f>
        <v>0</v>
      </c>
      <c r="AZ21" s="262">
        <f>'18'!G36</f>
        <v>705.57999999995809</v>
      </c>
      <c r="BA21" s="261">
        <f>'18'!G49</f>
        <v>3500.4200000000128</v>
      </c>
      <c r="BB21" s="19">
        <f>'18'!G51</f>
        <v>1485.1499999999942</v>
      </c>
      <c r="BC21" s="19">
        <f>'18'!G52</f>
        <v>1920.1599999999744</v>
      </c>
      <c r="BD21" s="19">
        <f>'18'!G53</f>
        <v>4182.2200000000012</v>
      </c>
      <c r="BE21" s="19">
        <f>'18'!G54</f>
        <v>50.719999999999345</v>
      </c>
      <c r="BF21" s="19">
        <f>'18'!G55</f>
        <v>4436.6900000000023</v>
      </c>
      <c r="BG21" s="19">
        <f>'18'!G56</f>
        <v>0</v>
      </c>
      <c r="BH21" s="19">
        <f>'18'!G57</f>
        <v>0</v>
      </c>
      <c r="BI21" s="262">
        <f>'18'!G50</f>
        <v>1095.2400000000489</v>
      </c>
      <c r="BJ21" s="401">
        <f t="shared" si="12"/>
        <v>4436.6809999999969</v>
      </c>
      <c r="BK21" s="401">
        <f>'18'!G84</f>
        <v>814</v>
      </c>
      <c r="BL21" s="23">
        <f t="shared" si="13"/>
        <v>51.242280414620915</v>
      </c>
      <c r="BM21" s="23">
        <f t="shared" si="14"/>
        <v>20.742052273967175</v>
      </c>
      <c r="BN21" s="24">
        <f t="shared" si="15"/>
        <v>9.5231860338242047E-2</v>
      </c>
      <c r="BO21" s="25">
        <f t="shared" si="16"/>
        <v>261245.16000000248</v>
      </c>
      <c r="BP21" s="213">
        <f t="shared" si="17"/>
        <v>7645.5610000000015</v>
      </c>
      <c r="BQ21">
        <f t="shared" si="18"/>
        <v>1.1167924335379655</v>
      </c>
    </row>
    <row r="22" spans="1:69">
      <c r="A22" s="16">
        <v>19</v>
      </c>
      <c r="B22" s="17">
        <v>19</v>
      </c>
      <c r="C22" s="27"/>
      <c r="D22" s="19">
        <f>'19'!D3</f>
        <v>30</v>
      </c>
      <c r="E22" s="256">
        <f>'19'!D4</f>
        <v>0.8</v>
      </c>
      <c r="F22" s="256">
        <f>'19'!D2</f>
        <v>0.5</v>
      </c>
      <c r="G22" s="19">
        <f>'19'!G8</f>
        <v>20035</v>
      </c>
      <c r="H22" s="19">
        <f>'19'!G8</f>
        <v>20035</v>
      </c>
      <c r="I22" s="19">
        <f>'19'!G7</f>
        <v>19963</v>
      </c>
      <c r="J22" s="19">
        <v>10</v>
      </c>
      <c r="K22" s="242">
        <f t="shared" si="3"/>
        <v>200350</v>
      </c>
      <c r="L22" s="238">
        <f t="shared" si="4"/>
        <v>98.82673267326733</v>
      </c>
      <c r="M22" s="19">
        <f>'19'!G15</f>
        <v>914.14999999990687</v>
      </c>
      <c r="N22" s="19">
        <v>35</v>
      </c>
      <c r="O22" s="234">
        <f t="shared" si="5"/>
        <v>31995.24999999674</v>
      </c>
      <c r="P22" s="19">
        <f>'19'!G20</f>
        <v>172</v>
      </c>
      <c r="Q22" s="19">
        <v>134</v>
      </c>
      <c r="R22" s="239">
        <f t="shared" si="0"/>
        <v>23048</v>
      </c>
      <c r="S22" s="240">
        <f t="shared" si="1"/>
        <v>170.29702970297029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81</v>
      </c>
      <c r="X22" s="22">
        <f>'19'!G96</f>
        <v>13</v>
      </c>
      <c r="Y22" s="22">
        <f>'19'!G97</f>
        <v>19</v>
      </c>
      <c r="Z22" s="22">
        <f t="shared" si="7"/>
        <v>113</v>
      </c>
      <c r="AA22" s="19">
        <f>'19'!G132</f>
        <v>0</v>
      </c>
      <c r="AB22" s="19">
        <f>'19'!G133</f>
        <v>0</v>
      </c>
      <c r="AC22" s="19">
        <f>'19'!G134</f>
        <v>24.470000000001164</v>
      </c>
      <c r="AD22" s="19">
        <f>'19'!G135</f>
        <v>0</v>
      </c>
      <c r="AE22" s="19">
        <f t="shared" si="8"/>
        <v>24.470000000001164</v>
      </c>
      <c r="AF22" s="23">
        <f t="shared" si="2"/>
        <v>4360.9399999999987</v>
      </c>
      <c r="AG22" s="23">
        <f t="shared" si="9"/>
        <v>178.21577441764575</v>
      </c>
      <c r="AH22" s="19">
        <f>'19'!G136</f>
        <v>9.0099999999983993</v>
      </c>
      <c r="AI22" s="19">
        <f>'19'!G137</f>
        <v>0</v>
      </c>
      <c r="AJ22" s="19">
        <f>'19'!G138</f>
        <v>3.5800000000017462</v>
      </c>
      <c r="AK22" s="19">
        <f t="shared" si="10"/>
        <v>12.590000000000146</v>
      </c>
      <c r="AL22" s="19">
        <f>'19'!G139</f>
        <v>7.3599999999999</v>
      </c>
      <c r="AM22" s="19">
        <f>'19'!G140</f>
        <v>0</v>
      </c>
      <c r="AN22" s="19"/>
      <c r="AO22" s="19">
        <f t="shared" si="11"/>
        <v>7.3599999999999</v>
      </c>
      <c r="AP22" s="258">
        <f>'19'!G123</f>
        <v>265</v>
      </c>
      <c r="AQ22" s="261">
        <f>'19'!G35</f>
        <v>0</v>
      </c>
      <c r="AR22" s="19">
        <f>'19'!G37</f>
        <v>0</v>
      </c>
      <c r="AS22" s="19">
        <f>'19'!G38</f>
        <v>0</v>
      </c>
      <c r="AT22" s="19">
        <f>'19'!G39</f>
        <v>0</v>
      </c>
      <c r="AU22" s="19">
        <f>'19'!G40</f>
        <v>0</v>
      </c>
      <c r="AV22" s="19">
        <f>'19'!G41</f>
        <v>0</v>
      </c>
      <c r="AW22" s="19">
        <f>'19'!G42</f>
        <v>0</v>
      </c>
      <c r="AX22" s="19">
        <f>'19'!G43</f>
        <v>2404.7199999999721</v>
      </c>
      <c r="AY22" s="23">
        <f>'19'!G44</f>
        <v>0</v>
      </c>
      <c r="AZ22" s="262">
        <f>'19'!G36</f>
        <v>689.44000000000233</v>
      </c>
      <c r="BA22" s="261">
        <f>'19'!G49</f>
        <v>3402.0799999999872</v>
      </c>
      <c r="BB22" s="19">
        <f>'19'!G51</f>
        <v>1469.8000000000029</v>
      </c>
      <c r="BC22" s="19">
        <f>'19'!G52</f>
        <v>1881.7600000000093</v>
      </c>
      <c r="BD22" s="19">
        <f>'19'!G53</f>
        <v>4176.6999999999825</v>
      </c>
      <c r="BE22" s="19">
        <f>'19'!G54</f>
        <v>56.780000000000655</v>
      </c>
      <c r="BF22" s="19">
        <f>'19'!G55</f>
        <v>4360.9399999999987</v>
      </c>
      <c r="BG22" s="19">
        <f>'19'!G56</f>
        <v>0</v>
      </c>
      <c r="BH22" s="19">
        <f>'19'!G57</f>
        <v>0</v>
      </c>
      <c r="BI22" s="262">
        <f>'19'!G50</f>
        <v>1051.8999999999651</v>
      </c>
      <c r="BJ22" s="401">
        <f t="shared" si="12"/>
        <v>4360.9399999999987</v>
      </c>
      <c r="BK22" s="401">
        <f>'19'!G84</f>
        <v>820</v>
      </c>
      <c r="BL22" s="23">
        <f t="shared" si="13"/>
        <v>50.932925912938728</v>
      </c>
      <c r="BM22" s="23">
        <f t="shared" si="14"/>
        <v>20.922206081250227</v>
      </c>
      <c r="BN22" s="24">
        <f t="shared" si="15"/>
        <v>9.4262385413014543E-2</v>
      </c>
      <c r="BO22" s="25">
        <f t="shared" si="16"/>
        <v>255393.24999999674</v>
      </c>
      <c r="BP22" s="213">
        <f t="shared" si="17"/>
        <v>7585.6599999999708</v>
      </c>
      <c r="BQ22">
        <f t="shared" si="18"/>
        <v>1.1071370190903744</v>
      </c>
    </row>
    <row r="23" spans="1:69">
      <c r="A23" s="16">
        <v>20</v>
      </c>
      <c r="B23" s="26">
        <v>20</v>
      </c>
      <c r="C23" s="26"/>
      <c r="D23" s="19">
        <f>'20'!D3</f>
        <v>30</v>
      </c>
      <c r="E23" s="256">
        <f>'20'!D4</f>
        <v>0.81</v>
      </c>
      <c r="F23" s="256">
        <f>'20'!D2</f>
        <v>0.5</v>
      </c>
      <c r="G23" s="19">
        <f>'20'!G8</f>
        <v>19981</v>
      </c>
      <c r="H23" s="19">
        <f>'20'!G8</f>
        <v>19981</v>
      </c>
      <c r="I23" s="19">
        <f>'20'!G7</f>
        <v>19855</v>
      </c>
      <c r="J23" s="19">
        <v>10</v>
      </c>
      <c r="K23" s="242">
        <f t="shared" si="3"/>
        <v>199810</v>
      </c>
      <c r="L23" s="238">
        <f t="shared" si="4"/>
        <v>98.292079207920793</v>
      </c>
      <c r="M23" s="19">
        <f>'20'!G15</f>
        <v>930.07000000006519</v>
      </c>
      <c r="N23" s="19">
        <v>35</v>
      </c>
      <c r="O23" s="234">
        <f t="shared" si="5"/>
        <v>32552.450000002282</v>
      </c>
      <c r="P23" s="19">
        <f>'20'!G20</f>
        <v>190</v>
      </c>
      <c r="Q23" s="19">
        <v>134</v>
      </c>
      <c r="R23" s="239">
        <f t="shared" si="0"/>
        <v>25460</v>
      </c>
      <c r="S23" s="240">
        <f t="shared" si="1"/>
        <v>188.11881188118812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88</v>
      </c>
      <c r="X23" s="22">
        <f>'20'!G96</f>
        <v>16</v>
      </c>
      <c r="Y23" s="22">
        <f>'20'!G97</f>
        <v>21</v>
      </c>
      <c r="Z23" s="22">
        <f t="shared" si="7"/>
        <v>125</v>
      </c>
      <c r="AA23" s="19">
        <f>'20'!G132</f>
        <v>11.569999999999709</v>
      </c>
      <c r="AB23" s="19">
        <f>'20'!G133</f>
        <v>1.999999999998181E-2</v>
      </c>
      <c r="AC23" s="19">
        <f>'20'!G134</f>
        <v>13.660000000003492</v>
      </c>
      <c r="AD23" s="19">
        <f>'20'!G135</f>
        <v>0</v>
      </c>
      <c r="AE23" s="19">
        <f t="shared" si="8"/>
        <v>25.250000000003183</v>
      </c>
      <c r="AF23" s="23">
        <f t="shared" si="2"/>
        <v>4191.090000000002</v>
      </c>
      <c r="AG23" s="23">
        <f t="shared" si="9"/>
        <v>165.98376237621679</v>
      </c>
      <c r="AH23" s="19">
        <f>'20'!G136</f>
        <v>8.5200000000004366</v>
      </c>
      <c r="AI23" s="19">
        <f>'20'!G137</f>
        <v>0</v>
      </c>
      <c r="AJ23" s="19">
        <f>'20'!G138</f>
        <v>3.75</v>
      </c>
      <c r="AK23" s="19">
        <f t="shared" si="10"/>
        <v>12.270000000000437</v>
      </c>
      <c r="AL23" s="19">
        <f>'20'!G139</f>
        <v>6.9300000000000637</v>
      </c>
      <c r="AM23" s="19">
        <f>'20'!G140</f>
        <v>0</v>
      </c>
      <c r="AN23" s="19"/>
      <c r="AO23" s="19">
        <f t="shared" si="11"/>
        <v>6.9300000000000637</v>
      </c>
      <c r="AP23" s="258">
        <f>'20'!G123</f>
        <v>249.8399999999674</v>
      </c>
      <c r="AQ23" s="261">
        <f>'20'!G35</f>
        <v>0</v>
      </c>
      <c r="AR23" s="19">
        <f>'20'!G37</f>
        <v>0</v>
      </c>
      <c r="AS23" s="19">
        <f>'20'!G38</f>
        <v>0</v>
      </c>
      <c r="AT23" s="19">
        <f>'20'!G39</f>
        <v>0</v>
      </c>
      <c r="AU23" s="19">
        <f>'20'!G40</f>
        <v>0</v>
      </c>
      <c r="AV23" s="19">
        <f>'20'!G41</f>
        <v>2136.44</v>
      </c>
      <c r="AW23" s="19">
        <f>'20'!G42</f>
        <v>0</v>
      </c>
      <c r="AX23" s="19">
        <f>'20'!G43</f>
        <v>2411.8399999999674</v>
      </c>
      <c r="AY23" s="23">
        <f>'20'!G44</f>
        <v>0</v>
      </c>
      <c r="AZ23" s="262">
        <f>'20'!G36</f>
        <v>707.11999999999534</v>
      </c>
      <c r="BA23" s="261">
        <f>'20'!G49</f>
        <v>3213.3399999999965</v>
      </c>
      <c r="BB23" s="19">
        <f>'20'!G51</f>
        <v>1505.7899999999936</v>
      </c>
      <c r="BC23" s="19">
        <f>'20'!G52</f>
        <v>1801.1199999999953</v>
      </c>
      <c r="BD23" s="19">
        <f>'20'!G576</f>
        <v>0</v>
      </c>
      <c r="BE23" s="19">
        <f>'20'!G54</f>
        <v>54.6299999999992</v>
      </c>
      <c r="BF23" s="19">
        <f>'20'!G55</f>
        <v>2054.6500000000015</v>
      </c>
      <c r="BG23" s="19">
        <f>'20'!G56</f>
        <v>0</v>
      </c>
      <c r="BH23" s="19">
        <f>'20'!G57</f>
        <v>0</v>
      </c>
      <c r="BI23" s="262">
        <f>'20'!G50</f>
        <v>1253.9000000000233</v>
      </c>
      <c r="BJ23" s="401">
        <f t="shared" si="12"/>
        <v>4191.090000000002</v>
      </c>
      <c r="BK23" s="401">
        <f>'20'!G84</f>
        <v>669</v>
      </c>
      <c r="BL23" s="23">
        <f t="shared" si="13"/>
        <v>49.439788466381088</v>
      </c>
      <c r="BM23" s="23">
        <f t="shared" si="14"/>
        <v>0</v>
      </c>
      <c r="BN23" s="24">
        <f t="shared" si="15"/>
        <v>9.0713674137496619E-2</v>
      </c>
      <c r="BO23" s="25">
        <f t="shared" si="16"/>
        <v>257822.45000000228</v>
      </c>
      <c r="BP23" s="213">
        <f t="shared" si="17"/>
        <v>7271.9299999999694</v>
      </c>
      <c r="BQ23">
        <f t="shared" si="18"/>
        <v>1.0285615275811955</v>
      </c>
    </row>
    <row r="24" spans="1:69">
      <c r="A24" s="16">
        <v>21</v>
      </c>
      <c r="B24" s="26">
        <v>21</v>
      </c>
      <c r="C24" s="28"/>
      <c r="D24" s="19">
        <v>21</v>
      </c>
      <c r="E24" s="256">
        <f>'21'!D4</f>
        <v>0.81</v>
      </c>
      <c r="F24" s="256">
        <f>'21'!D2</f>
        <v>0.5</v>
      </c>
      <c r="G24" s="19">
        <f>'21'!G8</f>
        <v>19575</v>
      </c>
      <c r="H24" s="19">
        <f>'21'!G8</f>
        <v>19575</v>
      </c>
      <c r="I24" s="19">
        <f>'21'!G7</f>
        <v>19415</v>
      </c>
      <c r="J24" s="19">
        <v>10</v>
      </c>
      <c r="K24" s="242">
        <f t="shared" si="3"/>
        <v>195750</v>
      </c>
      <c r="L24" s="238">
        <f t="shared" si="4"/>
        <v>96.113861386138609</v>
      </c>
      <c r="M24" s="19">
        <f>'21'!G15</f>
        <v>906.93999999994412</v>
      </c>
      <c r="N24" s="19">
        <v>35</v>
      </c>
      <c r="O24" s="234">
        <f t="shared" si="5"/>
        <v>31742.899999998044</v>
      </c>
      <c r="P24" s="19">
        <f>'21'!G20</f>
        <v>179</v>
      </c>
      <c r="Q24" s="19">
        <v>134</v>
      </c>
      <c r="R24" s="239">
        <f t="shared" si="0"/>
        <v>23986</v>
      </c>
      <c r="S24" s="240">
        <f t="shared" si="1"/>
        <v>177.22772277227722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75</v>
      </c>
      <c r="X24" s="22">
        <f>'21'!G96</f>
        <v>17</v>
      </c>
      <c r="Y24" s="22">
        <f>'21'!G97</f>
        <v>16</v>
      </c>
      <c r="Z24" s="22">
        <f t="shared" si="7"/>
        <v>108</v>
      </c>
      <c r="AA24" s="19">
        <f>'21'!G132</f>
        <v>23.529999999998836</v>
      </c>
      <c r="AB24" s="19">
        <f>'21'!G133</f>
        <v>0</v>
      </c>
      <c r="AC24" s="19">
        <f>'21'!G134</f>
        <v>0</v>
      </c>
      <c r="AD24" s="19">
        <f>'21'!G135</f>
        <v>0</v>
      </c>
      <c r="AE24" s="19">
        <f t="shared" si="8"/>
        <v>23.529999999998836</v>
      </c>
      <c r="AF24" s="23">
        <f t="shared" si="2"/>
        <v>4111.3299999999763</v>
      </c>
      <c r="AG24" s="23">
        <f t="shared" si="9"/>
        <v>174.72715682108711</v>
      </c>
      <c r="AH24" s="19">
        <f>'21'!G136</f>
        <v>0</v>
      </c>
      <c r="AI24" s="19">
        <f>'21'!G137</f>
        <v>9.8599999999969441</v>
      </c>
      <c r="AJ24" s="19">
        <f>'21'!G138</f>
        <v>0</v>
      </c>
      <c r="AK24" s="19">
        <f t="shared" si="10"/>
        <v>9.8599999999969441</v>
      </c>
      <c r="AL24" s="19">
        <f>'21'!G139</f>
        <v>6.75</v>
      </c>
      <c r="AM24" s="19">
        <f>'21'!G140</f>
        <v>0</v>
      </c>
      <c r="AN24" s="19"/>
      <c r="AO24" s="19">
        <f t="shared" si="11"/>
        <v>6.75</v>
      </c>
      <c r="AP24" s="258">
        <f>'21'!G123</f>
        <v>243.01000000000931</v>
      </c>
      <c r="AQ24" s="261">
        <f>'21'!G35</f>
        <v>0</v>
      </c>
      <c r="AR24" s="19">
        <f>'21'!G37</f>
        <v>0</v>
      </c>
      <c r="AS24" s="19">
        <f>'21'!G38</f>
        <v>0.38000000000465661</v>
      </c>
      <c r="AT24" s="19">
        <f>'21'!G39</f>
        <v>0</v>
      </c>
      <c r="AU24" s="19">
        <f>'21'!G40</f>
        <v>0</v>
      </c>
      <c r="AV24" s="19">
        <f>'21'!G41</f>
        <v>4107.7299999999996</v>
      </c>
      <c r="AW24" s="19">
        <f>'21'!G42</f>
        <v>0</v>
      </c>
      <c r="AX24" s="19">
        <f>'21'!G43</f>
        <v>2320.1600000000326</v>
      </c>
      <c r="AY24" s="23">
        <f>'21'!G44</f>
        <v>0</v>
      </c>
      <c r="AZ24" s="262">
        <f>'21'!G36</f>
        <v>762.06000000005588</v>
      </c>
      <c r="BA24" s="261">
        <f>'21'!G49</f>
        <v>3092.9200000000128</v>
      </c>
      <c r="BB24" s="19">
        <f>'21'!G51</f>
        <v>1457.3500000000058</v>
      </c>
      <c r="BC24" s="19">
        <f>'21'!G52</f>
        <v>1745.960000000021</v>
      </c>
      <c r="BD24" s="19">
        <f>'21'!G53</f>
        <v>4123.8600000000151</v>
      </c>
      <c r="BE24" s="19">
        <f>'21'!G54</f>
        <v>44.380000000000109</v>
      </c>
      <c r="BF24" s="19">
        <f>'21'!G55</f>
        <v>0</v>
      </c>
      <c r="BG24" s="19">
        <f>'21'!G56</f>
        <v>3.5999999999767169</v>
      </c>
      <c r="BH24" s="19">
        <f>'21'!G57</f>
        <v>0</v>
      </c>
      <c r="BI24" s="262">
        <f>'21'!G50</f>
        <v>1198</v>
      </c>
      <c r="BJ24" s="401">
        <f t="shared" si="12"/>
        <v>4111.3299999999763</v>
      </c>
      <c r="BK24" s="401">
        <f>'21'!G84</f>
        <v>537</v>
      </c>
      <c r="BL24" s="23">
        <f t="shared" si="13"/>
        <v>49.056966263198667</v>
      </c>
      <c r="BM24" s="23">
        <f t="shared" si="14"/>
        <v>21.240587174864874</v>
      </c>
      <c r="BN24" s="24">
        <f t="shared" si="15"/>
        <v>8.9947978367243137E-2</v>
      </c>
      <c r="BO24" s="25">
        <f t="shared" si="16"/>
        <v>251478.89999999804</v>
      </c>
      <c r="BP24" s="213">
        <f t="shared" si="17"/>
        <v>6968.4900000000089</v>
      </c>
      <c r="BQ24">
        <f t="shared" si="18"/>
        <v>1.057690789873164</v>
      </c>
    </row>
    <row r="25" spans="1:69">
      <c r="A25" s="16">
        <v>22</v>
      </c>
      <c r="B25" s="27">
        <v>22</v>
      </c>
      <c r="C25" s="28"/>
      <c r="D25" s="19">
        <f>'22'!D3</f>
        <v>30</v>
      </c>
      <c r="E25" s="256">
        <f>'22'!D4</f>
        <v>0.78</v>
      </c>
      <c r="F25" s="256">
        <f>'22'!D2</f>
        <v>0.5</v>
      </c>
      <c r="G25" s="19">
        <f>'22'!G8</f>
        <v>19676</v>
      </c>
      <c r="H25" s="19">
        <f>'22'!G8</f>
        <v>19676</v>
      </c>
      <c r="I25" s="19">
        <f>'22'!G7</f>
        <v>19510</v>
      </c>
      <c r="J25" s="19">
        <v>10</v>
      </c>
      <c r="K25" s="242">
        <f t="shared" si="3"/>
        <v>196760</v>
      </c>
      <c r="L25" s="238">
        <f t="shared" si="4"/>
        <v>96.584158415841586</v>
      </c>
      <c r="M25" s="19">
        <f>'22'!G15</f>
        <v>904</v>
      </c>
      <c r="N25" s="19">
        <v>35</v>
      </c>
      <c r="O25" s="234">
        <f t="shared" si="5"/>
        <v>31640</v>
      </c>
      <c r="P25" s="19">
        <f>'22'!G20</f>
        <v>177</v>
      </c>
      <c r="Q25" s="19">
        <v>134</v>
      </c>
      <c r="R25" s="239">
        <f t="shared" si="0"/>
        <v>23718</v>
      </c>
      <c r="S25" s="240">
        <f t="shared" si="1"/>
        <v>175.24752475247524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83</v>
      </c>
      <c r="X25" s="22">
        <f>'22'!G96</f>
        <v>18</v>
      </c>
      <c r="Y25" s="22">
        <f>'22'!G97</f>
        <v>20</v>
      </c>
      <c r="Z25" s="22">
        <f t="shared" si="7"/>
        <v>121</v>
      </c>
      <c r="AA25" s="19">
        <f>'22'!G132</f>
        <v>24.479999999995925</v>
      </c>
      <c r="AB25" s="19">
        <f>'22'!G133</f>
        <v>0</v>
      </c>
      <c r="AC25" s="19">
        <f>'22'!G134</f>
        <v>0</v>
      </c>
      <c r="AD25" s="19">
        <f>'22'!G135</f>
        <v>0</v>
      </c>
      <c r="AE25" s="19">
        <f t="shared" si="8"/>
        <v>24.479999999995925</v>
      </c>
      <c r="AF25" s="23">
        <f t="shared" si="2"/>
        <v>4213.0100000000148</v>
      </c>
      <c r="AG25" s="23">
        <f t="shared" si="9"/>
        <v>172.10008169937566</v>
      </c>
      <c r="AH25" s="19">
        <f>'22'!G136</f>
        <v>0</v>
      </c>
      <c r="AI25" s="19">
        <f>'22'!G137</f>
        <v>9.5200000000004366</v>
      </c>
      <c r="AJ25" s="19">
        <f>'22'!G138</f>
        <v>0</v>
      </c>
      <c r="AK25" s="19">
        <f t="shared" si="10"/>
        <v>9.5200000000004366</v>
      </c>
      <c r="AL25" s="19">
        <f>'22'!G139</f>
        <v>7.4900000000000091</v>
      </c>
      <c r="AM25" s="19">
        <f>'22'!G140</f>
        <v>0</v>
      </c>
      <c r="AN25" s="19"/>
      <c r="AO25" s="19">
        <f t="shared" si="11"/>
        <v>7.4900000000000091</v>
      </c>
      <c r="AP25" s="258">
        <f>'22'!G123</f>
        <v>268.22999999998137</v>
      </c>
      <c r="AQ25" s="261">
        <f>'22'!G35</f>
        <v>0</v>
      </c>
      <c r="AR25" s="19">
        <f>'22'!G37</f>
        <v>0</v>
      </c>
      <c r="AS25" s="19">
        <f>'22'!G38</f>
        <v>0</v>
      </c>
      <c r="AT25" s="19">
        <f>'22'!G39</f>
        <v>0</v>
      </c>
      <c r="AU25" s="19">
        <f>'22'!G40</f>
        <v>0</v>
      </c>
      <c r="AV25" s="19">
        <f>'22'!G41</f>
        <v>4212.3700000000008</v>
      </c>
      <c r="AW25" s="19">
        <f>'22'!G42</f>
        <v>0</v>
      </c>
      <c r="AX25" s="19">
        <f>'22'!G43</f>
        <v>2388.0799999999581</v>
      </c>
      <c r="AY25" s="23">
        <f>'22'!G44</f>
        <v>0</v>
      </c>
      <c r="AZ25" s="262">
        <f>'22'!G36</f>
        <v>671.75999999995111</v>
      </c>
      <c r="BA25" s="261">
        <f>'22'!G49</f>
        <v>3188.4700000000012</v>
      </c>
      <c r="BB25" s="19">
        <f>'22'!G51</f>
        <v>1492.1399999999994</v>
      </c>
      <c r="BC25" s="19">
        <f>'22'!G52</f>
        <v>1877.7999999999884</v>
      </c>
      <c r="BD25" s="19">
        <f>'22'!G53</f>
        <v>4075.5999999999767</v>
      </c>
      <c r="BE25" s="19">
        <f>'22'!G54</f>
        <v>61.180000000000291</v>
      </c>
      <c r="BF25" s="19">
        <f>'22'!G55</f>
        <v>0</v>
      </c>
      <c r="BG25" s="19">
        <f>'22'!G56</f>
        <v>0.64000000001396984</v>
      </c>
      <c r="BH25" s="19">
        <f>'22'!G57</f>
        <v>0</v>
      </c>
      <c r="BI25" s="262">
        <f>'22'!G50</f>
        <v>1029.8399999999674</v>
      </c>
      <c r="BJ25" s="401">
        <f t="shared" si="12"/>
        <v>4213.0100000000148</v>
      </c>
      <c r="BK25" s="401">
        <f>'22'!G84</f>
        <v>553</v>
      </c>
      <c r="BL25" s="23">
        <f t="shared" si="13"/>
        <v>50.177139928241793</v>
      </c>
      <c r="BM25" s="23">
        <f t="shared" si="14"/>
        <v>20.889800102511416</v>
      </c>
      <c r="BN25" s="24">
        <f t="shared" si="15"/>
        <v>9.6248077908764135E-2</v>
      </c>
      <c r="BO25" s="25">
        <f t="shared" si="16"/>
        <v>252118</v>
      </c>
      <c r="BP25" s="213">
        <f t="shared" si="17"/>
        <v>7154.0899999999729</v>
      </c>
      <c r="BQ25">
        <f t="shared" si="18"/>
        <v>1.043722280579068</v>
      </c>
    </row>
    <row r="26" spans="1:69">
      <c r="A26" s="16">
        <v>23</v>
      </c>
      <c r="B26" s="27">
        <v>23</v>
      </c>
      <c r="C26" s="28"/>
      <c r="D26" s="19">
        <f>'23'!D3</f>
        <v>30</v>
      </c>
      <c r="E26" s="256">
        <f>'23'!D4</f>
        <v>0.76</v>
      </c>
      <c r="F26" s="256">
        <f>'23'!D2</f>
        <v>0.5</v>
      </c>
      <c r="G26" s="19">
        <f>'23'!G8</f>
        <v>19855</v>
      </c>
      <c r="H26" s="19">
        <f>'23'!G8</f>
        <v>19855</v>
      </c>
      <c r="I26" s="19">
        <f>'23'!G7</f>
        <v>19709</v>
      </c>
      <c r="J26" s="19">
        <v>10</v>
      </c>
      <c r="K26" s="242">
        <f t="shared" si="3"/>
        <v>198550</v>
      </c>
      <c r="L26" s="238">
        <f t="shared" si="4"/>
        <v>97.569306930693074</v>
      </c>
      <c r="M26" s="19">
        <f>'23'!G15</f>
        <v>934.93999999994412</v>
      </c>
      <c r="N26" s="19">
        <v>35</v>
      </c>
      <c r="O26" s="234">
        <f t="shared" si="5"/>
        <v>32722.899999998044</v>
      </c>
      <c r="P26" s="19">
        <f>'23'!G20</f>
        <v>203</v>
      </c>
      <c r="Q26" s="19">
        <v>134</v>
      </c>
      <c r="R26" s="239">
        <f t="shared" si="0"/>
        <v>27202</v>
      </c>
      <c r="S26" s="240">
        <f t="shared" si="1"/>
        <v>200.990099009901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75</v>
      </c>
      <c r="X26" s="22">
        <f>'23'!G96</f>
        <v>18</v>
      </c>
      <c r="Y26" s="22">
        <f>'23'!G97</f>
        <v>26</v>
      </c>
      <c r="Z26" s="22">
        <f t="shared" si="7"/>
        <v>119</v>
      </c>
      <c r="AA26" s="19">
        <f>'23'!G132</f>
        <v>23.950000000004366</v>
      </c>
      <c r="AB26" s="19">
        <f>'23'!G133</f>
        <v>-9.9999999999909051E-3</v>
      </c>
      <c r="AC26" s="19">
        <f>'23'!G134</f>
        <v>0</v>
      </c>
      <c r="AD26" s="19">
        <f>'23'!G135</f>
        <v>0</v>
      </c>
      <c r="AE26" s="19">
        <f t="shared" si="8"/>
        <v>23.940000000004375</v>
      </c>
      <c r="AF26" s="23">
        <f t="shared" si="2"/>
        <v>4346.660000000018</v>
      </c>
      <c r="AG26" s="23">
        <f t="shared" si="9"/>
        <v>181.56474519629171</v>
      </c>
      <c r="AH26" s="19">
        <f>'23'!G136</f>
        <v>10.180000000000291</v>
      </c>
      <c r="AI26" s="19">
        <f>'23'!G137</f>
        <v>0</v>
      </c>
      <c r="AJ26" s="19">
        <f>'23'!G138</f>
        <v>0</v>
      </c>
      <c r="AK26" s="19">
        <f t="shared" si="10"/>
        <v>10.180000000000291</v>
      </c>
      <c r="AL26" s="19">
        <f>'23'!G139</f>
        <v>7.0099999999999909</v>
      </c>
      <c r="AM26" s="19">
        <f>'23'!G140</f>
        <v>0</v>
      </c>
      <c r="AN26" s="19"/>
      <c r="AO26" s="19">
        <f t="shared" si="11"/>
        <v>7.0099999999999909</v>
      </c>
      <c r="AP26" s="258">
        <f>'23'!G123</f>
        <v>245.85999999998603</v>
      </c>
      <c r="AQ26" s="261">
        <f>'23'!G35</f>
        <v>0</v>
      </c>
      <c r="AR26" s="19">
        <f>'23'!G37</f>
        <v>0</v>
      </c>
      <c r="AS26" s="19">
        <f>'23'!G38</f>
        <v>0</v>
      </c>
      <c r="AT26" s="19">
        <f>'23'!G39</f>
        <v>0</v>
      </c>
      <c r="AU26" s="19">
        <f>'23'!G40</f>
        <v>0</v>
      </c>
      <c r="AV26" s="19">
        <f>'23'!G41</f>
        <v>4346.1399999999994</v>
      </c>
      <c r="AW26" s="19">
        <f>'23'!G42</f>
        <v>0</v>
      </c>
      <c r="AX26" s="19">
        <f>'23'!G43</f>
        <v>2363.5200000000186</v>
      </c>
      <c r="AY26" s="23">
        <f>'23'!G44</f>
        <v>0</v>
      </c>
      <c r="AZ26" s="262">
        <f>'23'!G36</f>
        <v>654.22000000003027</v>
      </c>
      <c r="BA26" s="261">
        <f>'23'!G49</f>
        <v>3038.570000000007</v>
      </c>
      <c r="BB26" s="19">
        <f>'23'!G51</f>
        <v>1462.6699999999983</v>
      </c>
      <c r="BC26" s="19">
        <f>'23'!G52</f>
        <v>1944.0400000000373</v>
      </c>
      <c r="BD26" s="19">
        <f>'23'!G53</f>
        <v>4262.7600000000093</v>
      </c>
      <c r="BE26" s="19">
        <f>'23'!G54</f>
        <v>67.119999999999891</v>
      </c>
      <c r="BF26" s="19">
        <f>'23'!G55</f>
        <v>0</v>
      </c>
      <c r="BG26" s="19">
        <f>'23'!G56</f>
        <v>0.52000000001862645</v>
      </c>
      <c r="BH26" s="19">
        <f>'23'!G57</f>
        <v>0</v>
      </c>
      <c r="BI26" s="262">
        <f>'23'!G50</f>
        <v>1048.3600000000442</v>
      </c>
      <c r="BJ26" s="401">
        <f t="shared" si="12"/>
        <v>4346.660000000018</v>
      </c>
      <c r="BK26" s="401">
        <f>'23'!G84</f>
        <v>552</v>
      </c>
      <c r="BL26" s="23">
        <f t="shared" si="13"/>
        <v>49.463443097062473</v>
      </c>
      <c r="BM26" s="23">
        <f t="shared" si="14"/>
        <v>21.628494596377337</v>
      </c>
      <c r="BN26" s="24">
        <f t="shared" si="15"/>
        <v>9.8637170835660731E-2</v>
      </c>
      <c r="BO26" s="25">
        <f t="shared" si="16"/>
        <v>258474.89999999804</v>
      </c>
      <c r="BP26" s="213">
        <f t="shared" si="17"/>
        <v>7262.1800000000367</v>
      </c>
      <c r="BQ26">
        <f t="shared" si="18"/>
        <v>1.0833900226755444</v>
      </c>
    </row>
    <row r="27" spans="1:69">
      <c r="A27" s="16">
        <v>24</v>
      </c>
      <c r="B27" s="17">
        <v>24</v>
      </c>
      <c r="C27" s="28"/>
      <c r="D27" s="19">
        <f>'24'!D3</f>
        <v>27</v>
      </c>
      <c r="E27" s="256">
        <f>'24'!D4</f>
        <v>0.78</v>
      </c>
      <c r="F27" s="256">
        <f>'24'!D2</f>
        <v>0.33</v>
      </c>
      <c r="G27" s="19">
        <f>'24'!G8</f>
        <v>19558</v>
      </c>
      <c r="H27" s="19">
        <f>'24'!G8</f>
        <v>19558</v>
      </c>
      <c r="I27" s="19">
        <f>'24'!G7</f>
        <v>19391</v>
      </c>
      <c r="J27" s="19">
        <v>10</v>
      </c>
      <c r="K27" s="242">
        <f t="shared" si="3"/>
        <v>195580</v>
      </c>
      <c r="L27" s="238">
        <f t="shared" si="4"/>
        <v>95.995049504950501</v>
      </c>
      <c r="M27" s="19">
        <f>'24'!G15</f>
        <v>748.12000000011176</v>
      </c>
      <c r="N27" s="19">
        <v>35</v>
      </c>
      <c r="O27" s="234">
        <f t="shared" si="5"/>
        <v>26184.200000003912</v>
      </c>
      <c r="P27" s="19">
        <f>'24'!G20</f>
        <v>190</v>
      </c>
      <c r="Q27" s="19">
        <v>134</v>
      </c>
      <c r="R27" s="239">
        <f t="shared" si="0"/>
        <v>25460</v>
      </c>
      <c r="S27" s="240">
        <f t="shared" si="1"/>
        <v>285.02850285028507</v>
      </c>
      <c r="T27" s="19">
        <f>'24'!G24</f>
        <v>0</v>
      </c>
      <c r="U27" s="19">
        <v>69</v>
      </c>
      <c r="V27" s="241">
        <f t="shared" si="6"/>
        <v>0</v>
      </c>
      <c r="W27" s="22">
        <f>'24'!G95</f>
        <v>71</v>
      </c>
      <c r="X27" s="22">
        <f>'24'!G96</f>
        <v>25</v>
      </c>
      <c r="Y27" s="22">
        <f>'24'!G97</f>
        <v>33</v>
      </c>
      <c r="Z27" s="22">
        <f t="shared" si="7"/>
        <v>129</v>
      </c>
      <c r="AA27" s="19">
        <f>'24'!G132</f>
        <v>23.549999999995634</v>
      </c>
      <c r="AB27" s="19">
        <f>'24'!G133</f>
        <v>0</v>
      </c>
      <c r="AC27" s="19">
        <f>'24'!G134</f>
        <v>0</v>
      </c>
      <c r="AD27" s="19">
        <f>'24'!G135</f>
        <v>0</v>
      </c>
      <c r="AE27" s="19">
        <f t="shared" si="8"/>
        <v>23.549999999995634</v>
      </c>
      <c r="AF27" s="23">
        <f t="shared" si="2"/>
        <v>4221.2300000000032</v>
      </c>
      <c r="AG27" s="23">
        <f t="shared" si="9"/>
        <v>179.24543524419471</v>
      </c>
      <c r="AH27" s="19">
        <f>'24'!G136</f>
        <v>6.8800000000010186</v>
      </c>
      <c r="AI27" s="19">
        <f>'24'!G137</f>
        <v>0</v>
      </c>
      <c r="AJ27" s="19">
        <f>'24'!G138</f>
        <v>0</v>
      </c>
      <c r="AK27" s="19">
        <f t="shared" si="10"/>
        <v>6.8800000000010186</v>
      </c>
      <c r="AL27" s="19">
        <f>'24'!G139</f>
        <v>7.9100000000000819</v>
      </c>
      <c r="AM27" s="19">
        <f>'24'!G140</f>
        <v>0</v>
      </c>
      <c r="AN27" s="19"/>
      <c r="AO27" s="19">
        <f t="shared" si="11"/>
        <v>7.9100000000000819</v>
      </c>
      <c r="AP27" s="258">
        <f>'24'!G123</f>
        <v>269.06000000005588</v>
      </c>
      <c r="AQ27" s="261">
        <f>'24'!G35</f>
        <v>0</v>
      </c>
      <c r="AR27" s="19">
        <f>'24'!G37</f>
        <v>0</v>
      </c>
      <c r="AS27" s="19">
        <f>'24'!G38</f>
        <v>0</v>
      </c>
      <c r="AT27" s="19">
        <f>'24'!G39</f>
        <v>0</v>
      </c>
      <c r="AU27" s="19">
        <f>'24'!G40</f>
        <v>0</v>
      </c>
      <c r="AV27" s="19">
        <f>'24'!G41</f>
        <v>4221.32</v>
      </c>
      <c r="AW27" s="19">
        <f>'24'!G42</f>
        <v>-8.999999999650754E-2</v>
      </c>
      <c r="AX27" s="19">
        <f>'24'!G43</f>
        <v>2378.3699999999953</v>
      </c>
      <c r="AY27" s="23">
        <f>'24'!G44</f>
        <v>0</v>
      </c>
      <c r="AZ27" s="262">
        <f>'24'!G36</f>
        <v>725.89999999996508</v>
      </c>
      <c r="BA27" s="261">
        <f>'24'!G49</f>
        <v>3075.429999999993</v>
      </c>
      <c r="BB27" s="19">
        <f>'24'!G51</f>
        <v>1478.3600000000006</v>
      </c>
      <c r="BC27" s="19">
        <f>'24'!G52</f>
        <v>1833.9199999999837</v>
      </c>
      <c r="BD27" s="19">
        <f>'24'!G53</f>
        <v>4203.9500000000116</v>
      </c>
      <c r="BE27" s="19">
        <f>'24'!G54</f>
        <v>47.170000000000073</v>
      </c>
      <c r="BF27" s="19">
        <f>'24'!G55</f>
        <v>0</v>
      </c>
      <c r="BG27" s="19">
        <f>'24'!G56</f>
        <v>0</v>
      </c>
      <c r="BH27" s="19">
        <f>'24'!G57</f>
        <v>0</v>
      </c>
      <c r="BI27" s="262">
        <f>'24'!G50</f>
        <v>999</v>
      </c>
      <c r="BJ27" s="401">
        <f t="shared" si="12"/>
        <v>4221.2300000000032</v>
      </c>
      <c r="BK27" s="401">
        <f>'24'!G84</f>
        <v>524</v>
      </c>
      <c r="BL27" s="23">
        <f t="shared" si="13"/>
        <v>49.89443556288996</v>
      </c>
      <c r="BM27" s="23">
        <f t="shared" si="14"/>
        <v>21.679903047805745</v>
      </c>
      <c r="BN27" s="24">
        <f t="shared" si="15"/>
        <v>9.4575834149862495E-2</v>
      </c>
      <c r="BO27" s="25">
        <f t="shared" si="16"/>
        <v>247224.20000000391</v>
      </c>
      <c r="BP27" s="213">
        <f t="shared" si="17"/>
        <v>7123.5999999999985</v>
      </c>
      <c r="BQ27">
        <f t="shared" si="18"/>
        <v>1.0803154382774218</v>
      </c>
    </row>
    <row r="28" spans="1:69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0.65</v>
      </c>
      <c r="G28" s="19">
        <f>'25'!G8</f>
        <v>19342</v>
      </c>
      <c r="H28" s="19">
        <f>'25'!G8</f>
        <v>19342</v>
      </c>
      <c r="I28" s="19">
        <f>'25'!G7</f>
        <v>19169</v>
      </c>
      <c r="J28" s="19">
        <v>10</v>
      </c>
      <c r="K28" s="242">
        <f t="shared" si="3"/>
        <v>193420</v>
      </c>
      <c r="L28" s="238">
        <f t="shared" si="4"/>
        <v>94.896039603960389</v>
      </c>
      <c r="M28" s="19">
        <f>'25'!G15</f>
        <v>930.86000000010245</v>
      </c>
      <c r="N28" s="19">
        <v>35</v>
      </c>
      <c r="O28" s="234">
        <f t="shared" si="5"/>
        <v>32580.100000003586</v>
      </c>
      <c r="P28" s="19">
        <f>'25'!G20</f>
        <v>183</v>
      </c>
      <c r="Q28" s="19">
        <v>134</v>
      </c>
      <c r="R28" s="239">
        <f t="shared" si="0"/>
        <v>24522</v>
      </c>
      <c r="S28" s="240">
        <f t="shared" si="1"/>
        <v>139.37547600913936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83</v>
      </c>
      <c r="X28" s="22">
        <f>'25'!G96</f>
        <v>24</v>
      </c>
      <c r="Y28" s="22">
        <f>'25'!G97</f>
        <v>25</v>
      </c>
      <c r="Z28" s="22">
        <f t="shared" si="7"/>
        <v>132</v>
      </c>
      <c r="AA28" s="19">
        <f>'25'!G132</f>
        <v>23.959999999999127</v>
      </c>
      <c r="AB28" s="19">
        <f>'25'!G133</f>
        <v>0</v>
      </c>
      <c r="AC28" s="19">
        <f>'25'!G134</f>
        <v>0</v>
      </c>
      <c r="AD28" s="19">
        <f>'25'!G135</f>
        <v>0</v>
      </c>
      <c r="AE28" s="19">
        <f t="shared" si="8"/>
        <v>23.959999999999127</v>
      </c>
      <c r="AF28" s="23">
        <f t="shared" si="2"/>
        <v>3515.1100000000006</v>
      </c>
      <c r="AG28" s="23">
        <f t="shared" si="9"/>
        <v>146.70742904841939</v>
      </c>
      <c r="AH28" s="19">
        <f>'24'!G136</f>
        <v>6.8800000000010186</v>
      </c>
      <c r="AI28" s="19">
        <f>'24'!G137</f>
        <v>0</v>
      </c>
      <c r="AJ28" s="19">
        <f>'24'!G138</f>
        <v>0</v>
      </c>
      <c r="AK28" s="19">
        <f t="shared" si="10"/>
        <v>6.8800000000010186</v>
      </c>
      <c r="AL28" s="19">
        <f>'23'!G139</f>
        <v>7.0099999999999909</v>
      </c>
      <c r="AM28" s="19">
        <f>'24'!G140</f>
        <v>0</v>
      </c>
      <c r="AN28" s="19"/>
      <c r="AO28" s="19">
        <f t="shared" si="11"/>
        <v>7.0099999999999909</v>
      </c>
      <c r="AP28" s="258">
        <f>'25'!G123</f>
        <v>269.20999999996275</v>
      </c>
      <c r="AQ28" s="261">
        <f>'25'!G35</f>
        <v>0</v>
      </c>
      <c r="AR28" s="19">
        <f>'25'!G37</f>
        <v>0</v>
      </c>
      <c r="AS28" s="19">
        <f>'25'!G38</f>
        <v>0</v>
      </c>
      <c r="AT28" s="19">
        <f>'25'!G39</f>
        <v>0</v>
      </c>
      <c r="AU28" s="19">
        <f>'25'!G40</f>
        <v>0</v>
      </c>
      <c r="AV28" s="19">
        <f>'25'!G41</f>
        <v>3515.1100000000006</v>
      </c>
      <c r="AW28" s="19"/>
      <c r="AX28" s="19">
        <f>'25'!G43</f>
        <v>2253.3100000000559</v>
      </c>
      <c r="AY28" s="23">
        <f>'25'!G44</f>
        <v>0</v>
      </c>
      <c r="AZ28" s="262">
        <f>'25'!G36</f>
        <v>956.09000000002561</v>
      </c>
      <c r="BA28" s="261">
        <f>'25'!G49</f>
        <v>3187.609999999986</v>
      </c>
      <c r="BB28" s="19">
        <f>'25'!G51</f>
        <v>1503.8800000000047</v>
      </c>
      <c r="BC28" s="19">
        <f>'25'!G52</f>
        <v>1825</v>
      </c>
      <c r="BD28" s="19">
        <f>'25'!G53</f>
        <v>4326</v>
      </c>
      <c r="BE28" s="19">
        <f>'24'!G54</f>
        <v>47.170000000000073</v>
      </c>
      <c r="BF28" s="19">
        <f>'25'!G55</f>
        <v>0</v>
      </c>
      <c r="BG28" s="19">
        <f>'25'!G56</f>
        <v>0</v>
      </c>
      <c r="BH28" s="19">
        <f>'25'!G57</f>
        <v>0</v>
      </c>
      <c r="BI28" s="262">
        <f>'25'!G50</f>
        <v>1041.9599999999627</v>
      </c>
      <c r="BJ28" s="401">
        <f t="shared" si="12"/>
        <v>3515.1100000000006</v>
      </c>
      <c r="BK28" s="401">
        <f>'25'!G84</f>
        <v>516</v>
      </c>
      <c r="BL28" s="23">
        <f t="shared" si="13"/>
        <v>46.721425217799798</v>
      </c>
      <c r="BM28" s="23">
        <f t="shared" si="14"/>
        <v>22.567687411967238</v>
      </c>
      <c r="BN28" s="24">
        <f t="shared" si="15"/>
        <v>9.5205801032917731E-2</v>
      </c>
      <c r="BO28" s="25">
        <f t="shared" si="16"/>
        <v>250522.10000000359</v>
      </c>
      <c r="BP28" s="213">
        <f t="shared" si="17"/>
        <v>6284.4200000000565</v>
      </c>
      <c r="BQ28">
        <f t="shared" si="18"/>
        <v>0.93674278559508195</v>
      </c>
    </row>
    <row r="29" spans="1:69">
      <c r="A29" s="16">
        <v>26</v>
      </c>
      <c r="B29" s="26">
        <v>26</v>
      </c>
      <c r="C29" s="29"/>
      <c r="D29" s="19">
        <f>'26'!D3</f>
        <v>23</v>
      </c>
      <c r="E29" s="256">
        <f>'26'!D4</f>
        <v>0.74</v>
      </c>
      <c r="F29" s="256">
        <f>'26'!D2</f>
        <v>0.44</v>
      </c>
      <c r="G29" s="19">
        <f>'26'!G8</f>
        <v>19147</v>
      </c>
      <c r="H29" s="19">
        <f>'26'!G8</f>
        <v>19147</v>
      </c>
      <c r="I29" s="19">
        <f>'26'!G7</f>
        <v>18998</v>
      </c>
      <c r="J29" s="19">
        <v>10</v>
      </c>
      <c r="K29" s="242">
        <f t="shared" si="3"/>
        <v>191470</v>
      </c>
      <c r="L29" s="238">
        <f t="shared" si="4"/>
        <v>94.049504950495049</v>
      </c>
      <c r="M29" s="19">
        <f>'26'!G15</f>
        <v>855.13999999989755</v>
      </c>
      <c r="N29" s="19">
        <v>35</v>
      </c>
      <c r="O29" s="234">
        <f t="shared" si="5"/>
        <v>29929.899999996414</v>
      </c>
      <c r="P29" s="19">
        <f>'26'!G20</f>
        <v>189</v>
      </c>
      <c r="Q29" s="19">
        <v>134</v>
      </c>
      <c r="R29" s="239">
        <f t="shared" si="0"/>
        <v>25326</v>
      </c>
      <c r="S29" s="240">
        <f t="shared" si="1"/>
        <v>212.64626462646265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60</v>
      </c>
      <c r="X29" s="22">
        <f>'26'!G96</f>
        <v>19</v>
      </c>
      <c r="Y29" s="22">
        <f>'26'!G97</f>
        <v>25</v>
      </c>
      <c r="Z29" s="22">
        <f t="shared" si="7"/>
        <v>104</v>
      </c>
      <c r="AA29" s="19">
        <f>'26'!G132</f>
        <v>23.880000000004657</v>
      </c>
      <c r="AB29" s="19">
        <f>'26'!G133</f>
        <v>-9.9999999999909051E-3</v>
      </c>
      <c r="AC29" s="19">
        <f>'26'!G134</f>
        <v>-5.0000000002910383E-2</v>
      </c>
      <c r="AD29" s="19">
        <f>'26'!G135</f>
        <v>0</v>
      </c>
      <c r="AE29" s="19">
        <f t="shared" si="8"/>
        <v>23.820000000001755</v>
      </c>
      <c r="AF29" s="23">
        <f t="shared" si="2"/>
        <v>3760.380000000001</v>
      </c>
      <c r="AG29" s="23">
        <f t="shared" si="9"/>
        <v>157.86649874054257</v>
      </c>
      <c r="AH29" s="19">
        <f>'26'!G136</f>
        <v>8.680000000000291</v>
      </c>
      <c r="AI29" s="19">
        <f>'26'!G137</f>
        <v>0</v>
      </c>
      <c r="AJ29" s="19">
        <f>'26'!G138</f>
        <v>0</v>
      </c>
      <c r="AK29" s="19">
        <f t="shared" si="10"/>
        <v>8.680000000000291</v>
      </c>
      <c r="AL29" s="19">
        <f>'26'!G139</f>
        <v>7.7599999999999909</v>
      </c>
      <c r="AM29" s="19">
        <f>'26'!G140</f>
        <v>0</v>
      </c>
      <c r="AN29" s="19"/>
      <c r="AO29" s="19">
        <f t="shared" si="11"/>
        <v>7.7599999999999909</v>
      </c>
      <c r="AP29" s="258">
        <f>'26'!G123</f>
        <v>266.14000000001397</v>
      </c>
      <c r="AQ29" s="261">
        <f>'26'!G35</f>
        <v>0</v>
      </c>
      <c r="AR29" s="19">
        <f>'26'!G37</f>
        <v>0</v>
      </c>
      <c r="AS29" s="19">
        <f>'26'!G38</f>
        <v>-0.38000000000465661</v>
      </c>
      <c r="AT29" s="19">
        <f>'26'!G39</f>
        <v>0</v>
      </c>
      <c r="AU29" s="19">
        <f>'26'!G40</f>
        <v>0</v>
      </c>
      <c r="AV29" s="19">
        <f>'26'!G41</f>
        <v>3760.380000000001</v>
      </c>
      <c r="AW29" s="19">
        <f>'26'!G42</f>
        <v>0</v>
      </c>
      <c r="AX29" s="19">
        <f>'26'!G43</f>
        <v>2328.5399999999208</v>
      </c>
      <c r="AY29" s="23">
        <f>'26'!G44</f>
        <v>0</v>
      </c>
      <c r="AZ29" s="262">
        <f>'26'!G36</f>
        <v>748</v>
      </c>
      <c r="BA29" s="261">
        <f>'26'!G49</f>
        <v>3198.390000000014</v>
      </c>
      <c r="BB29" s="19">
        <f>'26'!G51</f>
        <v>1422.1199999999953</v>
      </c>
      <c r="BC29" s="19">
        <f>'26'!G52</f>
        <v>1907.1199999999953</v>
      </c>
      <c r="BD29" s="19">
        <f>'26'!G53</f>
        <v>4151.8499999999767</v>
      </c>
      <c r="BE29" s="19">
        <f>'26'!G54</f>
        <v>46</v>
      </c>
      <c r="BF29" s="19">
        <f>'26'!G55</f>
        <v>0</v>
      </c>
      <c r="BG29" s="19">
        <f>'26'!G56</f>
        <v>0</v>
      </c>
      <c r="BH29" s="19">
        <f>'26'!G57</f>
        <v>0</v>
      </c>
      <c r="BI29" s="262">
        <f>'26'!G50</f>
        <v>938.04000000003725</v>
      </c>
      <c r="BJ29" s="401">
        <f t="shared" si="12"/>
        <v>3760.380000000001</v>
      </c>
      <c r="BK29" s="401">
        <f>'26'!G84</f>
        <v>528</v>
      </c>
      <c r="BL29" s="23">
        <f t="shared" si="13"/>
        <v>48.885724813137891</v>
      </c>
      <c r="BM29" s="23">
        <f t="shared" si="14"/>
        <v>21.854142541320016</v>
      </c>
      <c r="BN29" s="24">
        <f t="shared" si="15"/>
        <v>0.10036530161069537</v>
      </c>
      <c r="BO29" s="25">
        <f t="shared" si="16"/>
        <v>246725.89999999641</v>
      </c>
      <c r="BP29" s="213">
        <f t="shared" si="17"/>
        <v>6616.9199999999219</v>
      </c>
      <c r="BQ29">
        <f t="shared" si="18"/>
        <v>0.99210147535076076</v>
      </c>
    </row>
    <row r="30" spans="1:69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18909</v>
      </c>
      <c r="H30" s="19">
        <f>'27'!G8</f>
        <v>18909</v>
      </c>
      <c r="I30" s="19">
        <f>'27'!G7</f>
        <v>18736</v>
      </c>
      <c r="J30" s="19">
        <v>10</v>
      </c>
      <c r="K30" s="242">
        <f t="shared" si="3"/>
        <v>189090</v>
      </c>
      <c r="L30" s="238">
        <f t="shared" si="4"/>
        <v>92.752475247524757</v>
      </c>
      <c r="M30" s="19">
        <f>'27'!G15</f>
        <v>843.93999999994412</v>
      </c>
      <c r="N30" s="19">
        <v>35</v>
      </c>
      <c r="O30" s="234">
        <f t="shared" si="5"/>
        <v>29537.899999998044</v>
      </c>
      <c r="P30" s="19">
        <f>'27'!G20</f>
        <v>174</v>
      </c>
      <c r="Q30" s="19">
        <v>134</v>
      </c>
      <c r="R30" s="239">
        <f t="shared" si="0"/>
        <v>23316</v>
      </c>
      <c r="S30" s="240">
        <f t="shared" si="1"/>
        <v>175.79308951303292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71</v>
      </c>
      <c r="X30" s="22">
        <f>'27'!G96</f>
        <v>15</v>
      </c>
      <c r="Y30" s="22">
        <f>'27'!G97</f>
        <v>13</v>
      </c>
      <c r="Z30" s="22">
        <f t="shared" si="7"/>
        <v>99</v>
      </c>
      <c r="AA30" s="19">
        <f>'27'!G132</f>
        <v>24.269999999996799</v>
      </c>
      <c r="AB30" s="19">
        <f>'27'!G133</f>
        <v>0</v>
      </c>
      <c r="AC30" s="19">
        <f>'27'!G134</f>
        <v>0</v>
      </c>
      <c r="AD30" s="19">
        <f>'27'!G135</f>
        <v>0</v>
      </c>
      <c r="AE30" s="19">
        <f t="shared" si="8"/>
        <v>24.269999999996799</v>
      </c>
      <c r="AF30" s="23">
        <f t="shared" si="2"/>
        <v>3663.5099999999984</v>
      </c>
      <c r="AG30" s="23">
        <f t="shared" si="9"/>
        <v>150.94808405440799</v>
      </c>
      <c r="AH30" s="19">
        <f>'27'!G136</f>
        <v>9.430000000000291</v>
      </c>
      <c r="AI30" s="19">
        <f>'27'!G137</f>
        <v>0</v>
      </c>
      <c r="AJ30" s="19">
        <f>'27'!G138</f>
        <v>0</v>
      </c>
      <c r="AK30" s="19">
        <f t="shared" si="10"/>
        <v>9.430000000000291</v>
      </c>
      <c r="AL30" s="19">
        <f>'27'!G139</f>
        <v>7.2799999999999727</v>
      </c>
      <c r="AM30" s="19">
        <f>'27'!G140</f>
        <v>0</v>
      </c>
      <c r="AN30" s="19"/>
      <c r="AO30" s="19">
        <f t="shared" si="11"/>
        <v>7.2799999999999727</v>
      </c>
      <c r="AP30" s="258">
        <f>'27'!G123</f>
        <v>250.60999999998603</v>
      </c>
      <c r="AQ30" s="261">
        <f>'27'!G35</f>
        <v>0</v>
      </c>
      <c r="AR30" s="19">
        <f>'27'!G37</f>
        <v>0</v>
      </c>
      <c r="AS30" s="19">
        <f>'27'!G38</f>
        <v>0</v>
      </c>
      <c r="AT30" s="19">
        <f>'27'!G39</f>
        <v>0</v>
      </c>
      <c r="AU30" s="19">
        <f>'27'!G40</f>
        <v>0</v>
      </c>
      <c r="AV30" s="19">
        <f>'27'!G41</f>
        <v>3663.5099999999984</v>
      </c>
      <c r="AW30" s="19">
        <f>'27'!G42</f>
        <v>0</v>
      </c>
      <c r="AX30" s="19">
        <f>'27'!G43</f>
        <v>2320.0999999999767</v>
      </c>
      <c r="AY30" s="23">
        <f>'27'!G44</f>
        <v>0</v>
      </c>
      <c r="AZ30" s="262">
        <f>'27'!G36</f>
        <v>626.72999999998137</v>
      </c>
      <c r="BA30" s="261">
        <f>'27'!G49</f>
        <v>3187.4500000000116</v>
      </c>
      <c r="BB30" s="19">
        <f>'27'!G51</f>
        <v>1436.5399999999936</v>
      </c>
      <c r="BC30" s="19">
        <f>'27'!G52</f>
        <v>1764.1599999999744</v>
      </c>
      <c r="BD30" s="19">
        <f>'27'!G53</f>
        <v>4080.1500000000233</v>
      </c>
      <c r="BE30" s="19">
        <f>'27'!G54</f>
        <v>56.550000000000182</v>
      </c>
      <c r="BF30" s="19">
        <f>'27'!G55</f>
        <v>0</v>
      </c>
      <c r="BG30" s="19">
        <f>'27'!G56</f>
        <v>0</v>
      </c>
      <c r="BH30" s="19">
        <f>'27'!G57</f>
        <v>0</v>
      </c>
      <c r="BI30" s="262">
        <f>'27'!G50</f>
        <v>1027.289999999979</v>
      </c>
      <c r="BJ30" s="401">
        <f t="shared" si="12"/>
        <v>3663.5099999999984</v>
      </c>
      <c r="BK30" s="401">
        <f>'27'!G84</f>
        <v>556</v>
      </c>
      <c r="BL30" s="23">
        <f t="shared" si="13"/>
        <v>48.948868488471319</v>
      </c>
      <c r="BM30" s="23">
        <f t="shared" si="14"/>
        <v>21.777060204953155</v>
      </c>
      <c r="BN30" s="24">
        <f t="shared" si="15"/>
        <v>9.4158838599486247E-2</v>
      </c>
      <c r="BO30" s="25">
        <f t="shared" si="16"/>
        <v>241943.89999999804</v>
      </c>
      <c r="BP30" s="213">
        <f t="shared" si="17"/>
        <v>6539.6099999999751</v>
      </c>
      <c r="BQ30">
        <f t="shared" si="18"/>
        <v>0.96233003708294163</v>
      </c>
    </row>
    <row r="31" spans="1:69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19519</v>
      </c>
      <c r="H31" s="19">
        <f>'28'!G8</f>
        <v>19519</v>
      </c>
      <c r="I31" s="19">
        <f>'28'!G7</f>
        <v>19357</v>
      </c>
      <c r="J31" s="19">
        <v>10</v>
      </c>
      <c r="K31" s="242">
        <f t="shared" si="3"/>
        <v>195190</v>
      </c>
      <c r="L31" s="238">
        <f t="shared" si="4"/>
        <v>95.82673267326733</v>
      </c>
      <c r="M31" s="19">
        <f>'28'!G15</f>
        <v>434.06000000005588</v>
      </c>
      <c r="N31" s="19">
        <v>35</v>
      </c>
      <c r="O31" s="234">
        <f t="shared" si="5"/>
        <v>15192.100000001956</v>
      </c>
      <c r="P31" s="19">
        <f>'28'!G20</f>
        <v>173</v>
      </c>
      <c r="Q31" s="19">
        <v>134</v>
      </c>
      <c r="R31" s="239">
        <f t="shared" si="0"/>
        <v>23182</v>
      </c>
      <c r="S31" s="240">
        <f t="shared" si="1"/>
        <v>164.6991622239147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43</v>
      </c>
      <c r="X31" s="22">
        <f>'28'!G96</f>
        <v>23</v>
      </c>
      <c r="Y31" s="22">
        <f>'28'!G97</f>
        <v>11</v>
      </c>
      <c r="Z31" s="22">
        <f t="shared" si="7"/>
        <v>77</v>
      </c>
      <c r="AA31" s="19">
        <f>'28'!G132</f>
        <v>23.810000000004948</v>
      </c>
      <c r="AB31" s="19">
        <f>'28'!G133</f>
        <v>0</v>
      </c>
      <c r="AC31" s="19">
        <f>'28'!G134</f>
        <v>0</v>
      </c>
      <c r="AD31" s="19">
        <f>'28'!G135</f>
        <v>0</v>
      </c>
      <c r="AE31" s="19">
        <f t="shared" si="8"/>
        <v>23.810000000004948</v>
      </c>
      <c r="AF31" s="23">
        <f t="shared" si="2"/>
        <v>3834.8299999999726</v>
      </c>
      <c r="AG31" s="23">
        <f t="shared" si="9"/>
        <v>161.05963880718923</v>
      </c>
      <c r="AH31" s="19">
        <f>'28'!G136</f>
        <v>-1.0000000002037268E-2</v>
      </c>
      <c r="AI31" s="19">
        <f>'28'!G137</f>
        <v>0</v>
      </c>
      <c r="AJ31" s="19">
        <f>'28'!G138</f>
        <v>0</v>
      </c>
      <c r="AK31" s="19">
        <f t="shared" si="10"/>
        <v>-1.0000000002037268E-2</v>
      </c>
      <c r="AL31" s="19">
        <f>'28'!G139</f>
        <v>7.9700000000000273</v>
      </c>
      <c r="AM31" s="19">
        <f>'28'!G140</f>
        <v>0.47000000000025466</v>
      </c>
      <c r="AN31" s="19"/>
      <c r="AO31" s="19">
        <f t="shared" si="11"/>
        <v>8.4400000000002819</v>
      </c>
      <c r="AP31" s="258">
        <f>'28'!G123</f>
        <v>267.04000000003725</v>
      </c>
      <c r="AQ31" s="261">
        <f>'28'!G35</f>
        <v>0.32999999995809048</v>
      </c>
      <c r="AR31" s="19">
        <f>'28'!G37</f>
        <v>0</v>
      </c>
      <c r="AS31" s="19">
        <f>'28'!G38</f>
        <v>0</v>
      </c>
      <c r="AT31" s="19">
        <f>'28'!G39</f>
        <v>0</v>
      </c>
      <c r="AU31" s="19">
        <f>'28'!G40</f>
        <v>0</v>
      </c>
      <c r="AV31" s="19">
        <f>'28'!G41</f>
        <v>3834.5599999999977</v>
      </c>
      <c r="AW31" s="19">
        <f>'28'!G42</f>
        <v>0</v>
      </c>
      <c r="AX31" s="478">
        <f>'28'!G43</f>
        <v>2323.0500000000466</v>
      </c>
      <c r="AY31" s="23">
        <f>'28'!G44</f>
        <v>0</v>
      </c>
      <c r="AZ31" s="262">
        <f>'28'!G36</f>
        <v>735.27000000001863</v>
      </c>
      <c r="BA31" s="261">
        <f>'28'!G49</f>
        <v>3272.5499999999884</v>
      </c>
      <c r="BB31" s="19">
        <f>'28'!G51</f>
        <v>1445.4600000000064</v>
      </c>
      <c r="BC31" s="19">
        <f>'28'!G52</f>
        <v>1734.210000000021</v>
      </c>
      <c r="BD31" s="19">
        <f>'28'!G53</f>
        <v>4173</v>
      </c>
      <c r="BE31" s="19">
        <f>'28'!G54</f>
        <v>50.449999999999818</v>
      </c>
      <c r="BF31" s="19">
        <f>'28'!G55</f>
        <v>0.41999999999825377</v>
      </c>
      <c r="BG31" s="19">
        <f>'28'!G56</f>
        <v>-0.15000000002328306</v>
      </c>
      <c r="BH31" s="19">
        <f>'28'!G57</f>
        <v>0</v>
      </c>
      <c r="BI31" s="262">
        <f>'28'!G50</f>
        <v>1462</v>
      </c>
      <c r="BJ31" s="401">
        <f t="shared" si="12"/>
        <v>3834.8299999999726</v>
      </c>
      <c r="BK31" s="401">
        <f>'28'!G84</f>
        <v>540</v>
      </c>
      <c r="BL31" s="23">
        <f>SUM(AQ31,AV31,AW31,AX31,BA31,BF31,BG31,BH31)/I31%</f>
        <v>48.720152916257511</v>
      </c>
      <c r="BM31" s="23">
        <f t="shared" si="14"/>
        <v>21.558092679650773</v>
      </c>
      <c r="BN31" s="24">
        <f t="shared" si="15"/>
        <v>8.9590845688899162E-2</v>
      </c>
      <c r="BO31" s="25">
        <f t="shared" si="16"/>
        <v>233564.10000000196</v>
      </c>
      <c r="BP31" s="213">
        <f t="shared" si="17"/>
        <v>6697.8800000000192</v>
      </c>
      <c r="BQ31">
        <f t="shared" si="18"/>
        <v>1.0046619067616589</v>
      </c>
    </row>
    <row r="32" spans="1:69">
      <c r="A32" s="16">
        <v>29</v>
      </c>
      <c r="B32" s="26">
        <v>29</v>
      </c>
      <c r="C32" s="28"/>
      <c r="D32" s="19">
        <f>'29'!D3</f>
        <v>24</v>
      </c>
      <c r="E32" s="256">
        <f>'29'!D4</f>
        <v>0.78</v>
      </c>
      <c r="F32" s="256">
        <f>'29'!D2</f>
        <v>0.66</v>
      </c>
      <c r="G32" s="19">
        <f>'29'!G8</f>
        <v>18944</v>
      </c>
      <c r="H32" s="19">
        <f>'29'!G8</f>
        <v>18944</v>
      </c>
      <c r="I32" s="19">
        <f>'29'!G7</f>
        <v>18748</v>
      </c>
      <c r="J32" s="19">
        <v>10</v>
      </c>
      <c r="K32" s="242">
        <f t="shared" si="3"/>
        <v>189440</v>
      </c>
      <c r="L32" s="238">
        <f t="shared" si="4"/>
        <v>92.811881188118818</v>
      </c>
      <c r="M32" s="19">
        <f>'29'!G15</f>
        <v>826.96999999997206</v>
      </c>
      <c r="N32" s="19">
        <v>35</v>
      </c>
      <c r="O32" s="234">
        <f t="shared" si="5"/>
        <v>28943.949999999022</v>
      </c>
      <c r="P32" s="19">
        <f>'29'!G20</f>
        <v>151</v>
      </c>
      <c r="Q32" s="19">
        <v>134</v>
      </c>
      <c r="R32" s="239">
        <f t="shared" si="0"/>
        <v>20234</v>
      </c>
      <c r="S32" s="240">
        <f t="shared" si="1"/>
        <v>113.26132613261326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65</v>
      </c>
      <c r="X32" s="22">
        <f>'29'!G96</f>
        <v>33</v>
      </c>
      <c r="Y32" s="22">
        <f>'29'!G97</f>
        <v>19</v>
      </c>
      <c r="Z32" s="22">
        <f t="shared" si="7"/>
        <v>117</v>
      </c>
      <c r="AA32" s="19">
        <f>'29'!G132</f>
        <v>24.059999999997672</v>
      </c>
      <c r="AB32" s="19">
        <f>'29'!G133</f>
        <v>0</v>
      </c>
      <c r="AC32" s="19">
        <f>'29'!G134</f>
        <v>0</v>
      </c>
      <c r="AD32" s="19">
        <f>'29'!G135</f>
        <v>0</v>
      </c>
      <c r="AE32" s="19">
        <f t="shared" si="8"/>
        <v>24.059999999997672</v>
      </c>
      <c r="AF32" s="23">
        <f t="shared" si="2"/>
        <v>3422.4400000000023</v>
      </c>
      <c r="AG32" s="23">
        <f t="shared" si="9"/>
        <v>142.24605153783597</v>
      </c>
      <c r="AH32" s="19">
        <f>'29'!G136</f>
        <v>8.930000000000291</v>
      </c>
      <c r="AI32" s="19">
        <f>'29'!G137</f>
        <v>0</v>
      </c>
      <c r="AJ32" s="19">
        <f>'29'!G138</f>
        <v>0</v>
      </c>
      <c r="AK32" s="19">
        <f t="shared" si="10"/>
        <v>8.930000000000291</v>
      </c>
      <c r="AL32" s="19">
        <f>'29'!G139</f>
        <v>7.1300000000001091</v>
      </c>
      <c r="AM32" s="19">
        <f>'29'!G140</f>
        <v>0</v>
      </c>
      <c r="AN32" s="19"/>
      <c r="AO32" s="19">
        <f t="shared" si="11"/>
        <v>7.1300000000001091</v>
      </c>
      <c r="AP32" s="258">
        <f>'29'!G123</f>
        <v>242.98999999999069</v>
      </c>
      <c r="AQ32" s="261">
        <f>'29'!G35</f>
        <v>0</v>
      </c>
      <c r="AR32" s="19">
        <f>'29'!G37</f>
        <v>0</v>
      </c>
      <c r="AS32" s="19">
        <f>'29'!G38</f>
        <v>0</v>
      </c>
      <c r="AT32" s="19">
        <f>'29'!G39</f>
        <v>0</v>
      </c>
      <c r="AU32" s="19">
        <f>'29'!G40</f>
        <v>0</v>
      </c>
      <c r="AV32" s="19">
        <f>'29'!G41</f>
        <v>3422.4400000000023</v>
      </c>
      <c r="AW32" s="19">
        <f>'29'!G42</f>
        <v>0</v>
      </c>
      <c r="AX32" s="19">
        <f>'29'!G43</f>
        <v>2326.6300000000047</v>
      </c>
      <c r="AY32" s="23">
        <f>'29'!G44</f>
        <v>0</v>
      </c>
      <c r="AZ32" s="262">
        <f>'29'!G36</f>
        <v>586.72999999998137</v>
      </c>
      <c r="BA32" s="261">
        <f>'29'!G49</f>
        <v>3058.5499999999884</v>
      </c>
      <c r="BB32" s="19">
        <f>'29'!G51</f>
        <v>1563</v>
      </c>
      <c r="BC32" s="19">
        <f>'29'!G52</f>
        <v>1955</v>
      </c>
      <c r="BD32" s="19">
        <f>'29'!G53</f>
        <v>4185.9699999999721</v>
      </c>
      <c r="BE32" s="19">
        <f>'29'!G54</f>
        <v>51.800000000000182</v>
      </c>
      <c r="BF32" s="19">
        <f>'29'!G55</f>
        <v>0</v>
      </c>
      <c r="BG32" s="19">
        <f>'29'!G56</f>
        <v>0</v>
      </c>
      <c r="BH32" s="19">
        <f>'29'!G57</f>
        <v>0</v>
      </c>
      <c r="BI32" s="262">
        <f>'29'!G50</f>
        <v>1108.9699999999721</v>
      </c>
      <c r="BJ32" s="401">
        <f t="shared" si="12"/>
        <v>3422.4400000000023</v>
      </c>
      <c r="BK32" s="401">
        <f>'29'!G84</f>
        <v>547</v>
      </c>
      <c r="BL32" s="23">
        <f t="shared" si="13"/>
        <v>46.978984425005315</v>
      </c>
      <c r="BM32" s="23">
        <f t="shared" si="14"/>
        <v>22.327554939193366</v>
      </c>
      <c r="BN32" s="24">
        <f t="shared" si="15"/>
        <v>0.10427778963089396</v>
      </c>
      <c r="BO32" s="25">
        <f t="shared" si="16"/>
        <v>238617.94999999902</v>
      </c>
      <c r="BP32" s="213">
        <f t="shared" si="17"/>
        <v>6296.070000000007</v>
      </c>
      <c r="BQ32">
        <f t="shared" si="18"/>
        <v>0.93457873174216488</v>
      </c>
    </row>
    <row r="33" spans="1:69">
      <c r="A33" s="16">
        <v>30</v>
      </c>
      <c r="B33" s="27">
        <v>30</v>
      </c>
      <c r="C33" s="28"/>
      <c r="D33" s="19">
        <f>'30'!D33</f>
        <v>0</v>
      </c>
      <c r="E33" s="256">
        <f>'30'!D4</f>
        <v>0.8</v>
      </c>
      <c r="F33" s="256">
        <f>'30'!D2</f>
        <v>0.3</v>
      </c>
      <c r="G33" s="19">
        <f>'30'!G8</f>
        <v>-2331009</v>
      </c>
      <c r="H33" s="19">
        <f>'30'!G8</f>
        <v>-2331009</v>
      </c>
      <c r="I33" s="19">
        <f>'30'!G7</f>
        <v>-2314382</v>
      </c>
      <c r="J33" s="19">
        <v>10</v>
      </c>
      <c r="K33" s="242">
        <f t="shared" si="3"/>
        <v>-23310090</v>
      </c>
      <c r="L33" s="238">
        <f t="shared" si="4"/>
        <v>-11457.336633663366</v>
      </c>
      <c r="M33" s="19">
        <f>'30'!G15</f>
        <v>-77642.192000000039</v>
      </c>
      <c r="N33" s="19">
        <v>35</v>
      </c>
      <c r="O33" s="234">
        <f t="shared" si="5"/>
        <v>-2717476.7200000016</v>
      </c>
      <c r="P33" s="19">
        <f>'30'!G20</f>
        <v>-6373</v>
      </c>
      <c r="Q33" s="19">
        <v>134</v>
      </c>
      <c r="R33" s="239">
        <f t="shared" si="0"/>
        <v>-853982</v>
      </c>
      <c r="S33" s="240">
        <f t="shared" si="1"/>
        <v>-10516.501650165017</v>
      </c>
      <c r="T33" s="19">
        <f>'30'!G24</f>
        <v>0</v>
      </c>
      <c r="U33" s="19">
        <v>69</v>
      </c>
      <c r="V33" s="241">
        <f t="shared" si="6"/>
        <v>0</v>
      </c>
      <c r="W33" s="22">
        <f>'30'!G95</f>
        <v>-7353</v>
      </c>
      <c r="X33" s="22">
        <f>'30'!G96</f>
        <v>-2948</v>
      </c>
      <c r="Y33" s="22">
        <f>'30'!G97</f>
        <v>-2522</v>
      </c>
      <c r="Z33" s="22">
        <f t="shared" si="7"/>
        <v>-12823</v>
      </c>
      <c r="AA33" s="19">
        <f>'30'!G132</f>
        <v>-227.54000000000087</v>
      </c>
      <c r="AB33" s="19">
        <f>'30'!G133</f>
        <v>33911</v>
      </c>
      <c r="AC33" s="19">
        <f>'30'!G134</f>
        <v>-214.7300000000032</v>
      </c>
      <c r="AD33" s="19">
        <f>'30'!G135</f>
        <v>-1449</v>
      </c>
      <c r="AE33" s="19">
        <f t="shared" si="8"/>
        <v>32019.729999999996</v>
      </c>
      <c r="AF33" s="23">
        <f t="shared" si="2"/>
        <v>444295.12</v>
      </c>
      <c r="AG33" s="23">
        <f t="shared" si="9"/>
        <v>13.875667283890278</v>
      </c>
      <c r="AH33" s="19">
        <f>'30'!G136</f>
        <v>-435.81999999999971</v>
      </c>
      <c r="AI33" s="19">
        <f>'30'!G137</f>
        <v>-143.34000000000015</v>
      </c>
      <c r="AJ33" s="19">
        <f>'30'!G138</f>
        <v>-274.06999999999243</v>
      </c>
      <c r="AK33" s="19">
        <f t="shared" si="10"/>
        <v>-853.22999999999229</v>
      </c>
      <c r="AL33" s="19">
        <f>'30'!G139</f>
        <v>-556.88000000000011</v>
      </c>
      <c r="AM33" s="19">
        <f>'30'!G140</f>
        <v>-179.72999999999956</v>
      </c>
      <c r="AN33" s="19"/>
      <c r="AO33" s="19">
        <f t="shared" si="11"/>
        <v>-736.60999999999967</v>
      </c>
      <c r="AP33" s="258">
        <f>'30'!G123</f>
        <v>-25112.540000000037</v>
      </c>
      <c r="AQ33" s="261">
        <f>'30'!G35</f>
        <v>-95366.689999999944</v>
      </c>
      <c r="AR33" s="19">
        <f>'30'!G37</f>
        <v>-60832.650000000023</v>
      </c>
      <c r="AS33" s="19">
        <f>'30'!G38</f>
        <v>0</v>
      </c>
      <c r="AT33" s="19">
        <f>'30'!G39</f>
        <v>-149036.01</v>
      </c>
      <c r="AU33" s="19">
        <f>'30'!G40</f>
        <v>0</v>
      </c>
      <c r="AV33" s="19">
        <f>'30'!G41</f>
        <v>262907.95</v>
      </c>
      <c r="AW33" s="19">
        <f>'30'!G42</f>
        <v>181387.17</v>
      </c>
      <c r="AX33" s="19">
        <f>'30'!G43</f>
        <v>-276939.2</v>
      </c>
      <c r="AY33" s="23">
        <f>'30'!G44</f>
        <v>0</v>
      </c>
      <c r="AZ33" s="262">
        <f>'30'!G36</f>
        <v>-83205.479999999981</v>
      </c>
      <c r="BA33" s="19">
        <f>'30'!BA33</f>
        <v>0</v>
      </c>
      <c r="BB33" s="256">
        <f>'30'!BA4</f>
        <v>0</v>
      </c>
      <c r="BC33" s="256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0</v>
      </c>
      <c r="BI33" s="238">
        <f t="shared" ref="BI33" si="19">BF33/202</f>
        <v>0</v>
      </c>
      <c r="BJ33" s="401">
        <f t="shared" si="12"/>
        <v>444295.12</v>
      </c>
      <c r="BK33" s="401">
        <f>'31'!G84</f>
        <v>-14070</v>
      </c>
      <c r="BL33" s="23">
        <f t="shared" si="13"/>
        <v>-3.1105163279009274</v>
      </c>
      <c r="BM33" s="23">
        <f t="shared" si="14"/>
        <v>6.4395596751098134</v>
      </c>
      <c r="BN33" s="24">
        <f t="shared" si="15"/>
        <v>0</v>
      </c>
      <c r="BO33" s="25">
        <f t="shared" si="16"/>
        <v>-26881548.720000003</v>
      </c>
      <c r="BP33" s="213">
        <f t="shared" si="17"/>
        <v>153285.91999999998</v>
      </c>
      <c r="BQ33">
        <f t="shared" si="18"/>
        <v>1.7097262040801541E-2</v>
      </c>
    </row>
    <row r="34" spans="1:69">
      <c r="A34" s="16">
        <v>31</v>
      </c>
      <c r="B34" s="27">
        <v>31</v>
      </c>
      <c r="C34" s="28"/>
      <c r="D34" s="19">
        <f>'[2]30'!D34</f>
        <v>0</v>
      </c>
      <c r="E34" s="256" t="str">
        <f>'[2]31'!D5</f>
        <v>Unit</v>
      </c>
      <c r="F34" s="256">
        <f>'[2]31'!D3</f>
        <v>30</v>
      </c>
      <c r="G34" s="19">
        <f>'[2]31'!G8</f>
        <v>19595</v>
      </c>
      <c r="H34" s="19">
        <f>'[2]31'!G8</f>
        <v>19595</v>
      </c>
      <c r="I34" s="19">
        <f>'[2]31'!G7</f>
        <v>19398</v>
      </c>
      <c r="J34" s="19">
        <v>10</v>
      </c>
      <c r="K34" s="242">
        <f t="shared" si="3"/>
        <v>195950</v>
      </c>
      <c r="L34" s="238">
        <f t="shared" si="4"/>
        <v>96.029702970297024</v>
      </c>
      <c r="M34" s="19">
        <f>'[2]10'!G15</f>
        <v>827.6500000001397</v>
      </c>
      <c r="N34" s="19">
        <v>35</v>
      </c>
      <c r="O34" s="234">
        <f t="shared" si="5"/>
        <v>28967.750000004889</v>
      </c>
      <c r="P34" s="19">
        <f>'[2]31'!G20</f>
        <v>184</v>
      </c>
      <c r="Q34" s="19">
        <v>134</v>
      </c>
      <c r="R34" s="239">
        <f t="shared" si="0"/>
        <v>24656</v>
      </c>
      <c r="S34" s="240">
        <f t="shared" si="1"/>
        <v>3.0363036303630362</v>
      </c>
      <c r="T34" s="19">
        <f>'[2]31'!G24</f>
        <v>0</v>
      </c>
      <c r="U34" s="19">
        <v>69</v>
      </c>
      <c r="V34" s="241">
        <f t="shared" si="6"/>
        <v>0</v>
      </c>
      <c r="W34" s="22">
        <f>'[2]31'!G95</f>
        <v>63</v>
      </c>
      <c r="X34" s="22">
        <f>'[2]31'!G96</f>
        <v>15</v>
      </c>
      <c r="Y34" s="22">
        <f>'[2]31'!G97</f>
        <v>22</v>
      </c>
      <c r="Z34" s="22">
        <f t="shared" si="7"/>
        <v>100</v>
      </c>
      <c r="AA34" s="19">
        <f>'[2]31'!G132</f>
        <v>0</v>
      </c>
      <c r="AB34" s="19">
        <f>'[2]31'!G133</f>
        <v>0</v>
      </c>
      <c r="AC34" s="19">
        <f>'[2]31'!G134</f>
        <v>0</v>
      </c>
      <c r="AD34" s="19">
        <f>'[2]31'!G135</f>
        <v>23.919999999998254</v>
      </c>
      <c r="AE34" s="19">
        <f t="shared" si="8"/>
        <v>23.919999999998254</v>
      </c>
      <c r="AF34" s="23">
        <f t="shared" si="2"/>
        <v>4263.2099999999919</v>
      </c>
      <c r="AG34" s="23">
        <f t="shared" si="9"/>
        <v>178.22784280937722</v>
      </c>
      <c r="AH34" s="19">
        <f>'[2]31'!G136</f>
        <v>6.3300000000017462</v>
      </c>
      <c r="AI34" s="19">
        <f>'[2]31'!G137</f>
        <v>0</v>
      </c>
      <c r="AJ34" s="19">
        <f>'[2]31'!G138</f>
        <v>0</v>
      </c>
      <c r="AK34" s="19">
        <f t="shared" si="10"/>
        <v>6.3300000000017462</v>
      </c>
      <c r="AL34" s="19">
        <f>'[2]31'!G139</f>
        <v>0</v>
      </c>
      <c r="AM34" s="19">
        <f>'[2]31'!G140</f>
        <v>7.9200000000000728</v>
      </c>
      <c r="AN34" s="19"/>
      <c r="AO34" s="19">
        <f t="shared" si="11"/>
        <v>7.9200000000000728</v>
      </c>
      <c r="AP34" s="258">
        <f>'[2]31'!G123</f>
        <v>241.35000000009313</v>
      </c>
      <c r="AQ34" s="261">
        <f>'[2]31'!G35</f>
        <v>0</v>
      </c>
      <c r="AR34" s="19">
        <f>'[2]31'!G37</f>
        <v>0</v>
      </c>
      <c r="AS34" s="19">
        <f>'[2]31'!G38</f>
        <v>0</v>
      </c>
      <c r="AT34" s="19">
        <f>'[2]31'!G39</f>
        <v>0</v>
      </c>
      <c r="AU34" s="19">
        <f>'[2]31'!G40</f>
        <v>0</v>
      </c>
      <c r="AV34" s="19">
        <f>'[2]31'!G41</f>
        <v>0</v>
      </c>
      <c r="AW34" s="19">
        <f>'[2]31'!G42</f>
        <v>8.999999999650754E-2</v>
      </c>
      <c r="AX34" s="19">
        <f>'[2]31'!G43</f>
        <v>1972.7200000000885</v>
      </c>
      <c r="AY34" s="23">
        <f>'[2]31'!G44</f>
        <v>0</v>
      </c>
      <c r="AZ34" s="262">
        <f>'[2]31'!G36</f>
        <v>668.5800000000163</v>
      </c>
      <c r="BA34" s="261">
        <f>'[2]31'!G49</f>
        <v>2791.390000000014</v>
      </c>
      <c r="BB34" s="19">
        <f>'[2]31'!G51</f>
        <v>1472.3400000000038</v>
      </c>
      <c r="BC34" s="19">
        <f>'[2]31'!G52</f>
        <v>2047.2800000000279</v>
      </c>
      <c r="BD34" s="19">
        <f>'[2]31'!G53</f>
        <v>4400.9700000000012</v>
      </c>
      <c r="BE34" s="19">
        <f>'[2]31'!G54</f>
        <v>79.989999999999782</v>
      </c>
      <c r="BF34" s="19">
        <f>'[2]31'!BD7</f>
        <v>0</v>
      </c>
      <c r="BG34" s="19">
        <f>'[2]31'!G56</f>
        <v>4263.1199999999953</v>
      </c>
      <c r="BH34" s="19">
        <f>'[2]31'!H57</f>
        <v>0</v>
      </c>
      <c r="BI34" s="262">
        <f>'[2]31'!G50</f>
        <v>1070.4400000000023</v>
      </c>
      <c r="BJ34" s="401">
        <f t="shared" si="12"/>
        <v>4263.2099999999919</v>
      </c>
      <c r="BK34" s="401">
        <f>'[2]31'!G84</f>
        <v>377</v>
      </c>
      <c r="BL34" s="23">
        <f t="shared" si="13"/>
        <v>46.537374987112564</v>
      </c>
      <c r="BM34" s="23">
        <f t="shared" si="14"/>
        <v>22.687751314568519</v>
      </c>
      <c r="BN34" s="24">
        <f t="shared" si="15"/>
        <v>0.10554077739973337</v>
      </c>
      <c r="BO34" s="25">
        <f t="shared" si="16"/>
        <v>249573.75000000489</v>
      </c>
      <c r="BP34" s="213">
        <f t="shared" si="17"/>
        <v>6612.9300000000803</v>
      </c>
      <c r="BQ34">
        <f t="shared" si="18"/>
        <v>0.98735815814628569</v>
      </c>
    </row>
    <row r="35" spans="1:69">
      <c r="A35" s="16" t="s">
        <v>213</v>
      </c>
      <c r="B35" s="30"/>
      <c r="C35" s="31"/>
      <c r="D35" s="32">
        <f>AVERAGE(D4:D34)</f>
        <v>25.322580645161292</v>
      </c>
      <c r="E35" s="33"/>
      <c r="F35" s="415">
        <f>AVERAGE(F4:F34)</f>
        <v>1.4541064516129032</v>
      </c>
      <c r="G35" s="34">
        <f>SUM(G4:G34)</f>
        <v>-1742711</v>
      </c>
      <c r="H35" s="34">
        <f t="shared" ref="H35:BO35" si="20">SUM(H4:H34)</f>
        <v>-1742711</v>
      </c>
      <c r="I35" s="34">
        <f t="shared" si="20"/>
        <v>-1730604</v>
      </c>
      <c r="J35" s="34">
        <f t="shared" si="20"/>
        <v>309</v>
      </c>
      <c r="K35" s="34">
        <f t="shared" si="20"/>
        <v>-17447493</v>
      </c>
      <c r="L35" s="34">
        <f t="shared" si="20"/>
        <v>-8567.3465346534631</v>
      </c>
      <c r="M35" s="34">
        <f t="shared" si="20"/>
        <v>-52827.67200000002</v>
      </c>
      <c r="N35" s="34">
        <f t="shared" si="20"/>
        <v>1085</v>
      </c>
      <c r="O35" s="34">
        <f t="shared" si="20"/>
        <v>-1848968.5200000009</v>
      </c>
      <c r="P35" s="34">
        <f t="shared" si="20"/>
        <v>-1249</v>
      </c>
      <c r="Q35" s="34">
        <f t="shared" si="20"/>
        <v>4154</v>
      </c>
      <c r="R35" s="34">
        <f t="shared" si="20"/>
        <v>-167366</v>
      </c>
      <c r="S35" s="34">
        <f t="shared" si="20"/>
        <v>-5345.398070193336</v>
      </c>
      <c r="T35" s="34">
        <f t="shared" si="20"/>
        <v>0</v>
      </c>
      <c r="U35" s="34">
        <f t="shared" si="20"/>
        <v>2139</v>
      </c>
      <c r="V35" s="34">
        <f t="shared" si="20"/>
        <v>0</v>
      </c>
      <c r="W35" s="34">
        <f t="shared" si="20"/>
        <v>-5202</v>
      </c>
      <c r="X35" s="34">
        <f t="shared" si="20"/>
        <v>-2384</v>
      </c>
      <c r="Y35" s="34">
        <f t="shared" si="20"/>
        <v>-1902</v>
      </c>
      <c r="Z35" s="34">
        <f t="shared" si="20"/>
        <v>-9488</v>
      </c>
      <c r="AA35" s="34">
        <f t="shared" si="20"/>
        <v>-0.48000000000320142</v>
      </c>
      <c r="AB35" s="34">
        <f t="shared" si="20"/>
        <v>33911</v>
      </c>
      <c r="AC35" s="34">
        <f t="shared" si="20"/>
        <v>1.2699999999967986</v>
      </c>
      <c r="AD35" s="34">
        <f t="shared" si="20"/>
        <v>-1169.4700000000012</v>
      </c>
      <c r="AE35" s="34">
        <f t="shared" si="20"/>
        <v>32742.319999999992</v>
      </c>
      <c r="AF35" s="34">
        <f t="shared" si="20"/>
        <v>569417.22</v>
      </c>
      <c r="AG35" s="34">
        <f t="shared" si="20"/>
        <v>5210.325867131507</v>
      </c>
      <c r="AH35" s="34">
        <f t="shared" si="20"/>
        <v>-244.34999999999854</v>
      </c>
      <c r="AI35" s="34">
        <f t="shared" si="20"/>
        <v>-114.01000000000204</v>
      </c>
      <c r="AJ35" s="34">
        <f t="shared" si="20"/>
        <v>-222.63999999998487</v>
      </c>
      <c r="AK35" s="34">
        <f t="shared" si="20"/>
        <v>-580.99999999998545</v>
      </c>
      <c r="AL35" s="34">
        <f t="shared" si="20"/>
        <v>-436.28999999999996</v>
      </c>
      <c r="AM35" s="34">
        <f t="shared" si="20"/>
        <v>-70.219999999999345</v>
      </c>
      <c r="AN35" s="34">
        <f t="shared" si="20"/>
        <v>0</v>
      </c>
      <c r="AO35" s="34">
        <f t="shared" si="20"/>
        <v>-506.50999999999931</v>
      </c>
      <c r="AP35" s="34">
        <f t="shared" si="20"/>
        <v>-17512.25</v>
      </c>
      <c r="AQ35" s="34">
        <f t="shared" si="20"/>
        <v>-95365.689999999944</v>
      </c>
      <c r="AR35" s="34">
        <f t="shared" si="20"/>
        <v>-60832.650000000023</v>
      </c>
      <c r="AS35" s="34">
        <f t="shared" si="20"/>
        <v>0</v>
      </c>
      <c r="AT35" s="34">
        <f t="shared" si="20"/>
        <v>-149036.01</v>
      </c>
      <c r="AU35" s="34">
        <f t="shared" si="20"/>
        <v>0</v>
      </c>
      <c r="AV35" s="34">
        <f t="shared" si="20"/>
        <v>300127.95</v>
      </c>
      <c r="AW35" s="34">
        <f t="shared" si="20"/>
        <v>181387.17</v>
      </c>
      <c r="AX35" s="34">
        <f t="shared" si="20"/>
        <v>-210057.27999999997</v>
      </c>
      <c r="AY35" s="34">
        <f t="shared" si="20"/>
        <v>0</v>
      </c>
      <c r="AZ35" s="34">
        <f t="shared" si="20"/>
        <v>-62255.239999999991</v>
      </c>
      <c r="BA35" s="34">
        <f t="shared" si="20"/>
        <v>93217.94</v>
      </c>
      <c r="BB35" s="34">
        <f t="shared" si="20"/>
        <v>43800.23</v>
      </c>
      <c r="BC35" s="34">
        <f t="shared" si="20"/>
        <v>58669.650000000023</v>
      </c>
      <c r="BD35" s="34">
        <f t="shared" si="20"/>
        <v>119610.50999999998</v>
      </c>
      <c r="BE35" s="34">
        <f t="shared" si="20"/>
        <v>1716.42</v>
      </c>
      <c r="BF35" s="34">
        <f t="shared" si="20"/>
        <v>39120.73000000001</v>
      </c>
      <c r="BG35" s="34">
        <f t="shared" si="20"/>
        <v>48781.369999999995</v>
      </c>
      <c r="BH35" s="34">
        <f t="shared" si="20"/>
        <v>0</v>
      </c>
      <c r="BI35" s="34">
        <f t="shared" si="20"/>
        <v>32650.979999999981</v>
      </c>
      <c r="BJ35" s="34">
        <f t="shared" si="20"/>
        <v>569417.22</v>
      </c>
      <c r="BK35" s="34">
        <f t="shared" si="20"/>
        <v>4087</v>
      </c>
      <c r="BL35" s="34">
        <f t="shared" si="20"/>
        <v>1461.2443189006333</v>
      </c>
      <c r="BM35" s="34">
        <f t="shared" si="20"/>
        <v>621.99343089842193</v>
      </c>
      <c r="BN35" s="34">
        <f t="shared" si="20"/>
        <v>3.0176652142391767</v>
      </c>
      <c r="BO35" s="34">
        <f t="shared" si="20"/>
        <v>-19463827.520000003</v>
      </c>
      <c r="BP35" s="213">
        <f t="shared" si="17"/>
        <v>363446.94000000006</v>
      </c>
      <c r="BQ35">
        <f t="shared" si="18"/>
        <v>3.9643641187132928E-2</v>
      </c>
    </row>
    <row r="36" spans="1:69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5</v>
      </c>
      <c r="E36" s="35">
        <f t="shared" si="21"/>
        <v>0.16000000000000003</v>
      </c>
      <c r="F36" s="35">
        <f t="shared" si="21"/>
        <v>-0.16830000000000001</v>
      </c>
      <c r="G36" s="35"/>
      <c r="H36" s="35"/>
      <c r="I36" s="35">
        <f t="shared" ref="I36:AO36" si="22">I18-I17</f>
        <v>1473</v>
      </c>
      <c r="J36" s="35">
        <f t="shared" si="22"/>
        <v>0</v>
      </c>
      <c r="K36" s="235">
        <f t="shared" si="22"/>
        <v>14890</v>
      </c>
      <c r="L36" s="235">
        <f t="shared" si="22"/>
        <v>7.2920792079207928</v>
      </c>
      <c r="M36" s="35">
        <f t="shared" si="22"/>
        <v>65.665000000037253</v>
      </c>
      <c r="N36" s="35">
        <f t="shared" si="22"/>
        <v>0</v>
      </c>
      <c r="O36" s="235">
        <f t="shared" si="22"/>
        <v>2298.2750000013039</v>
      </c>
      <c r="P36" s="35">
        <f t="shared" si="22"/>
        <v>22</v>
      </c>
      <c r="Q36" s="35">
        <f t="shared" si="22"/>
        <v>0</v>
      </c>
      <c r="R36" s="235">
        <f t="shared" si="22"/>
        <v>2948</v>
      </c>
      <c r="S36" s="235">
        <f t="shared" si="22"/>
        <v>59.432459780468548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47</v>
      </c>
      <c r="X36" s="35">
        <f t="shared" si="22"/>
        <v>2</v>
      </c>
      <c r="Y36" s="35">
        <f t="shared" si="22"/>
        <v>7</v>
      </c>
      <c r="Z36" s="35">
        <f t="shared" si="22"/>
        <v>56</v>
      </c>
      <c r="AA36" s="35">
        <f t="shared" si="22"/>
        <v>0</v>
      </c>
      <c r="AB36" s="35">
        <f t="shared" si="22"/>
        <v>0</v>
      </c>
      <c r="AC36" s="35">
        <f t="shared" si="22"/>
        <v>-0.80000000000291038</v>
      </c>
      <c r="AD36" s="35">
        <f t="shared" si="22"/>
        <v>0</v>
      </c>
      <c r="AE36" s="35">
        <f t="shared" si="22"/>
        <v>-0.80000000000291038</v>
      </c>
      <c r="AF36" s="35">
        <f t="shared" si="22"/>
        <v>106.1749999999156</v>
      </c>
      <c r="AG36" s="35">
        <f t="shared" si="22"/>
        <v>10.538865657145692</v>
      </c>
      <c r="AH36" s="35">
        <f t="shared" si="22"/>
        <v>0.17000000000189175</v>
      </c>
      <c r="AI36" s="35">
        <f t="shared" si="22"/>
        <v>0</v>
      </c>
      <c r="AJ36" s="35">
        <f t="shared" si="22"/>
        <v>0.58000000000174623</v>
      </c>
      <c r="AK36" s="35">
        <f t="shared" si="22"/>
        <v>0.75000000000363798</v>
      </c>
      <c r="AL36" s="35">
        <f t="shared" si="22"/>
        <v>0.83000000000015461</v>
      </c>
      <c r="AM36" s="35">
        <f t="shared" si="22"/>
        <v>0</v>
      </c>
      <c r="AN36" s="35">
        <f t="shared" si="22"/>
        <v>0</v>
      </c>
      <c r="AO36" s="35">
        <f t="shared" si="22"/>
        <v>0.83000000000015461</v>
      </c>
      <c r="AP36" s="35"/>
      <c r="AQ36" s="35">
        <f t="shared" ref="AQ36:AX36" si="23">AQ18-AQ17</f>
        <v>0</v>
      </c>
      <c r="AR36" s="35">
        <f t="shared" si="23"/>
        <v>0</v>
      </c>
      <c r="AS36" s="35">
        <f t="shared" si="23"/>
        <v>0</v>
      </c>
      <c r="AT36" s="35">
        <f t="shared" si="23"/>
        <v>0</v>
      </c>
      <c r="AU36" s="35">
        <f t="shared" si="23"/>
        <v>0</v>
      </c>
      <c r="AV36" s="35">
        <f t="shared" si="23"/>
        <v>0</v>
      </c>
      <c r="AW36" s="35">
        <f t="shared" si="23"/>
        <v>0</v>
      </c>
      <c r="AX36" s="35">
        <f t="shared" si="23"/>
        <v>138.72999999986496</v>
      </c>
      <c r="AY36" s="35"/>
      <c r="AZ36" s="35"/>
      <c r="BA36" s="35">
        <f t="shared" ref="BA36:BH36" si="24">BA18-BA17</f>
        <v>240.21999999997206</v>
      </c>
      <c r="BB36" s="35">
        <f t="shared" si="24"/>
        <v>146.03799999998591</v>
      </c>
      <c r="BC36" s="35">
        <f t="shared" si="24"/>
        <v>177.64000000001397</v>
      </c>
      <c r="BD36" s="35">
        <f t="shared" si="24"/>
        <v>332.23999999999069</v>
      </c>
      <c r="BE36" s="35">
        <f t="shared" si="24"/>
        <v>1.7800000000006548</v>
      </c>
      <c r="BF36" s="35">
        <f t="shared" si="24"/>
        <v>106.01499999999942</v>
      </c>
      <c r="BG36" s="35">
        <f t="shared" si="24"/>
        <v>0.15999999991618097</v>
      </c>
      <c r="BH36" s="35">
        <f t="shared" si="24"/>
        <v>0</v>
      </c>
      <c r="BI36" s="35"/>
      <c r="BJ36" s="35"/>
      <c r="BK36" s="35"/>
      <c r="BL36" s="35">
        <f>BL18-BL17</f>
        <v>-1.330659664778814</v>
      </c>
      <c r="BM36" s="35">
        <f>BM18-BM17</f>
        <v>0.18473494768660004</v>
      </c>
      <c r="BN36" s="35"/>
      <c r="BO36" s="35">
        <f>BO18-BO17</f>
        <v>20136.275000001304</v>
      </c>
      <c r="BP36" s="35">
        <f>BP18-BP17</f>
        <v>289.90499999978056</v>
      </c>
    </row>
    <row r="37" spans="1:69">
      <c r="F37" s="213">
        <f>AVERAGE(F4:F35)</f>
        <v>1.4541064516129032</v>
      </c>
      <c r="G37" s="213"/>
      <c r="H37" s="213"/>
      <c r="I37" s="213">
        <f>AVERAGE(I4:I35)</f>
        <v>-108162.75</v>
      </c>
    </row>
    <row r="38" spans="1:69">
      <c r="B38" s="36" t="s">
        <v>68</v>
      </c>
      <c r="F38" s="414">
        <f>AVERAGE(F4:F35)</f>
        <v>1.4541064516129032</v>
      </c>
      <c r="G38" s="414"/>
      <c r="H38" s="414"/>
    </row>
    <row r="41" spans="1:69">
      <c r="BJ41">
        <f>(BJ31+BK31)/400</f>
        <v>10.937074999999931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topLeftCell="A13" workbookViewId="0">
      <selection activeCell="F20" sqref="F20:F30"/>
    </sheetView>
  </sheetViews>
  <sheetFormatPr defaultRowHeight="15.75"/>
  <cols>
    <col min="2" max="2" width="9.77734375" style="1272" customWidth="1"/>
    <col min="3" max="3" width="7.44140625" style="1272" customWidth="1"/>
    <col min="4" max="4" width="7.5546875" style="1272" customWidth="1"/>
    <col min="5" max="5" width="7.88671875" style="1272" customWidth="1"/>
    <col min="6" max="6" width="14.77734375" style="1272" customWidth="1"/>
  </cols>
  <sheetData>
    <row r="1" spans="1:7" ht="30">
      <c r="A1" s="1133"/>
      <c r="B1" s="1616" t="s">
        <v>325</v>
      </c>
      <c r="C1" s="1616" t="s">
        <v>323</v>
      </c>
      <c r="D1" s="1616" t="s">
        <v>324</v>
      </c>
      <c r="E1" s="1616" t="s">
        <v>327</v>
      </c>
      <c r="F1" s="1616" t="s">
        <v>326</v>
      </c>
      <c r="G1" s="1133"/>
    </row>
    <row r="2" spans="1:7">
      <c r="A2" s="1133">
        <v>1</v>
      </c>
      <c r="B2" s="1617">
        <v>38.6</v>
      </c>
      <c r="C2" s="1618">
        <v>81</v>
      </c>
      <c r="D2" s="1618">
        <v>8</v>
      </c>
      <c r="E2" s="1618">
        <f>SUM(C2:D2)/202%</f>
        <v>44.059405940594061</v>
      </c>
      <c r="F2" s="1618">
        <v>541</v>
      </c>
      <c r="G2" s="1134">
        <f>SUM(C2:D2)</f>
        <v>89</v>
      </c>
    </row>
    <row r="3" spans="1:7">
      <c r="A3" s="1133">
        <v>2</v>
      </c>
      <c r="B3" s="1617">
        <v>42.1</v>
      </c>
      <c r="C3" s="1618">
        <f t="shared" ref="C3:C4" si="0">B3*202/100</f>
        <v>85.042000000000002</v>
      </c>
      <c r="D3" s="1618">
        <v>24</v>
      </c>
      <c r="E3" s="1618">
        <f t="shared" ref="E3:E5" si="1">SUM(C3:D3)/202%</f>
        <v>53.981188118811879</v>
      </c>
      <c r="F3" s="1618">
        <v>405</v>
      </c>
      <c r="G3" s="1134">
        <f t="shared" ref="G3:G30" si="2">SUM(C3:D3)</f>
        <v>109.042</v>
      </c>
    </row>
    <row r="4" spans="1:7">
      <c r="A4" s="1133">
        <v>3</v>
      </c>
      <c r="B4" s="1617">
        <v>26.7</v>
      </c>
      <c r="C4" s="1618">
        <f t="shared" si="0"/>
        <v>53.933999999999997</v>
      </c>
      <c r="D4" s="1618">
        <v>24</v>
      </c>
      <c r="E4" s="1618">
        <f t="shared" si="1"/>
        <v>38.58118811881188</v>
      </c>
      <c r="F4" s="1618">
        <v>563</v>
      </c>
      <c r="G4" s="1134">
        <f t="shared" si="2"/>
        <v>77.933999999999997</v>
      </c>
    </row>
    <row r="5" spans="1:7">
      <c r="A5" s="1133">
        <v>4</v>
      </c>
      <c r="B5" s="1617"/>
      <c r="C5" s="1618"/>
      <c r="D5" s="1618"/>
      <c r="E5" s="1618">
        <f t="shared" si="1"/>
        <v>0</v>
      </c>
      <c r="F5" s="1618"/>
      <c r="G5" s="1134">
        <f t="shared" si="2"/>
        <v>0</v>
      </c>
    </row>
    <row r="6" spans="1:7">
      <c r="A6" s="1133">
        <v>5</v>
      </c>
      <c r="B6" s="1617"/>
      <c r="C6" s="1618"/>
      <c r="D6" s="1618"/>
      <c r="E6" s="1618">
        <f t="shared" ref="E6:E30" si="3">SUM(C6:D6)/202%</f>
        <v>0</v>
      </c>
      <c r="F6" s="1618"/>
      <c r="G6" s="1134">
        <f t="shared" si="2"/>
        <v>0</v>
      </c>
    </row>
    <row r="7" spans="1:7">
      <c r="A7" s="1133">
        <v>6</v>
      </c>
      <c r="B7" s="1617"/>
      <c r="C7" s="1618"/>
      <c r="D7" s="1618"/>
      <c r="E7" s="1618">
        <f t="shared" si="3"/>
        <v>0</v>
      </c>
      <c r="F7" s="1618"/>
      <c r="G7" s="1134">
        <f t="shared" si="2"/>
        <v>0</v>
      </c>
    </row>
    <row r="8" spans="1:7">
      <c r="A8" s="1133">
        <v>7</v>
      </c>
      <c r="B8" s="1617"/>
      <c r="C8" s="1618">
        <v>89</v>
      </c>
      <c r="D8" s="1618">
        <v>28</v>
      </c>
      <c r="E8" s="1618">
        <f t="shared" si="3"/>
        <v>57.920792079207921</v>
      </c>
      <c r="F8" s="1618"/>
      <c r="G8" s="1134">
        <f t="shared" si="2"/>
        <v>117</v>
      </c>
    </row>
    <row r="9" spans="1:7">
      <c r="A9" s="1133">
        <v>8</v>
      </c>
      <c r="B9" s="1617"/>
      <c r="C9" s="1618">
        <v>92</v>
      </c>
      <c r="D9" s="1618">
        <v>25</v>
      </c>
      <c r="E9" s="1618">
        <f t="shared" si="3"/>
        <v>57.920792079207921</v>
      </c>
      <c r="F9" s="1618"/>
      <c r="G9" s="1134">
        <f t="shared" si="2"/>
        <v>117</v>
      </c>
    </row>
    <row r="10" spans="1:7">
      <c r="A10" s="1133">
        <v>9</v>
      </c>
      <c r="B10" s="1617"/>
      <c r="C10" s="1618">
        <v>155</v>
      </c>
      <c r="D10" s="1618">
        <v>27</v>
      </c>
      <c r="E10" s="1618">
        <f t="shared" si="3"/>
        <v>90.099009900990097</v>
      </c>
      <c r="F10" s="1618"/>
      <c r="G10" s="1134">
        <f t="shared" si="2"/>
        <v>182</v>
      </c>
    </row>
    <row r="11" spans="1:7">
      <c r="A11" s="1133">
        <v>10</v>
      </c>
      <c r="B11" s="1617"/>
      <c r="C11" s="1618">
        <v>154</v>
      </c>
      <c r="D11" s="1618">
        <v>27</v>
      </c>
      <c r="E11" s="1618">
        <f t="shared" si="3"/>
        <v>89.603960396039597</v>
      </c>
      <c r="F11" s="1618"/>
      <c r="G11" s="1134">
        <f t="shared" si="2"/>
        <v>181</v>
      </c>
    </row>
    <row r="12" spans="1:7">
      <c r="A12" s="1133">
        <v>11</v>
      </c>
      <c r="B12" s="1617"/>
      <c r="C12" s="1618">
        <v>141</v>
      </c>
      <c r="D12" s="1618">
        <v>28</v>
      </c>
      <c r="E12" s="1618">
        <f t="shared" si="3"/>
        <v>83.663366336633658</v>
      </c>
      <c r="F12" s="1618"/>
      <c r="G12" s="1134">
        <f t="shared" si="2"/>
        <v>169</v>
      </c>
    </row>
    <row r="13" spans="1:7">
      <c r="A13" s="1133">
        <v>12</v>
      </c>
      <c r="B13" s="1617"/>
      <c r="C13" s="1618">
        <v>144</v>
      </c>
      <c r="D13" s="1618">
        <v>30</v>
      </c>
      <c r="E13" s="1618">
        <f t="shared" si="3"/>
        <v>86.138613861386133</v>
      </c>
      <c r="F13" s="1618"/>
      <c r="G13" s="1134">
        <f t="shared" si="2"/>
        <v>174</v>
      </c>
    </row>
    <row r="14" spans="1:7">
      <c r="A14" s="1133">
        <v>13</v>
      </c>
      <c r="B14" s="1617"/>
      <c r="C14" s="1618">
        <v>144</v>
      </c>
      <c r="D14" s="1618">
        <v>4</v>
      </c>
      <c r="E14" s="1618">
        <f t="shared" si="3"/>
        <v>73.267326732673268</v>
      </c>
      <c r="F14" s="1618"/>
      <c r="G14" s="1134">
        <f t="shared" si="2"/>
        <v>148</v>
      </c>
    </row>
    <row r="15" spans="1:7">
      <c r="A15" s="1133">
        <v>14</v>
      </c>
      <c r="B15" s="1617"/>
      <c r="C15" s="1618">
        <v>145</v>
      </c>
      <c r="D15" s="1618">
        <v>3</v>
      </c>
      <c r="E15" s="1618">
        <f t="shared" si="3"/>
        <v>73.267326732673268</v>
      </c>
      <c r="F15" s="1618"/>
      <c r="G15" s="1134">
        <f t="shared" si="2"/>
        <v>148</v>
      </c>
    </row>
    <row r="16" spans="1:7">
      <c r="A16" s="1133">
        <v>15</v>
      </c>
      <c r="B16" s="1617"/>
      <c r="C16" s="1618">
        <v>172</v>
      </c>
      <c r="D16" s="1618">
        <v>2</v>
      </c>
      <c r="E16" s="1618">
        <f t="shared" si="3"/>
        <v>86.138613861386133</v>
      </c>
      <c r="F16" s="1618"/>
      <c r="G16" s="1134">
        <f t="shared" si="2"/>
        <v>174</v>
      </c>
    </row>
    <row r="17" spans="1:7">
      <c r="A17" s="1133">
        <v>16</v>
      </c>
      <c r="B17" s="1617"/>
      <c r="C17" s="1618">
        <v>165</v>
      </c>
      <c r="D17" s="1618">
        <v>1</v>
      </c>
      <c r="E17" s="1618">
        <f t="shared" si="3"/>
        <v>82.178217821782184</v>
      </c>
      <c r="F17" s="1618"/>
      <c r="G17" s="1134">
        <f t="shared" si="2"/>
        <v>166</v>
      </c>
    </row>
    <row r="18" spans="1:7">
      <c r="A18" s="1133">
        <v>17</v>
      </c>
      <c r="B18" s="1617"/>
      <c r="C18" s="1618">
        <v>196</v>
      </c>
      <c r="D18" s="1618">
        <v>1</v>
      </c>
      <c r="E18" s="1618">
        <f t="shared" si="3"/>
        <v>97.524752475247524</v>
      </c>
      <c r="F18" s="1618"/>
      <c r="G18" s="1134">
        <f t="shared" si="2"/>
        <v>197</v>
      </c>
    </row>
    <row r="19" spans="1:7">
      <c r="A19" s="1133">
        <v>18</v>
      </c>
      <c r="B19" s="1617"/>
      <c r="C19" s="1618">
        <v>159</v>
      </c>
      <c r="D19" s="1618">
        <v>7</v>
      </c>
      <c r="E19" s="1618">
        <f t="shared" si="3"/>
        <v>82.178217821782184</v>
      </c>
      <c r="F19" s="1618"/>
      <c r="G19" s="1134">
        <f t="shared" si="2"/>
        <v>166</v>
      </c>
    </row>
    <row r="20" spans="1:7">
      <c r="A20" s="1133">
        <v>19</v>
      </c>
      <c r="B20" s="1617"/>
      <c r="C20" s="1618">
        <v>161</v>
      </c>
      <c r="D20" s="1618">
        <v>7</v>
      </c>
      <c r="E20" s="1618">
        <f t="shared" si="3"/>
        <v>83.168316831683171</v>
      </c>
      <c r="F20" s="1618">
        <v>283</v>
      </c>
      <c r="G20" s="1134">
        <f t="shared" si="2"/>
        <v>168</v>
      </c>
    </row>
    <row r="21" spans="1:7">
      <c r="A21" s="1133">
        <v>20</v>
      </c>
      <c r="B21" s="1617"/>
      <c r="C21" s="1618">
        <v>151</v>
      </c>
      <c r="D21" s="1618">
        <v>8</v>
      </c>
      <c r="E21" s="1618">
        <f t="shared" si="3"/>
        <v>78.712871287128706</v>
      </c>
      <c r="F21" s="1618">
        <v>333</v>
      </c>
      <c r="G21" s="1134">
        <f t="shared" si="2"/>
        <v>159</v>
      </c>
    </row>
    <row r="22" spans="1:7">
      <c r="A22" s="1133">
        <v>21</v>
      </c>
      <c r="B22" s="1617"/>
      <c r="C22" s="1618">
        <v>143</v>
      </c>
      <c r="D22" s="1618">
        <v>4</v>
      </c>
      <c r="E22" s="1618">
        <f t="shared" si="3"/>
        <v>72.772277227722768</v>
      </c>
      <c r="F22" s="1618">
        <v>324</v>
      </c>
      <c r="G22" s="1134">
        <f t="shared" si="2"/>
        <v>147</v>
      </c>
    </row>
    <row r="23" spans="1:7">
      <c r="A23" s="1133">
        <v>22</v>
      </c>
      <c r="B23" s="1617"/>
      <c r="C23" s="1618">
        <v>174</v>
      </c>
      <c r="D23" s="1618">
        <v>4</v>
      </c>
      <c r="E23" s="1618">
        <f t="shared" si="3"/>
        <v>88.118811881188122</v>
      </c>
      <c r="F23" s="1618">
        <v>381</v>
      </c>
      <c r="G23" s="1134">
        <f t="shared" si="2"/>
        <v>178</v>
      </c>
    </row>
    <row r="24" spans="1:7">
      <c r="A24" s="1133">
        <v>23</v>
      </c>
      <c r="B24" s="1617"/>
      <c r="C24" s="1618">
        <v>196</v>
      </c>
      <c r="D24" s="1618">
        <v>1</v>
      </c>
      <c r="E24" s="1618">
        <f t="shared" si="3"/>
        <v>97.524752475247524</v>
      </c>
      <c r="F24" s="1618">
        <v>592</v>
      </c>
      <c r="G24" s="1134">
        <f t="shared" si="2"/>
        <v>197</v>
      </c>
    </row>
    <row r="25" spans="1:7">
      <c r="A25" s="1133">
        <v>24</v>
      </c>
      <c r="B25" s="1617"/>
      <c r="C25" s="1618">
        <v>99</v>
      </c>
      <c r="D25" s="1618">
        <v>17</v>
      </c>
      <c r="E25" s="1618">
        <f t="shared" si="3"/>
        <v>57.425742574257427</v>
      </c>
      <c r="F25" s="1618">
        <v>412</v>
      </c>
      <c r="G25" s="1134">
        <f t="shared" si="2"/>
        <v>116</v>
      </c>
    </row>
    <row r="26" spans="1:7">
      <c r="A26" s="1133">
        <v>25</v>
      </c>
      <c r="B26" s="1617"/>
      <c r="C26" s="1618">
        <v>109</v>
      </c>
      <c r="D26" s="1618">
        <v>19</v>
      </c>
      <c r="E26" s="1618">
        <f t="shared" si="3"/>
        <v>63.366336633663366</v>
      </c>
      <c r="F26" s="1618">
        <v>524</v>
      </c>
      <c r="G26" s="1134">
        <f t="shared" si="2"/>
        <v>128</v>
      </c>
    </row>
    <row r="27" spans="1:7">
      <c r="A27" s="1133">
        <v>26</v>
      </c>
      <c r="B27" s="1617"/>
      <c r="C27" s="1618">
        <v>67</v>
      </c>
      <c r="D27" s="1618">
        <v>19</v>
      </c>
      <c r="E27" s="1618">
        <f t="shared" si="3"/>
        <v>42.574257425742573</v>
      </c>
      <c r="F27" s="1618">
        <v>354</v>
      </c>
      <c r="G27" s="1134">
        <f t="shared" si="2"/>
        <v>86</v>
      </c>
    </row>
    <row r="28" spans="1:7">
      <c r="A28" s="1133">
        <v>27</v>
      </c>
      <c r="B28" s="1617"/>
      <c r="C28" s="1618">
        <v>77</v>
      </c>
      <c r="D28" s="1618">
        <v>19</v>
      </c>
      <c r="E28" s="1618">
        <f t="shared" si="3"/>
        <v>47.524752475247524</v>
      </c>
      <c r="F28" s="1618">
        <v>249</v>
      </c>
      <c r="G28" s="1134">
        <f t="shared" si="2"/>
        <v>96</v>
      </c>
    </row>
    <row r="29" spans="1:7">
      <c r="A29" s="1133">
        <v>28</v>
      </c>
      <c r="B29" s="1617"/>
      <c r="C29" s="1618">
        <v>83</v>
      </c>
      <c r="D29" s="1618">
        <v>19</v>
      </c>
      <c r="E29" s="1618">
        <f t="shared" si="3"/>
        <v>50.495049504950494</v>
      </c>
      <c r="F29" s="1618">
        <v>325</v>
      </c>
      <c r="G29" s="1134">
        <f t="shared" si="2"/>
        <v>102</v>
      </c>
    </row>
    <row r="30" spans="1:7">
      <c r="A30" s="1133">
        <v>29</v>
      </c>
      <c r="B30" s="1617"/>
      <c r="C30" s="1618">
        <v>107</v>
      </c>
      <c r="D30" s="1618">
        <v>18</v>
      </c>
      <c r="E30" s="1618">
        <f t="shared" si="3"/>
        <v>61.881188118811878</v>
      </c>
      <c r="F30" s="1618">
        <v>423</v>
      </c>
      <c r="G30" s="1134">
        <f t="shared" si="2"/>
        <v>125</v>
      </c>
    </row>
    <row r="31" spans="1:7">
      <c r="A31" s="1133">
        <v>30</v>
      </c>
      <c r="B31" s="1618"/>
      <c r="C31" s="1618"/>
      <c r="D31" s="1618"/>
      <c r="E31" s="1618"/>
      <c r="F31" s="1618"/>
      <c r="G31" s="1133"/>
    </row>
    <row r="32" spans="1:7">
      <c r="A32" s="1133">
        <v>31</v>
      </c>
      <c r="B32" s="1618"/>
      <c r="C32" s="1618"/>
      <c r="D32" s="1618"/>
      <c r="E32" s="1618"/>
      <c r="F32" s="1618"/>
      <c r="G32" s="1133"/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3:AI30"/>
  <sheetViews>
    <sheetView topLeftCell="A16" zoomScale="90" zoomScaleNormal="90" workbookViewId="0">
      <selection activeCell="Q28" sqref="Q28"/>
    </sheetView>
  </sheetViews>
  <sheetFormatPr defaultRowHeight="15.75"/>
  <cols>
    <col min="2" max="2" width="16.44140625" style="527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27" width="4.44140625" customWidth="1"/>
    <col min="28" max="28" width="5.77734375" customWidth="1"/>
    <col min="29" max="34" width="4.44140625" customWidth="1"/>
  </cols>
  <sheetData>
    <row r="3" spans="2:35" s="37" customFormat="1">
      <c r="B3" s="1177"/>
      <c r="C3" s="1178" t="s">
        <v>0</v>
      </c>
      <c r="D3" s="1135">
        <v>1</v>
      </c>
      <c r="E3" s="1135">
        <v>2</v>
      </c>
      <c r="F3" s="1135">
        <v>3</v>
      </c>
      <c r="G3" s="1135">
        <v>4</v>
      </c>
      <c r="H3" s="1135">
        <v>5</v>
      </c>
      <c r="I3" s="1135">
        <v>6</v>
      </c>
      <c r="J3" s="1135">
        <v>7</v>
      </c>
      <c r="K3" s="1135">
        <v>8</v>
      </c>
      <c r="L3" s="1135">
        <v>9</v>
      </c>
      <c r="M3" s="1135">
        <v>10</v>
      </c>
      <c r="N3" s="1135">
        <v>11</v>
      </c>
      <c r="O3" s="1135">
        <v>12</v>
      </c>
      <c r="P3" s="1135">
        <v>13</v>
      </c>
      <c r="Q3" s="1135">
        <v>14</v>
      </c>
      <c r="R3" s="1178">
        <v>15</v>
      </c>
      <c r="S3" s="1178">
        <v>16</v>
      </c>
      <c r="T3" s="1178">
        <v>17</v>
      </c>
      <c r="U3" s="1178">
        <v>18</v>
      </c>
      <c r="V3" s="1178">
        <v>19</v>
      </c>
      <c r="W3" s="1178">
        <v>20</v>
      </c>
      <c r="X3" s="1178">
        <v>21</v>
      </c>
      <c r="Y3" s="1178">
        <v>22</v>
      </c>
      <c r="Z3" s="1178">
        <v>23</v>
      </c>
      <c r="AA3" s="1178">
        <v>24</v>
      </c>
      <c r="AB3" s="1178">
        <v>25</v>
      </c>
      <c r="AC3" s="1178">
        <v>26</v>
      </c>
      <c r="AD3" s="1178">
        <v>27</v>
      </c>
      <c r="AE3" s="1178">
        <v>28</v>
      </c>
      <c r="AF3" s="1178">
        <v>29</v>
      </c>
      <c r="AG3" s="1178">
        <v>30</v>
      </c>
      <c r="AH3" s="1178">
        <v>31</v>
      </c>
      <c r="AI3" s="1178"/>
    </row>
    <row r="4" spans="2:35">
      <c r="B4" s="528"/>
      <c r="C4" s="524" t="s">
        <v>69</v>
      </c>
      <c r="D4" s="525">
        <f>'[3]1'!F3</f>
        <v>0.5</v>
      </c>
      <c r="E4" s="525">
        <f>'[3]2'!F3</f>
        <v>0.1</v>
      </c>
      <c r="F4" s="525">
        <f>'[3]3'!F3</f>
        <v>0.5</v>
      </c>
      <c r="G4" s="525"/>
      <c r="H4" s="525"/>
      <c r="I4" s="525"/>
      <c r="J4" s="525"/>
      <c r="K4" s="525"/>
      <c r="L4" s="525"/>
      <c r="M4" s="525"/>
      <c r="N4" s="525"/>
      <c r="O4" s="525"/>
      <c r="P4" s="525"/>
      <c r="Q4" s="525"/>
      <c r="R4" s="525"/>
      <c r="S4" s="525"/>
      <c r="T4" s="525"/>
      <c r="U4" s="525"/>
      <c r="V4" s="525"/>
      <c r="W4" s="525"/>
      <c r="X4" s="525"/>
      <c r="Y4" s="525"/>
      <c r="Z4" s="525"/>
      <c r="AA4" s="525"/>
      <c r="AB4" s="525"/>
      <c r="AC4" s="525"/>
      <c r="AD4" s="525"/>
      <c r="AE4" s="525"/>
      <c r="AF4" s="525"/>
      <c r="AG4" s="525"/>
      <c r="AH4" s="525"/>
      <c r="AI4" s="524"/>
    </row>
    <row r="5" spans="2:35">
      <c r="B5" s="528"/>
      <c r="C5" s="524" t="s">
        <v>70</v>
      </c>
      <c r="D5" s="526">
        <f>'1'!G18</f>
        <v>150</v>
      </c>
      <c r="E5" s="526">
        <f>'2'!G18</f>
        <v>120</v>
      </c>
      <c r="F5" s="526">
        <f>'3'!G18</f>
        <v>120</v>
      </c>
      <c r="G5" s="526">
        <f>'4'!G18</f>
        <v>100</v>
      </c>
      <c r="H5" s="526">
        <f>'5'!G18</f>
        <v>80</v>
      </c>
      <c r="I5" s="526">
        <f>'6'!G18</f>
        <v>70</v>
      </c>
      <c r="J5" s="526">
        <f>'7'!G18</f>
        <v>70</v>
      </c>
      <c r="K5" s="526">
        <f>'8'!G18</f>
        <v>80</v>
      </c>
      <c r="L5" s="526">
        <f>'9'!G18</f>
        <v>120</v>
      </c>
      <c r="M5" s="526">
        <f>'10'!G18</f>
        <v>100</v>
      </c>
      <c r="N5" s="526">
        <f>'11'!G18</f>
        <v>140</v>
      </c>
      <c r="O5" s="526">
        <f>'12'!G18</f>
        <v>100</v>
      </c>
      <c r="P5" s="526">
        <f>'13'!G18</f>
        <v>120</v>
      </c>
      <c r="Q5" s="526">
        <f>'14'!G18</f>
        <v>100</v>
      </c>
      <c r="R5" s="526">
        <f>'15'!G18</f>
        <v>120</v>
      </c>
      <c r="S5" s="526">
        <f>'16'!G18</f>
        <v>200</v>
      </c>
      <c r="T5" s="526">
        <f>'17'!G18</f>
        <v>140</v>
      </c>
      <c r="U5" s="526">
        <f>'18'!G18</f>
        <v>140</v>
      </c>
      <c r="V5" s="526">
        <f>'19'!G18</f>
        <v>120</v>
      </c>
      <c r="W5" s="526">
        <f>'20'!G18</f>
        <v>140</v>
      </c>
      <c r="X5" s="526">
        <f>'21'!G18</f>
        <v>130</v>
      </c>
      <c r="Y5" s="526">
        <f>'22'!G18</f>
        <v>120</v>
      </c>
      <c r="Z5" s="526">
        <f>'23'!G18</f>
        <v>160</v>
      </c>
      <c r="AA5" s="526">
        <f>'24'!G18</f>
        <v>140</v>
      </c>
      <c r="AB5" s="526">
        <f>'25'!G18</f>
        <v>130</v>
      </c>
      <c r="AC5" s="526">
        <f>'26'!G18</f>
        <v>140</v>
      </c>
      <c r="AD5" s="526">
        <f>'27'!G18</f>
        <v>120</v>
      </c>
      <c r="AE5" s="526">
        <f>'28'!G18</f>
        <v>120</v>
      </c>
      <c r="AF5" s="526">
        <f>'29'!G18</f>
        <v>100</v>
      </c>
      <c r="AG5" s="526">
        <f>'30'!G18</f>
        <v>60</v>
      </c>
      <c r="AH5" s="526">
        <f>'31'!G18</f>
        <v>40</v>
      </c>
      <c r="AI5" s="524"/>
    </row>
    <row r="6" spans="2:35">
      <c r="B6" s="528"/>
      <c r="C6" s="524" t="s">
        <v>71</v>
      </c>
      <c r="D6" s="526">
        <f>'1'!G19</f>
        <v>47</v>
      </c>
      <c r="E6" s="526">
        <f>'2'!G19</f>
        <v>55</v>
      </c>
      <c r="F6" s="526">
        <f>'3'!G19</f>
        <v>47</v>
      </c>
      <c r="G6" s="526">
        <f>'4'!G19</f>
        <v>53</v>
      </c>
      <c r="H6" s="526">
        <f>'5'!G19</f>
        <v>52</v>
      </c>
      <c r="I6" s="526">
        <f>'6'!G19</f>
        <v>48</v>
      </c>
      <c r="J6" s="526">
        <f>'7'!G19</f>
        <v>52</v>
      </c>
      <c r="K6" s="526">
        <f>'8'!G19</f>
        <v>48</v>
      </c>
      <c r="L6" s="526">
        <f>'9'!G19</f>
        <v>37</v>
      </c>
      <c r="M6" s="526">
        <f>'10'!G19</f>
        <v>41</v>
      </c>
      <c r="N6" s="526">
        <f>'11'!G19</f>
        <v>54</v>
      </c>
      <c r="O6" s="526">
        <f>'12'!G19</f>
        <v>52</v>
      </c>
      <c r="P6" s="526">
        <f>'13'!G19</f>
        <v>54</v>
      </c>
      <c r="Q6" s="526">
        <f>'14'!G19</f>
        <v>51</v>
      </c>
      <c r="R6" s="526">
        <f>'15'!G19</f>
        <v>53</v>
      </c>
      <c r="S6" s="526">
        <f>'16'!G19</f>
        <v>54</v>
      </c>
      <c r="T6" s="526">
        <f>'17'!G19</f>
        <v>39</v>
      </c>
      <c r="U6" s="526">
        <f>'18'!G19</f>
        <v>52</v>
      </c>
      <c r="V6" s="526">
        <f>'19'!G19</f>
        <v>52</v>
      </c>
      <c r="W6" s="526">
        <f>'20'!G19</f>
        <v>50</v>
      </c>
      <c r="X6" s="526">
        <f>'21'!G19</f>
        <v>49</v>
      </c>
      <c r="Y6" s="526">
        <f>'22'!G19</f>
        <v>57</v>
      </c>
      <c r="Z6" s="526">
        <f>'23'!G19</f>
        <v>43</v>
      </c>
      <c r="AA6" s="526">
        <f>'24'!G19</f>
        <v>50</v>
      </c>
      <c r="AB6" s="526">
        <f>'25'!G19</f>
        <v>53</v>
      </c>
      <c r="AC6" s="526">
        <f>'26'!G19</f>
        <v>49</v>
      </c>
      <c r="AD6" s="526">
        <f>'27'!G19</f>
        <v>54</v>
      </c>
      <c r="AE6" s="526">
        <f>'28'!G19</f>
        <v>53</v>
      </c>
      <c r="AF6" s="526">
        <f>'29'!G19</f>
        <v>51</v>
      </c>
      <c r="AG6" s="526">
        <f>'30'!G19</f>
        <v>-6433</v>
      </c>
      <c r="AH6" s="526">
        <f>'31'!G19</f>
        <v>-1685</v>
      </c>
      <c r="AI6" s="524"/>
    </row>
    <row r="7" spans="2:35">
      <c r="B7" s="528"/>
      <c r="C7" s="524" t="s">
        <v>72</v>
      </c>
      <c r="D7" s="526">
        <f>'1'!G92</f>
        <v>133</v>
      </c>
      <c r="E7" s="526">
        <f>'2'!G92</f>
        <v>86</v>
      </c>
      <c r="F7" s="526">
        <f>'3'!G92</f>
        <v>75</v>
      </c>
      <c r="G7" s="526">
        <f>'4'!G92</f>
        <v>52</v>
      </c>
      <c r="H7" s="526">
        <f>'5'!G92</f>
        <v>33</v>
      </c>
      <c r="I7" s="526">
        <f>'6'!G92</f>
        <v>63</v>
      </c>
      <c r="J7" s="526">
        <f>'7'!G92</f>
        <v>45</v>
      </c>
      <c r="K7" s="526">
        <f>'8'!G92</f>
        <v>62</v>
      </c>
      <c r="L7" s="526">
        <f>'9'!G92</f>
        <v>75</v>
      </c>
      <c r="M7" s="526">
        <f>'10'!G92</f>
        <v>99</v>
      </c>
      <c r="N7" s="526">
        <f>'11'!G92</f>
        <v>115</v>
      </c>
      <c r="O7" s="526">
        <f>'12'!G92</f>
        <v>73</v>
      </c>
      <c r="P7" s="526">
        <f>'13'!G92</f>
        <v>72</v>
      </c>
      <c r="Q7" s="526">
        <f>'14'!G92</f>
        <v>55</v>
      </c>
      <c r="R7" s="526">
        <f>'15'!G92</f>
        <v>114</v>
      </c>
      <c r="S7" s="526">
        <f>'16'!G92</f>
        <v>148</v>
      </c>
      <c r="T7" s="526">
        <f>'17'!G92</f>
        <v>114</v>
      </c>
      <c r="U7" s="526">
        <f>'18'!G92</f>
        <v>104</v>
      </c>
      <c r="V7" s="526">
        <f>'19'!G92</f>
        <v>81</v>
      </c>
      <c r="W7" s="526">
        <f>'20'!G92</f>
        <v>106</v>
      </c>
      <c r="X7" s="526">
        <f>'21'!G92</f>
        <v>85</v>
      </c>
      <c r="Y7" s="526">
        <f>'22'!G92</f>
        <v>87</v>
      </c>
      <c r="Z7" s="526">
        <f>'23'!G92</f>
        <v>103</v>
      </c>
      <c r="AA7" s="526">
        <f>'24'!G92</f>
        <v>103</v>
      </c>
      <c r="AB7" s="526">
        <f>'25'!G92</f>
        <v>96</v>
      </c>
      <c r="AC7" s="526">
        <f>'26'!G92</f>
        <v>108</v>
      </c>
      <c r="AD7" s="526">
        <f>'27'!G92</f>
        <v>90</v>
      </c>
      <c r="AE7" s="526">
        <f>'28'!G92</f>
        <v>57</v>
      </c>
      <c r="AF7" s="526">
        <f>'29'!G92</f>
        <v>69</v>
      </c>
      <c r="AG7" s="526">
        <f>'30'!G92</f>
        <v>-9023</v>
      </c>
      <c r="AH7" s="526">
        <f>'31'!G92</f>
        <v>-743</v>
      </c>
      <c r="AI7" s="524"/>
    </row>
    <row r="8" spans="2:35">
      <c r="B8" s="1359" t="s">
        <v>73</v>
      </c>
      <c r="C8" s="524" t="s">
        <v>33</v>
      </c>
      <c r="D8" s="526">
        <f>'1'!G95</f>
        <v>60</v>
      </c>
      <c r="E8" s="526">
        <f>'2'!G95</f>
        <v>71</v>
      </c>
      <c r="F8" s="526">
        <f>'3'!G95</f>
        <v>60</v>
      </c>
      <c r="G8" s="526">
        <f>'4'!G95</f>
        <v>68</v>
      </c>
      <c r="H8" s="526">
        <f>'5'!G95</f>
        <v>44</v>
      </c>
      <c r="I8" s="526">
        <f>'6'!G95</f>
        <v>57</v>
      </c>
      <c r="J8" s="526">
        <f>'7'!G95</f>
        <v>48</v>
      </c>
      <c r="K8" s="526">
        <f>'8'!G95</f>
        <v>59</v>
      </c>
      <c r="L8" s="526">
        <f>'9'!G95</f>
        <v>68</v>
      </c>
      <c r="M8" s="526">
        <f>'10'!G95</f>
        <v>61</v>
      </c>
      <c r="N8" s="526">
        <f>'11'!G95</f>
        <v>93</v>
      </c>
      <c r="O8" s="526">
        <f>'12'!G95</f>
        <v>71</v>
      </c>
      <c r="P8" s="526">
        <f>'13'!G95</f>
        <v>67</v>
      </c>
      <c r="Q8" s="526">
        <f>'14'!G95</f>
        <v>68</v>
      </c>
      <c r="R8" s="526">
        <f>'15'!G95</f>
        <v>115</v>
      </c>
      <c r="S8" s="526">
        <f>'16'!G95</f>
        <v>113</v>
      </c>
      <c r="T8" s="526">
        <f>'17'!G95</f>
        <v>86</v>
      </c>
      <c r="U8" s="526">
        <f>'18'!G95</f>
        <v>84</v>
      </c>
      <c r="V8" s="526">
        <f>'19'!G95</f>
        <v>81</v>
      </c>
      <c r="W8" s="526">
        <f>'20'!G95</f>
        <v>88</v>
      </c>
      <c r="X8" s="526">
        <f>'21'!G95</f>
        <v>75</v>
      </c>
      <c r="Y8" s="526">
        <f>'22'!G95</f>
        <v>83</v>
      </c>
      <c r="Z8" s="526">
        <f>'23'!G95</f>
        <v>75</v>
      </c>
      <c r="AA8" s="526">
        <f>'24'!G95</f>
        <v>71</v>
      </c>
      <c r="AB8" s="526">
        <f>'25'!G95</f>
        <v>83</v>
      </c>
      <c r="AC8" s="526">
        <f>'26'!G95</f>
        <v>60</v>
      </c>
      <c r="AD8" s="526">
        <f>'27'!G95</f>
        <v>71</v>
      </c>
      <c r="AE8" s="526">
        <f>'28'!G95</f>
        <v>43</v>
      </c>
      <c r="AF8" s="526">
        <f>'29'!G95</f>
        <v>65</v>
      </c>
      <c r="AG8" s="526">
        <f>'30'!G95</f>
        <v>-7353</v>
      </c>
      <c r="AH8" s="526">
        <f>'31'!G95</f>
        <v>-1242</v>
      </c>
      <c r="AI8" s="524"/>
    </row>
    <row r="9" spans="2:35">
      <c r="B9" s="1359"/>
      <c r="C9" s="524" t="s">
        <v>34</v>
      </c>
      <c r="D9" s="526">
        <f>'1'!G96</f>
        <v>33</v>
      </c>
      <c r="E9" s="526">
        <f>'2'!G96</f>
        <v>16</v>
      </c>
      <c r="F9" s="526">
        <f>'3'!G96</f>
        <v>20</v>
      </c>
      <c r="G9" s="526">
        <f>'4'!G96</f>
        <v>14</v>
      </c>
      <c r="H9" s="526">
        <f>'5'!G96</f>
        <v>18</v>
      </c>
      <c r="I9" s="526">
        <f>'6'!G96</f>
        <v>21</v>
      </c>
      <c r="J9" s="526">
        <f>'7'!G96</f>
        <v>14</v>
      </c>
      <c r="K9" s="526">
        <f>'8'!G96</f>
        <v>16</v>
      </c>
      <c r="L9" s="526">
        <f>'9'!G96</f>
        <v>17</v>
      </c>
      <c r="M9" s="526">
        <f>'10'!G96</f>
        <v>21</v>
      </c>
      <c r="N9" s="526">
        <f>'11'!G96</f>
        <v>19</v>
      </c>
      <c r="O9" s="526">
        <f>'12'!G96</f>
        <v>21</v>
      </c>
      <c r="P9" s="526">
        <f>'13'!G96</f>
        <v>16</v>
      </c>
      <c r="Q9" s="526">
        <f>'14'!G96</f>
        <v>10</v>
      </c>
      <c r="R9" s="526">
        <f>'15'!G96</f>
        <v>12</v>
      </c>
      <c r="S9" s="526">
        <f>'16'!G96</f>
        <v>21</v>
      </c>
      <c r="T9" s="526">
        <f>'17'!G96</f>
        <v>22</v>
      </c>
      <c r="U9" s="526">
        <f>'18'!G96</f>
        <v>17</v>
      </c>
      <c r="V9" s="526">
        <f>'19'!G96</f>
        <v>13</v>
      </c>
      <c r="W9" s="526">
        <f>'20'!G96</f>
        <v>16</v>
      </c>
      <c r="X9" s="526">
        <f>'21'!G96</f>
        <v>17</v>
      </c>
      <c r="Y9" s="526">
        <f>'22'!G96</f>
        <v>18</v>
      </c>
      <c r="Z9" s="526">
        <f>'23'!G96</f>
        <v>18</v>
      </c>
      <c r="AA9" s="526">
        <f>'24'!G96</f>
        <v>25</v>
      </c>
      <c r="AB9" s="526">
        <f>'25'!G96</f>
        <v>24</v>
      </c>
      <c r="AC9" s="526">
        <f>'26'!G96</f>
        <v>19</v>
      </c>
      <c r="AD9" s="526">
        <f>'27'!G96</f>
        <v>15</v>
      </c>
      <c r="AE9" s="526">
        <f>'28'!G96</f>
        <v>23</v>
      </c>
      <c r="AF9" s="526">
        <f>'29'!G96</f>
        <v>33</v>
      </c>
      <c r="AG9" s="526">
        <f>'30'!G96</f>
        <v>-2948</v>
      </c>
      <c r="AH9" s="526">
        <f>'31'!G96</f>
        <v>-370</v>
      </c>
      <c r="AI9" s="524"/>
    </row>
    <row r="10" spans="2:35">
      <c r="B10" s="1359"/>
      <c r="C10" s="524" t="s">
        <v>35</v>
      </c>
      <c r="D10" s="526">
        <f>'1'!G97</f>
        <v>37</v>
      </c>
      <c r="E10" s="526">
        <f>'2'!G97</f>
        <v>23</v>
      </c>
      <c r="F10" s="526">
        <f>'3'!G97</f>
        <v>17</v>
      </c>
      <c r="G10" s="526">
        <f>'4'!G97</f>
        <v>15</v>
      </c>
      <c r="H10" s="526">
        <f>'5'!G97</f>
        <v>15</v>
      </c>
      <c r="I10" s="526">
        <f>'6'!G97</f>
        <v>12</v>
      </c>
      <c r="J10" s="526">
        <f>'7'!G97</f>
        <v>15</v>
      </c>
      <c r="K10" s="526">
        <f>'8'!G97</f>
        <v>16</v>
      </c>
      <c r="L10" s="526">
        <f>'9'!G97</f>
        <v>22</v>
      </c>
      <c r="M10" s="526">
        <f>'10'!G97</f>
        <v>27</v>
      </c>
      <c r="N10" s="526">
        <f>'11'!G97</f>
        <v>20</v>
      </c>
      <c r="O10" s="526">
        <f>'12'!G97</f>
        <v>17</v>
      </c>
      <c r="P10" s="526">
        <f>'13'!G97</f>
        <v>17</v>
      </c>
      <c r="Q10" s="526">
        <f>'14'!G97</f>
        <v>15</v>
      </c>
      <c r="R10" s="526">
        <f>'15'!G97</f>
        <v>22</v>
      </c>
      <c r="S10" s="526">
        <f>'16'!G97</f>
        <v>26</v>
      </c>
      <c r="T10" s="526">
        <f>'17'!G97</f>
        <v>30</v>
      </c>
      <c r="U10" s="526">
        <f>'18'!G97</f>
        <v>24</v>
      </c>
      <c r="V10" s="526">
        <f>'19'!G97</f>
        <v>19</v>
      </c>
      <c r="W10" s="526">
        <f>'20'!G97</f>
        <v>21</v>
      </c>
      <c r="X10" s="526">
        <f>'21'!G97</f>
        <v>16</v>
      </c>
      <c r="Y10" s="526">
        <f>'22'!G97</f>
        <v>20</v>
      </c>
      <c r="Z10" s="526">
        <f>'23'!G97</f>
        <v>26</v>
      </c>
      <c r="AA10" s="526">
        <f>'24'!G97</f>
        <v>33</v>
      </c>
      <c r="AB10" s="526">
        <f>'25'!G97</f>
        <v>25</v>
      </c>
      <c r="AC10" s="526">
        <f>'26'!G97</f>
        <v>25</v>
      </c>
      <c r="AD10" s="526">
        <f>'27'!G97</f>
        <v>13</v>
      </c>
      <c r="AE10" s="526">
        <f>'28'!G97</f>
        <v>11</v>
      </c>
      <c r="AF10" s="526">
        <f>'29'!G97</f>
        <v>19</v>
      </c>
      <c r="AG10" s="526">
        <f>'30'!G97</f>
        <v>-2522</v>
      </c>
      <c r="AH10" s="526">
        <f>'31'!G97</f>
        <v>-444</v>
      </c>
      <c r="AI10" s="524"/>
    </row>
    <row r="11" spans="2:35">
      <c r="B11" s="528"/>
      <c r="C11" s="524"/>
      <c r="D11" s="524"/>
      <c r="E11" s="524"/>
      <c r="F11" s="524"/>
      <c r="G11" s="524"/>
      <c r="H11" s="524"/>
      <c r="I11" s="524"/>
      <c r="J11" s="524"/>
      <c r="K11" s="524"/>
      <c r="L11" s="524"/>
      <c r="M11" s="524"/>
      <c r="N11" s="524"/>
      <c r="O11" s="524"/>
      <c r="P11" s="524"/>
      <c r="Q11" s="524"/>
      <c r="R11" s="524"/>
      <c r="S11" s="524"/>
      <c r="T11" s="524"/>
      <c r="U11" s="524"/>
      <c r="V11" s="524"/>
      <c r="W11" s="524"/>
      <c r="X11" s="524"/>
      <c r="Y11" s="524"/>
      <c r="Z11" s="524"/>
      <c r="AA11" s="524"/>
      <c r="AB11" s="524"/>
      <c r="AC11" s="524"/>
      <c r="AD11" s="524"/>
      <c r="AE11" s="524"/>
      <c r="AF11" s="524"/>
      <c r="AG11" s="524"/>
      <c r="AH11" s="524"/>
      <c r="AI11" s="524"/>
    </row>
    <row r="12" spans="2:35">
      <c r="B12" s="1359" t="s">
        <v>74</v>
      </c>
      <c r="C12" s="524" t="s">
        <v>33</v>
      </c>
      <c r="D12" s="526">
        <f>'1'!G98</f>
        <v>50</v>
      </c>
      <c r="E12" s="526">
        <f>'2'!G98</f>
        <v>59</v>
      </c>
      <c r="F12" s="526">
        <f>'3'!G98</f>
        <v>34</v>
      </c>
      <c r="G12" s="526">
        <f>'4'!G98</f>
        <v>95</v>
      </c>
      <c r="H12" s="526">
        <f>'5'!G98</f>
        <v>64</v>
      </c>
      <c r="I12" s="526">
        <f>'6'!G98</f>
        <v>52</v>
      </c>
      <c r="J12" s="526">
        <f>'7'!G98</f>
        <v>46</v>
      </c>
      <c r="K12" s="526">
        <f>'8'!G98</f>
        <v>53</v>
      </c>
      <c r="L12" s="526">
        <f>'9'!G98</f>
        <v>48</v>
      </c>
      <c r="M12" s="526">
        <f>'10'!G98</f>
        <v>80</v>
      </c>
      <c r="N12" s="526">
        <f>'11'!G98</f>
        <v>64</v>
      </c>
      <c r="O12" s="526">
        <f>'12'!G98</f>
        <v>46</v>
      </c>
      <c r="P12" s="526">
        <f>'13'!G98</f>
        <v>56</v>
      </c>
      <c r="Q12" s="526">
        <f>'14'!G98</f>
        <v>72</v>
      </c>
      <c r="R12" s="526">
        <f>'15'!G98</f>
        <v>52</v>
      </c>
      <c r="S12" s="526">
        <f>'16'!G98</f>
        <v>97</v>
      </c>
      <c r="T12" s="526">
        <f>'17'!G98</f>
        <v>61</v>
      </c>
      <c r="U12" s="526">
        <f>'18'!G98</f>
        <v>32</v>
      </c>
      <c r="V12" s="526">
        <f>'19'!G98</f>
        <v>38</v>
      </c>
      <c r="W12" s="526">
        <f>'20'!G98</f>
        <v>30</v>
      </c>
      <c r="X12" s="526">
        <f>'21'!G98</f>
        <v>29</v>
      </c>
      <c r="Y12" s="526">
        <f>'22'!G98</f>
        <v>56</v>
      </c>
      <c r="Z12" s="526">
        <f>'23'!G98</f>
        <v>56</v>
      </c>
      <c r="AA12" s="526">
        <f>'24'!G98</f>
        <v>45</v>
      </c>
      <c r="AB12" s="526">
        <f>'25'!G98</f>
        <v>50</v>
      </c>
      <c r="AC12" s="526">
        <f>'26'!G98</f>
        <v>62</v>
      </c>
      <c r="AD12" s="526">
        <f>'27'!G98</f>
        <v>64</v>
      </c>
      <c r="AE12" s="526">
        <f>'28'!G98</f>
        <v>59</v>
      </c>
      <c r="AF12" s="526">
        <f>'29'!G98</f>
        <v>65</v>
      </c>
      <c r="AG12" s="526">
        <f>'30'!G98</f>
        <v>-5667</v>
      </c>
      <c r="AH12" s="526">
        <f>'31'!G98</f>
        <v>-177</v>
      </c>
      <c r="AI12" s="524"/>
    </row>
    <row r="13" spans="2:35">
      <c r="B13" s="1359"/>
      <c r="C13" s="524" t="s">
        <v>34</v>
      </c>
      <c r="D13" s="526">
        <f>'1'!G114</f>
        <v>33</v>
      </c>
      <c r="E13" s="526">
        <f>'2'!G114</f>
        <v>11</v>
      </c>
      <c r="F13" s="526">
        <f>'3'!G114</f>
        <v>11</v>
      </c>
      <c r="G13" s="526">
        <f>'4'!G114</f>
        <v>12</v>
      </c>
      <c r="H13" s="526">
        <f>'5'!G114</f>
        <v>24</v>
      </c>
      <c r="I13" s="526">
        <f>'6'!G114</f>
        <v>8</v>
      </c>
      <c r="J13" s="526">
        <f>'7'!G114</f>
        <v>9</v>
      </c>
      <c r="K13" s="526">
        <f>'8'!G114</f>
        <v>13</v>
      </c>
      <c r="L13" s="526">
        <f>'9'!G114</f>
        <v>16</v>
      </c>
      <c r="M13" s="526">
        <f>'10'!G114</f>
        <v>21</v>
      </c>
      <c r="N13" s="526">
        <f>'11'!G114</f>
        <v>27</v>
      </c>
      <c r="O13" s="526">
        <f>'12'!G114</f>
        <v>10</v>
      </c>
      <c r="P13" s="526">
        <f>'13'!G114</f>
        <v>11</v>
      </c>
      <c r="Q13" s="526">
        <f>'14'!G114</f>
        <v>9</v>
      </c>
      <c r="R13" s="526">
        <f>'15'!G114</f>
        <v>8</v>
      </c>
      <c r="S13" s="526">
        <f>'16'!G114</f>
        <v>28</v>
      </c>
      <c r="T13" s="526">
        <f>'17'!G114</f>
        <v>21</v>
      </c>
      <c r="U13" s="526">
        <f>'18'!G114</f>
        <v>14</v>
      </c>
      <c r="V13" s="526">
        <f>'19'!G114</f>
        <v>20</v>
      </c>
      <c r="W13" s="526">
        <f>'20'!G114</f>
        <v>30</v>
      </c>
      <c r="X13" s="526">
        <f>'21'!G114</f>
        <v>18</v>
      </c>
      <c r="Y13" s="526">
        <f>'22'!G114</f>
        <v>20</v>
      </c>
      <c r="Z13" s="526">
        <f>'23'!G114</f>
        <v>12</v>
      </c>
      <c r="AA13" s="526">
        <f>'24'!G114</f>
        <v>15</v>
      </c>
      <c r="AB13" s="526">
        <f>'25'!G114</f>
        <v>20</v>
      </c>
      <c r="AC13" s="526">
        <f>'26'!G114</f>
        <v>44</v>
      </c>
      <c r="AD13" s="526">
        <f>'27'!G114</f>
        <v>37</v>
      </c>
      <c r="AE13" s="526">
        <f>'28'!G114</f>
        <v>25</v>
      </c>
      <c r="AF13" s="526">
        <f>'29'!G114</f>
        <v>13</v>
      </c>
      <c r="AG13" s="526">
        <f>'30'!G114</f>
        <v>-1795</v>
      </c>
      <c r="AH13" s="526">
        <f>'31'!G114</f>
        <v>-239</v>
      </c>
      <c r="AI13" s="524"/>
    </row>
    <row r="14" spans="2:35">
      <c r="B14" s="1359"/>
      <c r="C14" s="524" t="s">
        <v>35</v>
      </c>
      <c r="D14" s="526">
        <f>'1'!G115</f>
        <v>15</v>
      </c>
      <c r="E14" s="526">
        <f>'2'!G115</f>
        <v>5</v>
      </c>
      <c r="F14" s="526">
        <f>'3'!G115</f>
        <v>9</v>
      </c>
      <c r="G14" s="526">
        <f>'4'!G115</f>
        <v>2</v>
      </c>
      <c r="H14" s="526">
        <f>'5'!G115</f>
        <v>6</v>
      </c>
      <c r="I14" s="526">
        <f>'6'!G115</f>
        <v>4</v>
      </c>
      <c r="J14" s="526">
        <f>'7'!G115</f>
        <v>10</v>
      </c>
      <c r="K14" s="526">
        <f>'8'!G115</f>
        <v>7</v>
      </c>
      <c r="L14" s="526">
        <f>'9'!G115</f>
        <v>8</v>
      </c>
      <c r="M14" s="526">
        <f>'10'!G115</f>
        <v>10</v>
      </c>
      <c r="N14" s="526">
        <f>'11'!G115</f>
        <v>8</v>
      </c>
      <c r="O14" s="526">
        <f>'12'!G115</f>
        <v>5</v>
      </c>
      <c r="P14" s="526">
        <f>'13'!G115</f>
        <v>7</v>
      </c>
      <c r="Q14" s="526">
        <f>'14'!G115</f>
        <v>8</v>
      </c>
      <c r="R14" s="526">
        <f>'15'!G115</f>
        <v>13</v>
      </c>
      <c r="S14" s="526">
        <f>'16'!G115</f>
        <v>13</v>
      </c>
      <c r="T14" s="526">
        <f>'17'!G115</f>
        <v>6</v>
      </c>
      <c r="U14" s="526">
        <f>'18'!G115</f>
        <v>6</v>
      </c>
      <c r="V14" s="526">
        <f>'19'!G115</f>
        <v>7</v>
      </c>
      <c r="W14" s="526">
        <f>'20'!G115</f>
        <v>10</v>
      </c>
      <c r="X14" s="526">
        <f>'21'!G115</f>
        <v>6</v>
      </c>
      <c r="Y14" s="526">
        <f>'22'!G115</f>
        <v>10</v>
      </c>
      <c r="Z14" s="526">
        <f>'23'!G115</f>
        <v>12</v>
      </c>
      <c r="AA14" s="526">
        <f>'24'!G115</f>
        <v>8</v>
      </c>
      <c r="AB14" s="526">
        <f>'25'!G115</f>
        <v>6</v>
      </c>
      <c r="AC14" s="526">
        <f>'26'!G115</f>
        <v>10</v>
      </c>
      <c r="AD14" s="526">
        <f>'27'!G115</f>
        <v>5</v>
      </c>
      <c r="AE14" s="526">
        <f>'28'!G115</f>
        <v>7</v>
      </c>
      <c r="AF14" s="526">
        <f>'29'!G115</f>
        <v>5</v>
      </c>
      <c r="AG14" s="526">
        <f>'30'!G115</f>
        <v>-1056</v>
      </c>
      <c r="AH14" s="526">
        <f>'31'!G115</f>
        <v>-136</v>
      </c>
      <c r="AI14" s="524"/>
    </row>
    <row r="15" spans="2:35">
      <c r="B15" s="528"/>
      <c r="C15" s="524"/>
      <c r="D15" s="524"/>
      <c r="E15" s="524"/>
      <c r="F15" s="524"/>
      <c r="G15" s="524"/>
      <c r="H15" s="524"/>
      <c r="I15" s="524"/>
      <c r="J15" s="524"/>
      <c r="K15" s="524"/>
      <c r="L15" s="524"/>
      <c r="M15" s="524"/>
      <c r="N15" s="524"/>
      <c r="O15" s="524"/>
      <c r="P15" s="524"/>
      <c r="Q15" s="524"/>
      <c r="R15" s="524"/>
      <c r="S15" s="524"/>
      <c r="T15" s="524"/>
      <c r="U15" s="524"/>
      <c r="V15" s="524"/>
      <c r="W15" s="524"/>
      <c r="X15" s="524"/>
      <c r="Y15" s="524"/>
      <c r="Z15" s="524"/>
      <c r="AA15" s="524"/>
      <c r="AB15" s="524"/>
      <c r="AC15" s="524"/>
      <c r="AD15" s="524"/>
      <c r="AE15" s="524"/>
      <c r="AF15" s="524"/>
      <c r="AG15" s="524"/>
      <c r="AH15" s="524"/>
      <c r="AI15" s="524"/>
    </row>
    <row r="16" spans="2:35">
      <c r="B16" s="1359" t="s">
        <v>75</v>
      </c>
      <c r="C16" s="524" t="s">
        <v>76</v>
      </c>
      <c r="D16" s="524">
        <f>'1'!G104</f>
        <v>0</v>
      </c>
      <c r="E16" s="526">
        <f>'2'!G104</f>
        <v>0</v>
      </c>
      <c r="F16" s="526">
        <f>'3'!G104</f>
        <v>0</v>
      </c>
      <c r="G16" s="526">
        <f>'4'!G104</f>
        <v>0</v>
      </c>
      <c r="H16" s="526">
        <f>'5'!G104</f>
        <v>0</v>
      </c>
      <c r="I16" s="526">
        <f>'6'!G104</f>
        <v>0</v>
      </c>
      <c r="J16" s="526">
        <f>'7'!G104</f>
        <v>0</v>
      </c>
      <c r="K16" s="526">
        <f>'8'!G104</f>
        <v>0</v>
      </c>
      <c r="L16" s="526">
        <f>'9'!G104</f>
        <v>0</v>
      </c>
      <c r="M16" s="526">
        <f>'10'!G104</f>
        <v>0</v>
      </c>
      <c r="N16" s="526">
        <f>'11'!G104</f>
        <v>0</v>
      </c>
      <c r="O16" s="526">
        <f>'12'!G104</f>
        <v>0</v>
      </c>
      <c r="P16" s="526">
        <f>'13'!G104</f>
        <v>0</v>
      </c>
      <c r="Q16" s="526">
        <f>'14'!G104</f>
        <v>0</v>
      </c>
      <c r="R16" s="526">
        <f>'15'!G104</f>
        <v>0</v>
      </c>
      <c r="S16" s="526">
        <f>'16'!G104</f>
        <v>0</v>
      </c>
      <c r="T16" s="526">
        <f>'17'!G104</f>
        <v>0</v>
      </c>
      <c r="U16" s="526">
        <f>'18'!G104</f>
        <v>0</v>
      </c>
      <c r="V16" s="526">
        <f>'19'!G104</f>
        <v>0</v>
      </c>
      <c r="W16" s="526">
        <f>'20'!G104</f>
        <v>0</v>
      </c>
      <c r="X16" s="526">
        <f>'21'!G104</f>
        <v>0</v>
      </c>
      <c r="Y16" s="526">
        <f>'22'!G104</f>
        <v>0</v>
      </c>
      <c r="Z16" s="526">
        <f>'23'!G104</f>
        <v>0</v>
      </c>
      <c r="AA16" s="526">
        <f>'24'!G104</f>
        <v>0</v>
      </c>
      <c r="AB16" s="526">
        <f>'25'!G104</f>
        <v>0</v>
      </c>
      <c r="AC16" s="526">
        <f>'26'!G104</f>
        <v>0</v>
      </c>
      <c r="AD16" s="526">
        <f>'27'!G104</f>
        <v>0</v>
      </c>
      <c r="AE16" s="526">
        <f>'28'!G104</f>
        <v>0</v>
      </c>
      <c r="AF16" s="526">
        <f>'29'!G104</f>
        <v>0</v>
      </c>
      <c r="AG16" s="526">
        <f>'30'!G104</f>
        <v>0</v>
      </c>
      <c r="AH16" s="526">
        <f>'31'!G104</f>
        <v>0</v>
      </c>
      <c r="AI16" s="524"/>
    </row>
    <row r="17" spans="2:35">
      <c r="B17" s="1359"/>
      <c r="C17" s="524" t="s">
        <v>77</v>
      </c>
      <c r="D17" s="524">
        <f>'1'!G105</f>
        <v>1</v>
      </c>
      <c r="E17" s="526">
        <f>'2'!G105</f>
        <v>15</v>
      </c>
      <c r="F17" s="526">
        <f>'3'!G105</f>
        <v>7</v>
      </c>
      <c r="G17" s="526">
        <f>'4'!G105</f>
        <v>11</v>
      </c>
      <c r="H17" s="526">
        <f>'5'!G105</f>
        <v>11</v>
      </c>
      <c r="I17" s="526">
        <f>'6'!G105</f>
        <v>6</v>
      </c>
      <c r="J17" s="526">
        <f>'7'!G105</f>
        <v>2</v>
      </c>
      <c r="K17" s="526">
        <f>'8'!G105</f>
        <v>4</v>
      </c>
      <c r="L17" s="526">
        <f>'9'!G105</f>
        <v>5</v>
      </c>
      <c r="M17" s="526">
        <f>'10'!G105</f>
        <v>4</v>
      </c>
      <c r="N17" s="526">
        <f>'11'!G105</f>
        <v>19</v>
      </c>
      <c r="O17" s="526">
        <f>'12'!G105</f>
        <v>10</v>
      </c>
      <c r="P17" s="526">
        <f>'13'!G105</f>
        <v>7</v>
      </c>
      <c r="Q17" s="526">
        <f>'14'!G105</f>
        <v>6</v>
      </c>
      <c r="R17" s="526">
        <f>'15'!G105</f>
        <v>8</v>
      </c>
      <c r="S17" s="526">
        <f>'16'!G105</f>
        <v>8</v>
      </c>
      <c r="T17" s="526">
        <f>'17'!G105</f>
        <v>7</v>
      </c>
      <c r="U17" s="526">
        <f>'18'!G105</f>
        <v>15</v>
      </c>
      <c r="V17" s="526">
        <f>'19'!G105</f>
        <v>8</v>
      </c>
      <c r="W17" s="526">
        <f>'20'!G105</f>
        <v>7</v>
      </c>
      <c r="X17" s="526">
        <f>'21'!G105</f>
        <v>7</v>
      </c>
      <c r="Y17" s="526">
        <f>'22'!G105</f>
        <v>9</v>
      </c>
      <c r="Z17" s="526">
        <f>'23'!G105</f>
        <v>6</v>
      </c>
      <c r="AA17" s="526">
        <f>'24'!G105</f>
        <v>6</v>
      </c>
      <c r="AB17" s="526">
        <f>'25'!G105</f>
        <v>14</v>
      </c>
      <c r="AC17" s="526">
        <f>'26'!G105</f>
        <v>7</v>
      </c>
      <c r="AD17" s="526">
        <f>'27'!G105</f>
        <v>12</v>
      </c>
      <c r="AE17" s="526">
        <f>'28'!G105</f>
        <v>0</v>
      </c>
      <c r="AF17" s="526">
        <f>'29'!G105</f>
        <v>10</v>
      </c>
      <c r="AG17" s="526">
        <f>'30'!G105</f>
        <v>-738</v>
      </c>
      <c r="AH17" s="526">
        <f>'31'!G105</f>
        <v>-100</v>
      </c>
      <c r="AI17" s="524"/>
    </row>
    <row r="18" spans="2:35">
      <c r="B18" s="1359"/>
      <c r="C18" s="524" t="s">
        <v>78</v>
      </c>
      <c r="D18" s="524">
        <f>'1'!G106</f>
        <v>4</v>
      </c>
      <c r="E18" s="526">
        <f>'2'!G106</f>
        <v>6</v>
      </c>
      <c r="F18" s="526">
        <f>'3'!G106</f>
        <v>5</v>
      </c>
      <c r="G18" s="526">
        <f>'4'!G106</f>
        <v>5</v>
      </c>
      <c r="H18" s="526">
        <f>'5'!G106</f>
        <v>10</v>
      </c>
      <c r="I18" s="526">
        <f>'6'!G106</f>
        <v>7</v>
      </c>
      <c r="J18" s="526">
        <f>'7'!G106</f>
        <v>5</v>
      </c>
      <c r="K18" s="526">
        <f>'8'!G106</f>
        <v>6</v>
      </c>
      <c r="L18" s="526">
        <f>'9'!G106</f>
        <v>6</v>
      </c>
      <c r="M18" s="526">
        <f>'10'!G106</f>
        <v>5</v>
      </c>
      <c r="N18" s="526">
        <f>'11'!G106</f>
        <v>5</v>
      </c>
      <c r="O18" s="526">
        <f>'12'!G106</f>
        <v>8</v>
      </c>
      <c r="P18" s="526">
        <f>'13'!G106</f>
        <v>8</v>
      </c>
      <c r="Q18" s="526">
        <f>'14'!G106</f>
        <v>9</v>
      </c>
      <c r="R18" s="526">
        <f>'15'!G106</f>
        <v>8</v>
      </c>
      <c r="S18" s="526">
        <f>'16'!G106</f>
        <v>8</v>
      </c>
      <c r="T18" s="526">
        <f>'17'!G106</f>
        <v>11</v>
      </c>
      <c r="U18" s="526">
        <f>'18'!G106</f>
        <v>8</v>
      </c>
      <c r="V18" s="526">
        <f>'19'!G106</f>
        <v>8</v>
      </c>
      <c r="W18" s="526">
        <f>'20'!G106</f>
        <v>7</v>
      </c>
      <c r="X18" s="526">
        <f>'21'!G106</f>
        <v>7</v>
      </c>
      <c r="Y18" s="526">
        <f>'22'!G106</f>
        <v>6</v>
      </c>
      <c r="Z18" s="526">
        <f>'23'!G106</f>
        <v>8</v>
      </c>
      <c r="AA18" s="526">
        <f>'24'!G106</f>
        <v>5</v>
      </c>
      <c r="AB18" s="526">
        <f>'25'!G106</f>
        <v>7</v>
      </c>
      <c r="AC18" s="526">
        <f>'26'!G106</f>
        <v>3</v>
      </c>
      <c r="AD18" s="526">
        <f>'27'!G106</f>
        <v>7</v>
      </c>
      <c r="AE18" s="526">
        <f>'28'!G106</f>
        <v>0</v>
      </c>
      <c r="AF18" s="526">
        <f>'29'!G106</f>
        <v>4</v>
      </c>
      <c r="AG18" s="526">
        <f>'30'!G106</f>
        <v>-546</v>
      </c>
      <c r="AH18" s="526">
        <f>'31'!G106</f>
        <v>-80</v>
      </c>
      <c r="AI18" s="524"/>
    </row>
    <row r="19" spans="2:35">
      <c r="B19" s="528"/>
      <c r="C19" s="524"/>
      <c r="D19" s="524"/>
      <c r="E19" s="524"/>
      <c r="F19" s="524"/>
      <c r="G19" s="524"/>
      <c r="H19" s="524"/>
      <c r="I19" s="524"/>
      <c r="J19" s="524"/>
      <c r="K19" s="524"/>
      <c r="L19" s="524"/>
      <c r="M19" s="524"/>
      <c r="N19" s="524"/>
      <c r="O19" s="524"/>
      <c r="P19" s="524"/>
      <c r="Q19" s="524"/>
      <c r="R19" s="524"/>
      <c r="S19" s="524"/>
      <c r="T19" s="524"/>
      <c r="U19" s="524"/>
      <c r="V19" s="524"/>
      <c r="W19" s="524"/>
      <c r="X19" s="524"/>
      <c r="Y19" s="524"/>
      <c r="Z19" s="524"/>
      <c r="AA19" s="524"/>
      <c r="AB19" s="524"/>
      <c r="AC19" s="524"/>
      <c r="AD19" s="524"/>
      <c r="AE19" s="524"/>
      <c r="AF19" s="524"/>
      <c r="AG19" s="524"/>
      <c r="AH19" s="524"/>
      <c r="AI19" s="524"/>
    </row>
    <row r="20" spans="2:35">
      <c r="B20" s="1359" t="s">
        <v>79</v>
      </c>
      <c r="C20" s="524" t="s">
        <v>80</v>
      </c>
      <c r="D20" s="524">
        <f>'1'!G109</f>
        <v>61</v>
      </c>
      <c r="E20" s="526">
        <f>'2'!G109</f>
        <v>62</v>
      </c>
      <c r="F20" s="526">
        <f>'3'!G109</f>
        <v>67</v>
      </c>
      <c r="G20" s="526">
        <f>'4'!G109</f>
        <v>69</v>
      </c>
      <c r="H20" s="526">
        <f>'5'!G109</f>
        <v>120</v>
      </c>
      <c r="I20" s="526">
        <f>'6'!G109</f>
        <v>32</v>
      </c>
      <c r="J20" s="526">
        <f>'7'!G109</f>
        <v>40</v>
      </c>
      <c r="K20" s="526">
        <f>'8'!G109</f>
        <v>39</v>
      </c>
      <c r="L20" s="526">
        <f>'9'!G109</f>
        <v>57</v>
      </c>
      <c r="M20" s="526">
        <f>'10'!G109</f>
        <v>43</v>
      </c>
      <c r="N20" s="526">
        <f>'11'!G109</f>
        <v>84</v>
      </c>
      <c r="O20" s="526">
        <f>'12'!G109</f>
        <v>60</v>
      </c>
      <c r="P20" s="526">
        <f>'13'!G109</f>
        <v>60</v>
      </c>
      <c r="Q20" s="526">
        <f>'14'!G109</f>
        <v>40</v>
      </c>
      <c r="R20" s="526">
        <f>'15'!G109</f>
        <v>61</v>
      </c>
      <c r="S20" s="526">
        <f>'16'!G109</f>
        <v>40</v>
      </c>
      <c r="T20" s="526">
        <f>'17'!G109</f>
        <v>62</v>
      </c>
      <c r="U20" s="526">
        <f>'18'!G109</f>
        <v>62</v>
      </c>
      <c r="V20" s="526">
        <f>'19'!G109</f>
        <v>42</v>
      </c>
      <c r="W20" s="526">
        <f>'20'!G109</f>
        <v>58</v>
      </c>
      <c r="X20" s="526">
        <f>'21'!G109</f>
        <v>41</v>
      </c>
      <c r="Y20" s="526">
        <f>'22'!G109</f>
        <v>62</v>
      </c>
      <c r="Z20" s="526">
        <f>'23'!G109</f>
        <v>45</v>
      </c>
      <c r="AA20" s="526">
        <f>'24'!G109</f>
        <v>61</v>
      </c>
      <c r="AB20" s="526">
        <f>'25'!G109</f>
        <v>41</v>
      </c>
      <c r="AC20" s="526">
        <f>'26'!G109</f>
        <v>42</v>
      </c>
      <c r="AD20" s="526">
        <f>'27'!G109</f>
        <v>42</v>
      </c>
      <c r="AE20" s="526">
        <f>'28'!G109</f>
        <v>63</v>
      </c>
      <c r="AF20" s="526">
        <f>'29'!G109</f>
        <v>43</v>
      </c>
      <c r="AG20" s="526">
        <f>'30'!G109</f>
        <v>-6623</v>
      </c>
      <c r="AH20" s="526">
        <f>'31'!G109</f>
        <v>-1286</v>
      </c>
      <c r="AI20" s="524"/>
    </row>
    <row r="21" spans="2:35">
      <c r="B21" s="1359"/>
      <c r="C21" s="524" t="s">
        <v>81</v>
      </c>
      <c r="D21" s="524">
        <f>'1'!G110</f>
        <v>44</v>
      </c>
      <c r="E21" s="526">
        <f>'2'!G110</f>
        <v>43</v>
      </c>
      <c r="F21" s="526">
        <f>'3'!G110</f>
        <v>59</v>
      </c>
      <c r="G21" s="526">
        <f>'4'!G110</f>
        <v>43</v>
      </c>
      <c r="H21" s="526">
        <f>'5'!G110</f>
        <v>106</v>
      </c>
      <c r="I21" s="526">
        <f>'6'!G110</f>
        <v>60</v>
      </c>
      <c r="J21" s="526">
        <f>'7'!G110</f>
        <v>24</v>
      </c>
      <c r="K21" s="526">
        <f>'8'!G110</f>
        <v>64</v>
      </c>
      <c r="L21" s="526">
        <f>'9'!G110</f>
        <v>29</v>
      </c>
      <c r="M21" s="526">
        <f>'10'!G110</f>
        <v>100</v>
      </c>
      <c r="N21" s="526">
        <f>'11'!G110</f>
        <v>60</v>
      </c>
      <c r="O21" s="526">
        <f>'12'!G110</f>
        <v>39</v>
      </c>
      <c r="P21" s="526">
        <f>'13'!G110</f>
        <v>29</v>
      </c>
      <c r="Q21" s="526">
        <f>'14'!G110</f>
        <v>93</v>
      </c>
      <c r="R21" s="526">
        <f>'15'!G110</f>
        <v>39</v>
      </c>
      <c r="S21" s="526">
        <f>'16'!G110</f>
        <v>114</v>
      </c>
      <c r="T21" s="526">
        <f>'17'!G110</f>
        <v>37</v>
      </c>
      <c r="U21" s="526">
        <f>'18'!G110</f>
        <v>42</v>
      </c>
      <c r="V21" s="526">
        <f>'19'!G110</f>
        <v>47</v>
      </c>
      <c r="W21" s="526">
        <f>'20'!G110</f>
        <v>41</v>
      </c>
      <c r="X21" s="526">
        <f>'21'!G110</f>
        <v>21</v>
      </c>
      <c r="Y21" s="526">
        <f>'22'!G110</f>
        <v>51</v>
      </c>
      <c r="Z21" s="526">
        <f>'23'!G110</f>
        <v>41</v>
      </c>
      <c r="AA21" s="526">
        <f>'24'!G110</f>
        <v>35</v>
      </c>
      <c r="AB21" s="526">
        <f>'25'!G110</f>
        <v>60</v>
      </c>
      <c r="AC21" s="526">
        <f>'26'!G110</f>
        <v>60</v>
      </c>
      <c r="AD21" s="526">
        <f>'27'!G110</f>
        <v>59</v>
      </c>
      <c r="AE21" s="526">
        <f>'28'!G110</f>
        <v>48</v>
      </c>
      <c r="AF21" s="526">
        <f>'29'!G110</f>
        <v>35</v>
      </c>
      <c r="AG21" s="526">
        <f>'30'!G110</f>
        <v>-5336</v>
      </c>
      <c r="AH21" s="526">
        <f>'31'!G110</f>
        <v>-188</v>
      </c>
      <c r="AI21" s="524"/>
    </row>
    <row r="22" spans="2:35">
      <c r="B22" s="1359"/>
      <c r="C22" s="524" t="s">
        <v>82</v>
      </c>
      <c r="D22" s="524">
        <f>'1'!G111</f>
        <v>0</v>
      </c>
      <c r="E22" s="526">
        <f>'2'!G111</f>
        <v>15</v>
      </c>
      <c r="F22" s="526">
        <f>'3'!G111</f>
        <v>0</v>
      </c>
      <c r="G22" s="526">
        <f>'4'!G111</f>
        <v>0</v>
      </c>
      <c r="H22" s="526">
        <f>'5'!G111</f>
        <v>15</v>
      </c>
      <c r="I22" s="526">
        <f>'6'!G111</f>
        <v>0</v>
      </c>
      <c r="J22" s="526">
        <f>'7'!G111</f>
        <v>13</v>
      </c>
      <c r="K22" s="526">
        <f>'8'!G111</f>
        <v>0</v>
      </c>
      <c r="L22" s="526">
        <f>'9'!G111</f>
        <v>15</v>
      </c>
      <c r="M22" s="526">
        <f>'10'!G111</f>
        <v>0</v>
      </c>
      <c r="N22" s="526">
        <f>'11'!G111</f>
        <v>0</v>
      </c>
      <c r="O22" s="526">
        <f>'12'!G111</f>
        <v>12</v>
      </c>
      <c r="P22" s="526">
        <f>'13'!G111</f>
        <v>0</v>
      </c>
      <c r="Q22" s="526">
        <f>'14'!G111</f>
        <v>15</v>
      </c>
      <c r="R22" s="526">
        <f>'15'!G111</f>
        <v>0</v>
      </c>
      <c r="S22" s="526">
        <f>'16'!G111</f>
        <v>13</v>
      </c>
      <c r="T22" s="526">
        <f>'17'!G111</f>
        <v>0</v>
      </c>
      <c r="U22" s="526">
        <f>'18'!G111</f>
        <v>0</v>
      </c>
      <c r="V22" s="526">
        <f>'19'!G111</f>
        <v>12</v>
      </c>
      <c r="W22" s="526">
        <f>'20'!G111</f>
        <v>0</v>
      </c>
      <c r="X22" s="526">
        <f>'21'!G111</f>
        <v>17</v>
      </c>
      <c r="Y22" s="526">
        <f>'22'!G111</f>
        <v>0</v>
      </c>
      <c r="Z22" s="526">
        <f>'23'!G111</f>
        <v>13</v>
      </c>
      <c r="AA22" s="526">
        <f>'24'!G111</f>
        <v>0</v>
      </c>
      <c r="AB22" s="526">
        <f>'25'!G111</f>
        <v>14</v>
      </c>
      <c r="AC22" s="526">
        <f>'26'!G111</f>
        <v>0</v>
      </c>
      <c r="AD22" s="526">
        <f>'27'!G111</f>
        <v>5</v>
      </c>
      <c r="AE22" s="526">
        <f>'28'!G111</f>
        <v>0</v>
      </c>
      <c r="AF22" s="526">
        <f>'29'!G111</f>
        <v>0</v>
      </c>
      <c r="AG22" s="526">
        <f>'30'!G111</f>
        <v>-661</v>
      </c>
      <c r="AH22" s="526">
        <f>'31'!G111</f>
        <v>0</v>
      </c>
      <c r="AI22" s="524"/>
    </row>
    <row r="23" spans="2:35">
      <c r="B23" s="528"/>
      <c r="C23" s="524"/>
      <c r="D23" s="524"/>
      <c r="E23" s="524"/>
      <c r="F23" s="524"/>
      <c r="G23" s="524"/>
      <c r="H23" s="524"/>
      <c r="I23" s="524"/>
      <c r="J23" s="524"/>
      <c r="K23" s="524"/>
      <c r="L23" s="524"/>
      <c r="M23" s="524"/>
      <c r="N23" s="524"/>
      <c r="O23" s="524"/>
      <c r="P23" s="524"/>
      <c r="Q23" s="524"/>
      <c r="R23" s="524"/>
      <c r="S23" s="524"/>
      <c r="T23" s="524"/>
      <c r="U23" s="524"/>
      <c r="V23" s="524"/>
      <c r="W23" s="524"/>
      <c r="X23" s="524"/>
      <c r="Y23" s="524"/>
      <c r="Z23" s="524"/>
      <c r="AA23" s="524"/>
      <c r="AB23" s="524"/>
      <c r="AC23" s="524"/>
      <c r="AD23" s="524"/>
      <c r="AE23" s="524"/>
      <c r="AF23" s="524"/>
      <c r="AG23" s="524"/>
      <c r="AH23" s="524"/>
      <c r="AI23" s="524"/>
    </row>
    <row r="24" spans="2:35" ht="30">
      <c r="B24" s="528" t="s">
        <v>83</v>
      </c>
      <c r="C24" s="524"/>
      <c r="D24" s="526">
        <f>SUM(D8:D10,D13:D14,)</f>
        <v>178</v>
      </c>
      <c r="E24" s="526">
        <f t="shared" ref="E24:AI24" si="0">SUM(E8:E10,E13:E14,)</f>
        <v>126</v>
      </c>
      <c r="F24" s="526">
        <f t="shared" si="0"/>
        <v>117</v>
      </c>
      <c r="G24" s="526">
        <f t="shared" si="0"/>
        <v>111</v>
      </c>
      <c r="H24" s="526">
        <f t="shared" si="0"/>
        <v>107</v>
      </c>
      <c r="I24" s="526">
        <f t="shared" si="0"/>
        <v>102</v>
      </c>
      <c r="J24" s="526">
        <f t="shared" si="0"/>
        <v>96</v>
      </c>
      <c r="K24" s="526">
        <f t="shared" si="0"/>
        <v>111</v>
      </c>
      <c r="L24" s="526">
        <f t="shared" si="0"/>
        <v>131</v>
      </c>
      <c r="M24" s="526">
        <f t="shared" si="0"/>
        <v>140</v>
      </c>
      <c r="N24" s="526">
        <f t="shared" si="0"/>
        <v>167</v>
      </c>
      <c r="O24" s="526">
        <f t="shared" si="0"/>
        <v>124</v>
      </c>
      <c r="P24" s="526">
        <f t="shared" si="0"/>
        <v>118</v>
      </c>
      <c r="Q24" s="526">
        <f t="shared" si="0"/>
        <v>110</v>
      </c>
      <c r="R24" s="526">
        <f t="shared" si="0"/>
        <v>170</v>
      </c>
      <c r="S24" s="526">
        <f t="shared" si="0"/>
        <v>201</v>
      </c>
      <c r="T24" s="526">
        <f>SUM(T8:T10,T13:T14,)</f>
        <v>165</v>
      </c>
      <c r="U24" s="526">
        <f t="shared" si="0"/>
        <v>145</v>
      </c>
      <c r="V24" s="526">
        <f t="shared" si="0"/>
        <v>140</v>
      </c>
      <c r="W24" s="526">
        <f t="shared" si="0"/>
        <v>165</v>
      </c>
      <c r="X24" s="526">
        <f t="shared" si="0"/>
        <v>132</v>
      </c>
      <c r="Y24" s="526">
        <f t="shared" si="0"/>
        <v>151</v>
      </c>
      <c r="Z24" s="526">
        <f t="shared" si="0"/>
        <v>143</v>
      </c>
      <c r="AA24" s="526">
        <f t="shared" si="0"/>
        <v>152</v>
      </c>
      <c r="AB24" s="526">
        <f t="shared" si="0"/>
        <v>158</v>
      </c>
      <c r="AC24" s="526">
        <f t="shared" si="0"/>
        <v>158</v>
      </c>
      <c r="AD24" s="526">
        <f t="shared" si="0"/>
        <v>141</v>
      </c>
      <c r="AE24" s="526">
        <f t="shared" si="0"/>
        <v>109</v>
      </c>
      <c r="AF24" s="526">
        <f t="shared" si="0"/>
        <v>135</v>
      </c>
      <c r="AG24" s="526">
        <f t="shared" si="0"/>
        <v>-15674</v>
      </c>
      <c r="AH24" s="526">
        <f t="shared" si="0"/>
        <v>-2431</v>
      </c>
      <c r="AI24" s="526">
        <f t="shared" si="0"/>
        <v>0</v>
      </c>
    </row>
    <row r="25" spans="2:35">
      <c r="B25" s="528"/>
      <c r="C25" s="524"/>
      <c r="D25" s="524"/>
      <c r="E25" s="524"/>
      <c r="F25" s="524"/>
      <c r="G25" s="524"/>
      <c r="H25" s="524"/>
      <c r="I25" s="524"/>
      <c r="J25" s="524"/>
      <c r="K25" s="524"/>
      <c r="L25" s="524"/>
      <c r="M25" s="524"/>
      <c r="N25" s="524"/>
      <c r="O25" s="524"/>
      <c r="P25" s="524"/>
      <c r="Q25" s="524"/>
      <c r="R25" s="524"/>
      <c r="S25" s="524"/>
      <c r="T25" s="524"/>
      <c r="U25" s="524"/>
      <c r="V25" s="524"/>
      <c r="W25" s="524"/>
      <c r="X25" s="524"/>
      <c r="Y25" s="524"/>
      <c r="Z25" s="524"/>
      <c r="AA25" s="524"/>
      <c r="AB25" s="524"/>
      <c r="AC25" s="524"/>
      <c r="AD25" s="524"/>
      <c r="AE25" s="524"/>
      <c r="AF25" s="524"/>
      <c r="AG25" s="524"/>
      <c r="AH25" s="524"/>
      <c r="AI25" s="524"/>
    </row>
    <row r="26" spans="2:35" ht="30">
      <c r="B26" s="528" t="s">
        <v>84</v>
      </c>
      <c r="C26" s="524"/>
      <c r="D26" s="526">
        <f>SUM(D12,D20,D22)</f>
        <v>111</v>
      </c>
      <c r="E26" s="526">
        <f t="shared" ref="E26:AH26" si="1">SUM(E12,E20,E22)</f>
        <v>136</v>
      </c>
      <c r="F26" s="526">
        <f>SUM(F12,F20,F22)</f>
        <v>101</v>
      </c>
      <c r="G26" s="526">
        <f t="shared" si="1"/>
        <v>164</v>
      </c>
      <c r="H26" s="526">
        <f t="shared" si="1"/>
        <v>199</v>
      </c>
      <c r="I26" s="526">
        <f t="shared" si="1"/>
        <v>84</v>
      </c>
      <c r="J26" s="526">
        <f t="shared" si="1"/>
        <v>99</v>
      </c>
      <c r="K26" s="526">
        <f t="shared" si="1"/>
        <v>92</v>
      </c>
      <c r="L26" s="526">
        <f t="shared" si="1"/>
        <v>120</v>
      </c>
      <c r="M26" s="526">
        <f t="shared" si="1"/>
        <v>123</v>
      </c>
      <c r="N26" s="526">
        <f t="shared" si="1"/>
        <v>148</v>
      </c>
      <c r="O26" s="526">
        <f t="shared" si="1"/>
        <v>118</v>
      </c>
      <c r="P26" s="526">
        <f t="shared" si="1"/>
        <v>116</v>
      </c>
      <c r="Q26" s="526">
        <f t="shared" si="1"/>
        <v>127</v>
      </c>
      <c r="R26" s="526">
        <f t="shared" si="1"/>
        <v>113</v>
      </c>
      <c r="S26" s="526">
        <f t="shared" si="1"/>
        <v>150</v>
      </c>
      <c r="T26" s="526">
        <f t="shared" si="1"/>
        <v>123</v>
      </c>
      <c r="U26" s="526">
        <f t="shared" si="1"/>
        <v>94</v>
      </c>
      <c r="V26" s="526">
        <f t="shared" si="1"/>
        <v>92</v>
      </c>
      <c r="W26" s="526">
        <f t="shared" si="1"/>
        <v>88</v>
      </c>
      <c r="X26" s="526">
        <f t="shared" si="1"/>
        <v>87</v>
      </c>
      <c r="Y26" s="526">
        <f t="shared" si="1"/>
        <v>118</v>
      </c>
      <c r="Z26" s="526">
        <f t="shared" si="1"/>
        <v>114</v>
      </c>
      <c r="AA26" s="526">
        <f t="shared" si="1"/>
        <v>106</v>
      </c>
      <c r="AB26" s="526">
        <f t="shared" si="1"/>
        <v>105</v>
      </c>
      <c r="AC26" s="526">
        <f t="shared" si="1"/>
        <v>104</v>
      </c>
      <c r="AD26" s="526">
        <f t="shared" si="1"/>
        <v>111</v>
      </c>
      <c r="AE26" s="526">
        <f t="shared" si="1"/>
        <v>122</v>
      </c>
      <c r="AF26" s="526">
        <f t="shared" si="1"/>
        <v>108</v>
      </c>
      <c r="AG26" s="526">
        <f t="shared" si="1"/>
        <v>-12951</v>
      </c>
      <c r="AH26" s="526">
        <f t="shared" si="1"/>
        <v>-1463</v>
      </c>
      <c r="AI26" s="526">
        <f t="shared" ref="AI26" si="2">SUM(AI12)</f>
        <v>0</v>
      </c>
    </row>
    <row r="27" spans="2:35">
      <c r="B27" s="1132"/>
      <c r="C27" s="1133"/>
      <c r="D27" s="1133"/>
      <c r="E27" s="1133"/>
      <c r="F27" s="1133"/>
      <c r="G27" s="1133"/>
      <c r="H27" s="1133"/>
      <c r="I27" s="1133"/>
      <c r="J27" s="1133"/>
      <c r="K27" s="1133"/>
      <c r="L27" s="1133"/>
      <c r="M27" s="1133"/>
      <c r="N27" s="1133"/>
      <c r="O27" s="1133"/>
      <c r="P27" s="1133"/>
      <c r="Q27" s="1133"/>
      <c r="R27" s="1133"/>
      <c r="S27" s="1133"/>
      <c r="T27" s="1133"/>
      <c r="U27" s="1133"/>
      <c r="V27" s="1133"/>
      <c r="W27" s="1133"/>
      <c r="X27" s="1133"/>
      <c r="Y27" s="1133"/>
      <c r="Z27" s="1133"/>
      <c r="AA27" s="1133"/>
      <c r="AB27" s="1133"/>
      <c r="AC27" s="1133"/>
      <c r="AD27" s="1133"/>
      <c r="AE27" s="1133"/>
      <c r="AF27" s="1133"/>
      <c r="AG27" s="1133"/>
      <c r="AH27" s="1133"/>
      <c r="AI27" s="1133"/>
    </row>
    <row r="28" spans="2:35">
      <c r="B28" s="1132" t="s">
        <v>85</v>
      </c>
      <c r="C28" s="1133"/>
      <c r="D28" s="1134">
        <f>D8</f>
        <v>60</v>
      </c>
      <c r="E28" s="1134">
        <f t="shared" ref="E28:AH28" si="3">E8</f>
        <v>71</v>
      </c>
      <c r="F28" s="1134">
        <f t="shared" si="3"/>
        <v>60</v>
      </c>
      <c r="G28" s="1134">
        <f t="shared" si="3"/>
        <v>68</v>
      </c>
      <c r="H28" s="1134">
        <f t="shared" si="3"/>
        <v>44</v>
      </c>
      <c r="I28" s="1134">
        <f t="shared" si="3"/>
        <v>57</v>
      </c>
      <c r="J28" s="1134">
        <f t="shared" si="3"/>
        <v>48</v>
      </c>
      <c r="K28" s="1134">
        <f t="shared" si="3"/>
        <v>59</v>
      </c>
      <c r="L28" s="1134">
        <f t="shared" si="3"/>
        <v>68</v>
      </c>
      <c r="M28" s="1134">
        <f t="shared" si="3"/>
        <v>61</v>
      </c>
      <c r="N28" s="1134">
        <f t="shared" si="3"/>
        <v>93</v>
      </c>
      <c r="O28" s="1134">
        <f t="shared" si="3"/>
        <v>71</v>
      </c>
      <c r="P28" s="1134">
        <f t="shared" si="3"/>
        <v>67</v>
      </c>
      <c r="Q28" s="1134">
        <f t="shared" si="3"/>
        <v>68</v>
      </c>
      <c r="R28" s="1134">
        <f t="shared" si="3"/>
        <v>115</v>
      </c>
      <c r="S28" s="1134">
        <f t="shared" si="3"/>
        <v>113</v>
      </c>
      <c r="T28" s="1134">
        <f t="shared" si="3"/>
        <v>86</v>
      </c>
      <c r="U28" s="1134">
        <f t="shared" si="3"/>
        <v>84</v>
      </c>
      <c r="V28" s="1134">
        <f t="shared" si="3"/>
        <v>81</v>
      </c>
      <c r="W28" s="1134">
        <f t="shared" si="3"/>
        <v>88</v>
      </c>
      <c r="X28" s="1134">
        <f t="shared" si="3"/>
        <v>75</v>
      </c>
      <c r="Y28" s="1134">
        <f t="shared" si="3"/>
        <v>83</v>
      </c>
      <c r="Z28" s="1134">
        <f t="shared" si="3"/>
        <v>75</v>
      </c>
      <c r="AA28" s="1134">
        <f t="shared" si="3"/>
        <v>71</v>
      </c>
      <c r="AB28" s="1134">
        <f t="shared" si="3"/>
        <v>83</v>
      </c>
      <c r="AC28" s="1134">
        <f t="shared" si="3"/>
        <v>60</v>
      </c>
      <c r="AD28" s="1134">
        <f t="shared" si="3"/>
        <v>71</v>
      </c>
      <c r="AE28" s="1134">
        <f t="shared" si="3"/>
        <v>43</v>
      </c>
      <c r="AF28" s="1134">
        <f t="shared" si="3"/>
        <v>65</v>
      </c>
      <c r="AG28" s="1134">
        <f t="shared" si="3"/>
        <v>-7353</v>
      </c>
      <c r="AH28" s="1134">
        <f t="shared" si="3"/>
        <v>-1242</v>
      </c>
      <c r="AI28" s="1133"/>
    </row>
    <row r="29" spans="2:35">
      <c r="B29" s="1132" t="s">
        <v>86</v>
      </c>
      <c r="C29" s="1133"/>
      <c r="D29" s="1134">
        <f>SUM(D9:D10,D13:D14)</f>
        <v>118</v>
      </c>
      <c r="E29" s="1134">
        <f t="shared" ref="E29:AH29" si="4">SUM(E9:E10,E13:E14)</f>
        <v>55</v>
      </c>
      <c r="F29" s="1134">
        <f t="shared" si="4"/>
        <v>57</v>
      </c>
      <c r="G29" s="1134">
        <f t="shared" si="4"/>
        <v>43</v>
      </c>
      <c r="H29" s="1134">
        <f t="shared" si="4"/>
        <v>63</v>
      </c>
      <c r="I29" s="1134">
        <f t="shared" si="4"/>
        <v>45</v>
      </c>
      <c r="J29" s="1134">
        <f t="shared" si="4"/>
        <v>48</v>
      </c>
      <c r="K29" s="1134">
        <f t="shared" si="4"/>
        <v>52</v>
      </c>
      <c r="L29" s="1134">
        <f t="shared" si="4"/>
        <v>63</v>
      </c>
      <c r="M29" s="1134">
        <f t="shared" si="4"/>
        <v>79</v>
      </c>
      <c r="N29" s="1134">
        <f t="shared" si="4"/>
        <v>74</v>
      </c>
      <c r="O29" s="1134">
        <f t="shared" si="4"/>
        <v>53</v>
      </c>
      <c r="P29" s="1134">
        <f t="shared" si="4"/>
        <v>51</v>
      </c>
      <c r="Q29" s="1134">
        <f t="shared" si="4"/>
        <v>42</v>
      </c>
      <c r="R29" s="1134">
        <f t="shared" si="4"/>
        <v>55</v>
      </c>
      <c r="S29" s="1134">
        <f t="shared" si="4"/>
        <v>88</v>
      </c>
      <c r="T29" s="1134">
        <f t="shared" si="4"/>
        <v>79</v>
      </c>
      <c r="U29" s="1134">
        <f t="shared" si="4"/>
        <v>61</v>
      </c>
      <c r="V29" s="1134">
        <f t="shared" si="4"/>
        <v>59</v>
      </c>
      <c r="W29" s="1134">
        <f t="shared" si="4"/>
        <v>77</v>
      </c>
      <c r="X29" s="1134">
        <f t="shared" si="4"/>
        <v>57</v>
      </c>
      <c r="Y29" s="1134">
        <f t="shared" si="4"/>
        <v>68</v>
      </c>
      <c r="Z29" s="1134">
        <f t="shared" si="4"/>
        <v>68</v>
      </c>
      <c r="AA29" s="1134">
        <f t="shared" si="4"/>
        <v>81</v>
      </c>
      <c r="AB29" s="1134">
        <f t="shared" si="4"/>
        <v>75</v>
      </c>
      <c r="AC29" s="1134">
        <f t="shared" si="4"/>
        <v>98</v>
      </c>
      <c r="AD29" s="1134">
        <f t="shared" si="4"/>
        <v>70</v>
      </c>
      <c r="AE29" s="1134">
        <f t="shared" si="4"/>
        <v>66</v>
      </c>
      <c r="AF29" s="1134">
        <f t="shared" si="4"/>
        <v>70</v>
      </c>
      <c r="AG29" s="1134">
        <f t="shared" si="4"/>
        <v>-8321</v>
      </c>
      <c r="AH29" s="1134">
        <f t="shared" si="4"/>
        <v>-1189</v>
      </c>
      <c r="AI29" s="1133"/>
    </row>
    <row r="30" spans="2:35">
      <c r="B30" s="1132" t="s">
        <v>87</v>
      </c>
      <c r="C30" s="1133"/>
      <c r="D30" s="1133">
        <f>D29/SUM(D28:D29)%</f>
        <v>66.292134831460672</v>
      </c>
      <c r="E30" s="1133">
        <f t="shared" ref="E30:AH30" si="5">E29/SUM(E28:E29)%</f>
        <v>43.650793650793652</v>
      </c>
      <c r="F30" s="1133">
        <f t="shared" si="5"/>
        <v>48.717948717948723</v>
      </c>
      <c r="G30" s="1133">
        <f t="shared" si="5"/>
        <v>38.738738738738732</v>
      </c>
      <c r="H30" s="1133">
        <f t="shared" si="5"/>
        <v>58.878504672897193</v>
      </c>
      <c r="I30" s="1133">
        <f t="shared" si="5"/>
        <v>44.117647058823529</v>
      </c>
      <c r="J30" s="1133">
        <f t="shared" si="5"/>
        <v>50</v>
      </c>
      <c r="K30" s="1133">
        <f t="shared" si="5"/>
        <v>46.846846846846844</v>
      </c>
      <c r="L30" s="1133">
        <f t="shared" si="5"/>
        <v>48.091603053435115</v>
      </c>
      <c r="M30" s="1133">
        <f t="shared" si="5"/>
        <v>56.428571428571431</v>
      </c>
      <c r="N30" s="1133">
        <f t="shared" si="5"/>
        <v>44.311377245508986</v>
      </c>
      <c r="O30" s="1133">
        <f t="shared" si="5"/>
        <v>42.741935483870968</v>
      </c>
      <c r="P30" s="1133">
        <f t="shared" si="5"/>
        <v>43.220338983050851</v>
      </c>
      <c r="Q30" s="1133">
        <f t="shared" si="5"/>
        <v>38.18181818181818</v>
      </c>
      <c r="R30" s="1133">
        <f t="shared" si="5"/>
        <v>32.352941176470587</v>
      </c>
      <c r="S30" s="1133">
        <f t="shared" si="5"/>
        <v>43.781094527363187</v>
      </c>
      <c r="T30" s="1133">
        <f t="shared" si="5"/>
        <v>47.878787878787882</v>
      </c>
      <c r="U30" s="1133">
        <f t="shared" si="5"/>
        <v>42.068965517241381</v>
      </c>
      <c r="V30" s="1133">
        <f t="shared" si="5"/>
        <v>42.142857142857146</v>
      </c>
      <c r="W30" s="1133">
        <f t="shared" si="5"/>
        <v>46.666666666666671</v>
      </c>
      <c r="X30" s="1133">
        <f t="shared" si="5"/>
        <v>43.18181818181818</v>
      </c>
      <c r="Y30" s="1133">
        <f t="shared" si="5"/>
        <v>45.033112582781456</v>
      </c>
      <c r="Z30" s="1133">
        <f t="shared" si="5"/>
        <v>47.552447552447553</v>
      </c>
      <c r="AA30" s="1133">
        <f t="shared" si="5"/>
        <v>53.289473684210527</v>
      </c>
      <c r="AB30" s="1133">
        <f t="shared" si="5"/>
        <v>47.468354430379748</v>
      </c>
      <c r="AC30" s="1133">
        <f t="shared" si="5"/>
        <v>62.025316455696199</v>
      </c>
      <c r="AD30" s="1133">
        <f t="shared" si="5"/>
        <v>49.645390070921991</v>
      </c>
      <c r="AE30" s="1133">
        <f t="shared" si="5"/>
        <v>60.550458715596328</v>
      </c>
      <c r="AF30" s="1133">
        <f t="shared" si="5"/>
        <v>51.851851851851848</v>
      </c>
      <c r="AG30" s="1133">
        <f t="shared" si="5"/>
        <v>53.087916294500445</v>
      </c>
      <c r="AH30" s="1133">
        <f t="shared" si="5"/>
        <v>48.909913615795972</v>
      </c>
      <c r="AI30" s="1133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AO89"/>
  <sheetViews>
    <sheetView topLeftCell="A3" zoomScale="85" zoomScaleNormal="85" workbookViewId="0">
      <pane ySplit="1" topLeftCell="A4" activePane="bottomLeft" state="frozen"/>
      <selection activeCell="A3" sqref="A3"/>
      <selection pane="bottomLeft" activeCell="AH15" sqref="AH4:AH15"/>
    </sheetView>
  </sheetViews>
  <sheetFormatPr defaultRowHeight="15.75"/>
  <cols>
    <col min="1" max="1" width="8.88671875" style="1144"/>
    <col min="2" max="20" width="7.33203125" style="1144" customWidth="1"/>
    <col min="21" max="39" width="7" style="1144" customWidth="1"/>
    <col min="40" max="16384" width="8.88671875" style="1144"/>
  </cols>
  <sheetData>
    <row r="2" spans="1:41">
      <c r="B2" s="1362" t="s">
        <v>88</v>
      </c>
      <c r="C2" s="1362"/>
      <c r="D2" s="1362"/>
      <c r="E2" s="1362"/>
      <c r="F2" s="1362"/>
      <c r="G2" s="1362"/>
      <c r="H2" s="1362"/>
      <c r="I2" s="1362"/>
      <c r="J2" s="1362"/>
      <c r="K2" s="1362"/>
      <c r="L2" s="1362"/>
      <c r="M2" s="1362"/>
      <c r="N2" s="1362"/>
      <c r="O2" s="1362"/>
      <c r="P2" s="1362"/>
      <c r="Q2" s="1362"/>
      <c r="R2" s="1362"/>
      <c r="S2" s="1362"/>
      <c r="T2" s="1362"/>
      <c r="U2" s="1362"/>
      <c r="V2" s="1362"/>
      <c r="W2" s="1362"/>
      <c r="X2" s="1362"/>
      <c r="Y2" s="1362"/>
      <c r="Z2" s="1362"/>
      <c r="AA2" s="1362"/>
      <c r="AB2" s="1361"/>
      <c r="AC2" s="1361"/>
      <c r="AD2" s="1361"/>
      <c r="AE2" s="1361"/>
      <c r="AF2" s="1361"/>
      <c r="AG2" s="1361"/>
      <c r="AH2" s="1361"/>
      <c r="AI2" s="1225"/>
      <c r="AJ2" s="1360" t="s">
        <v>89</v>
      </c>
      <c r="AK2" s="1360"/>
      <c r="AL2" s="1360"/>
      <c r="AM2" s="1360"/>
    </row>
    <row r="3" spans="1:41" ht="30" customHeight="1">
      <c r="A3" s="1145"/>
      <c r="B3" s="1145" t="s">
        <v>90</v>
      </c>
      <c r="C3" s="1145" t="s">
        <v>91</v>
      </c>
      <c r="D3" s="1145" t="s">
        <v>92</v>
      </c>
      <c r="E3" s="1145" t="s">
        <v>93</v>
      </c>
      <c r="F3" s="1145" t="s">
        <v>94</v>
      </c>
      <c r="G3" s="1145" t="s">
        <v>95</v>
      </c>
      <c r="H3" s="1145" t="s">
        <v>96</v>
      </c>
      <c r="I3" s="1145" t="s">
        <v>97</v>
      </c>
      <c r="J3" s="1145" t="s">
        <v>98</v>
      </c>
      <c r="K3" s="1145" t="s">
        <v>99</v>
      </c>
      <c r="L3" s="1145" t="s">
        <v>100</v>
      </c>
      <c r="M3" s="1145" t="s">
        <v>77</v>
      </c>
      <c r="N3" s="1145" t="s">
        <v>101</v>
      </c>
      <c r="O3" s="1146" t="s">
        <v>102</v>
      </c>
      <c r="P3" s="1146" t="s">
        <v>103</v>
      </c>
      <c r="Q3" s="1146" t="s">
        <v>104</v>
      </c>
      <c r="R3" s="1146" t="s">
        <v>105</v>
      </c>
      <c r="S3" s="472" t="s">
        <v>106</v>
      </c>
      <c r="T3" s="473" t="s">
        <v>107</v>
      </c>
      <c r="U3" s="473" t="s">
        <v>107</v>
      </c>
      <c r="V3" s="473" t="s">
        <v>108</v>
      </c>
      <c r="W3" s="473" t="s">
        <v>109</v>
      </c>
      <c r="X3" s="473" t="s">
        <v>110</v>
      </c>
      <c r="Y3" s="473" t="s">
        <v>111</v>
      </c>
      <c r="Z3" s="473" t="s">
        <v>112</v>
      </c>
      <c r="AA3" s="1145" t="s">
        <v>113</v>
      </c>
      <c r="AB3" s="1145" t="s">
        <v>114</v>
      </c>
      <c r="AC3" s="1145" t="s">
        <v>115</v>
      </c>
      <c r="AD3" s="1145" t="s">
        <v>116</v>
      </c>
      <c r="AE3" s="1145" t="s">
        <v>117</v>
      </c>
      <c r="AF3" s="1145" t="s">
        <v>118</v>
      </c>
      <c r="AG3" s="1145" t="s">
        <v>119</v>
      </c>
      <c r="AH3" s="1145" t="s">
        <v>120</v>
      </c>
      <c r="AI3" s="1145" t="s">
        <v>115</v>
      </c>
      <c r="AJ3" s="1145" t="s">
        <v>41</v>
      </c>
      <c r="AK3" s="1145" t="s">
        <v>42</v>
      </c>
      <c r="AL3" s="1145" t="s">
        <v>43</v>
      </c>
      <c r="AM3" s="1145" t="s">
        <v>121</v>
      </c>
    </row>
    <row r="4" spans="1:41">
      <c r="A4" s="1147">
        <v>44044</v>
      </c>
      <c r="B4" s="1148">
        <f>'1'!G72</f>
        <v>98</v>
      </c>
      <c r="C4" s="1148">
        <f>'1'!$G$73</f>
        <v>0</v>
      </c>
      <c r="D4" s="1148">
        <f>'1'!$G$74</f>
        <v>49</v>
      </c>
      <c r="E4" s="1148">
        <f>'1'!$G$75</f>
        <v>189</v>
      </c>
      <c r="F4" s="1148">
        <f>'1'!$G$76</f>
        <v>98</v>
      </c>
      <c r="G4" s="1148">
        <f>'1'!$G$77</f>
        <v>61</v>
      </c>
      <c r="H4" s="1148">
        <f>'1'!$G$78</f>
        <v>369</v>
      </c>
      <c r="I4" s="1148">
        <f>'1'!$G$79</f>
        <v>187</v>
      </c>
      <c r="J4" s="1148">
        <f>'1'!$G$80</f>
        <v>310</v>
      </c>
      <c r="K4" s="1148">
        <f>'1'!$G$81</f>
        <v>129</v>
      </c>
      <c r="L4" s="1148">
        <f>'1'!$G$82</f>
        <v>23</v>
      </c>
      <c r="M4" s="1148">
        <f>'1'!$G$58</f>
        <v>51.590000000000146</v>
      </c>
      <c r="N4" s="1148">
        <f>'1'!$G$83</f>
        <v>333</v>
      </c>
      <c r="O4" s="1148">
        <f>'1'!G86</f>
        <v>23</v>
      </c>
      <c r="P4" s="1148">
        <f>'1'!G87</f>
        <v>20</v>
      </c>
      <c r="Q4" s="1148">
        <f>'1'!G88</f>
        <v>37</v>
      </c>
      <c r="R4" s="1148">
        <f>'1'!G89+'1'!G90</f>
        <v>54.300000000001546</v>
      </c>
      <c r="S4" s="1148">
        <f>'1'!$G$62</f>
        <v>8.9999999981955625E-3</v>
      </c>
      <c r="T4" s="1148">
        <f>'1'!$G$63</f>
        <v>4.0899999999999181</v>
      </c>
      <c r="U4" s="1148">
        <f>'1'!$G$64</f>
        <v>415.60000000000582</v>
      </c>
      <c r="V4" s="1148">
        <f>'1'!$G$65</f>
        <v>416.88000000000466</v>
      </c>
      <c r="W4" s="1148">
        <f>'1'!$G$66</f>
        <v>413.90999999999985</v>
      </c>
      <c r="X4" s="1148">
        <f>'1'!$G$67</f>
        <v>711.64999999999418</v>
      </c>
      <c r="Y4" s="1148">
        <f>'1'!$G$68</f>
        <v>312.09999999999854</v>
      </c>
      <c r="Z4" s="1148">
        <f>'1'!$G$69</f>
        <v>292.56999999999971</v>
      </c>
      <c r="AA4" s="1148">
        <f>'1'!$G$84</f>
        <v>446</v>
      </c>
      <c r="AB4" s="1148">
        <f>'1'!$G$15</f>
        <v>693.89999999990687</v>
      </c>
      <c r="AC4" s="1148">
        <f>'1'!$G$123</f>
        <v>293.94999999995343</v>
      </c>
      <c r="AD4" s="1148">
        <f>'1'!$G$124</f>
        <v>-0.19999999999708962</v>
      </c>
      <c r="AE4" s="1148">
        <f>'1'!$G$125</f>
        <v>73.329999999987194</v>
      </c>
      <c r="AF4" s="1148">
        <f>'1'!$G$126</f>
        <v>35</v>
      </c>
      <c r="AG4" s="1148">
        <f>'1'!$G$127</f>
        <v>2</v>
      </c>
      <c r="AH4" s="1148">
        <f>AB4-SUM(AC4:AG4)</f>
        <v>289.81999999996333</v>
      </c>
      <c r="AI4" s="1148">
        <f>'1'!G140</f>
        <v>9.75</v>
      </c>
      <c r="AJ4" s="1148">
        <f>'1'!$G$136</f>
        <v>2.1499999999978172</v>
      </c>
      <c r="AK4" s="1148">
        <f>'1'!$G$137</f>
        <v>0</v>
      </c>
      <c r="AL4" s="1148">
        <f>'1'!$G$138</f>
        <v>5.3600000000005821</v>
      </c>
      <c r="AM4" s="1145">
        <f>SUM(AJ4:AL4)</f>
        <v>7.5099999999983993</v>
      </c>
    </row>
    <row r="5" spans="1:41">
      <c r="A5" s="1147">
        <v>44045</v>
      </c>
      <c r="B5" s="1148">
        <f>'2'!G72</f>
        <v>69</v>
      </c>
      <c r="C5" s="1148">
        <f>'2'!$G$73</f>
        <v>2</v>
      </c>
      <c r="D5" s="1148">
        <f>'2'!$G$74</f>
        <v>44</v>
      </c>
      <c r="E5" s="1148">
        <f>'2'!$G$75</f>
        <v>193</v>
      </c>
      <c r="F5" s="1148">
        <f>'2'!$G$76</f>
        <v>74</v>
      </c>
      <c r="G5" s="1148">
        <f>'2'!$G$77</f>
        <v>61</v>
      </c>
      <c r="H5" s="1148">
        <f>'2'!$G$78</f>
        <v>365</v>
      </c>
      <c r="I5" s="1148">
        <f>'2'!$G$79</f>
        <v>200</v>
      </c>
      <c r="J5" s="1148">
        <f>'2'!$G$80</f>
        <v>311</v>
      </c>
      <c r="K5" s="1138">
        <f>'2'!$G$81</f>
        <v>123</v>
      </c>
      <c r="L5" s="1138">
        <f>'2'!$G$82</f>
        <v>11.839999999996508</v>
      </c>
      <c r="M5" s="1138">
        <f>'2'!$G$58</f>
        <v>220</v>
      </c>
      <c r="N5" s="1138">
        <f>'2'!$G$83</f>
        <v>393</v>
      </c>
      <c r="O5" s="1138">
        <f>'2'!G86</f>
        <v>52</v>
      </c>
      <c r="P5" s="1148">
        <f>'2'!G87</f>
        <v>9.8000000000029104</v>
      </c>
      <c r="Q5" s="1148">
        <f>'2'!G88</f>
        <v>58.570000000006985</v>
      </c>
      <c r="R5" s="1148">
        <f>'2'!G89+'2'!G90</f>
        <v>58</v>
      </c>
      <c r="S5" s="1148">
        <f>'2'!$G$62</f>
        <v>0</v>
      </c>
      <c r="T5" s="1148">
        <f>'2'!$G$63</f>
        <v>4</v>
      </c>
      <c r="U5" s="1148">
        <f>'2'!$G$64</f>
        <v>400.64999999999418</v>
      </c>
      <c r="V5" s="1148">
        <f>'2'!$G$65</f>
        <v>407.55999999999767</v>
      </c>
      <c r="W5" s="1148">
        <f>'2'!$G$66</f>
        <v>408.34999999999991</v>
      </c>
      <c r="X5" s="1148">
        <f>'2'!$G$67</f>
        <v>678</v>
      </c>
      <c r="Y5" s="1148">
        <f>'2'!$G$68</f>
        <v>293</v>
      </c>
      <c r="Z5" s="1148">
        <f>'2'!$G$69</f>
        <v>296</v>
      </c>
      <c r="AA5" s="1148">
        <f>'2'!$G$84</f>
        <v>484</v>
      </c>
      <c r="AB5" s="1148">
        <f>'2'!$G$15</f>
        <v>822.62000000011176</v>
      </c>
      <c r="AC5" s="1148">
        <f>'2'!$G$123</f>
        <v>276.39000000001397</v>
      </c>
      <c r="AD5" s="1148">
        <f>'2'!$G$124</f>
        <v>0</v>
      </c>
      <c r="AE5" s="1148">
        <f>'2'!$G$125</f>
        <v>82</v>
      </c>
      <c r="AF5" s="1148">
        <f>'2'!$G$126</f>
        <v>34</v>
      </c>
      <c r="AG5" s="1148">
        <f>'2'!$G$127</f>
        <v>1</v>
      </c>
      <c r="AH5" s="1148">
        <f t="shared" ref="AH5:AH34" si="0">AB5-SUM(AC5:AG5)</f>
        <v>429.23000000009779</v>
      </c>
      <c r="AI5" s="1148">
        <f>'2'!$G$140</f>
        <v>9.1300000000001091</v>
      </c>
      <c r="AJ5" s="1148">
        <f>'2'!$G$136</f>
        <v>7.0100000000020373</v>
      </c>
      <c r="AK5" s="1148">
        <f>'2'!$G$137</f>
        <v>0</v>
      </c>
      <c r="AL5" s="1148">
        <f>'2'!$G$138</f>
        <v>0</v>
      </c>
      <c r="AM5" s="1145">
        <f t="shared" ref="AM5:AM34" si="1">SUM(AJ5:AL5)</f>
        <v>7.0100000000020373</v>
      </c>
    </row>
    <row r="6" spans="1:41" s="1151" customFormat="1">
      <c r="A6" s="1149">
        <v>44046</v>
      </c>
      <c r="B6" s="1138">
        <f>'3'!G72</f>
        <v>76</v>
      </c>
      <c r="C6" s="1138">
        <f>'3'!$G$73</f>
        <v>1</v>
      </c>
      <c r="D6" s="1138">
        <f>'3'!$G$74</f>
        <v>36</v>
      </c>
      <c r="E6" s="1138">
        <f>'3'!$G$75</f>
        <v>188</v>
      </c>
      <c r="F6" s="1138">
        <f>'3'!$G$76</f>
        <v>97</v>
      </c>
      <c r="G6" s="1138">
        <f>'3'!$G$77</f>
        <v>56</v>
      </c>
      <c r="H6" s="1138">
        <f>'3'!$G$78</f>
        <v>391</v>
      </c>
      <c r="I6" s="1138">
        <f>'3'!$G$79</f>
        <v>188</v>
      </c>
      <c r="J6" s="1138">
        <f>'3'!$G$80</f>
        <v>357.64000000001397</v>
      </c>
      <c r="K6" s="1138">
        <f>'3'!$G$81</f>
        <v>147.64000000001397</v>
      </c>
      <c r="L6" s="1138">
        <f>'3'!$G$82</f>
        <v>28.680000000007567</v>
      </c>
      <c r="M6" s="1138">
        <f>'3'!$G$58</f>
        <v>184.5</v>
      </c>
      <c r="N6" s="1138">
        <f>'3'!$G$83</f>
        <v>387</v>
      </c>
      <c r="O6" s="1148">
        <f>'3'!G86</f>
        <v>58</v>
      </c>
      <c r="P6" s="1148">
        <f>'1'!G87</f>
        <v>20</v>
      </c>
      <c r="Q6" s="1148">
        <f>'3'!G88</f>
        <v>36.429999999993015</v>
      </c>
      <c r="R6" s="1148">
        <f>'3'!G89+'3'!G90</f>
        <v>60</v>
      </c>
      <c r="S6" s="1138">
        <f>'3'!$G$62</f>
        <v>0</v>
      </c>
      <c r="T6" s="1138">
        <f>'3'!$G$63</f>
        <v>4.6199999999998909</v>
      </c>
      <c r="U6" s="1138">
        <f>'3'!$G$64</f>
        <v>376.35000000000582</v>
      </c>
      <c r="V6" s="1138">
        <f>'3'!$G$65</f>
        <v>390.01000000000931</v>
      </c>
      <c r="W6" s="1138">
        <f>'3'!$G$66</f>
        <v>394.32000000000016</v>
      </c>
      <c r="X6" s="885">
        <f>'3'!$G$67</f>
        <v>651.57000000000698</v>
      </c>
      <c r="Y6" s="885">
        <f>'3'!$G$68</f>
        <v>269</v>
      </c>
      <c r="Z6" s="1138">
        <f>'3'!$G$69</f>
        <v>294</v>
      </c>
      <c r="AA6" s="1138">
        <f>'3'!$G$84</f>
        <v>489</v>
      </c>
      <c r="AB6" s="1138">
        <f>'3'!$G$15</f>
        <v>815.68999999994412</v>
      </c>
      <c r="AC6" s="1138">
        <f>'3'!$G$123</f>
        <v>245.60999999998603</v>
      </c>
      <c r="AD6" s="1138">
        <f>'3'!$G$124</f>
        <v>0</v>
      </c>
      <c r="AE6" s="1138">
        <f>'3'!$G$125</f>
        <v>71.75</v>
      </c>
      <c r="AF6" s="1138">
        <f>'3'!$G$126</f>
        <v>38</v>
      </c>
      <c r="AG6" s="1138">
        <f>'3'!$G$127</f>
        <v>3</v>
      </c>
      <c r="AH6" s="1138">
        <f t="shared" si="0"/>
        <v>457.32999999995809</v>
      </c>
      <c r="AI6" s="1138">
        <f>'3'!$G$140</f>
        <v>7.930000000000291</v>
      </c>
      <c r="AJ6" s="1138">
        <f>'3'!$G$136</f>
        <v>7.9399999999986903</v>
      </c>
      <c r="AK6" s="1138">
        <f>'3'!$G$137</f>
        <v>0</v>
      </c>
      <c r="AL6" s="1138">
        <f>'3'!$G$138</f>
        <v>0</v>
      </c>
      <c r="AM6" s="1150">
        <f t="shared" si="1"/>
        <v>7.9399999999986903</v>
      </c>
    </row>
    <row r="7" spans="1:41">
      <c r="A7" s="1147">
        <v>44047</v>
      </c>
      <c r="B7" s="1148">
        <f>'4'!G72</f>
        <v>64</v>
      </c>
      <c r="C7" s="1148">
        <f>'4'!$G$73</f>
        <v>0</v>
      </c>
      <c r="D7" s="1148">
        <f>'4'!$G$74</f>
        <v>34</v>
      </c>
      <c r="E7" s="1148">
        <f>'4'!$G$74</f>
        <v>34</v>
      </c>
      <c r="F7" s="1148">
        <f>'4'!$G$76</f>
        <v>64</v>
      </c>
      <c r="G7" s="1148">
        <f>'4'!$G$77</f>
        <v>54</v>
      </c>
      <c r="H7" s="1148">
        <f>'4'!$G$78</f>
        <v>336</v>
      </c>
      <c r="I7" s="1148">
        <f>'4'!$G$79</f>
        <v>173</v>
      </c>
      <c r="J7" s="1138">
        <f>'4'!$G$80</f>
        <v>293.35999999998603</v>
      </c>
      <c r="K7" s="1138">
        <f>'4'!$G$81</f>
        <v>123.35999999998603</v>
      </c>
      <c r="L7" s="1148">
        <f>'4'!$G$82</f>
        <v>23.479999999995925</v>
      </c>
      <c r="M7" s="1148">
        <f>'4'!$G$58</f>
        <v>231.5</v>
      </c>
      <c r="N7" s="1148">
        <f>'4'!$G$83</f>
        <v>246</v>
      </c>
      <c r="O7" s="1148">
        <f>'4'!G86</f>
        <v>133</v>
      </c>
      <c r="P7" s="1148">
        <f>'4'!G87</f>
        <v>22.100000000005821</v>
      </c>
      <c r="Q7" s="1148">
        <f>'4'!G88</f>
        <v>55.869999999995343</v>
      </c>
      <c r="R7" s="1148">
        <f>'4'!G89+'4'!G90</f>
        <v>65</v>
      </c>
      <c r="S7" s="1148">
        <f>'4'!$G$62</f>
        <v>-1.0000000002037268E-3</v>
      </c>
      <c r="T7" s="1148">
        <f>'4'!$G$63</f>
        <v>4.3800000000001091</v>
      </c>
      <c r="U7" s="1148">
        <f>'4'!$G$64</f>
        <v>393.83000000000175</v>
      </c>
      <c r="V7" s="1148">
        <f>'4'!$G$65</f>
        <v>376.42999999999302</v>
      </c>
      <c r="W7" s="1148">
        <f>'4'!$G$66</f>
        <v>363.90999999999985</v>
      </c>
      <c r="X7" s="1148">
        <f>'4'!$G$67</f>
        <v>609.11999999999534</v>
      </c>
      <c r="Y7" s="1148">
        <f>'4'!$G$68</f>
        <v>282.69000000000233</v>
      </c>
      <c r="Z7" s="1148">
        <f>'4'!$G$69</f>
        <v>292</v>
      </c>
      <c r="AA7" s="1148">
        <f>'4'!$G$84</f>
        <v>527</v>
      </c>
      <c r="AB7" s="1148">
        <f>'4'!$G$15</f>
        <v>757.68999999994412</v>
      </c>
      <c r="AC7" s="1148">
        <f>'4'!$G$123</f>
        <v>226.42000000004191</v>
      </c>
      <c r="AD7" s="1148">
        <f>'4'!$G$124</f>
        <v>0</v>
      </c>
      <c r="AE7" s="1148">
        <f>'4'!$G$125</f>
        <v>48.25</v>
      </c>
      <c r="AF7" s="1148">
        <f>'4'!$G$126</f>
        <v>20.80000000000291</v>
      </c>
      <c r="AG7" s="1148">
        <f>'4'!$G$127</f>
        <v>2</v>
      </c>
      <c r="AH7" s="1148">
        <f t="shared" si="0"/>
        <v>460.2199999998993</v>
      </c>
      <c r="AI7" s="1148">
        <f>'4'!$G$140</f>
        <v>7.6599999999998545</v>
      </c>
      <c r="AJ7" s="1148">
        <f>'4'!$G$136</f>
        <v>8.5900000000001455</v>
      </c>
      <c r="AK7" s="1148">
        <f>'4'!$G$137</f>
        <v>0</v>
      </c>
      <c r="AL7" s="1148">
        <f>'4'!$G$138</f>
        <v>0</v>
      </c>
      <c r="AM7" s="1145">
        <f t="shared" si="1"/>
        <v>8.5900000000001455</v>
      </c>
    </row>
    <row r="8" spans="1:41">
      <c r="A8" s="1147">
        <v>44048</v>
      </c>
      <c r="B8" s="1148">
        <f>'5'!G72</f>
        <v>82</v>
      </c>
      <c r="C8" s="1148">
        <f>'5'!$G$73</f>
        <v>1</v>
      </c>
      <c r="D8" s="1148">
        <f>'5'!$G$74</f>
        <v>25</v>
      </c>
      <c r="E8" s="1160">
        <f>'5'!$G$75</f>
        <v>167</v>
      </c>
      <c r="F8" s="1148">
        <f>'5'!$G$76</f>
        <v>62</v>
      </c>
      <c r="G8" s="1138">
        <f>'5'!$G$77</f>
        <v>57</v>
      </c>
      <c r="H8" s="1159">
        <f>'5'!$G$78</f>
        <v>332</v>
      </c>
      <c r="I8" s="1159">
        <f>'5'!$G$79</f>
        <v>194</v>
      </c>
      <c r="J8" s="1152">
        <f>'5'!$G$80</f>
        <v>276</v>
      </c>
      <c r="K8" s="1159">
        <f>'5'!$G$81</f>
        <v>106.64000000001397</v>
      </c>
      <c r="L8" s="1148">
        <f>'5'!$G$82</f>
        <v>22</v>
      </c>
      <c r="M8" s="1148">
        <f>'5'!$G$58</f>
        <v>80</v>
      </c>
      <c r="N8" s="1148">
        <f>'5'!$G$83</f>
        <v>343</v>
      </c>
      <c r="O8" s="1159">
        <f>'5'!G86</f>
        <v>23</v>
      </c>
      <c r="P8" s="1148">
        <f>'5'!G87</f>
        <v>22.19999999999709</v>
      </c>
      <c r="Q8" s="1148">
        <f>'5'!G88</f>
        <v>49.130000000004657</v>
      </c>
      <c r="R8" s="1148">
        <f>'5'!G89+'5'!G90</f>
        <v>76</v>
      </c>
      <c r="S8" s="1148">
        <f>'5'!$G$62</f>
        <v>-0.18799999999828287</v>
      </c>
      <c r="T8" s="1148">
        <f>'5'!$G$63</f>
        <v>4</v>
      </c>
      <c r="U8" s="1148">
        <f>'5'!$G$64</f>
        <v>392.16999999999825</v>
      </c>
      <c r="V8" s="1148">
        <f>'5'!$G$65</f>
        <v>352.55999999999767</v>
      </c>
      <c r="W8" s="1148">
        <f>'5'!$G$66</f>
        <v>353.42000000000007</v>
      </c>
      <c r="X8" s="1148">
        <f>'5'!$G$67</f>
        <v>595.30999999999767</v>
      </c>
      <c r="Y8" s="1148">
        <f>'5'!$G$68</f>
        <v>285.97999999999593</v>
      </c>
      <c r="Z8" s="1148">
        <f>'5'!$G$69</f>
        <v>302.44000000000233</v>
      </c>
      <c r="AA8" s="1148">
        <f>'5'!$G$84</f>
        <v>568</v>
      </c>
      <c r="AB8" s="1159">
        <f>'5'!$G$15</f>
        <v>526</v>
      </c>
      <c r="AC8" s="1148">
        <f>'5'!$G$123</f>
        <v>238.06999999994878</v>
      </c>
      <c r="AD8" s="1148">
        <f>'5'!$G$124</f>
        <v>0</v>
      </c>
      <c r="AE8" s="1148">
        <f>'5'!$G$125</f>
        <v>53</v>
      </c>
      <c r="AF8" s="1148">
        <f>'5'!$G$126</f>
        <v>23.19999999999709</v>
      </c>
      <c r="AG8" s="1148">
        <f>'5'!$G$127</f>
        <v>2</v>
      </c>
      <c r="AH8" s="1148">
        <f t="shared" si="0"/>
        <v>209.73000000005413</v>
      </c>
      <c r="AI8" s="1148">
        <f>'5'!$G$140</f>
        <v>7.8599999999996726</v>
      </c>
      <c r="AJ8" s="1148">
        <f>'5'!$G$136</f>
        <v>-0.38999999999941792</v>
      </c>
      <c r="AK8" s="1148">
        <f>'5'!$G$137</f>
        <v>0</v>
      </c>
      <c r="AL8" s="1148">
        <f>'5'!$G$138</f>
        <v>7.7200000000011642</v>
      </c>
      <c r="AM8" s="1145">
        <f t="shared" si="1"/>
        <v>7.3300000000017462</v>
      </c>
    </row>
    <row r="9" spans="1:41">
      <c r="A9" s="1147">
        <v>44049</v>
      </c>
      <c r="B9" s="1148">
        <f>'6'!G72</f>
        <v>45</v>
      </c>
      <c r="C9" s="1148">
        <f>'6'!$G$73</f>
        <v>0</v>
      </c>
      <c r="D9" s="1148">
        <f>'6'!$G$74</f>
        <v>29</v>
      </c>
      <c r="E9" s="1148">
        <f>'6'!$G$75</f>
        <v>165</v>
      </c>
      <c r="F9" s="1148">
        <f>'6'!$G$76</f>
        <v>65</v>
      </c>
      <c r="G9" s="1148">
        <f>'6'!$G$77</f>
        <v>52</v>
      </c>
      <c r="H9" s="1138">
        <f>'6'!$G$78</f>
        <v>294</v>
      </c>
      <c r="I9" s="1138">
        <f>'6'!$G$79</f>
        <v>180</v>
      </c>
      <c r="J9" s="1138">
        <f>'6'!$G$80</f>
        <v>286.55999999999767</v>
      </c>
      <c r="K9" s="1138">
        <f>'6'!$G$81</f>
        <v>118.35999999998603</v>
      </c>
      <c r="L9" s="1138">
        <f>'6'!$G$82</f>
        <v>19</v>
      </c>
      <c r="M9" s="1138">
        <f>'6'!$G$58</f>
        <v>167</v>
      </c>
      <c r="N9" s="1138">
        <f>'6'!$G$83</f>
        <v>317</v>
      </c>
      <c r="O9" s="1138">
        <f>'6'!G86</f>
        <v>90</v>
      </c>
      <c r="P9" s="1138">
        <f>'6'!G87</f>
        <v>29.80000000000291</v>
      </c>
      <c r="Q9" s="1138">
        <f>'6'!G88</f>
        <v>37</v>
      </c>
      <c r="R9" s="1138">
        <f>'6'!G89+'6'!G90</f>
        <v>71.499999999998636</v>
      </c>
      <c r="S9" s="1148">
        <f>'6'!$G$62</f>
        <v>0</v>
      </c>
      <c r="T9" s="1148">
        <f>'6'!$G$63</f>
        <v>4</v>
      </c>
      <c r="U9" s="1148">
        <f>'6'!$G$64</f>
        <v>390</v>
      </c>
      <c r="V9" s="1148">
        <f>'6'!$G$65</f>
        <v>353.44000000000233</v>
      </c>
      <c r="W9" s="1148">
        <f>'6'!$G$66</f>
        <v>343.6899999999996</v>
      </c>
      <c r="X9" s="1148">
        <f>'6'!$G$67</f>
        <v>587.52999999999884</v>
      </c>
      <c r="Y9" s="1148">
        <f>'6'!$G$68</f>
        <v>290.33000000000175</v>
      </c>
      <c r="Z9" s="1148">
        <f>'6'!$G$69</f>
        <v>289.06999999999971</v>
      </c>
      <c r="AA9" s="1148">
        <f>'6'!$G$84</f>
        <v>544</v>
      </c>
      <c r="AB9" s="1148">
        <f>'6'!$G$15</f>
        <v>694.69999999995343</v>
      </c>
      <c r="AC9" s="1187">
        <f>'6'!$G$123</f>
        <v>200.51000000000931</v>
      </c>
      <c r="AD9" s="1148">
        <f>'6'!$G$124</f>
        <v>0</v>
      </c>
      <c r="AE9" s="1148">
        <f>'6'!$G$125</f>
        <v>58</v>
      </c>
      <c r="AF9" s="1148">
        <f>'6'!$G$126</f>
        <v>29</v>
      </c>
      <c r="AG9" s="1148">
        <f>'6'!$G$127</f>
        <v>2</v>
      </c>
      <c r="AH9" s="1148">
        <f t="shared" si="0"/>
        <v>405.18999999994412</v>
      </c>
      <c r="AI9" s="1148">
        <f>'6'!$G$140</f>
        <v>6.5900000000001455</v>
      </c>
      <c r="AJ9" s="1148">
        <f>'6'!$G$136</f>
        <v>7.3800000000010186</v>
      </c>
      <c r="AK9" s="1148">
        <f>'6'!$G$137</f>
        <v>0</v>
      </c>
      <c r="AL9" s="1148">
        <f>'6'!$G$138</f>
        <v>0</v>
      </c>
      <c r="AM9" s="1145">
        <f t="shared" si="1"/>
        <v>7.3800000000010186</v>
      </c>
    </row>
    <row r="10" spans="1:41">
      <c r="A10" s="1147">
        <v>44050</v>
      </c>
      <c r="B10" s="1148">
        <f>'7'!G72</f>
        <v>87</v>
      </c>
      <c r="C10" s="1148">
        <f>'7'!$G$73</f>
        <v>1</v>
      </c>
      <c r="D10" s="1148">
        <f>'7'!$G$74</f>
        <v>31</v>
      </c>
      <c r="E10" s="1148">
        <f>'7'!$G$75</f>
        <v>180</v>
      </c>
      <c r="F10" s="1148">
        <f>'7'!$G$76</f>
        <v>95</v>
      </c>
      <c r="G10" s="1148">
        <f>'7'!$G$77</f>
        <v>55</v>
      </c>
      <c r="H10" s="1138">
        <f>'7'!$G$78</f>
        <v>289</v>
      </c>
      <c r="I10" s="1138">
        <f>'7'!$G$79</f>
        <v>193</v>
      </c>
      <c r="J10" s="1138">
        <f>'7'!$G$80</f>
        <v>296.44000000000233</v>
      </c>
      <c r="K10" s="1138">
        <f>'7'!$G$81</f>
        <v>122</v>
      </c>
      <c r="L10" s="1138">
        <f>'7'!$G$82</f>
        <v>20</v>
      </c>
      <c r="M10" s="1138">
        <f>'7'!$G$58</f>
        <v>69</v>
      </c>
      <c r="N10" s="1152">
        <f>'7'!$G$83</f>
        <v>331</v>
      </c>
      <c r="O10" s="1175">
        <f>'7'!G86</f>
        <v>94</v>
      </c>
      <c r="P10" s="1138">
        <f>'7'!G87</f>
        <v>36.19999999999709</v>
      </c>
      <c r="Q10" s="1138">
        <f>'7'!G88</f>
        <v>61</v>
      </c>
      <c r="R10" s="1138">
        <f>'7'!G89+'7'!G90</f>
        <v>57.400000000002819</v>
      </c>
      <c r="S10" s="1148">
        <f>'7'!$G$62</f>
        <v>0</v>
      </c>
      <c r="T10" s="1148">
        <f>'7'!$G$63</f>
        <v>5</v>
      </c>
      <c r="U10" s="1148">
        <f>'7'!$G$64</f>
        <v>369</v>
      </c>
      <c r="V10" s="1148">
        <f>'7'!$G$65</f>
        <v>388</v>
      </c>
      <c r="W10" s="1148">
        <f>'7'!$G$66</f>
        <v>368.3100000000004</v>
      </c>
      <c r="X10" s="1148">
        <f>'7'!$G$67</f>
        <v>619.47000000000116</v>
      </c>
      <c r="Y10" s="1152">
        <f>'7'!$G$68</f>
        <v>284</v>
      </c>
      <c r="Z10" s="1148">
        <f>'7'!$G$69</f>
        <v>299.48999999999796</v>
      </c>
      <c r="AA10" s="1148">
        <f>'7'!$G$84</f>
        <v>452</v>
      </c>
      <c r="AB10" s="1148">
        <f>'7'!$G$15</f>
        <v>621.30000000004657</v>
      </c>
      <c r="AC10" s="1187">
        <f>'7'!$G$123</f>
        <v>238</v>
      </c>
      <c r="AD10" s="1148">
        <f>'7'!$G$124</f>
        <v>0</v>
      </c>
      <c r="AE10" s="1148">
        <f>'7'!$G$125</f>
        <v>63</v>
      </c>
      <c r="AF10" s="1148">
        <f>'7'!$G$126</f>
        <v>30</v>
      </c>
      <c r="AG10" s="1148">
        <f>'7'!$G$127</f>
        <v>0</v>
      </c>
      <c r="AH10" s="1148">
        <f t="shared" si="0"/>
        <v>290.30000000004657</v>
      </c>
      <c r="AI10" s="1148">
        <f>'7'!$G$140</f>
        <v>7.6700000000000728</v>
      </c>
      <c r="AJ10" s="1148">
        <f>'7'!$G$136</f>
        <v>2.069999999999709</v>
      </c>
      <c r="AK10" s="1148">
        <f>'7'!$G$137</f>
        <v>0</v>
      </c>
      <c r="AL10" s="1148">
        <f>'7'!$G$138</f>
        <v>7.3700000000098953</v>
      </c>
      <c r="AM10" s="1145">
        <f t="shared" si="1"/>
        <v>9.4400000000096043</v>
      </c>
    </row>
    <row r="11" spans="1:41">
      <c r="A11" s="1147">
        <v>44051</v>
      </c>
      <c r="B11" s="1148">
        <f>'8'!G72</f>
        <v>55</v>
      </c>
      <c r="C11" s="1148">
        <f>'8'!$G$73</f>
        <v>1</v>
      </c>
      <c r="D11" s="1148">
        <f>'8'!$G$74</f>
        <v>30</v>
      </c>
      <c r="E11" s="1148">
        <f>'8'!$G$75</f>
        <v>174</v>
      </c>
      <c r="F11" s="1148">
        <f>'8'!$G$76</f>
        <v>102</v>
      </c>
      <c r="G11" s="1148">
        <f>'8'!$G$77</f>
        <v>50</v>
      </c>
      <c r="H11" s="1138">
        <f>'8'!$G$78</f>
        <v>320</v>
      </c>
      <c r="I11" s="1138">
        <f>'8'!$G$79</f>
        <v>176</v>
      </c>
      <c r="J11" s="1138">
        <f>'8'!$G$80</f>
        <v>297</v>
      </c>
      <c r="K11" s="1138">
        <f>'8'!$G$81</f>
        <v>116</v>
      </c>
      <c r="L11" s="1138">
        <f>'8'!$G$82</f>
        <v>19</v>
      </c>
      <c r="M11" s="1138">
        <f>'8'!$G$58</f>
        <v>160</v>
      </c>
      <c r="N11" s="1138">
        <f>'8'!$G$83</f>
        <v>347</v>
      </c>
      <c r="O11" s="1138">
        <f>'8'!G86</f>
        <v>90</v>
      </c>
      <c r="P11" s="1138">
        <f>'8'!G87</f>
        <v>32</v>
      </c>
      <c r="Q11" s="1138">
        <f>'8'!G88</f>
        <v>49</v>
      </c>
      <c r="R11" s="1138">
        <f>'8'!G89+'8'!G90</f>
        <v>92.099999999998545</v>
      </c>
      <c r="S11" s="1148">
        <f>'8'!$G$62</f>
        <v>0</v>
      </c>
      <c r="T11" s="1148">
        <f>'8'!$G$63</f>
        <v>4</v>
      </c>
      <c r="U11" s="1148">
        <f>'8'!$G$64</f>
        <v>412</v>
      </c>
      <c r="V11" s="1148">
        <f>'8'!$G$65</f>
        <v>410</v>
      </c>
      <c r="W11" s="1148">
        <f>'8'!$G$66</f>
        <v>367</v>
      </c>
      <c r="X11" s="1148">
        <f>'8'!$G$67</f>
        <v>637</v>
      </c>
      <c r="Y11" s="1148">
        <f>'8'!$G$68</f>
        <v>278</v>
      </c>
      <c r="Z11" s="1148">
        <f>'8'!$G$69</f>
        <v>300</v>
      </c>
      <c r="AA11" s="1148">
        <f>'8'!$G$84</f>
        <v>518</v>
      </c>
      <c r="AB11" s="1148">
        <f>'8'!$G$15</f>
        <v>752</v>
      </c>
      <c r="AC11" s="1148">
        <f>'8'!$G$123</f>
        <v>209</v>
      </c>
      <c r="AD11" s="1148">
        <f>'8'!$G$124</f>
        <v>0</v>
      </c>
      <c r="AE11" s="1148">
        <f>'8'!$G$125</f>
        <v>56</v>
      </c>
      <c r="AF11" s="1148">
        <f>'8'!$G$126</f>
        <v>22</v>
      </c>
      <c r="AG11" s="1148">
        <f>'8'!$G$127</f>
        <v>2</v>
      </c>
      <c r="AH11" s="1148">
        <f t="shared" si="0"/>
        <v>463</v>
      </c>
      <c r="AI11" s="1148">
        <f>'8'!$G$140</f>
        <v>6.9700000000002547</v>
      </c>
      <c r="AJ11" s="1148">
        <f>'8'!$G$136</f>
        <v>8.2099999999991269</v>
      </c>
      <c r="AK11" s="1148">
        <f>'8'!$G$137</f>
        <v>0</v>
      </c>
      <c r="AL11" s="1148">
        <f>'8'!$G$138</f>
        <v>0</v>
      </c>
      <c r="AM11" s="1145">
        <f t="shared" si="1"/>
        <v>8.2099999999991269</v>
      </c>
    </row>
    <row r="12" spans="1:41">
      <c r="A12" s="1147">
        <v>44052</v>
      </c>
      <c r="B12" s="1148">
        <f>'9'!G72</f>
        <v>42</v>
      </c>
      <c r="C12" s="1148">
        <f>'9'!$G$73</f>
        <v>1</v>
      </c>
      <c r="D12" s="1148">
        <f>'9'!$G$74</f>
        <v>32</v>
      </c>
      <c r="E12" s="1148">
        <f>'9'!$G$75</f>
        <v>184</v>
      </c>
      <c r="F12" s="1148">
        <f>'9'!$G$76</f>
        <v>112</v>
      </c>
      <c r="G12" s="1148">
        <f>'9'!$G$77</f>
        <v>58</v>
      </c>
      <c r="H12" s="1138">
        <f>'9'!$G$78</f>
        <v>364</v>
      </c>
      <c r="I12" s="1138">
        <f>'9'!$G$79</f>
        <v>194</v>
      </c>
      <c r="J12" s="1138">
        <f>'9'!$G$80</f>
        <v>318</v>
      </c>
      <c r="K12" s="1138">
        <f>'9'!$G$81</f>
        <v>118</v>
      </c>
      <c r="L12" s="1138">
        <f>'9'!$G$82</f>
        <v>26</v>
      </c>
      <c r="M12" s="1138">
        <f>'9'!$G$58</f>
        <v>136</v>
      </c>
      <c r="N12" s="1138">
        <f>'9'!$G$83</f>
        <v>329</v>
      </c>
      <c r="O12" s="1138">
        <f>'9'!G86</f>
        <v>87</v>
      </c>
      <c r="P12" s="1138">
        <f>'9'!G87</f>
        <v>12</v>
      </c>
      <c r="Q12" s="1138">
        <f>'9'!G88</f>
        <v>64</v>
      </c>
      <c r="R12" s="1138">
        <f>'9'!G89+'9'!H90</f>
        <v>74</v>
      </c>
      <c r="S12" s="1148">
        <f>'9'!$G$62</f>
        <v>0</v>
      </c>
      <c r="T12" s="1148">
        <f>'9'!$G$63</f>
        <v>4</v>
      </c>
      <c r="U12" s="1148">
        <f>'9'!$G$64</f>
        <v>389</v>
      </c>
      <c r="V12" s="1159">
        <f>'9'!$G$65</f>
        <v>421</v>
      </c>
      <c r="W12" s="1159">
        <f>'9'!$G$66</f>
        <v>371</v>
      </c>
      <c r="X12" s="1148">
        <f>'9'!$G$67</f>
        <v>676</v>
      </c>
      <c r="Y12" s="1148">
        <f>'9'!$G$68</f>
        <v>286</v>
      </c>
      <c r="Z12" s="1148">
        <f>'9'!$G$69</f>
        <v>297</v>
      </c>
      <c r="AA12" s="1148">
        <f>'9'!$G$84</f>
        <v>567</v>
      </c>
      <c r="AB12" s="1148">
        <f>'9'!$G$15</f>
        <v>759</v>
      </c>
      <c r="AC12" s="1148">
        <f>'9'!$G$123</f>
        <v>217</v>
      </c>
      <c r="AD12" s="1148">
        <f>'9'!$G$124</f>
        <v>0</v>
      </c>
      <c r="AE12" s="1148">
        <f>'9'!$G$125</f>
        <v>88</v>
      </c>
      <c r="AF12" s="1148">
        <f>'9'!$G$126</f>
        <v>27</v>
      </c>
      <c r="AG12" s="1148">
        <f>'9'!$G$127</f>
        <v>1</v>
      </c>
      <c r="AH12" s="1148">
        <f t="shared" si="0"/>
        <v>426</v>
      </c>
      <c r="AI12" s="1148">
        <f>'9'!$G$140</f>
        <v>7.1499999999996362</v>
      </c>
      <c r="AJ12" s="1148">
        <f>'9'!$G$136</f>
        <v>7.1899999999986903</v>
      </c>
      <c r="AK12" s="1148">
        <f>'9'!$G$137</f>
        <v>0</v>
      </c>
      <c r="AL12" s="1148">
        <f>'9'!$G$138</f>
        <v>0.71999999998661224</v>
      </c>
      <c r="AM12" s="1145">
        <f t="shared" si="1"/>
        <v>7.9099999999853026</v>
      </c>
    </row>
    <row r="13" spans="1:41">
      <c r="A13" s="1147">
        <v>44053</v>
      </c>
      <c r="B13" s="1148">
        <f>'10'!G72</f>
        <v>46</v>
      </c>
      <c r="C13" s="1148">
        <f>'10'!$G$73</f>
        <v>0</v>
      </c>
      <c r="D13" s="1148">
        <f>'10'!$G$74</f>
        <v>34</v>
      </c>
      <c r="E13" s="1148">
        <f>'10'!$G$75</f>
        <v>203</v>
      </c>
      <c r="F13" s="1148">
        <f>'10'!$G$76</f>
        <v>112</v>
      </c>
      <c r="G13" s="1148">
        <f>'10'!$G$77</f>
        <v>50</v>
      </c>
      <c r="H13" s="1138">
        <f>'10'!$G$78</f>
        <v>380</v>
      </c>
      <c r="I13" s="1138">
        <f>'10'!$G$79</f>
        <v>185</v>
      </c>
      <c r="J13" s="1153">
        <f>'10'!$G$80</f>
        <v>372</v>
      </c>
      <c r="K13" s="1153">
        <f>'10'!$G$81</f>
        <v>105</v>
      </c>
      <c r="L13" s="1138">
        <f>'10'!$G$82</f>
        <v>26</v>
      </c>
      <c r="M13" s="1138">
        <f>'10'!$G$58</f>
        <v>115</v>
      </c>
      <c r="N13" s="1138">
        <f>'10'!$G$83</f>
        <v>381</v>
      </c>
      <c r="O13" s="1138">
        <f>'10'!G86</f>
        <v>50</v>
      </c>
      <c r="P13" s="1138">
        <f>'10'!G87</f>
        <v>9</v>
      </c>
      <c r="Q13" s="1138">
        <f>'10'!G88</f>
        <v>25</v>
      </c>
      <c r="R13" s="1138">
        <f>'10'!G87+'10'!H90</f>
        <v>16</v>
      </c>
      <c r="S13" s="1148">
        <f>'10'!$G$62</f>
        <v>0</v>
      </c>
      <c r="T13" s="1148">
        <f>'10'!$G$63</f>
        <v>4</v>
      </c>
      <c r="U13" s="1148">
        <f>'10'!$G$64</f>
        <v>371</v>
      </c>
      <c r="V13" s="1148">
        <f>'10'!$G$65</f>
        <v>435</v>
      </c>
      <c r="W13" s="1148">
        <f>'10'!$G$66</f>
        <v>382</v>
      </c>
      <c r="X13" s="1148">
        <f>'10'!$G$67</f>
        <v>701</v>
      </c>
      <c r="Y13" s="1148">
        <f>'10'!$G$68</f>
        <v>300</v>
      </c>
      <c r="Z13" s="1148">
        <f>'10'!$G$69</f>
        <v>299</v>
      </c>
      <c r="AA13" s="1148">
        <f>'10'!$G$84</f>
        <v>535</v>
      </c>
      <c r="AB13" s="1148">
        <f>'10'!$G$15</f>
        <v>776</v>
      </c>
      <c r="AC13" s="1148">
        <f>'10'!$G$123</f>
        <v>251</v>
      </c>
      <c r="AD13" s="1148">
        <f>'10'!$G$124</f>
        <v>0</v>
      </c>
      <c r="AE13" s="1148">
        <f>'10'!$G$125</f>
        <v>90</v>
      </c>
      <c r="AF13" s="1148">
        <f>'10'!$G$126</f>
        <v>44</v>
      </c>
      <c r="AG13" s="1148">
        <f>'10'!$G$127</f>
        <v>5</v>
      </c>
      <c r="AH13" s="1148">
        <f t="shared" si="0"/>
        <v>386</v>
      </c>
      <c r="AI13" s="1148">
        <f>'10'!$G$140</f>
        <v>8.2600000000002183</v>
      </c>
      <c r="AJ13" s="1148">
        <f>'10'!$G$136</f>
        <v>4.1100000000005821</v>
      </c>
      <c r="AK13" s="1148">
        <f>'10'!$G$137</f>
        <v>0</v>
      </c>
      <c r="AL13" s="1148">
        <f>'10'!$G$138</f>
        <v>4.7700000000040745</v>
      </c>
      <c r="AM13" s="1145">
        <f t="shared" si="1"/>
        <v>8.8800000000046566</v>
      </c>
    </row>
    <row r="14" spans="1:41">
      <c r="A14" s="1147">
        <v>44054</v>
      </c>
      <c r="B14" s="1148">
        <f>'11'!G72</f>
        <v>91</v>
      </c>
      <c r="C14" s="1148">
        <f>'11'!$G$73</f>
        <v>1</v>
      </c>
      <c r="D14" s="1148">
        <f>'11'!$G$74</f>
        <v>37</v>
      </c>
      <c r="E14" s="1148">
        <f>'11'!$G$75</f>
        <v>201</v>
      </c>
      <c r="F14" s="1148">
        <f>'11'!$G$76</f>
        <v>105</v>
      </c>
      <c r="G14" s="1148">
        <f>'11'!$G$77</f>
        <v>55</v>
      </c>
      <c r="H14" s="1138">
        <f>'11'!$G$78</f>
        <v>373</v>
      </c>
      <c r="I14" s="1138">
        <f>'11'!$G$79</f>
        <v>202</v>
      </c>
      <c r="J14" s="1138">
        <f>'11'!$G$80</f>
        <v>354.44000000000233</v>
      </c>
      <c r="K14" s="1138">
        <f>'11'!$G$81</f>
        <v>120.80000000004657</v>
      </c>
      <c r="L14" s="1138">
        <f>'11'!$G$82</f>
        <v>27.809999999997672</v>
      </c>
      <c r="M14" s="1138">
        <f>'11'!$G$58</f>
        <v>253.70300000000134</v>
      </c>
      <c r="N14" s="1138">
        <f>'11'!$G$83</f>
        <v>420</v>
      </c>
      <c r="O14" s="1138">
        <f>'11'!G86</f>
        <v>123.35999999998603</v>
      </c>
      <c r="P14" s="1138">
        <f>'11'!G87</f>
        <v>33.729999999995925</v>
      </c>
      <c r="Q14" s="1138">
        <f>'11'!G88</f>
        <v>125.48999999999069</v>
      </c>
      <c r="R14" s="1138">
        <f>'11'!G87+'11'!H90</f>
        <v>35.129999999996016</v>
      </c>
      <c r="S14" s="1148">
        <f>'11'!$G$62</f>
        <v>0</v>
      </c>
      <c r="T14" s="1148">
        <f>'11'!$G$63</f>
        <v>4.7852000000000317</v>
      </c>
      <c r="U14" s="1148">
        <f>'11'!$G$64</f>
        <v>392.4600000000064</v>
      </c>
      <c r="V14" s="1148">
        <f>'11'!$G$65</f>
        <v>432.94000000000233</v>
      </c>
      <c r="W14" s="1148">
        <f>'11'!$G$66</f>
        <v>358.64999999999964</v>
      </c>
      <c r="X14" s="1148">
        <f>'11'!$G$67</f>
        <v>672.02999999999884</v>
      </c>
      <c r="Y14" s="1148">
        <f>'11'!$G$68</f>
        <v>325.19099999999889</v>
      </c>
      <c r="Z14" s="1148">
        <f>'11'!$G$69</f>
        <v>292.3550000000032</v>
      </c>
      <c r="AA14" s="1148">
        <f>'11'!$G$84</f>
        <v>661</v>
      </c>
      <c r="AB14" s="1148">
        <f>'11'!$G$15</f>
        <v>919.05199999990873</v>
      </c>
      <c r="AC14" s="1148">
        <f>'11'!$G$123</f>
        <v>228.84999999997672</v>
      </c>
      <c r="AD14" s="1148">
        <f>'11'!$G$124</f>
        <v>0.30000000000291038</v>
      </c>
      <c r="AE14" s="1148">
        <f>'11'!$G$125</f>
        <v>88.600000000005821</v>
      </c>
      <c r="AF14" s="1148">
        <f>'11'!$G$126</f>
        <v>43.69999999999709</v>
      </c>
      <c r="AG14" s="1148">
        <f>'11'!$G$127</f>
        <v>3.7000000000007276</v>
      </c>
      <c r="AH14" s="1148">
        <f t="shared" si="0"/>
        <v>553.90199999992547</v>
      </c>
      <c r="AI14" s="1148">
        <f>'11'!$G$140</f>
        <v>7.5399999999999636</v>
      </c>
      <c r="AJ14" s="1148">
        <f>'11'!$G$136</f>
        <v>0</v>
      </c>
      <c r="AK14" s="1148">
        <f>'11'!$G$137</f>
        <v>9.8899999999994179</v>
      </c>
      <c r="AL14" s="1148">
        <f>'11'!$G$138</f>
        <v>0</v>
      </c>
      <c r="AM14" s="1145">
        <f t="shared" si="1"/>
        <v>9.8899999999994179</v>
      </c>
    </row>
    <row r="15" spans="1:41">
      <c r="A15" s="1147">
        <v>44055</v>
      </c>
      <c r="B15" s="1148">
        <f>'12'!G72</f>
        <v>80</v>
      </c>
      <c r="C15" s="1148">
        <f>'12'!$G$73</f>
        <v>1</v>
      </c>
      <c r="D15" s="1148">
        <f>'12'!$G$74</f>
        <v>37</v>
      </c>
      <c r="E15" s="1148">
        <f>'12'!$G$75</f>
        <v>179</v>
      </c>
      <c r="F15" s="1148">
        <f>'12'!$G$76</f>
        <v>96</v>
      </c>
      <c r="G15" s="1148">
        <f>'12'!$G$77</f>
        <v>52</v>
      </c>
      <c r="H15" s="1138">
        <f>'12'!$G$78</f>
        <v>320</v>
      </c>
      <c r="I15" s="1138">
        <f>'12'!$G$79</f>
        <v>185</v>
      </c>
      <c r="J15" s="1138">
        <f>'12'!$G$80</f>
        <v>309.59999999997672</v>
      </c>
      <c r="K15" s="1138">
        <f>'12'!$G$81</f>
        <v>143.11999999999534</v>
      </c>
      <c r="L15" s="1138">
        <f>'12'!$G$82</f>
        <v>29.139999999999418</v>
      </c>
      <c r="M15" s="1138">
        <f>'12'!$G$58</f>
        <v>257.10999999999694</v>
      </c>
      <c r="N15" s="1138">
        <f>'12'!$G$83</f>
        <v>358</v>
      </c>
      <c r="O15" s="1138">
        <f>'12'!G86</f>
        <v>107.60000000003492</v>
      </c>
      <c r="P15" s="1138">
        <f>'12'!G87</f>
        <v>32.669999999998254</v>
      </c>
      <c r="Q15" s="1138">
        <f>'12'!G88</f>
        <v>95.5</v>
      </c>
      <c r="R15" s="1138">
        <f>'12'!G87+'12'!H90</f>
        <v>35.769999999998163</v>
      </c>
      <c r="S15" s="1148">
        <f>'12'!$G$62</f>
        <v>0</v>
      </c>
      <c r="T15" s="1148">
        <f>'12'!$G$63</f>
        <v>4.2647999999999229</v>
      </c>
      <c r="U15" s="1148">
        <f>'12'!$G$64</f>
        <v>398.67999999999302</v>
      </c>
      <c r="V15" s="1148">
        <f>'12'!$G$65</f>
        <v>435.83999999999651</v>
      </c>
      <c r="W15" s="1148">
        <f>'12'!$G$66</f>
        <v>358.3700000000008</v>
      </c>
      <c r="X15" s="1148">
        <f>'12'!$G$67</f>
        <v>642.04000000000815</v>
      </c>
      <c r="Y15" s="1148">
        <f>'12'!$G$68</f>
        <v>332.5789999999979</v>
      </c>
      <c r="Z15" s="1148">
        <f>'12'!$G$69</f>
        <v>296.82499999999709</v>
      </c>
      <c r="AA15" s="1148">
        <f>'12'!$G$84</f>
        <v>776</v>
      </c>
      <c r="AB15" s="1148">
        <f>'12'!$G$15</f>
        <v>954.90400000009686</v>
      </c>
      <c r="AC15" s="1187">
        <f>'12'!$G$123</f>
        <v>260.1600000000326</v>
      </c>
      <c r="AD15" s="1148">
        <f>'12'!$G$124</f>
        <v>0</v>
      </c>
      <c r="AE15" s="1176">
        <f>'12'!$G$125</f>
        <v>64.679999999993015</v>
      </c>
      <c r="AF15" s="1148">
        <f>'12'!$G$126</f>
        <v>42.5</v>
      </c>
      <c r="AG15" s="1148">
        <f>'12'!$G$127</f>
        <v>8.3999999999996362</v>
      </c>
      <c r="AH15" s="1148">
        <f t="shared" si="0"/>
        <v>579.16400000007161</v>
      </c>
      <c r="AI15" s="1148">
        <f>'12'!$G$140</f>
        <v>8.5100000000002183</v>
      </c>
      <c r="AJ15" s="1148">
        <f>'12'!$G$136</f>
        <v>9.9500000000007276</v>
      </c>
      <c r="AK15" s="1148">
        <f>'12'!$G$137</f>
        <v>6.0000000001309672E-2</v>
      </c>
      <c r="AL15" s="1148">
        <f>'12'!$G$138</f>
        <v>1.1900000000023283</v>
      </c>
      <c r="AM15" s="1145">
        <f t="shared" si="1"/>
        <v>11.200000000004366</v>
      </c>
      <c r="AO15" s="1154">
        <f>AC15-AE15</f>
        <v>195.48000000003958</v>
      </c>
    </row>
    <row r="16" spans="1:41">
      <c r="A16" s="1147">
        <v>44056</v>
      </c>
      <c r="B16" s="1148">
        <f>'13'!G72</f>
        <v>66</v>
      </c>
      <c r="C16" s="1148">
        <f>'13'!$G$73</f>
        <v>0</v>
      </c>
      <c r="D16" s="1148">
        <f>'13'!$G$74</f>
        <v>37</v>
      </c>
      <c r="E16" s="1148">
        <f>'13'!$G$75</f>
        <v>175</v>
      </c>
      <c r="F16" s="1148">
        <f>'13'!$G$76</f>
        <v>107</v>
      </c>
      <c r="G16" s="1148">
        <f>'13'!$G$77</f>
        <v>64</v>
      </c>
      <c r="H16" s="1138">
        <f>'13'!$G$78</f>
        <v>380</v>
      </c>
      <c r="I16" s="1138">
        <f>'13'!$G$79</f>
        <v>184</v>
      </c>
      <c r="J16" s="1138">
        <f>'13'!$G$80</f>
        <v>339.80000000004657</v>
      </c>
      <c r="K16" s="1138">
        <f>'13'!$G$81</f>
        <v>127.59999999997672</v>
      </c>
      <c r="L16" s="1138">
        <f>'13'!$G$82</f>
        <v>27.940000000002328</v>
      </c>
      <c r="M16" s="1138">
        <f>'13'!$G$58</f>
        <v>175.28000000000247</v>
      </c>
      <c r="N16" s="1138">
        <f>'13'!$G$83</f>
        <v>379</v>
      </c>
      <c r="O16" s="1138">
        <f>'13'!G86</f>
        <v>127.67999999999302</v>
      </c>
      <c r="P16" s="1138">
        <f>'13'!G87</f>
        <v>32.400000000008731</v>
      </c>
      <c r="Q16" s="1138">
        <f>'13'!G88</f>
        <v>126.64000000001397</v>
      </c>
      <c r="R16" s="1138">
        <f>'13'!G87+'13'!H90</f>
        <v>35.400000000008731</v>
      </c>
      <c r="S16" s="1148">
        <f>'13'!$G$62</f>
        <v>0.18000000000029104</v>
      </c>
      <c r="T16" s="1148">
        <f>'13'!$G$63</f>
        <v>4.3500000000001364</v>
      </c>
      <c r="U16" s="1148">
        <f>'13'!$G$64</f>
        <v>410.27000000000407</v>
      </c>
      <c r="V16" s="1148">
        <f>'13'!$G$65</f>
        <v>431.55999999999767</v>
      </c>
      <c r="W16" s="1148">
        <f>'13'!$G$66</f>
        <v>368.19999999999982</v>
      </c>
      <c r="X16" s="1148">
        <f>'13'!$G$67</f>
        <v>655.03999999997905</v>
      </c>
      <c r="Y16" s="1148">
        <f>'13'!$G$68</f>
        <v>335.67000000000553</v>
      </c>
      <c r="Z16" s="1148">
        <f>'13'!$G$69</f>
        <v>296.83999999999651</v>
      </c>
      <c r="AA16" s="1148">
        <f>'13'!$G$84</f>
        <v>872</v>
      </c>
      <c r="AB16" s="1148">
        <f>'13'!$G$15</f>
        <v>902.5230000000447</v>
      </c>
      <c r="AC16" s="1187">
        <f>'13'!$G$123</f>
        <v>275.92000000004191</v>
      </c>
      <c r="AD16" s="1148">
        <f>'13'!$G$124</f>
        <v>0</v>
      </c>
      <c r="AE16" s="1148">
        <f>'13'!$G$125</f>
        <v>86.64000000001397</v>
      </c>
      <c r="AF16" s="1148">
        <f>'13'!$G$126</f>
        <v>19.80000000000291</v>
      </c>
      <c r="AG16" s="1148">
        <f>'13'!$G$127</f>
        <v>10.100000000000364</v>
      </c>
      <c r="AH16" s="1148">
        <f t="shared" si="0"/>
        <v>510.06299999998555</v>
      </c>
      <c r="AI16" s="1148">
        <f>'13'!$G$140</f>
        <v>6.0999999999994543</v>
      </c>
      <c r="AJ16" s="1148">
        <f>'13'!$G$136</f>
        <v>7.3600000000005821</v>
      </c>
      <c r="AK16" s="1148">
        <f>'13'!$G$137</f>
        <v>0</v>
      </c>
      <c r="AL16" s="1148">
        <f>'13'!$G$138</f>
        <v>4.8500000000058208</v>
      </c>
      <c r="AM16" s="1145">
        <f t="shared" si="1"/>
        <v>12.210000000006403</v>
      </c>
      <c r="AO16" s="1154">
        <f t="shared" ref="AO16:AO34" si="2">AC16-AH16</f>
        <v>-234.14299999994364</v>
      </c>
    </row>
    <row r="17" spans="1:41">
      <c r="A17" s="1147">
        <v>44057</v>
      </c>
      <c r="B17" s="1148">
        <f>'14'!G72</f>
        <v>63</v>
      </c>
      <c r="C17" s="1148">
        <f>'14'!$G$73</f>
        <v>1</v>
      </c>
      <c r="D17" s="1148">
        <f>'14'!$G$74</f>
        <v>29</v>
      </c>
      <c r="E17" s="1148">
        <f>'14'!$G$75</f>
        <v>185</v>
      </c>
      <c r="F17" s="1148">
        <f>'14'!$G$76</f>
        <v>101</v>
      </c>
      <c r="G17" s="1148">
        <f>'14'!$G$77</f>
        <v>53</v>
      </c>
      <c r="H17" s="1138">
        <f>'14'!$G$78</f>
        <v>320</v>
      </c>
      <c r="I17" s="1138">
        <f>'14'!$G$79</f>
        <v>188</v>
      </c>
      <c r="J17" s="1138">
        <f>'14'!$G$80</f>
        <v>285.11999999999534</v>
      </c>
      <c r="K17" s="1138">
        <f>'14'!$G$81</f>
        <v>94.799999999930151</v>
      </c>
      <c r="L17" s="1138">
        <f>'14'!$G$82</f>
        <v>29.279999999998836</v>
      </c>
      <c r="M17" s="1138">
        <f>'14'!$G$58</f>
        <v>150.40699999999924</v>
      </c>
      <c r="N17" s="1138">
        <f>'14'!$G$83</f>
        <v>379</v>
      </c>
      <c r="O17" s="1138">
        <f>'14'!G86</f>
        <v>104.47999999998137</v>
      </c>
      <c r="P17" s="1138">
        <f>'14'!G87</f>
        <v>30.30000000000291</v>
      </c>
      <c r="Q17" s="1138">
        <f>'14'!G88</f>
        <v>103.5</v>
      </c>
      <c r="R17" s="1138">
        <f>'14'!G87+'14'!H90</f>
        <v>32.30000000000291</v>
      </c>
      <c r="S17" s="1148">
        <f>'14'!$G$62</f>
        <v>0</v>
      </c>
      <c r="T17" s="1148">
        <f>'14'!$G$63</f>
        <v>4.0999999999999091</v>
      </c>
      <c r="U17" s="1148">
        <f>'14'!$G$64</f>
        <v>393.83000000000175</v>
      </c>
      <c r="V17" s="1148">
        <f>'14'!$G$65</f>
        <v>395.52999999999884</v>
      </c>
      <c r="W17" s="1148">
        <f>'14'!$G$66</f>
        <v>343.86999999999989</v>
      </c>
      <c r="X17" s="1148">
        <f>'14'!$G$67</f>
        <v>621.92000000001281</v>
      </c>
      <c r="Y17" s="1148">
        <f>'14'!$G$68</f>
        <v>316.32999999999447</v>
      </c>
      <c r="Z17" s="1148">
        <f>'14'!$G$69</f>
        <v>276.57100000000355</v>
      </c>
      <c r="AA17" s="1148">
        <f>'14'!$G$84</f>
        <v>791</v>
      </c>
      <c r="AB17" s="1148">
        <f>'14'!$G$15</f>
        <v>854.40299999993294</v>
      </c>
      <c r="AC17" s="1148">
        <f>'14'!$G$123</f>
        <v>241.66299999994226</v>
      </c>
      <c r="AD17" s="1148">
        <f>'14'!$G$124</f>
        <v>0</v>
      </c>
      <c r="AE17" s="1148">
        <f>'14'!$G$125</f>
        <v>64.419999999983702</v>
      </c>
      <c r="AF17" s="1148">
        <f>'14'!$G$126</f>
        <v>36</v>
      </c>
      <c r="AG17" s="1148">
        <f>'14'!$G$127</f>
        <v>4</v>
      </c>
      <c r="AH17" s="1148">
        <f t="shared" si="0"/>
        <v>508.32000000000698</v>
      </c>
      <c r="AI17" s="1148">
        <f>'14'!$G$140</f>
        <v>0</v>
      </c>
      <c r="AJ17" s="1148">
        <f>'14'!$G$136</f>
        <v>8.0499999999992724</v>
      </c>
      <c r="AK17" s="1148">
        <f>'14'!$G$137</f>
        <v>0</v>
      </c>
      <c r="AL17" s="1148">
        <f>'14'!$G$138</f>
        <v>2.4199999999982538</v>
      </c>
      <c r="AM17" s="1145">
        <f t="shared" si="1"/>
        <v>10.469999999997526</v>
      </c>
      <c r="AO17" s="1154">
        <f>AC17-AH17</f>
        <v>-266.65700000006473</v>
      </c>
    </row>
    <row r="18" spans="1:41">
      <c r="A18" s="1147">
        <v>44058</v>
      </c>
      <c r="B18" s="1148">
        <f>'15'!G72</f>
        <v>61</v>
      </c>
      <c r="C18" s="1148">
        <f>'15'!$G$73</f>
        <v>1</v>
      </c>
      <c r="D18" s="1148">
        <f>'15'!$G$74</f>
        <v>39</v>
      </c>
      <c r="E18" s="1148">
        <f>'15'!$G$75</f>
        <v>192</v>
      </c>
      <c r="F18" s="1148">
        <f>'15'!$G$76</f>
        <v>106</v>
      </c>
      <c r="G18" s="1148">
        <f>'15'!$G$77</f>
        <v>57</v>
      </c>
      <c r="H18" s="1138">
        <f>'15'!$G$78</f>
        <v>366</v>
      </c>
      <c r="I18" s="1138">
        <f>'15'!$G$79</f>
        <v>193</v>
      </c>
      <c r="J18" s="1138">
        <f>'15'!$G$80</f>
        <v>305.19999999995343</v>
      </c>
      <c r="K18" s="1138">
        <f>'15'!$G$81</f>
        <v>113.20000000006985</v>
      </c>
      <c r="L18" s="1138">
        <f>'15'!$G$82</f>
        <v>29.229999999995925</v>
      </c>
      <c r="M18" s="1138">
        <f>'15'!$G$58</f>
        <v>232.31499999999869</v>
      </c>
      <c r="N18" s="1138">
        <f>'15'!$G$83</f>
        <v>331</v>
      </c>
      <c r="O18" s="1138">
        <f>'15'!G86</f>
        <v>139.67999999999302</v>
      </c>
      <c r="P18" s="1138">
        <f>'15'!G87</f>
        <v>27.599999999991269</v>
      </c>
      <c r="Q18" s="1138">
        <f>'15'!G88</f>
        <v>76.600000000005821</v>
      </c>
      <c r="R18" s="1138">
        <f>'15'!G87+'15'!H90</f>
        <v>32.399999999991451</v>
      </c>
      <c r="S18" s="1148">
        <f>'15'!$G$62</f>
        <v>0</v>
      </c>
      <c r="T18" s="1148">
        <f>'15'!$G$63</f>
        <v>4.3499999999999091</v>
      </c>
      <c r="U18" s="1148">
        <f>'15'!$G$64</f>
        <v>483.81999999999243</v>
      </c>
      <c r="V18" s="1148">
        <f>'15'!$G$65</f>
        <v>424.52000000000407</v>
      </c>
      <c r="W18" s="1148">
        <f>'15'!$G$66</f>
        <v>359.11999999999989</v>
      </c>
      <c r="X18" s="1148">
        <f>'15'!$G$67</f>
        <v>673.77999999999884</v>
      </c>
      <c r="Y18" s="1148">
        <f>'15'!$G$68</f>
        <v>344.52100000000064</v>
      </c>
      <c r="Z18" s="1148">
        <f>'15'!$G$69</f>
        <v>286.79899999999907</v>
      </c>
      <c r="AA18" s="1148">
        <f>'15'!$G$84</f>
        <v>836</v>
      </c>
      <c r="AB18" s="1148">
        <f>'15'!$G$15</f>
        <v>920.0679999999702</v>
      </c>
      <c r="AC18" s="1148">
        <f>'15'!$G$123</f>
        <v>270.45700000005309</v>
      </c>
      <c r="AD18" s="1148">
        <f>'15'!$G$124</f>
        <v>0</v>
      </c>
      <c r="AE18" s="1148">
        <f>'15'!$G$125</f>
        <v>88.519999999989523</v>
      </c>
      <c r="AF18" s="1148">
        <f>'15'!$G$126</f>
        <v>31.30000000000291</v>
      </c>
      <c r="AG18" s="1148">
        <f>'15'!$G$127</f>
        <v>3.3999999999996362</v>
      </c>
      <c r="AH18" s="1148">
        <f t="shared" si="0"/>
        <v>526.39099999992504</v>
      </c>
      <c r="AI18" s="1148">
        <f>'15'!$G$140</f>
        <v>0</v>
      </c>
      <c r="AJ18" s="1148">
        <f>'15'!$G$136</f>
        <v>8.2200000000011642</v>
      </c>
      <c r="AK18" s="1148">
        <f>'15'!$G$137</f>
        <v>0</v>
      </c>
      <c r="AL18" s="1148">
        <f>'15'!$G$138</f>
        <v>3</v>
      </c>
      <c r="AM18" s="1145">
        <f t="shared" si="1"/>
        <v>11.220000000001164</v>
      </c>
      <c r="AO18" s="1154">
        <f t="shared" si="2"/>
        <v>-255.93399999987196</v>
      </c>
    </row>
    <row r="19" spans="1:41">
      <c r="A19" s="1147">
        <v>44059</v>
      </c>
      <c r="B19" s="1148">
        <f>'16'!G72</f>
        <v>69</v>
      </c>
      <c r="C19" s="1148">
        <f>'16'!$G$73</f>
        <v>17</v>
      </c>
      <c r="D19" s="1148">
        <f>'16'!$G$74</f>
        <v>32</v>
      </c>
      <c r="E19" s="1148">
        <f>'16'!$G$75</f>
        <v>215</v>
      </c>
      <c r="F19" s="1148">
        <f>'16'!$G$76</f>
        <v>93</v>
      </c>
      <c r="G19" s="1148">
        <f>'16'!$G$77</f>
        <v>53</v>
      </c>
      <c r="H19" s="1138">
        <f>'16'!$G$78</f>
        <v>389</v>
      </c>
      <c r="I19" s="1138">
        <f>'16'!$G$79</f>
        <v>204</v>
      </c>
      <c r="J19" s="1138">
        <f>'16'!$G$80</f>
        <v>316.84000000002561</v>
      </c>
      <c r="K19" s="1138">
        <f>'16'!$G$81</f>
        <v>106.79999999993015</v>
      </c>
      <c r="L19" s="1138">
        <f>'16'!$G$82</f>
        <v>39.260000000009313</v>
      </c>
      <c r="M19" s="1138">
        <f>'16'!$G$58</f>
        <v>224.93500000000131</v>
      </c>
      <c r="N19" s="1138">
        <f>'16'!$G$83</f>
        <v>458</v>
      </c>
      <c r="O19" s="1138">
        <f>'16'!G86</f>
        <v>111.4199999999837</v>
      </c>
      <c r="P19" s="1138">
        <f>'16'!G87</f>
        <v>8.4000000000087311</v>
      </c>
      <c r="Q19" s="1138">
        <f>'16'!G88</f>
        <v>58.929999999993015</v>
      </c>
      <c r="R19" s="1138">
        <f>'16'!G87+'16'!H90</f>
        <v>9.5000000000086402</v>
      </c>
      <c r="S19" s="1148">
        <f>'16'!$G$62</f>
        <v>0</v>
      </c>
      <c r="T19" s="1148">
        <f>'16'!$G$63</f>
        <v>6.3100000000001728</v>
      </c>
      <c r="U19" s="1148">
        <f>'16'!$G$64</f>
        <v>418.52999999999884</v>
      </c>
      <c r="V19" s="1148">
        <f>'16'!$G$65</f>
        <v>409.35000000000582</v>
      </c>
      <c r="W19" s="1148">
        <f>'16'!$G$66</f>
        <v>331.41999999999916</v>
      </c>
      <c r="X19" s="1148">
        <f>'16'!$G$67</f>
        <v>654.79999999998836</v>
      </c>
      <c r="Y19" s="1148">
        <f>'16'!$G$68</f>
        <v>336.50900000000547</v>
      </c>
      <c r="Z19" s="1148">
        <f>'16'!$G$69</f>
        <v>272.90000000000146</v>
      </c>
      <c r="AA19" s="1148">
        <f>'16'!$G$84</f>
        <v>815</v>
      </c>
      <c r="AB19" s="1148">
        <f>'16'!$G$15</f>
        <v>1070.3789999999572</v>
      </c>
      <c r="AC19" s="1187">
        <f>'16'!$G$123</f>
        <v>281.80999999993946</v>
      </c>
      <c r="AD19" s="1148">
        <f>'16'!$G$124</f>
        <v>0</v>
      </c>
      <c r="AE19" s="1148">
        <f>'16'!$G$125</f>
        <v>107.64000000001397</v>
      </c>
      <c r="AF19" s="1148">
        <f>'16'!$G$126</f>
        <v>43.69999999999709</v>
      </c>
      <c r="AG19" s="1148">
        <f>'16'!$G$127</f>
        <v>3.7999999999992724</v>
      </c>
      <c r="AH19" s="1148">
        <f t="shared" si="0"/>
        <v>633.42900000000736</v>
      </c>
      <c r="AI19" s="1148">
        <f>'16'!$G$140</f>
        <v>0</v>
      </c>
      <c r="AJ19" s="1148">
        <f>'16'!$G$136</f>
        <v>10.009999999998399</v>
      </c>
      <c r="AK19" s="1148">
        <f>'16'!$G$137</f>
        <v>0</v>
      </c>
      <c r="AL19" s="1148">
        <f>'16'!$G$138</f>
        <v>2.0800000000017462</v>
      </c>
      <c r="AM19" s="1145">
        <f t="shared" si="1"/>
        <v>12.090000000000146</v>
      </c>
      <c r="AO19" s="1154">
        <f t="shared" si="2"/>
        <v>-351.6190000000679</v>
      </c>
    </row>
    <row r="20" spans="1:41">
      <c r="A20" s="1147">
        <v>44060</v>
      </c>
      <c r="B20" s="1148">
        <f>'18'!G72</f>
        <v>60</v>
      </c>
      <c r="C20" s="1148">
        <f>'17'!$G$73</f>
        <v>7</v>
      </c>
      <c r="D20" s="1148">
        <f>'17'!$G$74</f>
        <v>45</v>
      </c>
      <c r="E20" s="1148">
        <f>'17'!$G$75</f>
        <v>208</v>
      </c>
      <c r="F20" s="1148">
        <f>'17'!$G$76</f>
        <v>95</v>
      </c>
      <c r="G20" s="1148">
        <f>'17'!$G$77</f>
        <v>59</v>
      </c>
      <c r="H20" s="1138">
        <f>'17'!$G$78</f>
        <v>477</v>
      </c>
      <c r="I20" s="1138">
        <f>'17'!$G$79</f>
        <v>179</v>
      </c>
      <c r="J20" s="1138">
        <f>'17'!$G$80</f>
        <v>284.23999999999069</v>
      </c>
      <c r="K20" s="1138">
        <f>'17'!$G$81</f>
        <v>89.200000000069849</v>
      </c>
      <c r="L20" s="1138">
        <f>'17'!$G$82</f>
        <v>31.110000000000582</v>
      </c>
      <c r="M20" s="1138">
        <f>'17'!$G$58</f>
        <v>208.44700000000012</v>
      </c>
      <c r="N20" s="1138">
        <f>'17'!$G$83</f>
        <v>414</v>
      </c>
      <c r="O20" s="1138">
        <f>'17'!G86</f>
        <v>40.180000000051223</v>
      </c>
      <c r="P20" s="1138">
        <f>'17'!G87</f>
        <v>7.5</v>
      </c>
      <c r="Q20" s="1138">
        <f>'17'!G88</f>
        <v>34.630000000004657</v>
      </c>
      <c r="R20" s="1138">
        <f>'17'!G87+'17'!H90</f>
        <v>8.5999999999999091</v>
      </c>
      <c r="S20" s="1148">
        <f>'17'!$G$62</f>
        <v>0</v>
      </c>
      <c r="T20" s="1148">
        <f>'17'!$G$63</f>
        <v>10.1099999999999</v>
      </c>
      <c r="U20" s="1148">
        <f>'17'!$G$64</f>
        <v>416.41000000000349</v>
      </c>
      <c r="V20" s="1148">
        <f>'17'!$G$65</f>
        <v>444.73999999999069</v>
      </c>
      <c r="W20" s="1148">
        <f>'17'!$G$66</f>
        <v>354.75</v>
      </c>
      <c r="X20" s="1148">
        <f>'17'!$G$67</f>
        <v>763.8300000000163</v>
      </c>
      <c r="Y20" s="1148">
        <f>'17'!$G$68</f>
        <v>329</v>
      </c>
      <c r="Z20" s="1148">
        <f>'17'!$G$69</f>
        <v>289.93000000000029</v>
      </c>
      <c r="AA20" s="1148">
        <f>'17'!$G$84</f>
        <v>847</v>
      </c>
      <c r="AB20" s="1148">
        <f>'17'!$G$15</f>
        <v>972.67500000004657</v>
      </c>
      <c r="AC20" s="1148">
        <f>'17'!$G$123</f>
        <v>295.32400000002235</v>
      </c>
      <c r="AD20" s="1148">
        <f>'17'!$G$124</f>
        <v>0</v>
      </c>
      <c r="AE20" s="1148">
        <f>'17'!$G$125</f>
        <v>81.959999999991851</v>
      </c>
      <c r="AF20" s="1148">
        <f>'17'!$G$126</f>
        <v>37.900000000001455</v>
      </c>
      <c r="AG20" s="1148">
        <f>'17'!$G$127</f>
        <v>4.6000000000003638</v>
      </c>
      <c r="AH20" s="1148">
        <f t="shared" si="0"/>
        <v>552.89100000003054</v>
      </c>
      <c r="AI20" s="1148">
        <f>'17'!$G$140</f>
        <v>0</v>
      </c>
      <c r="AJ20" s="1148">
        <f>'17'!$G$136</f>
        <v>9.6900000000023283</v>
      </c>
      <c r="AK20" s="1148">
        <f>'17'!$G$137</f>
        <v>0</v>
      </c>
      <c r="AL20" s="1148">
        <f>'17'!$G$138</f>
        <v>1.2699999999895226</v>
      </c>
      <c r="AM20" s="1145">
        <f t="shared" si="1"/>
        <v>10.959999999991851</v>
      </c>
      <c r="AO20" s="1154">
        <f t="shared" si="2"/>
        <v>-257.56700000000819</v>
      </c>
    </row>
    <row r="21" spans="1:41">
      <c r="A21" s="1147">
        <v>44061</v>
      </c>
      <c r="B21" s="1148">
        <f>'18'!G72</f>
        <v>60</v>
      </c>
      <c r="C21" s="1148">
        <f>'18'!$G$73</f>
        <v>0</v>
      </c>
      <c r="D21" s="1148">
        <f>'18'!$G$74</f>
        <v>36</v>
      </c>
      <c r="E21" s="1148">
        <f>'18'!$G$75</f>
        <v>214</v>
      </c>
      <c r="F21" s="1148">
        <f>'18'!$G$76</f>
        <v>98</v>
      </c>
      <c r="G21" s="1148">
        <f>'18'!$G$77</f>
        <v>66</v>
      </c>
      <c r="H21" s="1138">
        <f>'18'!$G$78</f>
        <v>384</v>
      </c>
      <c r="I21" s="1138">
        <f>'18'!$G$79</f>
        <v>189</v>
      </c>
      <c r="J21" s="1152">
        <f>'18'!$G$80</f>
        <v>294.11999999999534</v>
      </c>
      <c r="K21" s="1152">
        <f>'18'!$G$81</f>
        <v>140.71999999997206</v>
      </c>
      <c r="L21" s="1152">
        <f>'18'!$G$82</f>
        <v>29.059999999997672</v>
      </c>
      <c r="M21" s="1152">
        <f>'18'!$G$58</f>
        <v>223.04300000000148</v>
      </c>
      <c r="N21" s="1152">
        <f>'18'!$G$83</f>
        <v>355</v>
      </c>
      <c r="O21" s="1152">
        <f>'18'!G86</f>
        <v>105.9199999999837</v>
      </c>
      <c r="P21" s="1138">
        <f>'18'!G87</f>
        <v>32.19999999999709</v>
      </c>
      <c r="Q21" s="1138">
        <f>'18'!G88</f>
        <v>80.709999999991851</v>
      </c>
      <c r="R21" s="1138">
        <f>'18'!G87+'18'!H90</f>
        <v>36.399999999996908</v>
      </c>
      <c r="S21" s="1148">
        <f>'18'!$G$62</f>
        <v>0</v>
      </c>
      <c r="T21" s="1148">
        <f>'18'!$G$63</f>
        <v>10.360000000000127</v>
      </c>
      <c r="U21" s="1148">
        <f>'18'!$G$64</f>
        <v>462.50999999999476</v>
      </c>
      <c r="V21" s="1148">
        <f>'18'!$G$65</f>
        <v>418.10000000000582</v>
      </c>
      <c r="W21" s="1148">
        <f>'18'!$G$66</f>
        <v>359.6200000000008</v>
      </c>
      <c r="X21" s="1148">
        <f>'18'!$G$67</f>
        <v>705.08999999999651</v>
      </c>
      <c r="Y21" s="1148">
        <f>'18'!$G$68</f>
        <v>309.81999999999971</v>
      </c>
      <c r="Z21" s="1148">
        <f>'18'!$G$69</f>
        <v>284.40000000000146</v>
      </c>
      <c r="AA21" s="1148">
        <f>'18'!$G$84</f>
        <v>814</v>
      </c>
      <c r="AB21" s="1148">
        <f>'18'!$G$15</f>
        <v>944.77600000007078</v>
      </c>
      <c r="AC21" s="1148">
        <f>'18'!$G$123</f>
        <v>271.81599999999162</v>
      </c>
      <c r="AD21" s="1148">
        <f>'18'!$G$124</f>
        <v>0</v>
      </c>
      <c r="AE21" s="1148">
        <f>'18'!$G$125</f>
        <v>70.770000000018626</v>
      </c>
      <c r="AF21" s="1148">
        <f>'18'!$G$126</f>
        <v>26.900000000001455</v>
      </c>
      <c r="AG21" s="1148">
        <f>'18'!$G$127</f>
        <v>3.7000000000007276</v>
      </c>
      <c r="AH21" s="1148">
        <f t="shared" si="0"/>
        <v>571.59000000005835</v>
      </c>
      <c r="AI21" s="1148">
        <f>'18'!$G$140</f>
        <v>0</v>
      </c>
      <c r="AJ21" s="1148">
        <f>'18'!$G$136</f>
        <v>9.0999999999985448</v>
      </c>
      <c r="AK21" s="1148">
        <f>'18'!$G$137</f>
        <v>0</v>
      </c>
      <c r="AL21" s="1148">
        <f>'18'!$G$138</f>
        <v>3.3500000000058208</v>
      </c>
      <c r="AM21" s="1145">
        <f t="shared" si="1"/>
        <v>12.450000000004366</v>
      </c>
      <c r="AO21" s="1154">
        <f t="shared" si="2"/>
        <v>-299.77400000006674</v>
      </c>
    </row>
    <row r="22" spans="1:41" s="1151" customFormat="1">
      <c r="A22" s="1149">
        <v>44062</v>
      </c>
      <c r="B22" s="1138">
        <f>'19'!G72</f>
        <v>63</v>
      </c>
      <c r="C22" s="1138">
        <f>'19'!$G$73</f>
        <v>0</v>
      </c>
      <c r="D22" s="1138">
        <f>'19'!$G$74</f>
        <v>30</v>
      </c>
      <c r="E22" s="1138">
        <f>'19'!$G$75</f>
        <v>194</v>
      </c>
      <c r="F22" s="1138">
        <f>'19'!$G$76</f>
        <v>88</v>
      </c>
      <c r="G22" s="1138">
        <f>'19'!$G$77</f>
        <v>54</v>
      </c>
      <c r="H22" s="1138">
        <f>'19'!$G$78</f>
        <v>378</v>
      </c>
      <c r="I22" s="1138">
        <f>'19'!$G$79</f>
        <v>192</v>
      </c>
      <c r="J22" s="1138">
        <f>'19'!$G$80</f>
        <v>289.52000000001863</v>
      </c>
      <c r="K22" s="1138">
        <f>'19'!$G$81</f>
        <v>110.80000000004657</v>
      </c>
      <c r="L22" s="1138">
        <f>'19'!$G$82</f>
        <v>27.679999999993015</v>
      </c>
      <c r="M22" s="1138">
        <f>'19'!$G$58</f>
        <v>209.79999999999927</v>
      </c>
      <c r="N22" s="1138">
        <f>'19'!$G$83</f>
        <v>384</v>
      </c>
      <c r="O22" s="1138">
        <f>'19'!G86</f>
        <v>94.880000000004657</v>
      </c>
      <c r="P22" s="1138">
        <f>'19'!G87</f>
        <v>30.5</v>
      </c>
      <c r="Q22" s="1138">
        <f>'19'!G88</f>
        <v>30.829999999987194</v>
      </c>
      <c r="R22" s="1138">
        <f>'19'!G87+'19'!H90</f>
        <v>35</v>
      </c>
      <c r="S22" s="1138">
        <f>'19'!$G$62</f>
        <v>2.0000000000436557E-2</v>
      </c>
      <c r="T22" s="1138">
        <f>'19'!$G$63</f>
        <v>11.779999999999973</v>
      </c>
      <c r="U22" s="1138">
        <f>'19'!$G$64</f>
        <v>456.52999999999884</v>
      </c>
      <c r="V22" s="1138">
        <f>'19'!$G$65</f>
        <v>423.44999999999709</v>
      </c>
      <c r="W22" s="1138">
        <f>'19'!$G$66</f>
        <v>358.09000000000015</v>
      </c>
      <c r="X22" s="1138">
        <f>'19'!$G$67</f>
        <v>691.29999999998836</v>
      </c>
      <c r="Y22" s="1138">
        <f>'19'!$G$68</f>
        <v>316.68999999999505</v>
      </c>
      <c r="Z22" s="1138">
        <f>'19'!$G$69</f>
        <v>287.36000000000058</v>
      </c>
      <c r="AA22" s="1138">
        <f>'19'!$G$84</f>
        <v>820</v>
      </c>
      <c r="AB22" s="1138">
        <f>'19'!$G$15</f>
        <v>914.14999999990687</v>
      </c>
      <c r="AC22" s="1138">
        <f>'19'!$G$123</f>
        <v>265</v>
      </c>
      <c r="AD22" s="1138">
        <f>'19'!$G$124</f>
        <v>0</v>
      </c>
      <c r="AE22" s="1138">
        <f>'19'!$G$125</f>
        <v>66.989999999990687</v>
      </c>
      <c r="AF22" s="1138">
        <f>'19'!$G$126</f>
        <v>28.099999999998545</v>
      </c>
      <c r="AG22" s="1138">
        <f>'19'!$G$127</f>
        <v>2.1999999999989086</v>
      </c>
      <c r="AH22" s="1138">
        <f t="shared" si="0"/>
        <v>551.85999999991873</v>
      </c>
      <c r="AI22" s="1138">
        <f>'19'!$G$140</f>
        <v>0</v>
      </c>
      <c r="AJ22" s="1138">
        <f>'19'!$G$136</f>
        <v>9.0099999999983993</v>
      </c>
      <c r="AK22" s="1138">
        <f>'19'!$G$137</f>
        <v>0</v>
      </c>
      <c r="AL22" s="1138">
        <f>'19'!$G$138</f>
        <v>3.5800000000017462</v>
      </c>
      <c r="AM22" s="1150">
        <f t="shared" si="1"/>
        <v>12.590000000000146</v>
      </c>
      <c r="AO22" s="1155">
        <f t="shared" si="2"/>
        <v>-286.85999999991873</v>
      </c>
    </row>
    <row r="23" spans="1:41">
      <c r="A23" s="1147">
        <v>44063</v>
      </c>
      <c r="B23" s="1148">
        <f>'20'!G72</f>
        <v>61</v>
      </c>
      <c r="C23" s="1148">
        <f>'20'!$G$73</f>
        <v>1</v>
      </c>
      <c r="D23" s="1148">
        <f>'20'!$G$74</f>
        <v>30</v>
      </c>
      <c r="E23" s="1148">
        <f>'20'!$G$75</f>
        <v>174</v>
      </c>
      <c r="F23" s="1148">
        <f>'20'!$G$76</f>
        <v>104</v>
      </c>
      <c r="G23" s="1148">
        <f>'20'!$G$77</f>
        <v>56</v>
      </c>
      <c r="H23" s="1138">
        <f>'20'!$G$78</f>
        <v>357</v>
      </c>
      <c r="I23" s="1138">
        <f>'20'!$G$79</f>
        <v>186</v>
      </c>
      <c r="J23" s="1138">
        <f>'20'!$G$80</f>
        <v>305.27999999996973</v>
      </c>
      <c r="K23" s="1138">
        <f>'20'!$G$81</f>
        <v>82.399999999906868</v>
      </c>
      <c r="L23" s="1138">
        <f>'20'!$G$82</f>
        <v>29.450000000011642</v>
      </c>
      <c r="M23" s="1138">
        <f>'20'!$G$58</f>
        <v>217.72999999999956</v>
      </c>
      <c r="N23" s="1138">
        <f>'20'!$G$83</f>
        <v>301</v>
      </c>
      <c r="O23" s="1138">
        <f>'20'!G86</f>
        <v>154.15999999997439</v>
      </c>
      <c r="P23" s="1138">
        <f>'20'!G87</f>
        <v>27.19999999999709</v>
      </c>
      <c r="Q23" s="1138">
        <f>'20'!G88</f>
        <v>69.370000000024447</v>
      </c>
      <c r="R23" s="1138">
        <f>'20'!G87+'20'!H90</f>
        <v>31.799999999997453</v>
      </c>
      <c r="S23" s="1148">
        <f>'20'!$G$62</f>
        <v>0</v>
      </c>
      <c r="T23" s="1148">
        <f>'20'!$G$63</f>
        <v>9.4900000000000091</v>
      </c>
      <c r="U23" s="1148">
        <f>'20'!$G$64</f>
        <v>431.63000000000466</v>
      </c>
      <c r="V23" s="1148">
        <f>'20'!$G$65</f>
        <v>449.80999999999767</v>
      </c>
      <c r="W23" s="1148">
        <f>'20'!$G$66</f>
        <v>381.81999999999971</v>
      </c>
      <c r="X23" s="1148">
        <f>'20'!$G$67</f>
        <v>659.16000000000349</v>
      </c>
      <c r="Y23" s="1148">
        <f>'20'!$G$68</f>
        <v>310.77000000000407</v>
      </c>
      <c r="Z23" s="1148">
        <f>'20'!$G$69</f>
        <v>289.66999999999825</v>
      </c>
      <c r="AA23" s="1148">
        <f>'20'!$G$84</f>
        <v>669</v>
      </c>
      <c r="AB23" s="1148">
        <f>'20'!$G$15</f>
        <v>930.07000000006519</v>
      </c>
      <c r="AC23" s="1148">
        <f>'20'!$G$123</f>
        <v>249.8399999999674</v>
      </c>
      <c r="AD23" s="1148">
        <f>'20'!$G$124</f>
        <v>0</v>
      </c>
      <c r="AE23" s="1148">
        <f>'20'!$G$125</f>
        <v>86.070000000006985</v>
      </c>
      <c r="AF23" s="1148">
        <f>'20'!$G$126</f>
        <v>33.599999999998545</v>
      </c>
      <c r="AG23" s="1148">
        <f>'20'!$G$127</f>
        <v>7.2000000000007276</v>
      </c>
      <c r="AH23" s="1148">
        <f t="shared" si="0"/>
        <v>553.36000000009153</v>
      </c>
      <c r="AI23" s="1148">
        <f>'20'!$G$140</f>
        <v>0</v>
      </c>
      <c r="AJ23" s="1148">
        <f>'20'!$G$136</f>
        <v>8.5200000000004366</v>
      </c>
      <c r="AK23" s="1148">
        <f>'20'!$G$137</f>
        <v>0</v>
      </c>
      <c r="AL23" s="1148">
        <f>'20'!$G$138</f>
        <v>3.75</v>
      </c>
      <c r="AM23" s="1145">
        <f t="shared" si="1"/>
        <v>12.270000000000437</v>
      </c>
      <c r="AO23" s="1154">
        <f t="shared" si="2"/>
        <v>-303.52000000012413</v>
      </c>
    </row>
    <row r="24" spans="1:41">
      <c r="A24" s="1147">
        <v>44064</v>
      </c>
      <c r="B24" s="1148">
        <f>'21'!G72</f>
        <v>50</v>
      </c>
      <c r="C24" s="1148">
        <f>'21'!$G$73</f>
        <v>1</v>
      </c>
      <c r="D24" s="1148">
        <f>'21'!$G$74</f>
        <v>29</v>
      </c>
      <c r="E24" s="1148">
        <f>'21'!$G$75</f>
        <v>186</v>
      </c>
      <c r="F24" s="1148">
        <f>'21'!$G$76</f>
        <v>90</v>
      </c>
      <c r="G24" s="1148">
        <f>'21'!$G$77</f>
        <v>52</v>
      </c>
      <c r="H24" s="1138">
        <f>'21'!$G$78</f>
        <v>327</v>
      </c>
      <c r="I24" s="1138">
        <f>'21'!$G$79</f>
        <v>193</v>
      </c>
      <c r="J24" s="1138">
        <f>'21'!$G$80</f>
        <v>293.24000000004889</v>
      </c>
      <c r="K24" s="1138">
        <f>'21'!$G$81</f>
        <v>103.26000000000931</v>
      </c>
      <c r="L24" s="1138">
        <f>'21'!$G$82</f>
        <v>29.389999999999418</v>
      </c>
      <c r="M24" s="1138">
        <f>'21'!$G$58</f>
        <v>243.34000000000015</v>
      </c>
      <c r="N24" s="1138">
        <f>'21'!$G$83</f>
        <v>227</v>
      </c>
      <c r="O24" s="1138">
        <f>'21'!G86</f>
        <v>134.04000000003725</v>
      </c>
      <c r="P24" s="1138">
        <f>'21'!G87</f>
        <v>30.19999999999709</v>
      </c>
      <c r="Q24" s="1138">
        <f>'21'!G88</f>
        <v>54.589999999996508</v>
      </c>
      <c r="R24" s="1138">
        <f>'21'!G87+'21'!H90</f>
        <v>34.69999999999709</v>
      </c>
      <c r="S24" s="1148">
        <f>'21'!$G$62</f>
        <v>0</v>
      </c>
      <c r="T24" s="1148">
        <f>'21'!$G$63</f>
        <v>9.2400000000000091</v>
      </c>
      <c r="U24" s="1148">
        <f>'21'!$G$64</f>
        <v>445.94999999999709</v>
      </c>
      <c r="V24" s="1148">
        <f>'21'!$G$65</f>
        <v>432.76000000000931</v>
      </c>
      <c r="W24" s="1148">
        <f>'21'!$G$66</f>
        <v>368.80999999999949</v>
      </c>
      <c r="X24" s="1148">
        <f>'21'!$G$67</f>
        <v>637.36000000001513</v>
      </c>
      <c r="Y24" s="1148">
        <f>'21'!$G$68</f>
        <v>310.29999999999563</v>
      </c>
      <c r="Z24" s="1148">
        <f>'21'!$G$69</f>
        <v>291.72999999999593</v>
      </c>
      <c r="AA24" s="1148">
        <f>'21'!$G$84</f>
        <v>537</v>
      </c>
      <c r="AB24" s="1148">
        <f>'21'!$G$15</f>
        <v>906.93999999994412</v>
      </c>
      <c r="AC24" s="1148">
        <f>'21'!$G$123</f>
        <v>243.01000000000931</v>
      </c>
      <c r="AD24" s="1148">
        <f>'21'!$G$124</f>
        <v>0</v>
      </c>
      <c r="AE24" s="1148">
        <f>'21'!$G$125</f>
        <v>80.729999999981374</v>
      </c>
      <c r="AF24" s="1148">
        <f>'21'!$G$126</f>
        <v>38.5</v>
      </c>
      <c r="AG24" s="1148">
        <f>'21'!$G$127</f>
        <v>1.6000000000003638</v>
      </c>
      <c r="AH24" s="1148">
        <f t="shared" si="0"/>
        <v>543.09999999995307</v>
      </c>
      <c r="AI24" s="1148">
        <f>'21'!$G$140</f>
        <v>0</v>
      </c>
      <c r="AJ24" s="1148">
        <f>'21'!$G$136</f>
        <v>0</v>
      </c>
      <c r="AK24" s="1148">
        <f>'21'!$G$137</f>
        <v>9.8599999999969441</v>
      </c>
      <c r="AL24" s="1148">
        <f>'21'!$G$138</f>
        <v>0</v>
      </c>
      <c r="AM24" s="1145">
        <f t="shared" si="1"/>
        <v>9.8599999999969441</v>
      </c>
      <c r="AO24" s="1154">
        <f t="shared" si="2"/>
        <v>-300.08999999994376</v>
      </c>
    </row>
    <row r="25" spans="1:41">
      <c r="A25" s="1147">
        <v>44065</v>
      </c>
      <c r="B25" s="1148">
        <f>'22'!G72</f>
        <v>37</v>
      </c>
      <c r="C25" s="1148">
        <f>'22'!$G$73</f>
        <v>1</v>
      </c>
      <c r="D25" s="1148">
        <f>'22'!$G$74</f>
        <v>31</v>
      </c>
      <c r="E25" s="1148">
        <f>'22'!$G$75</f>
        <v>182</v>
      </c>
      <c r="F25" s="1148">
        <f>'22'!$G$76</f>
        <v>79</v>
      </c>
      <c r="G25" s="1148">
        <f>'22'!$G$77</f>
        <v>55</v>
      </c>
      <c r="H25" s="1138">
        <f>'22'!$G$78</f>
        <v>338</v>
      </c>
      <c r="I25" s="1138">
        <f>'22'!$G$79</f>
        <v>186</v>
      </c>
      <c r="J25" s="1138">
        <f>'22'!$G$80</f>
        <v>294.59999999997672</v>
      </c>
      <c r="K25" s="1138">
        <f>'22'!$G$81</f>
        <v>104.30000000004657</v>
      </c>
      <c r="L25" s="1138">
        <f>'22'!$G$82</f>
        <v>29.649999999994179</v>
      </c>
      <c r="M25" s="1138">
        <f>'22'!$G$58</f>
        <v>221.16999999999825</v>
      </c>
      <c r="N25" s="1138">
        <f>'22'!$G$83</f>
        <v>256</v>
      </c>
      <c r="O25" s="1138">
        <f>'22'!G86</f>
        <v>96.599999999976717</v>
      </c>
      <c r="P25" s="1138">
        <f>'22'!G87</f>
        <v>28</v>
      </c>
      <c r="Q25" s="1138">
        <f>'22'!G88</f>
        <v>61.209999999991851</v>
      </c>
      <c r="R25" s="1138">
        <f>'22'!G87+'22'!H90</f>
        <v>32.699999999999818</v>
      </c>
      <c r="S25" s="1148">
        <f>'22'!$G$62</f>
        <v>0</v>
      </c>
      <c r="T25" s="1148">
        <f>'22'!$G$63</f>
        <v>7.8499999999999091</v>
      </c>
      <c r="U25" s="1148">
        <f>'22'!$G$64</f>
        <v>430.26000000000931</v>
      </c>
      <c r="V25" s="1148">
        <f>'22'!$G$65</f>
        <v>405.01999999998952</v>
      </c>
      <c r="W25" s="1148">
        <f>'22'!$G$66</f>
        <v>352.06000000000131</v>
      </c>
      <c r="X25" s="1148">
        <f>'22'!$G$67</f>
        <v>641.64999999999418</v>
      </c>
      <c r="Y25" s="1148">
        <f>'22'!$G$68</f>
        <v>315.18000000000029</v>
      </c>
      <c r="Z25" s="1148">
        <f>'22'!$G$69</f>
        <v>300.76000000000204</v>
      </c>
      <c r="AA25" s="1148">
        <f>'22'!$G$84</f>
        <v>553</v>
      </c>
      <c r="AB25" s="1148">
        <f>'22'!$G$15</f>
        <v>904</v>
      </c>
      <c r="AC25" s="1187">
        <f>'22'!$G$123</f>
        <v>268.22999999998137</v>
      </c>
      <c r="AD25" s="1148">
        <f>'22'!$G$124</f>
        <v>0</v>
      </c>
      <c r="AE25" s="1148">
        <f>'22'!$G$125</f>
        <v>80.029999999998836</v>
      </c>
      <c r="AF25" s="1148">
        <f>'22'!$G$126</f>
        <v>39</v>
      </c>
      <c r="AG25" s="1148">
        <f>'22'!$G$127</f>
        <v>6.2999999999992724</v>
      </c>
      <c r="AH25" s="1148">
        <f t="shared" si="0"/>
        <v>510.44000000002052</v>
      </c>
      <c r="AI25" s="1148">
        <f>'22'!$G$140</f>
        <v>0</v>
      </c>
      <c r="AJ25" s="1148">
        <f>'22'!$G$136</f>
        <v>0</v>
      </c>
      <c r="AK25" s="1148">
        <f>'22'!$G$137</f>
        <v>9.5200000000004366</v>
      </c>
      <c r="AL25" s="1148">
        <f>'22'!$G$138</f>
        <v>0</v>
      </c>
      <c r="AM25" s="1145">
        <f t="shared" si="1"/>
        <v>9.5200000000004366</v>
      </c>
      <c r="AO25" s="1154">
        <f t="shared" si="2"/>
        <v>-242.21000000003914</v>
      </c>
    </row>
    <row r="26" spans="1:41">
      <c r="A26" s="1147">
        <v>44066</v>
      </c>
      <c r="B26" s="1148">
        <f>'23'!G72</f>
        <v>40</v>
      </c>
      <c r="C26" s="1148">
        <f>'23'!G72</f>
        <v>40</v>
      </c>
      <c r="D26" s="1148">
        <f>'23'!$G$74</f>
        <v>39</v>
      </c>
      <c r="E26" s="1148">
        <f>'23'!$G$75</f>
        <v>221</v>
      </c>
      <c r="F26" s="1148">
        <f>'23'!$G$76</f>
        <v>80</v>
      </c>
      <c r="G26" s="1148">
        <f>'23'!$G$77</f>
        <v>55</v>
      </c>
      <c r="H26" s="1138">
        <f>'23'!$G$78</f>
        <v>339</v>
      </c>
      <c r="I26" s="1138">
        <f>'23'!$G$79</f>
        <v>193</v>
      </c>
      <c r="J26" s="1138">
        <f>'23'!$G$80</f>
        <v>319</v>
      </c>
      <c r="K26" s="1138">
        <f>'23'!$G$81</f>
        <v>83</v>
      </c>
      <c r="L26" s="1138">
        <f>'23'!$G$82</f>
        <v>58</v>
      </c>
      <c r="M26" s="1138">
        <f>'23'!$G$58</f>
        <v>204.78000000000247</v>
      </c>
      <c r="N26" s="1185">
        <f>'23'!$G$83</f>
        <v>228</v>
      </c>
      <c r="O26" s="1138">
        <f>'23'!$G$86</f>
        <v>70</v>
      </c>
      <c r="P26" s="1138">
        <f>'23'!G87</f>
        <v>9.6000000000058208</v>
      </c>
      <c r="Q26" s="1138">
        <f>'23'!G88</f>
        <v>50.60999999998603</v>
      </c>
      <c r="R26" s="1138">
        <f>'23'!G87+'23'!H90</f>
        <v>10.600000000005821</v>
      </c>
      <c r="S26" s="1148">
        <f>'23'!$G$62</f>
        <v>-0.2000000000007276</v>
      </c>
      <c r="T26" s="1148">
        <f>'23'!$G$63</f>
        <v>8.4400000000000546</v>
      </c>
      <c r="U26" s="1148">
        <f>'23'!$G$64</f>
        <v>427.22000000000116</v>
      </c>
      <c r="V26" s="1148">
        <f>'23'!$G$65</f>
        <v>413.43000000000757</v>
      </c>
      <c r="W26" s="1148">
        <f>'23'!$G$66</f>
        <v>342.02999999999884</v>
      </c>
      <c r="X26" s="1148">
        <f>'23'!$G$67</f>
        <v>626.45000000001164</v>
      </c>
      <c r="Y26" s="1148">
        <f>'23'!$G$68</f>
        <v>315.75</v>
      </c>
      <c r="Z26" s="1148">
        <f>'23'!$G$69</f>
        <v>302.12999999999738</v>
      </c>
      <c r="AA26" s="1148">
        <f>'23'!$G$84</f>
        <v>552</v>
      </c>
      <c r="AB26" s="1148">
        <f>'23'!$G$15</f>
        <v>934.93999999994412</v>
      </c>
      <c r="AC26" s="1148">
        <f>'23'!$G$123</f>
        <v>245.85999999998603</v>
      </c>
      <c r="AD26" s="1148">
        <f>'23'!$G$124</f>
        <v>0</v>
      </c>
      <c r="AE26" s="1148">
        <f>'23'!$G$125</f>
        <v>83.430000000022119</v>
      </c>
      <c r="AF26" s="1148">
        <f>'23'!$G$126</f>
        <v>40.400000000001455</v>
      </c>
      <c r="AG26" s="1148">
        <f>'23'!$G$127</f>
        <v>4.1000000000003638</v>
      </c>
      <c r="AH26" s="1148">
        <f t="shared" si="0"/>
        <v>561.14999999993415</v>
      </c>
      <c r="AI26" s="1148">
        <f>'23'!$G$140</f>
        <v>0</v>
      </c>
      <c r="AJ26" s="1148">
        <f>'23'!$G$136</f>
        <v>10.180000000000291</v>
      </c>
      <c r="AK26" s="1148">
        <f>'23'!$G$137</f>
        <v>0</v>
      </c>
      <c r="AL26" s="1148">
        <f>'23'!$G$138</f>
        <v>0</v>
      </c>
      <c r="AM26" s="1145">
        <f t="shared" si="1"/>
        <v>10.180000000000291</v>
      </c>
      <c r="AO26" s="1154">
        <f t="shared" si="2"/>
        <v>-315.28999999994812</v>
      </c>
    </row>
    <row r="27" spans="1:41" s="1188" customFormat="1">
      <c r="A27" s="1149">
        <v>44067</v>
      </c>
      <c r="B27" s="1138">
        <f>'23'!G73</f>
        <v>13</v>
      </c>
      <c r="C27" s="1138">
        <f>'23'!G73</f>
        <v>13</v>
      </c>
      <c r="D27" s="1138">
        <f>'24'!$G$74</f>
        <v>38</v>
      </c>
      <c r="E27" s="1138">
        <f>'24'!$G$75</f>
        <v>185</v>
      </c>
      <c r="F27" s="1138">
        <f>'24'!$G$76</f>
        <v>82</v>
      </c>
      <c r="G27" s="1138">
        <f>'24'!$G$77</f>
        <v>55</v>
      </c>
      <c r="H27" s="1138">
        <f>'24'!$G$78</f>
        <v>333</v>
      </c>
      <c r="I27" s="1138">
        <f>'24'!$G$79</f>
        <v>176</v>
      </c>
      <c r="J27" s="1138">
        <f>'24'!$G$80</f>
        <v>317</v>
      </c>
      <c r="K27" s="1138">
        <f>'24'!$G$81</f>
        <v>96</v>
      </c>
      <c r="L27" s="1138">
        <f>'24'!$G$82</f>
        <v>37</v>
      </c>
      <c r="M27" s="1138">
        <f>'24'!$G$58</f>
        <v>122.93999999999869</v>
      </c>
      <c r="N27" s="1138">
        <f>'24'!$G$83</f>
        <v>233</v>
      </c>
      <c r="O27" s="1138">
        <f>'24'!G86</f>
        <v>42</v>
      </c>
      <c r="P27" s="1138">
        <f>'24'!G87</f>
        <v>6.6999999999970896</v>
      </c>
      <c r="Q27" s="1138">
        <f>'24'!G88</f>
        <v>35.39000000001397</v>
      </c>
      <c r="R27" s="1138">
        <f>'24'!G87+'24'!H90</f>
        <v>8.6999999999970896</v>
      </c>
      <c r="S27" s="1138">
        <f>'24'!$G$62</f>
        <v>0.18000000000029104</v>
      </c>
      <c r="T27" s="1138">
        <f>'24'!$G$63</f>
        <v>8.5699999999999363</v>
      </c>
      <c r="U27" s="1138">
        <f>'24'!$G$64</f>
        <v>403.89999999999418</v>
      </c>
      <c r="V27" s="1138">
        <f>'24'!$G$65</f>
        <v>439.94999999999709</v>
      </c>
      <c r="W27" s="1138">
        <f>'24'!$G$66</f>
        <v>397.19000000000051</v>
      </c>
      <c r="X27" s="1138">
        <f>'24'!$G$67</f>
        <v>620.54999999998836</v>
      </c>
      <c r="Y27" s="1138">
        <f>'24'!$G$68</f>
        <v>350.69000000000233</v>
      </c>
      <c r="Z27" s="1138">
        <f>'24'!$G$69</f>
        <v>299.7300000000032</v>
      </c>
      <c r="AA27" s="1138">
        <f>'24'!$G$84</f>
        <v>524</v>
      </c>
      <c r="AB27" s="1138">
        <f>'24'!$G$15</f>
        <v>748.12000000011176</v>
      </c>
      <c r="AC27" s="1187">
        <f>'24'!$G$123</f>
        <v>269.06000000005588</v>
      </c>
      <c r="AD27" s="1187">
        <f>'24'!$G$124</f>
        <v>-0.30000000000291038</v>
      </c>
      <c r="AE27" s="1187">
        <f>'24'!$G$125</f>
        <v>64.889999999984866</v>
      </c>
      <c r="AF27" s="1138">
        <f>'24'!$G$126</f>
        <v>34.599999999998545</v>
      </c>
      <c r="AG27" s="1138">
        <f>'24'!$G$127</f>
        <v>3.8999999999996362</v>
      </c>
      <c r="AH27" s="1187">
        <f>AB27-SUM(AC27:AG27)</f>
        <v>375.97000000007574</v>
      </c>
      <c r="AI27" s="1138">
        <f>'24'!$G$140</f>
        <v>0</v>
      </c>
      <c r="AJ27" s="1138">
        <f>'24'!$G$136</f>
        <v>6.8800000000010186</v>
      </c>
      <c r="AK27" s="1138">
        <f>'24'!$G$137</f>
        <v>0</v>
      </c>
      <c r="AL27" s="1138">
        <f>'24'!$G$138</f>
        <v>0</v>
      </c>
      <c r="AM27" s="1150">
        <f t="shared" si="1"/>
        <v>6.8800000000010186</v>
      </c>
      <c r="AO27" s="1189">
        <f t="shared" si="2"/>
        <v>-106.91000000001986</v>
      </c>
    </row>
    <row r="28" spans="1:41">
      <c r="A28" s="1147">
        <v>44068</v>
      </c>
      <c r="B28" s="1148">
        <f>'25'!G72</f>
        <v>48</v>
      </c>
      <c r="C28" s="1148">
        <f>'25'!$G$73</f>
        <v>0</v>
      </c>
      <c r="D28" s="1148">
        <f>'25'!$G$74</f>
        <v>33</v>
      </c>
      <c r="E28" s="1148">
        <f>'25'!$G$75</f>
        <v>200</v>
      </c>
      <c r="F28" s="1148">
        <f>'25'!$G$76</f>
        <v>95</v>
      </c>
      <c r="G28" s="1148">
        <f>'25'!$G$77</f>
        <v>61</v>
      </c>
      <c r="H28" s="1138">
        <f>'25'!$G$78</f>
        <v>345</v>
      </c>
      <c r="I28" s="1138">
        <f>'25'!$G$79</f>
        <v>196</v>
      </c>
      <c r="J28" s="1138">
        <f>'25'!$G$80</f>
        <v>328.55999999999767</v>
      </c>
      <c r="K28" s="1138">
        <f>'25'!$G$81</f>
        <v>152.56000000005588</v>
      </c>
      <c r="L28" s="1138">
        <f>'25'!$G$82</f>
        <v>58</v>
      </c>
      <c r="M28" s="1138">
        <f>'25'!$G$58</f>
        <v>179.13999999999942</v>
      </c>
      <c r="N28" s="1138">
        <f>'25'!$G$83</f>
        <v>240</v>
      </c>
      <c r="O28" s="1138">
        <f>'25'!G86</f>
        <v>97.690000000002328</v>
      </c>
      <c r="P28" s="1138">
        <f>'25'!G87</f>
        <v>27.80000000000291</v>
      </c>
      <c r="Q28" s="1138">
        <f>'25'!G88</f>
        <v>51.760000000009313</v>
      </c>
      <c r="R28" s="1138">
        <f>'25'!G87+'25'!H90</f>
        <v>29.80000000000291</v>
      </c>
      <c r="S28" s="1148">
        <f>'25'!$G$62</f>
        <v>0</v>
      </c>
      <c r="T28" s="1148">
        <f>'25'!$G$63</f>
        <v>10.309999999999945</v>
      </c>
      <c r="U28" s="1148">
        <f>'25'!$G$64</f>
        <v>423</v>
      </c>
      <c r="V28" s="1148">
        <f>'25'!$G$65</f>
        <v>416</v>
      </c>
      <c r="W28" s="1148">
        <f>'25'!$G$66</f>
        <v>434.69000000000051</v>
      </c>
      <c r="X28" s="1148">
        <f>'25'!$G$67</f>
        <v>672</v>
      </c>
      <c r="Y28" s="1148">
        <f>'25'!$G$68</f>
        <v>350.84999999999854</v>
      </c>
      <c r="Z28" s="1148">
        <f>'25'!$G$69</f>
        <v>304</v>
      </c>
      <c r="AA28" s="1148">
        <f>'25'!$G$84</f>
        <v>516</v>
      </c>
      <c r="AB28" s="1148">
        <f>'25'!$G$15</f>
        <v>930.86000000010245</v>
      </c>
      <c r="AC28" s="1148">
        <f>'25'!$G$123</f>
        <v>269.20999999996275</v>
      </c>
      <c r="AD28" s="1148">
        <f>'25'!$G$124</f>
        <v>0</v>
      </c>
      <c r="AE28" s="1148">
        <f>'25'!$G$125</f>
        <v>89.630000000004657</v>
      </c>
      <c r="AF28" s="1148">
        <f>'25'!$G$126</f>
        <v>34</v>
      </c>
      <c r="AG28" s="1148">
        <f>'25'!$G$127</f>
        <v>3.6000000000003638</v>
      </c>
      <c r="AH28" s="1148">
        <f t="shared" si="0"/>
        <v>534.42000000013468</v>
      </c>
      <c r="AI28" s="1148">
        <f>'25'!$G$140</f>
        <v>0</v>
      </c>
      <c r="AJ28" s="1148">
        <f>'25'!$G$136</f>
        <v>8.7700000000004366</v>
      </c>
      <c r="AK28" s="1148">
        <f>'25'!$G$137</f>
        <v>0</v>
      </c>
      <c r="AL28" s="1148">
        <f>'25'!$G$138</f>
        <v>1.9799999999959255</v>
      </c>
      <c r="AM28" s="1145">
        <f t="shared" si="1"/>
        <v>10.749999999996362</v>
      </c>
      <c r="AO28" s="1154">
        <f t="shared" si="2"/>
        <v>-265.21000000017193</v>
      </c>
    </row>
    <row r="29" spans="1:41">
      <c r="A29" s="1147">
        <v>44069</v>
      </c>
      <c r="B29" s="1148">
        <f>'26'!G72</f>
        <v>83</v>
      </c>
      <c r="C29" s="1148">
        <f>'26'!$G$73</f>
        <v>1</v>
      </c>
      <c r="D29" s="1148">
        <f>'26'!$G$74</f>
        <v>31</v>
      </c>
      <c r="E29" s="1148">
        <f>'26'!$G$75</f>
        <v>198</v>
      </c>
      <c r="F29" s="1148">
        <f>'26'!$G$76</f>
        <v>79</v>
      </c>
      <c r="G29" s="1148">
        <f>'26'!$G$77</f>
        <v>51</v>
      </c>
      <c r="H29" s="1138">
        <f>'26'!$G$78</f>
        <v>371</v>
      </c>
      <c r="I29" s="1138">
        <f>'26'!$G$79</f>
        <v>195</v>
      </c>
      <c r="J29" s="1138">
        <f>'26'!$G$80</f>
        <v>278.32000000000698</v>
      </c>
      <c r="K29" s="1138">
        <f>'26'!$G$81</f>
        <v>130.07999999995809</v>
      </c>
      <c r="L29" s="1138">
        <f>'26'!$G$82</f>
        <v>55.589999999996508</v>
      </c>
      <c r="M29" s="1138">
        <f>'26'!$G$58</f>
        <v>186.2400000000016</v>
      </c>
      <c r="N29" s="1138">
        <f>'26'!$G$83</f>
        <v>226</v>
      </c>
      <c r="O29" s="1138">
        <f>'26'!G86</f>
        <v>34.309999999997672</v>
      </c>
      <c r="P29" s="1138">
        <f>'26'!G87</f>
        <v>11</v>
      </c>
      <c r="Q29" s="1138">
        <f>'26'!G88</f>
        <v>35.239999999990687</v>
      </c>
      <c r="R29" s="1138">
        <f>'26'!G87+'26'!H90</f>
        <v>11.400000000000091</v>
      </c>
      <c r="S29" s="1148">
        <f>'26'!$G$62</f>
        <v>0</v>
      </c>
      <c r="T29" s="1148">
        <f>'26'!$G$63</f>
        <v>9.4000000000000909</v>
      </c>
      <c r="U29" s="1148">
        <f>'26'!$G$64</f>
        <v>389</v>
      </c>
      <c r="V29" s="1148">
        <f>'26'!$G$65</f>
        <v>411.75999999999476</v>
      </c>
      <c r="W29" s="1148">
        <f>'26'!$G$66</f>
        <v>413.80999999999949</v>
      </c>
      <c r="X29" s="1148">
        <f>'26'!$G$67</f>
        <v>667.69000000000233</v>
      </c>
      <c r="Y29" s="1148">
        <f>'26'!$G$68</f>
        <v>319.09000000000378</v>
      </c>
      <c r="Z29" s="1148">
        <f>'26'!$G$69</f>
        <v>312</v>
      </c>
      <c r="AA29" s="1148">
        <f>'26'!$G$84</f>
        <v>528</v>
      </c>
      <c r="AB29" s="1148">
        <f>'26'!$G$15</f>
        <v>855.13999999989755</v>
      </c>
      <c r="AC29" s="1148">
        <f>'26'!$G$123</f>
        <v>266.14000000001397</v>
      </c>
      <c r="AD29" s="1148">
        <f>'26'!$G$124</f>
        <v>0</v>
      </c>
      <c r="AE29" s="1148">
        <f>'26'!$G$125</f>
        <v>70.559999999997672</v>
      </c>
      <c r="AF29" s="1148">
        <f>'26'!$G$126</f>
        <v>33</v>
      </c>
      <c r="AG29" s="1148">
        <f>'26'!$G$127</f>
        <v>3.3999999999996362</v>
      </c>
      <c r="AH29" s="1148">
        <f t="shared" si="0"/>
        <v>482.03999999988628</v>
      </c>
      <c r="AI29" s="1148">
        <f>'26'!$G$140</f>
        <v>0</v>
      </c>
      <c r="AJ29" s="1148">
        <f>'26'!$G$136</f>
        <v>8.680000000000291</v>
      </c>
      <c r="AK29" s="1148">
        <f>'26'!$G$137</f>
        <v>0</v>
      </c>
      <c r="AL29" s="1148">
        <f>'26'!$G$138</f>
        <v>0</v>
      </c>
      <c r="AM29" s="1145">
        <f t="shared" si="1"/>
        <v>8.680000000000291</v>
      </c>
      <c r="AO29" s="1154">
        <f t="shared" si="2"/>
        <v>-215.89999999987231</v>
      </c>
    </row>
    <row r="30" spans="1:41">
      <c r="A30" s="1147">
        <v>44070</v>
      </c>
      <c r="B30" s="1148">
        <f>'27'!G72</f>
        <v>91</v>
      </c>
      <c r="C30" s="1148">
        <f>'27'!$G$73</f>
        <v>0</v>
      </c>
      <c r="D30" s="1148">
        <f>'27'!$G$74</f>
        <v>31</v>
      </c>
      <c r="E30" s="1148">
        <f>'27'!$G$75</f>
        <v>186</v>
      </c>
      <c r="F30" s="1148">
        <f>'27'!$G$76</f>
        <v>76</v>
      </c>
      <c r="G30" s="1148">
        <f>'27'!$G$77</f>
        <v>52</v>
      </c>
      <c r="H30" s="1138">
        <f>'27'!$G$78</f>
        <v>338</v>
      </c>
      <c r="I30" s="1138">
        <f>'27'!$G$79</f>
        <v>194</v>
      </c>
      <c r="J30" s="1138">
        <f>'27'!$G$80</f>
        <v>288.11999999999534</v>
      </c>
      <c r="K30" s="1138">
        <f>'27'!$G$81</f>
        <v>107.35999999998603</v>
      </c>
      <c r="L30" s="1138">
        <f>'27'!$G$82</f>
        <v>47.130000000004657</v>
      </c>
      <c r="M30" s="1138">
        <f>'27'!$G$58</f>
        <v>272.61999999999898</v>
      </c>
      <c r="N30" s="1138">
        <f>'27'!$G$83</f>
        <v>207</v>
      </c>
      <c r="O30" s="1138">
        <f>'27'!G86</f>
        <v>102</v>
      </c>
      <c r="P30" s="1138">
        <f>'27'!G87</f>
        <v>29</v>
      </c>
      <c r="Q30" s="1138">
        <f>'27'!G88</f>
        <v>117</v>
      </c>
      <c r="R30" s="1138">
        <f>'27'!G87+'27'!H90</f>
        <v>33.599999999999909</v>
      </c>
      <c r="S30" s="1148">
        <f>'27'!$G$62</f>
        <v>0</v>
      </c>
      <c r="T30" s="1148">
        <f>'27'!$G$63</f>
        <v>9.2899999999999636</v>
      </c>
      <c r="U30" s="1148">
        <f>'27'!$G$64</f>
        <v>435.7899999999936</v>
      </c>
      <c r="V30" s="1148">
        <f>'27'!$G$65</f>
        <v>395.24000000000524</v>
      </c>
      <c r="W30" s="1148">
        <f>'27'!$G$66</f>
        <v>417.11000000000058</v>
      </c>
      <c r="X30" s="1148">
        <f>'27'!$G$67</f>
        <v>632.30999999999767</v>
      </c>
      <c r="Y30" s="1148">
        <f>'27'!$G$68</f>
        <v>306.05999999999767</v>
      </c>
      <c r="Z30" s="1148">
        <f>'27'!$G$69</f>
        <v>307.80999999999767</v>
      </c>
      <c r="AA30" s="1148">
        <f>'27'!$G$84</f>
        <v>556</v>
      </c>
      <c r="AB30" s="1148">
        <f>'27'!$G$15</f>
        <v>843.93999999994412</v>
      </c>
      <c r="AC30" s="1148">
        <f>'27'!$G$123</f>
        <v>250.60999999998603</v>
      </c>
      <c r="AD30" s="1148">
        <f>'27'!$G$124</f>
        <v>0</v>
      </c>
      <c r="AE30" s="1148">
        <f>'27'!$G$125</f>
        <v>60.440000000002328</v>
      </c>
      <c r="AF30" s="1148">
        <f>'27'!$G$126</f>
        <v>21</v>
      </c>
      <c r="AG30" s="1148">
        <f>'27'!$G$127</f>
        <v>3</v>
      </c>
      <c r="AH30" s="1148">
        <f t="shared" si="0"/>
        <v>508.88999999995576</v>
      </c>
      <c r="AI30" s="1148">
        <f>'27'!$G$140</f>
        <v>0</v>
      </c>
      <c r="AJ30" s="1148">
        <f>'27'!$G$136</f>
        <v>9.430000000000291</v>
      </c>
      <c r="AK30" s="1148">
        <f>'27'!$G$137</f>
        <v>0</v>
      </c>
      <c r="AL30" s="1148">
        <f>'27'!$G$138</f>
        <v>0</v>
      </c>
      <c r="AM30" s="1145">
        <f t="shared" si="1"/>
        <v>9.430000000000291</v>
      </c>
      <c r="AO30" s="1154">
        <f t="shared" si="2"/>
        <v>-258.27999999996973</v>
      </c>
    </row>
    <row r="31" spans="1:41">
      <c r="A31" s="1147">
        <v>44071</v>
      </c>
      <c r="B31" s="1148">
        <f>'28'!G72</f>
        <v>69</v>
      </c>
      <c r="C31" s="1148">
        <f>'28'!$G$73</f>
        <v>0</v>
      </c>
      <c r="D31" s="1148">
        <f>'28'!$G$74</f>
        <v>31</v>
      </c>
      <c r="E31" s="1148">
        <f>'28'!$G$75</f>
        <v>190</v>
      </c>
      <c r="F31" s="1148">
        <f>'28'!$G$76</f>
        <v>74</v>
      </c>
      <c r="G31" s="1148">
        <f>'28'!$G$77</f>
        <v>54</v>
      </c>
      <c r="H31" s="1138">
        <f>'28'!$G$78</f>
        <v>358</v>
      </c>
      <c r="I31" s="1138">
        <f>'28'!$G$79</f>
        <v>176</v>
      </c>
      <c r="J31" s="1138">
        <f>'28'!$G$80</f>
        <v>335</v>
      </c>
      <c r="K31" s="1138">
        <f>'28'!$G$81</f>
        <v>105</v>
      </c>
      <c r="L31" s="1138">
        <f>'28'!$G$82</f>
        <v>8.6499999999941792</v>
      </c>
      <c r="M31" s="1138">
        <f>'28'!$G$58</f>
        <v>0</v>
      </c>
      <c r="N31" s="1138">
        <f>'28'!$G$83</f>
        <v>293</v>
      </c>
      <c r="O31" s="1138">
        <f>'28'!G86</f>
        <v>106</v>
      </c>
      <c r="P31" s="1138">
        <f>'28'!G87</f>
        <v>29.099999999991269</v>
      </c>
      <c r="Q31" s="1138">
        <f>'28'!G88</f>
        <v>38</v>
      </c>
      <c r="R31" s="1138">
        <f>'28'!G87+'28'!H90</f>
        <v>32.899999999991451</v>
      </c>
      <c r="S31" s="1148">
        <f>'28'!$G$62</f>
        <v>7.0000000014260877E-3</v>
      </c>
      <c r="T31" s="1148">
        <f>'28'!$G$63</f>
        <v>10.660000000000082</v>
      </c>
      <c r="U31" s="1148">
        <f>'28'!$G$64</f>
        <v>463.2100000000064</v>
      </c>
      <c r="V31" s="1148">
        <f>'28'!$G$65</f>
        <v>391.17999999999302</v>
      </c>
      <c r="W31" s="1148">
        <f>'28'!$G$66</f>
        <v>416.38999999999942</v>
      </c>
      <c r="X31" s="1148">
        <f>'28'!$G$67</f>
        <v>648</v>
      </c>
      <c r="Y31" s="1148">
        <f>'28'!$G$68</f>
        <v>328</v>
      </c>
      <c r="Z31" s="1148">
        <f>'28'!$G$69</f>
        <v>305.19000000000233</v>
      </c>
      <c r="AA31" s="1148">
        <f>'28'!$G$84</f>
        <v>540</v>
      </c>
      <c r="AB31" s="1148">
        <f>'28'!$G$15</f>
        <v>434.06000000005588</v>
      </c>
      <c r="AC31" s="1148">
        <f>'28'!$G$123</f>
        <v>267.04000000003725</v>
      </c>
      <c r="AD31" s="1148">
        <f>'28'!$G$124</f>
        <v>0</v>
      </c>
      <c r="AE31" s="1148">
        <f>'28'!$G$125</f>
        <v>59</v>
      </c>
      <c r="AF31" s="1148">
        <f>'28'!$G$126</f>
        <v>20</v>
      </c>
      <c r="AG31" s="1148">
        <f>'28'!$G$127</f>
        <v>2</v>
      </c>
      <c r="AH31" s="1148">
        <f t="shared" si="0"/>
        <v>86.020000000018626</v>
      </c>
      <c r="AI31" s="1148">
        <f>'28'!$G$140</f>
        <v>0.47000000000025466</v>
      </c>
      <c r="AJ31" s="1148">
        <f>'28'!$G$136</f>
        <v>-1.0000000002037268E-2</v>
      </c>
      <c r="AK31" s="1148">
        <f>'28'!$G$137</f>
        <v>0</v>
      </c>
      <c r="AL31" s="1148">
        <f>'28'!$G$138</f>
        <v>0</v>
      </c>
      <c r="AM31" s="1145">
        <f t="shared" si="1"/>
        <v>-1.0000000002037268E-2</v>
      </c>
      <c r="AO31" s="1154">
        <f t="shared" si="2"/>
        <v>181.02000000001863</v>
      </c>
    </row>
    <row r="32" spans="1:41">
      <c r="A32" s="1147">
        <v>44072</v>
      </c>
      <c r="B32" s="1148">
        <f>'29'!G72</f>
        <v>72</v>
      </c>
      <c r="C32" s="1148">
        <f>'29'!$G$73</f>
        <v>1</v>
      </c>
      <c r="D32" s="1148">
        <f>'29'!$G$74</f>
        <v>29</v>
      </c>
      <c r="E32" s="1148">
        <f>'29'!$G$75</f>
        <v>193</v>
      </c>
      <c r="F32" s="1148">
        <f>'29'!$G$76</f>
        <v>75</v>
      </c>
      <c r="G32" s="1148">
        <f>'29'!$G$77</f>
        <v>50</v>
      </c>
      <c r="H32" s="1148">
        <f>'29'!$G$78</f>
        <v>399</v>
      </c>
      <c r="I32" s="1148">
        <f>'29'!$G$79</f>
        <v>199</v>
      </c>
      <c r="J32" s="1148">
        <f>'29'!$G$80</f>
        <v>316</v>
      </c>
      <c r="K32" s="1148">
        <f>'29'!$G$81</f>
        <v>94</v>
      </c>
      <c r="L32" s="1148">
        <f>'29'!$G$82</f>
        <v>59.169999999998254</v>
      </c>
      <c r="M32" s="1148">
        <f>'29'!$G$58</f>
        <v>176.38999999999942</v>
      </c>
      <c r="N32" s="1148">
        <f>'29'!$G$83</f>
        <v>385</v>
      </c>
      <c r="O32" s="1148">
        <f>'29'!G86</f>
        <v>87</v>
      </c>
      <c r="P32" s="1148">
        <f>'29'!G87</f>
        <v>35.100000000005821</v>
      </c>
      <c r="Q32" s="1148">
        <f>'29'!G88</f>
        <v>116.95000000001164</v>
      </c>
      <c r="R32" s="1148">
        <f>'29'!G87+'29'!H90</f>
        <v>39.20000000000573</v>
      </c>
      <c r="S32" s="1148">
        <f>'29'!$G$62</f>
        <v>-7.0000000014260877E-3</v>
      </c>
      <c r="T32" s="1148">
        <f>'29'!$G$63</f>
        <v>12.230000000000018</v>
      </c>
      <c r="U32" s="1148">
        <f>'29'!$G$64</f>
        <v>445.39999999999418</v>
      </c>
      <c r="V32" s="1148">
        <f>'29'!$G$65</f>
        <v>382.47000000000116</v>
      </c>
      <c r="W32" s="1148">
        <f>'29'!$G$66</f>
        <v>416.84000000000015</v>
      </c>
      <c r="X32" s="1148">
        <f>'29'!$G$67</f>
        <v>676.36999999999534</v>
      </c>
      <c r="Y32" s="1148">
        <f>'29'!$G$68</f>
        <v>329.79000000000087</v>
      </c>
      <c r="Z32" s="1148">
        <f>'29'!$G$69</f>
        <v>315</v>
      </c>
      <c r="AA32" s="1148">
        <f>'29'!$G$84</f>
        <v>547</v>
      </c>
      <c r="AB32" s="1148">
        <f>'29'!$G$15</f>
        <v>826.96999999997206</v>
      </c>
      <c r="AC32" s="1148">
        <f>'29'!$G$123</f>
        <v>242.98999999999069</v>
      </c>
      <c r="AD32" s="1148">
        <f>'29'!$G$124</f>
        <v>0</v>
      </c>
      <c r="AE32" s="1148">
        <f>'29'!$G$125</f>
        <v>70.769999999989523</v>
      </c>
      <c r="AF32" s="1148">
        <f>'29'!$G$126</f>
        <v>32</v>
      </c>
      <c r="AG32" s="1148">
        <f>'29'!$G$127</f>
        <v>2</v>
      </c>
      <c r="AH32" s="1148">
        <f t="shared" si="0"/>
        <v>479.20999999999185</v>
      </c>
      <c r="AI32" s="1148">
        <f>'29'!$G$140</f>
        <v>0</v>
      </c>
      <c r="AJ32" s="1148">
        <f>'29'!$G$136</f>
        <v>8.930000000000291</v>
      </c>
      <c r="AK32" s="1148">
        <f>'29'!$G$137</f>
        <v>0</v>
      </c>
      <c r="AL32" s="1148">
        <f>'29'!$G$138</f>
        <v>0</v>
      </c>
      <c r="AM32" s="1145">
        <f t="shared" si="1"/>
        <v>8.930000000000291</v>
      </c>
      <c r="AO32" s="1154">
        <f t="shared" si="2"/>
        <v>-236.22000000000116</v>
      </c>
    </row>
    <row r="33" spans="1:41" s="1151" customFormat="1">
      <c r="A33" s="1147">
        <v>44073</v>
      </c>
      <c r="B33" s="1138">
        <f>'30'!G72</f>
        <v>-4604</v>
      </c>
      <c r="C33" s="1138">
        <f>'30'!$G$73</f>
        <v>-550</v>
      </c>
      <c r="D33" s="1138">
        <f>'30'!$G$74</f>
        <v>-3170</v>
      </c>
      <c r="E33" s="1138">
        <f>'30'!$G$75</f>
        <v>-19746</v>
      </c>
      <c r="F33" s="1138">
        <f>'30'!$G$76</f>
        <v>-8855</v>
      </c>
      <c r="G33" s="1138">
        <f>'30'!$G$77</f>
        <v>-6131</v>
      </c>
      <c r="H33" s="1138">
        <f>'30'!$G$78</f>
        <v>-39397</v>
      </c>
      <c r="I33" s="1138">
        <f>'30'!$G$79</f>
        <v>-21141</v>
      </c>
      <c r="J33" s="1138">
        <f>'30'!$G$80</f>
        <v>-35602.239999999991</v>
      </c>
      <c r="K33" s="1138">
        <f>'30'!$G$81</f>
        <v>-15023.599999999977</v>
      </c>
      <c r="L33" s="1138">
        <f>'30'!$G$82</f>
        <v>-2917.3600000000006</v>
      </c>
      <c r="M33" s="1138">
        <f>'30'!$G$58</f>
        <v>-14672.063</v>
      </c>
      <c r="N33" s="1138">
        <f>'30'!$G$83</f>
        <v>-38876</v>
      </c>
      <c r="O33" s="1138">
        <f>'30'!G86</f>
        <v>-14041.479999999981</v>
      </c>
      <c r="P33" s="1138">
        <f>'30'!G87</f>
        <v>-3148.8999999999942</v>
      </c>
      <c r="Q33" s="1138">
        <f>'30'!G88</f>
        <v>-8491.4200000000128</v>
      </c>
      <c r="R33" s="1138">
        <f>'30'!G87+'30'!H90</f>
        <v>-3511.6999999999944</v>
      </c>
      <c r="S33" s="1138">
        <f>'30'!$G$62</f>
        <v>0</v>
      </c>
      <c r="T33" s="1138">
        <f>'30'!$G$63</f>
        <v>12854.59</v>
      </c>
      <c r="U33" s="1138">
        <f>'30'!$G$64</f>
        <v>-43438.588999999993</v>
      </c>
      <c r="V33" s="1138">
        <f>'30'!$G$65</f>
        <v>-47487.578999999998</v>
      </c>
      <c r="W33" s="1138">
        <f>'30'!$G$66</f>
        <v>53191.294999999998</v>
      </c>
      <c r="X33" s="1138">
        <f>'30'!$G$67</f>
        <v>-77643.799999999988</v>
      </c>
      <c r="Y33" s="1138">
        <f>'30'!$G$68</f>
        <v>-38085.847000000002</v>
      </c>
      <c r="Z33" s="1138">
        <f>'30'!$G$69</f>
        <v>-32152.809000000001</v>
      </c>
      <c r="AA33" s="1138">
        <f>'30'!$G$84</f>
        <v>-64095</v>
      </c>
      <c r="AB33" s="1138">
        <f>'30'!$G$15</f>
        <v>-77642.192000000039</v>
      </c>
      <c r="AC33" s="1138">
        <f>'30'!$G$123</f>
        <v>-25112.540000000037</v>
      </c>
      <c r="AD33" s="1138">
        <f>'30'!$G$124</f>
        <v>-1</v>
      </c>
      <c r="AE33" s="1138">
        <f>'30'!$G$125</f>
        <v>-8694.2599999999948</v>
      </c>
      <c r="AF33" s="1138">
        <f>'30'!$G$126</f>
        <v>-3412</v>
      </c>
      <c r="AG33" s="1138">
        <f>'30'!$G$127</f>
        <v>-168</v>
      </c>
      <c r="AH33" s="1138">
        <f t="shared" si="0"/>
        <v>-40254.392000000007</v>
      </c>
      <c r="AI33" s="1138">
        <f>'30'!$G$140</f>
        <v>-179.72999999999956</v>
      </c>
      <c r="AJ33" s="1138">
        <f>'30'!$G$136</f>
        <v>-435.81999999999971</v>
      </c>
      <c r="AK33" s="1138">
        <f>'30'!$G$137</f>
        <v>-143.34000000000015</v>
      </c>
      <c r="AL33" s="1138">
        <f>'30'!$G$138</f>
        <v>-274.06999999999243</v>
      </c>
      <c r="AM33" s="1150">
        <f t="shared" si="1"/>
        <v>-853.22999999999229</v>
      </c>
      <c r="AO33" s="1155">
        <f t="shared" si="2"/>
        <v>15141.85199999997</v>
      </c>
    </row>
    <row r="34" spans="1:41">
      <c r="A34" s="1147">
        <v>44074</v>
      </c>
      <c r="B34" s="1148">
        <f>'31'!G72</f>
        <v>-410</v>
      </c>
      <c r="C34" s="1148">
        <f>'31'!$G$73</f>
        <v>-33</v>
      </c>
      <c r="D34" s="1148">
        <f>'31'!$G$74</f>
        <v>-466</v>
      </c>
      <c r="E34" s="1148">
        <f>'31'!$G$74</f>
        <v>-466</v>
      </c>
      <c r="F34" s="1148">
        <f>'31'!$G$76</f>
        <v>-59</v>
      </c>
      <c r="G34" s="1138">
        <f>'31'!$G$77</f>
        <v>-1330</v>
      </c>
      <c r="H34" s="1138">
        <f>'31'!$G$78</f>
        <v>-1971</v>
      </c>
      <c r="I34" s="1138">
        <f>'31'!$G$79</f>
        <v>-3986</v>
      </c>
      <c r="J34" s="1138">
        <f>'31'!$G$80</f>
        <v>-6900.7600000000093</v>
      </c>
      <c r="K34" s="1138">
        <f>'31'!$G$81</f>
        <v>-3691.4000000000233</v>
      </c>
      <c r="L34" s="1138">
        <f>'31'!$G$82</f>
        <v>-596.17999999999302</v>
      </c>
      <c r="M34" s="1138">
        <f>'31'!$G$58</f>
        <v>-1652.9569999999985</v>
      </c>
      <c r="N34" s="1138">
        <f>'31'!$G$83</f>
        <v>-6333</v>
      </c>
      <c r="O34" s="1138">
        <f>'31'!G86</f>
        <v>-5839.679999999993</v>
      </c>
      <c r="P34" s="1138">
        <f>'31'!G88</f>
        <v>-2588.5299999999988</v>
      </c>
      <c r="Q34" s="1138">
        <f>'31'!G89</f>
        <v>-2365.7999999999956</v>
      </c>
      <c r="R34" s="1138">
        <f>'31'!G87+'31'!H90</f>
        <v>-1206.5</v>
      </c>
      <c r="S34" s="1148">
        <f>'31'!$G$62</f>
        <v>8.9999999981955625E-3</v>
      </c>
      <c r="T34" s="1148">
        <f>'31'!$G$63</f>
        <v>0</v>
      </c>
      <c r="U34" s="1148">
        <f>'31'!$G$64</f>
        <v>-8004.9110000000001</v>
      </c>
      <c r="V34" s="1148">
        <f>'31'!$G$65</f>
        <v>-11450.710999999996</v>
      </c>
      <c r="W34" s="1148">
        <f>'31'!$G$66</f>
        <v>-10664.664999999994</v>
      </c>
      <c r="X34" s="1148">
        <f>'31'!$G$67</f>
        <v>-13011.600000000006</v>
      </c>
      <c r="Y34" s="1148">
        <f>'31'!$G$68</f>
        <v>-7951.4330000000009</v>
      </c>
      <c r="Z34" s="1148">
        <f>'31'!$G$69</f>
        <v>-541.48099999999977</v>
      </c>
      <c r="AA34" s="1148">
        <f>'31'!$G$84</f>
        <v>-14070</v>
      </c>
      <c r="AB34" s="1148">
        <f>'31'!$G$15</f>
        <v>-12373.717999999877</v>
      </c>
      <c r="AC34" s="1148">
        <f>'31'!$G$123</f>
        <v>-5045.0299999999115</v>
      </c>
      <c r="AD34" s="1148">
        <f>'31'!$G$124</f>
        <v>0</v>
      </c>
      <c r="AE34" s="1148">
        <f>'31'!$G$125</f>
        <v>-2038.5099999999948</v>
      </c>
      <c r="AF34" s="1148">
        <f>'31'!$G$126</f>
        <v>-8</v>
      </c>
      <c r="AG34" s="1148">
        <f>'31'!$G$127</f>
        <v>0</v>
      </c>
      <c r="AH34" s="1148">
        <f t="shared" si="0"/>
        <v>-5282.1779999999708</v>
      </c>
      <c r="AI34" s="1148">
        <f>'31'!$G$140</f>
        <v>-41.190000000000509</v>
      </c>
      <c r="AJ34" s="1148">
        <f>'31'!$G$136</f>
        <v>-30.549999999999272</v>
      </c>
      <c r="AK34" s="1148">
        <f>'31'!$G$137</f>
        <v>-38.039999999997235</v>
      </c>
      <c r="AL34" s="1148">
        <f>'31'!$G$138</f>
        <v>-67.5</v>
      </c>
      <c r="AM34" s="1145">
        <f t="shared" si="1"/>
        <v>-136.08999999999651</v>
      </c>
      <c r="AO34" s="1154">
        <f t="shared" si="2"/>
        <v>237.14800000005926</v>
      </c>
    </row>
    <row r="35" spans="1:41">
      <c r="A35" s="1190"/>
      <c r="G35" s="1151"/>
      <c r="H35" s="1151"/>
      <c r="I35" s="1151"/>
      <c r="J35" s="1151"/>
      <c r="K35" s="1151"/>
      <c r="L35" s="1151"/>
      <c r="M35" s="1151"/>
      <c r="N35" s="1151"/>
      <c r="O35" s="1151"/>
      <c r="P35" s="1151"/>
      <c r="Q35" s="1151"/>
      <c r="R35" s="1151"/>
    </row>
    <row r="36" spans="1:41">
      <c r="A36" s="1191"/>
      <c r="AC36" s="1193" t="s">
        <v>122</v>
      </c>
      <c r="AD36" s="1194">
        <v>191</v>
      </c>
      <c r="AE36" s="1194"/>
      <c r="AF36" s="1194"/>
    </row>
    <row r="37" spans="1:41">
      <c r="A37" s="1191"/>
      <c r="AC37" s="1194"/>
      <c r="AD37" s="1194">
        <v>88</v>
      </c>
      <c r="AE37" s="1194"/>
      <c r="AF37" s="1194"/>
    </row>
    <row r="38" spans="1:41">
      <c r="A38" s="1191"/>
      <c r="AC38" s="1194"/>
      <c r="AD38" s="1195">
        <f>SUM(AD36:AD37)</f>
        <v>279</v>
      </c>
      <c r="AE38" s="1196" t="s">
        <v>123</v>
      </c>
      <c r="AF38" s="1196">
        <v>335</v>
      </c>
    </row>
    <row r="39" spans="1:41">
      <c r="A39" s="1191"/>
      <c r="AC39" s="1194"/>
      <c r="AD39" s="1194"/>
      <c r="AE39" s="1194"/>
      <c r="AF39" s="1194"/>
    </row>
    <row r="40" spans="1:41">
      <c r="A40" s="1191"/>
      <c r="B40" s="1154"/>
      <c r="C40" s="1154"/>
      <c r="D40" s="1154"/>
      <c r="E40" s="1154"/>
      <c r="F40" s="1154"/>
      <c r="G40" s="1154"/>
      <c r="H40" s="1154"/>
      <c r="I40" s="1154"/>
      <c r="J40" s="1154"/>
      <c r="K40" s="1154"/>
      <c r="L40" s="1154"/>
      <c r="M40" s="1154"/>
      <c r="N40" s="1154"/>
      <c r="O40" s="1154"/>
      <c r="P40" s="1154"/>
      <c r="Q40" s="1154"/>
      <c r="R40" s="1154"/>
      <c r="S40" s="1154"/>
      <c r="T40" s="1154"/>
      <c r="U40" s="1154"/>
      <c r="V40" s="1154"/>
      <c r="W40" s="1154"/>
      <c r="X40" s="1154"/>
      <c r="Y40" s="1154"/>
      <c r="Z40" s="1154"/>
      <c r="AB40" s="1154"/>
      <c r="AC40" s="1193" t="s">
        <v>124</v>
      </c>
      <c r="AD40" s="1195">
        <v>168</v>
      </c>
      <c r="AE40" s="1194"/>
      <c r="AF40" s="1194"/>
    </row>
    <row r="41" spans="1:41">
      <c r="A41" s="1191"/>
      <c r="AC41" s="1194"/>
      <c r="AD41" s="1194"/>
      <c r="AE41" s="1196" t="s">
        <v>125</v>
      </c>
      <c r="AF41" s="1194"/>
    </row>
    <row r="42" spans="1:41">
      <c r="A42" s="1191"/>
      <c r="AC42" s="1194" t="s">
        <v>126</v>
      </c>
      <c r="AD42" s="1194">
        <f>20*38.68</f>
        <v>773.6</v>
      </c>
      <c r="AE42" s="1194" t="s">
        <v>127</v>
      </c>
      <c r="AF42" s="1194"/>
    </row>
    <row r="43" spans="1:41">
      <c r="A43" s="1191"/>
    </row>
    <row r="44" spans="1:41">
      <c r="A44" s="1191"/>
    </row>
    <row r="45" spans="1:41">
      <c r="A45" s="1191"/>
    </row>
    <row r="46" spans="1:41">
      <c r="A46" s="1191"/>
    </row>
    <row r="47" spans="1:41">
      <c r="A47" s="1191"/>
    </row>
    <row r="48" spans="1:41">
      <c r="A48" s="1191"/>
    </row>
    <row r="49" spans="1:1">
      <c r="A49" s="1191"/>
    </row>
    <row r="50" spans="1:1">
      <c r="A50" s="1191"/>
    </row>
    <row r="51" spans="1:1">
      <c r="A51" s="1191"/>
    </row>
    <row r="52" spans="1:1">
      <c r="A52" s="1191"/>
    </row>
    <row r="53" spans="1:1">
      <c r="A53" s="1191"/>
    </row>
    <row r="54" spans="1:1">
      <c r="A54" s="1191"/>
    </row>
    <row r="55" spans="1:1">
      <c r="A55" s="1191"/>
    </row>
    <row r="56" spans="1:1">
      <c r="A56" s="1191"/>
    </row>
    <row r="57" spans="1:1">
      <c r="A57" s="1191"/>
    </row>
    <row r="58" spans="1:1">
      <c r="A58" s="1191"/>
    </row>
    <row r="59" spans="1:1">
      <c r="A59" s="1191"/>
    </row>
    <row r="60" spans="1:1">
      <c r="A60" s="1191"/>
    </row>
    <row r="61" spans="1:1">
      <c r="A61" s="1191"/>
    </row>
    <row r="62" spans="1:1">
      <c r="A62" s="1191"/>
    </row>
    <row r="63" spans="1:1">
      <c r="A63" s="1191"/>
    </row>
    <row r="64" spans="1:1">
      <c r="A64" s="1191"/>
    </row>
    <row r="65" spans="1:1">
      <c r="A65" s="1191"/>
    </row>
    <row r="66" spans="1:1">
      <c r="A66" s="1191"/>
    </row>
    <row r="67" spans="1:1">
      <c r="A67" s="1191"/>
    </row>
    <row r="68" spans="1:1">
      <c r="A68" s="1191"/>
    </row>
    <row r="69" spans="1:1">
      <c r="A69" s="1191"/>
    </row>
    <row r="70" spans="1:1">
      <c r="A70" s="1191"/>
    </row>
    <row r="71" spans="1:1">
      <c r="A71" s="1191"/>
    </row>
    <row r="72" spans="1:1">
      <c r="A72" s="1191"/>
    </row>
    <row r="73" spans="1:1">
      <c r="A73" s="1191"/>
    </row>
    <row r="74" spans="1:1">
      <c r="A74" s="1191"/>
    </row>
    <row r="75" spans="1:1">
      <c r="A75" s="1191"/>
    </row>
    <row r="76" spans="1:1">
      <c r="A76" s="1191"/>
    </row>
    <row r="77" spans="1:1">
      <c r="A77" s="1191"/>
    </row>
    <row r="78" spans="1:1">
      <c r="A78" s="1191"/>
    </row>
    <row r="79" spans="1:1">
      <c r="A79" s="1191"/>
    </row>
    <row r="80" spans="1:1">
      <c r="A80" s="1191"/>
    </row>
    <row r="81" spans="1:1">
      <c r="A81" s="1191"/>
    </row>
    <row r="82" spans="1:1">
      <c r="A82" s="1191"/>
    </row>
    <row r="83" spans="1:1">
      <c r="A83" s="1191"/>
    </row>
    <row r="84" spans="1:1">
      <c r="A84" s="1191"/>
    </row>
    <row r="85" spans="1:1">
      <c r="A85" s="1191"/>
    </row>
    <row r="86" spans="1:1">
      <c r="A86" s="1192"/>
    </row>
    <row r="87" spans="1:1">
      <c r="A87" s="1192"/>
    </row>
    <row r="88" spans="1:1">
      <c r="A88" s="1192"/>
    </row>
    <row r="89" spans="1:1">
      <c r="A89" s="1192"/>
    </row>
  </sheetData>
  <mergeCells count="3">
    <mergeCell ref="AJ2:AM2"/>
    <mergeCell ref="AB2:AH2"/>
    <mergeCell ref="B2:AA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topLeftCell="A13" zoomScale="61" zoomScaleNormal="61" zoomScaleSheetLayoutView="61" zoomScalePageLayoutView="70" workbookViewId="0">
      <selection activeCell="F28" sqref="F28"/>
    </sheetView>
  </sheetViews>
  <sheetFormatPr defaultColWidth="22.33203125" defaultRowHeight="29.2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5" s="281" customFormat="1" ht="27">
      <c r="A2" s="652" t="s">
        <v>306</v>
      </c>
      <c r="B2" s="1139">
        <v>44197</v>
      </c>
      <c r="C2" s="1254" t="s">
        <v>69</v>
      </c>
      <c r="D2" s="688">
        <v>0.43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31</v>
      </c>
      <c r="E3" s="1408" t="s">
        <v>132</v>
      </c>
      <c r="F3" s="1409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0.72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2" t="s">
        <v>141</v>
      </c>
      <c r="B6" s="1403"/>
      <c r="C6" s="1404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v>3286440</v>
      </c>
      <c r="F7" s="531">
        <v>3306655</v>
      </c>
      <c r="G7" s="549">
        <f>F7-E7</f>
        <v>20215</v>
      </c>
      <c r="H7" s="536">
        <f>G7</f>
        <v>20215</v>
      </c>
      <c r="I7" s="550">
        <v>12000</v>
      </c>
      <c r="J7" s="629">
        <f>H7/DAY(B2)</f>
        <v>20215</v>
      </c>
      <c r="K7" s="626"/>
      <c r="L7" s="408"/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v>3306372</v>
      </c>
      <c r="F8" s="551">
        <v>3326755</v>
      </c>
      <c r="G8" s="552">
        <f>F8-E8</f>
        <v>20383</v>
      </c>
      <c r="H8" s="536">
        <f>G8</f>
        <v>20383</v>
      </c>
      <c r="I8" s="553">
        <v>12000</v>
      </c>
      <c r="J8" s="629">
        <f>H8/DAY(B2)</f>
        <v>20383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v>2405215</v>
      </c>
      <c r="F9" s="554">
        <v>2407766</v>
      </c>
      <c r="G9" s="549">
        <f>F9-E9</f>
        <v>2551</v>
      </c>
      <c r="H9" s="536">
        <f t="shared" ref="H9:H13" si="0">G9</f>
        <v>2551</v>
      </c>
      <c r="I9" s="555">
        <f>I8-J8</f>
        <v>-8383</v>
      </c>
      <c r="J9" s="629">
        <f>H9/DAY(B2)</f>
        <v>2551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v>750521.91</v>
      </c>
      <c r="F10" s="554">
        <v>767461</v>
      </c>
      <c r="G10" s="549">
        <f t="shared" ref="G10:G12" si="1">F10-E10</f>
        <v>16939.089999999967</v>
      </c>
      <c r="H10" s="536">
        <f t="shared" si="0"/>
        <v>16939.089999999967</v>
      </c>
      <c r="I10" s="556"/>
      <c r="J10" s="629">
        <f>H10/DAY(B2)</f>
        <v>16939.089999999967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v>35390</v>
      </c>
      <c r="F11" s="531">
        <v>35390</v>
      </c>
      <c r="G11" s="549">
        <f t="shared" si="1"/>
        <v>0</v>
      </c>
      <c r="H11" s="536">
        <f t="shared" si="0"/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v>37630</v>
      </c>
      <c r="F12" s="554">
        <v>37630</v>
      </c>
      <c r="G12" s="549">
        <f t="shared" si="1"/>
        <v>0</v>
      </c>
      <c r="H12" s="536">
        <f t="shared" si="0"/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19490.089999999967</v>
      </c>
      <c r="H13" s="536">
        <f t="shared" si="0"/>
        <v>19490.089999999967</v>
      </c>
      <c r="I13" s="558">
        <f>G7-G13</f>
        <v>724.9100000000326</v>
      </c>
      <c r="J13" s="629">
        <f>H13/DAY(B2)</f>
        <v>19490.089999999967</v>
      </c>
      <c r="K13" s="467"/>
      <c r="L13" s="408"/>
      <c r="N13" s="413"/>
      <c r="O13" s="413"/>
    </row>
    <row r="14" spans="1:15">
      <c r="A14" s="1405" t="s">
        <v>150</v>
      </c>
      <c r="B14" s="1406"/>
      <c r="C14" s="1407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52" t="s">
        <v>151</v>
      </c>
      <c r="B15" s="666"/>
      <c r="C15" s="666"/>
      <c r="D15" s="599" t="s">
        <v>152</v>
      </c>
      <c r="E15" s="560">
        <v>1568914.1</v>
      </c>
      <c r="F15" s="560">
        <v>1569608</v>
      </c>
      <c r="G15" s="883">
        <f>(F15-E15)</f>
        <v>693.89999999990687</v>
      </c>
      <c r="H15" s="536">
        <f>G15</f>
        <v>693.89999999990687</v>
      </c>
      <c r="I15" s="550">
        <v>800</v>
      </c>
      <c r="J15" s="629">
        <f>H15/DAY(B2)</f>
        <v>693.89999999990687</v>
      </c>
      <c r="K15" s="467"/>
      <c r="L15" s="408"/>
      <c r="N15" s="413"/>
      <c r="O15" s="821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106.10000000009313</v>
      </c>
      <c r="J16" s="630"/>
      <c r="K16" s="467"/>
      <c r="L16" s="408"/>
      <c r="N16" s="413"/>
      <c r="O16" s="413"/>
    </row>
    <row r="17" spans="1:15">
      <c r="A17" s="1405" t="s">
        <v>153</v>
      </c>
      <c r="B17" s="1406"/>
      <c r="C17" s="1407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388" t="s">
        <v>154</v>
      </c>
      <c r="B18" s="1389"/>
      <c r="C18" s="1390"/>
      <c r="D18" s="599" t="s">
        <v>155</v>
      </c>
      <c r="E18" s="560">
        <v>13</v>
      </c>
      <c r="F18" s="560">
        <v>15</v>
      </c>
      <c r="G18" s="557">
        <f>F18*10</f>
        <v>150</v>
      </c>
      <c r="H18" s="536">
        <f>G18</f>
        <v>150</v>
      </c>
      <c r="I18" s="550">
        <v>65</v>
      </c>
      <c r="J18" s="629">
        <f>H18/DAY(B2)</f>
        <v>150</v>
      </c>
      <c r="K18" s="467"/>
      <c r="L18" s="408"/>
      <c r="N18" s="413"/>
      <c r="O18" s="413"/>
    </row>
    <row r="19" spans="1:15" ht="27.75">
      <c r="A19" s="1388" t="s">
        <v>71</v>
      </c>
      <c r="B19" s="1389"/>
      <c r="C19" s="1390"/>
      <c r="D19" s="599" t="s">
        <v>155</v>
      </c>
      <c r="E19" s="560">
        <v>131493</v>
      </c>
      <c r="F19" s="560">
        <v>131540</v>
      </c>
      <c r="G19" s="549">
        <f t="shared" ref="G19" si="2">F19-E19</f>
        <v>47</v>
      </c>
      <c r="H19" s="536">
        <f t="shared" ref="H19" si="3">G19</f>
        <v>47</v>
      </c>
      <c r="I19" s="565"/>
      <c r="J19" s="629">
        <f>H19/DAY(B2)</f>
        <v>47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197</v>
      </c>
      <c r="H20" s="536">
        <f>G20</f>
        <v>197</v>
      </c>
      <c r="I20" s="568">
        <f>I18-J20</f>
        <v>-132</v>
      </c>
      <c r="J20" s="629">
        <f>H20/DAY(B2)</f>
        <v>197</v>
      </c>
      <c r="K20" s="467"/>
      <c r="L20" s="408"/>
      <c r="N20" s="413"/>
      <c r="O20" s="413"/>
    </row>
    <row r="21" spans="1:15">
      <c r="A21" s="1405" t="s">
        <v>157</v>
      </c>
      <c r="B21" s="1406"/>
      <c r="C21" s="1407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52" t="s">
        <v>158</v>
      </c>
      <c r="B22" s="666"/>
      <c r="C22" s="666"/>
      <c r="D22" s="599" t="s">
        <v>159</v>
      </c>
      <c r="E22" s="560">
        <v>2250</v>
      </c>
      <c r="F22" s="560">
        <v>2250</v>
      </c>
      <c r="G22" s="557">
        <f t="shared" ref="G22" si="4">(F22-E22)</f>
        <v>0</v>
      </c>
      <c r="H22" s="536">
        <f>G22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52" t="s">
        <v>160</v>
      </c>
      <c r="B23" s="666"/>
      <c r="C23" s="666"/>
      <c r="D23" s="599" t="s">
        <v>159</v>
      </c>
      <c r="E23" s="560">
        <v>2000</v>
      </c>
      <c r="F23" s="560">
        <v>2000</v>
      </c>
      <c r="G23" s="557">
        <v>0</v>
      </c>
      <c r="H23" s="536">
        <f t="shared" ref="H23:H24" si="5">G23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v>4250</v>
      </c>
      <c r="F24" s="569">
        <v>4250</v>
      </c>
      <c r="G24" s="557">
        <f>SUM(G22:G23)</f>
        <v>0</v>
      </c>
      <c r="H24" s="536">
        <f t="shared" si="5"/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20383</v>
      </c>
      <c r="F27" s="577">
        <v>9</v>
      </c>
      <c r="G27" s="578">
        <f>E27*F27</f>
        <v>183447</v>
      </c>
      <c r="H27" s="536">
        <f>G27</f>
        <v>183447</v>
      </c>
      <c r="I27" s="579"/>
      <c r="J27" s="629">
        <f>H27/DAY(B2)</f>
        <v>183447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693.89999999990687</v>
      </c>
      <c r="F28" s="577">
        <v>41</v>
      </c>
      <c r="G28" s="578">
        <f>E28*F28</f>
        <v>28449.899999996182</v>
      </c>
      <c r="H28" s="536">
        <f>G28</f>
        <v>28449.899999996182</v>
      </c>
      <c r="I28" s="581"/>
      <c r="J28" s="629">
        <f>H28/DAY(B2)</f>
        <v>28449.899999996182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G23</f>
        <v>0</v>
      </c>
      <c r="F29" s="577">
        <v>69</v>
      </c>
      <c r="G29" s="578">
        <f>E29*F29</f>
        <v>0</v>
      </c>
      <c r="H29" s="536">
        <f>G29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47</v>
      </c>
      <c r="F30" s="577">
        <v>134</v>
      </c>
      <c r="G30" s="578">
        <f>E30*F30</f>
        <v>6298</v>
      </c>
      <c r="H30" s="536">
        <f>G30</f>
        <v>6298</v>
      </c>
      <c r="I30" s="581"/>
      <c r="J30" s="629">
        <f>H30/DAY(B2)</f>
        <v>6298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150</v>
      </c>
      <c r="F31" s="577">
        <v>80</v>
      </c>
      <c r="G31" s="578">
        <f>E31*F31</f>
        <v>12000</v>
      </c>
      <c r="H31" s="536">
        <f>G31</f>
        <v>12000</v>
      </c>
      <c r="I31" s="581"/>
      <c r="J31" s="629">
        <f>H31/DAY(B2)</f>
        <v>12000</v>
      </c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230194.89999999618</v>
      </c>
      <c r="H32" s="536">
        <f t="shared" ref="H32" si="6">G32</f>
        <v>230194.89999999618</v>
      </c>
      <c r="I32" s="585"/>
      <c r="J32" s="629">
        <f>H32/DAY(B2)</f>
        <v>230194.89999999618</v>
      </c>
      <c r="K32" s="404"/>
      <c r="L32" s="484"/>
      <c r="N32" s="493"/>
      <c r="O32" s="413"/>
    </row>
    <row r="33" spans="1:15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413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v>629027</v>
      </c>
      <c r="F35" s="586">
        <v>629027</v>
      </c>
      <c r="G35" s="549">
        <f>F35-E35</f>
        <v>0</v>
      </c>
      <c r="H35" s="536">
        <f>G35</f>
        <v>0</v>
      </c>
      <c r="I35" s="531"/>
      <c r="J35" s="629">
        <f>H35/DAY(B2)</f>
        <v>0</v>
      </c>
      <c r="K35" s="467"/>
      <c r="L35" s="408"/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v>255091.07</v>
      </c>
      <c r="F36" s="586">
        <v>255785</v>
      </c>
      <c r="G36" s="549">
        <f t="shared" ref="G36:G46" si="7">F36-E36</f>
        <v>693.92999999999302</v>
      </c>
      <c r="H36" s="536">
        <f t="shared" ref="H36:H47" si="8">G36</f>
        <v>693.92999999999302</v>
      </c>
      <c r="I36" s="531"/>
      <c r="J36" s="629">
        <f>H36/DAY(B2)</f>
        <v>693.92999999999302</v>
      </c>
      <c r="K36" s="467"/>
      <c r="L36" s="408"/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v>415066</v>
      </c>
      <c r="F37" s="586">
        <v>415066</v>
      </c>
      <c r="G37" s="549">
        <f t="shared" si="7"/>
        <v>0</v>
      </c>
      <c r="H37" s="536">
        <f t="shared" si="8"/>
        <v>0</v>
      </c>
      <c r="I37" s="531"/>
      <c r="J37" s="629">
        <f>H37/DAY(B2)</f>
        <v>0</v>
      </c>
      <c r="K37" s="467"/>
      <c r="L37" s="408"/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v>150714</v>
      </c>
      <c r="F38" s="545">
        <v>150714</v>
      </c>
      <c r="G38" s="549">
        <f t="shared" si="7"/>
        <v>0</v>
      </c>
      <c r="H38" s="536">
        <f t="shared" si="8"/>
        <v>0</v>
      </c>
      <c r="I38" s="531"/>
      <c r="J38" s="629">
        <f>H38/DAY(B2)</f>
        <v>0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v>912480</v>
      </c>
      <c r="F39" s="586">
        <v>912480</v>
      </c>
      <c r="G39" s="549">
        <f t="shared" si="7"/>
        <v>0</v>
      </c>
      <c r="H39" s="536">
        <f t="shared" si="8"/>
        <v>0</v>
      </c>
      <c r="I39" s="531"/>
      <c r="J39" s="629">
        <f>H39/DAY(B2)</f>
        <v>0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v>0</v>
      </c>
      <c r="F40" s="586">
        <v>0</v>
      </c>
      <c r="G40" s="549">
        <f t="shared" si="7"/>
        <v>0</v>
      </c>
      <c r="H40" s="536">
        <f t="shared" si="8"/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v>300127.95</v>
      </c>
      <c r="F41" s="586">
        <v>300127.96999999997</v>
      </c>
      <c r="G41" s="549">
        <f t="shared" si="7"/>
        <v>1.9999999960418791E-2</v>
      </c>
      <c r="H41" s="536">
        <f t="shared" si="8"/>
        <v>1.9999999960418791E-2</v>
      </c>
      <c r="I41" s="531"/>
      <c r="J41" s="629">
        <f>H41/DAY(B2)</f>
        <v>1.9999999960418791E-2</v>
      </c>
      <c r="K41" s="467"/>
      <c r="L41" s="408"/>
      <c r="N41" s="413"/>
      <c r="O41" s="821"/>
    </row>
    <row r="42" spans="1:15">
      <c r="A42" s="655" t="s">
        <v>182</v>
      </c>
      <c r="B42" s="656"/>
      <c r="C42" s="656"/>
      <c r="D42" s="599" t="s">
        <v>143</v>
      </c>
      <c r="E42" s="586">
        <v>58926.09</v>
      </c>
      <c r="F42" s="586">
        <v>58926.09</v>
      </c>
      <c r="G42" s="549">
        <f t="shared" si="7"/>
        <v>0</v>
      </c>
      <c r="H42" s="536">
        <f t="shared" si="8"/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v>698253.43</v>
      </c>
      <c r="F43" s="586">
        <v>700218</v>
      </c>
      <c r="G43" s="549">
        <f t="shared" si="7"/>
        <v>1964.5699999999488</v>
      </c>
      <c r="H43" s="536">
        <f t="shared" si="8"/>
        <v>1964.5699999999488</v>
      </c>
      <c r="I43" s="531"/>
      <c r="J43" s="629">
        <f>H43/DAY(B2)</f>
        <v>1964.5699999999488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v>0</v>
      </c>
      <c r="F44" s="586">
        <v>0</v>
      </c>
      <c r="G44" s="549">
        <f t="shared" si="7"/>
        <v>0</v>
      </c>
      <c r="H44" s="536">
        <f t="shared" si="8"/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v>614.48</v>
      </c>
      <c r="F45" s="586">
        <v>614.48</v>
      </c>
      <c r="G45" s="549">
        <f t="shared" si="7"/>
        <v>0</v>
      </c>
      <c r="H45" s="536">
        <f t="shared" si="8"/>
        <v>0</v>
      </c>
      <c r="I45" s="531"/>
      <c r="J45" s="629">
        <f>H45/DAY(B2)</f>
        <v>0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v>187.49</v>
      </c>
      <c r="F46" s="586">
        <v>187.49</v>
      </c>
      <c r="G46" s="549">
        <f t="shared" si="7"/>
        <v>0</v>
      </c>
      <c r="H46" s="536">
        <f t="shared" si="8"/>
        <v>0</v>
      </c>
      <c r="I46" s="531"/>
      <c r="J46" s="629">
        <f>H46/DAY(B2)</f>
        <v>0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2658.5199999999022</v>
      </c>
      <c r="H47" s="536">
        <f t="shared" si="8"/>
        <v>2658.5199999999022</v>
      </c>
      <c r="I47" s="531"/>
      <c r="J47" s="629">
        <f>H47/DAY(B2)</f>
        <v>2658.5199999999022</v>
      </c>
      <c r="K47" s="467"/>
      <c r="L47" s="408"/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v>149559</v>
      </c>
      <c r="F49" s="586">
        <v>152496</v>
      </c>
      <c r="G49" s="549">
        <f t="shared" ref="G49:G58" si="9">F49-E49</f>
        <v>2937</v>
      </c>
      <c r="H49" s="536">
        <f>G49</f>
        <v>2937</v>
      </c>
      <c r="I49" s="531"/>
      <c r="J49" s="629">
        <f>H49/DAY(B2)</f>
        <v>2937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v>334900.43</v>
      </c>
      <c r="F50" s="586">
        <v>335914</v>
      </c>
      <c r="G50" s="549">
        <f t="shared" si="9"/>
        <v>1013.570000000007</v>
      </c>
      <c r="H50" s="536">
        <f t="shared" ref="H50:H60" si="10">G50</f>
        <v>1013.570000000007</v>
      </c>
      <c r="I50" s="531"/>
      <c r="J50" s="629">
        <f>H50/DAY(B2)</f>
        <v>1013.570000000007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v>64707.11</v>
      </c>
      <c r="F51" s="586">
        <v>66179</v>
      </c>
      <c r="G51" s="549">
        <f t="shared" si="9"/>
        <v>1471.8899999999994</v>
      </c>
      <c r="H51" s="536">
        <f t="shared" si="10"/>
        <v>1471.8899999999994</v>
      </c>
      <c r="I51" s="531"/>
      <c r="J51" s="629">
        <f>H51/DAY(B2)</f>
        <v>1471.8899999999994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v>433179.63</v>
      </c>
      <c r="F52" s="586">
        <v>435341</v>
      </c>
      <c r="G52" s="549">
        <f t="shared" si="9"/>
        <v>2161.3699999999953</v>
      </c>
      <c r="H52" s="536">
        <f t="shared" si="10"/>
        <v>2161.3699999999953</v>
      </c>
      <c r="I52" s="531"/>
      <c r="J52" s="629">
        <f>H52/DAY(B2)</f>
        <v>2161.3699999999953</v>
      </c>
      <c r="K52" s="467"/>
      <c r="L52" s="408"/>
      <c r="N52" s="413"/>
      <c r="O52" s="821"/>
    </row>
    <row r="53" spans="1:15">
      <c r="A53" s="655" t="s">
        <v>179</v>
      </c>
      <c r="B53" s="678"/>
      <c r="C53" s="678"/>
      <c r="D53" s="599" t="s">
        <v>143</v>
      </c>
      <c r="E53" s="586">
        <v>176601.97</v>
      </c>
      <c r="F53" s="586">
        <v>180888</v>
      </c>
      <c r="G53" s="549">
        <f t="shared" si="9"/>
        <v>4286.0299999999988</v>
      </c>
      <c r="H53" s="536">
        <f t="shared" si="10"/>
        <v>4286.0299999999988</v>
      </c>
      <c r="I53" s="531"/>
      <c r="J53" s="629">
        <f>H53/DAY(B2)</f>
        <v>4286.0299999999988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v>4589.54</v>
      </c>
      <c r="F54" s="586">
        <v>4652</v>
      </c>
      <c r="G54" s="549">
        <f t="shared" si="9"/>
        <v>62.460000000000036</v>
      </c>
      <c r="H54" s="536">
        <f t="shared" si="10"/>
        <v>62.460000000000036</v>
      </c>
      <c r="I54" s="531"/>
      <c r="J54" s="629">
        <f>H54/DAY(B2)</f>
        <v>62.460000000000036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v>158493</v>
      </c>
      <c r="F55" s="586">
        <v>158492.63</v>
      </c>
      <c r="G55" s="549">
        <f t="shared" si="9"/>
        <v>-0.36999999999534339</v>
      </c>
      <c r="H55" s="536">
        <f t="shared" si="10"/>
        <v>-0.36999999999534339</v>
      </c>
      <c r="I55" s="531"/>
      <c r="J55" s="629">
        <f>H55/DAY(B2)</f>
        <v>-0.36999999999534339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v>513211.75</v>
      </c>
      <c r="F56" s="586">
        <v>518264</v>
      </c>
      <c r="G56" s="549">
        <f t="shared" si="9"/>
        <v>5052.25</v>
      </c>
      <c r="H56" s="536">
        <f t="shared" si="10"/>
        <v>5052.25</v>
      </c>
      <c r="I56" s="531"/>
      <c r="J56" s="629">
        <f>H56/DAY(B2)</f>
        <v>5052.25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v>0</v>
      </c>
      <c r="F57" s="586">
        <v>0</v>
      </c>
      <c r="G57" s="549">
        <f t="shared" si="9"/>
        <v>0</v>
      </c>
      <c r="H57" s="536">
        <f t="shared" si="10"/>
        <v>0</v>
      </c>
      <c r="I57" s="531"/>
      <c r="J57" s="629">
        <f>H57/DAY(B2)</f>
        <v>0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v>25040.41</v>
      </c>
      <c r="F58" s="586">
        <v>25092</v>
      </c>
      <c r="G58" s="549">
        <f t="shared" si="9"/>
        <v>51.590000000000146</v>
      </c>
      <c r="H58" s="536">
        <f t="shared" si="10"/>
        <v>51.590000000000146</v>
      </c>
      <c r="I58" s="531"/>
      <c r="J58" s="629">
        <f>H58/DAY(B2)</f>
        <v>51.590000000000146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17035.790000000005</v>
      </c>
      <c r="H59" s="536">
        <f t="shared" si="10"/>
        <v>17035.790000000005</v>
      </c>
      <c r="I59" s="531">
        <f>G7-G60</f>
        <v>520.69000000009328</v>
      </c>
      <c r="J59" s="629">
        <f>H59/DAY(B2)</f>
        <v>17035.790000000005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19694.309999999907</v>
      </c>
      <c r="H60" s="536">
        <f t="shared" si="10"/>
        <v>19694.309999999907</v>
      </c>
      <c r="I60" s="531">
        <f>G13-G60</f>
        <v>-204.21999999993932</v>
      </c>
      <c r="J60" s="629">
        <f>H60/DAY(B2)</f>
        <v>19694.309999999907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v>20419.18</v>
      </c>
      <c r="F62" s="590">
        <v>20419.188999999998</v>
      </c>
      <c r="G62" s="549">
        <f t="shared" ref="G62:G69" si="11">F62-E62</f>
        <v>8.9999999981955625E-3</v>
      </c>
      <c r="H62" s="536">
        <f>G62</f>
        <v>8.9999999981955625E-3</v>
      </c>
      <c r="I62" s="591"/>
      <c r="J62" s="629">
        <f>H62/DAY(B2)</f>
        <v>8.9999999981955625E-3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v>1107.9100000000001</v>
      </c>
      <c r="F63" s="590">
        <v>1112</v>
      </c>
      <c r="G63" s="549">
        <f t="shared" si="11"/>
        <v>4.0899999999999181</v>
      </c>
      <c r="H63" s="536">
        <f t="shared" ref="H63:H70" si="12">G63</f>
        <v>4.0899999999999181</v>
      </c>
      <c r="I63" s="591"/>
      <c r="J63" s="629">
        <f>H63/DAY(B2)</f>
        <v>4.0899999999999181</v>
      </c>
      <c r="K63" s="467"/>
      <c r="L63" s="408"/>
      <c r="N63" s="413"/>
      <c r="O63" s="413"/>
    </row>
    <row r="64" spans="1:15" ht="27.75">
      <c r="A64" s="1367" t="s">
        <v>107</v>
      </c>
      <c r="B64" s="1368"/>
      <c r="C64" s="1369"/>
      <c r="D64" s="599" t="s">
        <v>198</v>
      </c>
      <c r="E64" s="560">
        <v>98423.4</v>
      </c>
      <c r="F64" s="560">
        <v>98839</v>
      </c>
      <c r="G64" s="549">
        <f t="shared" si="11"/>
        <v>415.60000000000582</v>
      </c>
      <c r="H64" s="536">
        <f t="shared" si="12"/>
        <v>415.60000000000582</v>
      </c>
      <c r="I64" s="556"/>
      <c r="J64" s="629">
        <f>H64/DAY(B2)</f>
        <v>415.60000000000582</v>
      </c>
      <c r="K64" s="467"/>
      <c r="L64" s="408"/>
      <c r="N64" s="413"/>
      <c r="O64" s="413"/>
    </row>
    <row r="65" spans="1:15" ht="27.75">
      <c r="A65" s="1367" t="s">
        <v>108</v>
      </c>
      <c r="B65" s="1368"/>
      <c r="C65" s="1369"/>
      <c r="D65" s="599" t="s">
        <v>198</v>
      </c>
      <c r="E65" s="560">
        <v>109044.12</v>
      </c>
      <c r="F65" s="560">
        <v>109461</v>
      </c>
      <c r="G65" s="549">
        <f t="shared" si="11"/>
        <v>416.88000000000466</v>
      </c>
      <c r="H65" s="536">
        <f t="shared" si="12"/>
        <v>416.88000000000466</v>
      </c>
      <c r="I65" s="565"/>
      <c r="J65" s="629">
        <f>H65/DAY(B2)</f>
        <v>416.88000000000466</v>
      </c>
      <c r="K65" s="467"/>
      <c r="L65" s="408"/>
      <c r="N65" s="413"/>
      <c r="O65" s="413"/>
    </row>
    <row r="66" spans="1:15" ht="27.75">
      <c r="A66" s="1367" t="s">
        <v>109</v>
      </c>
      <c r="B66" s="1368"/>
      <c r="C66" s="1369"/>
      <c r="D66" s="599" t="s">
        <v>198</v>
      </c>
      <c r="E66" s="560">
        <v>2422.09</v>
      </c>
      <c r="F66" s="560">
        <v>2836</v>
      </c>
      <c r="G66" s="549">
        <f t="shared" si="11"/>
        <v>413.90999999999985</v>
      </c>
      <c r="H66" s="536">
        <f t="shared" si="12"/>
        <v>413.90999999999985</v>
      </c>
      <c r="I66" s="556"/>
      <c r="J66" s="629">
        <f>H66/DAY(B2)</f>
        <v>413.90999999999985</v>
      </c>
      <c r="K66" s="467"/>
      <c r="L66" s="408"/>
      <c r="N66" s="413"/>
      <c r="O66" s="413"/>
    </row>
    <row r="67" spans="1:15" ht="27.75">
      <c r="A67" s="1367" t="s">
        <v>110</v>
      </c>
      <c r="B67" s="1368"/>
      <c r="C67" s="1369"/>
      <c r="D67" s="599" t="s">
        <v>198</v>
      </c>
      <c r="E67" s="560">
        <v>168241.35</v>
      </c>
      <c r="F67" s="560">
        <v>168953</v>
      </c>
      <c r="G67" s="549">
        <f t="shared" si="11"/>
        <v>711.64999999999418</v>
      </c>
      <c r="H67" s="536">
        <f t="shared" si="12"/>
        <v>711.64999999999418</v>
      </c>
      <c r="I67" s="565"/>
      <c r="J67" s="629">
        <f>H67/DAY(B2)</f>
        <v>711.64999999999418</v>
      </c>
      <c r="K67" s="468"/>
      <c r="L67" s="408"/>
      <c r="N67" s="413"/>
      <c r="O67" s="413"/>
    </row>
    <row r="68" spans="1:15" ht="27.75">
      <c r="A68" s="1367" t="s">
        <v>111</v>
      </c>
      <c r="B68" s="1368"/>
      <c r="C68" s="1369"/>
      <c r="D68" s="599" t="s">
        <v>198</v>
      </c>
      <c r="E68" s="560">
        <v>53623.9</v>
      </c>
      <c r="F68" s="560">
        <v>53936</v>
      </c>
      <c r="G68" s="549">
        <f t="shared" si="11"/>
        <v>312.09999999999854</v>
      </c>
      <c r="H68" s="536">
        <f t="shared" si="12"/>
        <v>312.09999999999854</v>
      </c>
      <c r="I68" s="592"/>
      <c r="J68" s="629">
        <f>H68/DAY(B2)</f>
        <v>312.09999999999854</v>
      </c>
      <c r="K68" s="469"/>
      <c r="L68" s="408"/>
      <c r="N68" s="413"/>
      <c r="O68" s="413"/>
    </row>
    <row r="69" spans="1:15" ht="27.75">
      <c r="A69" s="1367" t="s">
        <v>112</v>
      </c>
      <c r="B69" s="1368"/>
      <c r="C69" s="1369"/>
      <c r="D69" s="599" t="s">
        <v>198</v>
      </c>
      <c r="E69" s="560">
        <v>46519.43</v>
      </c>
      <c r="F69" s="560">
        <v>46812</v>
      </c>
      <c r="G69" s="549">
        <f t="shared" si="11"/>
        <v>292.56999999999971</v>
      </c>
      <c r="H69" s="536">
        <f t="shared" si="12"/>
        <v>292.56999999999971</v>
      </c>
      <c r="I69" s="592"/>
      <c r="J69" s="629">
        <f>H69/DAY(B2)</f>
        <v>292.56999999999971</v>
      </c>
      <c r="K69" s="470"/>
      <c r="L69" s="408"/>
      <c r="N69" s="413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 t="shared" si="12"/>
        <v>0</v>
      </c>
      <c r="I70" s="594"/>
      <c r="J70" s="633">
        <f>H70/DAY(B2)</f>
        <v>0</v>
      </c>
      <c r="K70" s="470"/>
      <c r="L70" s="408"/>
      <c r="N70" s="413"/>
      <c r="O70" s="413"/>
    </row>
    <row r="71" spans="1:15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413"/>
      <c r="O71" s="413"/>
    </row>
    <row r="72" spans="1:15" ht="27.75">
      <c r="A72" s="1367" t="s">
        <v>202</v>
      </c>
      <c r="B72" s="1368"/>
      <c r="C72" s="1369"/>
      <c r="D72" s="599" t="s">
        <v>198</v>
      </c>
      <c r="E72" s="595">
        <v>846400</v>
      </c>
      <c r="F72" s="595">
        <v>846498</v>
      </c>
      <c r="G72" s="549">
        <f t="shared" ref="G72:G83" si="13">F72-E72</f>
        <v>98</v>
      </c>
      <c r="H72" s="536">
        <f>G72</f>
        <v>98</v>
      </c>
      <c r="I72" s="556"/>
      <c r="J72" s="629">
        <f>H72/DAY(B2)</f>
        <v>98</v>
      </c>
      <c r="K72" s="470"/>
      <c r="L72" s="408"/>
      <c r="N72" s="413"/>
      <c r="O72" s="413"/>
    </row>
    <row r="73" spans="1:15" ht="27.75">
      <c r="A73" s="1367" t="s">
        <v>203</v>
      </c>
      <c r="B73" s="1368"/>
      <c r="C73" s="1369"/>
      <c r="D73" s="599" t="s">
        <v>198</v>
      </c>
      <c r="E73" s="596">
        <v>885673</v>
      </c>
      <c r="F73" s="596">
        <v>885673</v>
      </c>
      <c r="G73" s="549">
        <f t="shared" si="13"/>
        <v>0</v>
      </c>
      <c r="H73" s="536">
        <f t="shared" ref="H73:H83" si="14">G73</f>
        <v>0</v>
      </c>
      <c r="I73" s="556"/>
      <c r="J73" s="629">
        <f>H73/DAY(B2)</f>
        <v>0</v>
      </c>
      <c r="K73" s="469"/>
      <c r="L73" s="408"/>
      <c r="N73" s="413"/>
      <c r="O73" s="413"/>
    </row>
    <row r="74" spans="1:15" ht="27.75">
      <c r="A74" s="1373" t="s">
        <v>204</v>
      </c>
      <c r="B74" s="1374"/>
      <c r="C74" s="1375"/>
      <c r="D74" s="599" t="s">
        <v>198</v>
      </c>
      <c r="E74" s="597">
        <v>881315</v>
      </c>
      <c r="F74" s="597">
        <v>881364</v>
      </c>
      <c r="G74" s="549">
        <f t="shared" si="13"/>
        <v>49</v>
      </c>
      <c r="H74" s="536">
        <f t="shared" si="14"/>
        <v>49</v>
      </c>
      <c r="I74" s="556"/>
      <c r="J74" s="629">
        <f>H74/DAY(B2)</f>
        <v>49</v>
      </c>
      <c r="K74" s="470"/>
      <c r="L74" s="408"/>
      <c r="N74" s="413"/>
      <c r="O74" s="413"/>
    </row>
    <row r="75" spans="1:15" ht="27.75">
      <c r="A75" s="1364" t="s">
        <v>205</v>
      </c>
      <c r="B75" s="1365"/>
      <c r="C75" s="1366"/>
      <c r="D75" s="599" t="s">
        <v>198</v>
      </c>
      <c r="E75" s="596">
        <v>731641</v>
      </c>
      <c r="F75" s="597">
        <v>731830</v>
      </c>
      <c r="G75" s="549">
        <f t="shared" si="13"/>
        <v>189</v>
      </c>
      <c r="H75" s="536">
        <f t="shared" si="14"/>
        <v>189</v>
      </c>
      <c r="I75" s="556"/>
      <c r="J75" s="629">
        <f>H75/DAY(B2)</f>
        <v>189</v>
      </c>
      <c r="K75" s="469"/>
      <c r="L75" s="408"/>
      <c r="N75" s="413"/>
      <c r="O75" s="413"/>
    </row>
    <row r="76" spans="1:15" ht="27.75">
      <c r="A76" s="1364" t="s">
        <v>206</v>
      </c>
      <c r="B76" s="1365"/>
      <c r="C76" s="1366"/>
      <c r="D76" s="599" t="s">
        <v>198</v>
      </c>
      <c r="E76" s="596">
        <v>684266</v>
      </c>
      <c r="F76" s="596">
        <v>684364</v>
      </c>
      <c r="G76" s="549">
        <f t="shared" si="13"/>
        <v>98</v>
      </c>
      <c r="H76" s="536">
        <f t="shared" si="14"/>
        <v>98</v>
      </c>
      <c r="I76" s="581"/>
      <c r="J76" s="629">
        <f>H76/DAY(B2)</f>
        <v>98</v>
      </c>
      <c r="K76" s="469"/>
      <c r="L76" s="408"/>
      <c r="N76" s="413"/>
      <c r="O76" s="413"/>
    </row>
    <row r="77" spans="1:15" ht="27.75">
      <c r="A77" s="1367" t="s">
        <v>207</v>
      </c>
      <c r="B77" s="1368"/>
      <c r="C77" s="1369"/>
      <c r="D77" s="599" t="s">
        <v>198</v>
      </c>
      <c r="E77" s="597">
        <v>695394</v>
      </c>
      <c r="F77" s="597">
        <v>695455</v>
      </c>
      <c r="G77" s="549">
        <f t="shared" si="13"/>
        <v>61</v>
      </c>
      <c r="H77" s="536">
        <f t="shared" si="14"/>
        <v>61</v>
      </c>
      <c r="I77" s="581"/>
      <c r="J77" s="629">
        <f>H77/DAY(B2)</f>
        <v>61</v>
      </c>
      <c r="K77" s="469"/>
      <c r="L77" s="408"/>
      <c r="N77" s="413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v>630773</v>
      </c>
      <c r="F78" s="597">
        <v>631142</v>
      </c>
      <c r="G78" s="549">
        <f t="shared" si="13"/>
        <v>369</v>
      </c>
      <c r="H78" s="536">
        <f t="shared" si="14"/>
        <v>369</v>
      </c>
      <c r="I78" s="581"/>
      <c r="J78" s="629">
        <f>H78/DAY(B2)</f>
        <v>369</v>
      </c>
      <c r="K78" s="469"/>
      <c r="L78" s="408"/>
      <c r="N78" s="413"/>
      <c r="O78" s="413"/>
    </row>
    <row r="79" spans="1:15" ht="27.75">
      <c r="A79" s="1364" t="s">
        <v>97</v>
      </c>
      <c r="B79" s="1365"/>
      <c r="C79" s="1366"/>
      <c r="D79" s="600" t="s">
        <v>198</v>
      </c>
      <c r="E79" s="596">
        <v>803843</v>
      </c>
      <c r="F79" s="597">
        <v>804030</v>
      </c>
      <c r="G79" s="549">
        <f t="shared" si="13"/>
        <v>187</v>
      </c>
      <c r="H79" s="536">
        <f t="shared" si="14"/>
        <v>187</v>
      </c>
      <c r="I79" s="581"/>
      <c r="J79" s="629">
        <f>H79/DAY(B2)</f>
        <v>187</v>
      </c>
      <c r="K79" s="469"/>
      <c r="L79" s="408"/>
      <c r="N79" s="413"/>
      <c r="O79" s="413"/>
    </row>
    <row r="80" spans="1:15" ht="27.75">
      <c r="A80" s="1364" t="s">
        <v>209</v>
      </c>
      <c r="B80" s="1365"/>
      <c r="C80" s="1366"/>
      <c r="D80" s="600" t="s">
        <v>198</v>
      </c>
      <c r="E80" s="596">
        <v>475531</v>
      </c>
      <c r="F80" s="596">
        <v>475841</v>
      </c>
      <c r="G80" s="549">
        <f t="shared" si="13"/>
        <v>310</v>
      </c>
      <c r="H80" s="536">
        <f t="shared" si="14"/>
        <v>310</v>
      </c>
      <c r="I80" s="581"/>
      <c r="J80" s="629">
        <f>H80/DAY(B2)</f>
        <v>310</v>
      </c>
      <c r="K80" s="469"/>
      <c r="L80" s="408"/>
      <c r="N80" s="413"/>
      <c r="O80" s="413"/>
    </row>
    <row r="81" spans="1:15" ht="27.75">
      <c r="A81" s="1364" t="s">
        <v>210</v>
      </c>
      <c r="B81" s="1365"/>
      <c r="C81" s="1366"/>
      <c r="D81" s="600" t="s">
        <v>198</v>
      </c>
      <c r="E81" s="596">
        <v>619254</v>
      </c>
      <c r="F81" s="596">
        <v>619383</v>
      </c>
      <c r="G81" s="549">
        <f t="shared" si="13"/>
        <v>129</v>
      </c>
      <c r="H81" s="536">
        <f t="shared" si="14"/>
        <v>129</v>
      </c>
      <c r="I81" s="581"/>
      <c r="J81" s="629">
        <f>H81/DAY(B2)</f>
        <v>129</v>
      </c>
      <c r="K81" s="469"/>
      <c r="L81" s="408"/>
      <c r="N81" s="413"/>
      <c r="O81" s="413"/>
    </row>
    <row r="82" spans="1:15" ht="27.75">
      <c r="A82" s="1364" t="s">
        <v>100</v>
      </c>
      <c r="B82" s="1365"/>
      <c r="C82" s="1366"/>
      <c r="D82" s="561" t="s">
        <v>143</v>
      </c>
      <c r="E82" s="598">
        <v>104438</v>
      </c>
      <c r="F82" s="598">
        <v>104461</v>
      </c>
      <c r="G82" s="549">
        <f t="shared" si="13"/>
        <v>23</v>
      </c>
      <c r="H82" s="536">
        <f t="shared" si="14"/>
        <v>23</v>
      </c>
      <c r="I82" s="562"/>
      <c r="J82" s="629">
        <f>H82/DAY(B2)</f>
        <v>23</v>
      </c>
      <c r="K82" s="469"/>
      <c r="L82" s="408"/>
      <c r="N82" s="413"/>
      <c r="O82" s="413"/>
    </row>
    <row r="83" spans="1:15" ht="27.75">
      <c r="A83" s="1364" t="s">
        <v>211</v>
      </c>
      <c r="B83" s="1365"/>
      <c r="C83" s="1366"/>
      <c r="D83" s="697" t="s">
        <v>143</v>
      </c>
      <c r="E83" s="1277">
        <v>973471</v>
      </c>
      <c r="F83" s="587">
        <v>973804</v>
      </c>
      <c r="G83" s="549">
        <f t="shared" si="13"/>
        <v>333</v>
      </c>
      <c r="H83" s="536">
        <f t="shared" si="14"/>
        <v>333</v>
      </c>
      <c r="I83" s="557"/>
      <c r="J83" s="629">
        <f>H83/DAY(B2)</f>
        <v>333</v>
      </c>
      <c r="K83" s="468"/>
      <c r="L83" s="408"/>
      <c r="N83" s="413"/>
      <c r="O83" s="821"/>
    </row>
    <row r="84" spans="1:15">
      <c r="A84" s="1256" t="s">
        <v>212</v>
      </c>
      <c r="B84" s="648"/>
      <c r="C84" s="648"/>
      <c r="D84" s="554" t="s">
        <v>143</v>
      </c>
      <c r="E84" s="599">
        <v>397196</v>
      </c>
      <c r="F84" s="704">
        <v>397642</v>
      </c>
      <c r="G84" s="549">
        <f t="shared" ref="G84" si="15">F84-E84</f>
        <v>446</v>
      </c>
      <c r="H84" s="536">
        <f t="shared" ref="H84:H85" si="16">G84</f>
        <v>446</v>
      </c>
      <c r="I84" s="557"/>
      <c r="J84" s="629">
        <f>H84/DAY(B2)</f>
        <v>446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2292</v>
      </c>
      <c r="H85" s="536">
        <f t="shared" si="16"/>
        <v>2292</v>
      </c>
      <c r="I85" s="557"/>
      <c r="J85" s="629">
        <f>H85/DAY(B2)</f>
        <v>2292</v>
      </c>
      <c r="K85" s="411"/>
      <c r="L85" s="409"/>
      <c r="N85" s="880"/>
      <c r="O85" s="821"/>
    </row>
    <row r="86" spans="1:15" s="835" customFormat="1">
      <c r="A86" s="830" t="s">
        <v>102</v>
      </c>
      <c r="B86" s="831"/>
      <c r="C86" s="831"/>
      <c r="D86" s="832" t="s">
        <v>194</v>
      </c>
      <c r="E86" s="728">
        <v>444309</v>
      </c>
      <c r="F86" s="728">
        <v>444332</v>
      </c>
      <c r="G86" s="805">
        <f t="shared" ref="G86" si="17">F86-E86</f>
        <v>23</v>
      </c>
      <c r="H86" s="805">
        <f t="shared" ref="H86" si="18">G86</f>
        <v>23</v>
      </c>
      <c r="I86" s="733"/>
      <c r="J86" s="807">
        <f>H86/DAY(B2)</f>
        <v>23</v>
      </c>
      <c r="K86" s="833"/>
      <c r="L86" s="834"/>
      <c r="N86" s="881"/>
      <c r="O86" s="413"/>
    </row>
    <row r="87" spans="1:15" s="835" customFormat="1">
      <c r="A87" s="830" t="s">
        <v>103</v>
      </c>
      <c r="B87" s="831"/>
      <c r="C87" s="831"/>
      <c r="D87" s="832" t="s">
        <v>194</v>
      </c>
      <c r="E87" s="728">
        <v>77743</v>
      </c>
      <c r="F87" s="728">
        <v>77763</v>
      </c>
      <c r="G87" s="805">
        <f t="shared" ref="G87:G90" si="19">F87-E87</f>
        <v>20</v>
      </c>
      <c r="H87" s="805">
        <f t="shared" ref="H87:H88" si="20">G87</f>
        <v>20</v>
      </c>
      <c r="I87" s="733"/>
      <c r="J87" s="807">
        <f>H87/DAY(B2)</f>
        <v>20</v>
      </c>
      <c r="K87" s="833"/>
      <c r="L87" s="834"/>
      <c r="N87" s="881"/>
      <c r="O87" s="413"/>
    </row>
    <row r="88" spans="1:15" s="835" customFormat="1">
      <c r="A88" s="830" t="s">
        <v>104</v>
      </c>
      <c r="B88" s="831"/>
      <c r="C88" s="831"/>
      <c r="D88" s="832" t="s">
        <v>194</v>
      </c>
      <c r="E88" s="728">
        <v>144547</v>
      </c>
      <c r="F88" s="728">
        <v>144584</v>
      </c>
      <c r="G88" s="805">
        <f t="shared" si="19"/>
        <v>37</v>
      </c>
      <c r="H88" s="805">
        <f t="shared" si="20"/>
        <v>37</v>
      </c>
      <c r="I88" s="733"/>
      <c r="J88" s="807">
        <f>H88/DAY(B2)</f>
        <v>37</v>
      </c>
      <c r="K88" s="833"/>
      <c r="L88" s="834"/>
      <c r="N88" s="881"/>
      <c r="O88" s="413"/>
    </row>
    <row r="89" spans="1:15" s="835" customFormat="1">
      <c r="A89" s="830" t="s">
        <v>214</v>
      </c>
      <c r="B89" s="831"/>
      <c r="C89" s="831"/>
      <c r="D89" s="832" t="s">
        <v>194</v>
      </c>
      <c r="E89" s="728">
        <v>57689.1</v>
      </c>
      <c r="F89" s="728">
        <v>57743</v>
      </c>
      <c r="G89" s="805">
        <f t="shared" si="19"/>
        <v>53.900000000001455</v>
      </c>
      <c r="H89" s="805">
        <f>G89</f>
        <v>53.900000000001455</v>
      </c>
      <c r="I89" s="733"/>
      <c r="J89" s="807">
        <f>H89/DAY(B2)</f>
        <v>53.900000000001455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28">
        <v>2982.6</v>
      </c>
      <c r="F90" s="728">
        <v>2983</v>
      </c>
      <c r="G90" s="805">
        <f t="shared" si="19"/>
        <v>0.40000000000009095</v>
      </c>
      <c r="H90" s="805">
        <f>G90</f>
        <v>0.40000000000009095</v>
      </c>
      <c r="I90" s="733"/>
      <c r="J90" s="807">
        <f>H90/DAY(B2)</f>
        <v>0.40000000000009095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80"/>
      <c r="O91" s="413"/>
    </row>
    <row r="92" spans="1:15" ht="27.75">
      <c r="A92" s="1388" t="s">
        <v>217</v>
      </c>
      <c r="B92" s="1389"/>
      <c r="C92" s="1390"/>
      <c r="D92" s="599" t="s">
        <v>155</v>
      </c>
      <c r="E92" s="560">
        <v>233902</v>
      </c>
      <c r="F92" s="560">
        <v>234035</v>
      </c>
      <c r="G92" s="549">
        <f t="shared" ref="G92" si="21">F92-E92</f>
        <v>133</v>
      </c>
      <c r="H92" s="536">
        <f t="shared" ref="H92" si="22">G92</f>
        <v>133</v>
      </c>
      <c r="I92" s="556"/>
      <c r="J92" s="629">
        <f>H92/DAY(B2)</f>
        <v>133</v>
      </c>
      <c r="K92" s="468"/>
      <c r="L92" s="408"/>
      <c r="N92" s="413"/>
      <c r="O92" s="413"/>
    </row>
    <row r="93" spans="1:15" ht="27.75">
      <c r="A93" s="1388" t="s">
        <v>218</v>
      </c>
      <c r="B93" s="1389"/>
      <c r="C93" s="1390"/>
      <c r="D93" s="599" t="s">
        <v>155</v>
      </c>
      <c r="E93" s="618">
        <v>166916</v>
      </c>
      <c r="F93" s="560">
        <v>167057</v>
      </c>
      <c r="G93" s="549">
        <f t="shared" ref="G93" si="23">F93-E93</f>
        <v>141</v>
      </c>
      <c r="H93" s="536">
        <f>G93</f>
        <v>141</v>
      </c>
      <c r="I93" s="556"/>
      <c r="J93" s="629">
        <f>H93/DAY(B2)</f>
        <v>141</v>
      </c>
      <c r="K93" s="411"/>
      <c r="L93" s="408"/>
      <c r="N93" s="413"/>
      <c r="O93" s="413"/>
    </row>
    <row r="94" spans="1:15">
      <c r="A94" s="1419" t="s">
        <v>219</v>
      </c>
      <c r="B94" s="1420"/>
      <c r="C94" s="1421"/>
      <c r="D94" s="599"/>
      <c r="E94" s="560"/>
      <c r="F94" s="560"/>
      <c r="G94" s="549">
        <f>G92+G93</f>
        <v>274</v>
      </c>
      <c r="H94" s="536"/>
      <c r="I94" s="556"/>
      <c r="J94" s="629"/>
      <c r="K94" s="411"/>
      <c r="L94" s="408"/>
      <c r="N94" s="413"/>
      <c r="O94" s="413"/>
    </row>
    <row r="95" spans="1:15" ht="27.75">
      <c r="A95" s="1388" t="s">
        <v>220</v>
      </c>
      <c r="B95" s="1389"/>
      <c r="C95" s="1390"/>
      <c r="D95" s="599" t="s">
        <v>155</v>
      </c>
      <c r="E95" s="560">
        <v>403665</v>
      </c>
      <c r="F95" s="560">
        <v>403725</v>
      </c>
      <c r="G95" s="549">
        <f t="shared" ref="G95:G100" si="24">F95-E95</f>
        <v>60</v>
      </c>
      <c r="H95" s="536">
        <f t="shared" ref="H95:H101" si="25">G95</f>
        <v>60</v>
      </c>
      <c r="I95" s="556"/>
      <c r="J95" s="629">
        <f>H95/DAY(B2)</f>
        <v>60</v>
      </c>
      <c r="K95" s="411"/>
      <c r="L95" s="408"/>
      <c r="N95" s="413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v>99921</v>
      </c>
      <c r="F96" s="560">
        <v>99954</v>
      </c>
      <c r="G96" s="549">
        <f t="shared" si="24"/>
        <v>33</v>
      </c>
      <c r="H96" s="536">
        <f t="shared" si="25"/>
        <v>33</v>
      </c>
      <c r="I96" s="556"/>
      <c r="J96" s="629">
        <f>H96/DAY(B2)</f>
        <v>33</v>
      </c>
      <c r="K96" s="466"/>
      <c r="L96" s="408"/>
      <c r="N96" s="413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v>95027</v>
      </c>
      <c r="F97" s="560">
        <v>95064</v>
      </c>
      <c r="G97" s="549">
        <f t="shared" si="24"/>
        <v>37</v>
      </c>
      <c r="H97" s="536">
        <f t="shared" si="25"/>
        <v>37</v>
      </c>
      <c r="I97" s="556"/>
      <c r="J97" s="629">
        <f>H97/DAY(B2)</f>
        <v>37</v>
      </c>
      <c r="K97" s="471"/>
      <c r="L97" s="408"/>
      <c r="N97" s="413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v>143807</v>
      </c>
      <c r="F98" s="560">
        <v>143857</v>
      </c>
      <c r="G98" s="549">
        <f t="shared" si="24"/>
        <v>50</v>
      </c>
      <c r="H98" s="536">
        <f t="shared" si="25"/>
        <v>50</v>
      </c>
      <c r="I98" s="556"/>
      <c r="J98" s="629">
        <f>H98/DAY(B2)</f>
        <v>50</v>
      </c>
      <c r="K98" s="411"/>
      <c r="L98" s="408"/>
      <c r="N98" s="413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v>5502</v>
      </c>
      <c r="F99" s="560">
        <v>5532</v>
      </c>
      <c r="G99" s="549">
        <f t="shared" si="24"/>
        <v>30</v>
      </c>
      <c r="H99" s="536">
        <f t="shared" si="25"/>
        <v>30</v>
      </c>
      <c r="I99" s="556"/>
      <c r="J99" s="629">
        <f>H99/DAY(B2)</f>
        <v>30</v>
      </c>
      <c r="K99" s="411"/>
      <c r="L99" s="408"/>
      <c r="N99" s="413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v>3964</v>
      </c>
      <c r="F100" s="560">
        <v>3981</v>
      </c>
      <c r="G100" s="549">
        <f t="shared" si="24"/>
        <v>17</v>
      </c>
      <c r="H100" s="536">
        <f t="shared" si="25"/>
        <v>17</v>
      </c>
      <c r="I100" s="556" t="s">
        <v>226</v>
      </c>
      <c r="J100" s="629">
        <f>H100/DAY(B2)</f>
        <v>17</v>
      </c>
      <c r="K100" s="411"/>
      <c r="L100" s="408"/>
      <c r="N100" s="413"/>
      <c r="O100" s="413"/>
    </row>
    <row r="101" spans="1:15">
      <c r="A101" s="1419" t="s">
        <v>227</v>
      </c>
      <c r="B101" s="1420"/>
      <c r="C101" s="1421"/>
      <c r="D101" s="600"/>
      <c r="E101" s="600"/>
      <c r="F101" s="600"/>
      <c r="G101" s="601">
        <f>SUM(G95:G100)</f>
        <v>227</v>
      </c>
      <c r="H101" s="536">
        <f t="shared" si="25"/>
        <v>227</v>
      </c>
      <c r="I101" s="602"/>
      <c r="J101" s="629">
        <f>H101/DAY(B2)</f>
        <v>227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22" t="s">
        <v>229</v>
      </c>
      <c r="B103" s="1423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80" t="s">
        <v>230</v>
      </c>
      <c r="B104" s="1381"/>
      <c r="C104" s="1250"/>
      <c r="D104" s="699" t="s">
        <v>155</v>
      </c>
      <c r="E104" s="608">
        <v>7010</v>
      </c>
      <c r="F104" s="608">
        <v>7010</v>
      </c>
      <c r="G104" s="608">
        <f>F104-E104</f>
        <v>0</v>
      </c>
      <c r="H104" s="609">
        <f>G104</f>
        <v>0</v>
      </c>
      <c r="I104" s="608"/>
      <c r="J104" s="635">
        <f>H104/DAY(B2)</f>
        <v>0</v>
      </c>
      <c r="N104" s="493"/>
      <c r="O104" s="413"/>
    </row>
    <row r="105" spans="1:15" s="481" customFormat="1" ht="27.75">
      <c r="A105" s="1380" t="s">
        <v>77</v>
      </c>
      <c r="B105" s="1381"/>
      <c r="C105" s="1250"/>
      <c r="D105" s="699" t="s">
        <v>155</v>
      </c>
      <c r="E105" s="610">
        <v>34925</v>
      </c>
      <c r="F105" s="610">
        <v>34926</v>
      </c>
      <c r="G105" s="608">
        <f t="shared" ref="G105:G106" si="26">F105-E105</f>
        <v>1</v>
      </c>
      <c r="H105" s="609">
        <f t="shared" ref="H105:H120" si="27">G105</f>
        <v>1</v>
      </c>
      <c r="I105" s="608"/>
      <c r="J105" s="635">
        <f>H105/DAY(B2)</f>
        <v>1</v>
      </c>
      <c r="N105" s="493"/>
      <c r="O105" s="413"/>
    </row>
    <row r="106" spans="1:15" s="481" customFormat="1" ht="27.75">
      <c r="A106" s="1380" t="s">
        <v>78</v>
      </c>
      <c r="B106" s="1424"/>
      <c r="C106" s="1381"/>
      <c r="D106" s="699" t="s">
        <v>155</v>
      </c>
      <c r="E106" s="608">
        <v>18889</v>
      </c>
      <c r="F106" s="608">
        <v>18893</v>
      </c>
      <c r="G106" s="608">
        <f t="shared" si="26"/>
        <v>4</v>
      </c>
      <c r="H106" s="609">
        <f t="shared" si="27"/>
        <v>4</v>
      </c>
      <c r="I106" s="608"/>
      <c r="J106" s="635">
        <f>H106/DAY(B2)</f>
        <v>4</v>
      </c>
      <c r="N106" s="493"/>
      <c r="O106" s="413"/>
    </row>
    <row r="107" spans="1:15" s="481" customFormat="1" ht="27.75">
      <c r="A107" s="1382" t="s">
        <v>213</v>
      </c>
      <c r="B107" s="1383"/>
      <c r="C107" s="1250"/>
      <c r="D107" s="699"/>
      <c r="E107" s="608"/>
      <c r="F107" s="608"/>
      <c r="G107" s="608">
        <f>SUM(G104:G106)</f>
        <v>5</v>
      </c>
      <c r="H107" s="609">
        <f t="shared" si="27"/>
        <v>5</v>
      </c>
      <c r="I107" s="608"/>
      <c r="J107" s="635">
        <f>H107/DAY(B2)</f>
        <v>5</v>
      </c>
      <c r="N107" s="493"/>
      <c r="O107" s="413"/>
    </row>
    <row r="108" spans="1:15" s="481" customFormat="1" ht="27.75">
      <c r="A108" s="1386" t="s">
        <v>79</v>
      </c>
      <c r="B108" s="1387"/>
      <c r="C108" s="1250"/>
      <c r="D108" s="699" t="s">
        <v>155</v>
      </c>
      <c r="E108" s="608"/>
      <c r="F108" s="608"/>
      <c r="G108" s="608"/>
      <c r="H108" s="609">
        <f t="shared" si="27"/>
        <v>0</v>
      </c>
      <c r="I108" s="608"/>
      <c r="J108" s="635"/>
      <c r="N108" s="493"/>
      <c r="O108" s="413"/>
    </row>
    <row r="109" spans="1:15" s="481" customFormat="1" ht="27.75">
      <c r="A109" s="1380" t="s">
        <v>231</v>
      </c>
      <c r="B109" s="1381"/>
      <c r="C109" s="1250"/>
      <c r="D109" s="699" t="s">
        <v>155</v>
      </c>
      <c r="E109" s="608">
        <v>53015</v>
      </c>
      <c r="F109" s="608">
        <v>53076</v>
      </c>
      <c r="G109" s="608">
        <f>F109-E109</f>
        <v>61</v>
      </c>
      <c r="H109" s="609">
        <f t="shared" si="27"/>
        <v>61</v>
      </c>
      <c r="I109" s="608"/>
      <c r="J109" s="635">
        <f>H109/DAY(B2)</f>
        <v>61</v>
      </c>
      <c r="N109" s="493"/>
      <c r="O109" s="413"/>
    </row>
    <row r="110" spans="1:15" s="481" customFormat="1" ht="27.75">
      <c r="A110" s="1380" t="s">
        <v>232</v>
      </c>
      <c r="B110" s="1381"/>
      <c r="C110" s="1250"/>
      <c r="D110" s="699" t="s">
        <v>155</v>
      </c>
      <c r="E110" s="610">
        <v>26903</v>
      </c>
      <c r="F110" s="608">
        <v>26947</v>
      </c>
      <c r="G110" s="608">
        <f>F110-E110</f>
        <v>44</v>
      </c>
      <c r="H110" s="609">
        <f t="shared" si="27"/>
        <v>44</v>
      </c>
      <c r="I110" s="608"/>
      <c r="J110" s="635">
        <f>H110/DAY(B2)</f>
        <v>44</v>
      </c>
      <c r="N110" s="493"/>
      <c r="O110" s="413"/>
    </row>
    <row r="111" spans="1:15" s="481" customFormat="1" ht="27.75">
      <c r="A111" s="1380" t="s">
        <v>233</v>
      </c>
      <c r="B111" s="1381"/>
      <c r="C111" s="1250"/>
      <c r="D111" s="699" t="s">
        <v>155</v>
      </c>
      <c r="E111" s="610">
        <v>3567</v>
      </c>
      <c r="F111" s="608">
        <v>3567</v>
      </c>
      <c r="G111" s="608">
        <f>F111-E111</f>
        <v>0</v>
      </c>
      <c r="H111" s="609">
        <f t="shared" si="27"/>
        <v>0</v>
      </c>
      <c r="I111" s="608"/>
      <c r="J111" s="635">
        <f>H111/DAY(B2)</f>
        <v>0</v>
      </c>
      <c r="N111" s="493"/>
      <c r="O111" s="413"/>
    </row>
    <row r="112" spans="1:15" s="481" customFormat="1" ht="27.75">
      <c r="A112" s="1384" t="s">
        <v>121</v>
      </c>
      <c r="B112" s="1385"/>
      <c r="C112" s="1250"/>
      <c r="D112" s="699"/>
      <c r="E112" s="608"/>
      <c r="F112" s="608"/>
      <c r="G112" s="608">
        <f>SUM(G109:G111)</f>
        <v>105</v>
      </c>
      <c r="H112" s="609">
        <f t="shared" si="27"/>
        <v>105</v>
      </c>
      <c r="I112" s="608"/>
      <c r="J112" s="635">
        <f>H112/DAY(B2)</f>
        <v>105</v>
      </c>
      <c r="N112" s="493"/>
      <c r="O112" s="413"/>
    </row>
    <row r="113" spans="1:15" s="481" customFormat="1" ht="27.75">
      <c r="A113" s="1386" t="s">
        <v>234</v>
      </c>
      <c r="B113" s="1387"/>
      <c r="C113" s="1250"/>
      <c r="D113" s="699"/>
      <c r="E113" s="608"/>
      <c r="F113" s="608"/>
      <c r="G113" s="608"/>
      <c r="H113" s="609">
        <f t="shared" si="27"/>
        <v>0</v>
      </c>
      <c r="I113" s="608"/>
      <c r="J113" s="635">
        <f>H113/DAY(B2)</f>
        <v>0</v>
      </c>
      <c r="N113" s="493"/>
      <c r="O113" s="413"/>
    </row>
    <row r="114" spans="1:15" s="481" customFormat="1" ht="27.75">
      <c r="A114" s="1380" t="s">
        <v>235</v>
      </c>
      <c r="B114" s="1381"/>
      <c r="C114" s="651"/>
      <c r="D114" s="699" t="s">
        <v>155</v>
      </c>
      <c r="E114" s="610">
        <v>9240</v>
      </c>
      <c r="F114" s="610">
        <v>9273</v>
      </c>
      <c r="G114" s="610">
        <f>F114-E114</f>
        <v>33</v>
      </c>
      <c r="H114" s="609">
        <f t="shared" si="27"/>
        <v>33</v>
      </c>
      <c r="I114" s="608"/>
      <c r="J114" s="635">
        <f>H114/DAY(B2)</f>
        <v>33</v>
      </c>
      <c r="N114" s="493"/>
      <c r="O114" s="413"/>
    </row>
    <row r="115" spans="1:15" s="481" customFormat="1" ht="27.75">
      <c r="A115" s="1380" t="s">
        <v>236</v>
      </c>
      <c r="B115" s="1381"/>
      <c r="C115" s="651"/>
      <c r="D115" s="699" t="s">
        <v>155</v>
      </c>
      <c r="E115" s="610">
        <v>7189</v>
      </c>
      <c r="F115" s="610">
        <v>7204</v>
      </c>
      <c r="G115" s="610">
        <f t="shared" ref="G115:G116" si="28">F115-E115</f>
        <v>15</v>
      </c>
      <c r="H115" s="609">
        <f t="shared" si="27"/>
        <v>15</v>
      </c>
      <c r="I115" s="608"/>
      <c r="J115" s="635">
        <f>H115/DAY(B2)</f>
        <v>15</v>
      </c>
      <c r="N115" s="493"/>
      <c r="O115" s="413"/>
    </row>
    <row r="116" spans="1:15" s="481" customFormat="1" ht="27.75">
      <c r="A116" s="1380" t="s">
        <v>237</v>
      </c>
      <c r="B116" s="1381"/>
      <c r="C116" s="651"/>
      <c r="D116" s="699" t="s">
        <v>155</v>
      </c>
      <c r="E116" s="610"/>
      <c r="F116" s="610"/>
      <c r="G116" s="610">
        <f t="shared" si="28"/>
        <v>0</v>
      </c>
      <c r="H116" s="609">
        <f t="shared" si="27"/>
        <v>0</v>
      </c>
      <c r="I116" s="608"/>
      <c r="J116" s="635">
        <f>H116/DAY(B2)</f>
        <v>0</v>
      </c>
      <c r="N116" s="493"/>
      <c r="O116" s="413"/>
    </row>
    <row r="117" spans="1:15" s="494" customFormat="1" ht="27.75">
      <c r="A117" s="1382" t="s">
        <v>213</v>
      </c>
      <c r="B117" s="1383"/>
      <c r="C117" s="651"/>
      <c r="D117" s="700"/>
      <c r="E117" s="610"/>
      <c r="F117" s="610"/>
      <c r="G117" s="610">
        <f>SUM(G114:G116)</f>
        <v>48</v>
      </c>
      <c r="H117" s="609">
        <f t="shared" si="27"/>
        <v>48</v>
      </c>
      <c r="I117" s="610"/>
      <c r="J117" s="635">
        <f>H117/DAY(B2)</f>
        <v>48</v>
      </c>
      <c r="N117" s="522"/>
      <c r="O117" s="413"/>
    </row>
    <row r="118" spans="1:15" s="495" customFormat="1" ht="27.75">
      <c r="A118" s="1376" t="s">
        <v>238</v>
      </c>
      <c r="B118" s="1377"/>
      <c r="C118" s="1249"/>
      <c r="D118" s="701" t="s">
        <v>155</v>
      </c>
      <c r="E118" s="612">
        <f>SUM(F19+F92)</f>
        <v>365575</v>
      </c>
      <c r="F118" s="612">
        <f>SUM(G19+G92)</f>
        <v>180</v>
      </c>
      <c r="G118" s="612">
        <f>SUM(G19+G92)</f>
        <v>180</v>
      </c>
      <c r="H118" s="609">
        <f t="shared" si="27"/>
        <v>180</v>
      </c>
      <c r="I118" s="611"/>
      <c r="J118" s="636">
        <f>H118/DAY(B2)</f>
        <v>180</v>
      </c>
      <c r="N118" s="882"/>
      <c r="O118" s="413"/>
    </row>
    <row r="119" spans="1:15" s="495" customFormat="1" ht="27.75">
      <c r="A119" s="1376" t="s">
        <v>239</v>
      </c>
      <c r="B119" s="1377"/>
      <c r="C119" s="1249"/>
      <c r="D119" s="701" t="s">
        <v>155</v>
      </c>
      <c r="E119" s="612">
        <f>SUM(F95,F96,F97,F99,F100)</f>
        <v>608256</v>
      </c>
      <c r="F119" s="612">
        <f>SUM(G95,G96,G97,G99,G100)</f>
        <v>177</v>
      </c>
      <c r="G119" s="612">
        <f>SUM(G95,G96,G97,G99,G100)</f>
        <v>177</v>
      </c>
      <c r="H119" s="609">
        <f t="shared" si="27"/>
        <v>177</v>
      </c>
      <c r="I119" s="611"/>
      <c r="J119" s="636">
        <f>H119/DAY(B2)</f>
        <v>177</v>
      </c>
      <c r="N119" s="882"/>
      <c r="O119" s="413"/>
    </row>
    <row r="120" spans="1:15" s="495" customFormat="1" ht="27.75">
      <c r="A120" s="1376" t="s">
        <v>240</v>
      </c>
      <c r="B120" s="1377"/>
      <c r="C120" s="1249"/>
      <c r="D120" s="701" t="s">
        <v>155</v>
      </c>
      <c r="E120" s="610">
        <f>SUM(F112)</f>
        <v>0</v>
      </c>
      <c r="F120" s="610">
        <f>SUM(G112)</f>
        <v>105</v>
      </c>
      <c r="G120" s="610">
        <f>SUM(G112)</f>
        <v>105</v>
      </c>
      <c r="H120" s="609">
        <f t="shared" si="27"/>
        <v>105</v>
      </c>
      <c r="I120" s="611"/>
      <c r="J120" s="636">
        <f>H120/DAY(B2)</f>
        <v>105</v>
      </c>
      <c r="N120" s="882"/>
      <c r="O120" s="413"/>
    </row>
    <row r="121" spans="1:15" s="481" customFormat="1" ht="27.75">
      <c r="A121" s="1378"/>
      <c r="B121" s="1379"/>
      <c r="C121" s="1250"/>
      <c r="D121" s="637"/>
      <c r="E121" s="637" t="s">
        <v>226</v>
      </c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416" t="s">
        <v>241</v>
      </c>
      <c r="B122" s="1417"/>
      <c r="C122" s="1418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v>795424.05</v>
      </c>
      <c r="F123" s="554">
        <v>795718</v>
      </c>
      <c r="G123" s="549">
        <f>F123-E123</f>
        <v>293.94999999995343</v>
      </c>
      <c r="H123" s="536">
        <f>G123</f>
        <v>293.94999999995343</v>
      </c>
      <c r="I123" s="602"/>
      <c r="J123" s="629">
        <f>H123/DAY(B2)</f>
        <v>293.94999999995343</v>
      </c>
      <c r="K123" s="411"/>
      <c r="L123" s="408"/>
      <c r="N123" s="413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554">
        <v>73582.2</v>
      </c>
      <c r="F124" s="703">
        <v>73582</v>
      </c>
      <c r="G124" s="549">
        <f t="shared" ref="G124:G127" si="29">F124-E124</f>
        <v>-0.19999999999708962</v>
      </c>
      <c r="H124" s="536">
        <f t="shared" ref="H124:H128" si="30">G124</f>
        <v>-0.19999999999708962</v>
      </c>
      <c r="I124" s="602"/>
      <c r="J124" s="629">
        <f>H124/DAY(B2)</f>
        <v>-0.19999999999708962</v>
      </c>
      <c r="K124" s="411"/>
      <c r="L124" s="408"/>
      <c r="N124" s="413"/>
      <c r="O124" s="413"/>
    </row>
    <row r="125" spans="1:15" ht="27.75">
      <c r="A125" s="1367" t="s">
        <v>244</v>
      </c>
      <c r="B125" s="1368"/>
      <c r="C125" s="1369"/>
      <c r="D125" s="599" t="s">
        <v>152</v>
      </c>
      <c r="E125" s="732">
        <v>135590.67000000001</v>
      </c>
      <c r="F125" s="554">
        <v>135664</v>
      </c>
      <c r="G125" s="549">
        <f t="shared" si="29"/>
        <v>73.329999999987194</v>
      </c>
      <c r="H125" s="536">
        <f t="shared" si="30"/>
        <v>73.329999999987194</v>
      </c>
      <c r="I125" s="602"/>
      <c r="J125" s="629">
        <f>H125/DAY(B2)</f>
        <v>73.329999999987194</v>
      </c>
      <c r="K125" s="411"/>
      <c r="L125" s="408"/>
      <c r="N125" s="413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554">
        <v>57381</v>
      </c>
      <c r="F126" s="703">
        <v>57416</v>
      </c>
      <c r="G126" s="549">
        <f t="shared" si="29"/>
        <v>35</v>
      </c>
      <c r="H126" s="536">
        <f t="shared" si="30"/>
        <v>35</v>
      </c>
      <c r="I126" s="602"/>
      <c r="J126" s="629">
        <f>H126/DAY(B2)</f>
        <v>35</v>
      </c>
      <c r="K126" s="411"/>
      <c r="L126" s="408"/>
      <c r="N126" s="413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554">
        <v>8706</v>
      </c>
      <c r="F127" s="703">
        <v>8708</v>
      </c>
      <c r="G127" s="549">
        <f t="shared" si="29"/>
        <v>2</v>
      </c>
      <c r="H127" s="536">
        <f t="shared" si="30"/>
        <v>2</v>
      </c>
      <c r="I127" s="556"/>
      <c r="J127" s="629">
        <f>H127/DAY(B2)</f>
        <v>2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289.81999999996333</v>
      </c>
      <c r="H128" s="536">
        <f t="shared" si="30"/>
        <v>289.81999999996333</v>
      </c>
      <c r="I128" s="556"/>
      <c r="J128" s="629">
        <f>H128/DAY(B2)</f>
        <v>289.81999999996333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v>0</v>
      </c>
      <c r="F130" s="560">
        <v>0</v>
      </c>
      <c r="G130" s="549">
        <f t="shared" ref="G130:G140" si="31">F130-E130</f>
        <v>0</v>
      </c>
      <c r="H130" s="536">
        <f>G130</f>
        <v>0</v>
      </c>
      <c r="I130" s="556"/>
      <c r="J130" s="629">
        <f>H130/DAY(B2)</f>
        <v>0</v>
      </c>
      <c r="N130" s="413"/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v>0</v>
      </c>
      <c r="F131" s="560">
        <v>0</v>
      </c>
      <c r="G131" s="549">
        <f t="shared" si="31"/>
        <v>0</v>
      </c>
      <c r="H131" s="536">
        <f t="shared" ref="H131:H140" si="32">G131</f>
        <v>0</v>
      </c>
      <c r="I131" s="556"/>
      <c r="J131" s="629">
        <f>H131/DAY(B2)</f>
        <v>0</v>
      </c>
      <c r="N131" s="413"/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v>38901</v>
      </c>
      <c r="F132" s="618">
        <v>38901</v>
      </c>
      <c r="G132" s="549">
        <f t="shared" si="31"/>
        <v>0</v>
      </c>
      <c r="H132" s="536">
        <f t="shared" si="32"/>
        <v>0</v>
      </c>
      <c r="I132" s="556"/>
      <c r="J132" s="629">
        <f>H132/DAY(B2)</f>
        <v>0</v>
      </c>
      <c r="N132" s="413"/>
      <c r="O132" s="413"/>
    </row>
    <row r="133" spans="1:15" s="876" customFormat="1" ht="27.75">
      <c r="A133" s="877" t="s">
        <v>253</v>
      </c>
      <c r="B133" s="878"/>
      <c r="C133" s="878"/>
      <c r="D133" s="809" t="s">
        <v>250</v>
      </c>
      <c r="E133" s="618">
        <v>299</v>
      </c>
      <c r="F133" s="618">
        <v>299</v>
      </c>
      <c r="G133" s="874">
        <f t="shared" si="31"/>
        <v>0</v>
      </c>
      <c r="H133" s="555">
        <f t="shared" si="32"/>
        <v>0</v>
      </c>
      <c r="I133" s="879"/>
      <c r="J133" s="875">
        <f>H133/DAY(B2)</f>
        <v>0</v>
      </c>
      <c r="N133" s="821"/>
      <c r="O133" s="413"/>
    </row>
    <row r="134" spans="1:15" ht="27.75">
      <c r="A134" s="1252" t="s">
        <v>254</v>
      </c>
      <c r="B134" s="1253"/>
      <c r="C134" s="1253"/>
      <c r="D134" s="599" t="s">
        <v>250</v>
      </c>
      <c r="E134" s="618">
        <v>39735</v>
      </c>
      <c r="F134" s="618">
        <v>39735</v>
      </c>
      <c r="G134" s="549">
        <f t="shared" si="31"/>
        <v>0</v>
      </c>
      <c r="H134" s="536">
        <f t="shared" si="32"/>
        <v>0</v>
      </c>
      <c r="I134" s="556"/>
      <c r="J134" s="629">
        <f>H134/DAY(B2)</f>
        <v>0</v>
      </c>
      <c r="N134" s="413"/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618">
        <v>32167.39</v>
      </c>
      <c r="F135" s="618">
        <v>32191</v>
      </c>
      <c r="G135" s="549">
        <f t="shared" si="31"/>
        <v>23.610000000000582</v>
      </c>
      <c r="H135" s="536">
        <f t="shared" si="32"/>
        <v>23.610000000000582</v>
      </c>
      <c r="I135" s="556">
        <f>G132+G133+G134+G135</f>
        <v>23.610000000000582</v>
      </c>
      <c r="J135" s="629">
        <f>H135/DAY(B2)</f>
        <v>23.610000000000582</v>
      </c>
      <c r="N135" s="413"/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v>21801.7</v>
      </c>
      <c r="F136" s="618">
        <v>21803.85</v>
      </c>
      <c r="G136" s="549">
        <f t="shared" si="31"/>
        <v>2.1499999999978172</v>
      </c>
      <c r="H136" s="536">
        <f t="shared" si="32"/>
        <v>2.1499999999978172</v>
      </c>
      <c r="I136" s="556"/>
      <c r="J136" s="629">
        <f>H136/DAY(B2)</f>
        <v>2.1499999999978172</v>
      </c>
      <c r="N136" s="413"/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v>24990.61</v>
      </c>
      <c r="F137" s="618">
        <v>24990.61</v>
      </c>
      <c r="G137" s="549">
        <f t="shared" si="31"/>
        <v>0</v>
      </c>
      <c r="H137" s="536">
        <f t="shared" si="32"/>
        <v>0</v>
      </c>
      <c r="I137" s="556"/>
      <c r="J137" s="629">
        <f>H137/DAY(B2)</f>
        <v>0</v>
      </c>
      <c r="N137" s="413"/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v>70006.37</v>
      </c>
      <c r="F138" s="618">
        <v>70011.73</v>
      </c>
      <c r="G138" s="549">
        <f t="shared" si="31"/>
        <v>5.3600000000005821</v>
      </c>
      <c r="H138" s="536">
        <f t="shared" si="32"/>
        <v>5.3600000000005821</v>
      </c>
      <c r="I138" s="556">
        <f>G136+G137+G138</f>
        <v>7.5099999999983993</v>
      </c>
      <c r="J138" s="629">
        <f>H138/DAY(B2)</f>
        <v>5.3600000000005821</v>
      </c>
      <c r="N138" s="413"/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60">
        <v>1063</v>
      </c>
      <c r="F139" s="560">
        <v>1063</v>
      </c>
      <c r="G139" s="549">
        <f t="shared" si="31"/>
        <v>0</v>
      </c>
      <c r="H139" s="536">
        <f t="shared" si="32"/>
        <v>0</v>
      </c>
      <c r="I139" s="619"/>
      <c r="J139" s="629">
        <f>H139/DAY(B2)</f>
        <v>0</v>
      </c>
      <c r="N139" s="413"/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782">
        <v>4232.41</v>
      </c>
      <c r="F140" s="560">
        <v>4242.16</v>
      </c>
      <c r="G140" s="549">
        <f t="shared" si="31"/>
        <v>9.75</v>
      </c>
      <c r="H140" s="536">
        <f t="shared" si="32"/>
        <v>9.75</v>
      </c>
      <c r="I140" s="619">
        <f>G139+G140</f>
        <v>9.75</v>
      </c>
      <c r="J140" s="629">
        <f>H140/DAY(B2)</f>
        <v>9.75</v>
      </c>
      <c r="N140" s="413"/>
      <c r="O140" s="413"/>
    </row>
    <row r="141" spans="1:15">
      <c r="A141" s="1397" t="s">
        <v>261</v>
      </c>
      <c r="B141" s="1398"/>
      <c r="C141" s="1258"/>
      <c r="D141" s="548"/>
      <c r="E141" s="809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388" t="s">
        <v>262</v>
      </c>
      <c r="B142" s="1389"/>
      <c r="C142" s="1390"/>
      <c r="D142" s="599" t="s">
        <v>143</v>
      </c>
      <c r="E142" s="599"/>
      <c r="F142" s="599"/>
      <c r="G142" s="536">
        <f>G35+G43+G49+G57</f>
        <v>4901.5699999999488</v>
      </c>
      <c r="H142" s="536">
        <f>G142</f>
        <v>4901.5699999999488</v>
      </c>
      <c r="I142" s="556"/>
      <c r="J142" s="629">
        <f>H142/DAY(B2)</f>
        <v>4901.5699999999488</v>
      </c>
      <c r="K142" s="411"/>
      <c r="L142" s="408"/>
      <c r="N142" s="413"/>
      <c r="O142" s="413"/>
    </row>
    <row r="143" spans="1:15" ht="27.75">
      <c r="A143" s="1388" t="s">
        <v>263</v>
      </c>
      <c r="B143" s="1389"/>
      <c r="C143" s="1390"/>
      <c r="D143" s="599" t="s">
        <v>24</v>
      </c>
      <c r="E143" s="587"/>
      <c r="F143" s="587"/>
      <c r="G143" s="620">
        <f>G142/G7</f>
        <v>0.2424719267870368</v>
      </c>
      <c r="H143" s="536">
        <f t="shared" ref="H143:H153" si="33">G143</f>
        <v>0.2424719267870368</v>
      </c>
      <c r="I143" s="621"/>
      <c r="J143" s="629">
        <f>H143/DAY(B2)</f>
        <v>0.2424719267870368</v>
      </c>
      <c r="K143" s="411"/>
      <c r="L143" s="408"/>
      <c r="N143" s="413"/>
      <c r="O143" s="413"/>
    </row>
    <row r="144" spans="1:15" ht="27.75">
      <c r="A144" s="1388" t="s">
        <v>264</v>
      </c>
      <c r="B144" s="1389"/>
      <c r="C144" s="1390"/>
      <c r="D144" s="599" t="s">
        <v>143</v>
      </c>
      <c r="E144" s="531"/>
      <c r="F144" s="531"/>
      <c r="G144" s="536">
        <f>G41+G42+G55+G56</f>
        <v>5051.8999999999651</v>
      </c>
      <c r="H144" s="536">
        <f t="shared" si="33"/>
        <v>5051.8999999999651</v>
      </c>
      <c r="I144" s="556"/>
      <c r="J144" s="629">
        <f>H144/DAY(B2)</f>
        <v>5051.8999999999651</v>
      </c>
      <c r="K144" s="411"/>
      <c r="L144" s="408"/>
      <c r="N144" s="413"/>
      <c r="O144" s="413"/>
    </row>
    <row r="145" spans="1:15" ht="27.75">
      <c r="A145" s="1388" t="s">
        <v>265</v>
      </c>
      <c r="B145" s="1389"/>
      <c r="C145" s="1390"/>
      <c r="D145" s="599" t="s">
        <v>24</v>
      </c>
      <c r="E145" s="531"/>
      <c r="F145" s="531"/>
      <c r="G145" s="620">
        <f>G144/G7</f>
        <v>0.24990848379915731</v>
      </c>
      <c r="H145" s="536">
        <f t="shared" si="33"/>
        <v>0.24990848379915731</v>
      </c>
      <c r="I145" s="621"/>
      <c r="J145" s="629">
        <f>H145/DAY(B2)</f>
        <v>0.24990848379915731</v>
      </c>
      <c r="K145" s="411"/>
      <c r="L145" s="408"/>
      <c r="N145" s="413"/>
      <c r="O145" s="413"/>
    </row>
    <row r="146" spans="1:15" ht="27.75">
      <c r="A146" s="1388" t="s">
        <v>266</v>
      </c>
      <c r="B146" s="1389"/>
      <c r="C146" s="1390"/>
      <c r="D146" s="599" t="s">
        <v>143</v>
      </c>
      <c r="E146" s="531"/>
      <c r="F146" s="531"/>
      <c r="G146" s="536">
        <f>G39+G53</f>
        <v>4286.0299999999988</v>
      </c>
      <c r="H146" s="536">
        <f t="shared" si="33"/>
        <v>4286.0299999999988</v>
      </c>
      <c r="I146" s="622"/>
      <c r="J146" s="629">
        <f>H146/DAY(B2)</f>
        <v>4286.0299999999988</v>
      </c>
      <c r="K146" s="411"/>
      <c r="L146" s="408"/>
      <c r="N146" s="413"/>
      <c r="O146" s="413"/>
    </row>
    <row r="147" spans="1:15" ht="27.75">
      <c r="A147" s="1388" t="s">
        <v>267</v>
      </c>
      <c r="B147" s="1389"/>
      <c r="C147" s="1390"/>
      <c r="D147" s="599" t="s">
        <v>24</v>
      </c>
      <c r="E147" s="531"/>
      <c r="F147" s="531"/>
      <c r="G147" s="620">
        <f>G146/G7</f>
        <v>0.2120222606975018</v>
      </c>
      <c r="H147" s="536">
        <f t="shared" si="33"/>
        <v>0.2120222606975018</v>
      </c>
      <c r="I147" s="622"/>
      <c r="J147" s="629">
        <f>H147/DAY(B2)</f>
        <v>0.2120222606975018</v>
      </c>
      <c r="N147" s="413"/>
      <c r="O147" s="413"/>
    </row>
    <row r="148" spans="1:15" ht="27.75">
      <c r="A148" s="1388" t="s">
        <v>268</v>
      </c>
      <c r="B148" s="1389"/>
      <c r="C148" s="1390"/>
      <c r="D148" s="599" t="s">
        <v>194</v>
      </c>
      <c r="E148" s="531"/>
      <c r="F148" s="531"/>
      <c r="G148" s="536">
        <f>G38+G52</f>
        <v>2161.3699999999953</v>
      </c>
      <c r="H148" s="536">
        <f t="shared" si="33"/>
        <v>2161.3699999999953</v>
      </c>
      <c r="I148" s="556"/>
      <c r="J148" s="629">
        <f>H148/DAY(B2)</f>
        <v>2161.3699999999953</v>
      </c>
      <c r="K148" s="412"/>
      <c r="N148" s="413"/>
      <c r="O148" s="413"/>
    </row>
    <row r="149" spans="1:15" ht="27.75">
      <c r="A149" s="1388" t="s">
        <v>269</v>
      </c>
      <c r="B149" s="1389"/>
      <c r="C149" s="1390"/>
      <c r="D149" s="599" t="s">
        <v>24</v>
      </c>
      <c r="E149" s="531"/>
      <c r="F149" s="531"/>
      <c r="G149" s="620">
        <f>G148/G7</f>
        <v>0.10691911946574303</v>
      </c>
      <c r="H149" s="536">
        <f t="shared" si="33"/>
        <v>0.10691911946574303</v>
      </c>
      <c r="I149" s="622"/>
      <c r="J149" s="629">
        <f>H149/DAY(B2)</f>
        <v>0.10691911946574303</v>
      </c>
      <c r="N149" s="413"/>
      <c r="O149" s="413"/>
    </row>
    <row r="150" spans="1:15" ht="27.75">
      <c r="A150" s="1388" t="s">
        <v>270</v>
      </c>
      <c r="B150" s="1389"/>
      <c r="C150" s="1390"/>
      <c r="D150" s="599" t="s">
        <v>194</v>
      </c>
      <c r="E150" s="531"/>
      <c r="F150" s="531"/>
      <c r="G150" s="536">
        <f>G36+G50</f>
        <v>1707.5</v>
      </c>
      <c r="H150" s="536">
        <f t="shared" si="33"/>
        <v>1707.5</v>
      </c>
      <c r="I150" s="622"/>
      <c r="J150" s="629">
        <f>H150/DAY(B2)</f>
        <v>1707.5</v>
      </c>
      <c r="N150" s="413"/>
      <c r="O150" s="413"/>
    </row>
    <row r="151" spans="1:15" ht="27.75">
      <c r="A151" s="1388" t="s">
        <v>271</v>
      </c>
      <c r="B151" s="1389"/>
      <c r="C151" s="1390"/>
      <c r="D151" s="599" t="s">
        <v>24</v>
      </c>
      <c r="E151" s="531"/>
      <c r="F151" s="531"/>
      <c r="G151" s="620">
        <f>G150/G7</f>
        <v>8.4466979965372252E-2</v>
      </c>
      <c r="H151" s="536">
        <f t="shared" si="33"/>
        <v>8.4466979965372252E-2</v>
      </c>
      <c r="I151" s="556"/>
      <c r="J151" s="629">
        <f>H151/DAY(B2)</f>
        <v>8.4466979965372252E-2</v>
      </c>
      <c r="N151" s="413"/>
      <c r="O151" s="413"/>
    </row>
    <row r="152" spans="1:15" ht="27.75">
      <c r="A152" s="1388" t="s">
        <v>272</v>
      </c>
      <c r="B152" s="1389"/>
      <c r="C152" s="1390"/>
      <c r="D152" s="599" t="s">
        <v>194</v>
      </c>
      <c r="E152" s="531"/>
      <c r="F152" s="531"/>
      <c r="G152" s="536">
        <f>G37+G51</f>
        <v>1471.8899999999994</v>
      </c>
      <c r="H152" s="536">
        <f t="shared" si="33"/>
        <v>1471.8899999999994</v>
      </c>
      <c r="I152" s="556"/>
      <c r="J152" s="629">
        <f>H152/DAY(B2)</f>
        <v>1471.8899999999994</v>
      </c>
      <c r="N152" s="413"/>
      <c r="O152" s="413"/>
    </row>
    <row r="153" spans="1:15" ht="28.5" thickBot="1">
      <c r="A153" s="1394" t="s">
        <v>273</v>
      </c>
      <c r="B153" s="1395"/>
      <c r="C153" s="1396"/>
      <c r="D153" s="702" t="s">
        <v>24</v>
      </c>
      <c r="E153" s="642"/>
      <c r="F153" s="642"/>
      <c r="G153" s="643">
        <f>G152/G7</f>
        <v>7.281177343556762E-2</v>
      </c>
      <c r="H153" s="536">
        <f t="shared" si="33"/>
        <v>7.281177343556762E-2</v>
      </c>
      <c r="I153" s="645"/>
      <c r="J153" s="646">
        <f>H153/DAY(B2)</f>
        <v>7.281177343556762E-2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89" t="s">
        <v>274</v>
      </c>
      <c r="B160" s="890"/>
      <c r="C160" s="890"/>
      <c r="D160" s="587" t="s">
        <v>198</v>
      </c>
      <c r="E160" s="739">
        <v>26075.64</v>
      </c>
      <c r="F160" s="739">
        <v>26145</v>
      </c>
      <c r="G160" s="549">
        <f t="shared" ref="G160:G171" si="34">F160-E160</f>
        <v>69.360000000000582</v>
      </c>
    </row>
    <row r="161" spans="1:7">
      <c r="A161" s="889" t="s">
        <v>275</v>
      </c>
      <c r="B161" s="890"/>
      <c r="C161" s="890"/>
      <c r="D161" s="587" t="s">
        <v>198</v>
      </c>
      <c r="E161" s="739">
        <v>28439.59</v>
      </c>
      <c r="F161" s="739">
        <v>28901</v>
      </c>
      <c r="G161" s="549">
        <f t="shared" si="34"/>
        <v>461.40999999999985</v>
      </c>
    </row>
    <row r="162" spans="1:7">
      <c r="A162" s="889" t="s">
        <v>276</v>
      </c>
      <c r="B162" s="890"/>
      <c r="C162" s="890"/>
      <c r="D162" s="587" t="s">
        <v>198</v>
      </c>
      <c r="E162" s="739">
        <v>4596.3100000000004</v>
      </c>
      <c r="F162" s="739">
        <v>4914</v>
      </c>
      <c r="G162" s="549">
        <f t="shared" si="34"/>
        <v>317.6899999999996</v>
      </c>
    </row>
    <row r="163" spans="1:7">
      <c r="A163" s="889" t="s">
        <v>277</v>
      </c>
      <c r="B163" s="890"/>
      <c r="C163" s="890"/>
      <c r="D163" s="587" t="s">
        <v>198</v>
      </c>
      <c r="E163" s="739">
        <v>4322.88</v>
      </c>
      <c r="F163" s="739">
        <v>4352</v>
      </c>
      <c r="G163" s="549">
        <f t="shared" si="34"/>
        <v>29.119999999999891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v>20419</v>
      </c>
      <c r="G164" s="549">
        <f>F164-E164</f>
        <v>-0.18000000000029104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:E171" si="35">E63</f>
        <v>1107.9100000000001</v>
      </c>
      <c r="F165" s="590">
        <f t="shared" ref="F165:F171" si="36">F63</f>
        <v>1112</v>
      </c>
      <c r="G165" s="549">
        <f t="shared" si="34"/>
        <v>4.0899999999999181</v>
      </c>
    </row>
    <row r="166" spans="1:7" ht="27.75">
      <c r="A166" s="1363" t="s">
        <v>107</v>
      </c>
      <c r="B166" s="1363"/>
      <c r="C166" s="1363"/>
      <c r="D166" s="599" t="s">
        <v>198</v>
      </c>
      <c r="E166" s="590">
        <f t="shared" si="35"/>
        <v>98423.4</v>
      </c>
      <c r="F166" s="590">
        <f t="shared" si="36"/>
        <v>98839</v>
      </c>
      <c r="G166" s="549">
        <f t="shared" si="34"/>
        <v>415.60000000000582</v>
      </c>
    </row>
    <row r="167" spans="1:7" ht="27.75">
      <c r="A167" s="1363" t="s">
        <v>108</v>
      </c>
      <c r="B167" s="1363"/>
      <c r="C167" s="1363"/>
      <c r="D167" s="599" t="s">
        <v>198</v>
      </c>
      <c r="E167" s="590">
        <f t="shared" si="35"/>
        <v>109044.12</v>
      </c>
      <c r="F167" s="590">
        <f t="shared" si="36"/>
        <v>109461</v>
      </c>
      <c r="G167" s="549">
        <f t="shared" si="34"/>
        <v>416.88000000000466</v>
      </c>
    </row>
    <row r="168" spans="1:7" ht="27.75">
      <c r="A168" s="1363" t="s">
        <v>109</v>
      </c>
      <c r="B168" s="1363"/>
      <c r="C168" s="1363"/>
      <c r="D168" s="599" t="s">
        <v>198</v>
      </c>
      <c r="E168" s="590">
        <f t="shared" si="35"/>
        <v>2422.09</v>
      </c>
      <c r="F168" s="590">
        <f t="shared" si="36"/>
        <v>2836</v>
      </c>
      <c r="G168" s="549">
        <f t="shared" si="34"/>
        <v>413.90999999999985</v>
      </c>
    </row>
    <row r="169" spans="1:7" ht="27.75">
      <c r="A169" s="1363" t="s">
        <v>110</v>
      </c>
      <c r="B169" s="1363"/>
      <c r="C169" s="1363"/>
      <c r="D169" s="599" t="s">
        <v>198</v>
      </c>
      <c r="E169" s="590">
        <f t="shared" si="35"/>
        <v>168241.35</v>
      </c>
      <c r="F169" s="590">
        <f t="shared" si="36"/>
        <v>168953</v>
      </c>
      <c r="G169" s="549">
        <f t="shared" si="34"/>
        <v>711.64999999999418</v>
      </c>
    </row>
    <row r="170" spans="1:7" ht="27.75">
      <c r="A170" s="1363" t="s">
        <v>111</v>
      </c>
      <c r="B170" s="1363"/>
      <c r="C170" s="1363"/>
      <c r="D170" s="599" t="s">
        <v>198</v>
      </c>
      <c r="E170" s="590">
        <f t="shared" si="35"/>
        <v>53623.9</v>
      </c>
      <c r="F170" s="590">
        <f t="shared" si="36"/>
        <v>53936</v>
      </c>
      <c r="G170" s="549">
        <f t="shared" si="34"/>
        <v>312.09999999999854</v>
      </c>
    </row>
    <row r="171" spans="1:7" ht="27.75">
      <c r="A171" s="1363" t="s">
        <v>112</v>
      </c>
      <c r="B171" s="1363"/>
      <c r="C171" s="1363"/>
      <c r="D171" s="599" t="s">
        <v>198</v>
      </c>
      <c r="E171" s="590">
        <f t="shared" si="35"/>
        <v>46519.43</v>
      </c>
      <c r="F171" s="590">
        <f t="shared" si="36"/>
        <v>46812</v>
      </c>
      <c r="G171" s="549">
        <f t="shared" si="34"/>
        <v>292.56999999999971</v>
      </c>
    </row>
  </sheetData>
  <mergeCells count="74"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10:B110"/>
    <mergeCell ref="A111:B111"/>
    <mergeCell ref="A112:B112"/>
    <mergeCell ref="A113:B113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16" zoomScale="50" zoomScaleSheetLayoutView="50" workbookViewId="0">
      <selection activeCell="F28" sqref="F28"/>
    </sheetView>
  </sheetViews>
  <sheetFormatPr defaultColWidth="22.33203125" defaultRowHeight="29.25"/>
  <cols>
    <col min="1" max="1" width="41.88671875" style="530" customWidth="1"/>
    <col min="2" max="2" width="28.664062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5" width="3.88671875" style="407" customWidth="1"/>
    <col min="16" max="16384" width="22.33203125" style="407"/>
  </cols>
  <sheetData>
    <row r="1" spans="1:15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5" s="281" customFormat="1" ht="27">
      <c r="A2" s="652" t="s">
        <v>284</v>
      </c>
      <c r="B2" s="1139">
        <v>44198</v>
      </c>
      <c r="C2" s="1254" t="s">
        <v>69</v>
      </c>
      <c r="D2" s="688">
        <v>0.54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27</v>
      </c>
      <c r="E3" s="1408" t="s">
        <v>132</v>
      </c>
      <c r="F3" s="1409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0.74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2" t="s">
        <v>141</v>
      </c>
      <c r="B6" s="1403"/>
      <c r="C6" s="1404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'1'!F7</f>
        <v>3306655</v>
      </c>
      <c r="F7" s="531">
        <v>3326231</v>
      </c>
      <c r="G7" s="549">
        <f>F7-E7</f>
        <v>19576</v>
      </c>
      <c r="H7" s="536">
        <f>G7+'1'!H7</f>
        <v>39791</v>
      </c>
      <c r="I7" s="550">
        <f>'1'!I7</f>
        <v>12000</v>
      </c>
      <c r="J7" s="629">
        <f>H7/DAY(B2)</f>
        <v>19895.5</v>
      </c>
      <c r="K7" s="626"/>
      <c r="L7" s="408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'1'!F8</f>
        <v>3326755</v>
      </c>
      <c r="F8" s="551">
        <v>3346487</v>
      </c>
      <c r="G8" s="552">
        <f>F8-E8</f>
        <v>19732</v>
      </c>
      <c r="H8" s="536">
        <f>G8+'1'!H8</f>
        <v>40115</v>
      </c>
      <c r="I8" s="553">
        <v>12000</v>
      </c>
      <c r="J8" s="629">
        <f>H8/DAY(B2)</f>
        <v>20057.5</v>
      </c>
      <c r="K8" s="626"/>
      <c r="L8" s="464"/>
      <c r="M8" s="479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'1'!F9</f>
        <v>2407766</v>
      </c>
      <c r="F9" s="554">
        <v>2410292.7000000002</v>
      </c>
      <c r="G9" s="549">
        <f t="shared" ref="G9:G11" si="0">F9-E9</f>
        <v>2526.7000000001863</v>
      </c>
      <c r="H9" s="536">
        <f>G9+'1'!H9</f>
        <v>5077.7000000001863</v>
      </c>
      <c r="I9" s="555">
        <f>I8-J8</f>
        <v>-8057.5</v>
      </c>
      <c r="J9" s="629">
        <f>H9/DAY(B2)</f>
        <v>2538.8500000000931</v>
      </c>
      <c r="K9" s="467"/>
      <c r="L9" s="408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'1'!F10</f>
        <v>767461</v>
      </c>
      <c r="F10" s="554">
        <v>783753</v>
      </c>
      <c r="G10" s="549">
        <f t="shared" si="0"/>
        <v>16292</v>
      </c>
      <c r="H10" s="536">
        <f>G10+'1'!H10</f>
        <v>33231.089999999967</v>
      </c>
      <c r="I10" s="556"/>
      <c r="J10" s="629">
        <f>H10/DAY(B2)</f>
        <v>16615.544999999984</v>
      </c>
      <c r="K10" s="467"/>
      <c r="L10" s="408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'1'!F11</f>
        <v>35390</v>
      </c>
      <c r="F11" s="531">
        <v>35390</v>
      </c>
      <c r="G11" s="549">
        <f t="shared" si="0"/>
        <v>0</v>
      </c>
      <c r="H11" s="536">
        <f>G11+'1'!H11</f>
        <v>0</v>
      </c>
      <c r="I11" s="556"/>
      <c r="J11" s="629">
        <f>H11/DAY(B2)</f>
        <v>0</v>
      </c>
      <c r="K11" s="467"/>
      <c r="L11" s="408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'1'!F12</f>
        <v>37630</v>
      </c>
      <c r="F12" s="554">
        <v>37630</v>
      </c>
      <c r="G12" s="549">
        <v>0</v>
      </c>
      <c r="H12" s="536">
        <f>G12+'1'!H12</f>
        <v>0</v>
      </c>
      <c r="I12" s="556"/>
      <c r="J12" s="629">
        <f>H12/DAY(B2)</f>
        <v>0</v>
      </c>
      <c r="K12" s="467"/>
      <c r="L12" s="408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18818.700000000186</v>
      </c>
      <c r="H13" s="536">
        <f>G13+'1'!H13</f>
        <v>38308.790000000154</v>
      </c>
      <c r="I13" s="558">
        <f>G7-G13</f>
        <v>757.29999999981374</v>
      </c>
      <c r="J13" s="629">
        <f>H13/DAY(B2)</f>
        <v>19154.395000000077</v>
      </c>
      <c r="K13" s="467"/>
      <c r="L13" s="408"/>
      <c r="O13" s="413"/>
    </row>
    <row r="14" spans="1:15">
      <c r="A14" s="1405" t="s">
        <v>150</v>
      </c>
      <c r="B14" s="1406"/>
      <c r="C14" s="1407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>
      <c r="A15" s="1252" t="s">
        <v>151</v>
      </c>
      <c r="B15" s="666"/>
      <c r="C15" s="666"/>
      <c r="D15" s="599" t="s">
        <v>152</v>
      </c>
      <c r="E15" s="560">
        <f>'1'!F15</f>
        <v>1569608</v>
      </c>
      <c r="F15" s="732">
        <v>1570430.62</v>
      </c>
      <c r="G15" s="883">
        <f>(F15-E15)</f>
        <v>822.62000000011176</v>
      </c>
      <c r="H15" s="536">
        <f>G15+'1'!H15</f>
        <v>1516.5200000000186</v>
      </c>
      <c r="I15" s="550">
        <v>800</v>
      </c>
      <c r="J15" s="629">
        <f>H15/DAY(B2)</f>
        <v>758.26000000000931</v>
      </c>
      <c r="K15" s="467"/>
      <c r="L15" s="408"/>
      <c r="O15" s="413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41.739999999990687</v>
      </c>
      <c r="J16" s="630"/>
      <c r="K16" s="467"/>
      <c r="L16" s="408"/>
      <c r="O16" s="413">
        <f>G15-150</f>
        <v>672.62000000011176</v>
      </c>
    </row>
    <row r="17" spans="1:15">
      <c r="A17" s="1405" t="s">
        <v>153</v>
      </c>
      <c r="B17" s="1406"/>
      <c r="C17" s="1407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>
      <c r="A18" s="1388" t="s">
        <v>154</v>
      </c>
      <c r="B18" s="1389"/>
      <c r="C18" s="1390"/>
      <c r="D18" s="599" t="s">
        <v>155</v>
      </c>
      <c r="E18" s="560">
        <f>'1'!F18</f>
        <v>15</v>
      </c>
      <c r="F18" s="554">
        <v>12</v>
      </c>
      <c r="G18" s="557">
        <f>F18*10</f>
        <v>120</v>
      </c>
      <c r="H18" s="536">
        <f>G18+'1'!H18</f>
        <v>270</v>
      </c>
      <c r="I18" s="550">
        <f>'1'!I18</f>
        <v>65</v>
      </c>
      <c r="J18" s="629">
        <f>H18/DAY(B2)</f>
        <v>135</v>
      </c>
      <c r="K18" s="467"/>
      <c r="L18" s="408"/>
      <c r="O18" s="413"/>
    </row>
    <row r="19" spans="1:15" ht="27.75">
      <c r="A19" s="1388" t="s">
        <v>71</v>
      </c>
      <c r="B19" s="1389"/>
      <c r="C19" s="1390"/>
      <c r="D19" s="599" t="s">
        <v>155</v>
      </c>
      <c r="E19" s="560">
        <f>'1'!F19</f>
        <v>131540</v>
      </c>
      <c r="F19" s="554">
        <v>131595</v>
      </c>
      <c r="G19" s="549">
        <f>F19-E19</f>
        <v>55</v>
      </c>
      <c r="H19" s="536">
        <f>G19+'1'!H19</f>
        <v>102</v>
      </c>
      <c r="I19" s="565"/>
      <c r="J19" s="629">
        <f>H19/DAY(B2)</f>
        <v>51</v>
      </c>
      <c r="K19" s="467"/>
      <c r="L19" s="408"/>
      <c r="O19" s="413"/>
    </row>
    <row r="20" spans="1:15">
      <c r="A20" s="662" t="s">
        <v>156</v>
      </c>
      <c r="B20" s="663"/>
      <c r="C20" s="663"/>
      <c r="D20" s="566"/>
      <c r="E20" s="566"/>
      <c r="F20" s="599"/>
      <c r="G20" s="1142">
        <f>G18+G19</f>
        <v>175</v>
      </c>
      <c r="H20" s="536">
        <f>G20+'1'!H20</f>
        <v>372</v>
      </c>
      <c r="I20" s="568">
        <f>I18-J20</f>
        <v>-121</v>
      </c>
      <c r="J20" s="629">
        <f>H20/DAY(B2)</f>
        <v>186</v>
      </c>
      <c r="K20" s="467"/>
      <c r="L20" s="408"/>
      <c r="O20" s="413"/>
    </row>
    <row r="21" spans="1:15">
      <c r="A21" s="1405" t="s">
        <v>157</v>
      </c>
      <c r="B21" s="1406"/>
      <c r="C21" s="1407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>
      <c r="A22" s="1252" t="s">
        <v>158</v>
      </c>
      <c r="B22" s="666"/>
      <c r="C22" s="666"/>
      <c r="D22" s="599" t="s">
        <v>159</v>
      </c>
      <c r="E22" s="560">
        <f>'1'!F22</f>
        <v>2250</v>
      </c>
      <c r="F22" s="554">
        <v>2250</v>
      </c>
      <c r="G22" s="557">
        <f t="shared" ref="G22" si="1">(F22-E22)</f>
        <v>0</v>
      </c>
      <c r="H22" s="536">
        <f>G22+'1'!H22</f>
        <v>0</v>
      </c>
      <c r="I22" s="556"/>
      <c r="J22" s="629">
        <f>H22/DAY(B2)</f>
        <v>0</v>
      </c>
      <c r="K22" s="467"/>
      <c r="L22" s="408"/>
      <c r="O22" s="413"/>
    </row>
    <row r="23" spans="1:15">
      <c r="A23" s="1252" t="s">
        <v>160</v>
      </c>
      <c r="B23" s="666"/>
      <c r="C23" s="666"/>
      <c r="D23" s="599" t="s">
        <v>159</v>
      </c>
      <c r="E23" s="560">
        <f>'1'!F23</f>
        <v>2000</v>
      </c>
      <c r="F23" s="554">
        <v>2000</v>
      </c>
      <c r="G23" s="557">
        <v>0</v>
      </c>
      <c r="H23" s="536">
        <f>G23+'1'!H23</f>
        <v>0</v>
      </c>
      <c r="I23" s="556"/>
      <c r="J23" s="629">
        <f>H23/DAY(B2)</f>
        <v>0</v>
      </c>
      <c r="K23" s="467"/>
      <c r="L23" s="408"/>
      <c r="O23" s="413"/>
    </row>
    <row r="24" spans="1:15">
      <c r="A24" s="667" t="s">
        <v>161</v>
      </c>
      <c r="B24" s="668"/>
      <c r="C24" s="668"/>
      <c r="D24" s="587" t="s">
        <v>159</v>
      </c>
      <c r="E24" s="560">
        <f>'1'!F24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19732</v>
      </c>
      <c r="F27" s="577">
        <v>9</v>
      </c>
      <c r="G27" s="578">
        <f>E27*F27</f>
        <v>177588</v>
      </c>
      <c r="H27" s="536">
        <f>G27+'1'!H27</f>
        <v>361035</v>
      </c>
      <c r="I27" s="579"/>
      <c r="J27" s="629">
        <f>H27/DAY(B2)</f>
        <v>180517.5</v>
      </c>
      <c r="K27" s="404"/>
      <c r="L27" s="484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822.62000000011176</v>
      </c>
      <c r="F28" s="577">
        <v>41</v>
      </c>
      <c r="G28" s="578">
        <f>E28*F28</f>
        <v>33727.420000004582</v>
      </c>
      <c r="H28" s="536">
        <f>G28+'1'!H28</f>
        <v>62177.320000000764</v>
      </c>
      <c r="I28" s="581"/>
      <c r="J28" s="629">
        <f>H28/DAY(B2)</f>
        <v>31088.660000000382</v>
      </c>
      <c r="K28" s="404"/>
      <c r="L28" s="484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55</v>
      </c>
      <c r="F30" s="577">
        <v>134</v>
      </c>
      <c r="G30" s="578">
        <f>E30*F30</f>
        <v>7370</v>
      </c>
      <c r="H30" s="536">
        <f>G30+'1'!H30</f>
        <v>13668</v>
      </c>
      <c r="I30" s="581"/>
      <c r="J30" s="629">
        <f>H30/DAY(B2)</f>
        <v>6834</v>
      </c>
      <c r="K30" s="404"/>
      <c r="L30" s="484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120</v>
      </c>
      <c r="F31" s="577">
        <v>80</v>
      </c>
      <c r="G31" s="578">
        <f>E31*F31</f>
        <v>9600</v>
      </c>
      <c r="H31" s="536">
        <f>G31+'1'!H31</f>
        <v>21600</v>
      </c>
      <c r="I31" s="581"/>
      <c r="J31" s="629">
        <f>H31/DAY(B2)</f>
        <v>10800</v>
      </c>
      <c r="K31" s="404"/>
      <c r="L31" s="484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228285.42000000458</v>
      </c>
      <c r="H32" s="536">
        <f>G32+'1'!H32</f>
        <v>458480.32000000076</v>
      </c>
      <c r="I32" s="585"/>
      <c r="J32" s="629">
        <f>H32/DAY(B2)</f>
        <v>229240.16000000038</v>
      </c>
      <c r="K32" s="404"/>
      <c r="L32" s="484"/>
      <c r="O32" s="413"/>
    </row>
    <row r="33" spans="1:15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'1'!F35</f>
        <v>629027</v>
      </c>
      <c r="F35" s="586">
        <v>629027</v>
      </c>
      <c r="G35" s="549">
        <f t="shared" ref="G35:G46" si="2">F35-E35</f>
        <v>0</v>
      </c>
      <c r="H35" s="536">
        <f>G35+'1'!H35</f>
        <v>0</v>
      </c>
      <c r="I35" s="531"/>
      <c r="J35" s="629">
        <f>H35/DAY(B2)</f>
        <v>0</v>
      </c>
      <c r="K35" s="467"/>
      <c r="L35" s="408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'1'!F36</f>
        <v>255785</v>
      </c>
      <c r="F36" s="586">
        <v>256428.55</v>
      </c>
      <c r="G36" s="549">
        <f t="shared" si="2"/>
        <v>643.54999999998836</v>
      </c>
      <c r="H36" s="536">
        <f>G36+'1'!H36</f>
        <v>1337.4799999999814</v>
      </c>
      <c r="I36" s="531"/>
      <c r="J36" s="629">
        <f>H36/DAY(B2)</f>
        <v>668.73999999999069</v>
      </c>
      <c r="K36" s="467"/>
      <c r="L36" s="408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'1'!F37</f>
        <v>415066</v>
      </c>
      <c r="F37" s="586">
        <v>415066</v>
      </c>
      <c r="G37" s="549">
        <f t="shared" si="2"/>
        <v>0</v>
      </c>
      <c r="H37" s="536">
        <f>G37+'1'!H37</f>
        <v>0</v>
      </c>
      <c r="I37" s="531"/>
      <c r="J37" s="629">
        <f>H37/DAY(B2)</f>
        <v>0</v>
      </c>
      <c r="K37" s="467"/>
      <c r="L37" s="408"/>
      <c r="O37" s="706"/>
    </row>
    <row r="38" spans="1:15">
      <c r="A38" s="655" t="s">
        <v>178</v>
      </c>
      <c r="B38" s="656"/>
      <c r="C38" s="656"/>
      <c r="D38" s="599" t="s">
        <v>143</v>
      </c>
      <c r="E38" s="545">
        <f>'1'!F38</f>
        <v>150714</v>
      </c>
      <c r="F38" s="545">
        <v>150714</v>
      </c>
      <c r="G38" s="549">
        <f t="shared" si="2"/>
        <v>0</v>
      </c>
      <c r="H38" s="536">
        <f>G38+'1'!H38</f>
        <v>0</v>
      </c>
      <c r="I38" s="531"/>
      <c r="J38" s="629">
        <f>H38/DAY(B2)</f>
        <v>0</v>
      </c>
      <c r="K38" s="467"/>
      <c r="L38" s="408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'1'!F39</f>
        <v>912480</v>
      </c>
      <c r="F39" s="586">
        <v>912480</v>
      </c>
      <c r="G39" s="549">
        <f t="shared" si="2"/>
        <v>0</v>
      </c>
      <c r="H39" s="536">
        <f>G39+'1'!H39</f>
        <v>0</v>
      </c>
      <c r="I39" s="531"/>
      <c r="J39" s="629">
        <f>H39/DAY(B2)</f>
        <v>0</v>
      </c>
      <c r="K39" s="467"/>
      <c r="L39" s="408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'1'!F40</f>
        <v>0</v>
      </c>
      <c r="F40" s="586">
        <v>0</v>
      </c>
      <c r="G40" s="549">
        <f t="shared" si="2"/>
        <v>0</v>
      </c>
      <c r="H40" s="536">
        <f>G40+'1'!H40</f>
        <v>0</v>
      </c>
      <c r="I40" s="531"/>
      <c r="J40" s="629">
        <f>H40/DAY(B2)</f>
        <v>0</v>
      </c>
      <c r="K40" s="468"/>
      <c r="L40" s="408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'1'!F41</f>
        <v>300127.96999999997</v>
      </c>
      <c r="F41" s="586">
        <v>300127.90000000002</v>
      </c>
      <c r="G41" s="549">
        <f t="shared" si="2"/>
        <v>-6.9999999948777258E-2</v>
      </c>
      <c r="H41" s="536">
        <f>G41+'1'!H41</f>
        <v>-4.9999999988358468E-2</v>
      </c>
      <c r="I41" s="531"/>
      <c r="J41" s="629">
        <f>H41/DAY(B2)</f>
        <v>-2.4999999994179234E-2</v>
      </c>
      <c r="K41" s="467"/>
      <c r="L41" s="408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'1'!F42</f>
        <v>58926.09</v>
      </c>
      <c r="F42" s="586">
        <v>58926.09</v>
      </c>
      <c r="G42" s="549">
        <f t="shared" si="2"/>
        <v>0</v>
      </c>
      <c r="H42" s="536">
        <f>G42+'1'!H42</f>
        <v>0</v>
      </c>
      <c r="I42" s="531"/>
      <c r="J42" s="629">
        <f>H42/DAY(B2)</f>
        <v>0</v>
      </c>
      <c r="K42" s="467"/>
      <c r="L42" s="408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'1'!F43</f>
        <v>700218</v>
      </c>
      <c r="F43" s="586">
        <v>702218</v>
      </c>
      <c r="G43" s="549">
        <f t="shared" si="2"/>
        <v>2000</v>
      </c>
      <c r="H43" s="536">
        <f>G43+'1'!H43</f>
        <v>3964.5699999999488</v>
      </c>
      <c r="I43" s="531"/>
      <c r="J43" s="629">
        <f>H43/DAY(B2)</f>
        <v>1982.2849999999744</v>
      </c>
      <c r="K43" s="467"/>
      <c r="L43" s="408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'1'!F44</f>
        <v>0</v>
      </c>
      <c r="F44" s="586">
        <v>0</v>
      </c>
      <c r="G44" s="549">
        <f t="shared" si="2"/>
        <v>0</v>
      </c>
      <c r="H44" s="536">
        <f>G44+'1'!H44</f>
        <v>0</v>
      </c>
      <c r="I44" s="531"/>
      <c r="J44" s="629">
        <f>H44/DAY(B2)</f>
        <v>0</v>
      </c>
      <c r="K44" s="467"/>
      <c r="L44" s="408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'1'!F45</f>
        <v>614.48</v>
      </c>
      <c r="F45" s="586">
        <v>614</v>
      </c>
      <c r="G45" s="549">
        <f t="shared" si="2"/>
        <v>-0.48000000000001819</v>
      </c>
      <c r="H45" s="536">
        <f>G45+'1'!H45</f>
        <v>-0.48000000000001819</v>
      </c>
      <c r="I45" s="531"/>
      <c r="J45" s="629">
        <f>H45/DAY(B2)</f>
        <v>-0.24000000000000909</v>
      </c>
      <c r="K45" s="467"/>
      <c r="L45" s="408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'1'!F46</f>
        <v>187.49</v>
      </c>
      <c r="F46" s="586">
        <v>187</v>
      </c>
      <c r="G46" s="549">
        <f t="shared" si="2"/>
        <v>-0.49000000000000909</v>
      </c>
      <c r="H46" s="536">
        <f>G46+'1'!H46</f>
        <v>-0.49000000000000909</v>
      </c>
      <c r="I46" s="531"/>
      <c r="J46" s="629">
        <f>H46/DAY(B2)</f>
        <v>-0.24500000000000455</v>
      </c>
      <c r="K46" s="467"/>
      <c r="L46" s="408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2642.5100000000393</v>
      </c>
      <c r="H47" s="536">
        <f>G47+'1'!H47</f>
        <v>5301.0299999999415</v>
      </c>
      <c r="I47" s="531"/>
      <c r="J47" s="629">
        <f>H47/DAY(B2)</f>
        <v>2650.5149999999708</v>
      </c>
      <c r="K47" s="467"/>
      <c r="L47" s="408"/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'1'!F49</f>
        <v>152496</v>
      </c>
      <c r="F49" s="586">
        <v>155334.81</v>
      </c>
      <c r="G49" s="549">
        <f t="shared" ref="G49:G58" si="3">F49-E49</f>
        <v>2838.8099999999977</v>
      </c>
      <c r="H49" s="536">
        <f>G49+'1'!H49</f>
        <v>5775.8099999999977</v>
      </c>
      <c r="I49" s="531"/>
      <c r="J49" s="629">
        <f>H49/DAY(B2)</f>
        <v>2887.9049999999988</v>
      </c>
      <c r="K49" s="467"/>
      <c r="L49" s="408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'1'!F50</f>
        <v>335914</v>
      </c>
      <c r="F50" s="586">
        <v>336891.51</v>
      </c>
      <c r="G50" s="549">
        <f t="shared" si="3"/>
        <v>977.51000000000931</v>
      </c>
      <c r="H50" s="536">
        <f>G50+'1'!H50</f>
        <v>1991.0800000000163</v>
      </c>
      <c r="I50" s="531"/>
      <c r="J50" s="629">
        <f>H50/DAY(B2)</f>
        <v>995.54000000000815</v>
      </c>
      <c r="K50" s="467"/>
      <c r="L50" s="408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'1'!F51</f>
        <v>66179</v>
      </c>
      <c r="F51" s="586">
        <v>67597</v>
      </c>
      <c r="G51" s="549">
        <f t="shared" si="3"/>
        <v>1418</v>
      </c>
      <c r="H51" s="536">
        <f>G51+'1'!H51</f>
        <v>2889.8899999999994</v>
      </c>
      <c r="I51" s="531"/>
      <c r="J51" s="629">
        <f>H51/DAY(B2)</f>
        <v>1444.9449999999997</v>
      </c>
      <c r="K51" s="467"/>
      <c r="L51" s="408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'1'!F52</f>
        <v>435341</v>
      </c>
      <c r="F52" s="586">
        <v>437388</v>
      </c>
      <c r="G52" s="549">
        <f t="shared" si="3"/>
        <v>2047</v>
      </c>
      <c r="H52" s="536">
        <f>G52+'1'!H52</f>
        <v>4208.3699999999953</v>
      </c>
      <c r="I52" s="531"/>
      <c r="J52" s="629">
        <f>H52/DAY(B2)</f>
        <v>2104.1849999999977</v>
      </c>
      <c r="K52" s="467"/>
      <c r="L52" s="408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'1'!F53</f>
        <v>180888</v>
      </c>
      <c r="F53" s="586">
        <v>185007</v>
      </c>
      <c r="G53" s="549">
        <f t="shared" si="3"/>
        <v>4119</v>
      </c>
      <c r="H53" s="536">
        <f>G53+'1'!H53</f>
        <v>8405.0299999999988</v>
      </c>
      <c r="I53" s="531"/>
      <c r="J53" s="629">
        <f>H53/DAY(B2)</f>
        <v>4202.5149999999994</v>
      </c>
      <c r="K53" s="467"/>
      <c r="L53" s="408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'1'!F54</f>
        <v>4652</v>
      </c>
      <c r="F54" s="586">
        <v>4711.9799999999996</v>
      </c>
      <c r="G54" s="549">
        <f t="shared" si="3"/>
        <v>59.979999999999563</v>
      </c>
      <c r="H54" s="536">
        <f>G54+'1'!H54</f>
        <v>122.4399999999996</v>
      </c>
      <c r="I54" s="531"/>
      <c r="J54" s="629">
        <f>H54/DAY(B2)</f>
        <v>61.2199999999998</v>
      </c>
      <c r="K54" s="467"/>
      <c r="L54" s="408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'1'!F55</f>
        <v>158492.63</v>
      </c>
      <c r="F55" s="1141">
        <v>158492.73000000001</v>
      </c>
      <c r="G55" s="549">
        <f t="shared" si="3"/>
        <v>0.10000000000582077</v>
      </c>
      <c r="H55" s="536">
        <f>G55+'1'!H55</f>
        <v>-0.26999999998952262</v>
      </c>
      <c r="I55" s="531"/>
      <c r="J55" s="629">
        <f>H55/DAY(B2)</f>
        <v>-0.13499999999476131</v>
      </c>
      <c r="K55" s="467"/>
      <c r="L55" s="408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'1'!F56</f>
        <v>518264</v>
      </c>
      <c r="F56" s="1141">
        <v>522978.83</v>
      </c>
      <c r="G56" s="549">
        <f t="shared" si="3"/>
        <v>4714.8300000000163</v>
      </c>
      <c r="H56" s="536">
        <f>G56+'1'!H56</f>
        <v>9767.0800000000163</v>
      </c>
      <c r="I56" s="531"/>
      <c r="J56" s="629">
        <f>H56/DAY(B2)</f>
        <v>4883.5400000000081</v>
      </c>
      <c r="K56" s="466"/>
      <c r="L56" s="408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'1'!F57</f>
        <v>0</v>
      </c>
      <c r="F57" s="586">
        <v>0</v>
      </c>
      <c r="G57" s="549">
        <f t="shared" si="3"/>
        <v>0</v>
      </c>
      <c r="H57" s="536">
        <f>G57+'1'!H57</f>
        <v>0</v>
      </c>
      <c r="I57" s="531"/>
      <c r="J57" s="629">
        <f>H57/DAY(B2)</f>
        <v>0</v>
      </c>
      <c r="K57" s="467"/>
      <c r="L57" s="408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'1'!F58</f>
        <v>25092</v>
      </c>
      <c r="F58" s="734">
        <v>25312</v>
      </c>
      <c r="G58" s="549">
        <f t="shared" si="3"/>
        <v>220</v>
      </c>
      <c r="H58" s="536">
        <f>G58+'1'!H58</f>
        <v>271.59000000000015</v>
      </c>
      <c r="I58" s="531"/>
      <c r="J58" s="629">
        <f>H58/DAY(B2)</f>
        <v>135.79500000000007</v>
      </c>
      <c r="K58" s="467"/>
      <c r="L58" s="408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16395.230000000029</v>
      </c>
      <c r="H59" s="536">
        <f>G59+'1'!H59</f>
        <v>33431.020000000033</v>
      </c>
      <c r="I59" s="531">
        <f>G7-G60</f>
        <v>538.25999999993292</v>
      </c>
      <c r="J59" s="629">
        <f>H59/DAY(B2)</f>
        <v>16715.510000000017</v>
      </c>
      <c r="K59" s="467"/>
      <c r="L59" s="408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19037.740000000067</v>
      </c>
      <c r="H60" s="536">
        <f>G60+'1'!H60</f>
        <v>38732.049999999974</v>
      </c>
      <c r="I60" s="531">
        <f>G13-G60</f>
        <v>-219.03999999988082</v>
      </c>
      <c r="J60" s="629">
        <f>H60/DAY(B2)</f>
        <v>19366.024999999987</v>
      </c>
      <c r="K60" s="467"/>
      <c r="L60" s="408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'1'!F62</f>
        <v>20419.188999999998</v>
      </c>
      <c r="F62" s="590">
        <v>20419.188999999998</v>
      </c>
      <c r="G62" s="549">
        <f t="shared" ref="G62:G69" si="4">F62-E62</f>
        <v>0</v>
      </c>
      <c r="H62" s="536">
        <f>G62+'1'!H62</f>
        <v>8.9999999981955625E-3</v>
      </c>
      <c r="I62" s="591"/>
      <c r="J62" s="629">
        <f>H62/DAY(B2)</f>
        <v>4.4999999990977813E-3</v>
      </c>
      <c r="K62" s="467"/>
      <c r="L62" s="408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'1'!F63</f>
        <v>1112</v>
      </c>
      <c r="F63" s="590">
        <v>1116</v>
      </c>
      <c r="G63" s="549">
        <f t="shared" si="4"/>
        <v>4</v>
      </c>
      <c r="H63" s="536">
        <f>G63+'1'!H63</f>
        <v>8.0899999999999181</v>
      </c>
      <c r="I63" s="591"/>
      <c r="J63" s="629">
        <f>H63/DAY(B2)</f>
        <v>4.0449999999999591</v>
      </c>
      <c r="K63" s="467"/>
      <c r="L63" s="408"/>
      <c r="O63" s="413"/>
    </row>
    <row r="64" spans="1:15" ht="27.75">
      <c r="A64" s="1367" t="s">
        <v>107</v>
      </c>
      <c r="B64" s="1368"/>
      <c r="C64" s="1369"/>
      <c r="D64" s="599" t="s">
        <v>198</v>
      </c>
      <c r="E64" s="560">
        <f>'1'!F64</f>
        <v>98839</v>
      </c>
      <c r="F64" s="554">
        <v>99239.65</v>
      </c>
      <c r="G64" s="549">
        <f t="shared" si="4"/>
        <v>400.64999999999418</v>
      </c>
      <c r="H64" s="536">
        <f>G64+'1'!H64</f>
        <v>816.25</v>
      </c>
      <c r="I64" s="556"/>
      <c r="J64" s="629">
        <f>H64/DAY(B2)</f>
        <v>408.125</v>
      </c>
      <c r="K64" s="467"/>
      <c r="L64" s="408"/>
      <c r="O64" s="413"/>
    </row>
    <row r="65" spans="1:15" ht="27.75">
      <c r="A65" s="1367" t="s">
        <v>108</v>
      </c>
      <c r="B65" s="1368"/>
      <c r="C65" s="1369"/>
      <c r="D65" s="599" t="s">
        <v>198</v>
      </c>
      <c r="E65" s="560">
        <f>'1'!F65</f>
        <v>109461</v>
      </c>
      <c r="F65" s="732">
        <v>109868.56</v>
      </c>
      <c r="G65" s="549">
        <f t="shared" si="4"/>
        <v>407.55999999999767</v>
      </c>
      <c r="H65" s="536">
        <f>G65+'1'!H65</f>
        <v>824.44000000000233</v>
      </c>
      <c r="I65" s="565"/>
      <c r="J65" s="629">
        <f>H65/DAY(B2)</f>
        <v>412.22000000000116</v>
      </c>
      <c r="K65" s="467"/>
      <c r="L65" s="408"/>
      <c r="O65" s="413"/>
    </row>
    <row r="66" spans="1:15" ht="27.75">
      <c r="A66" s="1367" t="s">
        <v>109</v>
      </c>
      <c r="B66" s="1368"/>
      <c r="C66" s="1369"/>
      <c r="D66" s="599" t="s">
        <v>198</v>
      </c>
      <c r="E66" s="560">
        <f>'1'!F66</f>
        <v>2836</v>
      </c>
      <c r="F66" s="554">
        <v>3244.35</v>
      </c>
      <c r="G66" s="549">
        <f t="shared" si="4"/>
        <v>408.34999999999991</v>
      </c>
      <c r="H66" s="536">
        <f>G66+'1'!H66</f>
        <v>822.25999999999976</v>
      </c>
      <c r="I66" s="556"/>
      <c r="J66" s="629">
        <f>H66/DAY(B2)</f>
        <v>411.12999999999988</v>
      </c>
      <c r="K66" s="467"/>
      <c r="L66" s="408"/>
      <c r="O66" s="413"/>
    </row>
    <row r="67" spans="1:15" ht="27.75">
      <c r="A67" s="1367" t="s">
        <v>110</v>
      </c>
      <c r="B67" s="1368"/>
      <c r="C67" s="1369"/>
      <c r="D67" s="599" t="s">
        <v>198</v>
      </c>
      <c r="E67" s="560">
        <f>'1'!F67</f>
        <v>168953</v>
      </c>
      <c r="F67" s="554">
        <v>169631</v>
      </c>
      <c r="G67" s="549">
        <f t="shared" si="4"/>
        <v>678</v>
      </c>
      <c r="H67" s="536">
        <f>G67+'1'!H67</f>
        <v>1389.6499999999942</v>
      </c>
      <c r="I67" s="565"/>
      <c r="J67" s="629">
        <f>H67/DAY(B2)</f>
        <v>694.82499999999709</v>
      </c>
      <c r="K67" s="468"/>
      <c r="L67" s="408"/>
      <c r="O67" s="413"/>
    </row>
    <row r="68" spans="1:15" ht="27.75">
      <c r="A68" s="1367" t="s">
        <v>111</v>
      </c>
      <c r="B68" s="1368"/>
      <c r="C68" s="1369"/>
      <c r="D68" s="599" t="s">
        <v>198</v>
      </c>
      <c r="E68" s="560">
        <f>'1'!F68</f>
        <v>53936</v>
      </c>
      <c r="F68" s="554">
        <v>54229</v>
      </c>
      <c r="G68" s="549">
        <f t="shared" si="4"/>
        <v>293</v>
      </c>
      <c r="H68" s="536">
        <f>G68+'1'!H68</f>
        <v>605.09999999999854</v>
      </c>
      <c r="I68" s="592"/>
      <c r="J68" s="629">
        <f>H68/DAY(B2)</f>
        <v>302.54999999999927</v>
      </c>
      <c r="K68" s="469"/>
      <c r="L68" s="408"/>
      <c r="O68" s="413"/>
    </row>
    <row r="69" spans="1:15" ht="27.75">
      <c r="A69" s="1367" t="s">
        <v>112</v>
      </c>
      <c r="B69" s="1368"/>
      <c r="C69" s="1369"/>
      <c r="D69" s="599" t="s">
        <v>198</v>
      </c>
      <c r="E69" s="560">
        <f>'1'!F69</f>
        <v>46812</v>
      </c>
      <c r="F69" s="554">
        <v>47108</v>
      </c>
      <c r="G69" s="549">
        <f t="shared" si="4"/>
        <v>296</v>
      </c>
      <c r="H69" s="536">
        <f>G69+'1'!H69</f>
        <v>588.56999999999971</v>
      </c>
      <c r="I69" s="592"/>
      <c r="J69" s="629">
        <f>H69/DAY(B2)</f>
        <v>294.28499999999985</v>
      </c>
      <c r="K69" s="470"/>
      <c r="L69" s="408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O71" s="413"/>
    </row>
    <row r="72" spans="1:15" ht="27.75">
      <c r="A72" s="1367" t="s">
        <v>202</v>
      </c>
      <c r="B72" s="1368"/>
      <c r="C72" s="1369"/>
      <c r="D72" s="599" t="s">
        <v>198</v>
      </c>
      <c r="E72" s="595">
        <f>'1'!F72</f>
        <v>846498</v>
      </c>
      <c r="F72" s="735">
        <v>846567</v>
      </c>
      <c r="G72" s="549">
        <f t="shared" ref="G72:G84" si="5">F72-E72</f>
        <v>69</v>
      </c>
      <c r="H72" s="536">
        <f>G72+'1'!H72</f>
        <v>167</v>
      </c>
      <c r="I72" s="556"/>
      <c r="J72" s="629">
        <f>H72/DAY(B2)</f>
        <v>83.5</v>
      </c>
      <c r="K72" s="470"/>
      <c r="L72" s="408"/>
      <c r="O72" s="413"/>
    </row>
    <row r="73" spans="1:15" ht="27.75">
      <c r="A73" s="1367" t="s">
        <v>203</v>
      </c>
      <c r="B73" s="1368"/>
      <c r="C73" s="1369"/>
      <c r="D73" s="599" t="s">
        <v>198</v>
      </c>
      <c r="E73" s="596">
        <f>'1'!F73</f>
        <v>885673</v>
      </c>
      <c r="F73" s="736">
        <v>885675</v>
      </c>
      <c r="G73" s="733">
        <f t="shared" si="5"/>
        <v>2</v>
      </c>
      <c r="H73" s="536">
        <f>G73+'1'!H73</f>
        <v>2</v>
      </c>
      <c r="I73" s="556"/>
      <c r="J73" s="629">
        <f>H73/DAY(B2)</f>
        <v>1</v>
      </c>
      <c r="K73" s="469"/>
      <c r="L73" s="408"/>
      <c r="O73" s="413"/>
    </row>
    <row r="74" spans="1:15" ht="27.75">
      <c r="A74" s="1367" t="s">
        <v>204</v>
      </c>
      <c r="B74" s="1368"/>
      <c r="C74" s="1369"/>
      <c r="D74" s="599" t="s">
        <v>198</v>
      </c>
      <c r="E74" s="597">
        <f>'1'!F74</f>
        <v>881364</v>
      </c>
      <c r="F74" s="735">
        <v>881408</v>
      </c>
      <c r="G74" s="549">
        <f t="shared" si="5"/>
        <v>44</v>
      </c>
      <c r="H74" s="536">
        <f>G74+'1'!H74</f>
        <v>93</v>
      </c>
      <c r="I74" s="556"/>
      <c r="J74" s="629">
        <f>H74/DAY(B2)</f>
        <v>46.5</v>
      </c>
      <c r="K74" s="470"/>
      <c r="L74" s="408"/>
      <c r="O74" s="413"/>
    </row>
    <row r="75" spans="1:15" ht="27.75">
      <c r="A75" s="1364" t="s">
        <v>205</v>
      </c>
      <c r="B75" s="1365"/>
      <c r="C75" s="1366"/>
      <c r="D75" s="599" t="s">
        <v>198</v>
      </c>
      <c r="E75" s="597">
        <f>'1'!F75</f>
        <v>731830</v>
      </c>
      <c r="F75" s="737">
        <v>732023</v>
      </c>
      <c r="G75" s="549">
        <f t="shared" si="5"/>
        <v>193</v>
      </c>
      <c r="H75" s="536">
        <f>G75+'1'!H75</f>
        <v>382</v>
      </c>
      <c r="I75" s="556"/>
      <c r="J75" s="629">
        <f>H75/DAY(B2)</f>
        <v>191</v>
      </c>
      <c r="K75" s="469"/>
      <c r="L75" s="408"/>
      <c r="O75" s="413"/>
    </row>
    <row r="76" spans="1:15" ht="27.75">
      <c r="A76" s="1364" t="s">
        <v>206</v>
      </c>
      <c r="B76" s="1365"/>
      <c r="C76" s="1366"/>
      <c r="D76" s="599" t="s">
        <v>198</v>
      </c>
      <c r="E76" s="596">
        <f>'1'!F76</f>
        <v>684364</v>
      </c>
      <c r="F76" s="736">
        <v>684438</v>
      </c>
      <c r="G76" s="549">
        <f t="shared" si="5"/>
        <v>74</v>
      </c>
      <c r="H76" s="536">
        <f>G76+'1'!H76</f>
        <v>172</v>
      </c>
      <c r="I76" s="581"/>
      <c r="J76" s="629">
        <f>H76/DAY(B2)</f>
        <v>86</v>
      </c>
      <c r="K76" s="469"/>
      <c r="L76" s="408"/>
      <c r="O76" s="413"/>
    </row>
    <row r="77" spans="1:15" ht="27.75">
      <c r="A77" s="1367" t="s">
        <v>207</v>
      </c>
      <c r="B77" s="1368"/>
      <c r="C77" s="1369"/>
      <c r="D77" s="599" t="s">
        <v>198</v>
      </c>
      <c r="E77" s="596">
        <f>'1'!F77</f>
        <v>695455</v>
      </c>
      <c r="F77" s="736">
        <v>695516</v>
      </c>
      <c r="G77" s="733">
        <f t="shared" si="5"/>
        <v>61</v>
      </c>
      <c r="H77" s="536">
        <f>G77+'1'!H77</f>
        <v>122</v>
      </c>
      <c r="I77" s="581"/>
      <c r="J77" s="629">
        <f>H77/DAY(B2)</f>
        <v>61</v>
      </c>
      <c r="K77" s="469"/>
      <c r="L77" s="408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'1'!F78</f>
        <v>631142</v>
      </c>
      <c r="F78" s="737">
        <v>631507</v>
      </c>
      <c r="G78" s="549">
        <f t="shared" si="5"/>
        <v>365</v>
      </c>
      <c r="H78" s="536">
        <f>G78+'1'!H78</f>
        <v>734</v>
      </c>
      <c r="I78" s="581"/>
      <c r="J78" s="629">
        <f>H78/DAY(B2)</f>
        <v>367</v>
      </c>
      <c r="K78" s="469"/>
      <c r="L78" s="408"/>
      <c r="O78" s="413"/>
    </row>
    <row r="79" spans="1:15" ht="27.75">
      <c r="A79" s="1364" t="s">
        <v>97</v>
      </c>
      <c r="B79" s="1365"/>
      <c r="C79" s="1366"/>
      <c r="D79" s="600" t="s">
        <v>198</v>
      </c>
      <c r="E79" s="597">
        <f>'1'!F79</f>
        <v>804030</v>
      </c>
      <c r="F79" s="737">
        <v>804230</v>
      </c>
      <c r="G79" s="549">
        <f t="shared" si="5"/>
        <v>200</v>
      </c>
      <c r="H79" s="536">
        <f>G79+'1'!H79</f>
        <v>387</v>
      </c>
      <c r="I79" s="581"/>
      <c r="J79" s="629">
        <f>H79/DAY(B2)</f>
        <v>193.5</v>
      </c>
      <c r="K79" s="469"/>
      <c r="L79" s="408"/>
      <c r="O79" s="413"/>
    </row>
    <row r="80" spans="1:15" ht="27.75">
      <c r="A80" s="1364" t="s">
        <v>209</v>
      </c>
      <c r="B80" s="1365"/>
      <c r="C80" s="1366"/>
      <c r="D80" s="600" t="s">
        <v>198</v>
      </c>
      <c r="E80" s="596">
        <f>'1'!F80</f>
        <v>475841</v>
      </c>
      <c r="F80" s="736">
        <v>476152</v>
      </c>
      <c r="G80" s="549">
        <f t="shared" si="5"/>
        <v>311</v>
      </c>
      <c r="H80" s="536">
        <f>G80+'1'!H80</f>
        <v>621</v>
      </c>
      <c r="I80" s="581"/>
      <c r="J80" s="629">
        <f>H80/DAY(B2)</f>
        <v>310.5</v>
      </c>
      <c r="K80" s="469"/>
      <c r="L80" s="408"/>
      <c r="O80" s="413"/>
    </row>
    <row r="81" spans="1:15" ht="27.75">
      <c r="A81" s="1364" t="s">
        <v>210</v>
      </c>
      <c r="B81" s="1365"/>
      <c r="C81" s="1366"/>
      <c r="D81" s="600" t="s">
        <v>198</v>
      </c>
      <c r="E81" s="596">
        <f>'1'!F81</f>
        <v>619383</v>
      </c>
      <c r="F81" s="736">
        <v>619506</v>
      </c>
      <c r="G81" s="549">
        <f t="shared" si="5"/>
        <v>123</v>
      </c>
      <c r="H81" s="536">
        <f>G81+'1'!H81</f>
        <v>252</v>
      </c>
      <c r="I81" s="581"/>
      <c r="J81" s="629">
        <f>H81/DAY(B2)</f>
        <v>126</v>
      </c>
      <c r="K81" s="469"/>
      <c r="L81" s="408"/>
      <c r="O81" s="413"/>
    </row>
    <row r="82" spans="1:15" ht="27.75">
      <c r="A82" s="1364" t="s">
        <v>100</v>
      </c>
      <c r="B82" s="1365"/>
      <c r="C82" s="1366"/>
      <c r="D82" s="561" t="s">
        <v>143</v>
      </c>
      <c r="E82" s="596">
        <f>'1'!F82</f>
        <v>104461</v>
      </c>
      <c r="F82" s="732">
        <v>104472.84</v>
      </c>
      <c r="G82" s="549">
        <f t="shared" si="5"/>
        <v>11.839999999996508</v>
      </c>
      <c r="H82" s="536">
        <f>G82+'1'!H82</f>
        <v>34.839999999996508</v>
      </c>
      <c r="I82" s="562"/>
      <c r="J82" s="629">
        <f>H82/DAY(B2)</f>
        <v>17.419999999998254</v>
      </c>
      <c r="K82" s="469"/>
      <c r="L82" s="408"/>
      <c r="O82" s="413"/>
    </row>
    <row r="83" spans="1:15" ht="27.75">
      <c r="A83" s="1364" t="s">
        <v>211</v>
      </c>
      <c r="B83" s="1365"/>
      <c r="C83" s="1366"/>
      <c r="D83" s="697" t="s">
        <v>143</v>
      </c>
      <c r="E83" s="587">
        <f>'1'!F83</f>
        <v>973804</v>
      </c>
      <c r="F83" s="587">
        <v>974197</v>
      </c>
      <c r="G83" s="549">
        <f t="shared" si="5"/>
        <v>393</v>
      </c>
      <c r="H83" s="536">
        <f>G83+'1'!H83</f>
        <v>726</v>
      </c>
      <c r="I83" s="557"/>
      <c r="J83" s="629">
        <f>H83/DAY(B2)</f>
        <v>363</v>
      </c>
      <c r="K83" s="468"/>
      <c r="L83" s="408"/>
      <c r="O83" s="413"/>
    </row>
    <row r="84" spans="1:15">
      <c r="A84" s="1256" t="s">
        <v>212</v>
      </c>
      <c r="B84" s="648"/>
      <c r="C84" s="648"/>
      <c r="D84" s="554" t="s">
        <v>143</v>
      </c>
      <c r="E84" s="704">
        <f>'1'!F84</f>
        <v>397642</v>
      </c>
      <c r="F84" s="704">
        <v>398126</v>
      </c>
      <c r="G84" s="549">
        <f t="shared" si="5"/>
        <v>484</v>
      </c>
      <c r="H84" s="536">
        <f>G84+'1'!H84</f>
        <v>930</v>
      </c>
      <c r="I84" s="557"/>
      <c r="J84" s="629">
        <f>H84/DAY(B2)</f>
        <v>465</v>
      </c>
      <c r="K84" s="411"/>
      <c r="L84" s="408"/>
      <c r="O84" s="413"/>
    </row>
    <row r="85" spans="1:15" s="410" customFormat="1">
      <c r="A85" s="682" t="s">
        <v>213</v>
      </c>
      <c r="B85" s="649"/>
      <c r="C85" s="649"/>
      <c r="D85" s="565"/>
      <c r="E85" s="704">
        <f>'1'!F85</f>
        <v>0</v>
      </c>
      <c r="F85" s="599"/>
      <c r="G85" s="536">
        <f xml:space="preserve"> SUM(G71:G84)</f>
        <v>2330.8399999999965</v>
      </c>
      <c r="H85" s="536">
        <f>G85+'1'!H84</f>
        <v>2776.8399999999965</v>
      </c>
      <c r="I85" s="557"/>
      <c r="J85" s="629">
        <f>H85/DAY(B2)</f>
        <v>1388.4199999999983</v>
      </c>
      <c r="K85" s="411"/>
      <c r="L85" s="409"/>
      <c r="O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'1'!F86</f>
        <v>444332</v>
      </c>
      <c r="F86" s="728">
        <v>444384</v>
      </c>
      <c r="G86" s="805">
        <f t="shared" ref="G86:G90" si="6">F86-E86</f>
        <v>52</v>
      </c>
      <c r="H86" s="805">
        <f t="shared" ref="H86:H88" si="7">G86</f>
        <v>52</v>
      </c>
      <c r="I86" s="733"/>
      <c r="J86" s="807">
        <f>H86/DAY(B2)</f>
        <v>26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'1'!F87</f>
        <v>77763</v>
      </c>
      <c r="F87" s="728">
        <v>77772.800000000003</v>
      </c>
      <c r="G87" s="805">
        <f t="shared" si="6"/>
        <v>9.8000000000029104</v>
      </c>
      <c r="H87" s="805">
        <f t="shared" si="7"/>
        <v>9.8000000000029104</v>
      </c>
      <c r="I87" s="733"/>
      <c r="J87" s="807">
        <f>H87/DAY(B2)</f>
        <v>4.9000000000014552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'1'!F88</f>
        <v>144584</v>
      </c>
      <c r="F88" s="728">
        <v>144642.57</v>
      </c>
      <c r="G88" s="805">
        <f t="shared" si="6"/>
        <v>58.570000000006985</v>
      </c>
      <c r="H88" s="805">
        <f t="shared" si="7"/>
        <v>58.570000000006985</v>
      </c>
      <c r="I88" s="733"/>
      <c r="J88" s="807">
        <f>H88/DAY(B2)</f>
        <v>29.285000000003492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'1'!F89</f>
        <v>57743</v>
      </c>
      <c r="F89" s="728">
        <v>57800</v>
      </c>
      <c r="G89" s="805">
        <f t="shared" si="6"/>
        <v>57</v>
      </c>
      <c r="H89" s="805">
        <f>G89+'1'!H89</f>
        <v>110.90000000000146</v>
      </c>
      <c r="I89" s="733"/>
      <c r="J89" s="807">
        <f>H89/DAY(B2)</f>
        <v>55.450000000000728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'1'!F90</f>
        <v>2983</v>
      </c>
      <c r="F90" s="728">
        <v>2984</v>
      </c>
      <c r="G90" s="805">
        <f t="shared" si="6"/>
        <v>1</v>
      </c>
      <c r="H90" s="805">
        <f>G90+'1'!H90</f>
        <v>1.4000000000000909</v>
      </c>
      <c r="I90" s="733"/>
      <c r="J90" s="807">
        <f>H90/DAY(B2)</f>
        <v>0.70000000000004547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>
      <c r="A92" s="1388" t="s">
        <v>217</v>
      </c>
      <c r="B92" s="1389"/>
      <c r="C92" s="1390"/>
      <c r="D92" s="599" t="s">
        <v>155</v>
      </c>
      <c r="E92" s="560">
        <f>'1'!F92</f>
        <v>234035</v>
      </c>
      <c r="F92" s="554">
        <v>234121</v>
      </c>
      <c r="G92" s="549">
        <f t="shared" ref="G92:G93" si="8">F92-E92</f>
        <v>86</v>
      </c>
      <c r="H92" s="536">
        <f>G92+'1'!H92</f>
        <v>219</v>
      </c>
      <c r="I92" s="556"/>
      <c r="J92" s="629">
        <f>H92/DAY(B2)</f>
        <v>109.5</v>
      </c>
      <c r="K92" s="468"/>
      <c r="L92" s="408"/>
      <c r="O92" s="413"/>
    </row>
    <row r="93" spans="1:15" ht="27.75">
      <c r="A93" s="1388" t="s">
        <v>218</v>
      </c>
      <c r="B93" s="1389"/>
      <c r="C93" s="1390"/>
      <c r="D93" s="599" t="s">
        <v>155</v>
      </c>
      <c r="E93" s="560">
        <f>'1'!F93</f>
        <v>167057</v>
      </c>
      <c r="F93" s="554">
        <v>167207</v>
      </c>
      <c r="G93" s="549">
        <f t="shared" si="8"/>
        <v>150</v>
      </c>
      <c r="H93" s="536">
        <f>G93+'1'!H93</f>
        <v>291</v>
      </c>
      <c r="I93" s="556"/>
      <c r="J93" s="629">
        <f>H93/DAY(B2)</f>
        <v>145.5</v>
      </c>
      <c r="K93" s="411"/>
      <c r="L93" s="408"/>
      <c r="O93" s="413"/>
    </row>
    <row r="94" spans="1:15">
      <c r="A94" s="1419" t="s">
        <v>219</v>
      </c>
      <c r="B94" s="1420"/>
      <c r="C94" s="1421"/>
      <c r="D94" s="599"/>
      <c r="E94" s="560"/>
      <c r="F94" s="554"/>
      <c r="G94" s="549">
        <f>G92+G93</f>
        <v>236</v>
      </c>
      <c r="H94" s="536">
        <f>G94+'1'!H94</f>
        <v>236</v>
      </c>
      <c r="I94" s="556"/>
      <c r="J94" s="629">
        <f>H94/DAY(B2)</f>
        <v>118</v>
      </c>
      <c r="K94" s="411"/>
      <c r="L94" s="408"/>
      <c r="O94" s="413"/>
    </row>
    <row r="95" spans="1:15" ht="27.75">
      <c r="A95" s="1388" t="s">
        <v>220</v>
      </c>
      <c r="B95" s="1389"/>
      <c r="C95" s="1390"/>
      <c r="D95" s="599" t="s">
        <v>155</v>
      </c>
      <c r="E95" s="560">
        <f>'1'!F95</f>
        <v>403725</v>
      </c>
      <c r="F95" s="554">
        <v>403796</v>
      </c>
      <c r="G95" s="549">
        <f t="shared" ref="G95:G100" si="9">F95-E95</f>
        <v>71</v>
      </c>
      <c r="H95" s="536">
        <f>G95+'1'!H95</f>
        <v>131</v>
      </c>
      <c r="I95" s="556"/>
      <c r="J95" s="629">
        <f>H95/DAY(B2)</f>
        <v>65.5</v>
      </c>
      <c r="K95" s="411"/>
      <c r="L95" s="408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'1'!F96</f>
        <v>99954</v>
      </c>
      <c r="F96" s="554">
        <v>99970</v>
      </c>
      <c r="G96" s="549">
        <f t="shared" si="9"/>
        <v>16</v>
      </c>
      <c r="H96" s="536">
        <f>G96+'1'!H96</f>
        <v>49</v>
      </c>
      <c r="I96" s="556"/>
      <c r="J96" s="629">
        <f>H96/DAY(B2)</f>
        <v>24.5</v>
      </c>
      <c r="K96" s="466"/>
      <c r="L96" s="408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'1'!F97</f>
        <v>95064</v>
      </c>
      <c r="F97" s="554">
        <v>95087</v>
      </c>
      <c r="G97" s="549">
        <f t="shared" si="9"/>
        <v>23</v>
      </c>
      <c r="H97" s="536">
        <f>G97+'1'!H97</f>
        <v>60</v>
      </c>
      <c r="I97" s="556"/>
      <c r="J97" s="629">
        <f>H97/DAY(B2)</f>
        <v>30</v>
      </c>
      <c r="K97" s="471"/>
      <c r="L97" s="408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'1'!F98</f>
        <v>143857</v>
      </c>
      <c r="F98" s="554">
        <v>143916</v>
      </c>
      <c r="G98" s="549">
        <f t="shared" si="9"/>
        <v>59</v>
      </c>
      <c r="H98" s="536">
        <f>G98+'1'!H98</f>
        <v>109</v>
      </c>
      <c r="I98" s="556"/>
      <c r="J98" s="629">
        <f>H98/DAY(B2)</f>
        <v>54.5</v>
      </c>
      <c r="K98" s="411"/>
      <c r="L98" s="408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'1'!F99</f>
        <v>5532</v>
      </c>
      <c r="F99" s="554">
        <v>5541</v>
      </c>
      <c r="G99" s="549">
        <f t="shared" si="9"/>
        <v>9</v>
      </c>
      <c r="H99" s="536">
        <f>G99+'1'!H99</f>
        <v>39</v>
      </c>
      <c r="I99" s="556"/>
      <c r="J99" s="629">
        <f>H99/DAY(B2)</f>
        <v>19.5</v>
      </c>
      <c r="K99" s="411"/>
      <c r="L99" s="408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'1'!F100</f>
        <v>3981</v>
      </c>
      <c r="F100" s="554">
        <v>3986</v>
      </c>
      <c r="G100" s="549">
        <f t="shared" si="9"/>
        <v>5</v>
      </c>
      <c r="H100" s="536">
        <f>G100+'1'!H100</f>
        <v>22</v>
      </c>
      <c r="I100" s="556"/>
      <c r="J100" s="629">
        <f>H100/DAY(B2)</f>
        <v>11</v>
      </c>
      <c r="K100" s="411"/>
      <c r="L100" s="408"/>
      <c r="O100" s="413"/>
    </row>
    <row r="101" spans="1:15">
      <c r="A101" s="1419" t="s">
        <v>227</v>
      </c>
      <c r="B101" s="1420"/>
      <c r="C101" s="1421"/>
      <c r="D101" s="600"/>
      <c r="E101" s="600"/>
      <c r="F101" s="600"/>
      <c r="G101" s="601">
        <f>SUM(G95:G100)</f>
        <v>183</v>
      </c>
      <c r="H101" s="536">
        <f>G101+'1'!H101</f>
        <v>410</v>
      </c>
      <c r="I101" s="602"/>
      <c r="J101" s="629">
        <f>H101/DAY(B2)</f>
        <v>205</v>
      </c>
      <c r="K101" s="411"/>
      <c r="L101" s="408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>
      <c r="A103" s="1422" t="s">
        <v>229</v>
      </c>
      <c r="B103" s="1423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>
      <c r="A104" s="1380" t="s">
        <v>230</v>
      </c>
      <c r="B104" s="1381"/>
      <c r="C104" s="1250"/>
      <c r="D104" s="699" t="s">
        <v>155</v>
      </c>
      <c r="E104" s="608">
        <f>'1'!F104</f>
        <v>7010</v>
      </c>
      <c r="F104" s="739">
        <v>7010</v>
      </c>
      <c r="G104" s="608">
        <f>F104-E104</f>
        <v>0</v>
      </c>
      <c r="H104" s="536">
        <f>G104+'1'!H104</f>
        <v>0</v>
      </c>
      <c r="I104" s="608"/>
      <c r="J104" s="635">
        <f>H104/DAY(B2)</f>
        <v>0</v>
      </c>
      <c r="O104" s="413"/>
    </row>
    <row r="105" spans="1:15" s="481" customFormat="1" ht="27.75">
      <c r="A105" s="1380" t="s">
        <v>77</v>
      </c>
      <c r="B105" s="1381"/>
      <c r="C105" s="1250"/>
      <c r="D105" s="699" t="s">
        <v>155</v>
      </c>
      <c r="E105" s="610">
        <f>'1'!F105</f>
        <v>34926</v>
      </c>
      <c r="F105" s="740">
        <v>34941</v>
      </c>
      <c r="G105" s="608">
        <f t="shared" ref="G105:G106" si="10">F105-E105</f>
        <v>15</v>
      </c>
      <c r="H105" s="536">
        <f>G105+'1'!H105</f>
        <v>16</v>
      </c>
      <c r="I105" s="608"/>
      <c r="J105" s="635">
        <f>H105/DAY(B2)</f>
        <v>8</v>
      </c>
      <c r="O105" s="413"/>
    </row>
    <row r="106" spans="1:15" s="481" customFormat="1" ht="27.75">
      <c r="A106" s="1380" t="s">
        <v>78</v>
      </c>
      <c r="B106" s="1424"/>
      <c r="C106" s="1381"/>
      <c r="D106" s="699" t="s">
        <v>155</v>
      </c>
      <c r="E106" s="608">
        <f>'1'!F106</f>
        <v>18893</v>
      </c>
      <c r="F106" s="739">
        <v>18899</v>
      </c>
      <c r="G106" s="608">
        <f t="shared" si="10"/>
        <v>6</v>
      </c>
      <c r="H106" s="536">
        <f>G106+'1'!H106</f>
        <v>10</v>
      </c>
      <c r="I106" s="608"/>
      <c r="J106" s="635">
        <f>H106/DAY(B2)</f>
        <v>5</v>
      </c>
      <c r="O106" s="413"/>
    </row>
    <row r="107" spans="1:15" s="481" customFormat="1" ht="27.75">
      <c r="A107" s="1382" t="s">
        <v>213</v>
      </c>
      <c r="B107" s="1383"/>
      <c r="C107" s="1250"/>
      <c r="D107" s="699"/>
      <c r="E107" s="608"/>
      <c r="F107" s="739"/>
      <c r="G107" s="608">
        <f>SUM(G104:G106)</f>
        <v>21</v>
      </c>
      <c r="H107" s="536">
        <f>G107+'1'!H107</f>
        <v>26</v>
      </c>
      <c r="I107" s="608"/>
      <c r="J107" s="635">
        <f>H107/DAY(B2)</f>
        <v>13</v>
      </c>
      <c r="O107" s="413"/>
    </row>
    <row r="108" spans="1:15" s="481" customFormat="1" ht="27.75">
      <c r="A108" s="1386" t="s">
        <v>79</v>
      </c>
      <c r="B108" s="1387"/>
      <c r="C108" s="1250"/>
      <c r="D108" s="699" t="s">
        <v>155</v>
      </c>
      <c r="E108" s="608"/>
      <c r="F108" s="739"/>
      <c r="G108" s="608"/>
      <c r="H108" s="536">
        <f>G108+'1'!H108</f>
        <v>0</v>
      </c>
      <c r="I108" s="608"/>
      <c r="J108" s="635"/>
      <c r="O108" s="413"/>
    </row>
    <row r="109" spans="1:15" s="481" customFormat="1" ht="27.75">
      <c r="A109" s="1380" t="s">
        <v>231</v>
      </c>
      <c r="B109" s="1381"/>
      <c r="C109" s="1250"/>
      <c r="D109" s="699" t="s">
        <v>155</v>
      </c>
      <c r="E109" s="608">
        <f>'1'!F109</f>
        <v>53076</v>
      </c>
      <c r="F109" s="739">
        <v>53138</v>
      </c>
      <c r="G109" s="608">
        <f>F109-E109</f>
        <v>62</v>
      </c>
      <c r="H109" s="536">
        <f>G109+'1'!H109</f>
        <v>123</v>
      </c>
      <c r="I109" s="608"/>
      <c r="J109" s="635">
        <f>H109/DAY(B2)</f>
        <v>61.5</v>
      </c>
      <c r="O109" s="413"/>
    </row>
    <row r="110" spans="1:15" s="481" customFormat="1" ht="27.75">
      <c r="A110" s="1380" t="s">
        <v>232</v>
      </c>
      <c r="B110" s="1381"/>
      <c r="C110" s="1250"/>
      <c r="D110" s="699" t="s">
        <v>155</v>
      </c>
      <c r="E110" s="608">
        <f>'1'!F110</f>
        <v>26947</v>
      </c>
      <c r="F110" s="739">
        <v>26990</v>
      </c>
      <c r="G110" s="608">
        <f t="shared" ref="G110:G111" si="11">F110-E110</f>
        <v>43</v>
      </c>
      <c r="H110" s="536">
        <f>G110+'1'!H110</f>
        <v>87</v>
      </c>
      <c r="I110" s="608"/>
      <c r="J110" s="635">
        <f>H110/DAY(B2)</f>
        <v>43.5</v>
      </c>
      <c r="O110" s="413"/>
    </row>
    <row r="111" spans="1:15" s="481" customFormat="1" ht="27.75">
      <c r="A111" s="1380" t="s">
        <v>233</v>
      </c>
      <c r="B111" s="1381"/>
      <c r="C111" s="1250"/>
      <c r="D111" s="699" t="s">
        <v>155</v>
      </c>
      <c r="E111" s="608">
        <f>'1'!F111</f>
        <v>3567</v>
      </c>
      <c r="F111" s="739">
        <v>3582</v>
      </c>
      <c r="G111" s="608">
        <f t="shared" si="11"/>
        <v>15</v>
      </c>
      <c r="H111" s="536">
        <f>G111+'1'!H111</f>
        <v>15</v>
      </c>
      <c r="I111" s="608"/>
      <c r="J111" s="635">
        <f>H111/DAY(B2)</f>
        <v>7.5</v>
      </c>
      <c r="O111" s="413"/>
    </row>
    <row r="112" spans="1:15" s="481" customFormat="1" ht="27.75">
      <c r="A112" s="1384" t="s">
        <v>121</v>
      </c>
      <c r="B112" s="1385"/>
      <c r="C112" s="1250"/>
      <c r="D112" s="699"/>
      <c r="E112" s="608"/>
      <c r="F112" s="739"/>
      <c r="G112" s="608">
        <f>SUM(G109:G111)</f>
        <v>120</v>
      </c>
      <c r="H112" s="536">
        <f>G112+'1'!H112</f>
        <v>225</v>
      </c>
      <c r="I112" s="608"/>
      <c r="J112" s="635">
        <f>H112/DAY(B2)</f>
        <v>112.5</v>
      </c>
      <c r="O112" s="413"/>
    </row>
    <row r="113" spans="1:15" s="481" customFormat="1" ht="27.75">
      <c r="A113" s="1386" t="s">
        <v>234</v>
      </c>
      <c r="B113" s="1387"/>
      <c r="C113" s="1250"/>
      <c r="D113" s="699"/>
      <c r="E113" s="608"/>
      <c r="F113" s="739"/>
      <c r="G113" s="608"/>
      <c r="H113" s="536">
        <f>G113+'1'!H113</f>
        <v>0</v>
      </c>
      <c r="I113" s="608"/>
      <c r="J113" s="635">
        <f>H113/DAY(B2)</f>
        <v>0</v>
      </c>
      <c r="O113" s="413"/>
    </row>
    <row r="114" spans="1:15" s="481" customFormat="1" ht="27.75">
      <c r="A114" s="1380" t="s">
        <v>235</v>
      </c>
      <c r="B114" s="1381"/>
      <c r="C114" s="651"/>
      <c r="D114" s="699" t="s">
        <v>155</v>
      </c>
      <c r="E114" s="610">
        <f>'1'!F114</f>
        <v>9273</v>
      </c>
      <c r="F114" s="740">
        <v>9284</v>
      </c>
      <c r="G114" s="610">
        <f>F114-E114</f>
        <v>11</v>
      </c>
      <c r="H114" s="536">
        <f>G114+'1'!H114</f>
        <v>44</v>
      </c>
      <c r="I114" s="608"/>
      <c r="J114" s="635">
        <f>H114/DAY(B2)</f>
        <v>22</v>
      </c>
      <c r="O114" s="413"/>
    </row>
    <row r="115" spans="1:15" s="481" customFormat="1" ht="27.75">
      <c r="A115" s="1380" t="s">
        <v>236</v>
      </c>
      <c r="B115" s="1381"/>
      <c r="C115" s="651"/>
      <c r="D115" s="699" t="s">
        <v>155</v>
      </c>
      <c r="E115" s="610">
        <f>'1'!F115</f>
        <v>7204</v>
      </c>
      <c r="F115" s="740">
        <v>7209</v>
      </c>
      <c r="G115" s="610">
        <f t="shared" ref="G115:G116" si="12">F115-E115</f>
        <v>5</v>
      </c>
      <c r="H115" s="536">
        <f>G115+'1'!H115</f>
        <v>20</v>
      </c>
      <c r="I115" s="608"/>
      <c r="J115" s="635">
        <f>H115/DAY(B2)</f>
        <v>10</v>
      </c>
      <c r="O115" s="413"/>
    </row>
    <row r="116" spans="1:15" s="481" customFormat="1" ht="27.75">
      <c r="A116" s="1380" t="s">
        <v>237</v>
      </c>
      <c r="B116" s="1381"/>
      <c r="C116" s="651"/>
      <c r="D116" s="699" t="s">
        <v>155</v>
      </c>
      <c r="E116" s="610"/>
      <c r="F116" s="740"/>
      <c r="G116" s="610">
        <f t="shared" si="12"/>
        <v>0</v>
      </c>
      <c r="H116" s="536">
        <f>G116+'1'!H116</f>
        <v>0</v>
      </c>
      <c r="I116" s="608"/>
      <c r="J116" s="635">
        <f>H116/DAY(B2)</f>
        <v>0</v>
      </c>
      <c r="O116" s="413"/>
    </row>
    <row r="117" spans="1:15" s="494" customFormat="1" ht="27.75">
      <c r="A117" s="1382" t="s">
        <v>213</v>
      </c>
      <c r="B117" s="1383"/>
      <c r="C117" s="651"/>
      <c r="D117" s="700"/>
      <c r="E117" s="610"/>
      <c r="F117" s="740"/>
      <c r="G117" s="610">
        <f>SUM(G114:G116)</f>
        <v>16</v>
      </c>
      <c r="H117" s="536">
        <f>G117+'1'!H117</f>
        <v>64</v>
      </c>
      <c r="I117" s="610"/>
      <c r="J117" s="635">
        <f>H117/DAY(B2)</f>
        <v>32</v>
      </c>
      <c r="O117" s="413"/>
    </row>
    <row r="118" spans="1:15" s="495" customFormat="1" ht="27.75">
      <c r="A118" s="1376" t="s">
        <v>238</v>
      </c>
      <c r="B118" s="1377"/>
      <c r="C118" s="1249"/>
      <c r="D118" s="701" t="s">
        <v>155</v>
      </c>
      <c r="E118" s="612"/>
      <c r="F118" s="741">
        <f>SUM(G19+G92)</f>
        <v>141</v>
      </c>
      <c r="G118" s="612">
        <f>SUM(G19+G92)</f>
        <v>141</v>
      </c>
      <c r="H118" s="536">
        <f>G118+'1'!H118</f>
        <v>321</v>
      </c>
      <c r="I118" s="611"/>
      <c r="J118" s="636">
        <f>H118/DAY(B2)</f>
        <v>160.5</v>
      </c>
      <c r="O118" s="413"/>
    </row>
    <row r="119" spans="1:15" s="495" customFormat="1" ht="27.75">
      <c r="A119" s="1376" t="s">
        <v>239</v>
      </c>
      <c r="B119" s="1377"/>
      <c r="C119" s="1249"/>
      <c r="D119" s="701" t="s">
        <v>155</v>
      </c>
      <c r="E119" s="612"/>
      <c r="F119" s="741">
        <f>SUM(G95,G96,G97,G99,G100)</f>
        <v>124</v>
      </c>
      <c r="G119" s="612">
        <f>SUM(G95,G96,G97,G99,G100)</f>
        <v>124</v>
      </c>
      <c r="H119" s="536">
        <f>G119+'1'!H119</f>
        <v>301</v>
      </c>
      <c r="I119" s="611"/>
      <c r="J119" s="636">
        <f>H119/DAY(B2)</f>
        <v>150.5</v>
      </c>
      <c r="O119" s="413"/>
    </row>
    <row r="120" spans="1:15" s="495" customFormat="1" ht="27.75">
      <c r="A120" s="1376" t="s">
        <v>240</v>
      </c>
      <c r="B120" s="1377"/>
      <c r="C120" s="1249"/>
      <c r="D120" s="701" t="s">
        <v>155</v>
      </c>
      <c r="E120" s="610"/>
      <c r="F120" s="740">
        <f>SUM(G112)</f>
        <v>120</v>
      </c>
      <c r="G120" s="610">
        <f>SUM(G112)</f>
        <v>120</v>
      </c>
      <c r="H120" s="536">
        <f>G120+'1'!H120</f>
        <v>225</v>
      </c>
      <c r="I120" s="611"/>
      <c r="J120" s="636">
        <f>H120/DAY(B2)</f>
        <v>112.5</v>
      </c>
      <c r="O120" s="413"/>
    </row>
    <row r="121" spans="1:15" s="481" customFormat="1" ht="27.75">
      <c r="A121" s="1378"/>
      <c r="B121" s="1379"/>
      <c r="C121" s="1250"/>
      <c r="D121" s="637"/>
      <c r="E121" s="637"/>
      <c r="F121" s="742" t="s">
        <v>226</v>
      </c>
      <c r="G121" s="637"/>
      <c r="H121" s="638"/>
      <c r="I121" s="637"/>
      <c r="J121" s="639"/>
      <c r="O121" s="413"/>
    </row>
    <row r="122" spans="1:15">
      <c r="A122" s="1416" t="s">
        <v>241</v>
      </c>
      <c r="B122" s="1417"/>
      <c r="C122" s="1418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f>'1'!F123</f>
        <v>795718</v>
      </c>
      <c r="F123" s="554">
        <v>795994.39</v>
      </c>
      <c r="G123" s="549">
        <f t="shared" ref="G123:G127" si="13">F123-E123</f>
        <v>276.39000000001397</v>
      </c>
      <c r="H123" s="536">
        <f>G123+'1'!H123</f>
        <v>570.3399999999674</v>
      </c>
      <c r="I123" s="602"/>
      <c r="J123" s="629">
        <f>H123/DAY(B2)</f>
        <v>285.1699999999837</v>
      </c>
      <c r="K123" s="411"/>
      <c r="L123" s="408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703">
        <f>'1'!F124</f>
        <v>73582</v>
      </c>
      <c r="F124" s="703">
        <v>73582</v>
      </c>
      <c r="G124" s="549">
        <f t="shared" si="13"/>
        <v>0</v>
      </c>
      <c r="H124" s="536">
        <f>G124+'1'!H124</f>
        <v>-0.19999999999708962</v>
      </c>
      <c r="I124" s="602"/>
      <c r="J124" s="629">
        <f>H124/DAY(B2)</f>
        <v>-9.9999999998544808E-2</v>
      </c>
      <c r="K124" s="411"/>
      <c r="L124" s="408"/>
      <c r="O124" s="413"/>
    </row>
    <row r="125" spans="1:15" ht="27.75">
      <c r="A125" s="1367" t="s">
        <v>244</v>
      </c>
      <c r="B125" s="1368"/>
      <c r="C125" s="1369"/>
      <c r="D125" s="599" t="s">
        <v>152</v>
      </c>
      <c r="E125" s="554">
        <f>'1'!F125</f>
        <v>135664</v>
      </c>
      <c r="F125" s="554">
        <v>135746</v>
      </c>
      <c r="G125" s="549">
        <f t="shared" si="13"/>
        <v>82</v>
      </c>
      <c r="H125" s="536">
        <f>G125+'1'!H125</f>
        <v>155.32999999998719</v>
      </c>
      <c r="I125" s="602"/>
      <c r="J125" s="629">
        <f>H125/DAY(B2)</f>
        <v>77.664999999993597</v>
      </c>
      <c r="K125" s="411"/>
      <c r="L125" s="408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703">
        <f>'1'!F126</f>
        <v>57416</v>
      </c>
      <c r="F126" s="703">
        <v>57450</v>
      </c>
      <c r="G126" s="549">
        <f t="shared" si="13"/>
        <v>34</v>
      </c>
      <c r="H126" s="536">
        <f>G126+'1'!H126</f>
        <v>69</v>
      </c>
      <c r="I126" s="602"/>
      <c r="J126" s="629">
        <f>H126/DAY(B2)</f>
        <v>34.5</v>
      </c>
      <c r="K126" s="411"/>
      <c r="L126" s="408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703">
        <f>'1'!F127</f>
        <v>8708</v>
      </c>
      <c r="F127" s="703">
        <v>8709</v>
      </c>
      <c r="G127" s="549">
        <f t="shared" si="13"/>
        <v>1</v>
      </c>
      <c r="H127" s="536">
        <f>G127+'1'!H127</f>
        <v>3</v>
      </c>
      <c r="I127" s="556"/>
      <c r="J127" s="629">
        <f>H127/DAY(B2)</f>
        <v>1.5</v>
      </c>
      <c r="K127" s="411"/>
      <c r="L127" s="408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429.23000000009779</v>
      </c>
      <c r="H128" s="536">
        <f>G128+'1'!H128</f>
        <v>719.05000000006112</v>
      </c>
      <c r="I128" s="556"/>
      <c r="J128" s="629">
        <f>H128/DAY(B2)</f>
        <v>359.52500000003056</v>
      </c>
      <c r="K128" s="391"/>
      <c r="L128" s="293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f>'1'!F130</f>
        <v>0</v>
      </c>
      <c r="F130" s="554">
        <v>0</v>
      </c>
      <c r="G130" s="549">
        <f t="shared" ref="G130:G140" si="14">F130-E130</f>
        <v>0</v>
      </c>
      <c r="H130" s="536">
        <f>G130+'1'!H130</f>
        <v>0</v>
      </c>
      <c r="I130" s="556"/>
      <c r="J130" s="629">
        <f>H130/DAY(B2)</f>
        <v>0</v>
      </c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f>'1'!F131</f>
        <v>0</v>
      </c>
      <c r="F131" s="554">
        <v>0</v>
      </c>
      <c r="G131" s="549">
        <f t="shared" si="14"/>
        <v>0</v>
      </c>
      <c r="H131" s="536">
        <f>G131+'1'!H131</f>
        <v>0</v>
      </c>
      <c r="I131" s="556"/>
      <c r="J131" s="629">
        <f>H131/DAY(B2)</f>
        <v>0</v>
      </c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f>'1'!F132</f>
        <v>38901</v>
      </c>
      <c r="F132" s="732">
        <v>38901</v>
      </c>
      <c r="G132" s="549">
        <f t="shared" si="14"/>
        <v>0</v>
      </c>
      <c r="H132" s="536">
        <f>G132+'1'!H132</f>
        <v>0</v>
      </c>
      <c r="I132" s="556"/>
      <c r="J132" s="629">
        <f>H132/DAY(B2)</f>
        <v>0</v>
      </c>
      <c r="O132" s="413"/>
    </row>
    <row r="133" spans="1:15" ht="27.75">
      <c r="A133" s="1252" t="s">
        <v>253</v>
      </c>
      <c r="B133" s="1253"/>
      <c r="C133" s="1253"/>
      <c r="D133" s="599" t="s">
        <v>250</v>
      </c>
      <c r="E133" s="618">
        <f>'1'!F133</f>
        <v>299</v>
      </c>
      <c r="F133" s="732">
        <v>299</v>
      </c>
      <c r="G133" s="549">
        <f t="shared" si="14"/>
        <v>0</v>
      </c>
      <c r="H133" s="536">
        <f>G133+'1'!H133</f>
        <v>0</v>
      </c>
      <c r="I133" s="556">
        <f>G132+G133+G134+G135</f>
        <v>24.470000000001164</v>
      </c>
      <c r="J133" s="629">
        <f>H133/DAY(B2)</f>
        <v>0</v>
      </c>
      <c r="O133" s="413"/>
    </row>
    <row r="134" spans="1:15" ht="27.75">
      <c r="A134" s="1252" t="s">
        <v>254</v>
      </c>
      <c r="B134" s="1253"/>
      <c r="C134" s="1253"/>
      <c r="D134" s="599" t="s">
        <v>250</v>
      </c>
      <c r="E134" s="618">
        <f>'1'!F134</f>
        <v>39735</v>
      </c>
      <c r="F134" s="732">
        <v>39735</v>
      </c>
      <c r="G134" s="549">
        <f t="shared" si="14"/>
        <v>0</v>
      </c>
      <c r="H134" s="536">
        <f>G134+'1'!H134</f>
        <v>0</v>
      </c>
      <c r="I134" s="556"/>
      <c r="J134" s="629">
        <f>H134/DAY(B2)</f>
        <v>0</v>
      </c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618">
        <f>'1'!F135</f>
        <v>32191</v>
      </c>
      <c r="F135" s="732">
        <v>32215.47</v>
      </c>
      <c r="G135" s="549">
        <f t="shared" si="14"/>
        <v>24.470000000001164</v>
      </c>
      <c r="H135" s="536">
        <f>G135+'1'!H135</f>
        <v>48.080000000001746</v>
      </c>
      <c r="I135" s="556"/>
      <c r="J135" s="629">
        <f>H135/DAY(B2)</f>
        <v>24.040000000000873</v>
      </c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f>'1'!F136</f>
        <v>21803.85</v>
      </c>
      <c r="F136" s="732">
        <v>21810.86</v>
      </c>
      <c r="G136" s="549">
        <f t="shared" si="14"/>
        <v>7.0100000000020373</v>
      </c>
      <c r="H136" s="536">
        <f>G136+'1'!H136</f>
        <v>9.1599999999998545</v>
      </c>
      <c r="I136" s="556"/>
      <c r="J136" s="629">
        <f>H136/DAY(B2)</f>
        <v>4.5799999999999272</v>
      </c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f>'1'!F137</f>
        <v>24990.61</v>
      </c>
      <c r="F137" s="732">
        <v>24990.61</v>
      </c>
      <c r="G137" s="549">
        <f t="shared" si="14"/>
        <v>0</v>
      </c>
      <c r="H137" s="536">
        <f>G137+'1'!H137</f>
        <v>0</v>
      </c>
      <c r="I137" s="556"/>
      <c r="J137" s="629">
        <f>H137/DAY(B2)</f>
        <v>0</v>
      </c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f>'1'!F138</f>
        <v>70011.73</v>
      </c>
      <c r="F138" s="732">
        <v>70011.73</v>
      </c>
      <c r="G138" s="549">
        <f t="shared" si="14"/>
        <v>0</v>
      </c>
      <c r="H138" s="536">
        <f>G138+'1'!H138</f>
        <v>5.3600000000005821</v>
      </c>
      <c r="I138" s="556">
        <f>G136+G137+G138</f>
        <v>7.0100000000020373</v>
      </c>
      <c r="J138" s="629">
        <f>H138/DAY(B2)</f>
        <v>2.680000000000291</v>
      </c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60">
        <f>'1'!F139</f>
        <v>1063</v>
      </c>
      <c r="F139" s="554">
        <v>1063</v>
      </c>
      <c r="G139" s="549">
        <f t="shared" si="14"/>
        <v>0</v>
      </c>
      <c r="H139" s="536">
        <f>G139+'1'!H139</f>
        <v>0</v>
      </c>
      <c r="I139" s="619"/>
      <c r="J139" s="629">
        <f>H139/DAY(B2)</f>
        <v>0</v>
      </c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60">
        <f>'1'!F140</f>
        <v>4242.16</v>
      </c>
      <c r="F140" s="554">
        <v>4251.29</v>
      </c>
      <c r="G140" s="549">
        <f t="shared" si="14"/>
        <v>9.1300000000001091</v>
      </c>
      <c r="H140" s="536">
        <f>G140+'1'!H140</f>
        <v>18.880000000000109</v>
      </c>
      <c r="I140" s="619">
        <f>G139+G140</f>
        <v>9.1300000000001091</v>
      </c>
      <c r="J140" s="629">
        <f>H140/DAY(B2)</f>
        <v>9.4400000000000546</v>
      </c>
      <c r="O140" s="413"/>
    </row>
    <row r="141" spans="1:15">
      <c r="A141" s="1397" t="s">
        <v>261</v>
      </c>
      <c r="B141" s="1398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388" t="s">
        <v>262</v>
      </c>
      <c r="B142" s="1389"/>
      <c r="C142" s="1390"/>
      <c r="D142" s="599" t="s">
        <v>143</v>
      </c>
      <c r="E142" s="599"/>
      <c r="F142" s="599"/>
      <c r="G142" s="536">
        <f>G35+G43+G49+G57</f>
        <v>4838.8099999999977</v>
      </c>
      <c r="H142" s="536">
        <f>G142+'1'!H142</f>
        <v>9740.3799999999464</v>
      </c>
      <c r="I142" s="556"/>
      <c r="J142" s="629">
        <f>H142/DAY(B2)</f>
        <v>4870.1899999999732</v>
      </c>
      <c r="K142" s="411"/>
      <c r="L142" s="408"/>
      <c r="O142" s="413"/>
    </row>
    <row r="143" spans="1:15" ht="27.75">
      <c r="A143" s="1388" t="s">
        <v>263</v>
      </c>
      <c r="B143" s="1389"/>
      <c r="C143" s="1390"/>
      <c r="D143" s="599" t="s">
        <v>24</v>
      </c>
      <c r="E143" s="587"/>
      <c r="F143" s="587"/>
      <c r="G143" s="620">
        <f>G142/G7</f>
        <v>0.24718073150796882</v>
      </c>
      <c r="H143" s="536">
        <f>G143+'1'!H153</f>
        <v>0.31999250494353643</v>
      </c>
      <c r="I143" s="621"/>
      <c r="J143" s="629">
        <f>H143/DAY(B2)</f>
        <v>0.15999625247176821</v>
      </c>
      <c r="K143" s="411"/>
      <c r="L143" s="408"/>
      <c r="O143" s="413"/>
    </row>
    <row r="144" spans="1:15" ht="27.75">
      <c r="A144" s="1388" t="s">
        <v>264</v>
      </c>
      <c r="B144" s="1389"/>
      <c r="C144" s="1390"/>
      <c r="D144" s="599" t="s">
        <v>143</v>
      </c>
      <c r="E144" s="531"/>
      <c r="F144" s="531"/>
      <c r="G144" s="536">
        <f>G41+G42+G55+G56</f>
        <v>4714.8600000000733</v>
      </c>
      <c r="H144" s="536">
        <f>G144+'1'!H144</f>
        <v>9766.7600000000384</v>
      </c>
      <c r="I144" s="556"/>
      <c r="J144" s="629">
        <f>H144/DAY(B2)</f>
        <v>4883.3800000000192</v>
      </c>
      <c r="K144" s="411"/>
      <c r="L144" s="408"/>
      <c r="O144" s="413"/>
    </row>
    <row r="145" spans="1:15" ht="27.75">
      <c r="A145" s="1388" t="s">
        <v>265</v>
      </c>
      <c r="B145" s="1389"/>
      <c r="C145" s="1390"/>
      <c r="D145" s="599" t="s">
        <v>24</v>
      </c>
      <c r="E145" s="531"/>
      <c r="F145" s="531"/>
      <c r="G145" s="620">
        <f>G144/G7</f>
        <v>0.24084899877401272</v>
      </c>
      <c r="H145" s="536">
        <f>G145+'1'!H145</f>
        <v>0.49075748257317003</v>
      </c>
      <c r="I145" s="621"/>
      <c r="J145" s="629">
        <f>H145/DAY(B2)</f>
        <v>0.24537874128658502</v>
      </c>
      <c r="K145" s="411"/>
      <c r="L145" s="408"/>
      <c r="O145" s="413"/>
    </row>
    <row r="146" spans="1:15" ht="27.75">
      <c r="A146" s="1388" t="s">
        <v>266</v>
      </c>
      <c r="B146" s="1389"/>
      <c r="C146" s="1390"/>
      <c r="D146" s="599" t="s">
        <v>143</v>
      </c>
      <c r="E146" s="531"/>
      <c r="F146" s="531"/>
      <c r="G146" s="536">
        <f>G39+G53</f>
        <v>4119</v>
      </c>
      <c r="H146" s="536">
        <f>G146+'1'!H146</f>
        <v>8405.0299999999988</v>
      </c>
      <c r="I146" s="622"/>
      <c r="J146" s="629">
        <f>H146/DAY(B2)</f>
        <v>4202.5149999999994</v>
      </c>
      <c r="K146" s="411"/>
      <c r="L146" s="408"/>
      <c r="O146" s="413"/>
    </row>
    <row r="147" spans="1:15" ht="27.75">
      <c r="A147" s="1388" t="s">
        <v>267</v>
      </c>
      <c r="B147" s="1389"/>
      <c r="C147" s="1390"/>
      <c r="D147" s="599" t="s">
        <v>24</v>
      </c>
      <c r="E147" s="531"/>
      <c r="F147" s="531"/>
      <c r="G147" s="620">
        <f>G146/G7</f>
        <v>0.21041070698814876</v>
      </c>
      <c r="H147" s="536">
        <f>G147+'1'!H147</f>
        <v>0.42243296768565053</v>
      </c>
      <c r="I147" s="622"/>
      <c r="J147" s="629">
        <f>H147/DAY(B2)</f>
        <v>0.21121648384282526</v>
      </c>
      <c r="O147" s="413"/>
    </row>
    <row r="148" spans="1:15" ht="27.75">
      <c r="A148" s="1388" t="s">
        <v>268</v>
      </c>
      <c r="B148" s="1389"/>
      <c r="C148" s="1390"/>
      <c r="D148" s="599" t="s">
        <v>194</v>
      </c>
      <c r="E148" s="531"/>
      <c r="F148" s="531"/>
      <c r="G148" s="536">
        <f>G38+G52</f>
        <v>2047</v>
      </c>
      <c r="H148" s="536">
        <f>G148+'1'!H148</f>
        <v>4208.3699999999953</v>
      </c>
      <c r="I148" s="556"/>
      <c r="J148" s="629">
        <f>H148/DAY(B2)</f>
        <v>2104.1849999999977</v>
      </c>
      <c r="K148" s="412"/>
      <c r="O148" s="413"/>
    </row>
    <row r="149" spans="1:15" ht="27.75">
      <c r="A149" s="1388" t="s">
        <v>269</v>
      </c>
      <c r="B149" s="1389"/>
      <c r="C149" s="1390"/>
      <c r="D149" s="599" t="s">
        <v>24</v>
      </c>
      <c r="E149" s="531"/>
      <c r="F149" s="531"/>
      <c r="G149" s="620">
        <f>G148/G7</f>
        <v>0.10456681651001226</v>
      </c>
      <c r="H149" s="536">
        <f>G149+'1'!H149</f>
        <v>0.2114859359757553</v>
      </c>
      <c r="I149" s="622"/>
      <c r="J149" s="629">
        <f>H149/DAY(B2)</f>
        <v>0.10574296798787765</v>
      </c>
      <c r="O149" s="413"/>
    </row>
    <row r="150" spans="1:15" ht="27.75">
      <c r="A150" s="1388" t="s">
        <v>270</v>
      </c>
      <c r="B150" s="1389"/>
      <c r="C150" s="1390"/>
      <c r="D150" s="599" t="s">
        <v>194</v>
      </c>
      <c r="E150" s="531"/>
      <c r="F150" s="531"/>
      <c r="G150" s="536">
        <f>G36+G50</f>
        <v>1621.0599999999977</v>
      </c>
      <c r="H150" s="536">
        <f>G150+'1'!H150</f>
        <v>3328.5599999999977</v>
      </c>
      <c r="I150" s="622"/>
      <c r="J150" s="629">
        <f>H150/DAY(B2)</f>
        <v>1664.2799999999988</v>
      </c>
      <c r="O150" s="413"/>
    </row>
    <row r="151" spans="1:15" ht="27.75">
      <c r="A151" s="1388" t="s">
        <v>271</v>
      </c>
      <c r="B151" s="1389"/>
      <c r="C151" s="1390"/>
      <c r="D151" s="599" t="s">
        <v>24</v>
      </c>
      <c r="E151" s="531"/>
      <c r="F151" s="531"/>
      <c r="G151" s="620">
        <f>G150/G7</f>
        <v>8.2808541070698696E-2</v>
      </c>
      <c r="H151" s="536">
        <f>G151+'1'!H151</f>
        <v>0.16727552103607096</v>
      </c>
      <c r="I151" s="556"/>
      <c r="J151" s="629">
        <f>H151/DAY(B2)</f>
        <v>8.3637760518035481E-2</v>
      </c>
      <c r="O151" s="413"/>
    </row>
    <row r="152" spans="1:15" ht="27.75">
      <c r="A152" s="1388" t="s">
        <v>272</v>
      </c>
      <c r="B152" s="1389"/>
      <c r="C152" s="1390"/>
      <c r="D152" s="599" t="s">
        <v>194</v>
      </c>
      <c r="E152" s="531"/>
      <c r="F152" s="531"/>
      <c r="G152" s="536">
        <f>G37+G51</f>
        <v>1418</v>
      </c>
      <c r="H152" s="536">
        <f>G152+'1'!H152</f>
        <v>2889.8899999999994</v>
      </c>
      <c r="I152" s="556"/>
      <c r="J152" s="629">
        <f>H152/DAY(B2)</f>
        <v>1444.9449999999997</v>
      </c>
      <c r="O152" s="413"/>
    </row>
    <row r="153" spans="1:15" ht="28.5" thickBot="1">
      <c r="A153" s="1394" t="s">
        <v>273</v>
      </c>
      <c r="B153" s="1395"/>
      <c r="C153" s="1396"/>
      <c r="D153" s="702" t="s">
        <v>24</v>
      </c>
      <c r="E153" s="642"/>
      <c r="F153" s="642"/>
      <c r="G153" s="643">
        <f>G152/G7</f>
        <v>7.2435635472006543E-2</v>
      </c>
      <c r="H153" s="536">
        <f>G153+'1'!H153</f>
        <v>0.14524740890757415</v>
      </c>
      <c r="I153" s="645"/>
      <c r="J153" s="646">
        <f>H153/DAY(B2)</f>
        <v>7.2623704453787075E-2</v>
      </c>
      <c r="O153" s="413"/>
    </row>
    <row r="154" spans="1:1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O154" s="413"/>
    </row>
    <row r="157" spans="1:15" ht="29.25" customHeight="1">
      <c r="A157" s="1425" t="s">
        <v>278</v>
      </c>
      <c r="B157" s="1426"/>
      <c r="C157" s="1426"/>
      <c r="D157" s="1426"/>
      <c r="E157" s="1426"/>
      <c r="F157" s="1426"/>
      <c r="G157" s="1427"/>
    </row>
    <row r="158" spans="1:15">
      <c r="A158" s="889"/>
      <c r="B158" s="890"/>
      <c r="C158" s="890"/>
      <c r="D158" s="587"/>
      <c r="E158" s="531"/>
      <c r="F158" s="739"/>
      <c r="G158" s="549"/>
    </row>
    <row r="159" spans="1:15">
      <c r="A159" s="889"/>
      <c r="B159" s="890"/>
      <c r="C159" s="890"/>
      <c r="D159" s="587"/>
      <c r="E159" s="531"/>
      <c r="F159" s="739"/>
      <c r="G159" s="549"/>
    </row>
    <row r="160" spans="1:15">
      <c r="A160" s="889" t="s">
        <v>274</v>
      </c>
      <c r="B160" s="890"/>
      <c r="C160" s="890"/>
      <c r="D160" s="587" t="s">
        <v>198</v>
      </c>
      <c r="E160" s="739">
        <v>26145</v>
      </c>
      <c r="F160" s="739">
        <v>26215</v>
      </c>
      <c r="G160" s="549">
        <f t="shared" ref="G160:G171" si="15">F160-E160</f>
        <v>70</v>
      </c>
    </row>
    <row r="161" spans="1:7">
      <c r="A161" s="889" t="s">
        <v>275</v>
      </c>
      <c r="B161" s="890"/>
      <c r="C161" s="890"/>
      <c r="D161" s="587" t="s">
        <v>198</v>
      </c>
      <c r="E161" s="739">
        <v>28901</v>
      </c>
      <c r="F161" s="739">
        <v>29378</v>
      </c>
      <c r="G161" s="549">
        <f t="shared" si="15"/>
        <v>477</v>
      </c>
    </row>
    <row r="162" spans="1:7">
      <c r="A162" s="889" t="s">
        <v>276</v>
      </c>
      <c r="B162" s="890"/>
      <c r="C162" s="890"/>
      <c r="D162" s="587" t="s">
        <v>198</v>
      </c>
      <c r="E162" s="739">
        <v>4914</v>
      </c>
      <c r="F162" s="739">
        <v>5180.93</v>
      </c>
      <c r="G162" s="549">
        <f t="shared" si="15"/>
        <v>266.93000000000029</v>
      </c>
    </row>
    <row r="163" spans="1:7">
      <c r="A163" s="889" t="s">
        <v>277</v>
      </c>
      <c r="B163" s="890"/>
      <c r="C163" s="890"/>
      <c r="D163" s="587" t="s">
        <v>198</v>
      </c>
      <c r="E163" s="739">
        <v>4352</v>
      </c>
      <c r="F163" s="739">
        <v>4379.7</v>
      </c>
      <c r="G163" s="549">
        <f t="shared" si="15"/>
        <v>27.699999999999818</v>
      </c>
    </row>
    <row r="164" spans="1:7">
      <c r="A164" s="891" t="s">
        <v>106</v>
      </c>
      <c r="B164" s="681"/>
      <c r="C164" s="681"/>
      <c r="D164" s="587" t="s">
        <v>198</v>
      </c>
      <c r="E164" s="590">
        <v>20419</v>
      </c>
      <c r="F164" s="590">
        <f>F62</f>
        <v>20419.188999999998</v>
      </c>
      <c r="G164" s="549">
        <f t="shared" si="15"/>
        <v>0.1889999999984866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:E171" si="16">E63</f>
        <v>1112</v>
      </c>
      <c r="F165" s="590">
        <f t="shared" ref="F165:F171" si="17">F63</f>
        <v>1116</v>
      </c>
      <c r="G165" s="549">
        <f t="shared" si="15"/>
        <v>4</v>
      </c>
    </row>
    <row r="166" spans="1:7" ht="27.75">
      <c r="A166" s="1363" t="s">
        <v>107</v>
      </c>
      <c r="B166" s="1363"/>
      <c r="C166" s="1363"/>
      <c r="D166" s="599" t="s">
        <v>198</v>
      </c>
      <c r="E166" s="590">
        <f t="shared" si="16"/>
        <v>98839</v>
      </c>
      <c r="F166" s="590">
        <f t="shared" si="17"/>
        <v>99239.65</v>
      </c>
      <c r="G166" s="549">
        <f t="shared" si="15"/>
        <v>400.64999999999418</v>
      </c>
    </row>
    <row r="167" spans="1:7" ht="27.75">
      <c r="A167" s="1363" t="s">
        <v>108</v>
      </c>
      <c r="B167" s="1363"/>
      <c r="C167" s="1363"/>
      <c r="D167" s="599" t="s">
        <v>198</v>
      </c>
      <c r="E167" s="590">
        <f t="shared" si="16"/>
        <v>109461</v>
      </c>
      <c r="F167" s="590">
        <f t="shared" si="17"/>
        <v>109868.56</v>
      </c>
      <c r="G167" s="549">
        <f t="shared" si="15"/>
        <v>407.55999999999767</v>
      </c>
    </row>
    <row r="168" spans="1:7" ht="27.75">
      <c r="A168" s="1363" t="s">
        <v>109</v>
      </c>
      <c r="B168" s="1363"/>
      <c r="C168" s="1363"/>
      <c r="D168" s="599" t="s">
        <v>198</v>
      </c>
      <c r="E168" s="590">
        <f t="shared" si="16"/>
        <v>2836</v>
      </c>
      <c r="F168" s="590">
        <f t="shared" si="17"/>
        <v>3244.35</v>
      </c>
      <c r="G168" s="549">
        <f t="shared" si="15"/>
        <v>408.34999999999991</v>
      </c>
    </row>
    <row r="169" spans="1:7" ht="27.75">
      <c r="A169" s="1363" t="s">
        <v>110</v>
      </c>
      <c r="B169" s="1363"/>
      <c r="C169" s="1363"/>
      <c r="D169" s="599" t="s">
        <v>198</v>
      </c>
      <c r="E169" s="590">
        <f t="shared" si="16"/>
        <v>168953</v>
      </c>
      <c r="F169" s="590">
        <f t="shared" si="17"/>
        <v>169631</v>
      </c>
      <c r="G169" s="549">
        <f t="shared" si="15"/>
        <v>678</v>
      </c>
    </row>
    <row r="170" spans="1:7" ht="27.75">
      <c r="A170" s="1363" t="s">
        <v>111</v>
      </c>
      <c r="B170" s="1363"/>
      <c r="C170" s="1363"/>
      <c r="D170" s="599" t="s">
        <v>198</v>
      </c>
      <c r="E170" s="590">
        <f t="shared" si="16"/>
        <v>53936</v>
      </c>
      <c r="F170" s="590">
        <f t="shared" si="17"/>
        <v>54229</v>
      </c>
      <c r="G170" s="549">
        <f t="shared" si="15"/>
        <v>293</v>
      </c>
    </row>
    <row r="171" spans="1:7" ht="27.75">
      <c r="A171" s="1363" t="s">
        <v>112</v>
      </c>
      <c r="B171" s="1363"/>
      <c r="C171" s="1363"/>
      <c r="D171" s="599" t="s">
        <v>198</v>
      </c>
      <c r="E171" s="590">
        <f t="shared" si="16"/>
        <v>46812</v>
      </c>
      <c r="F171" s="590">
        <f t="shared" si="17"/>
        <v>47108</v>
      </c>
      <c r="G171" s="549">
        <f t="shared" si="15"/>
        <v>296</v>
      </c>
    </row>
    <row r="172" spans="1:7" ht="18.75" customHeight="1"/>
    <row r="173" spans="1:7" ht="18.75" customHeight="1"/>
    <row r="174" spans="1:7" ht="18.75" customHeight="1"/>
    <row r="175" spans="1:7" ht="18.75" customHeight="1"/>
    <row r="176" spans="1:7" ht="18.75" customHeight="1"/>
  </sheetData>
  <mergeCells count="75">
    <mergeCell ref="A168:C168"/>
    <mergeCell ref="A169:C169"/>
    <mergeCell ref="A170:C170"/>
    <mergeCell ref="A171:C171"/>
    <mergeCell ref="A166:C166"/>
    <mergeCell ref="A167:C167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7:G157"/>
    <mergeCell ref="A148:C148"/>
    <mergeCell ref="A152:C152"/>
    <mergeCell ref="A153:C153"/>
    <mergeCell ref="A149:C149"/>
    <mergeCell ref="A150:C150"/>
    <mergeCell ref="A151:C151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73" zoomScale="55" zoomScaleSheetLayoutView="55" workbookViewId="0">
      <selection activeCell="F28" sqref="F28"/>
    </sheetView>
  </sheetViews>
  <sheetFormatPr defaultColWidth="22.33203125" defaultRowHeight="29.25"/>
  <cols>
    <col min="1" max="1" width="40.109375" style="530" customWidth="1"/>
    <col min="2" max="2" width="29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5" s="281" customFormat="1" ht="27">
      <c r="A2" s="652" t="s">
        <v>322</v>
      </c>
      <c r="B2" s="1139">
        <v>44199</v>
      </c>
      <c r="C2" s="1254" t="s">
        <v>69</v>
      </c>
      <c r="D2" s="688">
        <v>0.39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24</v>
      </c>
      <c r="E3" s="1408" t="s">
        <v>132</v>
      </c>
      <c r="F3" s="1409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0.76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2" t="s">
        <v>141</v>
      </c>
      <c r="B6" s="1403"/>
      <c r="C6" s="1404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'2'!F7</f>
        <v>3326231</v>
      </c>
      <c r="F7" s="531">
        <v>3345489</v>
      </c>
      <c r="G7" s="770">
        <f>F7-E7</f>
        <v>19258</v>
      </c>
      <c r="H7" s="760">
        <f>G7+'2'!H7</f>
        <v>59049</v>
      </c>
      <c r="I7" s="761">
        <f>'1'!I7</f>
        <v>12000</v>
      </c>
      <c r="J7" s="762">
        <f>H7/DAY(B2)</f>
        <v>19683</v>
      </c>
      <c r="K7" s="626"/>
      <c r="L7" s="408"/>
      <c r="O7" s="413"/>
    </row>
    <row r="8" spans="1:15" ht="27.75" thickBot="1">
      <c r="A8" s="763" t="s">
        <v>144</v>
      </c>
      <c r="B8" s="764"/>
      <c r="C8" s="765"/>
      <c r="D8" s="766" t="s">
        <v>25</v>
      </c>
      <c r="E8" s="711">
        <f>'2'!F8</f>
        <v>3346487</v>
      </c>
      <c r="F8" s="551">
        <v>3365919</v>
      </c>
      <c r="G8" s="770">
        <f>F8-E8</f>
        <v>19432</v>
      </c>
      <c r="H8" s="760">
        <f>G8+'2'!H8</f>
        <v>59547</v>
      </c>
      <c r="I8" s="767">
        <v>12000</v>
      </c>
      <c r="J8" s="762">
        <f>H8/DAY(B2)</f>
        <v>19849</v>
      </c>
      <c r="K8" s="626"/>
      <c r="L8" s="464"/>
      <c r="M8" s="479"/>
      <c r="O8" s="413"/>
    </row>
    <row r="9" spans="1:15">
      <c r="A9" s="768" t="s">
        <v>145</v>
      </c>
      <c r="B9" s="769"/>
      <c r="C9" s="769"/>
      <c r="D9" s="715" t="s">
        <v>143</v>
      </c>
      <c r="E9" s="712">
        <f>'2'!F9</f>
        <v>2410292.7000000002</v>
      </c>
      <c r="F9" s="554">
        <v>2412830</v>
      </c>
      <c r="G9" s="783">
        <f t="shared" ref="G9:G12" si="0">F9-E9</f>
        <v>2537.2999999998137</v>
      </c>
      <c r="H9" s="760">
        <f>G9+'2'!H9</f>
        <v>7615</v>
      </c>
      <c r="I9" s="771">
        <f>I8-J8</f>
        <v>-7849</v>
      </c>
      <c r="J9" s="762">
        <f>H9/DAY(B2)</f>
        <v>2538.3333333333335</v>
      </c>
      <c r="K9" s="467"/>
      <c r="L9" s="408"/>
      <c r="O9" s="413"/>
    </row>
    <row r="10" spans="1:15">
      <c r="A10" s="757" t="s">
        <v>146</v>
      </c>
      <c r="B10" s="758"/>
      <c r="C10" s="758"/>
      <c r="D10" s="715" t="s">
        <v>143</v>
      </c>
      <c r="E10" s="712">
        <f>'2'!F10</f>
        <v>783753</v>
      </c>
      <c r="F10" s="554">
        <v>799754</v>
      </c>
      <c r="G10" s="770">
        <f t="shared" si="0"/>
        <v>16001</v>
      </c>
      <c r="H10" s="760">
        <f>G10+'2'!H10</f>
        <v>49232.089999999967</v>
      </c>
      <c r="I10" s="772"/>
      <c r="J10" s="762">
        <f>H10/DAY(B2)</f>
        <v>16410.696666666656</v>
      </c>
      <c r="K10" s="467"/>
      <c r="L10" s="408"/>
      <c r="O10" s="413"/>
    </row>
    <row r="11" spans="1:15">
      <c r="A11" s="757" t="s">
        <v>147</v>
      </c>
      <c r="B11" s="758"/>
      <c r="C11" s="758"/>
      <c r="D11" s="715" t="s">
        <v>143</v>
      </c>
      <c r="E11" s="710">
        <f>'2'!F11</f>
        <v>35390</v>
      </c>
      <c r="F11" s="531">
        <v>35390</v>
      </c>
      <c r="G11" s="770">
        <f t="shared" si="0"/>
        <v>0</v>
      </c>
      <c r="H11" s="760">
        <f>G11+'2'!H11</f>
        <v>0</v>
      </c>
      <c r="I11" s="772"/>
      <c r="J11" s="762">
        <f>H11/DAY(B2)</f>
        <v>0</v>
      </c>
      <c r="K11" s="467"/>
      <c r="L11" s="408"/>
      <c r="O11" s="413"/>
    </row>
    <row r="12" spans="1:15">
      <c r="A12" s="757" t="s">
        <v>148</v>
      </c>
      <c r="B12" s="758"/>
      <c r="C12" s="758"/>
      <c r="D12" s="715" t="s">
        <v>143</v>
      </c>
      <c r="E12" s="712">
        <f>'2'!F12</f>
        <v>37630</v>
      </c>
      <c r="F12" s="554">
        <v>37630</v>
      </c>
      <c r="G12" s="770">
        <f t="shared" si="0"/>
        <v>0</v>
      </c>
      <c r="H12" s="760">
        <f>G12+'2'!H12</f>
        <v>0</v>
      </c>
      <c r="I12" s="772"/>
      <c r="J12" s="762">
        <f>H12/DAY(B2)</f>
        <v>0</v>
      </c>
      <c r="K12" s="467"/>
      <c r="L12" s="408"/>
      <c r="O12" s="413"/>
    </row>
    <row r="13" spans="1:15">
      <c r="A13" s="773" t="s">
        <v>149</v>
      </c>
      <c r="B13" s="774"/>
      <c r="C13" s="774"/>
      <c r="D13" s="715"/>
      <c r="E13" s="710"/>
      <c r="F13" s="531"/>
      <c r="G13" s="775">
        <f>G9+G10+G11+G12</f>
        <v>18538.299999999814</v>
      </c>
      <c r="H13" s="760">
        <f>G13+'2'!H13</f>
        <v>56847.089999999967</v>
      </c>
      <c r="I13" s="776">
        <f>G7-G13</f>
        <v>719.70000000018626</v>
      </c>
      <c r="J13" s="762">
        <f>H13/DAY(B2)</f>
        <v>18949.029999999988</v>
      </c>
      <c r="K13" s="467"/>
      <c r="L13" s="408"/>
      <c r="O13" s="413"/>
    </row>
    <row r="14" spans="1:15">
      <c r="A14" s="1405" t="s">
        <v>150</v>
      </c>
      <c r="B14" s="1406"/>
      <c r="C14" s="1407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>
      <c r="A15" s="897" t="s">
        <v>151</v>
      </c>
      <c r="B15" s="892"/>
      <c r="C15" s="892"/>
      <c r="D15" s="600" t="s">
        <v>152</v>
      </c>
      <c r="E15" s="561">
        <f>'2'!F15</f>
        <v>1570430.62</v>
      </c>
      <c r="F15" s="561">
        <v>1571246.31</v>
      </c>
      <c r="G15" s="883">
        <f>F15-E15</f>
        <v>815.68999999994412</v>
      </c>
      <c r="H15" s="562">
        <f>G15+'2'!H15</f>
        <v>2332.2099999999627</v>
      </c>
      <c r="I15" s="550">
        <v>800</v>
      </c>
      <c r="J15" s="630">
        <f>H15/DAY(B2)</f>
        <v>777.40333333332092</v>
      </c>
      <c r="K15" s="467"/>
      <c r="L15" s="408"/>
      <c r="O15" s="413"/>
    </row>
    <row r="16" spans="1:15">
      <c r="A16" s="895"/>
      <c r="B16" s="896"/>
      <c r="C16" s="896"/>
      <c r="D16" s="893"/>
      <c r="E16" s="894"/>
      <c r="F16" s="561"/>
      <c r="G16" s="1143"/>
      <c r="H16" s="562"/>
      <c r="I16" s="563">
        <f>I15-J15</f>
        <v>22.596666666679084</v>
      </c>
      <c r="J16" s="630"/>
      <c r="K16" s="467"/>
      <c r="L16" s="408"/>
      <c r="O16" s="413"/>
    </row>
    <row r="17" spans="1:15">
      <c r="A17" s="1405" t="s">
        <v>153</v>
      </c>
      <c r="B17" s="1406"/>
      <c r="C17" s="1407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>
      <c r="A18" s="1431" t="s">
        <v>154</v>
      </c>
      <c r="B18" s="1432"/>
      <c r="C18" s="1433"/>
      <c r="D18" s="715" t="s">
        <v>155</v>
      </c>
      <c r="E18" s="712">
        <f>'2'!F18</f>
        <v>12</v>
      </c>
      <c r="F18" s="554">
        <v>12</v>
      </c>
      <c r="G18" s="775">
        <f>F18*10</f>
        <v>120</v>
      </c>
      <c r="H18" s="760">
        <f>G18+'2'!H18</f>
        <v>390</v>
      </c>
      <c r="I18" s="761">
        <f>'1'!I18</f>
        <v>65</v>
      </c>
      <c r="J18" s="762">
        <f>H18/DAY(B2)</f>
        <v>130</v>
      </c>
      <c r="K18" s="467"/>
      <c r="L18" s="408"/>
      <c r="O18" s="413"/>
    </row>
    <row r="19" spans="1:15" ht="27.75">
      <c r="A19" s="1431" t="s">
        <v>71</v>
      </c>
      <c r="B19" s="1432"/>
      <c r="C19" s="1433"/>
      <c r="D19" s="715" t="s">
        <v>155</v>
      </c>
      <c r="E19" s="712">
        <f>'2'!F19</f>
        <v>131595</v>
      </c>
      <c r="F19" s="554">
        <v>131642</v>
      </c>
      <c r="G19" s="770">
        <f t="shared" ref="G19" si="1">F19-E19</f>
        <v>47</v>
      </c>
      <c r="H19" s="760">
        <f>G19+'2'!H19</f>
        <v>149</v>
      </c>
      <c r="I19" s="777"/>
      <c r="J19" s="762">
        <f>H19/DAY(B2)</f>
        <v>49.666666666666664</v>
      </c>
      <c r="K19" s="467"/>
      <c r="L19" s="408"/>
      <c r="O19" s="413"/>
    </row>
    <row r="20" spans="1:15">
      <c r="A20" s="773" t="s">
        <v>156</v>
      </c>
      <c r="B20" s="774"/>
      <c r="C20" s="774"/>
      <c r="D20" s="715"/>
      <c r="E20" s="715"/>
      <c r="F20" s="599"/>
      <c r="G20" s="1142">
        <f>G18+G19</f>
        <v>167</v>
      </c>
      <c r="H20" s="760">
        <f>G20+'2'!H20</f>
        <v>539</v>
      </c>
      <c r="I20" s="779">
        <f>I18-J20</f>
        <v>-114.66666666666666</v>
      </c>
      <c r="J20" s="762">
        <f>H20/DAY(B2)</f>
        <v>179.66666666666666</v>
      </c>
      <c r="K20" s="467"/>
      <c r="L20" s="408"/>
      <c r="O20" s="413"/>
    </row>
    <row r="21" spans="1:15">
      <c r="A21" s="1405" t="s">
        <v>157</v>
      </c>
      <c r="B21" s="1406"/>
      <c r="C21" s="1407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>
      <c r="A22" s="1252" t="s">
        <v>158</v>
      </c>
      <c r="B22" s="666"/>
      <c r="C22" s="666"/>
      <c r="D22" s="599" t="s">
        <v>159</v>
      </c>
      <c r="E22" s="712">
        <f>'2'!F22</f>
        <v>2250</v>
      </c>
      <c r="F22" s="554">
        <v>2250</v>
      </c>
      <c r="G22" s="557">
        <f t="shared" ref="G22" si="2">(F22-E22)</f>
        <v>0</v>
      </c>
      <c r="H22" s="536">
        <f>G22+'2'!H22</f>
        <v>0</v>
      </c>
      <c r="I22" s="556"/>
      <c r="J22" s="629">
        <f>H22/DAY(B2)</f>
        <v>0</v>
      </c>
      <c r="K22" s="467"/>
      <c r="L22" s="408"/>
      <c r="O22" s="413"/>
    </row>
    <row r="23" spans="1:15">
      <c r="A23" s="1252" t="s">
        <v>160</v>
      </c>
      <c r="B23" s="666"/>
      <c r="C23" s="666"/>
      <c r="D23" s="599" t="s">
        <v>159</v>
      </c>
      <c r="E23" s="712">
        <f>'2'!F23</f>
        <v>2000</v>
      </c>
      <c r="F23" s="554">
        <v>2000</v>
      </c>
      <c r="G23" s="557">
        <v>0</v>
      </c>
      <c r="H23" s="536">
        <f>G23+'2'!H23</f>
        <v>0</v>
      </c>
      <c r="I23" s="556"/>
      <c r="J23" s="629">
        <f>H23/DAY(B2)</f>
        <v>0</v>
      </c>
      <c r="K23" s="467"/>
      <c r="L23" s="408"/>
      <c r="O23" s="413"/>
    </row>
    <row r="24" spans="1:15">
      <c r="A24" s="667" t="s">
        <v>161</v>
      </c>
      <c r="B24" s="668"/>
      <c r="C24" s="668"/>
      <c r="D24" s="587" t="s">
        <v>159</v>
      </c>
      <c r="E24" s="712">
        <f>'2'!F24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780">
        <f>G8</f>
        <v>19432</v>
      </c>
      <c r="F27" s="577">
        <v>9</v>
      </c>
      <c r="G27" s="578">
        <f>E27*F27</f>
        <v>174888</v>
      </c>
      <c r="H27" s="536">
        <f>G27+'2'!H27</f>
        <v>535923</v>
      </c>
      <c r="I27" s="579"/>
      <c r="J27" s="629">
        <f>H27/DAY(B2)</f>
        <v>178641</v>
      </c>
      <c r="K27" s="404"/>
      <c r="L27" s="484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780">
        <f>G15</f>
        <v>815.68999999994412</v>
      </c>
      <c r="F28" s="577">
        <v>41</v>
      </c>
      <c r="G28" s="578">
        <f>E28*F28</f>
        <v>33443.289999997709</v>
      </c>
      <c r="H28" s="536">
        <f>G28+'2'!H28</f>
        <v>95620.609999998473</v>
      </c>
      <c r="I28" s="581"/>
      <c r="J28" s="629">
        <f>H28/DAY(B2)</f>
        <v>31873.536666666158</v>
      </c>
      <c r="K28" s="404"/>
      <c r="L28" s="484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G29+'2'!H29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780">
        <f>G19</f>
        <v>47</v>
      </c>
      <c r="F30" s="577">
        <v>134</v>
      </c>
      <c r="G30" s="578">
        <f>E30*F30</f>
        <v>6298</v>
      </c>
      <c r="H30" s="536">
        <f>G30+'2'!H30</f>
        <v>19966</v>
      </c>
      <c r="I30" s="581"/>
      <c r="J30" s="629">
        <f>H30/DAY(B2)</f>
        <v>6655.333333333333</v>
      </c>
      <c r="K30" s="404"/>
      <c r="L30" s="484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G31+'2'!H31</f>
        <v>31200</v>
      </c>
      <c r="I31" s="581"/>
      <c r="J31" s="629">
        <f>H31/DAY(B2)</f>
        <v>10400</v>
      </c>
      <c r="K31" s="404"/>
      <c r="L31" s="484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224229.28999999771</v>
      </c>
      <c r="H32" s="536">
        <f>G32+'2'!H32</f>
        <v>682709.60999999847</v>
      </c>
      <c r="I32" s="585"/>
      <c r="J32" s="629">
        <f>H32/DAY(B2)</f>
        <v>227569.8699999995</v>
      </c>
      <c r="K32" s="404"/>
      <c r="L32" s="484"/>
      <c r="O32" s="413"/>
    </row>
    <row r="33" spans="1:15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'2'!F35</f>
        <v>629027</v>
      </c>
      <c r="F35" s="586">
        <v>629027</v>
      </c>
      <c r="G35" s="549">
        <f t="shared" ref="G35:G46" si="3">F35-E35</f>
        <v>0</v>
      </c>
      <c r="H35" s="536">
        <f>G35+'2'!H35</f>
        <v>0</v>
      </c>
      <c r="I35" s="531"/>
      <c r="J35" s="629">
        <f>H35/DAY(B2)</f>
        <v>0</v>
      </c>
      <c r="K35" s="467"/>
      <c r="L35" s="408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'2'!F36</f>
        <v>256428.55</v>
      </c>
      <c r="F36" s="586">
        <v>257025.81</v>
      </c>
      <c r="G36" s="549">
        <f t="shared" si="3"/>
        <v>597.26000000000931</v>
      </c>
      <c r="H36" s="536">
        <f>G36+'2'!H36</f>
        <v>1934.7399999999907</v>
      </c>
      <c r="I36" s="531"/>
      <c r="J36" s="629">
        <f>H36/DAY(B2)</f>
        <v>644.91333333333023</v>
      </c>
      <c r="K36" s="467"/>
      <c r="L36" s="408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'2'!F37</f>
        <v>415066</v>
      </c>
      <c r="F37" s="586">
        <v>415066</v>
      </c>
      <c r="G37" s="549">
        <f t="shared" si="3"/>
        <v>0</v>
      </c>
      <c r="H37" s="536">
        <f>G37+'2'!H37</f>
        <v>0</v>
      </c>
      <c r="I37" s="531"/>
      <c r="J37" s="629">
        <f>H37/DAY(B2)</f>
        <v>0</v>
      </c>
      <c r="K37" s="467"/>
      <c r="L37" s="408"/>
      <c r="O37" s="706"/>
    </row>
    <row r="38" spans="1:15">
      <c r="A38" s="655" t="s">
        <v>178</v>
      </c>
      <c r="B38" s="656"/>
      <c r="C38" s="656"/>
      <c r="D38" s="599" t="s">
        <v>143</v>
      </c>
      <c r="E38" s="545">
        <f>'2'!F38</f>
        <v>150714</v>
      </c>
      <c r="F38" s="545">
        <v>150714</v>
      </c>
      <c r="G38" s="549">
        <f t="shared" si="3"/>
        <v>0</v>
      </c>
      <c r="H38" s="536">
        <f>G38+'2'!H38</f>
        <v>0</v>
      </c>
      <c r="I38" s="531"/>
      <c r="J38" s="629">
        <f>H38/DAY(B2)</f>
        <v>0</v>
      </c>
      <c r="K38" s="467"/>
      <c r="L38" s="408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'2'!F39</f>
        <v>912480</v>
      </c>
      <c r="F39" s="586">
        <v>912480</v>
      </c>
      <c r="G39" s="549">
        <f t="shared" si="3"/>
        <v>0</v>
      </c>
      <c r="H39" s="536">
        <f>G39+'2'!H39</f>
        <v>0</v>
      </c>
      <c r="I39" s="531"/>
      <c r="J39" s="629">
        <f>H39/DAY(B2)</f>
        <v>0</v>
      </c>
      <c r="K39" s="467"/>
      <c r="L39" s="408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v>0.17</v>
      </c>
      <c r="F40" s="586">
        <v>0.17</v>
      </c>
      <c r="G40" s="549">
        <f t="shared" si="3"/>
        <v>0</v>
      </c>
      <c r="H40" s="536">
        <f>G40+'2'!H40</f>
        <v>0</v>
      </c>
      <c r="I40" s="531"/>
      <c r="J40" s="629">
        <f>H40/DAY(B2)</f>
        <v>0</v>
      </c>
      <c r="K40" s="468"/>
      <c r="L40" s="408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'2'!F41</f>
        <v>300127.90000000002</v>
      </c>
      <c r="F41" s="586">
        <v>300127.90000000002</v>
      </c>
      <c r="G41" s="549">
        <f t="shared" si="3"/>
        <v>0</v>
      </c>
      <c r="H41" s="536">
        <f>G41+'2'!H41</f>
        <v>-4.9999999988358468E-2</v>
      </c>
      <c r="I41" s="531"/>
      <c r="J41" s="629">
        <f>H41/DAY(B2)</f>
        <v>-1.6666666662786156E-2</v>
      </c>
      <c r="K41" s="467"/>
      <c r="L41" s="408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'2'!F42</f>
        <v>58926.09</v>
      </c>
      <c r="F42" s="586">
        <v>58926.09</v>
      </c>
      <c r="G42" s="549">
        <f>F42-E42</f>
        <v>0</v>
      </c>
      <c r="H42" s="536">
        <f>G42+'2'!H42</f>
        <v>0</v>
      </c>
      <c r="I42" s="531"/>
      <c r="J42" s="629">
        <f>H42/DAY(B2)</f>
        <v>0</v>
      </c>
      <c r="K42" s="467"/>
      <c r="L42" s="408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'2'!F43</f>
        <v>702218</v>
      </c>
      <c r="F43" s="586">
        <v>704258.79</v>
      </c>
      <c r="G43" s="549">
        <f t="shared" si="3"/>
        <v>2040.7900000000373</v>
      </c>
      <c r="H43" s="536">
        <f>G43+'2'!H43</f>
        <v>6005.359999999986</v>
      </c>
      <c r="I43" s="531"/>
      <c r="J43" s="629">
        <f>H43/DAY(B2)</f>
        <v>2001.7866666666621</v>
      </c>
      <c r="K43" s="467"/>
      <c r="L43" s="408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'2'!F44</f>
        <v>0</v>
      </c>
      <c r="F44" s="586">
        <v>0</v>
      </c>
      <c r="G44" s="549">
        <f t="shared" si="3"/>
        <v>0</v>
      </c>
      <c r="H44" s="536">
        <f>G44+'2'!H44</f>
        <v>0</v>
      </c>
      <c r="I44" s="531"/>
      <c r="J44" s="629">
        <f>H44/DAY(B2)</f>
        <v>0</v>
      </c>
      <c r="K44" s="467"/>
      <c r="L44" s="408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'2'!F45</f>
        <v>614</v>
      </c>
      <c r="F45" s="586">
        <v>614</v>
      </c>
      <c r="G45" s="549">
        <f t="shared" si="3"/>
        <v>0</v>
      </c>
      <c r="H45" s="536">
        <f>G45+'2'!H45</f>
        <v>-0.48000000000001819</v>
      </c>
      <c r="I45" s="531"/>
      <c r="J45" s="629">
        <f>H45/DAY(B2)</f>
        <v>-0.16000000000000605</v>
      </c>
      <c r="K45" s="467"/>
      <c r="L45" s="408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'2'!F46</f>
        <v>187</v>
      </c>
      <c r="F46" s="586">
        <v>187</v>
      </c>
      <c r="G46" s="549">
        <f t="shared" si="3"/>
        <v>0</v>
      </c>
      <c r="H46" s="536">
        <f>G46+'2'!H46</f>
        <v>-0.49000000000000909</v>
      </c>
      <c r="I46" s="531"/>
      <c r="J46" s="629">
        <f>H46/DAY(B2)</f>
        <v>-0.16333333333333636</v>
      </c>
      <c r="K46" s="467"/>
      <c r="L46" s="408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2638.0500000000466</v>
      </c>
      <c r="H47" s="536">
        <f>G47+'2'!H47</f>
        <v>7939.0799999999881</v>
      </c>
      <c r="I47" s="531"/>
      <c r="J47" s="629">
        <f>H47/DAY(B2)</f>
        <v>2646.359999999996</v>
      </c>
      <c r="K47" s="467"/>
      <c r="L47" s="408"/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'2'!F49</f>
        <v>155334.81</v>
      </c>
      <c r="F49" s="586">
        <v>158137.44</v>
      </c>
      <c r="G49" s="549">
        <f t="shared" ref="G49:G58" si="4">F49-E49</f>
        <v>2802.6300000000047</v>
      </c>
      <c r="H49" s="536">
        <f>G49+'2'!H49</f>
        <v>8578.4400000000023</v>
      </c>
      <c r="I49" s="531"/>
      <c r="J49" s="629">
        <f>H49/DAY(B2)</f>
        <v>2859.4800000000009</v>
      </c>
      <c r="K49" s="467"/>
      <c r="L49" s="408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'2'!F50</f>
        <v>336891.51</v>
      </c>
      <c r="F50" s="586">
        <v>338225.67</v>
      </c>
      <c r="G50" s="549">
        <f t="shared" si="4"/>
        <v>1334.1599999999744</v>
      </c>
      <c r="H50" s="536">
        <f>G50+'2'!H50</f>
        <v>3325.2399999999907</v>
      </c>
      <c r="I50" s="531"/>
      <c r="J50" s="629">
        <f>H50/DAY(B2)</f>
        <v>1108.4133333333302</v>
      </c>
      <c r="K50" s="467"/>
      <c r="L50" s="408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'2'!F51</f>
        <v>67597</v>
      </c>
      <c r="F51" s="586">
        <v>68973.59</v>
      </c>
      <c r="G51" s="549">
        <f t="shared" si="4"/>
        <v>1376.5899999999965</v>
      </c>
      <c r="H51" s="536">
        <f>G51+'2'!H51</f>
        <v>4266.4799999999959</v>
      </c>
      <c r="I51" s="531"/>
      <c r="J51" s="629">
        <f>H51/DAY(B2)</f>
        <v>1422.1599999999987</v>
      </c>
      <c r="K51" s="467"/>
      <c r="L51" s="408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'2'!F52</f>
        <v>437388</v>
      </c>
      <c r="F52" s="586">
        <v>439452</v>
      </c>
      <c r="G52" s="549">
        <f>F52-E52</f>
        <v>2064</v>
      </c>
      <c r="H52" s="536">
        <f>G52+'2'!H52</f>
        <v>6272.3699999999953</v>
      </c>
      <c r="I52" s="531"/>
      <c r="J52" s="629">
        <f>H52/DAY(B2)</f>
        <v>2090.7899999999986</v>
      </c>
      <c r="K52" s="467"/>
      <c r="L52" s="408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'2'!F53</f>
        <v>185007</v>
      </c>
      <c r="F53" s="586">
        <v>189165.79</v>
      </c>
      <c r="G53" s="549">
        <f t="shared" si="4"/>
        <v>4158.7900000000081</v>
      </c>
      <c r="H53" s="536">
        <f>G53+'2'!H53</f>
        <v>12563.820000000007</v>
      </c>
      <c r="I53" s="531"/>
      <c r="J53" s="629">
        <f>H53/DAY(B2)</f>
        <v>4187.9400000000023</v>
      </c>
      <c r="K53" s="467"/>
      <c r="L53" s="408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'2'!F54</f>
        <v>4711.9799999999996</v>
      </c>
      <c r="F54" s="734">
        <v>4771</v>
      </c>
      <c r="G54" s="549">
        <f t="shared" si="4"/>
        <v>59.020000000000437</v>
      </c>
      <c r="H54" s="536">
        <f>G54+'2'!H54</f>
        <v>181.46000000000004</v>
      </c>
      <c r="I54" s="531"/>
      <c r="J54" s="629">
        <f>H54/DAY(B2)</f>
        <v>60.486666666666679</v>
      </c>
      <c r="K54" s="467"/>
      <c r="L54" s="408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'2'!F55</f>
        <v>158492.73000000001</v>
      </c>
      <c r="F55" s="734">
        <v>158492.73000000001</v>
      </c>
      <c r="G55" s="549">
        <f t="shared" si="4"/>
        <v>0</v>
      </c>
      <c r="H55" s="536">
        <f>G55+'2'!H55</f>
        <v>-0.26999999998952262</v>
      </c>
      <c r="I55" s="531"/>
      <c r="J55" s="629">
        <f>H55/DAY(B2)</f>
        <v>-8.999999999650754E-2</v>
      </c>
      <c r="K55" s="467"/>
      <c r="L55" s="408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'2'!F56</f>
        <v>522978.83</v>
      </c>
      <c r="F56" s="734">
        <v>527088</v>
      </c>
      <c r="G56" s="549">
        <f t="shared" si="4"/>
        <v>4109.1699999999837</v>
      </c>
      <c r="H56" s="536">
        <f>G56+'2'!H56</f>
        <v>13876.25</v>
      </c>
      <c r="I56" s="531"/>
      <c r="J56" s="629">
        <f>H56/DAY(B2)</f>
        <v>4625.416666666667</v>
      </c>
      <c r="K56" s="466"/>
      <c r="L56" s="408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'2'!F57</f>
        <v>0</v>
      </c>
      <c r="F57" s="734">
        <v>0</v>
      </c>
      <c r="G57" s="549">
        <f t="shared" si="4"/>
        <v>0</v>
      </c>
      <c r="H57" s="536">
        <f>G57+'2'!H57</f>
        <v>0</v>
      </c>
      <c r="I57" s="531"/>
      <c r="J57" s="629">
        <f>H57/DAY(B2)</f>
        <v>0</v>
      </c>
      <c r="K57" s="467"/>
      <c r="L57" s="408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'2'!F58</f>
        <v>25312</v>
      </c>
      <c r="F58" s="734">
        <v>25496.5</v>
      </c>
      <c r="G58" s="549">
        <f t="shared" si="4"/>
        <v>184.5</v>
      </c>
      <c r="H58" s="536">
        <f>G58+'2'!H58</f>
        <v>456.09000000000015</v>
      </c>
      <c r="I58" s="531"/>
      <c r="J58" s="629">
        <f>H58/DAY(B2)</f>
        <v>152.03000000000006</v>
      </c>
      <c r="K58" s="467"/>
      <c r="L58" s="408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16088.859999999968</v>
      </c>
      <c r="H59" s="536">
        <f>G59+'2'!H59</f>
        <v>49519.880000000005</v>
      </c>
      <c r="I59" s="531">
        <f>G7-G60</f>
        <v>531.08999999998559</v>
      </c>
      <c r="J59" s="629">
        <f>H59/DAY(B2)</f>
        <v>16506.626666666667</v>
      </c>
      <c r="K59" s="467"/>
      <c r="L59" s="408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18726.910000000014</v>
      </c>
      <c r="H60" s="536">
        <f>G60+'2'!H60</f>
        <v>57458.959999999992</v>
      </c>
      <c r="I60" s="531">
        <f>G13-G60</f>
        <v>-188.61000000020067</v>
      </c>
      <c r="J60" s="629">
        <f>H60/DAY(B2)</f>
        <v>19152.986666666664</v>
      </c>
      <c r="K60" s="467"/>
      <c r="L60" s="408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'2'!F62</f>
        <v>20419.188999999998</v>
      </c>
      <c r="F62" s="590">
        <v>20419.188999999998</v>
      </c>
      <c r="G62" s="549">
        <f t="shared" ref="G62:G69" si="5">F62-E62</f>
        <v>0</v>
      </c>
      <c r="H62" s="536">
        <f>G62+'2'!H62</f>
        <v>8.9999999981955625E-3</v>
      </c>
      <c r="I62" s="591"/>
      <c r="J62" s="629">
        <f>H62/DAY(B2)</f>
        <v>2.9999999993985207E-3</v>
      </c>
      <c r="K62" s="467"/>
      <c r="L62" s="408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'2'!F63</f>
        <v>1116</v>
      </c>
      <c r="F63" s="590">
        <v>1120.6199999999999</v>
      </c>
      <c r="G63" s="549">
        <f t="shared" si="5"/>
        <v>4.6199999999998909</v>
      </c>
      <c r="H63" s="536">
        <f>G63+'2'!H63</f>
        <v>12.709999999999809</v>
      </c>
      <c r="I63" s="591"/>
      <c r="J63" s="629">
        <f>H63/DAY(B2)</f>
        <v>4.2366666666666033</v>
      </c>
      <c r="K63" s="467"/>
      <c r="L63" s="408"/>
      <c r="O63" s="413"/>
    </row>
    <row r="64" spans="1:15" ht="27.75">
      <c r="A64" s="1367" t="s">
        <v>107</v>
      </c>
      <c r="B64" s="1368"/>
      <c r="C64" s="1369"/>
      <c r="D64" s="599" t="s">
        <v>198</v>
      </c>
      <c r="E64" s="560">
        <f>'2'!F64</f>
        <v>99239.65</v>
      </c>
      <c r="F64" s="554">
        <v>99616</v>
      </c>
      <c r="G64" s="549">
        <f t="shared" si="5"/>
        <v>376.35000000000582</v>
      </c>
      <c r="H64" s="536">
        <f>G64+'2'!H64</f>
        <v>1192.6000000000058</v>
      </c>
      <c r="I64" s="556"/>
      <c r="J64" s="629">
        <f>H64/DAY(B2)</f>
        <v>397.53333333333529</v>
      </c>
      <c r="K64" s="467"/>
      <c r="L64" s="408"/>
      <c r="O64" s="413"/>
    </row>
    <row r="65" spans="1:15" ht="27.75">
      <c r="A65" s="1367" t="s">
        <v>108</v>
      </c>
      <c r="B65" s="1368"/>
      <c r="C65" s="1369"/>
      <c r="D65" s="599" t="s">
        <v>198</v>
      </c>
      <c r="E65" s="560">
        <f>'2'!F65</f>
        <v>109868.56</v>
      </c>
      <c r="F65" s="732">
        <v>110258.57</v>
      </c>
      <c r="G65" s="549">
        <f t="shared" si="5"/>
        <v>390.01000000000931</v>
      </c>
      <c r="H65" s="536">
        <f>G65+'2'!H65</f>
        <v>1214.4500000000116</v>
      </c>
      <c r="I65" s="565"/>
      <c r="J65" s="629">
        <f>H65/DAY(B2)</f>
        <v>404.81666666667053</v>
      </c>
      <c r="K65" s="467"/>
      <c r="L65" s="408"/>
      <c r="O65" s="413"/>
    </row>
    <row r="66" spans="1:15" ht="27.75">
      <c r="A66" s="1367" t="s">
        <v>109</v>
      </c>
      <c r="B66" s="1368"/>
      <c r="C66" s="1369"/>
      <c r="D66" s="599" t="s">
        <v>198</v>
      </c>
      <c r="E66" s="560">
        <f>'2'!F66</f>
        <v>3244.35</v>
      </c>
      <c r="F66" s="554">
        <v>3638.67</v>
      </c>
      <c r="G66" s="549">
        <f t="shared" si="5"/>
        <v>394.32000000000016</v>
      </c>
      <c r="H66" s="536">
        <f>G66+'2'!H66</f>
        <v>1216.58</v>
      </c>
      <c r="I66" s="556"/>
      <c r="J66" s="629">
        <f>H66/DAY(B2)</f>
        <v>405.52666666666664</v>
      </c>
      <c r="K66" s="467"/>
      <c r="L66" s="408"/>
      <c r="O66" s="413"/>
    </row>
    <row r="67" spans="1:15" ht="27.75">
      <c r="A67" s="1367" t="s">
        <v>110</v>
      </c>
      <c r="B67" s="1368"/>
      <c r="C67" s="1369"/>
      <c r="D67" s="599" t="s">
        <v>198</v>
      </c>
      <c r="E67" s="560">
        <f>'2'!F67</f>
        <v>169631</v>
      </c>
      <c r="F67" s="554">
        <v>170282.57</v>
      </c>
      <c r="G67" s="549">
        <f t="shared" si="5"/>
        <v>651.57000000000698</v>
      </c>
      <c r="H67" s="536">
        <f>G67+'2'!H67</f>
        <v>2041.2200000000012</v>
      </c>
      <c r="I67" s="565"/>
      <c r="J67" s="629">
        <f>H67/DAY(B2)</f>
        <v>680.40666666666709</v>
      </c>
      <c r="K67" s="468"/>
      <c r="L67" s="408"/>
      <c r="O67" s="413"/>
    </row>
    <row r="68" spans="1:15" ht="27.75">
      <c r="A68" s="1367" t="s">
        <v>111</v>
      </c>
      <c r="B68" s="1368"/>
      <c r="C68" s="1369"/>
      <c r="D68" s="599" t="s">
        <v>198</v>
      </c>
      <c r="E68" s="560">
        <f>'2'!F68</f>
        <v>54229</v>
      </c>
      <c r="F68" s="554">
        <v>54498</v>
      </c>
      <c r="G68" s="549">
        <f t="shared" si="5"/>
        <v>269</v>
      </c>
      <c r="H68" s="536">
        <f>G68+'2'!H68</f>
        <v>874.09999999999854</v>
      </c>
      <c r="I68" s="592"/>
      <c r="J68" s="629">
        <f>H68/DAY(B2)</f>
        <v>291.36666666666616</v>
      </c>
      <c r="K68" s="469"/>
      <c r="L68" s="408"/>
      <c r="O68" s="413"/>
    </row>
    <row r="69" spans="1:15" ht="27.75">
      <c r="A69" s="1367" t="s">
        <v>112</v>
      </c>
      <c r="B69" s="1368"/>
      <c r="C69" s="1369"/>
      <c r="D69" s="599" t="s">
        <v>198</v>
      </c>
      <c r="E69" s="560">
        <f>'2'!F69</f>
        <v>47108</v>
      </c>
      <c r="F69" s="554">
        <v>47402</v>
      </c>
      <c r="G69" s="549">
        <f t="shared" si="5"/>
        <v>294</v>
      </c>
      <c r="H69" s="536">
        <f>G69+'2'!H69</f>
        <v>882.56999999999971</v>
      </c>
      <c r="I69" s="592"/>
      <c r="J69" s="629">
        <f>H69/DAY(B2)</f>
        <v>294.18999999999988</v>
      </c>
      <c r="K69" s="470"/>
      <c r="L69" s="408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O71" s="413"/>
    </row>
    <row r="72" spans="1:15" ht="27.75">
      <c r="A72" s="1367" t="s">
        <v>202</v>
      </c>
      <c r="B72" s="1368"/>
      <c r="C72" s="1369"/>
      <c r="D72" s="599" t="s">
        <v>198</v>
      </c>
      <c r="E72" s="595">
        <f>'2'!F72</f>
        <v>846567</v>
      </c>
      <c r="F72" s="735">
        <v>846643</v>
      </c>
      <c r="G72" s="549">
        <f t="shared" ref="G72:G84" si="6">F72-E72</f>
        <v>76</v>
      </c>
      <c r="H72" s="536">
        <f>G72+'2'!H72</f>
        <v>243</v>
      </c>
      <c r="I72" s="556"/>
      <c r="J72" s="629">
        <f>H72/DAY(B2)</f>
        <v>81</v>
      </c>
      <c r="K72" s="470"/>
      <c r="L72" s="408"/>
      <c r="O72" s="413"/>
    </row>
    <row r="73" spans="1:15" ht="27.75">
      <c r="A73" s="1367" t="s">
        <v>203</v>
      </c>
      <c r="B73" s="1368"/>
      <c r="C73" s="1369"/>
      <c r="D73" s="599" t="s">
        <v>198</v>
      </c>
      <c r="E73" s="596">
        <f>'2'!F73</f>
        <v>885675</v>
      </c>
      <c r="F73" s="736">
        <v>885676</v>
      </c>
      <c r="G73" s="733">
        <f t="shared" si="6"/>
        <v>1</v>
      </c>
      <c r="H73" s="536">
        <f>G73+'2'!H73</f>
        <v>3</v>
      </c>
      <c r="I73" s="556"/>
      <c r="J73" s="629">
        <f>H73/DAY(B2)</f>
        <v>1</v>
      </c>
      <c r="K73" s="469"/>
      <c r="L73" s="408"/>
      <c r="O73" s="413"/>
    </row>
    <row r="74" spans="1:15" ht="27.75">
      <c r="A74" s="1367" t="s">
        <v>204</v>
      </c>
      <c r="B74" s="1368"/>
      <c r="C74" s="1369"/>
      <c r="D74" s="599" t="s">
        <v>198</v>
      </c>
      <c r="E74" s="597">
        <f>'2'!F74</f>
        <v>881408</v>
      </c>
      <c r="F74" s="737">
        <v>881444</v>
      </c>
      <c r="G74" s="549">
        <f t="shared" si="6"/>
        <v>36</v>
      </c>
      <c r="H74" s="536">
        <f>G74+'2'!H74</f>
        <v>129</v>
      </c>
      <c r="I74" s="556"/>
      <c r="J74" s="629">
        <f>H74/DAY(B2)</f>
        <v>43</v>
      </c>
      <c r="K74" s="470"/>
      <c r="L74" s="408"/>
      <c r="O74" s="413"/>
    </row>
    <row r="75" spans="1:15" ht="27.75">
      <c r="A75" s="1364" t="s">
        <v>205</v>
      </c>
      <c r="B75" s="1365"/>
      <c r="C75" s="1366"/>
      <c r="D75" s="599" t="s">
        <v>198</v>
      </c>
      <c r="E75" s="597">
        <f>'2'!F75</f>
        <v>732023</v>
      </c>
      <c r="F75" s="737">
        <v>732211</v>
      </c>
      <c r="G75" s="549">
        <f t="shared" si="6"/>
        <v>188</v>
      </c>
      <c r="H75" s="536">
        <f>G75+'2'!H75</f>
        <v>570</v>
      </c>
      <c r="I75" s="556"/>
      <c r="J75" s="629">
        <f>H75/DAY(B2)</f>
        <v>190</v>
      </c>
      <c r="K75" s="469"/>
      <c r="L75" s="408"/>
      <c r="O75" s="413"/>
    </row>
    <row r="76" spans="1:15" ht="27.75">
      <c r="A76" s="1364" t="s">
        <v>206</v>
      </c>
      <c r="B76" s="1365"/>
      <c r="C76" s="1366"/>
      <c r="D76" s="599" t="s">
        <v>198</v>
      </c>
      <c r="E76" s="596">
        <f>'2'!F76</f>
        <v>684438</v>
      </c>
      <c r="F76" s="736">
        <v>684535</v>
      </c>
      <c r="G76" s="549">
        <f t="shared" si="6"/>
        <v>97</v>
      </c>
      <c r="H76" s="536">
        <f>G76+'2'!H76</f>
        <v>269</v>
      </c>
      <c r="I76" s="581"/>
      <c r="J76" s="629">
        <f>H76/DAY(B2)</f>
        <v>89.666666666666671</v>
      </c>
      <c r="K76" s="469"/>
      <c r="L76" s="408"/>
      <c r="O76" s="413"/>
    </row>
    <row r="77" spans="1:15" ht="27.75">
      <c r="A77" s="1367" t="s">
        <v>207</v>
      </c>
      <c r="B77" s="1368"/>
      <c r="C77" s="1369"/>
      <c r="D77" s="599" t="s">
        <v>198</v>
      </c>
      <c r="E77" s="596">
        <f>'2'!F77</f>
        <v>695516</v>
      </c>
      <c r="F77" s="736">
        <v>695572</v>
      </c>
      <c r="G77" s="733">
        <f t="shared" si="6"/>
        <v>56</v>
      </c>
      <c r="H77" s="536">
        <f>G77+'2'!H77</f>
        <v>178</v>
      </c>
      <c r="I77" s="581"/>
      <c r="J77" s="629">
        <f>H77/DAY(B2)</f>
        <v>59.333333333333336</v>
      </c>
      <c r="K77" s="469"/>
      <c r="L77" s="408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'2'!F78</f>
        <v>631507</v>
      </c>
      <c r="F78" s="737">
        <v>631898</v>
      </c>
      <c r="G78" s="549">
        <f t="shared" si="6"/>
        <v>391</v>
      </c>
      <c r="H78" s="536">
        <f>G78+'2'!H78</f>
        <v>1125</v>
      </c>
      <c r="I78" s="581"/>
      <c r="J78" s="629">
        <f>H78/DAY(B2)</f>
        <v>375</v>
      </c>
      <c r="K78" s="469"/>
      <c r="L78" s="408"/>
      <c r="O78" s="413"/>
    </row>
    <row r="79" spans="1:15" ht="27.75">
      <c r="A79" s="1364" t="s">
        <v>97</v>
      </c>
      <c r="B79" s="1365"/>
      <c r="C79" s="1366"/>
      <c r="D79" s="600" t="s">
        <v>198</v>
      </c>
      <c r="E79" s="597">
        <f>'2'!F79</f>
        <v>804230</v>
      </c>
      <c r="F79" s="737">
        <v>804418</v>
      </c>
      <c r="G79" s="549">
        <f t="shared" si="6"/>
        <v>188</v>
      </c>
      <c r="H79" s="536">
        <f>G79+'2'!H79</f>
        <v>575</v>
      </c>
      <c r="I79" s="581"/>
      <c r="J79" s="629">
        <f>H79/DAY(B2)</f>
        <v>191.66666666666666</v>
      </c>
      <c r="K79" s="469"/>
      <c r="L79" s="408"/>
      <c r="O79" s="413"/>
    </row>
    <row r="80" spans="1:15" ht="27.75">
      <c r="A80" s="1364" t="s">
        <v>209</v>
      </c>
      <c r="B80" s="1365"/>
      <c r="C80" s="1366"/>
      <c r="D80" s="600" t="s">
        <v>198</v>
      </c>
      <c r="E80" s="596">
        <f>'2'!F80</f>
        <v>476152</v>
      </c>
      <c r="F80" s="736">
        <v>476509.64</v>
      </c>
      <c r="G80" s="549">
        <f t="shared" si="6"/>
        <v>357.64000000001397</v>
      </c>
      <c r="H80" s="536">
        <f>G80+'2'!H80</f>
        <v>978.64000000001397</v>
      </c>
      <c r="I80" s="581"/>
      <c r="J80" s="629">
        <f>H80/DAY(B2)</f>
        <v>326.21333333333797</v>
      </c>
      <c r="K80" s="469"/>
      <c r="L80" s="408"/>
      <c r="O80" s="413"/>
    </row>
    <row r="81" spans="1:15" ht="27.75">
      <c r="A81" s="1364" t="s">
        <v>210</v>
      </c>
      <c r="B81" s="1365"/>
      <c r="C81" s="1366"/>
      <c r="D81" s="600" t="s">
        <v>198</v>
      </c>
      <c r="E81" s="596">
        <f>'2'!F81</f>
        <v>619506</v>
      </c>
      <c r="F81" s="736">
        <v>619653.64</v>
      </c>
      <c r="G81" s="549">
        <f t="shared" si="6"/>
        <v>147.64000000001397</v>
      </c>
      <c r="H81" s="536">
        <f>G81+'2'!H81</f>
        <v>399.64000000001397</v>
      </c>
      <c r="I81" s="581"/>
      <c r="J81" s="629">
        <f>H81/DAY(B2)</f>
        <v>133.213333333338</v>
      </c>
      <c r="K81" s="469"/>
      <c r="L81" s="408"/>
      <c r="O81" s="413"/>
    </row>
    <row r="82" spans="1:15" ht="27.75">
      <c r="A82" s="1364" t="s">
        <v>100</v>
      </c>
      <c r="B82" s="1365"/>
      <c r="C82" s="1366"/>
      <c r="D82" s="561" t="s">
        <v>143</v>
      </c>
      <c r="E82" s="598">
        <f>'2'!F82</f>
        <v>104472.84</v>
      </c>
      <c r="F82" s="732">
        <v>104501.52</v>
      </c>
      <c r="G82" s="549">
        <f t="shared" si="6"/>
        <v>28.680000000007567</v>
      </c>
      <c r="H82" s="536">
        <f>G82+'2'!H82</f>
        <v>63.520000000004075</v>
      </c>
      <c r="I82" s="562"/>
      <c r="J82" s="629">
        <f>H82/DAY(B2)</f>
        <v>21.173333333334693</v>
      </c>
      <c r="K82" s="469"/>
      <c r="L82" s="408"/>
      <c r="O82" s="413"/>
    </row>
    <row r="83" spans="1:15" ht="27.75">
      <c r="A83" s="1364" t="s">
        <v>211</v>
      </c>
      <c r="B83" s="1365"/>
      <c r="C83" s="1366"/>
      <c r="D83" s="697" t="s">
        <v>143</v>
      </c>
      <c r="E83" s="587">
        <f>'2'!F83</f>
        <v>974197</v>
      </c>
      <c r="F83" s="587">
        <v>974584</v>
      </c>
      <c r="G83" s="549">
        <f t="shared" si="6"/>
        <v>387</v>
      </c>
      <c r="H83" s="536">
        <f>G83+'2'!H83</f>
        <v>1113</v>
      </c>
      <c r="I83" s="557"/>
      <c r="J83" s="629">
        <f>H83/DAY(B2)</f>
        <v>371</v>
      </c>
      <c r="K83" s="468"/>
      <c r="L83" s="408"/>
      <c r="O83" s="413"/>
    </row>
    <row r="84" spans="1:15">
      <c r="A84" s="1256" t="s">
        <v>212</v>
      </c>
      <c r="B84" s="648"/>
      <c r="C84" s="648"/>
      <c r="D84" s="554" t="s">
        <v>143</v>
      </c>
      <c r="E84" s="704">
        <f>'2'!F84</f>
        <v>398126</v>
      </c>
      <c r="F84" s="704">
        <v>398615</v>
      </c>
      <c r="G84" s="549">
        <f t="shared" si="6"/>
        <v>489</v>
      </c>
      <c r="H84" s="536">
        <f>G84+'2'!H84</f>
        <v>1419</v>
      </c>
      <c r="I84" s="557"/>
      <c r="J84" s="629">
        <f>H84/DAY(B2)</f>
        <v>473</v>
      </c>
      <c r="K84" s="411"/>
      <c r="L84" s="408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2442.9600000000355</v>
      </c>
      <c r="H85" s="536">
        <f>G85+'2'!H85</f>
        <v>5219.800000000032</v>
      </c>
      <c r="I85" s="557"/>
      <c r="J85" s="629">
        <f>H85/DAY(B2)</f>
        <v>1739.9333333333441</v>
      </c>
      <c r="K85" s="411"/>
      <c r="L85" s="409"/>
      <c r="O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'2'!F86</f>
        <v>444384</v>
      </c>
      <c r="F86" s="728">
        <v>444442</v>
      </c>
      <c r="G86" s="805">
        <f t="shared" ref="G86:G90" si="7">F86-E86</f>
        <v>58</v>
      </c>
      <c r="H86" s="536">
        <f>G86+'2'!H86</f>
        <v>110</v>
      </c>
      <c r="I86" s="733"/>
      <c r="J86" s="807">
        <f>H86/DAY(B2)</f>
        <v>36.666666666666664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'2'!F87</f>
        <v>77772.800000000003</v>
      </c>
      <c r="F87" s="728">
        <v>77778.7</v>
      </c>
      <c r="G87" s="805">
        <f t="shared" si="7"/>
        <v>5.8999999999941792</v>
      </c>
      <c r="H87" s="536">
        <f>G87+'2'!H87</f>
        <v>15.69999999999709</v>
      </c>
      <c r="I87" s="733"/>
      <c r="J87" s="807">
        <f>H87/DAY(B2)</f>
        <v>5.2333333333323635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'2'!F88</f>
        <v>144642.57</v>
      </c>
      <c r="F88" s="728">
        <v>144679</v>
      </c>
      <c r="G88" s="805">
        <f t="shared" si="7"/>
        <v>36.429999999993015</v>
      </c>
      <c r="H88" s="536">
        <f>G88+'2'!H88</f>
        <v>95</v>
      </c>
      <c r="I88" s="733"/>
      <c r="J88" s="807">
        <f>H88/DAY(B2)</f>
        <v>31.666666666666668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28">
        <v>57800</v>
      </c>
      <c r="F89" s="728">
        <v>57858</v>
      </c>
      <c r="G89" s="805">
        <f t="shared" si="7"/>
        <v>58</v>
      </c>
      <c r="H89" s="536">
        <f>G89+'2'!H89</f>
        <v>168.90000000000146</v>
      </c>
      <c r="I89" s="733"/>
      <c r="J89" s="807">
        <f>H89/DAY(B2)</f>
        <v>56.300000000000487</v>
      </c>
      <c r="K89" s="833" t="e">
        <f t="shared" ref="K89:K90" si="8">I89/DAY(C3)</f>
        <v>#VALUE!</v>
      </c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28">
        <v>2984</v>
      </c>
      <c r="F90" s="728">
        <v>2986</v>
      </c>
      <c r="G90" s="805">
        <f t="shared" si="7"/>
        <v>2</v>
      </c>
      <c r="H90" s="536">
        <f>G90+'2'!H90</f>
        <v>3.4000000000000909</v>
      </c>
      <c r="I90" s="733"/>
      <c r="J90" s="807">
        <f>H90/DAY(B2)</f>
        <v>1.1333333333333637</v>
      </c>
      <c r="K90" s="833" t="e">
        <f t="shared" si="8"/>
        <v>#VALUE!</v>
      </c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>
      <c r="A92" s="1388" t="s">
        <v>217</v>
      </c>
      <c r="B92" s="1389"/>
      <c r="C92" s="1390"/>
      <c r="D92" s="599" t="s">
        <v>155</v>
      </c>
      <c r="E92" s="560">
        <f>'2'!F92</f>
        <v>234121</v>
      </c>
      <c r="F92" s="554">
        <v>234196</v>
      </c>
      <c r="G92" s="549">
        <f t="shared" ref="G92:G93" si="9">F92-E92</f>
        <v>75</v>
      </c>
      <c r="H92" s="536">
        <f>G92+'2'!H92</f>
        <v>294</v>
      </c>
      <c r="I92" s="556"/>
      <c r="J92" s="629">
        <f>H92/DAY(B2)</f>
        <v>98</v>
      </c>
      <c r="K92" s="468"/>
      <c r="L92" s="408"/>
      <c r="O92" s="413"/>
    </row>
    <row r="93" spans="1:15" ht="27.75">
      <c r="A93" s="1388" t="s">
        <v>218</v>
      </c>
      <c r="B93" s="1389"/>
      <c r="C93" s="1390"/>
      <c r="D93" s="599" t="s">
        <v>155</v>
      </c>
      <c r="E93" s="560">
        <f>'2'!F93</f>
        <v>167207</v>
      </c>
      <c r="F93" s="554">
        <v>167365</v>
      </c>
      <c r="G93" s="549">
        <f t="shared" si="9"/>
        <v>158</v>
      </c>
      <c r="H93" s="536">
        <f>G93+'2'!H93</f>
        <v>449</v>
      </c>
      <c r="I93" s="556"/>
      <c r="J93" s="629">
        <f>H93/DAY(B2)</f>
        <v>149.66666666666666</v>
      </c>
      <c r="K93" s="411"/>
      <c r="L93" s="408"/>
      <c r="O93" s="413"/>
    </row>
    <row r="94" spans="1:15">
      <c r="A94" s="1419" t="s">
        <v>219</v>
      </c>
      <c r="B94" s="1420"/>
      <c r="C94" s="1421"/>
      <c r="D94" s="599"/>
      <c r="E94" s="560"/>
      <c r="F94" s="554"/>
      <c r="G94" s="549">
        <f>G92+G93</f>
        <v>233</v>
      </c>
      <c r="H94" s="536">
        <f>G94+'2'!H94</f>
        <v>469</v>
      </c>
      <c r="I94" s="556"/>
      <c r="J94" s="629">
        <f>H94/DAY(B2)</f>
        <v>156.33333333333334</v>
      </c>
      <c r="K94" s="411"/>
      <c r="L94" s="408"/>
      <c r="O94" s="413"/>
    </row>
    <row r="95" spans="1:15" ht="27.75">
      <c r="A95" s="1388" t="s">
        <v>220</v>
      </c>
      <c r="B95" s="1389"/>
      <c r="C95" s="1390"/>
      <c r="D95" s="599" t="s">
        <v>155</v>
      </c>
      <c r="E95" s="560">
        <f>'2'!F95</f>
        <v>403796</v>
      </c>
      <c r="F95" s="554">
        <v>403856</v>
      </c>
      <c r="G95" s="549">
        <f t="shared" ref="G95:G100" si="10">F95-E95</f>
        <v>60</v>
      </c>
      <c r="H95" s="536">
        <f>G95+'2'!H95</f>
        <v>191</v>
      </c>
      <c r="I95" s="556"/>
      <c r="J95" s="629">
        <f>H95/DAY(B2)</f>
        <v>63.666666666666664</v>
      </c>
      <c r="K95" s="411"/>
      <c r="L95" s="408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'2'!F96</f>
        <v>99970</v>
      </c>
      <c r="F96" s="554">
        <v>99990</v>
      </c>
      <c r="G96" s="549">
        <f t="shared" si="10"/>
        <v>20</v>
      </c>
      <c r="H96" s="536">
        <f>G96+'2'!H96</f>
        <v>69</v>
      </c>
      <c r="I96" s="556"/>
      <c r="J96" s="629">
        <f>H96/DAY(B2)</f>
        <v>23</v>
      </c>
      <c r="K96" s="466"/>
      <c r="L96" s="408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'2'!F97</f>
        <v>95087</v>
      </c>
      <c r="F97" s="554">
        <v>95104</v>
      </c>
      <c r="G97" s="549">
        <f t="shared" si="10"/>
        <v>17</v>
      </c>
      <c r="H97" s="536">
        <f>G97+'2'!H97</f>
        <v>77</v>
      </c>
      <c r="I97" s="556"/>
      <c r="J97" s="629">
        <f>H97/DAY(B2)</f>
        <v>25.666666666666668</v>
      </c>
      <c r="K97" s="471"/>
      <c r="L97" s="408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'2'!F98</f>
        <v>143916</v>
      </c>
      <c r="F98" s="554">
        <v>143950</v>
      </c>
      <c r="G98" s="549">
        <f t="shared" si="10"/>
        <v>34</v>
      </c>
      <c r="H98" s="536">
        <f>G98+'2'!H98</f>
        <v>143</v>
      </c>
      <c r="I98" s="556"/>
      <c r="J98" s="629">
        <f>H98/DAY(B2)</f>
        <v>47.666666666666664</v>
      </c>
      <c r="K98" s="411"/>
      <c r="L98" s="408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'2'!F99</f>
        <v>5541</v>
      </c>
      <c r="F99" s="554">
        <v>5549</v>
      </c>
      <c r="G99" s="549">
        <f t="shared" si="10"/>
        <v>8</v>
      </c>
      <c r="H99" s="536">
        <f>G99+'2'!H99</f>
        <v>47</v>
      </c>
      <c r="I99" s="556"/>
      <c r="J99" s="629">
        <f>H99/DAY(B2)</f>
        <v>15.666666666666666</v>
      </c>
      <c r="K99" s="411"/>
      <c r="L99" s="408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'2'!F100</f>
        <v>3986</v>
      </c>
      <c r="F100" s="554">
        <v>3996</v>
      </c>
      <c r="G100" s="549">
        <f t="shared" si="10"/>
        <v>10</v>
      </c>
      <c r="H100" s="536">
        <f>G100+'2'!H100</f>
        <v>32</v>
      </c>
      <c r="I100" s="556"/>
      <c r="J100" s="629">
        <f>H100/DAY(B2)</f>
        <v>10.666666666666666</v>
      </c>
      <c r="K100" s="411"/>
      <c r="L100" s="408"/>
      <c r="O100" s="413"/>
    </row>
    <row r="101" spans="1:15">
      <c r="A101" s="1419" t="s">
        <v>227</v>
      </c>
      <c r="B101" s="1420"/>
      <c r="C101" s="1421"/>
      <c r="D101" s="600"/>
      <c r="E101" s="600"/>
      <c r="F101" s="600"/>
      <c r="G101" s="601">
        <f>SUM(G95:G100)</f>
        <v>149</v>
      </c>
      <c r="H101" s="536">
        <f>G101+'2'!H101</f>
        <v>559</v>
      </c>
      <c r="I101" s="602"/>
      <c r="J101" s="629">
        <f>H101/DAY(B2)</f>
        <v>186.33333333333334</v>
      </c>
      <c r="K101" s="411"/>
      <c r="L101" s="408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>
      <c r="A103" s="1422" t="s">
        <v>229</v>
      </c>
      <c r="B103" s="1423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>
      <c r="A104" s="1378" t="s">
        <v>230</v>
      </c>
      <c r="B104" s="1379"/>
      <c r="C104" s="1250"/>
      <c r="D104" s="699" t="s">
        <v>155</v>
      </c>
      <c r="E104" s="608">
        <f>'2'!F104</f>
        <v>7010</v>
      </c>
      <c r="F104" s="739">
        <v>7010</v>
      </c>
      <c r="G104" s="608">
        <f>F104-E104</f>
        <v>0</v>
      </c>
      <c r="H104" s="536">
        <f>G104+'2'!H104</f>
        <v>0</v>
      </c>
      <c r="I104" s="608"/>
      <c r="J104" s="635">
        <f>H104/DAY(B2)</f>
        <v>0</v>
      </c>
      <c r="O104" s="413"/>
    </row>
    <row r="105" spans="1:15" s="481" customFormat="1" ht="27.75">
      <c r="A105" s="1378" t="s">
        <v>77</v>
      </c>
      <c r="B105" s="1379"/>
      <c r="C105" s="1250"/>
      <c r="D105" s="699" t="s">
        <v>155</v>
      </c>
      <c r="E105" s="610">
        <f>'2'!F105</f>
        <v>34941</v>
      </c>
      <c r="F105" s="740">
        <v>34948</v>
      </c>
      <c r="G105" s="608">
        <f t="shared" ref="G105:G106" si="11">F105-E105</f>
        <v>7</v>
      </c>
      <c r="H105" s="536">
        <f>G105+'2'!H105</f>
        <v>23</v>
      </c>
      <c r="I105" s="608"/>
      <c r="J105" s="635">
        <f>H105/DAY(B2)</f>
        <v>7.666666666666667</v>
      </c>
      <c r="O105" s="413"/>
    </row>
    <row r="106" spans="1:15" s="481" customFormat="1" ht="27.75">
      <c r="A106" s="1378" t="s">
        <v>78</v>
      </c>
      <c r="B106" s="1430"/>
      <c r="C106" s="1379"/>
      <c r="D106" s="699" t="s">
        <v>155</v>
      </c>
      <c r="E106" s="608">
        <f>'2'!F106</f>
        <v>18899</v>
      </c>
      <c r="F106" s="739">
        <v>18904</v>
      </c>
      <c r="G106" s="608">
        <f t="shared" si="11"/>
        <v>5</v>
      </c>
      <c r="H106" s="536">
        <f>G106+'2'!H106</f>
        <v>15</v>
      </c>
      <c r="I106" s="608"/>
      <c r="J106" s="635">
        <f>H106/DAY(B2)</f>
        <v>5</v>
      </c>
      <c r="O106" s="413"/>
    </row>
    <row r="107" spans="1:15" s="481" customFormat="1" ht="27.75">
      <c r="A107" s="1384" t="s">
        <v>213</v>
      </c>
      <c r="B107" s="1385"/>
      <c r="C107" s="1250"/>
      <c r="D107" s="699"/>
      <c r="E107" s="608"/>
      <c r="F107" s="739" t="s">
        <v>280</v>
      </c>
      <c r="G107" s="608">
        <f>SUM(G104:G106)</f>
        <v>12</v>
      </c>
      <c r="H107" s="536">
        <f>G107+'2'!H107</f>
        <v>38</v>
      </c>
      <c r="I107" s="608"/>
      <c r="J107" s="635">
        <f>H107/DAY(B2)</f>
        <v>12.666666666666666</v>
      </c>
      <c r="O107" s="413"/>
    </row>
    <row r="108" spans="1:15" s="481" customFormat="1" ht="27.75">
      <c r="A108" s="1428" t="s">
        <v>79</v>
      </c>
      <c r="B108" s="1429"/>
      <c r="C108" s="1250"/>
      <c r="D108" s="699" t="s">
        <v>155</v>
      </c>
      <c r="E108" s="608"/>
      <c r="F108" s="739"/>
      <c r="G108" s="608"/>
      <c r="H108" s="536">
        <f>G108+'2'!H108</f>
        <v>0</v>
      </c>
      <c r="I108" s="608"/>
      <c r="J108" s="635"/>
      <c r="O108" s="413"/>
    </row>
    <row r="109" spans="1:15" s="481" customFormat="1" ht="27.75">
      <c r="A109" s="1378" t="s">
        <v>231</v>
      </c>
      <c r="B109" s="1379"/>
      <c r="C109" s="1250"/>
      <c r="D109" s="699" t="s">
        <v>155</v>
      </c>
      <c r="E109" s="608">
        <f>'2'!F109</f>
        <v>53138</v>
      </c>
      <c r="F109" s="739">
        <v>53205</v>
      </c>
      <c r="G109" s="608">
        <f>F109-E109</f>
        <v>67</v>
      </c>
      <c r="H109" s="536">
        <f>G109+'2'!H109</f>
        <v>190</v>
      </c>
      <c r="I109" s="608"/>
      <c r="J109" s="635">
        <f>H109/DAY(B2)</f>
        <v>63.333333333333336</v>
      </c>
      <c r="O109" s="413"/>
    </row>
    <row r="110" spans="1:15" s="481" customFormat="1" ht="27.75">
      <c r="A110" s="1378" t="s">
        <v>232</v>
      </c>
      <c r="B110" s="1379"/>
      <c r="C110" s="1250"/>
      <c r="D110" s="699" t="s">
        <v>155</v>
      </c>
      <c r="E110" s="608">
        <f>'2'!F110</f>
        <v>26990</v>
      </c>
      <c r="F110" s="739">
        <v>27049</v>
      </c>
      <c r="G110" s="608">
        <f t="shared" ref="G110:G111" si="12">F110-E110</f>
        <v>59</v>
      </c>
      <c r="H110" s="536">
        <f>G110+'2'!H110</f>
        <v>146</v>
      </c>
      <c r="I110" s="608"/>
      <c r="J110" s="635">
        <f>H110/DAY(B2)</f>
        <v>48.666666666666664</v>
      </c>
      <c r="O110" s="413"/>
    </row>
    <row r="111" spans="1:15" s="481" customFormat="1" ht="27.75">
      <c r="A111" s="1378" t="s">
        <v>233</v>
      </c>
      <c r="B111" s="1379"/>
      <c r="C111" s="1250"/>
      <c r="D111" s="699" t="s">
        <v>155</v>
      </c>
      <c r="E111" s="608">
        <f>'2'!F111</f>
        <v>3582</v>
      </c>
      <c r="F111" s="739">
        <v>3582</v>
      </c>
      <c r="G111" s="608">
        <f t="shared" si="12"/>
        <v>0</v>
      </c>
      <c r="H111" s="536">
        <f>G111+'2'!H111</f>
        <v>15</v>
      </c>
      <c r="I111" s="608"/>
      <c r="J111" s="635">
        <f>H111/DAY(B2)</f>
        <v>5</v>
      </c>
      <c r="O111" s="413"/>
    </row>
    <row r="112" spans="1:15" s="481" customFormat="1" ht="27.75">
      <c r="A112" s="1384" t="s">
        <v>121</v>
      </c>
      <c r="B112" s="1385"/>
      <c r="C112" s="1250"/>
      <c r="D112" s="699"/>
      <c r="E112" s="608"/>
      <c r="F112" s="739"/>
      <c r="G112" s="608">
        <f>SUM(G109:G111)</f>
        <v>126</v>
      </c>
      <c r="H112" s="536">
        <f>G112+'2'!H112</f>
        <v>351</v>
      </c>
      <c r="I112" s="608"/>
      <c r="J112" s="635">
        <f>H112/DAY(B2)</f>
        <v>117</v>
      </c>
      <c r="O112" s="413"/>
    </row>
    <row r="113" spans="1:15" s="481" customFormat="1" ht="27.75">
      <c r="A113" s="1428" t="s">
        <v>234</v>
      </c>
      <c r="B113" s="1429"/>
      <c r="C113" s="1250"/>
      <c r="D113" s="699"/>
      <c r="E113" s="608"/>
      <c r="F113" s="739"/>
      <c r="G113" s="608"/>
      <c r="H113" s="536">
        <f>G113+'2'!H113</f>
        <v>0</v>
      </c>
      <c r="I113" s="608"/>
      <c r="J113" s="635">
        <f>H113/DAY(B2)</f>
        <v>0</v>
      </c>
      <c r="O113" s="413"/>
    </row>
    <row r="114" spans="1:15" s="481" customFormat="1" ht="27.75">
      <c r="A114" s="1378" t="s">
        <v>235</v>
      </c>
      <c r="B114" s="1379"/>
      <c r="C114" s="1249"/>
      <c r="D114" s="699" t="s">
        <v>155</v>
      </c>
      <c r="E114" s="610">
        <f>'2'!F114</f>
        <v>9284</v>
      </c>
      <c r="F114" s="740">
        <v>9295</v>
      </c>
      <c r="G114" s="610">
        <f>F114-E114</f>
        <v>11</v>
      </c>
      <c r="H114" s="536">
        <f>G114+'2'!H114</f>
        <v>55</v>
      </c>
      <c r="I114" s="608"/>
      <c r="J114" s="635">
        <f>H114/DAY(B2)</f>
        <v>18.333333333333332</v>
      </c>
      <c r="O114" s="413"/>
    </row>
    <row r="115" spans="1:15" s="481" customFormat="1" ht="27.75">
      <c r="A115" s="1378" t="s">
        <v>236</v>
      </c>
      <c r="B115" s="1379"/>
      <c r="C115" s="1249"/>
      <c r="D115" s="699" t="s">
        <v>155</v>
      </c>
      <c r="E115" s="610">
        <f>'2'!F115</f>
        <v>7209</v>
      </c>
      <c r="F115" s="740">
        <v>7218</v>
      </c>
      <c r="G115" s="610">
        <f t="shared" ref="G115:G116" si="13">F115-E115</f>
        <v>9</v>
      </c>
      <c r="H115" s="536">
        <f>G115+'2'!H115</f>
        <v>29</v>
      </c>
      <c r="I115" s="608"/>
      <c r="J115" s="635">
        <f>H115/DAY(B2)</f>
        <v>9.6666666666666661</v>
      </c>
      <c r="O115" s="413"/>
    </row>
    <row r="116" spans="1:15" s="481" customFormat="1" ht="27.75">
      <c r="A116" s="1378" t="s">
        <v>237</v>
      </c>
      <c r="B116" s="1379"/>
      <c r="C116" s="1249"/>
      <c r="D116" s="699" t="s">
        <v>155</v>
      </c>
      <c r="E116" s="610"/>
      <c r="F116" s="740"/>
      <c r="G116" s="610">
        <f t="shared" si="13"/>
        <v>0</v>
      </c>
      <c r="H116" s="536">
        <f>G116+'2'!H116</f>
        <v>0</v>
      </c>
      <c r="I116" s="608"/>
      <c r="J116" s="635">
        <f>H116/DAY(B2)</f>
        <v>0</v>
      </c>
      <c r="O116" s="413"/>
    </row>
    <row r="117" spans="1:15" s="494" customFormat="1" ht="27.75">
      <c r="A117" s="1384" t="s">
        <v>213</v>
      </c>
      <c r="B117" s="1385"/>
      <c r="C117" s="1249"/>
      <c r="D117" s="884"/>
      <c r="E117" s="610"/>
      <c r="F117" s="740"/>
      <c r="G117" s="610">
        <f>SUM(G114:G116)</f>
        <v>20</v>
      </c>
      <c r="H117" s="536">
        <f>G117+'2'!H117</f>
        <v>84</v>
      </c>
      <c r="I117" s="610"/>
      <c r="J117" s="635">
        <f>H117/DAY(B2)</f>
        <v>28</v>
      </c>
      <c r="O117" s="413"/>
    </row>
    <row r="118" spans="1:15" s="494" customFormat="1" ht="27.75">
      <c r="A118" s="1376" t="s">
        <v>238</v>
      </c>
      <c r="B118" s="1377"/>
      <c r="C118" s="1249"/>
      <c r="D118" s="701" t="s">
        <v>155</v>
      </c>
      <c r="E118" s="612"/>
      <c r="F118" s="741">
        <f>SUM(G19+G92)</f>
        <v>122</v>
      </c>
      <c r="G118" s="612">
        <f>SUM(G19+G92)</f>
        <v>122</v>
      </c>
      <c r="H118" s="536">
        <f>G118+'2'!H118</f>
        <v>443</v>
      </c>
      <c r="I118" s="611"/>
      <c r="J118" s="636">
        <f>H118/DAY(B2)</f>
        <v>147.66666666666666</v>
      </c>
      <c r="O118" s="413"/>
    </row>
    <row r="119" spans="1:15" s="494" customFormat="1" ht="27.75">
      <c r="A119" s="1376" t="s">
        <v>239</v>
      </c>
      <c r="B119" s="1377"/>
      <c r="C119" s="1249"/>
      <c r="D119" s="701" t="s">
        <v>155</v>
      </c>
      <c r="E119" s="612"/>
      <c r="F119" s="741">
        <f>SUM(G95,G96,G97,G99,G100)</f>
        <v>115</v>
      </c>
      <c r="G119" s="612">
        <f>SUM(G95,G96,G97,G99,G100)</f>
        <v>115</v>
      </c>
      <c r="H119" s="536">
        <f>G119+'2'!H119</f>
        <v>416</v>
      </c>
      <c r="I119" s="611"/>
      <c r="J119" s="636">
        <f>H119/DAY(B2)</f>
        <v>138.66666666666666</v>
      </c>
      <c r="O119" s="413"/>
    </row>
    <row r="120" spans="1:15" s="494" customFormat="1" ht="27.75">
      <c r="A120" s="1376" t="s">
        <v>240</v>
      </c>
      <c r="B120" s="1377"/>
      <c r="C120" s="1249"/>
      <c r="D120" s="701" t="s">
        <v>155</v>
      </c>
      <c r="E120" s="610"/>
      <c r="F120" s="740">
        <f>SUM(G112)</f>
        <v>126</v>
      </c>
      <c r="G120" s="610">
        <f>SUM(G112)</f>
        <v>126</v>
      </c>
      <c r="H120" s="536">
        <f>G120+'2'!H120</f>
        <v>351</v>
      </c>
      <c r="I120" s="611"/>
      <c r="J120" s="636">
        <f>H120/DAY(B2)</f>
        <v>117</v>
      </c>
      <c r="O120" s="413"/>
    </row>
    <row r="121" spans="1:15" s="481" customFormat="1" ht="27.75">
      <c r="A121" s="1378"/>
      <c r="B121" s="1379"/>
      <c r="C121" s="1250"/>
      <c r="D121" s="637"/>
      <c r="E121" s="637"/>
      <c r="F121" s="742" t="s">
        <v>226</v>
      </c>
      <c r="G121" s="637"/>
      <c r="H121" s="638"/>
      <c r="I121" s="637"/>
      <c r="J121" s="639"/>
      <c r="O121" s="413"/>
    </row>
    <row r="122" spans="1:15">
      <c r="A122" s="1416" t="s">
        <v>241</v>
      </c>
      <c r="B122" s="1417"/>
      <c r="C122" s="1418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f>'2'!F123</f>
        <v>795994.39</v>
      </c>
      <c r="F123" s="554">
        <v>796240</v>
      </c>
      <c r="G123" s="549">
        <f t="shared" ref="G123:G127" si="14">F123-E123</f>
        <v>245.60999999998603</v>
      </c>
      <c r="H123" s="536">
        <f>G123+'2'!H123</f>
        <v>815.94999999995343</v>
      </c>
      <c r="I123" s="602"/>
      <c r="J123" s="629">
        <f>H123/DAY(B2)</f>
        <v>271.98333333331783</v>
      </c>
      <c r="K123" s="411"/>
      <c r="L123" s="408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703">
        <f>'2'!F124</f>
        <v>73582</v>
      </c>
      <c r="F124" s="703">
        <v>73582</v>
      </c>
      <c r="G124" s="549">
        <f t="shared" si="14"/>
        <v>0</v>
      </c>
      <c r="H124" s="536">
        <f>G124+'2'!H124</f>
        <v>-0.19999999999708962</v>
      </c>
      <c r="I124" s="602"/>
      <c r="J124" s="629">
        <f>H124/DAY(B2)</f>
        <v>-6.6666666665696539E-2</v>
      </c>
      <c r="K124" s="411"/>
      <c r="L124" s="408"/>
      <c r="O124" s="413"/>
    </row>
    <row r="125" spans="1:15" ht="27.75">
      <c r="A125" s="1367" t="s">
        <v>244</v>
      </c>
      <c r="B125" s="1368"/>
      <c r="C125" s="1369"/>
      <c r="D125" s="599" t="s">
        <v>152</v>
      </c>
      <c r="E125" s="554">
        <f>'2'!F125</f>
        <v>135746</v>
      </c>
      <c r="F125" s="554">
        <v>135817.75</v>
      </c>
      <c r="G125" s="549">
        <f t="shared" si="14"/>
        <v>71.75</v>
      </c>
      <c r="H125" s="536">
        <f>G125+'2'!H125</f>
        <v>227.07999999998719</v>
      </c>
      <c r="I125" s="602"/>
      <c r="J125" s="629">
        <f>H125/DAY(B2)</f>
        <v>75.693333333329065</v>
      </c>
      <c r="K125" s="411"/>
      <c r="L125" s="408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703">
        <f>'2'!F126</f>
        <v>57450</v>
      </c>
      <c r="F126" s="703">
        <v>57488</v>
      </c>
      <c r="G126" s="549">
        <f t="shared" si="14"/>
        <v>38</v>
      </c>
      <c r="H126" s="536">
        <f>G126+'2'!H126</f>
        <v>107</v>
      </c>
      <c r="I126" s="602"/>
      <c r="J126" s="629">
        <f>H126/DAY(B2)</f>
        <v>35.666666666666664</v>
      </c>
      <c r="K126" s="411"/>
      <c r="L126" s="408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703">
        <f>'2'!F127</f>
        <v>8709</v>
      </c>
      <c r="F127" s="703">
        <v>8712</v>
      </c>
      <c r="G127" s="549">
        <f t="shared" si="14"/>
        <v>3</v>
      </c>
      <c r="H127" s="536">
        <f>G127+'2'!H127</f>
        <v>6</v>
      </c>
      <c r="I127" s="556"/>
      <c r="J127" s="629">
        <f>H127/DAY(B2)</f>
        <v>2</v>
      </c>
      <c r="K127" s="411"/>
      <c r="L127" s="408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457.32999999995809</v>
      </c>
      <c r="H128" s="536">
        <f>G128+'2'!H128</f>
        <v>1176.3800000000192</v>
      </c>
      <c r="I128" s="556"/>
      <c r="J128" s="629">
        <f>H128/DAY(B2)</f>
        <v>392.12666666667309</v>
      </c>
      <c r="K128" s="391"/>
      <c r="L128" s="293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f>'2'!F130</f>
        <v>0</v>
      </c>
      <c r="F130" s="554">
        <v>0</v>
      </c>
      <c r="G130" s="549">
        <f t="shared" ref="G130:G140" si="15">F130-E130</f>
        <v>0</v>
      </c>
      <c r="H130" s="536">
        <f>G130+'2'!H130</f>
        <v>0</v>
      </c>
      <c r="I130" s="556"/>
      <c r="J130" s="629">
        <f>H130/DAY(B2)</f>
        <v>0</v>
      </c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f>'2'!F131</f>
        <v>0</v>
      </c>
      <c r="F131" s="554">
        <v>0</v>
      </c>
      <c r="G131" s="549">
        <f t="shared" si="15"/>
        <v>0</v>
      </c>
      <c r="H131" s="536">
        <f>G131+'2'!H131</f>
        <v>0</v>
      </c>
      <c r="I131" s="556"/>
      <c r="J131" s="629">
        <f>H131/DAY(B2)</f>
        <v>0</v>
      </c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f>'2'!F132</f>
        <v>38901</v>
      </c>
      <c r="F132" s="732">
        <v>38901</v>
      </c>
      <c r="G132" s="549">
        <f t="shared" si="15"/>
        <v>0</v>
      </c>
      <c r="H132" s="536">
        <f>G132+'2'!H132</f>
        <v>0</v>
      </c>
      <c r="I132" s="556"/>
      <c r="J132" s="629">
        <f>H132/DAY(B2)</f>
        <v>0</v>
      </c>
      <c r="O132" s="413"/>
    </row>
    <row r="133" spans="1:15" ht="27.75">
      <c r="A133" s="1252" t="s">
        <v>253</v>
      </c>
      <c r="B133" s="1253"/>
      <c r="C133" s="1253"/>
      <c r="D133" s="599" t="s">
        <v>250</v>
      </c>
      <c r="E133" s="782">
        <f>'2'!F133</f>
        <v>299</v>
      </c>
      <c r="F133" s="703">
        <v>299</v>
      </c>
      <c r="G133" s="549">
        <f t="shared" si="15"/>
        <v>0</v>
      </c>
      <c r="H133" s="536">
        <f>G133+'2'!H133</f>
        <v>0</v>
      </c>
      <c r="I133" s="556"/>
      <c r="J133" s="629">
        <f>H133/DAY(B2)</f>
        <v>0</v>
      </c>
      <c r="O133" s="413"/>
    </row>
    <row r="134" spans="1:15" ht="27.75">
      <c r="A134" s="1252" t="s">
        <v>254</v>
      </c>
      <c r="B134" s="1253"/>
      <c r="C134" s="1253"/>
      <c r="D134" s="599" t="s">
        <v>250</v>
      </c>
      <c r="E134" s="782">
        <f>'2'!F134</f>
        <v>39735</v>
      </c>
      <c r="F134" s="703">
        <v>39735</v>
      </c>
      <c r="G134" s="549">
        <f t="shared" si="15"/>
        <v>0</v>
      </c>
      <c r="H134" s="536">
        <f>G134+'2'!H134</f>
        <v>0</v>
      </c>
      <c r="I134" s="556"/>
      <c r="J134" s="629">
        <f>H134/DAY(B2)</f>
        <v>0</v>
      </c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782">
        <f>'2'!F135</f>
        <v>32215.47</v>
      </c>
      <c r="F135" s="703">
        <v>32239.32</v>
      </c>
      <c r="G135" s="549">
        <f t="shared" si="15"/>
        <v>23.849999999998545</v>
      </c>
      <c r="H135" s="536">
        <f>G135+'2'!H135</f>
        <v>71.930000000000291</v>
      </c>
      <c r="I135" s="556">
        <f t="shared" ref="I135" si="16">G132+G133+G134+G135</f>
        <v>23.849999999998545</v>
      </c>
      <c r="J135" s="629">
        <f>H135/DAY(B2)</f>
        <v>23.976666666666762</v>
      </c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f>'2'!F136</f>
        <v>21810.86</v>
      </c>
      <c r="F136" s="732">
        <v>21818.799999999999</v>
      </c>
      <c r="G136" s="549">
        <f t="shared" si="15"/>
        <v>7.9399999999986903</v>
      </c>
      <c r="H136" s="536">
        <f>G136+'2'!H136</f>
        <v>17.099999999998545</v>
      </c>
      <c r="I136" s="556"/>
      <c r="J136" s="629">
        <f>H136/DAY(B2)</f>
        <v>5.6999999999995152</v>
      </c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f>'2'!F137</f>
        <v>24990.61</v>
      </c>
      <c r="F137" s="732">
        <v>24990.61</v>
      </c>
      <c r="G137" s="549">
        <f t="shared" si="15"/>
        <v>0</v>
      </c>
      <c r="H137" s="536">
        <f>G137+'2'!H137</f>
        <v>0</v>
      </c>
      <c r="I137" s="556"/>
      <c r="J137" s="629">
        <f>H137/DAY(B2)</f>
        <v>0</v>
      </c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f>'2'!F138</f>
        <v>70011.73</v>
      </c>
      <c r="F138" s="732">
        <v>70011.73</v>
      </c>
      <c r="G138" s="549">
        <f t="shared" si="15"/>
        <v>0</v>
      </c>
      <c r="H138" s="536">
        <f>G138+'2'!H138</f>
        <v>5.3600000000005821</v>
      </c>
      <c r="I138" s="556">
        <f>G136+G137+G138</f>
        <v>7.9399999999986903</v>
      </c>
      <c r="J138" s="629">
        <f>H138/DAY(B2)</f>
        <v>1.7866666666668607</v>
      </c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782">
        <f>'2'!F139</f>
        <v>1063</v>
      </c>
      <c r="F139" s="703">
        <v>1063</v>
      </c>
      <c r="G139" s="549">
        <f t="shared" si="15"/>
        <v>0</v>
      </c>
      <c r="H139" s="536">
        <f>G139+'2'!H139</f>
        <v>0</v>
      </c>
      <c r="I139" s="619"/>
      <c r="J139" s="629">
        <f>H139/DAY(B2)</f>
        <v>0</v>
      </c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60">
        <f>'2'!F140</f>
        <v>4251.29</v>
      </c>
      <c r="F140" s="554">
        <v>4259.22</v>
      </c>
      <c r="G140" s="549">
        <f t="shared" si="15"/>
        <v>7.930000000000291</v>
      </c>
      <c r="H140" s="536">
        <f>G140+'2'!H140</f>
        <v>26.8100000000004</v>
      </c>
      <c r="I140" s="619">
        <f>G140+G177</f>
        <v>7.930000000000291</v>
      </c>
      <c r="J140" s="629">
        <f>H140/DAY(B2)</f>
        <v>8.9366666666668007</v>
      </c>
      <c r="O140" s="413"/>
    </row>
    <row r="141" spans="1:15">
      <c r="A141" s="1397" t="s">
        <v>261</v>
      </c>
      <c r="B141" s="1398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388" t="s">
        <v>262</v>
      </c>
      <c r="B142" s="1389"/>
      <c r="C142" s="1390"/>
      <c r="D142" s="599" t="s">
        <v>143</v>
      </c>
      <c r="E142" s="599"/>
      <c r="F142" s="599"/>
      <c r="G142" s="536">
        <f>G35+G43+G49+G57</f>
        <v>4843.4200000000419</v>
      </c>
      <c r="H142" s="536">
        <f>G142+'2'!H142</f>
        <v>14583.799999999988</v>
      </c>
      <c r="I142" s="556"/>
      <c r="J142" s="629">
        <f>H142/DAY(B2)</f>
        <v>4861.2666666666628</v>
      </c>
      <c r="K142" s="411"/>
      <c r="L142" s="408"/>
      <c r="O142" s="413"/>
    </row>
    <row r="143" spans="1:15" ht="27.75">
      <c r="A143" s="1388" t="s">
        <v>263</v>
      </c>
      <c r="B143" s="1389"/>
      <c r="C143" s="1390"/>
      <c r="D143" s="599" t="s">
        <v>24</v>
      </c>
      <c r="E143" s="587"/>
      <c r="F143" s="587"/>
      <c r="G143" s="620">
        <f>G142/G7</f>
        <v>0.25150171357358198</v>
      </c>
      <c r="H143" s="536">
        <f>G143+'2'!H143</f>
        <v>0.57149421851711835</v>
      </c>
      <c r="I143" s="621"/>
      <c r="J143" s="629">
        <f>H143/DAY(B2)</f>
        <v>0.19049807283903944</v>
      </c>
      <c r="K143" s="411"/>
      <c r="L143" s="408"/>
      <c r="O143" s="413"/>
    </row>
    <row r="144" spans="1:15" ht="27.75">
      <c r="A144" s="1388" t="s">
        <v>264</v>
      </c>
      <c r="B144" s="1389"/>
      <c r="C144" s="1390"/>
      <c r="D144" s="599" t="s">
        <v>143</v>
      </c>
      <c r="E144" s="531"/>
      <c r="F144" s="531"/>
      <c r="G144" s="536">
        <f>G41+G42+G55+G56</f>
        <v>4109.1699999999837</v>
      </c>
      <c r="H144" s="536">
        <f>G144+'2'!H144</f>
        <v>13875.930000000022</v>
      </c>
      <c r="I144" s="556"/>
      <c r="J144" s="629">
        <f>H144/DAY(B2)</f>
        <v>4625.3100000000077</v>
      </c>
      <c r="K144" s="411"/>
      <c r="L144" s="408"/>
      <c r="O144" s="413"/>
    </row>
    <row r="145" spans="1:15" ht="27.75">
      <c r="A145" s="1388" t="s">
        <v>265</v>
      </c>
      <c r="B145" s="1389"/>
      <c r="C145" s="1390"/>
      <c r="D145" s="599" t="s">
        <v>24</v>
      </c>
      <c r="E145" s="531"/>
      <c r="F145" s="531"/>
      <c r="G145" s="620">
        <f>G144/G7</f>
        <v>0.2133747014227845</v>
      </c>
      <c r="H145" s="536">
        <f>G145+'2'!H145</f>
        <v>0.70413218399595456</v>
      </c>
      <c r="I145" s="621"/>
      <c r="J145" s="629">
        <f>H145/DAY(B2)</f>
        <v>0.23471072799865153</v>
      </c>
      <c r="K145" s="411"/>
      <c r="L145" s="408"/>
      <c r="O145" s="413"/>
    </row>
    <row r="146" spans="1:15" ht="27.75">
      <c r="A146" s="1388" t="s">
        <v>266</v>
      </c>
      <c r="B146" s="1389"/>
      <c r="C146" s="1390"/>
      <c r="D146" s="599" t="s">
        <v>143</v>
      </c>
      <c r="E146" s="531"/>
      <c r="F146" s="531"/>
      <c r="G146" s="536">
        <f>G39+G53</f>
        <v>4158.7900000000081</v>
      </c>
      <c r="H146" s="536">
        <f>G146+'2'!H146</f>
        <v>12563.820000000007</v>
      </c>
      <c r="I146" s="622"/>
      <c r="J146" s="629">
        <f>H146/DAY(B2)</f>
        <v>4187.9400000000023</v>
      </c>
      <c r="K146" s="411"/>
      <c r="L146" s="408"/>
      <c r="O146" s="413"/>
    </row>
    <row r="147" spans="1:15" ht="27.75">
      <c r="A147" s="1388" t="s">
        <v>267</v>
      </c>
      <c r="B147" s="1389"/>
      <c r="C147" s="1390"/>
      <c r="D147" s="599" t="s">
        <v>24</v>
      </c>
      <c r="E147" s="531"/>
      <c r="F147" s="531"/>
      <c r="G147" s="620">
        <f>G146/G7</f>
        <v>0.21595129296915611</v>
      </c>
      <c r="H147" s="536">
        <f>G147+'2'!H147</f>
        <v>0.63838426065480669</v>
      </c>
      <c r="I147" s="622"/>
      <c r="J147" s="629">
        <f>H147/DAY(B2)</f>
        <v>0.21279475355160224</v>
      </c>
      <c r="O147" s="413"/>
    </row>
    <row r="148" spans="1:15" ht="27.75">
      <c r="A148" s="1388" t="s">
        <v>268</v>
      </c>
      <c r="B148" s="1389"/>
      <c r="C148" s="1390"/>
      <c r="D148" s="599" t="s">
        <v>194</v>
      </c>
      <c r="E148" s="531"/>
      <c r="F148" s="531"/>
      <c r="G148" s="536">
        <f>G38+G52</f>
        <v>2064</v>
      </c>
      <c r="H148" s="536">
        <f>G148+'2'!H148</f>
        <v>6272.3699999999953</v>
      </c>
      <c r="I148" s="556"/>
      <c r="J148" s="629">
        <f>H148/DAY(B2)</f>
        <v>2090.7899999999986</v>
      </c>
      <c r="K148" s="412"/>
      <c r="O148" s="413"/>
    </row>
    <row r="149" spans="1:15" ht="27.75">
      <c r="A149" s="1388" t="s">
        <v>269</v>
      </c>
      <c r="B149" s="1389"/>
      <c r="C149" s="1390"/>
      <c r="D149" s="599" t="s">
        <v>24</v>
      </c>
      <c r="E149" s="531"/>
      <c r="F149" s="531"/>
      <c r="G149" s="620">
        <f>G148/G7</f>
        <v>0.10717623844635996</v>
      </c>
      <c r="H149" s="536">
        <f>G149+'2'!H149</f>
        <v>0.31866217442211525</v>
      </c>
      <c r="I149" s="622"/>
      <c r="J149" s="629">
        <f>H149/DAY(B2)</f>
        <v>0.10622072480737176</v>
      </c>
      <c r="O149" s="413"/>
    </row>
    <row r="150" spans="1:15" ht="27.75">
      <c r="A150" s="1388" t="s">
        <v>270</v>
      </c>
      <c r="B150" s="1389"/>
      <c r="C150" s="1390"/>
      <c r="D150" s="599" t="s">
        <v>194</v>
      </c>
      <c r="E150" s="531"/>
      <c r="F150" s="531"/>
      <c r="G150" s="536">
        <f>G36+G50</f>
        <v>1931.4199999999837</v>
      </c>
      <c r="H150" s="536">
        <f>G150+'2'!H150</f>
        <v>5259.9799999999814</v>
      </c>
      <c r="I150" s="622"/>
      <c r="J150" s="629">
        <f>H150/DAY(B2)</f>
        <v>1753.3266666666605</v>
      </c>
      <c r="O150" s="413"/>
    </row>
    <row r="151" spans="1:15" ht="27.75">
      <c r="A151" s="1388" t="s">
        <v>271</v>
      </c>
      <c r="B151" s="1389"/>
      <c r="C151" s="1390"/>
      <c r="D151" s="599" t="s">
        <v>24</v>
      </c>
      <c r="E151" s="531"/>
      <c r="F151" s="531"/>
      <c r="G151" s="620">
        <f>G150/G7</f>
        <v>0.10029182677328817</v>
      </c>
      <c r="H151" s="536">
        <f>G151+'2'!H151</f>
        <v>0.26756734780935915</v>
      </c>
      <c r="I151" s="556"/>
      <c r="J151" s="629">
        <f>H151/DAY(B2)</f>
        <v>8.9189115936453053E-2</v>
      </c>
      <c r="O151" s="413"/>
    </row>
    <row r="152" spans="1:15" ht="27.75">
      <c r="A152" s="1388" t="s">
        <v>272</v>
      </c>
      <c r="B152" s="1389"/>
      <c r="C152" s="1390"/>
      <c r="D152" s="599" t="s">
        <v>194</v>
      </c>
      <c r="E152" s="531"/>
      <c r="F152" s="531"/>
      <c r="G152" s="536">
        <f>G37+G51</f>
        <v>1376.5899999999965</v>
      </c>
      <c r="H152" s="536">
        <f>G152+'2'!H152</f>
        <v>4266.4799999999959</v>
      </c>
      <c r="I152" s="556"/>
      <c r="J152" s="629">
        <f>H152/DAY(B2)</f>
        <v>1422.1599999999987</v>
      </c>
      <c r="O152" s="413"/>
    </row>
    <row r="153" spans="1:15" ht="28.5" thickBot="1">
      <c r="A153" s="1394" t="s">
        <v>273</v>
      </c>
      <c r="B153" s="1395"/>
      <c r="C153" s="1396"/>
      <c r="D153" s="702" t="s">
        <v>24</v>
      </c>
      <c r="E153" s="642"/>
      <c r="F153" s="642"/>
      <c r="G153" s="643">
        <f>G152/G7</f>
        <v>7.1481462249454591E-2</v>
      </c>
      <c r="H153" s="536">
        <f>G153+'2'!H153</f>
        <v>0.21672887115702874</v>
      </c>
      <c r="I153" s="645"/>
      <c r="J153" s="646">
        <f>H153/DAY(B2)</f>
        <v>7.2242957052342918E-2</v>
      </c>
      <c r="O153" s="413"/>
    </row>
    <row r="154" spans="1:15">
      <c r="O154" s="413"/>
    </row>
    <row r="157" spans="1:15" ht="27.75">
      <c r="A157" s="1425" t="s">
        <v>278</v>
      </c>
      <c r="B157" s="1426"/>
      <c r="C157" s="1426"/>
      <c r="D157" s="1426"/>
      <c r="E157" s="1426"/>
      <c r="F157" s="1426"/>
      <c r="G157" s="1427"/>
    </row>
    <row r="158" spans="1:15">
      <c r="A158" s="889"/>
      <c r="B158" s="890"/>
      <c r="C158" s="890"/>
      <c r="D158" s="587"/>
      <c r="E158" s="531"/>
      <c r="F158" s="739"/>
      <c r="G158" s="549"/>
    </row>
    <row r="159" spans="1:15">
      <c r="A159" s="889"/>
      <c r="B159" s="890"/>
      <c r="C159" s="890"/>
      <c r="D159" s="587"/>
      <c r="E159" s="531"/>
      <c r="F159" s="739"/>
      <c r="G159" s="549"/>
    </row>
    <row r="160" spans="1:15">
      <c r="A160" s="889" t="s">
        <v>274</v>
      </c>
      <c r="B160" s="890"/>
      <c r="C160" s="890"/>
      <c r="D160" s="587" t="s">
        <v>198</v>
      </c>
      <c r="E160" s="739">
        <v>26215</v>
      </c>
      <c r="F160" s="739">
        <v>26285</v>
      </c>
      <c r="G160" s="549">
        <f t="shared" ref="G160:G171" si="17">F160-E160</f>
        <v>70</v>
      </c>
    </row>
    <row r="161" spans="1:7">
      <c r="A161" s="889" t="s">
        <v>275</v>
      </c>
      <c r="B161" s="890"/>
      <c r="C161" s="890"/>
      <c r="D161" s="587" t="s">
        <v>198</v>
      </c>
      <c r="E161" s="739">
        <v>29378</v>
      </c>
      <c r="F161" s="739">
        <v>29858</v>
      </c>
      <c r="G161" s="549">
        <f t="shared" si="17"/>
        <v>480</v>
      </c>
    </row>
    <row r="162" spans="1:7">
      <c r="A162" s="889" t="s">
        <v>276</v>
      </c>
      <c r="B162" s="890"/>
      <c r="C162" s="890"/>
      <c r="D162" s="587" t="s">
        <v>198</v>
      </c>
      <c r="E162" s="739">
        <v>5180.93</v>
      </c>
      <c r="F162" s="739">
        <v>5593.36</v>
      </c>
      <c r="G162" s="549">
        <f t="shared" si="17"/>
        <v>412.42999999999938</v>
      </c>
    </row>
    <row r="163" spans="1:7">
      <c r="A163" s="889" t="s">
        <v>277</v>
      </c>
      <c r="B163" s="890"/>
      <c r="C163" s="890"/>
      <c r="D163" s="587" t="s">
        <v>198</v>
      </c>
      <c r="E163" s="739">
        <v>4379.7</v>
      </c>
      <c r="F163" s="739">
        <v>4403</v>
      </c>
      <c r="G163" s="549">
        <f t="shared" si="17"/>
        <v>23.300000000000182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20419.188999999998</v>
      </c>
      <c r="F164" s="590">
        <f>F62</f>
        <v>20419.188999999998</v>
      </c>
      <c r="G164" s="549">
        <f t="shared" si="17"/>
        <v>0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" si="18">E63</f>
        <v>1116</v>
      </c>
      <c r="F165" s="590">
        <f t="shared" ref="F165:F171" si="19">F63</f>
        <v>1120.6199999999999</v>
      </c>
      <c r="G165" s="549">
        <f t="shared" si="17"/>
        <v>4.6199999999998909</v>
      </c>
    </row>
    <row r="166" spans="1:7" ht="21.75" customHeight="1">
      <c r="A166" s="1363" t="s">
        <v>107</v>
      </c>
      <c r="B166" s="1363"/>
      <c r="C166" s="1363"/>
      <c r="D166" s="599" t="s">
        <v>198</v>
      </c>
      <c r="E166" s="590">
        <f t="shared" ref="E166" si="20">E64</f>
        <v>99239.65</v>
      </c>
      <c r="F166" s="590">
        <f t="shared" si="19"/>
        <v>99616</v>
      </c>
      <c r="G166" s="549">
        <f t="shared" si="17"/>
        <v>376.35000000000582</v>
      </c>
    </row>
    <row r="167" spans="1:7" ht="21.75" customHeight="1">
      <c r="A167" s="1363" t="s">
        <v>108</v>
      </c>
      <c r="B167" s="1363"/>
      <c r="C167" s="1363"/>
      <c r="D167" s="599" t="s">
        <v>198</v>
      </c>
      <c r="E167" s="590">
        <f t="shared" ref="E167" si="21">E65</f>
        <v>109868.56</v>
      </c>
      <c r="F167" s="590">
        <f t="shared" si="19"/>
        <v>110258.57</v>
      </c>
      <c r="G167" s="549">
        <f t="shared" si="17"/>
        <v>390.01000000000931</v>
      </c>
    </row>
    <row r="168" spans="1:7" ht="21.75" customHeight="1">
      <c r="A168" s="1363" t="s">
        <v>109</v>
      </c>
      <c r="B168" s="1363"/>
      <c r="C168" s="1363"/>
      <c r="D168" s="599" t="s">
        <v>198</v>
      </c>
      <c r="E168" s="590">
        <f t="shared" ref="E168" si="22">E66</f>
        <v>3244.35</v>
      </c>
      <c r="F168" s="590">
        <f t="shared" si="19"/>
        <v>3638.67</v>
      </c>
      <c r="G168" s="549">
        <f t="shared" si="17"/>
        <v>394.32000000000016</v>
      </c>
    </row>
    <row r="169" spans="1:7" ht="27.75" customHeight="1">
      <c r="A169" s="1363" t="s">
        <v>110</v>
      </c>
      <c r="B169" s="1363"/>
      <c r="C169" s="1363"/>
      <c r="D169" s="599" t="s">
        <v>198</v>
      </c>
      <c r="E169" s="590">
        <f t="shared" ref="E169" si="23">E67</f>
        <v>169631</v>
      </c>
      <c r="F169" s="590">
        <f t="shared" si="19"/>
        <v>170282.57</v>
      </c>
      <c r="G169" s="549">
        <f t="shared" si="17"/>
        <v>651.57000000000698</v>
      </c>
    </row>
    <row r="170" spans="1:7" ht="24" customHeight="1">
      <c r="A170" s="1363" t="s">
        <v>111</v>
      </c>
      <c r="B170" s="1363"/>
      <c r="C170" s="1363"/>
      <c r="D170" s="599" t="s">
        <v>198</v>
      </c>
      <c r="E170" s="590">
        <f t="shared" ref="E170" si="24">E68</f>
        <v>54229</v>
      </c>
      <c r="F170" s="590">
        <f t="shared" si="19"/>
        <v>54498</v>
      </c>
      <c r="G170" s="549">
        <f t="shared" si="17"/>
        <v>269</v>
      </c>
    </row>
    <row r="171" spans="1:7" ht="22.5" customHeight="1">
      <c r="A171" s="1363" t="s">
        <v>112</v>
      </c>
      <c r="B171" s="1363"/>
      <c r="C171" s="1363"/>
      <c r="D171" s="599" t="s">
        <v>198</v>
      </c>
      <c r="E171" s="590">
        <f t="shared" ref="E171" si="25">E69</f>
        <v>47108</v>
      </c>
      <c r="F171" s="590">
        <f t="shared" si="19"/>
        <v>47402</v>
      </c>
      <c r="G171" s="549">
        <f t="shared" si="17"/>
        <v>294</v>
      </c>
    </row>
    <row r="176" spans="1:7" ht="18.75" customHeight="1"/>
    <row r="184" ht="29.25" customHeight="1"/>
    <row r="185" ht="29.25" customHeight="1"/>
    <row r="186" ht="29.25" customHeight="1"/>
    <row r="187" ht="29.25" customHeight="1"/>
    <row r="188" ht="29.25" customHeight="1"/>
    <row r="189" ht="29.25" customHeight="1"/>
    <row r="190" ht="29.25" customHeight="1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82" zoomScale="55" zoomScaleNormal="48" zoomScaleSheetLayoutView="55" workbookViewId="0">
      <selection activeCell="F28" sqref="F28"/>
    </sheetView>
  </sheetViews>
  <sheetFormatPr defaultColWidth="22.33203125" defaultRowHeight="29.25"/>
  <cols>
    <col min="1" max="1" width="42.109375" style="530" customWidth="1"/>
    <col min="2" max="2" width="28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4" s="281" customFormat="1" ht="27">
      <c r="A2" s="652" t="s">
        <v>328</v>
      </c>
      <c r="B2" s="1139">
        <v>44200</v>
      </c>
      <c r="C2" s="1254" t="s">
        <v>69</v>
      </c>
      <c r="D2" s="688">
        <v>0.21</v>
      </c>
      <c r="E2" s="537"/>
      <c r="F2" s="70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4" s="281" customFormat="1" ht="27">
      <c r="A3" s="647"/>
      <c r="B3" s="691"/>
      <c r="C3" s="1254" t="s">
        <v>131</v>
      </c>
      <c r="D3" s="689">
        <v>28</v>
      </c>
      <c r="E3" s="1408" t="s">
        <v>132</v>
      </c>
      <c r="F3" s="1409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54" t="s">
        <v>133</v>
      </c>
      <c r="D4" s="688">
        <v>0.8</v>
      </c>
      <c r="E4" s="540"/>
      <c r="F4" s="708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709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402" t="s">
        <v>141</v>
      </c>
      <c r="B6" s="1403"/>
      <c r="C6" s="1404"/>
      <c r="D6" s="547"/>
      <c r="E6" s="547"/>
      <c r="F6" s="570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'3'!F7</f>
        <v>3345489</v>
      </c>
      <c r="F7" s="710">
        <v>3363965</v>
      </c>
      <c r="G7" s="770">
        <f>F7-E7</f>
        <v>18476</v>
      </c>
      <c r="H7" s="760">
        <f>G7+'3'!H7</f>
        <v>77525</v>
      </c>
      <c r="I7" s="761">
        <f>'1'!I7</f>
        <v>12000</v>
      </c>
      <c r="J7" s="762">
        <f>H7/DAY(B2)</f>
        <v>19381.25</v>
      </c>
      <c r="K7" s="626"/>
      <c r="L7" s="408"/>
      <c r="N7" s="413"/>
    </row>
    <row r="8" spans="1:14" ht="27.75" thickBot="1">
      <c r="A8" s="763" t="s">
        <v>144</v>
      </c>
      <c r="B8" s="764"/>
      <c r="C8" s="765"/>
      <c r="D8" s="766" t="s">
        <v>25</v>
      </c>
      <c r="E8" s="710">
        <f>'3'!F8</f>
        <v>3365919</v>
      </c>
      <c r="F8" s="711">
        <v>3384591</v>
      </c>
      <c r="G8" s="1158">
        <f>F8-E8</f>
        <v>18672</v>
      </c>
      <c r="H8" s="760">
        <f>G8+'3'!H8</f>
        <v>78219</v>
      </c>
      <c r="I8" s="767">
        <v>12000</v>
      </c>
      <c r="J8" s="762">
        <f>H8/DAY(B2)</f>
        <v>19554.75</v>
      </c>
      <c r="K8" s="626"/>
      <c r="L8" s="464"/>
      <c r="M8" s="479"/>
      <c r="N8" s="785">
        <f>G7/G8</f>
        <v>0.98950299914310202</v>
      </c>
    </row>
    <row r="9" spans="1:14">
      <c r="A9" s="768" t="s">
        <v>145</v>
      </c>
      <c r="B9" s="769"/>
      <c r="C9" s="769"/>
      <c r="D9" s="715" t="s">
        <v>143</v>
      </c>
      <c r="E9" s="712">
        <f>'3'!F9</f>
        <v>2412830</v>
      </c>
      <c r="F9" s="712">
        <v>2415346</v>
      </c>
      <c r="G9" s="783">
        <f t="shared" ref="G9:G12" si="0">F9-E9</f>
        <v>2516</v>
      </c>
      <c r="H9" s="760">
        <f>G9+'3'!H9</f>
        <v>10131</v>
      </c>
      <c r="I9" s="771">
        <f>I8-J8</f>
        <v>-7554.75</v>
      </c>
      <c r="J9" s="762">
        <f>H9/DAY(B2)</f>
        <v>2532.75</v>
      </c>
      <c r="K9" s="467"/>
      <c r="L9" s="408"/>
      <c r="N9" s="413"/>
    </row>
    <row r="10" spans="1:14">
      <c r="A10" s="757" t="s">
        <v>146</v>
      </c>
      <c r="B10" s="758"/>
      <c r="C10" s="758"/>
      <c r="D10" s="715" t="s">
        <v>143</v>
      </c>
      <c r="E10" s="712">
        <f>'3'!F10</f>
        <v>799754</v>
      </c>
      <c r="F10" s="712">
        <v>815019.83</v>
      </c>
      <c r="G10" s="770">
        <f t="shared" si="0"/>
        <v>15265.829999999958</v>
      </c>
      <c r="H10" s="760">
        <f>G10+'3'!H10</f>
        <v>64497.919999999925</v>
      </c>
      <c r="I10" s="772"/>
      <c r="J10" s="762">
        <f>H10/DAY(B2)</f>
        <v>16124.479999999981</v>
      </c>
      <c r="K10" s="467"/>
      <c r="L10" s="408"/>
      <c r="N10" s="413"/>
    </row>
    <row r="11" spans="1:14">
      <c r="A11" s="757" t="s">
        <v>147</v>
      </c>
      <c r="B11" s="758"/>
      <c r="C11" s="758"/>
      <c r="D11" s="715" t="s">
        <v>143</v>
      </c>
      <c r="E11" s="710">
        <f>'3'!F11</f>
        <v>35390</v>
      </c>
      <c r="F11" s="710">
        <v>35390</v>
      </c>
      <c r="G11" s="770">
        <f t="shared" si="0"/>
        <v>0</v>
      </c>
      <c r="H11" s="760">
        <f>G11+'3'!H11</f>
        <v>0</v>
      </c>
      <c r="I11" s="772"/>
      <c r="J11" s="762">
        <f>H11/DAY(B2)</f>
        <v>0</v>
      </c>
      <c r="K11" s="467"/>
      <c r="L11" s="408"/>
      <c r="N11" s="413"/>
    </row>
    <row r="12" spans="1:14">
      <c r="A12" s="757" t="s">
        <v>148</v>
      </c>
      <c r="B12" s="758"/>
      <c r="C12" s="758"/>
      <c r="D12" s="715" t="s">
        <v>143</v>
      </c>
      <c r="E12" s="712">
        <f>'3'!F12</f>
        <v>37630</v>
      </c>
      <c r="F12" s="712">
        <v>37630</v>
      </c>
      <c r="G12" s="770">
        <f t="shared" si="0"/>
        <v>0</v>
      </c>
      <c r="H12" s="760">
        <f>G12+'3'!H12</f>
        <v>0</v>
      </c>
      <c r="I12" s="772"/>
      <c r="J12" s="762">
        <f>H12/DAY(B2)</f>
        <v>0</v>
      </c>
      <c r="K12" s="467"/>
      <c r="L12" s="408"/>
      <c r="N12" s="413"/>
    </row>
    <row r="13" spans="1:14">
      <c r="A13" s="773" t="s">
        <v>149</v>
      </c>
      <c r="B13" s="774"/>
      <c r="C13" s="774"/>
      <c r="D13" s="715"/>
      <c r="E13" s="710"/>
      <c r="F13" s="710"/>
      <c r="G13" s="775">
        <f>G9+G10+G11+G12</f>
        <v>17781.829999999958</v>
      </c>
      <c r="H13" s="760">
        <f>G13+'3'!H13</f>
        <v>74628.919999999925</v>
      </c>
      <c r="I13" s="776">
        <f>G7-G13</f>
        <v>694.17000000004191</v>
      </c>
      <c r="J13" s="762">
        <f>H13/DAY(B2)</f>
        <v>18657.229999999981</v>
      </c>
      <c r="K13" s="467"/>
      <c r="L13" s="408"/>
      <c r="N13" s="413"/>
    </row>
    <row r="14" spans="1:14">
      <c r="A14" s="1405" t="s">
        <v>150</v>
      </c>
      <c r="B14" s="1406"/>
      <c r="C14" s="1407"/>
      <c r="D14" s="548"/>
      <c r="E14" s="548"/>
      <c r="F14" s="559"/>
      <c r="G14" s="559"/>
      <c r="H14" s="548"/>
      <c r="I14" s="548"/>
      <c r="J14" s="628"/>
      <c r="K14" s="468"/>
      <c r="L14" s="408"/>
      <c r="N14" s="413"/>
    </row>
    <row r="15" spans="1:14">
      <c r="A15" s="897" t="s">
        <v>151</v>
      </c>
      <c r="B15" s="892"/>
      <c r="C15" s="892"/>
      <c r="D15" s="600" t="s">
        <v>152</v>
      </c>
      <c r="E15" s="561">
        <f>'3'!F15</f>
        <v>1571246.31</v>
      </c>
      <c r="F15" s="561">
        <v>1572004</v>
      </c>
      <c r="G15" s="874">
        <f>(F15-E15)</f>
        <v>757.68999999994412</v>
      </c>
      <c r="H15" s="562">
        <f>G15+'3'!H15</f>
        <v>3089.8999999999069</v>
      </c>
      <c r="I15" s="550">
        <v>800</v>
      </c>
      <c r="J15" s="630">
        <f>H15/DAY(B2)</f>
        <v>772.47499999997672</v>
      </c>
      <c r="K15" s="467"/>
      <c r="L15" s="408"/>
      <c r="N15" s="413"/>
    </row>
    <row r="16" spans="1:14">
      <c r="A16" s="895"/>
      <c r="B16" s="896"/>
      <c r="C16" s="896"/>
      <c r="D16" s="600"/>
      <c r="E16" s="561"/>
      <c r="F16" s="561"/>
      <c r="G16" s="549"/>
      <c r="H16" s="562"/>
      <c r="I16" s="563">
        <f>I15-J15</f>
        <v>27.525000000023283</v>
      </c>
      <c r="J16" s="630"/>
      <c r="K16" s="467"/>
      <c r="L16" s="408"/>
      <c r="N16" s="413"/>
    </row>
    <row r="17" spans="1:14">
      <c r="A17" s="1405" t="s">
        <v>153</v>
      </c>
      <c r="B17" s="1406"/>
      <c r="C17" s="1407"/>
      <c r="D17" s="548"/>
      <c r="E17" s="548"/>
      <c r="F17" s="559"/>
      <c r="G17" s="564" t="s">
        <v>226</v>
      </c>
      <c r="H17" s="548"/>
      <c r="I17" s="548"/>
      <c r="J17" s="628"/>
      <c r="K17" s="467"/>
      <c r="L17" s="408"/>
      <c r="N17" s="413"/>
    </row>
    <row r="18" spans="1:14" ht="27.75">
      <c r="A18" s="1431" t="s">
        <v>154</v>
      </c>
      <c r="B18" s="1432"/>
      <c r="C18" s="1433"/>
      <c r="D18" s="715" t="s">
        <v>155</v>
      </c>
      <c r="E18" s="712">
        <f>'3'!F18</f>
        <v>12</v>
      </c>
      <c r="F18" s="712">
        <v>10</v>
      </c>
      <c r="G18" s="775">
        <f>F18*10</f>
        <v>100</v>
      </c>
      <c r="H18" s="760">
        <f>G18+'3'!H18</f>
        <v>490</v>
      </c>
      <c r="I18" s="761">
        <f>'1'!I18</f>
        <v>65</v>
      </c>
      <c r="J18" s="762">
        <f>H18/DAY(B2)</f>
        <v>122.5</v>
      </c>
      <c r="K18" s="467"/>
      <c r="L18" s="408"/>
      <c r="N18" s="413"/>
    </row>
    <row r="19" spans="1:14" ht="27.75">
      <c r="A19" s="1431" t="s">
        <v>71</v>
      </c>
      <c r="B19" s="1432"/>
      <c r="C19" s="1433"/>
      <c r="D19" s="715" t="s">
        <v>155</v>
      </c>
      <c r="E19" s="712">
        <f>'3'!F19</f>
        <v>131642</v>
      </c>
      <c r="F19" s="712">
        <v>131695</v>
      </c>
      <c r="G19" s="770">
        <f t="shared" ref="G19" si="1">F19-E19</f>
        <v>53</v>
      </c>
      <c r="H19" s="760">
        <f>G19+'3'!H19</f>
        <v>202</v>
      </c>
      <c r="I19" s="777"/>
      <c r="J19" s="762">
        <f>H19/DAY(B2)</f>
        <v>50.5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715"/>
      <c r="G20" s="1157">
        <f>G18+G19</f>
        <v>153</v>
      </c>
      <c r="H20" s="760">
        <f>G20+'3'!H20</f>
        <v>692</v>
      </c>
      <c r="I20" s="779">
        <f>I18-J20</f>
        <v>-108</v>
      </c>
      <c r="J20" s="762">
        <f>H20/DAY(B2)</f>
        <v>173</v>
      </c>
      <c r="K20" s="467"/>
      <c r="L20" s="408"/>
      <c r="N20" s="413"/>
    </row>
    <row r="21" spans="1:14">
      <c r="A21" s="1405" t="s">
        <v>157</v>
      </c>
      <c r="B21" s="1406"/>
      <c r="C21" s="1407"/>
      <c r="D21" s="548"/>
      <c r="E21" s="548"/>
      <c r="F21" s="559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560">
        <f>'3'!F22</f>
        <v>2250</v>
      </c>
      <c r="F22" s="712">
        <v>2250</v>
      </c>
      <c r="G22" s="557">
        <f t="shared" ref="G22" si="2">(F22-E22)</f>
        <v>0</v>
      </c>
      <c r="H22" s="536">
        <f>G22+'3'!H22</f>
        <v>0</v>
      </c>
      <c r="I22" s="556"/>
      <c r="J22" s="629">
        <f>H22/DAY(B2)</f>
        <v>0</v>
      </c>
      <c r="K22" s="467"/>
      <c r="L22" s="408"/>
      <c r="M22" s="407" t="s">
        <v>281</v>
      </c>
      <c r="N22" s="413"/>
    </row>
    <row r="23" spans="1:14">
      <c r="A23" s="1252" t="s">
        <v>160</v>
      </c>
      <c r="B23" s="666"/>
      <c r="C23" s="666"/>
      <c r="D23" s="599" t="s">
        <v>159</v>
      </c>
      <c r="E23" s="560">
        <f>'3'!F23</f>
        <v>2000</v>
      </c>
      <c r="F23" s="712">
        <v>2000</v>
      </c>
      <c r="G23" s="557">
        <v>0</v>
      </c>
      <c r="H23" s="536">
        <f>G23+'3'!H23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'3'!F24</f>
        <v>4250</v>
      </c>
      <c r="F24" s="714">
        <v>4250</v>
      </c>
      <c r="G24" s="557">
        <v>0</v>
      </c>
      <c r="H24" s="536">
        <f>G24+'3'!H24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10" t="s">
        <v>162</v>
      </c>
      <c r="B25" s="1411"/>
      <c r="C25" s="1412"/>
      <c r="D25" s="547"/>
      <c r="E25" s="547"/>
      <c r="F25" s="570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710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18672</v>
      </c>
      <c r="F27" s="577">
        <v>9</v>
      </c>
      <c r="G27" s="578">
        <f>E27*F27</f>
        <v>168048</v>
      </c>
      <c r="H27" s="536">
        <f>G27+'3'!H27</f>
        <v>703971</v>
      </c>
      <c r="I27" s="579"/>
      <c r="J27" s="629">
        <f>H27/DAY(B2)</f>
        <v>175992.75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757.68999999994412</v>
      </c>
      <c r="F28" s="577">
        <v>41</v>
      </c>
      <c r="G28" s="578">
        <f>E28*F28</f>
        <v>31065.289999997709</v>
      </c>
      <c r="H28" s="536">
        <f>G28+'3'!H28</f>
        <v>126685.89999999618</v>
      </c>
      <c r="I28" s="581"/>
      <c r="J28" s="629">
        <f>H28/DAY(B2)</f>
        <v>31671.474999999045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716">
        <v>69</v>
      </c>
      <c r="G29" s="578">
        <f>E29*F29</f>
        <v>0</v>
      </c>
      <c r="H29" s="536">
        <f>G29+'3'!H29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53</v>
      </c>
      <c r="F30" s="716">
        <v>134</v>
      </c>
      <c r="G30" s="578">
        <f>E30*F30</f>
        <v>7102</v>
      </c>
      <c r="H30" s="536">
        <f>G30+'3'!H30</f>
        <v>27068</v>
      </c>
      <c r="I30" s="581"/>
      <c r="J30" s="629">
        <f>H30/DAY(B2)</f>
        <v>6767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100</v>
      </c>
      <c r="F31" s="716">
        <v>80</v>
      </c>
      <c r="G31" s="578">
        <f>E31*F31</f>
        <v>8000</v>
      </c>
      <c r="H31" s="536">
        <f>G31+'3'!H31</f>
        <v>39200</v>
      </c>
      <c r="I31" s="581"/>
      <c r="J31" s="629">
        <f>H31/DAY(B2)</f>
        <v>9800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717"/>
      <c r="G32" s="584">
        <f>G27+G28+G29+G30+G31</f>
        <v>214215.28999999771</v>
      </c>
      <c r="H32" s="536">
        <f>G32+'3'!H32</f>
        <v>896924.89999999618</v>
      </c>
      <c r="I32" s="585"/>
      <c r="J32" s="629" t="s">
        <v>226</v>
      </c>
      <c r="K32" s="404"/>
      <c r="L32" s="484"/>
      <c r="N32" s="413"/>
    </row>
    <row r="33" spans="1:14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70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'3'!F35</f>
        <v>629027</v>
      </c>
      <c r="F35" s="718">
        <v>629027</v>
      </c>
      <c r="G35" s="549">
        <f t="shared" ref="G35:G46" si="3">F35-E35</f>
        <v>0</v>
      </c>
      <c r="H35" s="536">
        <f>G35+'3'!H35</f>
        <v>0</v>
      </c>
      <c r="I35" s="531"/>
      <c r="J35" s="629">
        <f>H35/DAY(B2)</f>
        <v>0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'3'!F36</f>
        <v>257025.81</v>
      </c>
      <c r="F36" s="718">
        <v>257661</v>
      </c>
      <c r="G36" s="549">
        <f t="shared" si="3"/>
        <v>635.19000000000233</v>
      </c>
      <c r="H36" s="536">
        <f>G36+'3'!H36</f>
        <v>2569.929999999993</v>
      </c>
      <c r="I36" s="531"/>
      <c r="J36" s="629">
        <f>H36/DAY(B2)</f>
        <v>642.48249999999825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'3'!F37</f>
        <v>415066</v>
      </c>
      <c r="F37" s="718">
        <v>415066</v>
      </c>
      <c r="G37" s="549">
        <f t="shared" si="3"/>
        <v>0</v>
      </c>
      <c r="H37" s="536">
        <f>G37+'3'!H37</f>
        <v>0</v>
      </c>
      <c r="I37" s="531"/>
      <c r="J37" s="629">
        <f>H37/DAY(B2)</f>
        <v>0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'3'!F38</f>
        <v>150714</v>
      </c>
      <c r="F38" s="719">
        <v>150714.38</v>
      </c>
      <c r="G38" s="549">
        <f t="shared" si="3"/>
        <v>0.38000000000465661</v>
      </c>
      <c r="H38" s="536">
        <f>G38+'3'!H38</f>
        <v>0.38000000000465661</v>
      </c>
      <c r="I38" s="531"/>
      <c r="J38" s="629">
        <f>H38/DAY(B2)</f>
        <v>9.5000000001164153E-2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'3'!F39</f>
        <v>912480</v>
      </c>
      <c r="F39" s="718">
        <v>912480</v>
      </c>
      <c r="G39" s="549">
        <f t="shared" si="3"/>
        <v>0</v>
      </c>
      <c r="H39" s="536">
        <f>G39+'3'!H39</f>
        <v>0</v>
      </c>
      <c r="I39" s="531"/>
      <c r="J39" s="629">
        <f>H39/DAY(B2)</f>
        <v>0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'3'!F40</f>
        <v>0.17</v>
      </c>
      <c r="F40" s="718">
        <v>0.17</v>
      </c>
      <c r="G40" s="549">
        <f t="shared" si="3"/>
        <v>0</v>
      </c>
      <c r="H40" s="536">
        <f>G40+'3'!H40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'3'!F41</f>
        <v>300127.90000000002</v>
      </c>
      <c r="F41" s="718">
        <v>300127.90000000002</v>
      </c>
      <c r="G41" s="549">
        <f t="shared" si="3"/>
        <v>0</v>
      </c>
      <c r="H41" s="536">
        <f>G41+'3'!H41</f>
        <v>-4.9999999988358468E-2</v>
      </c>
      <c r="I41" s="531"/>
      <c r="J41" s="629">
        <f>H41/DAY(B2)</f>
        <v>-1.2499999997089617E-2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'3'!F42</f>
        <v>58926.09</v>
      </c>
      <c r="F42" s="718">
        <v>58926</v>
      </c>
      <c r="G42" s="549">
        <f t="shared" si="3"/>
        <v>-8.999999999650754E-2</v>
      </c>
      <c r="H42" s="536">
        <f>G42+'3'!H42</f>
        <v>-8.999999999650754E-2</v>
      </c>
      <c r="I42" s="531"/>
      <c r="J42" s="629">
        <f>H42/DAY(B2)</f>
        <v>-2.2499999999126885E-2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'3'!F43</f>
        <v>704258.79</v>
      </c>
      <c r="F43" s="718">
        <v>706250</v>
      </c>
      <c r="G43" s="549">
        <f t="shared" si="3"/>
        <v>1991.2099999999627</v>
      </c>
      <c r="H43" s="536">
        <f>G43+'3'!H43</f>
        <v>7996.5699999999488</v>
      </c>
      <c r="I43" s="531"/>
      <c r="J43" s="629">
        <f>H43/DAY(B2)</f>
        <v>1999.1424999999872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'3'!F44</f>
        <v>0</v>
      </c>
      <c r="F44" s="718">
        <v>0</v>
      </c>
      <c r="G44" s="549">
        <f t="shared" si="3"/>
        <v>0</v>
      </c>
      <c r="H44" s="536">
        <f>G44+'3'!H44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'3'!F45</f>
        <v>614</v>
      </c>
      <c r="F45" s="718">
        <v>614</v>
      </c>
      <c r="G45" s="549">
        <f t="shared" si="3"/>
        <v>0</v>
      </c>
      <c r="H45" s="536">
        <f>G45+'3'!H45</f>
        <v>-0.48000000000001819</v>
      </c>
      <c r="I45" s="531"/>
      <c r="J45" s="629">
        <f>H45/DAY(B2)</f>
        <v>-0.12000000000000455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'3'!F46</f>
        <v>187</v>
      </c>
      <c r="F46" s="718">
        <v>187</v>
      </c>
      <c r="G46" s="549">
        <f t="shared" si="3"/>
        <v>0</v>
      </c>
      <c r="H46" s="536">
        <f>G46+'3'!H46</f>
        <v>-0.49000000000000909</v>
      </c>
      <c r="I46" s="531"/>
      <c r="J46" s="629">
        <f>H46/DAY(B2)</f>
        <v>-0.12250000000000227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720"/>
      <c r="G47" s="557">
        <f>G35+G36+G37+G38+G39+G40+G41+G42+G43+G44+G45+G46</f>
        <v>2626.6899999999732</v>
      </c>
      <c r="H47" s="536">
        <f>G47+'3'!H47</f>
        <v>10565.76999999996</v>
      </c>
      <c r="I47" s="531"/>
      <c r="J47" s="629">
        <f>H47/DAY(B2)</f>
        <v>2641.4424999999901</v>
      </c>
      <c r="K47" s="467"/>
      <c r="L47" s="408"/>
      <c r="N47" s="413"/>
    </row>
    <row r="48" spans="1:14">
      <c r="A48" s="675" t="s">
        <v>188</v>
      </c>
      <c r="B48" s="1257"/>
      <c r="C48" s="1257"/>
      <c r="D48" s="548"/>
      <c r="E48" s="547"/>
      <c r="F48" s="570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'3'!F49</f>
        <v>158137.44</v>
      </c>
      <c r="F49" s="718">
        <v>161124</v>
      </c>
      <c r="G49" s="549">
        <f t="shared" ref="G49:G58" si="4">F49-E49</f>
        <v>2986.5599999999977</v>
      </c>
      <c r="H49" s="536">
        <f>G49+'3'!H49</f>
        <v>11565</v>
      </c>
      <c r="I49" s="531"/>
      <c r="J49" s="629">
        <f>H49/DAY(B2)</f>
        <v>2891.25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'3'!F50</f>
        <v>338225.67</v>
      </c>
      <c r="F50" s="718">
        <v>339156</v>
      </c>
      <c r="G50" s="549">
        <f t="shared" si="4"/>
        <v>930.3300000000163</v>
      </c>
      <c r="H50" s="536">
        <f>G50+'3'!H50</f>
        <v>4255.570000000007</v>
      </c>
      <c r="I50" s="531"/>
      <c r="J50" s="629">
        <f>H50/DAY(B2)</f>
        <v>1063.8925000000017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'3'!F51</f>
        <v>68973.59</v>
      </c>
      <c r="F51" s="718">
        <v>70355</v>
      </c>
      <c r="G51" s="549">
        <f t="shared" si="4"/>
        <v>1381.4100000000035</v>
      </c>
      <c r="H51" s="536">
        <f>G51+'3'!H51</f>
        <v>5647.8899999999994</v>
      </c>
      <c r="I51" s="531"/>
      <c r="J51" s="629">
        <f>H51/DAY(B2)</f>
        <v>1411.9724999999999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'3'!F52</f>
        <v>439452</v>
      </c>
      <c r="F52" s="718">
        <v>441314</v>
      </c>
      <c r="G52" s="549">
        <f t="shared" si="4"/>
        <v>1862</v>
      </c>
      <c r="H52" s="536">
        <f>G52+'3'!H52</f>
        <v>8134.3699999999953</v>
      </c>
      <c r="I52" s="531"/>
      <c r="J52" s="629">
        <f>H52/DAY(B2)</f>
        <v>2033.5924999999988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'3'!F53</f>
        <v>189165.79</v>
      </c>
      <c r="F53" s="718">
        <v>193064</v>
      </c>
      <c r="G53" s="549">
        <f t="shared" si="4"/>
        <v>3898.2099999999919</v>
      </c>
      <c r="H53" s="536">
        <f>G53+'3'!H53</f>
        <v>16462.03</v>
      </c>
      <c r="I53" s="531"/>
      <c r="J53" s="629">
        <f>H53/DAY(B2)</f>
        <v>4115.5074999999997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'3'!F54</f>
        <v>4771</v>
      </c>
      <c r="F54" s="718">
        <v>4828.5200000000004</v>
      </c>
      <c r="G54" s="549">
        <f t="shared" si="4"/>
        <v>57.520000000000437</v>
      </c>
      <c r="H54" s="536">
        <f>G54+'3'!H54</f>
        <v>238.98000000000047</v>
      </c>
      <c r="I54" s="531"/>
      <c r="J54" s="629">
        <f>H54/DAY(B2)</f>
        <v>59.745000000000118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'3'!F55</f>
        <v>158492.73000000001</v>
      </c>
      <c r="F55" s="721">
        <v>158492.73000000001</v>
      </c>
      <c r="G55" s="549">
        <f t="shared" si="4"/>
        <v>0</v>
      </c>
      <c r="H55" s="536">
        <f>G55+'3'!H55</f>
        <v>-0.26999999998952262</v>
      </c>
      <c r="I55" s="531"/>
      <c r="J55" s="629">
        <f>H55/DAY(B2)</f>
        <v>-6.7499999997380655E-2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'3'!F56</f>
        <v>527088</v>
      </c>
      <c r="F56" s="721">
        <v>531105</v>
      </c>
      <c r="G56" s="549">
        <f t="shared" si="4"/>
        <v>4017</v>
      </c>
      <c r="H56" s="536">
        <f>G56+'3'!H56</f>
        <v>17893.25</v>
      </c>
      <c r="I56" s="531"/>
      <c r="J56" s="629">
        <f>H56/DAY(B2)</f>
        <v>4473.3125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'3'!F57</f>
        <v>0</v>
      </c>
      <c r="F57" s="721">
        <v>0</v>
      </c>
      <c r="G57" s="549">
        <f t="shared" si="4"/>
        <v>0</v>
      </c>
      <c r="H57" s="536">
        <f>G57+'3'!H57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'3'!F58</f>
        <v>25496.5</v>
      </c>
      <c r="F58" s="721">
        <v>25728</v>
      </c>
      <c r="G58" s="549">
        <f t="shared" si="4"/>
        <v>231.5</v>
      </c>
      <c r="H58" s="536">
        <f>G58+'3'!H58</f>
        <v>687.59000000000015</v>
      </c>
      <c r="I58" s="531"/>
      <c r="J58" s="629">
        <f>H58/DAY(B2)</f>
        <v>171.89750000000004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720"/>
      <c r="G59" s="557">
        <f>G49+G50+G51+G52+G53+G54+G55+G56+G57+G58</f>
        <v>15364.53000000001</v>
      </c>
      <c r="H59" s="536">
        <f>G59+'3'!H59</f>
        <v>64884.410000000018</v>
      </c>
      <c r="I59" s="531">
        <f>G7-G60</f>
        <v>484.78000000001703</v>
      </c>
      <c r="J59" s="629">
        <f>H59/DAY(B2)</f>
        <v>16221.102500000005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720"/>
      <c r="G60" s="557">
        <f>G47+G59</f>
        <v>17991.219999999983</v>
      </c>
      <c r="H60" s="536">
        <f>G60+'3'!H60</f>
        <v>75450.179999999978</v>
      </c>
      <c r="I60" s="531">
        <f>G13-G60</f>
        <v>-209.39000000002488</v>
      </c>
      <c r="J60" s="629">
        <f>H60/DAY(B2)</f>
        <v>18862.544999999995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722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'3'!F62</f>
        <v>20419.188999999998</v>
      </c>
      <c r="F62" s="723">
        <v>20419.187999999998</v>
      </c>
      <c r="G62" s="549">
        <f t="shared" ref="G62:G69" si="5">F62-E62</f>
        <v>-1.0000000002037268E-3</v>
      </c>
      <c r="H62" s="536">
        <f>G62+'3'!H62</f>
        <v>7.9999999979918357E-3</v>
      </c>
      <c r="I62" s="591"/>
      <c r="J62" s="629">
        <f>H62/DAY(B2)</f>
        <v>1.9999999994979589E-3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'3'!F63</f>
        <v>1120.6199999999999</v>
      </c>
      <c r="F63" s="723">
        <v>1125</v>
      </c>
      <c r="G63" s="549">
        <f t="shared" si="5"/>
        <v>4.3800000000001091</v>
      </c>
      <c r="H63" s="536">
        <f>G63+'3'!H63</f>
        <v>17.089999999999918</v>
      </c>
      <c r="I63" s="591"/>
      <c r="J63" s="629">
        <f>H63/DAY(B2)</f>
        <v>4.2724999999999795</v>
      </c>
      <c r="K63" s="467"/>
      <c r="L63" s="408"/>
      <c r="N63" s="413"/>
    </row>
    <row r="64" spans="1:14" ht="27.75">
      <c r="A64" s="1367" t="s">
        <v>107</v>
      </c>
      <c r="B64" s="1368"/>
      <c r="C64" s="1369"/>
      <c r="D64" s="599" t="s">
        <v>198</v>
      </c>
      <c r="E64" s="560">
        <f>'3'!F64</f>
        <v>99616</v>
      </c>
      <c r="F64" s="712">
        <v>100009.83</v>
      </c>
      <c r="G64" s="549">
        <f t="shared" si="5"/>
        <v>393.83000000000175</v>
      </c>
      <c r="H64" s="536">
        <f>G64+'3'!H64</f>
        <v>1586.4300000000076</v>
      </c>
      <c r="I64" s="556"/>
      <c r="J64" s="629">
        <f>H64/DAY(B2)</f>
        <v>396.60750000000189</v>
      </c>
      <c r="K64" s="467"/>
      <c r="L64" s="408"/>
      <c r="N64" s="413"/>
    </row>
    <row r="65" spans="1:14" ht="27.75">
      <c r="A65" s="1367" t="s">
        <v>108</v>
      </c>
      <c r="B65" s="1368"/>
      <c r="C65" s="1369"/>
      <c r="D65" s="599" t="s">
        <v>198</v>
      </c>
      <c r="E65" s="560">
        <f>'3'!F65</f>
        <v>110258.57</v>
      </c>
      <c r="F65" s="713">
        <v>110635</v>
      </c>
      <c r="G65" s="549">
        <f t="shared" si="5"/>
        <v>376.42999999999302</v>
      </c>
      <c r="H65" s="536">
        <f>G65+'3'!H65</f>
        <v>1590.8800000000047</v>
      </c>
      <c r="I65" s="565"/>
      <c r="J65" s="629">
        <f>H65/DAY(B2)</f>
        <v>397.72000000000116</v>
      </c>
      <c r="K65" s="467"/>
      <c r="L65" s="408"/>
      <c r="N65" s="413"/>
    </row>
    <row r="66" spans="1:14" ht="27.75">
      <c r="A66" s="1367" t="s">
        <v>109</v>
      </c>
      <c r="B66" s="1368"/>
      <c r="C66" s="1369"/>
      <c r="D66" s="599" t="s">
        <v>198</v>
      </c>
      <c r="E66" s="560">
        <f>'3'!F66</f>
        <v>3638.67</v>
      </c>
      <c r="F66" s="712">
        <v>4002.58</v>
      </c>
      <c r="G66" s="549">
        <f t="shared" si="5"/>
        <v>363.90999999999985</v>
      </c>
      <c r="H66" s="536">
        <f>G66+'3'!H66</f>
        <v>1580.4899999999998</v>
      </c>
      <c r="I66" s="556"/>
      <c r="J66" s="629">
        <f>H66/DAY(B2)</f>
        <v>395.12249999999995</v>
      </c>
      <c r="K66" s="467"/>
      <c r="L66" s="408"/>
      <c r="N66" s="413"/>
    </row>
    <row r="67" spans="1:14" ht="27.75">
      <c r="A67" s="1367" t="s">
        <v>110</v>
      </c>
      <c r="B67" s="1368"/>
      <c r="C67" s="1369"/>
      <c r="D67" s="599" t="s">
        <v>198</v>
      </c>
      <c r="E67" s="560">
        <f>'3'!F67</f>
        <v>170282.57</v>
      </c>
      <c r="F67" s="712">
        <v>170891.69</v>
      </c>
      <c r="G67" s="549">
        <f t="shared" si="5"/>
        <v>609.11999999999534</v>
      </c>
      <c r="H67" s="536">
        <f>G67+'3'!H67</f>
        <v>2650.3399999999965</v>
      </c>
      <c r="I67" s="565"/>
      <c r="J67" s="629">
        <f>H67/DAY(B2)</f>
        <v>662.58499999999913</v>
      </c>
      <c r="K67" s="468"/>
      <c r="L67" s="408"/>
      <c r="N67" s="413"/>
    </row>
    <row r="68" spans="1:14" ht="27.75">
      <c r="A68" s="1367" t="s">
        <v>111</v>
      </c>
      <c r="B68" s="1368"/>
      <c r="C68" s="1369"/>
      <c r="D68" s="599" t="s">
        <v>198</v>
      </c>
      <c r="E68" s="560">
        <f>'3'!F68</f>
        <v>54498</v>
      </c>
      <c r="F68" s="712">
        <v>54780.69</v>
      </c>
      <c r="G68" s="549">
        <f t="shared" si="5"/>
        <v>282.69000000000233</v>
      </c>
      <c r="H68" s="536">
        <f>G68+'3'!H68</f>
        <v>1156.7900000000009</v>
      </c>
      <c r="I68" s="592"/>
      <c r="J68" s="629">
        <f>H68/DAY(B2)</f>
        <v>289.19750000000022</v>
      </c>
      <c r="K68" s="469"/>
      <c r="L68" s="408"/>
      <c r="N68" s="413"/>
    </row>
    <row r="69" spans="1:14" ht="27.75">
      <c r="A69" s="1367" t="s">
        <v>112</v>
      </c>
      <c r="B69" s="1368"/>
      <c r="C69" s="1369"/>
      <c r="D69" s="599" t="s">
        <v>198</v>
      </c>
      <c r="E69" s="560">
        <f>'3'!F69</f>
        <v>47402</v>
      </c>
      <c r="F69" s="712">
        <v>47694</v>
      </c>
      <c r="G69" s="549">
        <f t="shared" si="5"/>
        <v>292</v>
      </c>
      <c r="H69" s="536">
        <f>G69+'3'!H69</f>
        <v>1174.5699999999997</v>
      </c>
      <c r="I69" s="592"/>
      <c r="J69" s="629">
        <f>H69/DAY(B2)</f>
        <v>293.64249999999993</v>
      </c>
      <c r="K69" s="470"/>
      <c r="L69" s="408"/>
      <c r="N69" s="413"/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724"/>
      <c r="G70" s="594"/>
      <c r="H70" s="536">
        <f>G70+'3'!H70</f>
        <v>0</v>
      </c>
      <c r="I70" s="594"/>
      <c r="J70" s="633">
        <f>H70/DAY(B2)</f>
        <v>0</v>
      </c>
      <c r="K70" s="470"/>
      <c r="L70" s="408"/>
      <c r="N70" s="413"/>
    </row>
    <row r="71" spans="1:14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413"/>
    </row>
    <row r="72" spans="1:14" ht="27.75">
      <c r="A72" s="1367" t="s">
        <v>202</v>
      </c>
      <c r="B72" s="1368"/>
      <c r="C72" s="1369"/>
      <c r="D72" s="599" t="s">
        <v>198</v>
      </c>
      <c r="E72" s="595">
        <f>'3'!F72</f>
        <v>846643</v>
      </c>
      <c r="F72" s="725">
        <v>846707</v>
      </c>
      <c r="G72" s="549">
        <f t="shared" ref="G72:G84" si="6">F72-E72</f>
        <v>64</v>
      </c>
      <c r="H72" s="536">
        <f>G72+'3'!H72</f>
        <v>307</v>
      </c>
      <c r="I72" s="556"/>
      <c r="J72" s="629">
        <f>H72/DAY(B2)</f>
        <v>76.75</v>
      </c>
      <c r="K72" s="470"/>
      <c r="L72" s="408"/>
      <c r="N72" s="413"/>
    </row>
    <row r="73" spans="1:14" ht="27.75">
      <c r="A73" s="1367" t="s">
        <v>203</v>
      </c>
      <c r="B73" s="1368"/>
      <c r="C73" s="1369"/>
      <c r="D73" s="599" t="s">
        <v>198</v>
      </c>
      <c r="E73" s="596">
        <f>'3'!F73</f>
        <v>885676</v>
      </c>
      <c r="F73" s="726">
        <v>885676</v>
      </c>
      <c r="G73" s="733">
        <f t="shared" si="6"/>
        <v>0</v>
      </c>
      <c r="H73" s="536">
        <f>G73+'3'!H73</f>
        <v>3</v>
      </c>
      <c r="I73" s="556"/>
      <c r="J73" s="629">
        <f>H73/DAY(B2)</f>
        <v>0.75</v>
      </c>
      <c r="K73" s="469"/>
      <c r="L73" s="408"/>
      <c r="N73" s="413"/>
    </row>
    <row r="74" spans="1:14" ht="27.75">
      <c r="A74" s="1367" t="s">
        <v>204</v>
      </c>
      <c r="B74" s="1368"/>
      <c r="C74" s="1369"/>
      <c r="D74" s="599" t="s">
        <v>198</v>
      </c>
      <c r="E74" s="597">
        <f>'3'!F74</f>
        <v>881444</v>
      </c>
      <c r="F74" s="727">
        <v>881478</v>
      </c>
      <c r="G74" s="549">
        <f>F74-E74</f>
        <v>34</v>
      </c>
      <c r="H74" s="536">
        <f>G74+'3'!H74</f>
        <v>163</v>
      </c>
      <c r="I74" s="556"/>
      <c r="J74" s="629">
        <f>H74/DAY(B2)</f>
        <v>40.75</v>
      </c>
      <c r="K74" s="470"/>
      <c r="L74" s="408"/>
      <c r="N74" s="413"/>
    </row>
    <row r="75" spans="1:14" ht="27.75">
      <c r="A75" s="1364" t="s">
        <v>205</v>
      </c>
      <c r="B75" s="1365"/>
      <c r="C75" s="1366"/>
      <c r="D75" s="599" t="s">
        <v>198</v>
      </c>
      <c r="E75" s="597">
        <f>'3'!F75</f>
        <v>732211</v>
      </c>
      <c r="F75" s="727">
        <v>732369</v>
      </c>
      <c r="G75" s="549">
        <f t="shared" si="6"/>
        <v>158</v>
      </c>
      <c r="H75" s="536">
        <f>G75+'3'!H75</f>
        <v>728</v>
      </c>
      <c r="I75" s="556"/>
      <c r="J75" s="629">
        <f>H75/DAY(B2)</f>
        <v>182</v>
      </c>
      <c r="K75" s="469"/>
      <c r="L75" s="408"/>
      <c r="N75" s="413"/>
    </row>
    <row r="76" spans="1:14" ht="27.75">
      <c r="A76" s="1364" t="s">
        <v>206</v>
      </c>
      <c r="B76" s="1365"/>
      <c r="C76" s="1366"/>
      <c r="D76" s="599" t="s">
        <v>198</v>
      </c>
      <c r="E76" s="596">
        <f>'3'!F76</f>
        <v>684535</v>
      </c>
      <c r="F76" s="726">
        <v>684599</v>
      </c>
      <c r="G76" s="549">
        <f t="shared" si="6"/>
        <v>64</v>
      </c>
      <c r="H76" s="536">
        <f>G76+'3'!H76</f>
        <v>333</v>
      </c>
      <c r="I76" s="581"/>
      <c r="J76" s="629">
        <f>H76/DAY(B2)</f>
        <v>83.25</v>
      </c>
      <c r="K76" s="469"/>
      <c r="L76" s="408"/>
      <c r="N76" s="413"/>
    </row>
    <row r="77" spans="1:14" ht="27.75">
      <c r="A77" s="1367" t="s">
        <v>207</v>
      </c>
      <c r="B77" s="1368"/>
      <c r="C77" s="1369"/>
      <c r="D77" s="599" t="s">
        <v>198</v>
      </c>
      <c r="E77" s="596">
        <f>'3'!F77</f>
        <v>695572</v>
      </c>
      <c r="F77" s="726">
        <v>695626</v>
      </c>
      <c r="G77" s="733">
        <f t="shared" si="6"/>
        <v>54</v>
      </c>
      <c r="H77" s="536">
        <f>G77+'3'!H77</f>
        <v>232</v>
      </c>
      <c r="I77" s="581"/>
      <c r="J77" s="629">
        <f>H77/DAY(B2)</f>
        <v>58</v>
      </c>
      <c r="K77" s="469"/>
      <c r="L77" s="408"/>
      <c r="N77" s="413"/>
    </row>
    <row r="78" spans="1:14" ht="27.75">
      <c r="A78" s="1255" t="s">
        <v>208</v>
      </c>
      <c r="B78" s="1226"/>
      <c r="C78" s="1226"/>
      <c r="D78" s="599" t="s">
        <v>198</v>
      </c>
      <c r="E78" s="597">
        <f>'3'!F78</f>
        <v>631898</v>
      </c>
      <c r="F78" s="727">
        <v>632234</v>
      </c>
      <c r="G78" s="549">
        <f t="shared" si="6"/>
        <v>336</v>
      </c>
      <c r="H78" s="536">
        <f>G78+'3'!H78</f>
        <v>1461</v>
      </c>
      <c r="I78" s="581"/>
      <c r="J78" s="629">
        <f>H78/DAY(B2)</f>
        <v>365.25</v>
      </c>
      <c r="K78" s="469"/>
      <c r="L78" s="408"/>
      <c r="N78" s="413"/>
    </row>
    <row r="79" spans="1:14" ht="27.75">
      <c r="A79" s="1364" t="s">
        <v>97</v>
      </c>
      <c r="B79" s="1365"/>
      <c r="C79" s="1366"/>
      <c r="D79" s="600" t="s">
        <v>198</v>
      </c>
      <c r="E79" s="597">
        <f>'3'!F79</f>
        <v>804418</v>
      </c>
      <c r="F79" s="727">
        <v>804591</v>
      </c>
      <c r="G79" s="549">
        <f t="shared" si="6"/>
        <v>173</v>
      </c>
      <c r="H79" s="536">
        <f>G79+'3'!H79</f>
        <v>748</v>
      </c>
      <c r="I79" s="581"/>
      <c r="J79" s="629">
        <f>H79/DAY(B2)</f>
        <v>187</v>
      </c>
      <c r="K79" s="469"/>
      <c r="L79" s="408"/>
      <c r="N79" s="413"/>
    </row>
    <row r="80" spans="1:14" ht="27.75">
      <c r="A80" s="1364" t="s">
        <v>209</v>
      </c>
      <c r="B80" s="1365"/>
      <c r="C80" s="1366"/>
      <c r="D80" s="600" t="s">
        <v>198</v>
      </c>
      <c r="E80" s="596">
        <f>'3'!F80</f>
        <v>476509.64</v>
      </c>
      <c r="F80" s="726">
        <v>476803</v>
      </c>
      <c r="G80" s="549">
        <f t="shared" si="6"/>
        <v>293.35999999998603</v>
      </c>
      <c r="H80" s="536">
        <f>G80+'3'!H80</f>
        <v>1272</v>
      </c>
      <c r="I80" s="581"/>
      <c r="J80" s="629">
        <f>H80/DAY(B2)</f>
        <v>318</v>
      </c>
      <c r="K80" s="469"/>
      <c r="L80" s="408"/>
      <c r="N80" s="413"/>
    </row>
    <row r="81" spans="1:15" ht="27.75">
      <c r="A81" s="1364" t="s">
        <v>210</v>
      </c>
      <c r="B81" s="1365"/>
      <c r="C81" s="1366"/>
      <c r="D81" s="600" t="s">
        <v>198</v>
      </c>
      <c r="E81" s="596">
        <f>'3'!F81</f>
        <v>619653.64</v>
      </c>
      <c r="F81" s="726">
        <v>619777</v>
      </c>
      <c r="G81" s="549">
        <f t="shared" si="6"/>
        <v>123.35999999998603</v>
      </c>
      <c r="H81" s="536">
        <f>G81+'3'!H81</f>
        <v>523</v>
      </c>
      <c r="I81" s="581"/>
      <c r="J81" s="629">
        <f>H81/DAY(B2)</f>
        <v>130.75</v>
      </c>
      <c r="K81" s="469"/>
      <c r="L81" s="408"/>
      <c r="N81" s="413"/>
    </row>
    <row r="82" spans="1:15" ht="27.75">
      <c r="A82" s="1364" t="s">
        <v>100</v>
      </c>
      <c r="B82" s="1365"/>
      <c r="C82" s="1366"/>
      <c r="D82" s="561" t="s">
        <v>143</v>
      </c>
      <c r="E82" s="598">
        <f>'3'!F82</f>
        <v>104501.52</v>
      </c>
      <c r="F82" s="713">
        <v>104525</v>
      </c>
      <c r="G82" s="549">
        <f t="shared" si="6"/>
        <v>23.479999999995925</v>
      </c>
      <c r="H82" s="536">
        <f>G82+'3'!H82</f>
        <v>87</v>
      </c>
      <c r="I82" s="562"/>
      <c r="J82" s="629">
        <f>H82/DAY(B2)</f>
        <v>21.75</v>
      </c>
      <c r="K82" s="469"/>
      <c r="L82" s="408"/>
      <c r="N82" s="413"/>
    </row>
    <row r="83" spans="1:15" ht="27.75">
      <c r="A83" s="1364" t="s">
        <v>211</v>
      </c>
      <c r="B83" s="1365"/>
      <c r="C83" s="1366"/>
      <c r="D83" s="697" t="s">
        <v>143</v>
      </c>
      <c r="E83" s="587">
        <f>'3'!F83</f>
        <v>974584</v>
      </c>
      <c r="F83" s="720">
        <v>974830</v>
      </c>
      <c r="G83" s="549">
        <f t="shared" si="6"/>
        <v>246</v>
      </c>
      <c r="H83" s="536">
        <f>G83+'3'!H83</f>
        <v>1359</v>
      </c>
      <c r="I83" s="557"/>
      <c r="J83" s="629">
        <f>H83/DAY(B2)</f>
        <v>339.75</v>
      </c>
      <c r="K83" s="468"/>
      <c r="L83" s="408"/>
      <c r="N83" s="413"/>
    </row>
    <row r="84" spans="1:15">
      <c r="A84" s="1256" t="s">
        <v>212</v>
      </c>
      <c r="B84" s="648"/>
      <c r="C84" s="648"/>
      <c r="D84" s="554" t="s">
        <v>143</v>
      </c>
      <c r="E84" s="704">
        <f>'3'!F84</f>
        <v>398615</v>
      </c>
      <c r="F84" s="728">
        <v>399142</v>
      </c>
      <c r="G84" s="549">
        <f t="shared" si="6"/>
        <v>527</v>
      </c>
      <c r="H84" s="536">
        <f>G84+'3'!H84</f>
        <v>1946</v>
      </c>
      <c r="I84" s="557"/>
      <c r="J84" s="629">
        <f>H84/DAY(B2)</f>
        <v>486.5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715"/>
      <c r="G85" s="536">
        <f xml:space="preserve"> SUM(G71:G84)</f>
        <v>2096.199999999968</v>
      </c>
      <c r="H85" s="536">
        <f>G85+'3'!H85</f>
        <v>7316</v>
      </c>
      <c r="I85" s="557"/>
      <c r="J85" s="629">
        <f>H85/DAY(B2)</f>
        <v>1829</v>
      </c>
      <c r="K85" s="411"/>
      <c r="L85" s="409"/>
      <c r="N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'3'!F86</f>
        <v>444442</v>
      </c>
      <c r="F86" s="728">
        <v>444575</v>
      </c>
      <c r="G86" s="805">
        <f t="shared" ref="G86:G87" si="7">F86-E86</f>
        <v>133</v>
      </c>
      <c r="H86" s="536">
        <f>G86+'3'!H86</f>
        <v>243</v>
      </c>
      <c r="I86" s="733"/>
      <c r="J86" s="807">
        <f>H86/DAY(B2)</f>
        <v>60.75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'3'!F87</f>
        <v>77778.7</v>
      </c>
      <c r="F87" s="728">
        <v>77800.800000000003</v>
      </c>
      <c r="G87" s="805">
        <f t="shared" si="7"/>
        <v>22.100000000005821</v>
      </c>
      <c r="H87" s="536">
        <f>G87+'3'!H87</f>
        <v>37.80000000000291</v>
      </c>
      <c r="I87" s="733"/>
      <c r="J87" s="807">
        <f>H87/DAY(B2)</f>
        <v>9.4500000000007276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'3'!F88</f>
        <v>144679</v>
      </c>
      <c r="F88" s="728">
        <v>144734.87</v>
      </c>
      <c r="G88" s="805">
        <f>F88-E88</f>
        <v>55.869999999995343</v>
      </c>
      <c r="H88" s="536">
        <f>G88+'3'!H88</f>
        <v>150.86999999999534</v>
      </c>
      <c r="I88" s="733"/>
      <c r="J88" s="807">
        <f>H88/DAY(B2)</f>
        <v>37.717499999998836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'3'!F89</f>
        <v>57858</v>
      </c>
      <c r="F89" s="728">
        <v>57920</v>
      </c>
      <c r="G89" s="805">
        <f>F89-E89</f>
        <v>62</v>
      </c>
      <c r="H89" s="536">
        <f>G89+'3'!H89</f>
        <v>230.90000000000146</v>
      </c>
      <c r="I89" s="733"/>
      <c r="J89" s="807">
        <f>H89/DAY(B2)</f>
        <v>57.725000000000364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'3'!F90</f>
        <v>2986</v>
      </c>
      <c r="F90" s="728">
        <v>2989</v>
      </c>
      <c r="G90" s="805">
        <f t="shared" ref="G90" si="8">F90-E90</f>
        <v>3</v>
      </c>
      <c r="H90" s="536">
        <f>G90+'3'!H90</f>
        <v>6.4000000000000909</v>
      </c>
      <c r="I90" s="733"/>
      <c r="J90" s="807">
        <f>H90/DAY(B2)</f>
        <v>1.6000000000000227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59"/>
      <c r="G91" s="564"/>
      <c r="H91" s="548"/>
      <c r="I91" s="548"/>
      <c r="J91" s="628"/>
      <c r="K91" s="411"/>
      <c r="L91" s="409"/>
      <c r="N91" s="413"/>
    </row>
    <row r="92" spans="1:15" ht="27.75">
      <c r="A92" s="1388" t="s">
        <v>217</v>
      </c>
      <c r="B92" s="1389"/>
      <c r="C92" s="1390"/>
      <c r="D92" s="599" t="s">
        <v>155</v>
      </c>
      <c r="E92" s="560">
        <f>'3'!F92</f>
        <v>234196</v>
      </c>
      <c r="F92" s="712">
        <v>234248</v>
      </c>
      <c r="G92" s="549">
        <f t="shared" ref="G92:G93" si="9">F92-E92</f>
        <v>52</v>
      </c>
      <c r="H92" s="536">
        <f>G92+'3'!H92</f>
        <v>346</v>
      </c>
      <c r="I92" s="556"/>
      <c r="J92" s="629">
        <f>H92/DAY(B2)</f>
        <v>86.5</v>
      </c>
      <c r="K92" s="468"/>
      <c r="L92" s="408"/>
      <c r="N92" s="413"/>
    </row>
    <row r="93" spans="1:15" ht="27.75">
      <c r="A93" s="1388" t="s">
        <v>218</v>
      </c>
      <c r="B93" s="1389"/>
      <c r="C93" s="1390"/>
      <c r="D93" s="599" t="s">
        <v>155</v>
      </c>
      <c r="E93" s="560">
        <f>'3'!F93</f>
        <v>167365</v>
      </c>
      <c r="F93" s="712">
        <v>167456</v>
      </c>
      <c r="G93" s="549">
        <f t="shared" si="9"/>
        <v>91</v>
      </c>
      <c r="H93" s="536">
        <f>G93+'3'!H93</f>
        <v>540</v>
      </c>
      <c r="I93" s="556"/>
      <c r="J93" s="629">
        <f>H93/DAY(B2)</f>
        <v>135</v>
      </c>
      <c r="K93" s="411"/>
      <c r="L93" s="408"/>
      <c r="N93" s="413"/>
    </row>
    <row r="94" spans="1:15">
      <c r="A94" s="1419" t="s">
        <v>219</v>
      </c>
      <c r="B94" s="1420"/>
      <c r="C94" s="1421"/>
      <c r="D94" s="599"/>
      <c r="E94" s="560"/>
      <c r="F94" s="712"/>
      <c r="G94" s="549">
        <f>G92+G93</f>
        <v>143</v>
      </c>
      <c r="H94" s="536">
        <f>G94+'3'!H94</f>
        <v>612</v>
      </c>
      <c r="I94" s="556"/>
      <c r="J94" s="629">
        <f>H94/DAY(B2)</f>
        <v>153</v>
      </c>
      <c r="K94" s="411"/>
      <c r="L94" s="408"/>
      <c r="N94" s="413"/>
    </row>
    <row r="95" spans="1:15" ht="27.75">
      <c r="A95" s="1388" t="s">
        <v>220</v>
      </c>
      <c r="B95" s="1389"/>
      <c r="C95" s="1390"/>
      <c r="D95" s="599" t="s">
        <v>155</v>
      </c>
      <c r="E95" s="560">
        <f>'3'!F95</f>
        <v>403856</v>
      </c>
      <c r="F95" s="712">
        <v>403924</v>
      </c>
      <c r="G95" s="549">
        <f t="shared" ref="G95:G100" si="10">F95-E95</f>
        <v>68</v>
      </c>
      <c r="H95" s="536">
        <f>G95+'3'!H95</f>
        <v>259</v>
      </c>
      <c r="I95" s="556"/>
      <c r="J95" s="629">
        <f>H95/DAY(B2)</f>
        <v>64.75</v>
      </c>
      <c r="K95" s="411"/>
      <c r="L95" s="408"/>
      <c r="N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'3'!F96</f>
        <v>99990</v>
      </c>
      <c r="F96" s="712">
        <v>100004</v>
      </c>
      <c r="G96" s="549">
        <f t="shared" si="10"/>
        <v>14</v>
      </c>
      <c r="H96" s="536">
        <f>G96+'3'!H96</f>
        <v>83</v>
      </c>
      <c r="I96" s="556"/>
      <c r="J96" s="629">
        <f>H96/DAY(B2)</f>
        <v>20.75</v>
      </c>
      <c r="K96" s="466"/>
      <c r="L96" s="408"/>
      <c r="N96" s="413"/>
    </row>
    <row r="97" spans="1:14" ht="27.75">
      <c r="A97" s="1252" t="s">
        <v>222</v>
      </c>
      <c r="B97" s="1253"/>
      <c r="C97" s="1253"/>
      <c r="D97" s="599" t="s">
        <v>155</v>
      </c>
      <c r="E97" s="560">
        <f>'3'!F97</f>
        <v>95104</v>
      </c>
      <c r="F97" s="712">
        <v>95119</v>
      </c>
      <c r="G97" s="549">
        <f t="shared" si="10"/>
        <v>15</v>
      </c>
      <c r="H97" s="536">
        <f>G97+'3'!H97</f>
        <v>92</v>
      </c>
      <c r="I97" s="556"/>
      <c r="J97" s="629">
        <f>H97/DAY(B2)</f>
        <v>23</v>
      </c>
      <c r="K97" s="471"/>
      <c r="L97" s="408"/>
      <c r="N97" s="413"/>
    </row>
    <row r="98" spans="1:14" ht="27.75">
      <c r="A98" s="1252" t="s">
        <v>223</v>
      </c>
      <c r="B98" s="1253"/>
      <c r="C98" s="1253"/>
      <c r="D98" s="599" t="s">
        <v>155</v>
      </c>
      <c r="E98" s="560">
        <f>'3'!F98</f>
        <v>143950</v>
      </c>
      <c r="F98" s="712">
        <v>144045</v>
      </c>
      <c r="G98" s="549">
        <f t="shared" si="10"/>
        <v>95</v>
      </c>
      <c r="H98" s="536">
        <f>G98+'3'!H98</f>
        <v>238</v>
      </c>
      <c r="I98" s="556"/>
      <c r="J98" s="629">
        <f>H98/DAY(B2)</f>
        <v>59.5</v>
      </c>
      <c r="K98" s="411"/>
      <c r="L98" s="408"/>
      <c r="N98" s="413"/>
    </row>
    <row r="99" spans="1:14" ht="27.75">
      <c r="A99" s="1252" t="s">
        <v>224</v>
      </c>
      <c r="B99" s="1253"/>
      <c r="C99" s="1253"/>
      <c r="D99" s="599" t="s">
        <v>155</v>
      </c>
      <c r="E99" s="560">
        <f>'3'!F99</f>
        <v>5549</v>
      </c>
      <c r="F99" s="712">
        <v>5559</v>
      </c>
      <c r="G99" s="549">
        <f t="shared" si="10"/>
        <v>10</v>
      </c>
      <c r="H99" s="536">
        <f>G99+'3'!H99</f>
        <v>57</v>
      </c>
      <c r="I99" s="556"/>
      <c r="J99" s="629">
        <f>H99/DAY(B2)</f>
        <v>14.25</v>
      </c>
      <c r="K99" s="411"/>
      <c r="L99" s="408"/>
      <c r="N99" s="413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'3'!F100</f>
        <v>3996</v>
      </c>
      <c r="F100" s="712">
        <v>3999</v>
      </c>
      <c r="G100" s="549">
        <f t="shared" si="10"/>
        <v>3</v>
      </c>
      <c r="H100" s="536">
        <f>G100+'3'!H100</f>
        <v>35</v>
      </c>
      <c r="I100" s="556"/>
      <c r="J100" s="629">
        <f>H100/DAY(B2)</f>
        <v>8.75</v>
      </c>
      <c r="K100" s="411"/>
      <c r="L100" s="408"/>
      <c r="N100" s="413"/>
    </row>
    <row r="101" spans="1:14">
      <c r="A101" s="1419" t="s">
        <v>227</v>
      </c>
      <c r="B101" s="1420"/>
      <c r="C101" s="1421"/>
      <c r="D101" s="600"/>
      <c r="E101" s="600"/>
      <c r="F101" s="717"/>
      <c r="G101" s="601">
        <f>SUM(G95:G100)</f>
        <v>205</v>
      </c>
      <c r="H101" s="536">
        <f>G101+'3'!H101</f>
        <v>764</v>
      </c>
      <c r="I101" s="602"/>
      <c r="J101" s="629">
        <f>H101/DAY(B2)</f>
        <v>191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29"/>
      <c r="G102" s="605"/>
      <c r="H102" s="606"/>
      <c r="I102" s="607"/>
      <c r="J102" s="634"/>
      <c r="N102" s="413"/>
    </row>
    <row r="103" spans="1:14" s="481" customFormat="1" ht="27.75">
      <c r="A103" s="1422" t="s">
        <v>229</v>
      </c>
      <c r="B103" s="1423"/>
      <c r="C103" s="650"/>
      <c r="D103" s="699"/>
      <c r="E103" s="608"/>
      <c r="F103" s="608"/>
      <c r="G103" s="608"/>
      <c r="H103" s="609"/>
      <c r="I103" s="608"/>
      <c r="J103" s="635"/>
      <c r="N103" s="413"/>
    </row>
    <row r="104" spans="1:14" s="481" customFormat="1" ht="27.75">
      <c r="A104" s="1380" t="s">
        <v>230</v>
      </c>
      <c r="B104" s="1381"/>
      <c r="C104" s="1251"/>
      <c r="D104" s="699" t="s">
        <v>155</v>
      </c>
      <c r="E104" s="608">
        <f>'3'!F104</f>
        <v>7010</v>
      </c>
      <c r="F104" s="608">
        <v>7010</v>
      </c>
      <c r="G104" s="608">
        <f>F104-E104</f>
        <v>0</v>
      </c>
      <c r="H104" s="536">
        <f>G104+'3'!H104</f>
        <v>0</v>
      </c>
      <c r="I104" s="608"/>
      <c r="J104" s="635">
        <f>H104/DAY(B2)</f>
        <v>0</v>
      </c>
      <c r="N104" s="413"/>
    </row>
    <row r="105" spans="1:14" s="481" customFormat="1" ht="27.75">
      <c r="A105" s="1380" t="s">
        <v>77</v>
      </c>
      <c r="B105" s="1381"/>
      <c r="C105" s="1251"/>
      <c r="D105" s="699" t="s">
        <v>155</v>
      </c>
      <c r="E105" s="610">
        <f>'3'!F105</f>
        <v>34948</v>
      </c>
      <c r="F105" s="610">
        <v>34959</v>
      </c>
      <c r="G105" s="608">
        <f t="shared" ref="G105:G106" si="11">F105-E105</f>
        <v>11</v>
      </c>
      <c r="H105" s="536">
        <f>G105+'3'!H105</f>
        <v>34</v>
      </c>
      <c r="I105" s="608"/>
      <c r="J105" s="635">
        <f>H105/DAY(B2)</f>
        <v>8.5</v>
      </c>
      <c r="N105" s="413"/>
    </row>
    <row r="106" spans="1:14" s="481" customFormat="1" ht="27.75">
      <c r="A106" s="1380" t="s">
        <v>78</v>
      </c>
      <c r="B106" s="1424"/>
      <c r="C106" s="1381"/>
      <c r="D106" s="699" t="s">
        <v>155</v>
      </c>
      <c r="E106" s="608">
        <f>'3'!F106</f>
        <v>18904</v>
      </c>
      <c r="F106" s="1156">
        <v>18909</v>
      </c>
      <c r="G106" s="608">
        <f t="shared" si="11"/>
        <v>5</v>
      </c>
      <c r="H106" s="536">
        <f>G106+'3'!H106</f>
        <v>20</v>
      </c>
      <c r="I106" s="608"/>
      <c r="J106" s="635">
        <f>H106/DAY(B2)</f>
        <v>5</v>
      </c>
      <c r="N106" s="413"/>
    </row>
    <row r="107" spans="1:14" s="481" customFormat="1" ht="27.75">
      <c r="A107" s="1382" t="s">
        <v>213</v>
      </c>
      <c r="B107" s="1383"/>
      <c r="C107" s="1251"/>
      <c r="D107" s="699"/>
      <c r="E107" s="608"/>
      <c r="F107" s="608"/>
      <c r="G107" s="608">
        <f>SUM(G104:G106)</f>
        <v>16</v>
      </c>
      <c r="H107" s="536">
        <f>G107+'3'!H107</f>
        <v>54</v>
      </c>
      <c r="I107" s="608"/>
      <c r="J107" s="635">
        <f>H107/DAY(B2)</f>
        <v>13.5</v>
      </c>
      <c r="N107" s="413"/>
    </row>
    <row r="108" spans="1:14" s="481" customFormat="1" ht="27.75">
      <c r="A108" s="1386" t="s">
        <v>79</v>
      </c>
      <c r="B108" s="1387"/>
      <c r="C108" s="1251"/>
      <c r="D108" s="699" t="s">
        <v>155</v>
      </c>
      <c r="E108" s="608"/>
      <c r="F108" s="608"/>
      <c r="G108" s="608"/>
      <c r="H108" s="536">
        <f>G108+'3'!H108</f>
        <v>0</v>
      </c>
      <c r="I108" s="608"/>
      <c r="J108" s="635"/>
      <c r="N108" s="413"/>
    </row>
    <row r="109" spans="1:14" s="481" customFormat="1" ht="27.75">
      <c r="A109" s="1380" t="s">
        <v>231</v>
      </c>
      <c r="B109" s="1381"/>
      <c r="C109" s="1251"/>
      <c r="D109" s="699" t="s">
        <v>155</v>
      </c>
      <c r="E109" s="608">
        <f>'3'!F109</f>
        <v>53205</v>
      </c>
      <c r="F109" s="608">
        <v>53274</v>
      </c>
      <c r="G109" s="608">
        <f>F109-E109</f>
        <v>69</v>
      </c>
      <c r="H109" s="536">
        <f>G109+'3'!H109</f>
        <v>259</v>
      </c>
      <c r="I109" s="608"/>
      <c r="J109" s="635">
        <f>H109/DAY(B2)</f>
        <v>64.75</v>
      </c>
      <c r="N109" s="413"/>
    </row>
    <row r="110" spans="1:14" s="481" customFormat="1" ht="27.75">
      <c r="A110" s="1380" t="s">
        <v>232</v>
      </c>
      <c r="B110" s="1381"/>
      <c r="C110" s="1251"/>
      <c r="D110" s="699" t="s">
        <v>155</v>
      </c>
      <c r="E110" s="608">
        <f>'3'!F110</f>
        <v>27049</v>
      </c>
      <c r="F110" s="608">
        <v>27092</v>
      </c>
      <c r="G110" s="608">
        <f t="shared" ref="G110:G111" si="12">F110-E110</f>
        <v>43</v>
      </c>
      <c r="H110" s="536">
        <f>G110+'3'!H110</f>
        <v>189</v>
      </c>
      <c r="I110" s="608"/>
      <c r="J110" s="635">
        <f>H110/DAY(B2)</f>
        <v>47.25</v>
      </c>
      <c r="N110" s="413"/>
    </row>
    <row r="111" spans="1:14" s="481" customFormat="1" ht="27.75">
      <c r="A111" s="1380" t="s">
        <v>233</v>
      </c>
      <c r="B111" s="1381"/>
      <c r="C111" s="1251"/>
      <c r="D111" s="699" t="s">
        <v>155</v>
      </c>
      <c r="E111" s="608">
        <f>'3'!F111</f>
        <v>3582</v>
      </c>
      <c r="F111" s="608">
        <v>3582</v>
      </c>
      <c r="G111" s="608">
        <f t="shared" si="12"/>
        <v>0</v>
      </c>
      <c r="H111" s="536">
        <f>G111+'3'!H111</f>
        <v>15</v>
      </c>
      <c r="I111" s="608"/>
      <c r="J111" s="635">
        <f>H111/DAY(B2)</f>
        <v>3.75</v>
      </c>
      <c r="N111" s="413"/>
    </row>
    <row r="112" spans="1:14" s="481" customFormat="1" ht="27.75">
      <c r="A112" s="1382" t="s">
        <v>121</v>
      </c>
      <c r="B112" s="1383"/>
      <c r="C112" s="1251"/>
      <c r="D112" s="699"/>
      <c r="E112" s="608"/>
      <c r="F112" s="608"/>
      <c r="G112" s="608">
        <f>SUM(G109:G111)</f>
        <v>112</v>
      </c>
      <c r="H112" s="536">
        <f>G112+'3'!H112</f>
        <v>463</v>
      </c>
      <c r="I112" s="608"/>
      <c r="J112" s="635">
        <f>H112/DAY(B2)</f>
        <v>115.75</v>
      </c>
      <c r="N112" s="413"/>
    </row>
    <row r="113" spans="1:14" s="481" customFormat="1" ht="27.75">
      <c r="A113" s="1386" t="s">
        <v>234</v>
      </c>
      <c r="B113" s="1387"/>
      <c r="C113" s="1251"/>
      <c r="D113" s="699"/>
      <c r="E113" s="608"/>
      <c r="F113" s="608"/>
      <c r="G113" s="608"/>
      <c r="H113" s="536">
        <f>G113+'3'!H113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0" t="s">
        <v>235</v>
      </c>
      <c r="B114" s="1381"/>
      <c r="C114" s="651"/>
      <c r="D114" s="699" t="s">
        <v>155</v>
      </c>
      <c r="E114" s="610">
        <f>'3'!F114</f>
        <v>9295</v>
      </c>
      <c r="F114" s="610">
        <v>9307</v>
      </c>
      <c r="G114" s="610">
        <f>F114-E114</f>
        <v>12</v>
      </c>
      <c r="H114" s="536">
        <f>G114+'3'!H114</f>
        <v>67</v>
      </c>
      <c r="I114" s="608"/>
      <c r="J114" s="635">
        <f>H114/DAY(B2)</f>
        <v>16.75</v>
      </c>
      <c r="N114" s="413"/>
    </row>
    <row r="115" spans="1:14" s="481" customFormat="1" ht="27.75">
      <c r="A115" s="1380" t="s">
        <v>236</v>
      </c>
      <c r="B115" s="1381"/>
      <c r="C115" s="651"/>
      <c r="D115" s="699" t="s">
        <v>155</v>
      </c>
      <c r="E115" s="610">
        <f>'3'!F115</f>
        <v>7218</v>
      </c>
      <c r="F115" s="610">
        <v>7220</v>
      </c>
      <c r="G115" s="610">
        <f t="shared" ref="G115:G116" si="13">F115-E115</f>
        <v>2</v>
      </c>
      <c r="H115" s="536">
        <f>G115+'3'!H115</f>
        <v>31</v>
      </c>
      <c r="I115" s="608"/>
      <c r="J115" s="635">
        <f>H115/DAY(B2)</f>
        <v>7.75</v>
      </c>
      <c r="N115" s="413"/>
    </row>
    <row r="116" spans="1:14" s="481" customFormat="1" ht="27.75">
      <c r="A116" s="1380" t="s">
        <v>237</v>
      </c>
      <c r="B116" s="1381"/>
      <c r="C116" s="651"/>
      <c r="D116" s="699" t="s">
        <v>155</v>
      </c>
      <c r="E116" s="610"/>
      <c r="F116" s="610"/>
      <c r="G116" s="610">
        <f t="shared" si="13"/>
        <v>0</v>
      </c>
      <c r="H116" s="536">
        <f>G116+'3'!H116</f>
        <v>0</v>
      </c>
      <c r="I116" s="608"/>
      <c r="J116" s="635">
        <f>H116/DAY(B2)</f>
        <v>0</v>
      </c>
      <c r="N116" s="413"/>
    </row>
    <row r="117" spans="1:14" s="494" customFormat="1" ht="27.75">
      <c r="A117" s="1382" t="s">
        <v>213</v>
      </c>
      <c r="B117" s="1383"/>
      <c r="C117" s="651"/>
      <c r="D117" s="700"/>
      <c r="E117" s="610"/>
      <c r="F117" s="610"/>
      <c r="G117" s="610">
        <f>SUM(G114:G116)</f>
        <v>14</v>
      </c>
      <c r="H117" s="536">
        <f>G117+'3'!H117</f>
        <v>98</v>
      </c>
      <c r="I117" s="610"/>
      <c r="J117" s="635">
        <f>H117/DAY(B2)</f>
        <v>24.5</v>
      </c>
      <c r="N117" s="413"/>
    </row>
    <row r="118" spans="1:14" s="495" customFormat="1" ht="27.75">
      <c r="A118" s="1376" t="s">
        <v>238</v>
      </c>
      <c r="B118" s="1377"/>
      <c r="C118" s="1249"/>
      <c r="D118" s="701" t="s">
        <v>155</v>
      </c>
      <c r="E118" s="612"/>
      <c r="F118" s="612">
        <f>SUM(G19+G92)</f>
        <v>105</v>
      </c>
      <c r="G118" s="612">
        <f>SUM(G19+G92)</f>
        <v>105</v>
      </c>
      <c r="H118" s="536">
        <f>G118+'3'!H118</f>
        <v>548</v>
      </c>
      <c r="I118" s="611"/>
      <c r="J118" s="636">
        <f>H118/DAY(B2)</f>
        <v>137</v>
      </c>
      <c r="N118" s="413"/>
    </row>
    <row r="119" spans="1:14" s="495" customFormat="1" ht="27.75">
      <c r="A119" s="1376" t="s">
        <v>239</v>
      </c>
      <c r="B119" s="1377"/>
      <c r="C119" s="1249"/>
      <c r="D119" s="701" t="s">
        <v>155</v>
      </c>
      <c r="E119" s="612"/>
      <c r="F119" s="612">
        <f>SUM(G95,G96,G97,G99,G100)</f>
        <v>110</v>
      </c>
      <c r="G119" s="612">
        <f>SUM(G95,G96,G97,G99,G100)</f>
        <v>110</v>
      </c>
      <c r="H119" s="536">
        <f>G119+'3'!H119</f>
        <v>526</v>
      </c>
      <c r="I119" s="611"/>
      <c r="J119" s="636">
        <f>H119/DAY(B2)</f>
        <v>131.5</v>
      </c>
      <c r="N119" s="413"/>
    </row>
    <row r="120" spans="1:14" s="495" customFormat="1" ht="27.75">
      <c r="A120" s="1376" t="s">
        <v>240</v>
      </c>
      <c r="B120" s="1377"/>
      <c r="C120" s="1249"/>
      <c r="D120" s="701" t="s">
        <v>155</v>
      </c>
      <c r="E120" s="610"/>
      <c r="F120" s="610">
        <f>SUM(G112)</f>
        <v>112</v>
      </c>
      <c r="G120" s="610">
        <f>SUM(G112)</f>
        <v>112</v>
      </c>
      <c r="H120" s="536">
        <f>G120+'3'!H120</f>
        <v>463</v>
      </c>
      <c r="I120" s="611"/>
      <c r="J120" s="636">
        <f>H120/DAY(B2)</f>
        <v>115.75</v>
      </c>
      <c r="N120" s="413"/>
    </row>
    <row r="121" spans="1:14" s="481" customFormat="1" ht="27.75">
      <c r="A121" s="1378"/>
      <c r="B121" s="1379"/>
      <c r="C121" s="1250"/>
      <c r="D121" s="637"/>
      <c r="E121" s="637"/>
      <c r="F121" s="637" t="s">
        <v>226</v>
      </c>
      <c r="G121" s="637"/>
      <c r="H121" s="638"/>
      <c r="I121" s="637"/>
      <c r="J121" s="639"/>
      <c r="N121" s="413"/>
    </row>
    <row r="122" spans="1:14">
      <c r="A122" s="1416" t="s">
        <v>241</v>
      </c>
      <c r="B122" s="1417"/>
      <c r="C122" s="1418"/>
      <c r="D122" s="548"/>
      <c r="E122" s="548"/>
      <c r="F122" s="559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'3'!F123</f>
        <v>796240</v>
      </c>
      <c r="F123" s="712">
        <v>796466.42</v>
      </c>
      <c r="G123" s="549">
        <f t="shared" ref="G123:G127" si="14">F123-E123</f>
        <v>226.42000000004191</v>
      </c>
      <c r="H123" s="536">
        <f>G123+'3'!H123</f>
        <v>1042.3699999999953</v>
      </c>
      <c r="I123" s="602"/>
      <c r="J123" s="629">
        <f>H123/DAY(B2)</f>
        <v>260.59249999999884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703">
        <f>'3'!F124</f>
        <v>73582</v>
      </c>
      <c r="F124" s="730">
        <v>73582</v>
      </c>
      <c r="G124" s="549">
        <f t="shared" si="14"/>
        <v>0</v>
      </c>
      <c r="H124" s="536">
        <f>G124+'3'!H124</f>
        <v>-0.19999999999708962</v>
      </c>
      <c r="I124" s="602"/>
      <c r="J124" s="629">
        <f>H124/DAY(B2)</f>
        <v>-4.9999999999272404E-2</v>
      </c>
      <c r="K124" s="411"/>
      <c r="L124" s="408"/>
      <c r="N124" s="413"/>
    </row>
    <row r="125" spans="1:14" ht="27.75">
      <c r="A125" s="1367" t="s">
        <v>244</v>
      </c>
      <c r="B125" s="1368"/>
      <c r="C125" s="1369"/>
      <c r="D125" s="599" t="s">
        <v>152</v>
      </c>
      <c r="E125" s="554">
        <f>'3'!F125</f>
        <v>135817.75</v>
      </c>
      <c r="F125" s="712">
        <v>135866</v>
      </c>
      <c r="G125" s="549">
        <f t="shared" si="14"/>
        <v>48.25</v>
      </c>
      <c r="H125" s="536">
        <f>G125+'3'!H125</f>
        <v>275.32999999998719</v>
      </c>
      <c r="I125" s="602"/>
      <c r="J125" s="629">
        <f>H125/DAY(B2)</f>
        <v>68.832499999996799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703">
        <f>'3'!F126</f>
        <v>57488</v>
      </c>
      <c r="F126" s="730">
        <v>57508.800000000003</v>
      </c>
      <c r="G126" s="549">
        <f t="shared" si="14"/>
        <v>20.80000000000291</v>
      </c>
      <c r="H126" s="536">
        <f>G126+'3'!H126</f>
        <v>127.80000000000291</v>
      </c>
      <c r="I126" s="602"/>
      <c r="J126" s="629">
        <f>H126/DAY(B2)</f>
        <v>31.950000000000728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703">
        <f>'3'!F127</f>
        <v>8712</v>
      </c>
      <c r="F127" s="730">
        <v>8714</v>
      </c>
      <c r="G127" s="549">
        <f t="shared" si="14"/>
        <v>2</v>
      </c>
      <c r="H127" s="536">
        <f>G127+'3'!H127</f>
        <v>8</v>
      </c>
      <c r="I127" s="556"/>
      <c r="J127" s="629">
        <f>H127/DAY(B2)</f>
        <v>2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712"/>
      <c r="G128" s="549">
        <f>G15-SUM(G123:G127)</f>
        <v>460.2199999998993</v>
      </c>
      <c r="H128" s="536">
        <f>G128+'3'!H128</f>
        <v>1636.5999999999185</v>
      </c>
      <c r="I128" s="556"/>
      <c r="J128" s="629">
        <f>H128/DAY(B2)</f>
        <v>409.14999999997963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70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'3'!F130</f>
        <v>0</v>
      </c>
      <c r="F130" s="712">
        <v>0</v>
      </c>
      <c r="G130" s="549">
        <f t="shared" ref="G130:G140" si="15">F130-E130</f>
        <v>0</v>
      </c>
      <c r="H130" s="536">
        <f>G130+'3'!H130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'3'!F131</f>
        <v>0</v>
      </c>
      <c r="F131" s="712">
        <v>0</v>
      </c>
      <c r="G131" s="549">
        <f t="shared" si="15"/>
        <v>0</v>
      </c>
      <c r="H131" s="536">
        <f>G131+'3'!H131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618">
        <f>'3'!F132</f>
        <v>38901</v>
      </c>
      <c r="F132" s="713">
        <v>38901</v>
      </c>
      <c r="G132" s="549">
        <f t="shared" si="15"/>
        <v>0</v>
      </c>
      <c r="H132" s="536">
        <f>G132+'3'!H132</f>
        <v>0</v>
      </c>
      <c r="I132" s="556"/>
      <c r="J132" s="629">
        <f>H132/DAY(B2)</f>
        <v>0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782">
        <f>'3'!F133</f>
        <v>299</v>
      </c>
      <c r="F133" s="730">
        <v>299</v>
      </c>
      <c r="G133" s="549">
        <f t="shared" si="15"/>
        <v>0</v>
      </c>
      <c r="H133" s="536">
        <f>G133+'3'!H133</f>
        <v>0</v>
      </c>
      <c r="I133" s="556">
        <f>G132+G133+G134+G135</f>
        <v>24.139999999999418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782">
        <f>'3'!F134</f>
        <v>39735</v>
      </c>
      <c r="F134" s="730">
        <v>39735</v>
      </c>
      <c r="G134" s="549">
        <f t="shared" si="15"/>
        <v>0</v>
      </c>
      <c r="H134" s="536">
        <f>G134+'3'!H134</f>
        <v>0</v>
      </c>
      <c r="I134" s="556"/>
      <c r="J134" s="629">
        <f>H134/DAY(B2)</f>
        <v>0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782">
        <f>'3'!F135</f>
        <v>32239.32</v>
      </c>
      <c r="F135" s="730">
        <v>32263.46</v>
      </c>
      <c r="G135" s="549">
        <f t="shared" si="15"/>
        <v>24.139999999999418</v>
      </c>
      <c r="H135" s="536">
        <f>G135+'3'!H135</f>
        <v>96.069999999999709</v>
      </c>
      <c r="I135" s="556"/>
      <c r="J135" s="629">
        <f>H135/DAY(B2)</f>
        <v>24.017499999999927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'3'!F136</f>
        <v>21818.799999999999</v>
      </c>
      <c r="F136" s="713">
        <v>21827.39</v>
      </c>
      <c r="G136" s="549">
        <f t="shared" si="15"/>
        <v>8.5900000000001455</v>
      </c>
      <c r="H136" s="536">
        <f>G136+'3'!H136</f>
        <v>25.68999999999869</v>
      </c>
      <c r="I136" s="556">
        <f>G136+G137+G138</f>
        <v>8.5900000000001455</v>
      </c>
      <c r="J136" s="629">
        <f>H136/DAY(B2)</f>
        <v>6.4224999999996726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'3'!F137</f>
        <v>24990.61</v>
      </c>
      <c r="F137" s="713">
        <v>24990.61</v>
      </c>
      <c r="G137" s="549">
        <f t="shared" si="15"/>
        <v>0</v>
      </c>
      <c r="H137" s="536">
        <f>G137+'3'!H137</f>
        <v>0</v>
      </c>
      <c r="I137" s="556"/>
      <c r="J137" s="629">
        <f>H137/DAY(B2)</f>
        <v>0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618">
        <f>'3'!F138</f>
        <v>70011.73</v>
      </c>
      <c r="F138" s="713">
        <v>70011.73</v>
      </c>
      <c r="G138" s="549">
        <f t="shared" si="15"/>
        <v>0</v>
      </c>
      <c r="H138" s="536">
        <f>G138+'3'!H138</f>
        <v>5.3600000000005821</v>
      </c>
      <c r="I138" s="556"/>
      <c r="J138" s="629">
        <f>H138/DAY(B2)</f>
        <v>1.3400000000001455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782">
        <f>'3'!F139</f>
        <v>1063</v>
      </c>
      <c r="F139" s="730">
        <v>1063</v>
      </c>
      <c r="G139" s="549">
        <f t="shared" si="15"/>
        <v>0</v>
      </c>
      <c r="H139" s="536">
        <f>G139+'3'!H139</f>
        <v>0</v>
      </c>
      <c r="I139" s="619">
        <f>G139+G140</f>
        <v>7.6599999999998545</v>
      </c>
      <c r="J139" s="629">
        <f>H139/DAY(B2)</f>
        <v>0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'3'!F140</f>
        <v>4259.22</v>
      </c>
      <c r="F140" s="712">
        <v>4266.88</v>
      </c>
      <c r="G140" s="549">
        <f t="shared" si="15"/>
        <v>7.6599999999998545</v>
      </c>
      <c r="H140" s="536">
        <f>G140+'3'!H140</f>
        <v>34.470000000000255</v>
      </c>
      <c r="I140" s="619"/>
      <c r="J140" s="629">
        <f>H140/DAY(B2)</f>
        <v>8.6175000000000637</v>
      </c>
      <c r="N140" s="413"/>
    </row>
    <row r="141" spans="1:14">
      <c r="A141" s="1397" t="s">
        <v>261</v>
      </c>
      <c r="B141" s="1398"/>
      <c r="C141" s="1258"/>
      <c r="D141" s="548"/>
      <c r="E141" s="548"/>
      <c r="F141" s="559"/>
      <c r="G141" s="559"/>
      <c r="H141" s="559"/>
      <c r="I141" s="559"/>
      <c r="J141" s="640"/>
      <c r="K141" s="411"/>
      <c r="L141" s="408"/>
      <c r="N141" s="413"/>
    </row>
    <row r="142" spans="1:14" ht="27.75">
      <c r="A142" s="1388" t="s">
        <v>262</v>
      </c>
      <c r="B142" s="1389"/>
      <c r="C142" s="1390"/>
      <c r="D142" s="599" t="s">
        <v>143</v>
      </c>
      <c r="E142" s="599"/>
      <c r="F142" s="715"/>
      <c r="G142" s="536">
        <f>G35+G43+G49+G57</f>
        <v>4977.7699999999604</v>
      </c>
      <c r="H142" s="536">
        <f>G142+'3'!H142</f>
        <v>19561.569999999949</v>
      </c>
      <c r="I142" s="556"/>
      <c r="J142" s="629">
        <f>H142/DAY(B2)</f>
        <v>4890.3924999999872</v>
      </c>
      <c r="K142" s="411"/>
      <c r="L142" s="408"/>
      <c r="N142" s="413"/>
    </row>
    <row r="143" spans="1:14" ht="27.75">
      <c r="A143" s="1388" t="s">
        <v>263</v>
      </c>
      <c r="B143" s="1389"/>
      <c r="C143" s="1390"/>
      <c r="D143" s="599" t="s">
        <v>24</v>
      </c>
      <c r="E143" s="587"/>
      <c r="F143" s="720"/>
      <c r="G143" s="620">
        <f>G142/G7</f>
        <v>0.26941816410478242</v>
      </c>
      <c r="H143" s="536">
        <f>G143+'3'!H143</f>
        <v>0.84091238262190071</v>
      </c>
      <c r="I143" s="621"/>
      <c r="J143" s="629">
        <f>H143/DAY(B2)</f>
        <v>0.21022809565547518</v>
      </c>
      <c r="K143" s="411"/>
      <c r="L143" s="408"/>
      <c r="N143" s="413"/>
    </row>
    <row r="144" spans="1:14" ht="27.75">
      <c r="A144" s="1388" t="s">
        <v>264</v>
      </c>
      <c r="B144" s="1389"/>
      <c r="C144" s="1390"/>
      <c r="D144" s="599" t="s">
        <v>143</v>
      </c>
      <c r="E144" s="531"/>
      <c r="F144" s="710"/>
      <c r="G144" s="536">
        <f>G41+G42+G55+G56</f>
        <v>4016.9100000000035</v>
      </c>
      <c r="H144" s="536">
        <f>G144+'3'!H144</f>
        <v>17892.840000000026</v>
      </c>
      <c r="I144" s="556"/>
      <c r="J144" s="629">
        <f>H144/DAY(B2)</f>
        <v>4473.2100000000064</v>
      </c>
      <c r="K144" s="411"/>
      <c r="L144" s="408"/>
      <c r="N144" s="413"/>
    </row>
    <row r="145" spans="1:14" ht="27.75">
      <c r="A145" s="1388" t="s">
        <v>265</v>
      </c>
      <c r="B145" s="1389"/>
      <c r="C145" s="1390"/>
      <c r="D145" s="599" t="s">
        <v>24</v>
      </c>
      <c r="E145" s="531"/>
      <c r="F145" s="710"/>
      <c r="G145" s="620">
        <f>G144/G7</f>
        <v>0.21741231868369795</v>
      </c>
      <c r="H145" s="536">
        <f>G145+'3'!H145</f>
        <v>0.92154450267965249</v>
      </c>
      <c r="I145" s="621"/>
      <c r="J145" s="629">
        <f>H145/DAY(B2)</f>
        <v>0.23038612566991312</v>
      </c>
      <c r="K145" s="411"/>
      <c r="L145" s="408"/>
      <c r="N145" s="413"/>
    </row>
    <row r="146" spans="1:14" ht="27.75">
      <c r="A146" s="1388" t="s">
        <v>266</v>
      </c>
      <c r="B146" s="1389"/>
      <c r="C146" s="1390"/>
      <c r="D146" s="599" t="s">
        <v>143</v>
      </c>
      <c r="E146" s="531"/>
      <c r="F146" s="710"/>
      <c r="G146" s="536">
        <f>G39+G53</f>
        <v>3898.2099999999919</v>
      </c>
      <c r="H146" s="536">
        <f>G146+'3'!H146</f>
        <v>16462.03</v>
      </c>
      <c r="I146" s="622"/>
      <c r="J146" s="629">
        <f>H146/DAY(B2)</f>
        <v>4115.5074999999997</v>
      </c>
      <c r="K146" s="411"/>
      <c r="L146" s="408"/>
      <c r="N146" s="413"/>
    </row>
    <row r="147" spans="1:14" ht="27.75">
      <c r="A147" s="1388" t="s">
        <v>267</v>
      </c>
      <c r="B147" s="1389"/>
      <c r="C147" s="1390"/>
      <c r="D147" s="599" t="s">
        <v>24</v>
      </c>
      <c r="E147" s="531"/>
      <c r="F147" s="710"/>
      <c r="G147" s="620">
        <f>G146/G7</f>
        <v>0.21098776791513271</v>
      </c>
      <c r="H147" s="536">
        <f>G147+'3'!H147</f>
        <v>0.84937202856993943</v>
      </c>
      <c r="I147" s="622"/>
      <c r="J147" s="629">
        <f>H147/DAY(B2)</f>
        <v>0.21234300714248486</v>
      </c>
      <c r="N147" s="413"/>
    </row>
    <row r="148" spans="1:14" ht="27.75">
      <c r="A148" s="1388" t="s">
        <v>268</v>
      </c>
      <c r="B148" s="1389"/>
      <c r="C148" s="1390"/>
      <c r="D148" s="599" t="s">
        <v>194</v>
      </c>
      <c r="E148" s="531"/>
      <c r="F148" s="710"/>
      <c r="G148" s="536">
        <f>G38+G52</f>
        <v>1862.3800000000047</v>
      </c>
      <c r="H148" s="536">
        <f>G148+'3'!H148</f>
        <v>8134.75</v>
      </c>
      <c r="I148" s="556"/>
      <c r="J148" s="629">
        <f>H148/DAY(B2)</f>
        <v>2033.6875</v>
      </c>
      <c r="K148" s="412"/>
      <c r="N148" s="413"/>
    </row>
    <row r="149" spans="1:14" ht="27.75">
      <c r="A149" s="1388" t="s">
        <v>269</v>
      </c>
      <c r="B149" s="1389"/>
      <c r="C149" s="1390"/>
      <c r="D149" s="599" t="s">
        <v>24</v>
      </c>
      <c r="E149" s="531"/>
      <c r="F149" s="710"/>
      <c r="G149" s="620">
        <f>G148/G7</f>
        <v>0.10079995670058479</v>
      </c>
      <c r="H149" s="536">
        <f>G149+'3'!H149</f>
        <v>0.41946213112270003</v>
      </c>
      <c r="I149" s="622"/>
      <c r="J149" s="629">
        <f>H149/DAY(B2)</f>
        <v>0.10486553278067501</v>
      </c>
      <c r="N149" s="413"/>
    </row>
    <row r="150" spans="1:14" ht="27.75">
      <c r="A150" s="1388" t="s">
        <v>270</v>
      </c>
      <c r="B150" s="1389"/>
      <c r="C150" s="1390"/>
      <c r="D150" s="599" t="s">
        <v>194</v>
      </c>
      <c r="E150" s="531"/>
      <c r="F150" s="710"/>
      <c r="G150" s="536">
        <f>G36+G50</f>
        <v>1565.5200000000186</v>
      </c>
      <c r="H150" s="536">
        <f>G150+'3'!H150</f>
        <v>6825.5</v>
      </c>
      <c r="I150" s="622"/>
      <c r="J150" s="629">
        <f>H150/DAY(B2)</f>
        <v>1706.375</v>
      </c>
      <c r="N150" s="413"/>
    </row>
    <row r="151" spans="1:14" ht="27.75">
      <c r="A151" s="1388" t="s">
        <v>271</v>
      </c>
      <c r="B151" s="1389"/>
      <c r="C151" s="1390"/>
      <c r="D151" s="599" t="s">
        <v>24</v>
      </c>
      <c r="E151" s="531"/>
      <c r="F151" s="710"/>
      <c r="G151" s="620">
        <f>G150/G7</f>
        <v>8.4732626109548528E-2</v>
      </c>
      <c r="H151" s="536">
        <f>G151+'3'!H151</f>
        <v>0.35229997391890766</v>
      </c>
      <c r="I151" s="556"/>
      <c r="J151" s="629">
        <f>H151/DAY(B2)</f>
        <v>8.8074993479726915E-2</v>
      </c>
      <c r="N151" s="413"/>
    </row>
    <row r="152" spans="1:14" ht="27.75">
      <c r="A152" s="1388" t="s">
        <v>272</v>
      </c>
      <c r="B152" s="1389"/>
      <c r="C152" s="1390"/>
      <c r="D152" s="599" t="s">
        <v>194</v>
      </c>
      <c r="E152" s="531"/>
      <c r="F152" s="710"/>
      <c r="G152" s="536">
        <f>G37+G51</f>
        <v>1381.4100000000035</v>
      </c>
      <c r="H152" s="536">
        <f>G152+'3'!H152</f>
        <v>5647.8899999999994</v>
      </c>
      <c r="I152" s="556"/>
      <c r="J152" s="629">
        <f>H152/DAY(B2)</f>
        <v>1411.9724999999999</v>
      </c>
      <c r="N152" s="413"/>
    </row>
    <row r="153" spans="1:14" ht="28.5" thickBot="1">
      <c r="A153" s="1394" t="s">
        <v>273</v>
      </c>
      <c r="B153" s="1395"/>
      <c r="C153" s="1396"/>
      <c r="D153" s="702" t="s">
        <v>24</v>
      </c>
      <c r="E153" s="642"/>
      <c r="F153" s="731"/>
      <c r="G153" s="643">
        <f>G152/G7</f>
        <v>7.4767806884607241E-2</v>
      </c>
      <c r="H153" s="536">
        <f>G153+'3'!H153</f>
        <v>0.29149667804163598</v>
      </c>
      <c r="I153" s="645"/>
      <c r="J153" s="646">
        <f>H153/DAY(B2)</f>
        <v>7.2874169510408995E-2</v>
      </c>
      <c r="N153" s="413"/>
    </row>
    <row r="154" spans="1:14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>
      <c r="A157" s="1425" t="s">
        <v>278</v>
      </c>
      <c r="B157" s="1426"/>
      <c r="C157" s="1426"/>
      <c r="D157" s="1426"/>
      <c r="E157" s="1426"/>
      <c r="F157" s="1426"/>
      <c r="G157" s="1427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739">
        <v>26285</v>
      </c>
      <c r="F160" s="739">
        <v>26355.42</v>
      </c>
      <c r="G160" s="549">
        <f t="shared" ref="G160:G171" si="16">F160-E160</f>
        <v>70.419999999998254</v>
      </c>
    </row>
    <row r="161" spans="1:7">
      <c r="A161" s="889" t="s">
        <v>275</v>
      </c>
      <c r="B161" s="890"/>
      <c r="C161" s="890"/>
      <c r="D161" s="587" t="s">
        <v>198</v>
      </c>
      <c r="E161" s="739">
        <v>29858</v>
      </c>
      <c r="F161" s="739">
        <v>30315.66</v>
      </c>
      <c r="G161" s="549">
        <f t="shared" si="16"/>
        <v>457.65999999999985</v>
      </c>
    </row>
    <row r="162" spans="1:7">
      <c r="A162" s="889" t="s">
        <v>276</v>
      </c>
      <c r="B162" s="890"/>
      <c r="C162" s="890"/>
      <c r="D162" s="587" t="s">
        <v>198</v>
      </c>
      <c r="E162" s="739">
        <v>5593.36</v>
      </c>
      <c r="F162" s="739">
        <v>5854.86</v>
      </c>
      <c r="G162" s="549">
        <f t="shared" si="16"/>
        <v>261.5</v>
      </c>
    </row>
    <row r="163" spans="1:7">
      <c r="A163" s="889" t="s">
        <v>277</v>
      </c>
      <c r="B163" s="890"/>
      <c r="C163" s="890"/>
      <c r="D163" s="587" t="s">
        <v>198</v>
      </c>
      <c r="E163" s="739">
        <v>4403</v>
      </c>
      <c r="F163" s="739">
        <v>4427</v>
      </c>
      <c r="G163" s="549">
        <f t="shared" si="16"/>
        <v>24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20419.188999999998</v>
      </c>
      <c r="F164" s="590">
        <f>F62</f>
        <v>20419.187999999998</v>
      </c>
      <c r="G164" s="549">
        <f t="shared" si="16"/>
        <v>-1.0000000002037268E-3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" si="17">E63</f>
        <v>1120.6199999999999</v>
      </c>
      <c r="F165" s="590">
        <f t="shared" ref="F165:F171" si="18">F63</f>
        <v>1125</v>
      </c>
      <c r="G165" s="549">
        <f t="shared" si="16"/>
        <v>4.3800000000001091</v>
      </c>
    </row>
    <row r="166" spans="1:7" ht="25.5" customHeight="1">
      <c r="A166" s="1363" t="s">
        <v>107</v>
      </c>
      <c r="B166" s="1363"/>
      <c r="C166" s="1363"/>
      <c r="D166" s="599" t="s">
        <v>198</v>
      </c>
      <c r="E166" s="590">
        <f t="shared" ref="E166" si="19">E64</f>
        <v>99616</v>
      </c>
      <c r="F166" s="590">
        <f t="shared" si="18"/>
        <v>100009.83</v>
      </c>
      <c r="G166" s="549">
        <f t="shared" si="16"/>
        <v>393.83000000000175</v>
      </c>
    </row>
    <row r="167" spans="1:7" ht="24.75" customHeight="1">
      <c r="A167" s="1363" t="s">
        <v>108</v>
      </c>
      <c r="B167" s="1363"/>
      <c r="C167" s="1363"/>
      <c r="D167" s="599" t="s">
        <v>198</v>
      </c>
      <c r="E167" s="590">
        <f t="shared" ref="E167" si="20">E65</f>
        <v>110258.57</v>
      </c>
      <c r="F167" s="590">
        <f t="shared" si="18"/>
        <v>110635</v>
      </c>
      <c r="G167" s="549">
        <f t="shared" si="16"/>
        <v>376.42999999999302</v>
      </c>
    </row>
    <row r="168" spans="1:7" ht="28.5" customHeight="1">
      <c r="A168" s="1363" t="s">
        <v>109</v>
      </c>
      <c r="B168" s="1363"/>
      <c r="C168" s="1363"/>
      <c r="D168" s="599" t="s">
        <v>198</v>
      </c>
      <c r="E168" s="590">
        <f t="shared" ref="E168" si="21">E66</f>
        <v>3638.67</v>
      </c>
      <c r="F168" s="590">
        <f t="shared" si="18"/>
        <v>4002.58</v>
      </c>
      <c r="G168" s="549">
        <f t="shared" si="16"/>
        <v>363.90999999999985</v>
      </c>
    </row>
    <row r="169" spans="1:7" ht="24.75" customHeight="1">
      <c r="A169" s="1363" t="s">
        <v>110</v>
      </c>
      <c r="B169" s="1363"/>
      <c r="C169" s="1363"/>
      <c r="D169" s="599" t="s">
        <v>198</v>
      </c>
      <c r="E169" s="590">
        <f t="shared" ref="E169" si="22">E67</f>
        <v>170282.57</v>
      </c>
      <c r="F169" s="590">
        <f t="shared" si="18"/>
        <v>170891.69</v>
      </c>
      <c r="G169" s="549">
        <f t="shared" si="16"/>
        <v>609.11999999999534</v>
      </c>
    </row>
    <row r="170" spans="1:7" ht="24" customHeight="1">
      <c r="A170" s="1363" t="s">
        <v>111</v>
      </c>
      <c r="B170" s="1363"/>
      <c r="C170" s="1363"/>
      <c r="D170" s="599" t="s">
        <v>198</v>
      </c>
      <c r="E170" s="590">
        <f t="shared" ref="E170" si="23">E68</f>
        <v>54498</v>
      </c>
      <c r="F170" s="590">
        <f t="shared" si="18"/>
        <v>54780.69</v>
      </c>
      <c r="G170" s="549">
        <f t="shared" si="16"/>
        <v>282.69000000000233</v>
      </c>
    </row>
    <row r="171" spans="1:7" ht="27.75">
      <c r="A171" s="1363" t="s">
        <v>112</v>
      </c>
      <c r="B171" s="1363"/>
      <c r="C171" s="1363"/>
      <c r="D171" s="599" t="s">
        <v>198</v>
      </c>
      <c r="E171" s="590">
        <f t="shared" ref="E171" si="24">E69</f>
        <v>47402</v>
      </c>
      <c r="F171" s="590">
        <f t="shared" si="18"/>
        <v>47694</v>
      </c>
      <c r="G171" s="549">
        <f t="shared" si="16"/>
        <v>292</v>
      </c>
    </row>
    <row r="176" spans="1:7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1"/>
  <sheetViews>
    <sheetView view="pageBreakPreview" topLeftCell="A103" zoomScale="55" zoomScaleNormal="48" zoomScaleSheetLayoutView="55" workbookViewId="0">
      <selection activeCell="F27" sqref="F27"/>
    </sheetView>
  </sheetViews>
  <sheetFormatPr defaultColWidth="22.33203125" defaultRowHeight="29.25"/>
  <cols>
    <col min="1" max="1" width="41.33203125" style="530" customWidth="1"/>
    <col min="2" max="2" width="27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5" s="281" customFormat="1" ht="27">
      <c r="A2" s="652" t="s">
        <v>329</v>
      </c>
      <c r="B2" s="1139">
        <v>44201</v>
      </c>
      <c r="C2" s="1254" t="s">
        <v>69</v>
      </c>
      <c r="D2" s="688">
        <v>0.23</v>
      </c>
      <c r="E2" s="537"/>
      <c r="F2" s="70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22</v>
      </c>
      <c r="E3" s="1408" t="s">
        <v>132</v>
      </c>
      <c r="F3" s="1409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0.78</v>
      </c>
      <c r="E4" s="540"/>
      <c r="F4" s="708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709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2" t="s">
        <v>141</v>
      </c>
      <c r="B6" s="1403"/>
      <c r="C6" s="1404"/>
      <c r="D6" s="547"/>
      <c r="E6" s="547"/>
      <c r="F6" s="570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'4'!F7</f>
        <v>3363965</v>
      </c>
      <c r="F7" s="792">
        <v>3381796</v>
      </c>
      <c r="G7" s="759">
        <f>F7-E7</f>
        <v>17831</v>
      </c>
      <c r="H7" s="760">
        <f>G7+'4'!H7</f>
        <v>95356</v>
      </c>
      <c r="I7" s="761">
        <f>'1'!I7</f>
        <v>12000</v>
      </c>
      <c r="J7" s="762">
        <f>H7/DAY(B2)</f>
        <v>19071.2</v>
      </c>
      <c r="K7" s="626"/>
      <c r="L7" s="408"/>
      <c r="N7" s="413"/>
      <c r="O7" s="413"/>
    </row>
    <row r="8" spans="1:15" ht="27.75" thickBot="1">
      <c r="A8" s="763" t="s">
        <v>144</v>
      </c>
      <c r="B8" s="764"/>
      <c r="C8" s="765"/>
      <c r="D8" s="766" t="s">
        <v>25</v>
      </c>
      <c r="E8" s="710">
        <f>'4'!F8</f>
        <v>3384591</v>
      </c>
      <c r="F8" s="793">
        <v>3402673</v>
      </c>
      <c r="G8" s="770">
        <f t="shared" ref="G8:G9" si="0">F8-E8</f>
        <v>18082</v>
      </c>
      <c r="H8" s="760">
        <f>G8+'4'!H8</f>
        <v>96301</v>
      </c>
      <c r="I8" s="767">
        <v>12000</v>
      </c>
      <c r="J8" s="762">
        <f>H8/DAY(B2)</f>
        <v>19260.2</v>
      </c>
      <c r="K8" s="626"/>
      <c r="L8" s="464"/>
      <c r="M8" s="479"/>
      <c r="N8" s="785"/>
      <c r="O8" s="413"/>
    </row>
    <row r="9" spans="1:15">
      <c r="A9" s="768" t="s">
        <v>145</v>
      </c>
      <c r="B9" s="769"/>
      <c r="C9" s="769"/>
      <c r="D9" s="715" t="s">
        <v>143</v>
      </c>
      <c r="E9" s="712">
        <f>'4'!F9</f>
        <v>2415346</v>
      </c>
      <c r="F9" s="786">
        <v>2418083</v>
      </c>
      <c r="G9" s="770">
        <f t="shared" si="0"/>
        <v>2737</v>
      </c>
      <c r="H9" s="760">
        <f>G9+'4'!H9</f>
        <v>12868</v>
      </c>
      <c r="I9" s="771">
        <f>I8-J8</f>
        <v>-7260.2000000000007</v>
      </c>
      <c r="J9" s="762">
        <f>H9/DAY(B2)</f>
        <v>2573.6</v>
      </c>
      <c r="K9" s="467"/>
      <c r="L9" s="408"/>
      <c r="N9" s="413"/>
      <c r="O9" s="413"/>
    </row>
    <row r="10" spans="1:15">
      <c r="A10" s="757" t="s">
        <v>146</v>
      </c>
      <c r="B10" s="758"/>
      <c r="C10" s="758"/>
      <c r="D10" s="715" t="s">
        <v>143</v>
      </c>
      <c r="E10" s="712">
        <f>'4'!F10</f>
        <v>815019.83</v>
      </c>
      <c r="F10" s="786">
        <v>829449</v>
      </c>
      <c r="G10" s="770">
        <f>F10-E10</f>
        <v>14429.170000000042</v>
      </c>
      <c r="H10" s="760">
        <f>G10+'4'!H10</f>
        <v>78927.089999999967</v>
      </c>
      <c r="I10" s="772"/>
      <c r="J10" s="762">
        <f>H10/DAY(B2)</f>
        <v>15785.417999999994</v>
      </c>
      <c r="K10" s="467"/>
      <c r="L10" s="408"/>
      <c r="N10" s="413">
        <v>108</v>
      </c>
      <c r="O10" s="413"/>
    </row>
    <row r="11" spans="1:15">
      <c r="A11" s="757" t="s">
        <v>147</v>
      </c>
      <c r="B11" s="758"/>
      <c r="C11" s="758"/>
      <c r="D11" s="715" t="s">
        <v>143</v>
      </c>
      <c r="E11" s="710">
        <f>'4'!F11</f>
        <v>35390</v>
      </c>
      <c r="F11" s="792">
        <v>35390</v>
      </c>
      <c r="G11" s="770">
        <f>F11-E11</f>
        <v>0</v>
      </c>
      <c r="H11" s="760">
        <f>G11+'4'!H11</f>
        <v>0</v>
      </c>
      <c r="I11" s="772"/>
      <c r="J11" s="762">
        <f>H11/DAY(B2)</f>
        <v>0</v>
      </c>
      <c r="K11" s="467"/>
      <c r="L11" s="408"/>
      <c r="N11" s="413">
        <v>28</v>
      </c>
      <c r="O11" s="413"/>
    </row>
    <row r="12" spans="1:15">
      <c r="A12" s="757" t="s">
        <v>148</v>
      </c>
      <c r="B12" s="758"/>
      <c r="C12" s="758"/>
      <c r="D12" s="715" t="s">
        <v>143</v>
      </c>
      <c r="E12" s="712">
        <f>'4'!F12</f>
        <v>37630</v>
      </c>
      <c r="F12" s="786">
        <v>37630</v>
      </c>
      <c r="G12" s="770">
        <f t="shared" ref="G12" si="1">F12-E12</f>
        <v>0</v>
      </c>
      <c r="H12" s="760">
        <f>G12+'4'!H12</f>
        <v>0</v>
      </c>
      <c r="I12" s="772"/>
      <c r="J12" s="762">
        <f>H12/DAY(B2)</f>
        <v>0</v>
      </c>
      <c r="K12" s="467"/>
      <c r="L12" s="408"/>
      <c r="N12" s="413">
        <v>342</v>
      </c>
      <c r="O12" s="413"/>
    </row>
    <row r="13" spans="1:15">
      <c r="A13" s="773" t="s">
        <v>149</v>
      </c>
      <c r="B13" s="774"/>
      <c r="C13" s="774"/>
      <c r="D13" s="715"/>
      <c r="E13" s="710"/>
      <c r="F13" s="710"/>
      <c r="G13" s="775">
        <f>G9+G10+G11+G12</f>
        <v>17166.170000000042</v>
      </c>
      <c r="H13" s="760">
        <f>G13+'4'!H13</f>
        <v>91795.089999999967</v>
      </c>
      <c r="I13" s="776">
        <f>G7-G13</f>
        <v>664.82999999995809</v>
      </c>
      <c r="J13" s="762">
        <f>H13/DAY(B2)</f>
        <v>18359.017999999993</v>
      </c>
      <c r="K13" s="467"/>
      <c r="L13" s="408"/>
      <c r="N13" s="413">
        <v>349</v>
      </c>
      <c r="O13" s="413"/>
    </row>
    <row r="14" spans="1:15">
      <c r="A14" s="1405" t="s">
        <v>150</v>
      </c>
      <c r="B14" s="1406"/>
      <c r="C14" s="1407"/>
      <c r="D14" s="548"/>
      <c r="E14" s="548"/>
      <c r="F14" s="559"/>
      <c r="G14" s="559"/>
      <c r="H14" s="548"/>
      <c r="I14" s="548"/>
      <c r="J14" s="628"/>
      <c r="K14" s="468"/>
      <c r="L14" s="408"/>
      <c r="N14" s="413">
        <v>432</v>
      </c>
      <c r="O14" s="413"/>
    </row>
    <row r="15" spans="1:15">
      <c r="A15" s="746" t="s">
        <v>151</v>
      </c>
      <c r="B15" s="747"/>
      <c r="C15" s="747"/>
      <c r="D15" s="748" t="s">
        <v>152</v>
      </c>
      <c r="E15" s="749">
        <f>'4'!F15</f>
        <v>1572004</v>
      </c>
      <c r="F15" s="794">
        <v>1572530</v>
      </c>
      <c r="G15" s="745">
        <f t="shared" ref="G15" si="2">F15-E15</f>
        <v>526</v>
      </c>
      <c r="H15" s="751">
        <f>G15+'4'!H15</f>
        <v>3615.8999999999069</v>
      </c>
      <c r="I15" s="752">
        <v>800</v>
      </c>
      <c r="J15" s="753">
        <f>H15/DAY(B2)</f>
        <v>723.17999999998142</v>
      </c>
      <c r="K15" s="467"/>
      <c r="L15" s="408"/>
      <c r="N15" s="413"/>
      <c r="O15" s="413"/>
    </row>
    <row r="16" spans="1:15">
      <c r="A16" s="754"/>
      <c r="B16" s="755"/>
      <c r="C16" s="755"/>
      <c r="D16" s="748"/>
      <c r="E16" s="749"/>
      <c r="F16" s="784"/>
      <c r="G16" s="750"/>
      <c r="H16" s="751"/>
      <c r="I16" s="756">
        <f>I15-J15</f>
        <v>76.820000000018581</v>
      </c>
      <c r="J16" s="753"/>
      <c r="K16" s="467"/>
      <c r="L16" s="408"/>
      <c r="N16" s="413"/>
      <c r="O16" s="413"/>
    </row>
    <row r="17" spans="1:15">
      <c r="A17" s="1405" t="s">
        <v>153</v>
      </c>
      <c r="B17" s="1406"/>
      <c r="C17" s="1407"/>
      <c r="D17" s="548"/>
      <c r="E17" s="548"/>
      <c r="F17" s="559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431" t="s">
        <v>154</v>
      </c>
      <c r="B18" s="1432"/>
      <c r="C18" s="1433"/>
      <c r="D18" s="715" t="s">
        <v>155</v>
      </c>
      <c r="E18" s="712">
        <f>'4'!F18</f>
        <v>10</v>
      </c>
      <c r="F18" s="712">
        <v>8</v>
      </c>
      <c r="G18" s="775">
        <f>F18*10</f>
        <v>80</v>
      </c>
      <c r="H18" s="760">
        <f>G18+'4'!H18</f>
        <v>570</v>
      </c>
      <c r="I18" s="761">
        <f>'1'!I18</f>
        <v>65</v>
      </c>
      <c r="J18" s="762">
        <f>H18/DAY(B2)</f>
        <v>114</v>
      </c>
      <c r="K18" s="467"/>
      <c r="L18" s="408"/>
      <c r="N18" s="413"/>
      <c r="O18" s="413"/>
    </row>
    <row r="19" spans="1:15" ht="27.75">
      <c r="A19" s="1431" t="s">
        <v>71</v>
      </c>
      <c r="B19" s="1432"/>
      <c r="C19" s="1433"/>
      <c r="D19" s="715" t="s">
        <v>155</v>
      </c>
      <c r="E19" s="712">
        <f>'4'!F19</f>
        <v>131695</v>
      </c>
      <c r="F19" s="786">
        <v>131747</v>
      </c>
      <c r="G19" s="770">
        <f t="shared" ref="G19" si="3">F19-E19</f>
        <v>52</v>
      </c>
      <c r="H19" s="760">
        <f>G19+'4'!H19</f>
        <v>254</v>
      </c>
      <c r="I19" s="777"/>
      <c r="J19" s="762">
        <f>H19/DAY(B2)</f>
        <v>50.8</v>
      </c>
      <c r="K19" s="467"/>
      <c r="L19" s="408"/>
      <c r="N19" s="413"/>
      <c r="O19" s="413"/>
    </row>
    <row r="20" spans="1:15">
      <c r="A20" s="773" t="s">
        <v>156</v>
      </c>
      <c r="B20" s="774"/>
      <c r="C20" s="774"/>
      <c r="D20" s="715"/>
      <c r="E20" s="715"/>
      <c r="F20" s="715"/>
      <c r="G20" s="778">
        <f>G18+G19</f>
        <v>132</v>
      </c>
      <c r="H20" s="760">
        <f>G20+'4'!H20</f>
        <v>824</v>
      </c>
      <c r="I20" s="779">
        <f>I18-J20</f>
        <v>-99.800000000000011</v>
      </c>
      <c r="J20" s="762">
        <f>H20/DAY(B2)</f>
        <v>164.8</v>
      </c>
      <c r="K20" s="467"/>
      <c r="L20" s="408"/>
      <c r="N20" s="413"/>
      <c r="O20" s="413"/>
    </row>
    <row r="21" spans="1:15">
      <c r="A21" s="1405" t="s">
        <v>157</v>
      </c>
      <c r="B21" s="1406"/>
      <c r="C21" s="1407"/>
      <c r="D21" s="548"/>
      <c r="E21" s="548"/>
      <c r="F21" s="559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52" t="s">
        <v>158</v>
      </c>
      <c r="B22" s="666"/>
      <c r="C22" s="666"/>
      <c r="D22" s="599" t="s">
        <v>159</v>
      </c>
      <c r="E22" s="712">
        <f>'4'!F22</f>
        <v>2250</v>
      </c>
      <c r="F22" s="712">
        <v>2250</v>
      </c>
      <c r="G22" s="557">
        <f t="shared" ref="G22" si="4">(F22-E22)</f>
        <v>0</v>
      </c>
      <c r="H22" s="536">
        <f>G22+'4'!H22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52" t="s">
        <v>160</v>
      </c>
      <c r="B23" s="666"/>
      <c r="C23" s="666"/>
      <c r="D23" s="599" t="s">
        <v>159</v>
      </c>
      <c r="E23" s="712">
        <f>'4'!F23</f>
        <v>2000</v>
      </c>
      <c r="F23" s="712">
        <v>2000</v>
      </c>
      <c r="G23" s="557">
        <v>0</v>
      </c>
      <c r="H23" s="536">
        <f>G23+'4'!H23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712">
        <f>'4'!F24</f>
        <v>4250</v>
      </c>
      <c r="F24" s="714">
        <v>4250</v>
      </c>
      <c r="G24" s="557">
        <v>0</v>
      </c>
      <c r="H24" s="536">
        <f>G24+'4'!H24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10" t="s">
        <v>162</v>
      </c>
      <c r="B25" s="1411"/>
      <c r="C25" s="1412"/>
      <c r="D25" s="547"/>
      <c r="E25" s="547"/>
      <c r="F25" s="570"/>
      <c r="G25" s="570"/>
      <c r="H25" s="571"/>
      <c r="I25" s="572"/>
      <c r="J25" s="631"/>
      <c r="K25" s="404"/>
      <c r="L25" s="484"/>
      <c r="N25" s="41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710"/>
      <c r="G26" s="574"/>
      <c r="H26" s="536"/>
      <c r="I26" s="575"/>
      <c r="J26" s="629"/>
      <c r="K26" s="405"/>
      <c r="L26" s="484"/>
      <c r="N26" s="41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780">
        <f>G8</f>
        <v>18082</v>
      </c>
      <c r="F27" s="577">
        <v>9</v>
      </c>
      <c r="G27" s="578">
        <f>E27*F27</f>
        <v>162738</v>
      </c>
      <c r="H27" s="536">
        <f>G27+'4'!H27</f>
        <v>866709</v>
      </c>
      <c r="I27" s="579"/>
      <c r="J27" s="629">
        <f>H27/DAY(B2)</f>
        <v>173341.8</v>
      </c>
      <c r="K27" s="404"/>
      <c r="L27" s="484"/>
      <c r="N27" s="41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780">
        <f>G15</f>
        <v>526</v>
      </c>
      <c r="F28" s="577">
        <v>38.64</v>
      </c>
      <c r="G28" s="578">
        <f>E28*F28</f>
        <v>20324.64</v>
      </c>
      <c r="H28" s="536">
        <f>G28+'4'!H28</f>
        <v>147010.5399999962</v>
      </c>
      <c r="I28" s="581"/>
      <c r="J28" s="629">
        <f>H28/DAY(B2)</f>
        <v>29402.10799999924</v>
      </c>
      <c r="K28" s="404"/>
      <c r="L28" s="484"/>
      <c r="N28" s="41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716">
        <v>69</v>
      </c>
      <c r="G29" s="578">
        <f>E29*F29</f>
        <v>0</v>
      </c>
      <c r="H29" s="536">
        <f>G29+'4'!H29</f>
        <v>0</v>
      </c>
      <c r="I29" s="581"/>
      <c r="J29" s="629">
        <f>H29/DAY(B2)</f>
        <v>0</v>
      </c>
      <c r="K29" s="404"/>
      <c r="L29" s="484"/>
      <c r="N29" s="41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716">
        <v>134</v>
      </c>
      <c r="G30" s="578">
        <f>E30*F30</f>
        <v>6968</v>
      </c>
      <c r="H30" s="536">
        <f>G30+'4'!H30</f>
        <v>34036</v>
      </c>
      <c r="I30" s="581"/>
      <c r="J30" s="629">
        <f>H30/DAY(B2)</f>
        <v>6807.2</v>
      </c>
      <c r="K30" s="404"/>
      <c r="L30" s="484"/>
      <c r="N30" s="41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780">
        <f>G18</f>
        <v>80</v>
      </c>
      <c r="F31" s="716">
        <v>80</v>
      </c>
      <c r="G31" s="578">
        <f>E31*F31</f>
        <v>6400</v>
      </c>
      <c r="H31" s="536">
        <f>G31+'4'!H31</f>
        <v>45600</v>
      </c>
      <c r="I31" s="581"/>
      <c r="J31" s="629">
        <f>H31/DAY(B2)</f>
        <v>9120</v>
      </c>
      <c r="K31" s="404"/>
      <c r="L31" s="484"/>
      <c r="N31" s="41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717"/>
      <c r="G32" s="584">
        <f>G27+G28+G29+G30+G31</f>
        <v>196430.64</v>
      </c>
      <c r="H32" s="536">
        <f>G32+'4'!H32</f>
        <v>1093355.5399999963</v>
      </c>
      <c r="I32" s="585"/>
      <c r="J32" s="629">
        <f>H32/DAY(B2)</f>
        <v>218671.10799999925</v>
      </c>
      <c r="K32" s="404"/>
      <c r="L32" s="484"/>
      <c r="N32" s="413"/>
      <c r="O32" s="413"/>
    </row>
    <row r="33" spans="1:15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413"/>
      <c r="O33" s="413"/>
    </row>
    <row r="34" spans="1:15">
      <c r="A34" s="675" t="s">
        <v>174</v>
      </c>
      <c r="B34" s="1257"/>
      <c r="C34" s="1257"/>
      <c r="D34" s="548"/>
      <c r="E34" s="547"/>
      <c r="F34" s="570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'4'!F35</f>
        <v>629027</v>
      </c>
      <c r="F35" s="795">
        <v>629027</v>
      </c>
      <c r="G35" s="549">
        <f t="shared" ref="G35:G46" si="5">F35-E35</f>
        <v>0</v>
      </c>
      <c r="H35" s="536">
        <f>G35+'4'!H35</f>
        <v>0</v>
      </c>
      <c r="I35" s="531"/>
      <c r="J35" s="629">
        <f>H35/DAY(B2)</f>
        <v>0</v>
      </c>
      <c r="K35" s="467"/>
      <c r="L35" s="408"/>
      <c r="N35" s="413"/>
      <c r="O35" s="413"/>
    </row>
    <row r="36" spans="1:15">
      <c r="A36" s="655" t="s">
        <v>176</v>
      </c>
      <c r="B36" s="656"/>
      <c r="C36" s="656"/>
      <c r="D36" s="599" t="s">
        <v>143</v>
      </c>
      <c r="E36" s="586">
        <f>'4'!F36</f>
        <v>257661</v>
      </c>
      <c r="F36" s="795">
        <v>258477.73</v>
      </c>
      <c r="G36" s="549">
        <f t="shared" si="5"/>
        <v>816.73000000001048</v>
      </c>
      <c r="H36" s="536">
        <f>G36+'4'!H36</f>
        <v>3386.6600000000035</v>
      </c>
      <c r="I36" s="531"/>
      <c r="J36" s="629">
        <f>H36/DAY(B2)</f>
        <v>677.33200000000068</v>
      </c>
      <c r="K36" s="467"/>
      <c r="L36" s="408"/>
      <c r="N36" s="705"/>
      <c r="O36" s="413"/>
    </row>
    <row r="37" spans="1:15">
      <c r="A37" s="655" t="s">
        <v>177</v>
      </c>
      <c r="B37" s="656"/>
      <c r="C37" s="656"/>
      <c r="D37" s="599" t="s">
        <v>143</v>
      </c>
      <c r="E37" s="586">
        <f>'4'!F37</f>
        <v>415066</v>
      </c>
      <c r="F37" s="795">
        <v>415066</v>
      </c>
      <c r="G37" s="549">
        <f t="shared" si="5"/>
        <v>0</v>
      </c>
      <c r="H37" s="536">
        <f>G37+'4'!H37</f>
        <v>0</v>
      </c>
      <c r="I37" s="531"/>
      <c r="J37" s="629">
        <f>H37/DAY(B2)</f>
        <v>0</v>
      </c>
      <c r="K37" s="467"/>
      <c r="L37" s="408"/>
      <c r="N37" s="706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'4'!F38</f>
        <v>150714.38</v>
      </c>
      <c r="F38" s="796">
        <v>150714.38</v>
      </c>
      <c r="G38" s="549">
        <f t="shared" si="5"/>
        <v>0</v>
      </c>
      <c r="H38" s="536">
        <f>G38+'4'!H38</f>
        <v>0.38000000000465661</v>
      </c>
      <c r="I38" s="531"/>
      <c r="J38" s="629">
        <f>H38/DAY(B2)</f>
        <v>7.6000000000931323E-2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'4'!F39</f>
        <v>912480</v>
      </c>
      <c r="F39" s="795">
        <v>912480</v>
      </c>
      <c r="G39" s="549">
        <f t="shared" si="5"/>
        <v>0</v>
      </c>
      <c r="H39" s="536">
        <f>G39+'4'!H39</f>
        <v>0</v>
      </c>
      <c r="I39" s="531"/>
      <c r="J39" s="629">
        <f>H39/DAY(B2)</f>
        <v>0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'4'!F40</f>
        <v>0.17</v>
      </c>
      <c r="F40" s="795">
        <v>0.17</v>
      </c>
      <c r="G40" s="549">
        <f t="shared" si="5"/>
        <v>0</v>
      </c>
      <c r="H40" s="536">
        <f>G40+'4'!H40</f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'4'!F41</f>
        <v>300127.90000000002</v>
      </c>
      <c r="F41" s="795">
        <v>300127.90000000002</v>
      </c>
      <c r="G41" s="549">
        <f t="shared" si="5"/>
        <v>0</v>
      </c>
      <c r="H41" s="536">
        <f>G41+'4'!H41</f>
        <v>-4.9999999988358468E-2</v>
      </c>
      <c r="I41" s="531"/>
      <c r="J41" s="629">
        <f>H41/DAY(B2)</f>
        <v>-9.9999999976716943E-3</v>
      </c>
      <c r="K41" s="467"/>
      <c r="L41" s="408"/>
      <c r="N41" s="413"/>
      <c r="O41" s="413"/>
    </row>
    <row r="42" spans="1:15">
      <c r="A42" s="655" t="s">
        <v>182</v>
      </c>
      <c r="B42" s="656"/>
      <c r="C42" s="656"/>
      <c r="D42" s="599" t="s">
        <v>143</v>
      </c>
      <c r="E42" s="586">
        <f>'4'!F42</f>
        <v>58926</v>
      </c>
      <c r="F42" s="795">
        <v>58926</v>
      </c>
      <c r="G42" s="549">
        <f t="shared" si="5"/>
        <v>0</v>
      </c>
      <c r="H42" s="536">
        <f>G42+'4'!H42</f>
        <v>-8.999999999650754E-2</v>
      </c>
      <c r="I42" s="531"/>
      <c r="J42" s="629">
        <f>H42/DAY(B2)</f>
        <v>-1.7999999999301509E-2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'4'!F43</f>
        <v>706250</v>
      </c>
      <c r="F43" s="795">
        <v>708282.87</v>
      </c>
      <c r="G43" s="549">
        <f t="shared" si="5"/>
        <v>2032.8699999999953</v>
      </c>
      <c r="H43" s="536">
        <f>G43+'4'!H43</f>
        <v>10029.439999999944</v>
      </c>
      <c r="I43" s="531"/>
      <c r="J43" s="629">
        <f>H43/DAY(B2)</f>
        <v>2005.8879999999888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'4'!F44</f>
        <v>0</v>
      </c>
      <c r="F44" s="795">
        <v>0</v>
      </c>
      <c r="G44" s="549">
        <f t="shared" si="5"/>
        <v>0</v>
      </c>
      <c r="H44" s="536">
        <f>G44+'4'!H44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'4'!F45</f>
        <v>614</v>
      </c>
      <c r="F45" s="795">
        <v>614</v>
      </c>
      <c r="G45" s="549">
        <f t="shared" si="5"/>
        <v>0</v>
      </c>
      <c r="H45" s="536">
        <f>G45+'4'!H45</f>
        <v>-0.48000000000001819</v>
      </c>
      <c r="I45" s="531"/>
      <c r="J45" s="629">
        <f>H45/DAY(B2)</f>
        <v>-9.6000000000003638E-2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'4'!F46</f>
        <v>187</v>
      </c>
      <c r="F46" s="795">
        <v>187</v>
      </c>
      <c r="G46" s="549">
        <f t="shared" si="5"/>
        <v>0</v>
      </c>
      <c r="H46" s="536">
        <f>G46+'4'!H46</f>
        <v>-0.49000000000000909</v>
      </c>
      <c r="I46" s="531"/>
      <c r="J46" s="629">
        <f>H46/DAY(B2)</f>
        <v>-9.8000000000001822E-2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720"/>
      <c r="G47" s="557">
        <f>G35+G36+G37+G38+G39+G40+G41+G42+G43+G44+G45+G46</f>
        <v>2849.6000000000058</v>
      </c>
      <c r="H47" s="536">
        <f>G47+'4'!H47</f>
        <v>13415.369999999966</v>
      </c>
      <c r="I47" s="531"/>
      <c r="J47" s="629">
        <f>H47/DAY(B2)</f>
        <v>2683.0739999999932</v>
      </c>
      <c r="K47" s="467"/>
      <c r="L47" s="408"/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70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'4'!F49</f>
        <v>161124</v>
      </c>
      <c r="F49" s="795">
        <v>163924.66</v>
      </c>
      <c r="G49" s="549">
        <f t="shared" ref="G49:G58" si="6">F49-E49</f>
        <v>2800.6600000000035</v>
      </c>
      <c r="H49" s="536">
        <f>G49+'4'!H49</f>
        <v>14365.660000000003</v>
      </c>
      <c r="I49" s="531"/>
      <c r="J49" s="629">
        <f>H49/DAY(B2)</f>
        <v>2873.1320000000005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'4'!F50</f>
        <v>339156</v>
      </c>
      <c r="F50" s="795">
        <v>340112.67</v>
      </c>
      <c r="G50" s="549">
        <f t="shared" si="6"/>
        <v>956.6699999999837</v>
      </c>
      <c r="H50" s="536">
        <f>G50+'4'!H50</f>
        <v>5212.2399999999907</v>
      </c>
      <c r="I50" s="531"/>
      <c r="J50" s="629">
        <f>H50/DAY(B2)</f>
        <v>1042.447999999998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'4'!F51</f>
        <v>70355</v>
      </c>
      <c r="F51" s="795">
        <v>71726.48</v>
      </c>
      <c r="G51" s="549">
        <f t="shared" si="6"/>
        <v>1371.4799999999959</v>
      </c>
      <c r="H51" s="536">
        <f>G51+'4'!H51</f>
        <v>7019.3699999999953</v>
      </c>
      <c r="I51" s="531"/>
      <c r="J51" s="629">
        <f>H51/DAY(B2)</f>
        <v>1403.8739999999991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'4'!F52</f>
        <v>441314</v>
      </c>
      <c r="F52" s="795">
        <v>443198</v>
      </c>
      <c r="G52" s="549">
        <f t="shared" si="6"/>
        <v>1884</v>
      </c>
      <c r="H52" s="536">
        <f>G52+'4'!H52</f>
        <v>10018.369999999995</v>
      </c>
      <c r="I52" s="531"/>
      <c r="J52" s="629">
        <f>H52/DAY(B2)</f>
        <v>2003.6739999999991</v>
      </c>
      <c r="K52" s="467"/>
      <c r="L52" s="408"/>
      <c r="N52" s="413"/>
      <c r="O52" s="413"/>
    </row>
    <row r="53" spans="1:15">
      <c r="A53" s="655" t="s">
        <v>179</v>
      </c>
      <c r="B53" s="678"/>
      <c r="C53" s="678"/>
      <c r="D53" s="599" t="s">
        <v>143</v>
      </c>
      <c r="E53" s="586">
        <f>'4'!F53</f>
        <v>193064</v>
      </c>
      <c r="F53" s="795">
        <v>196918</v>
      </c>
      <c r="G53" s="549">
        <f t="shared" si="6"/>
        <v>3854</v>
      </c>
      <c r="H53" s="536">
        <f>G53+'4'!H53</f>
        <v>20316.03</v>
      </c>
      <c r="I53" s="531"/>
      <c r="J53" s="629">
        <f>H53/DAY(B2)</f>
        <v>4063.2059999999997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'4'!F54</f>
        <v>4828.5200000000004</v>
      </c>
      <c r="F54" s="795">
        <v>4885.8</v>
      </c>
      <c r="G54" s="549">
        <f t="shared" si="6"/>
        <v>57.279999999999745</v>
      </c>
      <c r="H54" s="536">
        <f>G54+'4'!H54</f>
        <v>296.26000000000022</v>
      </c>
      <c r="I54" s="531"/>
      <c r="J54" s="629">
        <f>H54/DAY(B2)</f>
        <v>59.252000000000045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'4'!F55</f>
        <v>158492.73000000001</v>
      </c>
      <c r="F55" s="797">
        <v>158492.73000000001</v>
      </c>
      <c r="G55" s="549">
        <f t="shared" si="6"/>
        <v>0</v>
      </c>
      <c r="H55" s="536">
        <f>G55+'4'!H55</f>
        <v>-0.26999999998952262</v>
      </c>
      <c r="I55" s="531"/>
      <c r="J55" s="629">
        <f>H55/DAY(B2)</f>
        <v>-5.3999999997904523E-2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'4'!F56</f>
        <v>531105</v>
      </c>
      <c r="F56" s="797">
        <v>534625</v>
      </c>
      <c r="G56" s="549">
        <f t="shared" si="6"/>
        <v>3520</v>
      </c>
      <c r="H56" s="536">
        <f>G56+'4'!H56</f>
        <v>21413.25</v>
      </c>
      <c r="I56" s="531"/>
      <c r="J56" s="629">
        <f>H56/DAY(B2)</f>
        <v>4282.6499999999996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'4'!F57</f>
        <v>0</v>
      </c>
      <c r="F57" s="795">
        <v>0</v>
      </c>
      <c r="G57" s="549">
        <f t="shared" si="6"/>
        <v>0</v>
      </c>
      <c r="H57" s="536">
        <f>G57+'4'!H57</f>
        <v>0</v>
      </c>
      <c r="I57" s="531"/>
      <c r="J57" s="629">
        <f>H57/DAY(B2)</f>
        <v>0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'4'!F58</f>
        <v>25728</v>
      </c>
      <c r="F58" s="798">
        <v>25808</v>
      </c>
      <c r="G58" s="549">
        <f t="shared" si="6"/>
        <v>80</v>
      </c>
      <c r="H58" s="536">
        <f>G58+'4'!H58</f>
        <v>767.59000000000015</v>
      </c>
      <c r="I58" s="531"/>
      <c r="J58" s="629">
        <f>H58/DAY(B2)</f>
        <v>153.51800000000003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789"/>
      <c r="G59" s="557">
        <f>G49+G50+G51+G52+G53+G54+G55+G56+G57+G58</f>
        <v>14524.089999999982</v>
      </c>
      <c r="H59" s="536">
        <f>G59+'4'!H59</f>
        <v>79408.5</v>
      </c>
      <c r="I59" s="531">
        <f>G7-G60</f>
        <v>457.31000000001222</v>
      </c>
      <c r="J59" s="629">
        <f>H59/DAY(B2)</f>
        <v>15881.7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720"/>
      <c r="G60" s="557">
        <f>G47+G59</f>
        <v>17373.689999999988</v>
      </c>
      <c r="H60" s="536">
        <f>G60+'4'!H60</f>
        <v>92823.869999999966</v>
      </c>
      <c r="I60" s="531">
        <f>G13-G60</f>
        <v>-207.51999999994587</v>
      </c>
      <c r="J60" s="629">
        <f>H60/DAY(B2)</f>
        <v>18564.773999999994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722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'4'!F62</f>
        <v>20419.187999999998</v>
      </c>
      <c r="F62" s="799">
        <v>20419</v>
      </c>
      <c r="G62" s="549">
        <f t="shared" ref="G62:G69" si="7">F62-E62</f>
        <v>-0.18799999999828287</v>
      </c>
      <c r="H62" s="536">
        <f>G62+'4'!H62</f>
        <v>-0.18000000000029104</v>
      </c>
      <c r="I62" s="591"/>
      <c r="J62" s="629">
        <f>H62/DAY(B2)</f>
        <v>-3.6000000000058208E-2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'4'!F63</f>
        <v>1125</v>
      </c>
      <c r="F63" s="799">
        <v>1129</v>
      </c>
      <c r="G63" s="549">
        <f t="shared" si="7"/>
        <v>4</v>
      </c>
      <c r="H63" s="536">
        <f>G63+'4'!H63</f>
        <v>21.089999999999918</v>
      </c>
      <c r="I63" s="591"/>
      <c r="J63" s="629">
        <f>H63/DAY(B2)</f>
        <v>4.217999999999984</v>
      </c>
      <c r="K63" s="467"/>
      <c r="L63" s="408"/>
      <c r="N63" s="413"/>
      <c r="O63" s="413"/>
    </row>
    <row r="64" spans="1:15" ht="27.75">
      <c r="A64" s="1367" t="s">
        <v>107</v>
      </c>
      <c r="B64" s="1368"/>
      <c r="C64" s="1369"/>
      <c r="D64" s="599" t="s">
        <v>198</v>
      </c>
      <c r="E64" s="560">
        <f>'4'!F64</f>
        <v>100009.83</v>
      </c>
      <c r="F64" s="786">
        <v>100402</v>
      </c>
      <c r="G64" s="549">
        <f t="shared" si="7"/>
        <v>392.16999999999825</v>
      </c>
      <c r="H64" s="536">
        <f>G64+'4'!H64</f>
        <v>1978.6000000000058</v>
      </c>
      <c r="I64" s="556"/>
      <c r="J64" s="629">
        <f>H64/DAY(B2)</f>
        <v>395.72000000000116</v>
      </c>
      <c r="K64" s="467"/>
      <c r="L64" s="408"/>
      <c r="N64" s="413"/>
      <c r="O64" s="413"/>
    </row>
    <row r="65" spans="1:15" ht="27.75">
      <c r="A65" s="1367" t="s">
        <v>108</v>
      </c>
      <c r="B65" s="1368"/>
      <c r="C65" s="1369"/>
      <c r="D65" s="599" t="s">
        <v>198</v>
      </c>
      <c r="E65" s="560">
        <f>'4'!F65</f>
        <v>110635</v>
      </c>
      <c r="F65" s="800">
        <v>110987.56</v>
      </c>
      <c r="G65" s="549">
        <f t="shared" si="7"/>
        <v>352.55999999999767</v>
      </c>
      <c r="H65" s="536">
        <f>G65+'4'!H65</f>
        <v>1943.4400000000023</v>
      </c>
      <c r="I65" s="565"/>
      <c r="J65" s="629">
        <f>H65/DAY(B2)</f>
        <v>388.68800000000044</v>
      </c>
      <c r="K65" s="467"/>
      <c r="L65" s="408"/>
      <c r="N65" s="413"/>
      <c r="O65" s="413"/>
    </row>
    <row r="66" spans="1:15" ht="27.75">
      <c r="A66" s="1367" t="s">
        <v>109</v>
      </c>
      <c r="B66" s="1368"/>
      <c r="C66" s="1369"/>
      <c r="D66" s="599" t="s">
        <v>198</v>
      </c>
      <c r="E66" s="560">
        <f>'4'!F66</f>
        <v>4002.58</v>
      </c>
      <c r="F66" s="786">
        <v>4356</v>
      </c>
      <c r="G66" s="549">
        <f t="shared" si="7"/>
        <v>353.42000000000007</v>
      </c>
      <c r="H66" s="536">
        <f>G66+'4'!H66</f>
        <v>1933.9099999999999</v>
      </c>
      <c r="I66" s="556"/>
      <c r="J66" s="629">
        <f>H66/DAY(B2)</f>
        <v>386.78199999999998</v>
      </c>
      <c r="K66" s="467"/>
      <c r="L66" s="408"/>
      <c r="N66" s="413"/>
      <c r="O66" s="413"/>
    </row>
    <row r="67" spans="1:15" ht="27.75">
      <c r="A67" s="1367" t="s">
        <v>110</v>
      </c>
      <c r="B67" s="1368"/>
      <c r="C67" s="1369"/>
      <c r="D67" s="599" t="s">
        <v>198</v>
      </c>
      <c r="E67" s="560">
        <f>'4'!F67</f>
        <v>170891.69</v>
      </c>
      <c r="F67" s="786">
        <v>171487</v>
      </c>
      <c r="G67" s="549">
        <f t="shared" si="7"/>
        <v>595.30999999999767</v>
      </c>
      <c r="H67" s="536">
        <f>G67+'4'!H67</f>
        <v>3245.6499999999942</v>
      </c>
      <c r="I67" s="565"/>
      <c r="J67" s="629">
        <f>H67/DAY(B2)</f>
        <v>649.12999999999886</v>
      </c>
      <c r="K67" s="468"/>
      <c r="L67" s="408"/>
      <c r="N67" s="413"/>
      <c r="O67" s="413"/>
    </row>
    <row r="68" spans="1:15" ht="27.75">
      <c r="A68" s="1367" t="s">
        <v>111</v>
      </c>
      <c r="B68" s="1368"/>
      <c r="C68" s="1369"/>
      <c r="D68" s="599" t="s">
        <v>198</v>
      </c>
      <c r="E68" s="560">
        <f>'4'!F68</f>
        <v>54780.69</v>
      </c>
      <c r="F68" s="786">
        <v>55066.67</v>
      </c>
      <c r="G68" s="549">
        <f t="shared" si="7"/>
        <v>285.97999999999593</v>
      </c>
      <c r="H68" s="536">
        <f>G68+'4'!H68</f>
        <v>1442.7699999999968</v>
      </c>
      <c r="I68" s="592"/>
      <c r="J68" s="629">
        <f>H68/DAY(B2)</f>
        <v>288.55399999999935</v>
      </c>
      <c r="K68" s="469"/>
      <c r="L68" s="408"/>
      <c r="N68" s="413"/>
      <c r="O68" s="413"/>
    </row>
    <row r="69" spans="1:15" ht="27.75">
      <c r="A69" s="1367" t="s">
        <v>112</v>
      </c>
      <c r="B69" s="1368"/>
      <c r="C69" s="1369"/>
      <c r="D69" s="599" t="s">
        <v>198</v>
      </c>
      <c r="E69" s="560">
        <f>'4'!F69</f>
        <v>47694</v>
      </c>
      <c r="F69" s="786">
        <v>47996.44</v>
      </c>
      <c r="G69" s="549">
        <f t="shared" si="7"/>
        <v>302.44000000000233</v>
      </c>
      <c r="H69" s="536">
        <f>G69+'4'!H69</f>
        <v>1477.010000000002</v>
      </c>
      <c r="I69" s="592"/>
      <c r="J69" s="629">
        <f>H69/DAY(B2)</f>
        <v>295.40200000000038</v>
      </c>
      <c r="K69" s="470"/>
      <c r="L69" s="408"/>
      <c r="N69" s="413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724"/>
      <c r="G70" s="594"/>
      <c r="H70" s="536"/>
      <c r="I70" s="594"/>
      <c r="J70" s="633"/>
      <c r="K70" s="470"/>
      <c r="L70" s="408"/>
      <c r="N70" s="413"/>
      <c r="O70" s="413"/>
    </row>
    <row r="71" spans="1:15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413"/>
      <c r="O71" s="413"/>
    </row>
    <row r="72" spans="1:15" ht="27.75">
      <c r="A72" s="1367" t="s">
        <v>202</v>
      </c>
      <c r="B72" s="1368"/>
      <c r="C72" s="1369"/>
      <c r="D72" s="599" t="s">
        <v>198</v>
      </c>
      <c r="E72" s="595">
        <f>'4'!F72</f>
        <v>846707</v>
      </c>
      <c r="F72" s="804">
        <v>846789</v>
      </c>
      <c r="G72" s="549">
        <f t="shared" ref="G72:G84" si="8">F72-E72</f>
        <v>82</v>
      </c>
      <c r="H72" s="536">
        <f>G72+'4'!H72</f>
        <v>389</v>
      </c>
      <c r="I72" s="556"/>
      <c r="J72" s="629">
        <f>H72/DAY(B2)</f>
        <v>77.8</v>
      </c>
      <c r="K72" s="470"/>
      <c r="L72" s="408"/>
      <c r="N72" s="413"/>
      <c r="O72" s="413"/>
    </row>
    <row r="73" spans="1:15" ht="27.75">
      <c r="A73" s="1367" t="s">
        <v>203</v>
      </c>
      <c r="B73" s="1368"/>
      <c r="C73" s="1369"/>
      <c r="D73" s="599" t="s">
        <v>198</v>
      </c>
      <c r="E73" s="596">
        <f>'4'!F73</f>
        <v>885676</v>
      </c>
      <c r="F73" s="803">
        <v>885677</v>
      </c>
      <c r="G73" s="733">
        <f t="shared" si="8"/>
        <v>1</v>
      </c>
      <c r="H73" s="536">
        <f>G73+'4'!H73</f>
        <v>4</v>
      </c>
      <c r="I73" s="556"/>
      <c r="J73" s="629">
        <f>H73/DAY(B2)</f>
        <v>0.8</v>
      </c>
      <c r="K73" s="469"/>
      <c r="L73" s="408"/>
      <c r="N73" s="413"/>
      <c r="O73" s="413"/>
    </row>
    <row r="74" spans="1:15" ht="27.75">
      <c r="A74" s="1367" t="s">
        <v>204</v>
      </c>
      <c r="B74" s="1368"/>
      <c r="C74" s="1369"/>
      <c r="D74" s="599" t="s">
        <v>198</v>
      </c>
      <c r="E74" s="597">
        <f>'4'!F74</f>
        <v>881478</v>
      </c>
      <c r="F74" s="804">
        <v>881503</v>
      </c>
      <c r="G74" s="549">
        <f t="shared" si="8"/>
        <v>25</v>
      </c>
      <c r="H74" s="536">
        <f>G74+'4'!H74</f>
        <v>188</v>
      </c>
      <c r="I74" s="556"/>
      <c r="J74" s="629">
        <f>H74/DAY(B2)</f>
        <v>37.6</v>
      </c>
      <c r="K74" s="470"/>
      <c r="L74" s="408"/>
      <c r="N74" s="413"/>
      <c r="O74" s="413"/>
    </row>
    <row r="75" spans="1:15" ht="27.75">
      <c r="A75" s="1364" t="s">
        <v>205</v>
      </c>
      <c r="B75" s="1365"/>
      <c r="C75" s="1366"/>
      <c r="D75" s="599" t="s">
        <v>198</v>
      </c>
      <c r="E75" s="597">
        <f>'4'!F75</f>
        <v>732369</v>
      </c>
      <c r="F75" s="791">
        <v>732536</v>
      </c>
      <c r="G75" s="549">
        <f t="shared" si="8"/>
        <v>167</v>
      </c>
      <c r="H75" s="536">
        <f>G75+'4'!H75</f>
        <v>895</v>
      </c>
      <c r="I75" s="556"/>
      <c r="J75" s="629">
        <f>H75/DAY(B2)</f>
        <v>179</v>
      </c>
      <c r="K75" s="469"/>
      <c r="L75" s="408"/>
      <c r="N75" s="413"/>
      <c r="O75" s="413"/>
    </row>
    <row r="76" spans="1:15" ht="27.75">
      <c r="A76" s="1364" t="s">
        <v>206</v>
      </c>
      <c r="B76" s="1365"/>
      <c r="C76" s="1366"/>
      <c r="D76" s="599" t="s">
        <v>198</v>
      </c>
      <c r="E76" s="596">
        <f>'4'!F76</f>
        <v>684599</v>
      </c>
      <c r="F76" s="803">
        <v>684661</v>
      </c>
      <c r="G76" s="549">
        <f t="shared" si="8"/>
        <v>62</v>
      </c>
      <c r="H76" s="536">
        <f>G76+'4'!H76</f>
        <v>395</v>
      </c>
      <c r="I76" s="581"/>
      <c r="J76" s="629">
        <f>H76/DAY(B2)</f>
        <v>79</v>
      </c>
      <c r="K76" s="469"/>
      <c r="L76" s="408"/>
      <c r="N76" s="413"/>
      <c r="O76" s="413"/>
    </row>
    <row r="77" spans="1:15" ht="27.75">
      <c r="A77" s="1367" t="s">
        <v>207</v>
      </c>
      <c r="B77" s="1368"/>
      <c r="C77" s="1369"/>
      <c r="D77" s="599" t="s">
        <v>198</v>
      </c>
      <c r="E77" s="596">
        <f>'4'!F77</f>
        <v>695626</v>
      </c>
      <c r="F77" s="803">
        <v>695683</v>
      </c>
      <c r="G77" s="733">
        <f t="shared" si="8"/>
        <v>57</v>
      </c>
      <c r="H77" s="536">
        <f>G77+'4'!H77</f>
        <v>289</v>
      </c>
      <c r="I77" s="581"/>
      <c r="J77" s="629">
        <f>H77/DAY(B2)</f>
        <v>57.8</v>
      </c>
      <c r="K77" s="469"/>
      <c r="L77" s="408"/>
      <c r="N77" s="413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'4'!F78</f>
        <v>632234</v>
      </c>
      <c r="F78" s="791">
        <v>632566</v>
      </c>
      <c r="G78" s="549">
        <f t="shared" si="8"/>
        <v>332</v>
      </c>
      <c r="H78" s="536">
        <f>G78+'4'!H78</f>
        <v>1793</v>
      </c>
      <c r="I78" s="581"/>
      <c r="J78" s="629">
        <f>H78/DAY(B2)</f>
        <v>358.6</v>
      </c>
      <c r="K78" s="469"/>
      <c r="L78" s="408"/>
      <c r="N78" s="413"/>
      <c r="O78" s="413"/>
    </row>
    <row r="79" spans="1:15" ht="27.75">
      <c r="A79" s="1364" t="s">
        <v>97</v>
      </c>
      <c r="B79" s="1365"/>
      <c r="C79" s="1366"/>
      <c r="D79" s="600" t="s">
        <v>198</v>
      </c>
      <c r="E79" s="597">
        <f>'4'!F79</f>
        <v>804591</v>
      </c>
      <c r="F79" s="791">
        <v>804785</v>
      </c>
      <c r="G79" s="549">
        <f t="shared" si="8"/>
        <v>194</v>
      </c>
      <c r="H79" s="536">
        <f>G79+'4'!H79</f>
        <v>942</v>
      </c>
      <c r="I79" s="581"/>
      <c r="J79" s="629">
        <f>H79/DAY(B2)</f>
        <v>188.4</v>
      </c>
      <c r="K79" s="469"/>
      <c r="L79" s="408"/>
      <c r="N79" s="413"/>
      <c r="O79" s="413"/>
    </row>
    <row r="80" spans="1:15" ht="27.75">
      <c r="A80" s="1364" t="s">
        <v>209</v>
      </c>
      <c r="B80" s="1365"/>
      <c r="C80" s="1366"/>
      <c r="D80" s="600" t="s">
        <v>198</v>
      </c>
      <c r="E80" s="596">
        <f>'4'!F80</f>
        <v>476803</v>
      </c>
      <c r="F80" s="803">
        <v>477079</v>
      </c>
      <c r="G80" s="549">
        <f t="shared" si="8"/>
        <v>276</v>
      </c>
      <c r="H80" s="536">
        <f>G80+'4'!H80</f>
        <v>1548</v>
      </c>
      <c r="I80" s="581"/>
      <c r="J80" s="629">
        <f>H80/DAY(B2)</f>
        <v>309.60000000000002</v>
      </c>
      <c r="K80" s="469"/>
      <c r="L80" s="408"/>
      <c r="N80" s="413"/>
      <c r="O80" s="413"/>
    </row>
    <row r="81" spans="1:15" ht="27.75">
      <c r="A81" s="1364" t="s">
        <v>210</v>
      </c>
      <c r="B81" s="1365"/>
      <c r="C81" s="1366"/>
      <c r="D81" s="600" t="s">
        <v>198</v>
      </c>
      <c r="E81" s="596">
        <f>'4'!F81</f>
        <v>619777</v>
      </c>
      <c r="F81" s="803">
        <v>619883.64</v>
      </c>
      <c r="G81" s="549">
        <f t="shared" si="8"/>
        <v>106.64000000001397</v>
      </c>
      <c r="H81" s="536">
        <f>G81+'4'!H81</f>
        <v>629.64000000001397</v>
      </c>
      <c r="I81" s="581"/>
      <c r="J81" s="629">
        <f>H81/DAY(B2)</f>
        <v>125.9280000000028</v>
      </c>
      <c r="K81" s="469"/>
      <c r="L81" s="408"/>
      <c r="N81" s="413"/>
      <c r="O81" s="413"/>
    </row>
    <row r="82" spans="1:15" ht="27.75">
      <c r="A82" s="1364" t="s">
        <v>100</v>
      </c>
      <c r="B82" s="1365"/>
      <c r="C82" s="1366"/>
      <c r="D82" s="561" t="s">
        <v>143</v>
      </c>
      <c r="E82" s="598">
        <f>'4'!F82</f>
        <v>104525</v>
      </c>
      <c r="F82" s="800">
        <v>104547</v>
      </c>
      <c r="G82" s="549">
        <f t="shared" si="8"/>
        <v>22</v>
      </c>
      <c r="H82" s="536">
        <f>G82+'4'!H82</f>
        <v>109</v>
      </c>
      <c r="I82" s="562"/>
      <c r="J82" s="629">
        <f>H82/DAY(B2)</f>
        <v>21.8</v>
      </c>
      <c r="K82" s="469"/>
      <c r="L82" s="408"/>
      <c r="N82" s="413"/>
      <c r="O82" s="413"/>
    </row>
    <row r="83" spans="1:15" ht="27.75">
      <c r="A83" s="1364" t="s">
        <v>211</v>
      </c>
      <c r="B83" s="1365"/>
      <c r="C83" s="1366"/>
      <c r="D83" s="697" t="s">
        <v>143</v>
      </c>
      <c r="E83" s="587">
        <f>'4'!F83</f>
        <v>974830</v>
      </c>
      <c r="F83" s="789">
        <v>975173</v>
      </c>
      <c r="G83" s="549">
        <f t="shared" si="8"/>
        <v>343</v>
      </c>
      <c r="H83" s="536">
        <f>G83+'4'!H83</f>
        <v>1702</v>
      </c>
      <c r="I83" s="557"/>
      <c r="J83" s="629">
        <f>H83/DAY(B2)</f>
        <v>340.4</v>
      </c>
      <c r="K83" s="468"/>
      <c r="L83" s="408"/>
      <c r="N83" s="413"/>
      <c r="O83" s="413"/>
    </row>
    <row r="84" spans="1:15">
      <c r="A84" s="1256" t="s">
        <v>212</v>
      </c>
      <c r="B84" s="648"/>
      <c r="C84" s="648"/>
      <c r="D84" s="554" t="s">
        <v>143</v>
      </c>
      <c r="E84" s="704">
        <f>'4'!F84</f>
        <v>399142</v>
      </c>
      <c r="F84" s="802">
        <v>399710</v>
      </c>
      <c r="G84" s="549">
        <f t="shared" si="8"/>
        <v>568</v>
      </c>
      <c r="H84" s="536">
        <f>G84+'4'!H84</f>
        <v>2514</v>
      </c>
      <c r="I84" s="557"/>
      <c r="J84" s="629">
        <f>H84/DAY(B2)</f>
        <v>502.8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704">
        <f>'4'!F85</f>
        <v>0</v>
      </c>
      <c r="F85" s="715"/>
      <c r="G85" s="536">
        <f xml:space="preserve"> SUM(G71:G84)</f>
        <v>2235.640000000014</v>
      </c>
      <c r="H85" s="536">
        <f>G85+'4'!H85</f>
        <v>9551.640000000014</v>
      </c>
      <c r="I85" s="557"/>
      <c r="J85" s="629">
        <f>H85/DAY(B2)</f>
        <v>1910.3280000000027</v>
      </c>
      <c r="K85" s="411"/>
      <c r="L85" s="409"/>
      <c r="N85" s="413"/>
      <c r="O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'4'!F86</f>
        <v>444575</v>
      </c>
      <c r="F86" s="728">
        <v>444598</v>
      </c>
      <c r="G86" s="805">
        <f t="shared" ref="G86:G90" si="9">F86-E86</f>
        <v>23</v>
      </c>
      <c r="H86" s="536">
        <f>G86+'4'!H86</f>
        <v>266</v>
      </c>
      <c r="I86" s="733"/>
      <c r="J86" s="807">
        <f>H86/DAY(B2)</f>
        <v>53.2</v>
      </c>
      <c r="K86" s="833"/>
      <c r="L86" s="834"/>
      <c r="N86" s="881">
        <f>G86-173</f>
        <v>-150</v>
      </c>
      <c r="O86" s="4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'4'!F87</f>
        <v>77800.800000000003</v>
      </c>
      <c r="F87" s="728">
        <v>77823</v>
      </c>
      <c r="G87" s="805">
        <f t="shared" si="9"/>
        <v>22.19999999999709</v>
      </c>
      <c r="H87" s="536">
        <f>G87+'4'!H87</f>
        <v>60</v>
      </c>
      <c r="I87" s="733"/>
      <c r="J87" s="807">
        <f>H87/DAY(B2)</f>
        <v>12</v>
      </c>
      <c r="K87" s="833"/>
      <c r="L87" s="834"/>
      <c r="N87" s="835">
        <v>108</v>
      </c>
      <c r="O87" s="4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'4'!F88</f>
        <v>144734.87</v>
      </c>
      <c r="F88" s="728">
        <v>144784</v>
      </c>
      <c r="G88" s="805">
        <f t="shared" si="9"/>
        <v>49.130000000004657</v>
      </c>
      <c r="H88" s="536">
        <f>G88+'4'!H88</f>
        <v>200</v>
      </c>
      <c r="I88" s="733"/>
      <c r="J88" s="807">
        <f>H88/DAY(B2)</f>
        <v>40</v>
      </c>
      <c r="K88" s="833"/>
      <c r="L88" s="834"/>
      <c r="N88" s="835">
        <v>28</v>
      </c>
      <c r="O88" s="413"/>
    </row>
    <row r="89" spans="1:15" s="835" customFormat="1">
      <c r="A89" s="830" t="s">
        <v>214</v>
      </c>
      <c r="B89" s="831"/>
      <c r="C89" s="831"/>
      <c r="D89" s="832" t="s">
        <v>194</v>
      </c>
      <c r="E89" s="704">
        <f>'4'!F89</f>
        <v>57920</v>
      </c>
      <c r="F89" s="728">
        <v>57993</v>
      </c>
      <c r="G89" s="805">
        <f t="shared" si="9"/>
        <v>73</v>
      </c>
      <c r="H89" s="536">
        <f>G89+'4'!H89</f>
        <v>303.90000000000146</v>
      </c>
      <c r="I89" s="733"/>
      <c r="J89" s="807">
        <f>H89/DAY(B2)</f>
        <v>60.780000000000292</v>
      </c>
      <c r="K89" s="833"/>
      <c r="L89" s="834"/>
      <c r="N89" s="881">
        <v>342</v>
      </c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'4'!F90</f>
        <v>2989</v>
      </c>
      <c r="F90" s="728">
        <v>2992</v>
      </c>
      <c r="G90" s="805">
        <f t="shared" si="9"/>
        <v>3</v>
      </c>
      <c r="H90" s="536">
        <f>G90+'4'!H90</f>
        <v>9.4000000000000909</v>
      </c>
      <c r="I90" s="733"/>
      <c r="J90" s="807">
        <f>H90/DAY(B2)</f>
        <v>1.8800000000000181</v>
      </c>
      <c r="K90" s="833"/>
      <c r="L90" s="834"/>
      <c r="N90" s="881">
        <v>349</v>
      </c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59"/>
      <c r="G91" s="564"/>
      <c r="H91" s="548"/>
      <c r="I91" s="548"/>
      <c r="J91" s="628"/>
      <c r="K91" s="411"/>
      <c r="L91" s="409"/>
      <c r="N91" s="413"/>
      <c r="O91" s="413"/>
    </row>
    <row r="92" spans="1:15" ht="27.75">
      <c r="A92" s="1388" t="s">
        <v>217</v>
      </c>
      <c r="B92" s="1389"/>
      <c r="C92" s="1390"/>
      <c r="D92" s="599" t="s">
        <v>155</v>
      </c>
      <c r="E92" s="560">
        <f>'4'!F92</f>
        <v>234248</v>
      </c>
      <c r="F92" s="786">
        <v>234281</v>
      </c>
      <c r="G92" s="549">
        <f t="shared" ref="G92:G93" si="10">F92-E92</f>
        <v>33</v>
      </c>
      <c r="H92" s="536">
        <f>G92+'4'!H92</f>
        <v>379</v>
      </c>
      <c r="I92" s="556"/>
      <c r="J92" s="629">
        <f>H92/DAY(B2)</f>
        <v>75.8</v>
      </c>
      <c r="K92" s="468"/>
      <c r="L92" s="408"/>
      <c r="N92" s="413"/>
      <c r="O92" s="413"/>
    </row>
    <row r="93" spans="1:15" ht="27.75">
      <c r="A93" s="1388" t="s">
        <v>218</v>
      </c>
      <c r="B93" s="1389"/>
      <c r="C93" s="1390"/>
      <c r="D93" s="599" t="s">
        <v>155</v>
      </c>
      <c r="E93" s="560">
        <f>'4'!F93</f>
        <v>167456</v>
      </c>
      <c r="F93" s="786">
        <v>167566</v>
      </c>
      <c r="G93" s="549">
        <f t="shared" si="10"/>
        <v>110</v>
      </c>
      <c r="H93" s="536">
        <f>G93+'4'!H93</f>
        <v>650</v>
      </c>
      <c r="I93" s="556"/>
      <c r="J93" s="629">
        <f>H93/DAY(B2)</f>
        <v>130</v>
      </c>
      <c r="K93" s="411"/>
      <c r="L93" s="408"/>
      <c r="N93" s="413"/>
      <c r="O93" s="413"/>
    </row>
    <row r="94" spans="1:15">
      <c r="A94" s="1419" t="s">
        <v>219</v>
      </c>
      <c r="B94" s="1420"/>
      <c r="C94" s="1421"/>
      <c r="D94" s="599"/>
      <c r="E94" s="560"/>
      <c r="F94" s="712"/>
      <c r="G94" s="549">
        <f>G92+G93</f>
        <v>143</v>
      </c>
      <c r="H94" s="536">
        <f>G94+'4'!H94</f>
        <v>755</v>
      </c>
      <c r="I94" s="556"/>
      <c r="J94" s="629">
        <f>H94/DAY(B2)</f>
        <v>151</v>
      </c>
      <c r="K94" s="411"/>
      <c r="L94" s="408"/>
      <c r="N94" s="413"/>
      <c r="O94" s="413"/>
    </row>
    <row r="95" spans="1:15" ht="27.75">
      <c r="A95" s="1388" t="s">
        <v>220</v>
      </c>
      <c r="B95" s="1389"/>
      <c r="C95" s="1390"/>
      <c r="D95" s="599" t="s">
        <v>155</v>
      </c>
      <c r="E95" s="560">
        <f>'4'!F95</f>
        <v>403924</v>
      </c>
      <c r="F95" s="786">
        <v>403968</v>
      </c>
      <c r="G95" s="549">
        <f t="shared" ref="G95:G100" si="11">F95-E95</f>
        <v>44</v>
      </c>
      <c r="H95" s="536">
        <f>G95+'4'!H95</f>
        <v>303</v>
      </c>
      <c r="I95" s="556"/>
      <c r="J95" s="629">
        <f>H95/DAY(B2)</f>
        <v>60.6</v>
      </c>
      <c r="K95" s="411"/>
      <c r="L95" s="408"/>
      <c r="N95" s="413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'4'!F96</f>
        <v>100004</v>
      </c>
      <c r="F96" s="786">
        <v>100022</v>
      </c>
      <c r="G96" s="549">
        <f t="shared" si="11"/>
        <v>18</v>
      </c>
      <c r="H96" s="536">
        <f>G96+'4'!H96</f>
        <v>101</v>
      </c>
      <c r="I96" s="556"/>
      <c r="J96" s="629">
        <f>H96/DAY(B2)</f>
        <v>20.2</v>
      </c>
      <c r="K96" s="466"/>
      <c r="L96" s="408"/>
      <c r="N96" s="413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'4'!F97</f>
        <v>95119</v>
      </c>
      <c r="F97" s="786">
        <v>95134</v>
      </c>
      <c r="G97" s="549">
        <f t="shared" si="11"/>
        <v>15</v>
      </c>
      <c r="H97" s="536">
        <f>G97+'4'!H97</f>
        <v>107</v>
      </c>
      <c r="I97" s="556"/>
      <c r="J97" s="629">
        <f>H97/DAY(B2)</f>
        <v>21.4</v>
      </c>
      <c r="K97" s="471"/>
      <c r="L97" s="408"/>
      <c r="N97" s="413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'4'!F98</f>
        <v>144045</v>
      </c>
      <c r="F98" s="786">
        <v>144109</v>
      </c>
      <c r="G98" s="549">
        <f t="shared" si="11"/>
        <v>64</v>
      </c>
      <c r="H98" s="536">
        <f>G98+'4'!H98</f>
        <v>302</v>
      </c>
      <c r="I98" s="556"/>
      <c r="J98" s="629">
        <f>H98/DAY(B2)</f>
        <v>60.4</v>
      </c>
      <c r="K98" s="411"/>
      <c r="L98" s="408"/>
      <c r="N98" s="787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'4'!F99</f>
        <v>5559</v>
      </c>
      <c r="F99" s="786">
        <v>5568</v>
      </c>
      <c r="G99" s="549">
        <f t="shared" si="11"/>
        <v>9</v>
      </c>
      <c r="H99" s="536">
        <f>G99+'4'!H99</f>
        <v>66</v>
      </c>
      <c r="I99" s="556"/>
      <c r="J99" s="629">
        <f>H99/DAY(B2)</f>
        <v>13.2</v>
      </c>
      <c r="K99" s="411"/>
      <c r="L99" s="408"/>
      <c r="N99" s="413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'4'!F100</f>
        <v>3999</v>
      </c>
      <c r="F100" s="786">
        <v>4003</v>
      </c>
      <c r="G100" s="549">
        <f t="shared" si="11"/>
        <v>4</v>
      </c>
      <c r="H100" s="536">
        <f>G100+'4'!H100</f>
        <v>39</v>
      </c>
      <c r="I100" s="556"/>
      <c r="J100" s="629">
        <f>H100/DAY(B2)</f>
        <v>7.8</v>
      </c>
      <c r="K100" s="411"/>
      <c r="L100" s="408"/>
      <c r="N100" s="413"/>
      <c r="O100" s="413"/>
    </row>
    <row r="101" spans="1:15">
      <c r="A101" s="1419" t="s">
        <v>227</v>
      </c>
      <c r="B101" s="1420"/>
      <c r="C101" s="1421"/>
      <c r="D101" s="600"/>
      <c r="E101" s="600"/>
      <c r="F101" s="717"/>
      <c r="G101" s="601">
        <f>SUM(G95:G100)</f>
        <v>154</v>
      </c>
      <c r="H101" s="536">
        <f>G101+'4'!H101</f>
        <v>918</v>
      </c>
      <c r="I101" s="602"/>
      <c r="J101" s="629">
        <f>H101/DAY(B2)</f>
        <v>183.6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729"/>
      <c r="G102" s="605"/>
      <c r="H102" s="606"/>
      <c r="I102" s="607"/>
      <c r="J102" s="634"/>
      <c r="N102" s="413"/>
      <c r="O102" s="413"/>
    </row>
    <row r="103" spans="1:15" s="481" customFormat="1" ht="27.75">
      <c r="A103" s="1422" t="s">
        <v>229</v>
      </c>
      <c r="B103" s="1423"/>
      <c r="C103" s="650"/>
      <c r="D103" s="699"/>
      <c r="E103" s="608"/>
      <c r="F103" s="608"/>
      <c r="G103" s="608"/>
      <c r="H103" s="609"/>
      <c r="I103" s="608"/>
      <c r="J103" s="635"/>
      <c r="N103" s="413"/>
      <c r="O103" s="413"/>
    </row>
    <row r="104" spans="1:15" s="481" customFormat="1" ht="27.75">
      <c r="A104" s="1380" t="s">
        <v>230</v>
      </c>
      <c r="B104" s="1381"/>
      <c r="C104" s="1251"/>
      <c r="D104" s="699" t="s">
        <v>155</v>
      </c>
      <c r="E104" s="608">
        <f>'4'!E104</f>
        <v>7010</v>
      </c>
      <c r="F104" s="790">
        <v>7010</v>
      </c>
      <c r="G104" s="608">
        <f>F104-E104</f>
        <v>0</v>
      </c>
      <c r="H104" s="536">
        <f>G104+'4'!H104</f>
        <v>0</v>
      </c>
      <c r="I104" s="608"/>
      <c r="J104" s="635">
        <f>H104/DAY(B2)</f>
        <v>0</v>
      </c>
      <c r="N104" s="413"/>
      <c r="O104" s="413"/>
    </row>
    <row r="105" spans="1:15" s="481" customFormat="1" ht="27.75">
      <c r="A105" s="1380" t="s">
        <v>77</v>
      </c>
      <c r="B105" s="1381"/>
      <c r="C105" s="1251"/>
      <c r="D105" s="699" t="s">
        <v>155</v>
      </c>
      <c r="E105" s="608">
        <f>'4'!E105</f>
        <v>34948</v>
      </c>
      <c r="F105" s="801">
        <v>34959</v>
      </c>
      <c r="G105" s="608">
        <f t="shared" ref="G105:G106" si="12">F105-E105</f>
        <v>11</v>
      </c>
      <c r="H105" s="536">
        <f>G105+'4'!H105</f>
        <v>45</v>
      </c>
      <c r="I105" s="608"/>
      <c r="J105" s="635">
        <f>H105/DAY(B2)</f>
        <v>9</v>
      </c>
      <c r="N105" s="413"/>
      <c r="O105" s="413"/>
    </row>
    <row r="106" spans="1:15" s="481" customFormat="1" ht="27.75">
      <c r="A106" s="1380" t="s">
        <v>78</v>
      </c>
      <c r="B106" s="1424"/>
      <c r="C106" s="1381"/>
      <c r="D106" s="699" t="s">
        <v>155</v>
      </c>
      <c r="E106" s="608">
        <f>'4'!E106</f>
        <v>18904</v>
      </c>
      <c r="F106" s="790">
        <v>18914</v>
      </c>
      <c r="G106" s="608">
        <f t="shared" si="12"/>
        <v>10</v>
      </c>
      <c r="H106" s="536">
        <f>G106+'4'!H106</f>
        <v>30</v>
      </c>
      <c r="I106" s="608"/>
      <c r="J106" s="635">
        <f>H106/DAY(B2)</f>
        <v>6</v>
      </c>
      <c r="N106" s="413"/>
      <c r="O106" s="413"/>
    </row>
    <row r="107" spans="1:15" s="481" customFormat="1" ht="27.75">
      <c r="A107" s="1382" t="s">
        <v>213</v>
      </c>
      <c r="B107" s="1383"/>
      <c r="C107" s="1251"/>
      <c r="D107" s="699"/>
      <c r="E107" s="608">
        <f>'4'!E107</f>
        <v>0</v>
      </c>
      <c r="F107" s="608"/>
      <c r="G107" s="608">
        <f>SUM(G104:G106)</f>
        <v>21</v>
      </c>
      <c r="H107" s="536">
        <f>G107+'4'!H107</f>
        <v>75</v>
      </c>
      <c r="I107" s="608"/>
      <c r="J107" s="635">
        <f>H107/DAY(B2)</f>
        <v>15</v>
      </c>
      <c r="N107" s="413"/>
      <c r="O107" s="413"/>
    </row>
    <row r="108" spans="1:15" s="481" customFormat="1" ht="27.75">
      <c r="A108" s="1386" t="s">
        <v>79</v>
      </c>
      <c r="B108" s="1387"/>
      <c r="C108" s="1251"/>
      <c r="D108" s="699" t="s">
        <v>155</v>
      </c>
      <c r="E108" s="608">
        <f>'4'!E108</f>
        <v>0</v>
      </c>
      <c r="F108" s="608"/>
      <c r="G108" s="608"/>
      <c r="H108" s="536">
        <f>G108+'4'!H108</f>
        <v>0</v>
      </c>
      <c r="I108" s="608"/>
      <c r="J108" s="635"/>
      <c r="N108" s="413"/>
      <c r="O108" s="413"/>
    </row>
    <row r="109" spans="1:15" s="481" customFormat="1" ht="27.75">
      <c r="A109" s="1380" t="s">
        <v>231</v>
      </c>
      <c r="B109" s="1381"/>
      <c r="C109" s="1251"/>
      <c r="D109" s="699" t="s">
        <v>155</v>
      </c>
      <c r="E109" s="608">
        <f>'4'!E109</f>
        <v>53205</v>
      </c>
      <c r="F109" s="790">
        <v>53325</v>
      </c>
      <c r="G109" s="608">
        <f>F109-E109</f>
        <v>120</v>
      </c>
      <c r="H109" s="536">
        <f>G109+'4'!H109</f>
        <v>379</v>
      </c>
      <c r="I109" s="608"/>
      <c r="J109" s="635">
        <f>H109/DAY(B2)</f>
        <v>75.8</v>
      </c>
      <c r="N109" s="413"/>
    </row>
    <row r="110" spans="1:15" s="481" customFormat="1" ht="27.75">
      <c r="A110" s="1380" t="s">
        <v>232</v>
      </c>
      <c r="B110" s="1381"/>
      <c r="C110" s="1251"/>
      <c r="D110" s="699" t="s">
        <v>155</v>
      </c>
      <c r="E110" s="608">
        <f>'4'!E110</f>
        <v>27049</v>
      </c>
      <c r="F110" s="790">
        <v>27155</v>
      </c>
      <c r="G110" s="608">
        <f t="shared" ref="G110:G111" si="13">F110-E110</f>
        <v>106</v>
      </c>
      <c r="H110" s="536">
        <f>G110+'4'!H110</f>
        <v>295</v>
      </c>
      <c r="I110" s="608"/>
      <c r="J110" s="635">
        <f>H110/DAY(B2)</f>
        <v>59</v>
      </c>
      <c r="N110" s="413"/>
    </row>
    <row r="111" spans="1:15" s="481" customFormat="1" ht="27.75">
      <c r="A111" s="1380" t="s">
        <v>233</v>
      </c>
      <c r="B111" s="1381"/>
      <c r="C111" s="1251"/>
      <c r="D111" s="699" t="s">
        <v>155</v>
      </c>
      <c r="E111" s="608">
        <f>'4'!E111</f>
        <v>3582</v>
      </c>
      <c r="F111" s="790">
        <v>3597</v>
      </c>
      <c r="G111" s="608">
        <f t="shared" si="13"/>
        <v>15</v>
      </c>
      <c r="H111" s="536">
        <f>G111+'4'!H111</f>
        <v>30</v>
      </c>
      <c r="I111" s="608"/>
      <c r="J111" s="635">
        <f>H111/DAY(B2)</f>
        <v>6</v>
      </c>
      <c r="N111" s="413"/>
    </row>
    <row r="112" spans="1:15" s="481" customFormat="1" ht="27.75">
      <c r="A112" s="1382" t="s">
        <v>121</v>
      </c>
      <c r="B112" s="1383"/>
      <c r="C112" s="1251"/>
      <c r="D112" s="699"/>
      <c r="E112" s="608">
        <f>'4'!E112</f>
        <v>0</v>
      </c>
      <c r="F112" s="608"/>
      <c r="G112" s="608">
        <f>SUM(G109:G111)</f>
        <v>241</v>
      </c>
      <c r="H112" s="536">
        <f>G112+'4'!H112</f>
        <v>704</v>
      </c>
      <c r="I112" s="608"/>
      <c r="J112" s="635">
        <f>H112/DAY(B2)</f>
        <v>140.80000000000001</v>
      </c>
      <c r="N112" s="413"/>
    </row>
    <row r="113" spans="1:14" s="481" customFormat="1" ht="27.75">
      <c r="A113" s="1386" t="s">
        <v>234</v>
      </c>
      <c r="B113" s="1387"/>
      <c r="C113" s="1251"/>
      <c r="D113" s="699"/>
      <c r="E113" s="608">
        <f>'4'!E113</f>
        <v>0</v>
      </c>
      <c r="F113" s="608"/>
      <c r="G113" s="608"/>
      <c r="H113" s="536">
        <f>G113+'4'!H113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0" t="s">
        <v>235</v>
      </c>
      <c r="B114" s="1381"/>
      <c r="C114" s="651"/>
      <c r="D114" s="699" t="s">
        <v>155</v>
      </c>
      <c r="E114" s="608">
        <f>'4'!E114</f>
        <v>9295</v>
      </c>
      <c r="F114" s="788">
        <v>9319</v>
      </c>
      <c r="G114" s="610">
        <f>F114-E114</f>
        <v>24</v>
      </c>
      <c r="H114" s="536">
        <f>G114+'4'!H114</f>
        <v>91</v>
      </c>
      <c r="I114" s="608"/>
      <c r="J114" s="635">
        <f>H114/DAY(B2)</f>
        <v>18.2</v>
      </c>
      <c r="N114" s="413"/>
    </row>
    <row r="115" spans="1:14" s="481" customFormat="1" ht="27.75">
      <c r="A115" s="1380" t="s">
        <v>236</v>
      </c>
      <c r="B115" s="1381"/>
      <c r="C115" s="651"/>
      <c r="D115" s="699" t="s">
        <v>155</v>
      </c>
      <c r="E115" s="608">
        <f>'4'!E115</f>
        <v>7218</v>
      </c>
      <c r="F115" s="788">
        <v>7224</v>
      </c>
      <c r="G115" s="610">
        <f t="shared" ref="G115:G116" si="14">F115-E115</f>
        <v>6</v>
      </c>
      <c r="H115" s="536">
        <f>G115+'4'!H115</f>
        <v>37</v>
      </c>
      <c r="I115" s="608"/>
      <c r="J115" s="635">
        <f>H115/DAY(B2)</f>
        <v>7.4</v>
      </c>
      <c r="N115" s="413"/>
    </row>
    <row r="116" spans="1:14" s="481" customFormat="1" ht="27.75">
      <c r="A116" s="1380" t="s">
        <v>237</v>
      </c>
      <c r="B116" s="1381"/>
      <c r="C116" s="651"/>
      <c r="D116" s="699" t="s">
        <v>155</v>
      </c>
      <c r="E116" s="610"/>
      <c r="F116" s="610"/>
      <c r="G116" s="610">
        <f t="shared" si="14"/>
        <v>0</v>
      </c>
      <c r="H116" s="536">
        <f>G116+'4'!H116</f>
        <v>0</v>
      </c>
      <c r="I116" s="608"/>
      <c r="J116" s="635">
        <f>H116/DAY(B2)</f>
        <v>0</v>
      </c>
      <c r="N116" s="413"/>
    </row>
    <row r="117" spans="1:14" s="494" customFormat="1" ht="27.75">
      <c r="A117" s="1382" t="s">
        <v>213</v>
      </c>
      <c r="B117" s="1383"/>
      <c r="C117" s="651"/>
      <c r="D117" s="700"/>
      <c r="E117" s="610"/>
      <c r="F117" s="610"/>
      <c r="G117" s="610">
        <f>SUM(G114:G116)</f>
        <v>30</v>
      </c>
      <c r="H117" s="536">
        <f>G117+'4'!H117</f>
        <v>128</v>
      </c>
      <c r="I117" s="610"/>
      <c r="J117" s="635">
        <f>H117/DAY(B2)</f>
        <v>25.6</v>
      </c>
      <c r="N117" s="413"/>
    </row>
    <row r="118" spans="1:14" s="495" customFormat="1" ht="27.75">
      <c r="A118" s="1376" t="s">
        <v>238</v>
      </c>
      <c r="B118" s="1377"/>
      <c r="C118" s="1249"/>
      <c r="D118" s="701" t="s">
        <v>155</v>
      </c>
      <c r="E118" s="612"/>
      <c r="F118" s="612">
        <f>SUM(G19+G92)</f>
        <v>85</v>
      </c>
      <c r="G118" s="612">
        <f>SUM(G19+G92)</f>
        <v>85</v>
      </c>
      <c r="H118" s="536">
        <f>G118+'4'!H118</f>
        <v>633</v>
      </c>
      <c r="I118" s="611"/>
      <c r="J118" s="636">
        <f>H118/DAY(B2)</f>
        <v>126.6</v>
      </c>
      <c r="N118" s="413"/>
    </row>
    <row r="119" spans="1:14" s="495" customFormat="1" ht="27.75">
      <c r="A119" s="1376" t="s">
        <v>239</v>
      </c>
      <c r="B119" s="1377"/>
      <c r="C119" s="1249"/>
      <c r="D119" s="701" t="s">
        <v>155</v>
      </c>
      <c r="E119" s="612"/>
      <c r="F119" s="612">
        <f>SUM(G95,G96,G97,G99,G100)</f>
        <v>90</v>
      </c>
      <c r="G119" s="612">
        <f>SUM(G95,G96,G97,G99,G100)</f>
        <v>90</v>
      </c>
      <c r="H119" s="536">
        <f>G119+'4'!H119</f>
        <v>616</v>
      </c>
      <c r="I119" s="611"/>
      <c r="J119" s="636">
        <f>H119/DAY(B2)</f>
        <v>123.2</v>
      </c>
      <c r="N119" s="413"/>
    </row>
    <row r="120" spans="1:14" s="495" customFormat="1" ht="27.75">
      <c r="A120" s="1376" t="s">
        <v>240</v>
      </c>
      <c r="B120" s="1377"/>
      <c r="C120" s="1249"/>
      <c r="D120" s="701" t="s">
        <v>155</v>
      </c>
      <c r="E120" s="610"/>
      <c r="F120" s="610">
        <f>SUM(G112)</f>
        <v>241</v>
      </c>
      <c r="G120" s="610">
        <f>SUM(G112)</f>
        <v>241</v>
      </c>
      <c r="H120" s="536">
        <f>G120+'4'!H120</f>
        <v>704</v>
      </c>
      <c r="I120" s="611"/>
      <c r="J120" s="636">
        <f>H120/DAY(B2)</f>
        <v>140.80000000000001</v>
      </c>
      <c r="N120" s="413"/>
    </row>
    <row r="121" spans="1:14" s="481" customFormat="1" ht="27.75">
      <c r="A121" s="1378"/>
      <c r="B121" s="1379"/>
      <c r="C121" s="1250"/>
      <c r="D121" s="637"/>
      <c r="E121" s="637"/>
      <c r="F121" s="637" t="s">
        <v>226</v>
      </c>
      <c r="G121" s="637"/>
      <c r="H121" s="536">
        <f>G121+'4'!H121</f>
        <v>0</v>
      </c>
      <c r="I121" s="637"/>
      <c r="J121" s="639"/>
      <c r="N121" s="413"/>
    </row>
    <row r="122" spans="1:14">
      <c r="A122" s="1416" t="s">
        <v>241</v>
      </c>
      <c r="B122" s="1417"/>
      <c r="C122" s="1418"/>
      <c r="D122" s="548"/>
      <c r="E122" s="548"/>
      <c r="F122" s="559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'4'!F123</f>
        <v>796466.42</v>
      </c>
      <c r="F123" s="786">
        <v>796704.49</v>
      </c>
      <c r="G123" s="549">
        <f t="shared" ref="G123:G127" si="15">F123-E123</f>
        <v>238.06999999994878</v>
      </c>
      <c r="H123" s="536">
        <f>G123+'4'!H123</f>
        <v>1280.4399999999441</v>
      </c>
      <c r="I123" s="602"/>
      <c r="J123" s="629">
        <f>H123/DAY(B2)</f>
        <v>256.08799999998882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703">
        <f>'4'!F124</f>
        <v>73582</v>
      </c>
      <c r="F124" s="730">
        <v>73582</v>
      </c>
      <c r="G124" s="549">
        <f t="shared" si="15"/>
        <v>0</v>
      </c>
      <c r="H124" s="536">
        <f>G124+'4'!H124</f>
        <v>-0.19999999999708962</v>
      </c>
      <c r="I124" s="602"/>
      <c r="J124" s="629">
        <f>H124/DAY(B2)</f>
        <v>-3.9999999999417925E-2</v>
      </c>
      <c r="K124" s="411"/>
      <c r="L124" s="408"/>
      <c r="N124" s="413"/>
    </row>
    <row r="125" spans="1:14" ht="27.75">
      <c r="A125" s="1367" t="s">
        <v>244</v>
      </c>
      <c r="B125" s="1368"/>
      <c r="C125" s="1369"/>
      <c r="D125" s="599" t="s">
        <v>152</v>
      </c>
      <c r="E125" s="554">
        <f>'4'!F125</f>
        <v>135866</v>
      </c>
      <c r="F125" s="786">
        <v>135919</v>
      </c>
      <c r="G125" s="549">
        <f t="shared" si="15"/>
        <v>53</v>
      </c>
      <c r="H125" s="536">
        <f>G125+'4'!H125</f>
        <v>328.32999999998719</v>
      </c>
      <c r="I125" s="602"/>
      <c r="J125" s="629">
        <f>H125/DAY(B2)</f>
        <v>65.665999999997439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703">
        <f>'4'!F126</f>
        <v>57508.800000000003</v>
      </c>
      <c r="F126" s="730">
        <v>57532</v>
      </c>
      <c r="G126" s="549">
        <f t="shared" si="15"/>
        <v>23.19999999999709</v>
      </c>
      <c r="H126" s="536">
        <f>G126+'4'!H126</f>
        <v>151</v>
      </c>
      <c r="I126" s="602"/>
      <c r="J126" s="629">
        <f>H126/DAY(B2)</f>
        <v>30.2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703">
        <f>'4'!F127</f>
        <v>8714</v>
      </c>
      <c r="F127" s="730">
        <v>8716</v>
      </c>
      <c r="G127" s="549">
        <f t="shared" si="15"/>
        <v>2</v>
      </c>
      <c r="H127" s="536">
        <f>G127+'4'!H127</f>
        <v>10</v>
      </c>
      <c r="I127" s="556"/>
      <c r="J127" s="629">
        <f>H127/DAY(B2)</f>
        <v>2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712"/>
      <c r="G128" s="549">
        <f>G15-SUM(G123:G127)</f>
        <v>209.73000000005413</v>
      </c>
      <c r="H128" s="536">
        <f>G128+'4'!H128</f>
        <v>1846.3299999999726</v>
      </c>
      <c r="I128" s="556"/>
      <c r="J128" s="629">
        <f>H128/DAY(B2)</f>
        <v>369.26599999999451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70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'4'!F130</f>
        <v>0</v>
      </c>
      <c r="F130" s="712">
        <v>0</v>
      </c>
      <c r="G130" s="549">
        <f t="shared" ref="G130:G140" si="16">F130-E130</f>
        <v>0</v>
      </c>
      <c r="H130" s="536">
        <f>G130+'4'!H130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'4'!F131</f>
        <v>0</v>
      </c>
      <c r="F131" s="712">
        <v>0</v>
      </c>
      <c r="G131" s="549">
        <f t="shared" si="16"/>
        <v>0</v>
      </c>
      <c r="H131" s="536">
        <f>G131+'4'!H131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618">
        <f>'4'!F132</f>
        <v>38901</v>
      </c>
      <c r="F132" s="713">
        <v>38901</v>
      </c>
      <c r="G132" s="549">
        <f t="shared" si="16"/>
        <v>0</v>
      </c>
      <c r="H132" s="536">
        <f>G132+'4'!H132</f>
        <v>0</v>
      </c>
      <c r="I132" s="556"/>
      <c r="J132" s="629">
        <f>H132/DAY(B2)</f>
        <v>0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782">
        <f>'4'!F133</f>
        <v>299</v>
      </c>
      <c r="F133" s="730">
        <v>299</v>
      </c>
      <c r="G133" s="549">
        <f t="shared" si="16"/>
        <v>0</v>
      </c>
      <c r="H133" s="536">
        <f>G133+'4'!H133</f>
        <v>0</v>
      </c>
      <c r="I133" s="556">
        <f>G130+G131+G132+G133</f>
        <v>0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782">
        <f>'4'!F134</f>
        <v>39735</v>
      </c>
      <c r="F134" s="730">
        <v>39735</v>
      </c>
      <c r="G134" s="549">
        <f t="shared" si="16"/>
        <v>0</v>
      </c>
      <c r="H134" s="536">
        <f>G134+'4'!H134</f>
        <v>0</v>
      </c>
      <c r="I134" s="556"/>
      <c r="J134" s="629">
        <f>H134/DAY(B2)</f>
        <v>0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782">
        <f>'4'!F135</f>
        <v>32263.46</v>
      </c>
      <c r="F135" s="730">
        <v>32287.56</v>
      </c>
      <c r="G135" s="549">
        <f t="shared" si="16"/>
        <v>24.100000000002183</v>
      </c>
      <c r="H135" s="536">
        <f>G135+'4'!H135</f>
        <v>120.17000000000189</v>
      </c>
      <c r="I135" s="556"/>
      <c r="J135" s="629">
        <f>H135/DAY(B2)</f>
        <v>24.034000000000379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'4'!F136</f>
        <v>21827.39</v>
      </c>
      <c r="F136" s="713">
        <v>21827</v>
      </c>
      <c r="G136" s="549">
        <f t="shared" si="16"/>
        <v>-0.38999999999941792</v>
      </c>
      <c r="H136" s="536">
        <f>G136+'4'!H136</f>
        <v>25.299999999999272</v>
      </c>
      <c r="I136" s="556">
        <f>G136+G137+G138</f>
        <v>7.3300000000017462</v>
      </c>
      <c r="J136" s="629">
        <f>H136/DAY(B2)</f>
        <v>5.0599999999998548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'4'!F137</f>
        <v>24990.61</v>
      </c>
      <c r="F137" s="713">
        <v>24990.61</v>
      </c>
      <c r="G137" s="549">
        <f t="shared" si="16"/>
        <v>0</v>
      </c>
      <c r="H137" s="536">
        <f>G137+'4'!H137</f>
        <v>0</v>
      </c>
      <c r="I137" s="556"/>
      <c r="J137" s="629">
        <f>H137/DAY(B2)</f>
        <v>0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618">
        <f>'4'!F138</f>
        <v>70011.73</v>
      </c>
      <c r="F138" s="713">
        <v>70019.45</v>
      </c>
      <c r="G138" s="549">
        <f t="shared" si="16"/>
        <v>7.7200000000011642</v>
      </c>
      <c r="H138" s="536">
        <f>G138+'4'!H138</f>
        <v>13.080000000001746</v>
      </c>
      <c r="I138" s="556"/>
      <c r="J138" s="629">
        <f>H138/DAY(B2)</f>
        <v>2.6160000000003492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782">
        <f>'4'!F139</f>
        <v>1063</v>
      </c>
      <c r="F139" s="730">
        <v>1063</v>
      </c>
      <c r="G139" s="549">
        <f t="shared" si="16"/>
        <v>0</v>
      </c>
      <c r="H139" s="536">
        <f>G139+'4'!H139</f>
        <v>0</v>
      </c>
      <c r="I139" s="619">
        <f>G139+G140</f>
        <v>7.8599999999996726</v>
      </c>
      <c r="J139" s="629">
        <f>H139/DAY(B2)</f>
        <v>0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'4'!F140</f>
        <v>4266.88</v>
      </c>
      <c r="F140" s="712">
        <v>4274.74</v>
      </c>
      <c r="G140" s="549">
        <f t="shared" si="16"/>
        <v>7.8599999999996726</v>
      </c>
      <c r="H140" s="536">
        <f>G140+'4'!H140</f>
        <v>42.329999999999927</v>
      </c>
      <c r="I140" s="619"/>
      <c r="J140" s="629">
        <f>H140/DAY(B2)</f>
        <v>8.4659999999999851</v>
      </c>
      <c r="N140" s="413"/>
    </row>
    <row r="141" spans="1:14">
      <c r="A141" s="1397" t="s">
        <v>261</v>
      </c>
      <c r="B141" s="1398"/>
      <c r="C141" s="1258"/>
      <c r="D141" s="548"/>
      <c r="E141" s="548"/>
      <c r="F141" s="559"/>
      <c r="G141" s="559"/>
      <c r="H141" s="559"/>
      <c r="I141" s="559"/>
      <c r="J141" s="640"/>
      <c r="K141" s="411"/>
      <c r="L141" s="408"/>
      <c r="N141" s="413"/>
    </row>
    <row r="142" spans="1:14" ht="27.75">
      <c r="A142" s="1388" t="s">
        <v>262</v>
      </c>
      <c r="B142" s="1389"/>
      <c r="C142" s="1390"/>
      <c r="D142" s="599" t="s">
        <v>143</v>
      </c>
      <c r="E142" s="599"/>
      <c r="F142" s="715"/>
      <c r="G142" s="536">
        <f>G35+G43+G49+G57</f>
        <v>4833.5299999999988</v>
      </c>
      <c r="H142" s="536">
        <f>G142+'4'!H142</f>
        <v>24395.099999999948</v>
      </c>
      <c r="I142" s="556"/>
      <c r="J142" s="629">
        <f>H142/DAY(B2)</f>
        <v>4879.0199999999895</v>
      </c>
      <c r="K142" s="411"/>
      <c r="L142" s="408"/>
      <c r="N142" s="413"/>
    </row>
    <row r="143" spans="1:14" ht="27.75">
      <c r="A143" s="1388" t="s">
        <v>263</v>
      </c>
      <c r="B143" s="1389"/>
      <c r="C143" s="1390"/>
      <c r="D143" s="599" t="s">
        <v>24</v>
      </c>
      <c r="E143" s="587"/>
      <c r="F143" s="720"/>
      <c r="G143" s="620">
        <f>G142/G7</f>
        <v>0.27107453311648244</v>
      </c>
      <c r="H143" s="536">
        <f>G143+'4'!H143</f>
        <v>1.1119869157383833</v>
      </c>
      <c r="I143" s="621"/>
      <c r="J143" s="629">
        <f>H143/DAY(B2)</f>
        <v>0.22239738314767665</v>
      </c>
      <c r="K143" s="411"/>
      <c r="L143" s="408"/>
      <c r="N143" s="413"/>
    </row>
    <row r="144" spans="1:14" ht="27.75">
      <c r="A144" s="1388" t="s">
        <v>264</v>
      </c>
      <c r="B144" s="1389"/>
      <c r="C144" s="1390"/>
      <c r="D144" s="599" t="s">
        <v>143</v>
      </c>
      <c r="E144" s="531"/>
      <c r="F144" s="710"/>
      <c r="G144" s="536">
        <f>G41+G42+G55+G56</f>
        <v>3520</v>
      </c>
      <c r="H144" s="536">
        <f>G144+'4'!H144</f>
        <v>21412.840000000026</v>
      </c>
      <c r="I144" s="556"/>
      <c r="J144" s="629">
        <f>H144/DAY(B2)</f>
        <v>4282.5680000000048</v>
      </c>
      <c r="K144" s="411"/>
      <c r="L144" s="408"/>
      <c r="N144" s="413"/>
    </row>
    <row r="145" spans="1:14" ht="27.75">
      <c r="A145" s="1388" t="s">
        <v>265</v>
      </c>
      <c r="B145" s="1389"/>
      <c r="C145" s="1390"/>
      <c r="D145" s="599" t="s">
        <v>24</v>
      </c>
      <c r="E145" s="531"/>
      <c r="F145" s="710"/>
      <c r="G145" s="620">
        <f>G144/G7</f>
        <v>0.19740900678593462</v>
      </c>
      <c r="H145" s="536">
        <f>G145+'4'!H145</f>
        <v>1.1189535094655871</v>
      </c>
      <c r="I145" s="621"/>
      <c r="J145" s="629">
        <f>H145/DAY(B2)</f>
        <v>0.22379070189311742</v>
      </c>
      <c r="K145" s="411"/>
      <c r="L145" s="408"/>
      <c r="N145" s="413"/>
    </row>
    <row r="146" spans="1:14" ht="27.75">
      <c r="A146" s="1388" t="s">
        <v>266</v>
      </c>
      <c r="B146" s="1389"/>
      <c r="C146" s="1390"/>
      <c r="D146" s="599" t="s">
        <v>143</v>
      </c>
      <c r="E146" s="531"/>
      <c r="F146" s="710"/>
      <c r="G146" s="536">
        <f>G39+G53</f>
        <v>3854</v>
      </c>
      <c r="H146" s="536">
        <f>G146+'4'!H146</f>
        <v>20316.03</v>
      </c>
      <c r="I146" s="622"/>
      <c r="J146" s="629">
        <f>H146/DAY(B2)</f>
        <v>4063.2059999999997</v>
      </c>
      <c r="K146" s="411"/>
      <c r="L146" s="408"/>
      <c r="N146" s="413"/>
    </row>
    <row r="147" spans="1:14" ht="27.75">
      <c r="A147" s="1388" t="s">
        <v>267</v>
      </c>
      <c r="B147" s="1389"/>
      <c r="C147" s="1390"/>
      <c r="D147" s="599" t="s">
        <v>24</v>
      </c>
      <c r="E147" s="531"/>
      <c r="F147" s="710"/>
      <c r="G147" s="620">
        <f>G146/G7</f>
        <v>0.21614042958891819</v>
      </c>
      <c r="H147" s="536">
        <f>G147+'4'!H147</f>
        <v>1.0655124581588575</v>
      </c>
      <c r="I147" s="622"/>
      <c r="J147" s="629">
        <f>H147/DAY(B2)</f>
        <v>0.2131024916317715</v>
      </c>
      <c r="N147" s="413"/>
    </row>
    <row r="148" spans="1:14" ht="27.75">
      <c r="A148" s="1388" t="s">
        <v>268</v>
      </c>
      <c r="B148" s="1389"/>
      <c r="C148" s="1390"/>
      <c r="D148" s="599" t="s">
        <v>194</v>
      </c>
      <c r="E148" s="531"/>
      <c r="F148" s="710"/>
      <c r="G148" s="536">
        <f>G38+G52</f>
        <v>1884</v>
      </c>
      <c r="H148" s="536">
        <f>G148+'4'!H148</f>
        <v>10018.75</v>
      </c>
      <c r="I148" s="556"/>
      <c r="J148" s="629">
        <f>H148/DAY(B2)</f>
        <v>2003.75</v>
      </c>
      <c r="K148" s="412"/>
      <c r="N148" s="413"/>
    </row>
    <row r="149" spans="1:14" ht="27.75">
      <c r="A149" s="1388" t="s">
        <v>269</v>
      </c>
      <c r="B149" s="1389"/>
      <c r="C149" s="1390"/>
      <c r="D149" s="599" t="s">
        <v>24</v>
      </c>
      <c r="E149" s="531"/>
      <c r="F149" s="710"/>
      <c r="G149" s="620">
        <f>G148/G7</f>
        <v>0.10565868431383546</v>
      </c>
      <c r="H149" s="536">
        <f>G149+'4'!H149</f>
        <v>0.52512081543653544</v>
      </c>
      <c r="I149" s="622"/>
      <c r="J149" s="629">
        <f>H149/DAY(B2)</f>
        <v>0.10502416308730708</v>
      </c>
      <c r="N149" s="413"/>
    </row>
    <row r="150" spans="1:14" ht="27.75">
      <c r="A150" s="1388" t="s">
        <v>270</v>
      </c>
      <c r="B150" s="1389"/>
      <c r="C150" s="1390"/>
      <c r="D150" s="599" t="s">
        <v>194</v>
      </c>
      <c r="E150" s="531"/>
      <c r="F150" s="710"/>
      <c r="G150" s="536">
        <f>G36+G50</f>
        <v>1773.3999999999942</v>
      </c>
      <c r="H150" s="536">
        <f>G150+'4'!H150</f>
        <v>8598.8999999999942</v>
      </c>
      <c r="I150" s="622"/>
      <c r="J150" s="629">
        <f>H150/DAY(B2)</f>
        <v>1719.7799999999988</v>
      </c>
      <c r="N150" s="413"/>
    </row>
    <row r="151" spans="1:14" ht="27.75">
      <c r="A151" s="1388" t="s">
        <v>271</v>
      </c>
      <c r="B151" s="1389"/>
      <c r="C151" s="1390"/>
      <c r="D151" s="599" t="s">
        <v>24</v>
      </c>
      <c r="E151" s="531"/>
      <c r="F151" s="710"/>
      <c r="G151" s="620">
        <f>G150/G7</f>
        <v>9.9456003589254341E-2</v>
      </c>
      <c r="H151" s="536">
        <f>G151+'4'!H151</f>
        <v>0.45175597750816199</v>
      </c>
      <c r="I151" s="556"/>
      <c r="J151" s="629">
        <f>H151/DAY(B2)</f>
        <v>9.0351195501632398E-2</v>
      </c>
      <c r="N151" s="413"/>
    </row>
    <row r="152" spans="1:14" ht="27.75">
      <c r="A152" s="1388" t="s">
        <v>272</v>
      </c>
      <c r="B152" s="1389"/>
      <c r="C152" s="1390"/>
      <c r="D152" s="599" t="s">
        <v>194</v>
      </c>
      <c r="E152" s="531"/>
      <c r="F152" s="710"/>
      <c r="G152" s="536">
        <f>G37+G51</f>
        <v>1371.4799999999959</v>
      </c>
      <c r="H152" s="536">
        <f>G152+'4'!H152</f>
        <v>7019.3699999999953</v>
      </c>
      <c r="I152" s="556"/>
      <c r="J152" s="629">
        <f>H152/DAY(B2)</f>
        <v>1403.8739999999991</v>
      </c>
      <c r="N152" s="413"/>
    </row>
    <row r="153" spans="1:14" ht="28.5" thickBot="1">
      <c r="A153" s="1394" t="s">
        <v>273</v>
      </c>
      <c r="B153" s="1395"/>
      <c r="C153" s="1396"/>
      <c r="D153" s="702" t="s">
        <v>24</v>
      </c>
      <c r="E153" s="642"/>
      <c r="F153" s="731"/>
      <c r="G153" s="643">
        <f>G152/G7</f>
        <v>7.6915484268969547E-2</v>
      </c>
      <c r="H153" s="536">
        <f>G153+'4'!H153</f>
        <v>0.36841216231060553</v>
      </c>
      <c r="I153" s="645"/>
      <c r="J153" s="646">
        <f>H153/DAY(B2)</f>
        <v>7.3682432462121111E-2</v>
      </c>
      <c r="N153" s="413"/>
    </row>
    <row r="154" spans="1:14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>
      <c r="A157" s="1425" t="s">
        <v>278</v>
      </c>
      <c r="B157" s="1426"/>
      <c r="C157" s="1426"/>
      <c r="D157" s="1426"/>
      <c r="E157" s="1426"/>
      <c r="F157" s="1426"/>
      <c r="G157" s="1427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739">
        <v>26355.42</v>
      </c>
      <c r="F160" s="739">
        <v>26426.53</v>
      </c>
      <c r="G160" s="549">
        <f t="shared" ref="G160:G171" si="17">F160-E160</f>
        <v>71.110000000000582</v>
      </c>
    </row>
    <row r="161" spans="1:7">
      <c r="A161" s="889" t="s">
        <v>275</v>
      </c>
      <c r="B161" s="890"/>
      <c r="C161" s="890"/>
      <c r="D161" s="587" t="s">
        <v>198</v>
      </c>
      <c r="E161" s="739">
        <v>30315.66</v>
      </c>
      <c r="F161" s="739">
        <v>30756.639999999999</v>
      </c>
      <c r="G161" s="549">
        <f t="shared" si="17"/>
        <v>440.97999999999956</v>
      </c>
    </row>
    <row r="162" spans="1:7">
      <c r="A162" s="889" t="s">
        <v>276</v>
      </c>
      <c r="B162" s="890"/>
      <c r="C162" s="890"/>
      <c r="D162" s="587" t="s">
        <v>198</v>
      </c>
      <c r="E162" s="739">
        <v>5854.86</v>
      </c>
      <c r="F162" s="739">
        <v>6116.87</v>
      </c>
      <c r="G162" s="549">
        <f t="shared" si="17"/>
        <v>262.01000000000022</v>
      </c>
    </row>
    <row r="163" spans="1:7">
      <c r="A163" s="889" t="s">
        <v>277</v>
      </c>
      <c r="B163" s="890"/>
      <c r="C163" s="890"/>
      <c r="D163" s="587" t="s">
        <v>198</v>
      </c>
      <c r="E163" s="739">
        <v>4427</v>
      </c>
      <c r="F163" s="739">
        <v>4450.45</v>
      </c>
      <c r="G163" s="549">
        <f t="shared" si="17"/>
        <v>23.449999999999818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20419.187999999998</v>
      </c>
      <c r="F164" s="590">
        <f>F62</f>
        <v>20419</v>
      </c>
      <c r="G164" s="549">
        <f t="shared" si="17"/>
        <v>-0.18799999999828287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" si="18">E63</f>
        <v>1125</v>
      </c>
      <c r="F165" s="590">
        <f t="shared" ref="F165:F171" si="19">F63</f>
        <v>1129</v>
      </c>
      <c r="G165" s="549">
        <f t="shared" si="17"/>
        <v>4</v>
      </c>
    </row>
    <row r="166" spans="1:7" ht="27.75">
      <c r="A166" s="1363" t="s">
        <v>107</v>
      </c>
      <c r="B166" s="1363"/>
      <c r="C166" s="1363"/>
      <c r="D166" s="599" t="s">
        <v>198</v>
      </c>
      <c r="E166" s="590">
        <f t="shared" ref="E166" si="20">E64</f>
        <v>100009.83</v>
      </c>
      <c r="F166" s="590">
        <f t="shared" si="19"/>
        <v>100402</v>
      </c>
      <c r="G166" s="549">
        <f t="shared" si="17"/>
        <v>392.16999999999825</v>
      </c>
    </row>
    <row r="167" spans="1:7" ht="27.75">
      <c r="A167" s="1363" t="s">
        <v>108</v>
      </c>
      <c r="B167" s="1363"/>
      <c r="C167" s="1363"/>
      <c r="D167" s="599" t="s">
        <v>198</v>
      </c>
      <c r="E167" s="590">
        <f t="shared" ref="E167" si="21">E65</f>
        <v>110635</v>
      </c>
      <c r="F167" s="590">
        <f t="shared" si="19"/>
        <v>110987.56</v>
      </c>
      <c r="G167" s="549">
        <f t="shared" si="17"/>
        <v>352.55999999999767</v>
      </c>
    </row>
    <row r="168" spans="1:7" ht="27.75">
      <c r="A168" s="1363" t="s">
        <v>109</v>
      </c>
      <c r="B168" s="1363"/>
      <c r="C168" s="1363"/>
      <c r="D168" s="599" t="s">
        <v>198</v>
      </c>
      <c r="E168" s="590">
        <f t="shared" ref="E168" si="22">E66</f>
        <v>4002.58</v>
      </c>
      <c r="F168" s="590">
        <f t="shared" si="19"/>
        <v>4356</v>
      </c>
      <c r="G168" s="549">
        <f t="shared" si="17"/>
        <v>353.42000000000007</v>
      </c>
    </row>
    <row r="169" spans="1:7" ht="27.75">
      <c r="A169" s="1363" t="s">
        <v>110</v>
      </c>
      <c r="B169" s="1363"/>
      <c r="C169" s="1363"/>
      <c r="D169" s="599" t="s">
        <v>198</v>
      </c>
      <c r="E169" s="590">
        <f t="shared" ref="E169" si="23">E67</f>
        <v>170891.69</v>
      </c>
      <c r="F169" s="590">
        <f t="shared" si="19"/>
        <v>171487</v>
      </c>
      <c r="G169" s="549">
        <f t="shared" si="17"/>
        <v>595.30999999999767</v>
      </c>
    </row>
    <row r="170" spans="1:7" ht="27.75">
      <c r="A170" s="1363" t="s">
        <v>111</v>
      </c>
      <c r="B170" s="1363"/>
      <c r="C170" s="1363"/>
      <c r="D170" s="599" t="s">
        <v>198</v>
      </c>
      <c r="E170" s="590">
        <f t="shared" ref="E170" si="24">E68</f>
        <v>54780.69</v>
      </c>
      <c r="F170" s="590">
        <f t="shared" si="19"/>
        <v>55066.67</v>
      </c>
      <c r="G170" s="549">
        <f t="shared" si="17"/>
        <v>285.97999999999593</v>
      </c>
    </row>
    <row r="171" spans="1:7" ht="27.75">
      <c r="A171" s="1363" t="s">
        <v>112</v>
      </c>
      <c r="B171" s="1363"/>
      <c r="C171" s="1363"/>
      <c r="D171" s="599" t="s">
        <v>198</v>
      </c>
      <c r="E171" s="590">
        <f t="shared" ref="E171" si="25">E69</f>
        <v>47694</v>
      </c>
      <c r="F171" s="590">
        <f t="shared" si="19"/>
        <v>47996.44</v>
      </c>
      <c r="G171" s="549">
        <f t="shared" si="17"/>
        <v>302.44000000000233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1"/>
  <sheetViews>
    <sheetView view="pageBreakPreview" zoomScale="55" zoomScaleSheetLayoutView="55" workbookViewId="0">
      <selection activeCell="A33" sqref="A33:J33"/>
    </sheetView>
  </sheetViews>
  <sheetFormatPr defaultColWidth="22.33203125" defaultRowHeight="29.25"/>
  <cols>
    <col min="1" max="1" width="42.109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7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7" s="281" customFormat="1" ht="27">
      <c r="A2" s="652" t="s">
        <v>330</v>
      </c>
      <c r="B2" s="1139">
        <v>44202</v>
      </c>
      <c r="C2" s="1254" t="s">
        <v>69</v>
      </c>
      <c r="D2" s="688">
        <v>0.41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7" s="281" customFormat="1" ht="27">
      <c r="A3" s="647"/>
      <c r="B3" s="691"/>
      <c r="C3" s="1254" t="s">
        <v>131</v>
      </c>
      <c r="D3" s="689">
        <v>24</v>
      </c>
      <c r="E3" s="1408" t="s">
        <v>132</v>
      </c>
      <c r="F3" s="1409"/>
      <c r="G3" s="538"/>
      <c r="H3" s="539"/>
      <c r="I3" s="539"/>
      <c r="J3" s="692"/>
      <c r="K3" s="402"/>
      <c r="L3" s="293"/>
    </row>
    <row r="4" spans="1:17" s="281" customFormat="1" ht="27">
      <c r="A4" s="653"/>
      <c r="B4" s="693"/>
      <c r="C4" s="1254" t="s">
        <v>133</v>
      </c>
      <c r="D4" s="688">
        <v>0.72</v>
      </c>
      <c r="E4" s="540"/>
      <c r="F4" s="540"/>
      <c r="G4" s="540"/>
      <c r="H4" s="540"/>
      <c r="I4" s="541"/>
      <c r="J4" s="692"/>
      <c r="K4" s="403"/>
      <c r="L4" s="293"/>
    </row>
    <row r="5" spans="1:17">
      <c r="A5" s="654" t="s">
        <v>134</v>
      </c>
      <c r="B5" s="535"/>
      <c r="C5" s="535"/>
      <c r="D5" s="587"/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7">
      <c r="A6" s="1402" t="s">
        <v>141</v>
      </c>
      <c r="B6" s="1403"/>
      <c r="C6" s="1404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>
      <c r="A7" s="757" t="s">
        <v>142</v>
      </c>
      <c r="B7" s="758"/>
      <c r="C7" s="758"/>
      <c r="D7" s="715" t="s">
        <v>143</v>
      </c>
      <c r="E7" s="710">
        <f>'5'!F7</f>
        <v>3381796</v>
      </c>
      <c r="F7" s="531">
        <v>3399635</v>
      </c>
      <c r="G7" s="770">
        <f>F7-E7</f>
        <v>17839</v>
      </c>
      <c r="H7" s="760">
        <f>G7+'5'!H7</f>
        <v>113195</v>
      </c>
      <c r="I7" s="761">
        <f>'1'!I7</f>
        <v>12000</v>
      </c>
      <c r="J7" s="762">
        <f>H7/DAY(B2)</f>
        <v>18865.833333333332</v>
      </c>
      <c r="K7" s="626"/>
      <c r="L7" s="408"/>
      <c r="N7" s="808"/>
    </row>
    <row r="8" spans="1:17" ht="27.75" thickBot="1">
      <c r="A8" s="763" t="s">
        <v>144</v>
      </c>
      <c r="B8" s="764"/>
      <c r="C8" s="765"/>
      <c r="D8" s="766" t="s">
        <v>25</v>
      </c>
      <c r="E8" s="710">
        <f>'5'!F8</f>
        <v>3402673</v>
      </c>
      <c r="F8" s="551">
        <v>3420748</v>
      </c>
      <c r="G8" s="770">
        <f t="shared" ref="G8:G12" si="0">F8-E8</f>
        <v>18075</v>
      </c>
      <c r="H8" s="760">
        <f>G8+'5'!H8</f>
        <v>114376</v>
      </c>
      <c r="I8" s="767">
        <v>12000</v>
      </c>
      <c r="J8" s="762">
        <f>H8/DAY(B2)</f>
        <v>19062.666666666668</v>
      </c>
      <c r="K8" s="626"/>
      <c r="L8" s="464"/>
      <c r="M8" s="479"/>
      <c r="N8" s="785"/>
      <c r="O8" s="413"/>
    </row>
    <row r="9" spans="1:17">
      <c r="A9" s="768" t="s">
        <v>145</v>
      </c>
      <c r="B9" s="769"/>
      <c r="C9" s="769"/>
      <c r="D9" s="715" t="s">
        <v>143</v>
      </c>
      <c r="E9" s="712">
        <f>'5'!F9</f>
        <v>2418083</v>
      </c>
      <c r="F9" s="554">
        <v>2420911</v>
      </c>
      <c r="G9" s="770">
        <f t="shared" si="0"/>
        <v>2828</v>
      </c>
      <c r="H9" s="760">
        <f>G9+'5'!H9</f>
        <v>15696</v>
      </c>
      <c r="I9" s="771">
        <f>I8-J8</f>
        <v>-7062.6666666666679</v>
      </c>
      <c r="J9" s="762">
        <f>H9/DAY(B2)</f>
        <v>2616</v>
      </c>
      <c r="K9" s="467"/>
      <c r="L9" s="408"/>
      <c r="N9" s="413"/>
      <c r="O9" s="479"/>
    </row>
    <row r="10" spans="1:17">
      <c r="A10" s="757" t="s">
        <v>146</v>
      </c>
      <c r="B10" s="758"/>
      <c r="C10" s="758"/>
      <c r="D10" s="715" t="s">
        <v>143</v>
      </c>
      <c r="E10" s="712">
        <f>'5'!F10</f>
        <v>829449</v>
      </c>
      <c r="F10" s="554">
        <v>843794</v>
      </c>
      <c r="G10" s="770">
        <f t="shared" si="0"/>
        <v>14345</v>
      </c>
      <c r="H10" s="760">
        <f>G10+'5'!H10</f>
        <v>93272.089999999967</v>
      </c>
      <c r="I10" s="772"/>
      <c r="J10" s="762">
        <f>H10/DAY(B2)</f>
        <v>15545.348333333328</v>
      </c>
      <c r="K10" s="467"/>
      <c r="L10" s="408"/>
      <c r="N10" s="413"/>
      <c r="O10" s="479"/>
      <c r="Q10" s="479"/>
    </row>
    <row r="11" spans="1:17">
      <c r="A11" s="757" t="s">
        <v>147</v>
      </c>
      <c r="B11" s="758"/>
      <c r="C11" s="758"/>
      <c r="D11" s="715" t="s">
        <v>143</v>
      </c>
      <c r="E11" s="710">
        <f>'5'!F11</f>
        <v>35390</v>
      </c>
      <c r="F11" s="531">
        <v>35390</v>
      </c>
      <c r="G11" s="770">
        <f t="shared" si="0"/>
        <v>0</v>
      </c>
      <c r="H11" s="760">
        <f>G11+'5'!H11</f>
        <v>0</v>
      </c>
      <c r="I11" s="772"/>
      <c r="J11" s="762">
        <f>H11/DAY(B2)</f>
        <v>0</v>
      </c>
      <c r="K11" s="467"/>
      <c r="L11" s="408"/>
      <c r="N11" s="413"/>
      <c r="O11" s="479"/>
      <c r="Q11" s="479"/>
    </row>
    <row r="12" spans="1:17">
      <c r="A12" s="757" t="s">
        <v>148</v>
      </c>
      <c r="B12" s="758"/>
      <c r="C12" s="758"/>
      <c r="D12" s="715" t="s">
        <v>143</v>
      </c>
      <c r="E12" s="712">
        <f>'5'!F12</f>
        <v>37630</v>
      </c>
      <c r="F12" s="554">
        <v>37630</v>
      </c>
      <c r="G12" s="770">
        <f t="shared" si="0"/>
        <v>0</v>
      </c>
      <c r="H12" s="760">
        <f>G12+'5'!H12</f>
        <v>0</v>
      </c>
      <c r="I12" s="772"/>
      <c r="J12" s="762">
        <f>H12/DAY(B2)</f>
        <v>0</v>
      </c>
      <c r="K12" s="467"/>
      <c r="L12" s="408"/>
      <c r="N12" s="413"/>
      <c r="O12" s="479"/>
      <c r="Q12" s="479"/>
    </row>
    <row r="13" spans="1:17">
      <c r="A13" s="773" t="s">
        <v>149</v>
      </c>
      <c r="B13" s="774"/>
      <c r="C13" s="774"/>
      <c r="D13" s="715"/>
      <c r="E13" s="710"/>
      <c r="F13" s="531"/>
      <c r="G13" s="775">
        <f>G9+G10+G11+G12</f>
        <v>17173</v>
      </c>
      <c r="H13" s="760">
        <f>G13+'5'!H13</f>
        <v>108968.08999999997</v>
      </c>
      <c r="I13" s="776">
        <f>G7-G13</f>
        <v>666</v>
      </c>
      <c r="J13" s="762">
        <f>H13/DAY(B2)</f>
        <v>18161.348333333328</v>
      </c>
      <c r="K13" s="467"/>
      <c r="L13" s="408"/>
      <c r="N13" s="413"/>
      <c r="O13" s="479"/>
      <c r="Q13" s="479"/>
    </row>
    <row r="14" spans="1:17">
      <c r="A14" s="1405" t="s">
        <v>150</v>
      </c>
      <c r="B14" s="1406"/>
      <c r="C14" s="1407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7">
      <c r="A15" s="897" t="s">
        <v>151</v>
      </c>
      <c r="B15" s="892"/>
      <c r="C15" s="892"/>
      <c r="D15" s="600" t="s">
        <v>152</v>
      </c>
      <c r="E15" s="561">
        <f>'5'!F15</f>
        <v>1572530</v>
      </c>
      <c r="F15" s="561">
        <v>1573224.7</v>
      </c>
      <c r="G15" s="549">
        <f>(F15-E15)</f>
        <v>694.69999999995343</v>
      </c>
      <c r="H15" s="562">
        <f>G15+'5'!H15</f>
        <v>4310.5999999998603</v>
      </c>
      <c r="I15" s="550">
        <v>800</v>
      </c>
      <c r="J15" s="630">
        <f>H15/DAY(B2)</f>
        <v>718.43333333331009</v>
      </c>
      <c r="K15" s="467"/>
      <c r="L15" s="408"/>
      <c r="N15" s="413"/>
    </row>
    <row r="16" spans="1:17">
      <c r="A16" s="895"/>
      <c r="B16" s="896"/>
      <c r="C16" s="896"/>
      <c r="D16" s="893"/>
      <c r="E16" s="894"/>
      <c r="F16" s="561"/>
      <c r="G16" s="1143"/>
      <c r="H16" s="1161"/>
      <c r="I16" s="563">
        <f>I15-J15</f>
        <v>81.566666666689912</v>
      </c>
      <c r="J16" s="1162"/>
      <c r="K16" s="467"/>
      <c r="L16" s="408"/>
      <c r="N16" s="413"/>
    </row>
    <row r="17" spans="1:14">
      <c r="A17" s="1405" t="s">
        <v>153</v>
      </c>
      <c r="B17" s="1406"/>
      <c r="C17" s="1407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31" t="s">
        <v>154</v>
      </c>
      <c r="B18" s="1432"/>
      <c r="C18" s="1433"/>
      <c r="D18" s="717" t="s">
        <v>155</v>
      </c>
      <c r="E18" s="714">
        <f>'5'!F18</f>
        <v>8</v>
      </c>
      <c r="F18" s="561">
        <v>7</v>
      </c>
      <c r="G18" s="770">
        <f>F18*10</f>
        <v>70</v>
      </c>
      <c r="H18" s="760">
        <f>G18+'5'!H18</f>
        <v>640</v>
      </c>
      <c r="I18" s="761">
        <f>'1'!I18</f>
        <v>65</v>
      </c>
      <c r="J18" s="762">
        <f>H18/DAY(B2)</f>
        <v>106.66666666666667</v>
      </c>
      <c r="K18" s="467"/>
      <c r="L18" s="408"/>
      <c r="N18" s="413"/>
    </row>
    <row r="19" spans="1:14" ht="27.75">
      <c r="A19" s="1431" t="s">
        <v>71</v>
      </c>
      <c r="B19" s="1432"/>
      <c r="C19" s="1433"/>
      <c r="D19" s="715" t="s">
        <v>155</v>
      </c>
      <c r="E19" s="712">
        <f>'5'!F19</f>
        <v>131747</v>
      </c>
      <c r="F19" s="554">
        <v>131795</v>
      </c>
      <c r="G19" s="770">
        <f t="shared" ref="G19" si="1">F19-E19</f>
        <v>48</v>
      </c>
      <c r="H19" s="760">
        <f>G19+'5'!H19</f>
        <v>302</v>
      </c>
      <c r="I19" s="777"/>
      <c r="J19" s="762">
        <f>H19/DAY(B2)</f>
        <v>50.333333333333336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118</v>
      </c>
      <c r="H20" s="760">
        <f>G20+'5'!H20</f>
        <v>942</v>
      </c>
      <c r="I20" s="779">
        <f>I18-J20</f>
        <v>-92</v>
      </c>
      <c r="J20" s="762">
        <f>H20/DAY(B2)</f>
        <v>157</v>
      </c>
      <c r="K20" s="467"/>
      <c r="L20" s="408"/>
      <c r="N20" s="413"/>
    </row>
    <row r="21" spans="1:14">
      <c r="A21" s="1405" t="s">
        <v>157</v>
      </c>
      <c r="B21" s="1406"/>
      <c r="C21" s="1407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712">
        <f>'5'!F22</f>
        <v>2250</v>
      </c>
      <c r="F22" s="554">
        <v>2250</v>
      </c>
      <c r="G22" s="557">
        <f t="shared" ref="G22" si="2">(F22-E22)</f>
        <v>0</v>
      </c>
      <c r="H22" s="536">
        <f>G22+'5'!H22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52" t="s">
        <v>160</v>
      </c>
      <c r="B23" s="666"/>
      <c r="C23" s="666"/>
      <c r="D23" s="599" t="s">
        <v>159</v>
      </c>
      <c r="E23" s="712">
        <f>'5'!F23</f>
        <v>2000</v>
      </c>
      <c r="F23" s="554">
        <v>2000</v>
      </c>
      <c r="G23" s="557">
        <v>0</v>
      </c>
      <c r="H23" s="536">
        <f>G23+'5'!H23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712">
        <f>'5'!F24</f>
        <v>4250</v>
      </c>
      <c r="F24" s="561">
        <v>4250</v>
      </c>
      <c r="G24" s="557">
        <v>0</v>
      </c>
      <c r="H24" s="536">
        <f>G24+'5'!H24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18075</v>
      </c>
      <c r="F27" s="577">
        <v>10</v>
      </c>
      <c r="G27" s="578">
        <f>E27*F27</f>
        <v>180750</v>
      </c>
      <c r="H27" s="536">
        <f>G27+'5'!H27</f>
        <v>1047459</v>
      </c>
      <c r="I27" s="579"/>
      <c r="J27" s="629">
        <f>H27/DAY(B2)</f>
        <v>174576.5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694.69999999995343</v>
      </c>
      <c r="F28" s="577">
        <v>41</v>
      </c>
      <c r="G28" s="578">
        <f t="shared" ref="G28:G31" si="3">E28*F28</f>
        <v>28482.699999998091</v>
      </c>
      <c r="H28" s="536">
        <f>G28+'5'!H28</f>
        <v>175493.23999999429</v>
      </c>
      <c r="I28" s="581"/>
      <c r="J28" s="629">
        <f>H28/DAY(B2)</f>
        <v>29248.87333333238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 t="shared" si="3"/>
        <v>0</v>
      </c>
      <c r="H29" s="536">
        <f>G29+'5'!H29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48</v>
      </c>
      <c r="F30" s="577">
        <v>134</v>
      </c>
      <c r="G30" s="578">
        <f t="shared" si="3"/>
        <v>6432</v>
      </c>
      <c r="H30" s="536">
        <f>G30+'5'!H30</f>
        <v>40468</v>
      </c>
      <c r="I30" s="581"/>
      <c r="J30" s="629">
        <f>H30/DAY(B2)</f>
        <v>6744.666666666667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70</v>
      </c>
      <c r="F31" s="577">
        <v>80</v>
      </c>
      <c r="G31" s="578">
        <f t="shared" si="3"/>
        <v>5600</v>
      </c>
      <c r="H31" s="536">
        <f>G31+'5'!H31</f>
        <v>51200</v>
      </c>
      <c r="I31" s="581"/>
      <c r="J31" s="629">
        <f>H31/DAY(B2)</f>
        <v>8533.3333333333339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221264.69999999809</v>
      </c>
      <c r="H32" s="536">
        <f>G32+'5'!H32</f>
        <v>1314620.2399999944</v>
      </c>
      <c r="I32" s="585"/>
      <c r="J32" s="629">
        <f>H32/DAY(B2)</f>
        <v>219103.37333333239</v>
      </c>
      <c r="K32" s="404"/>
      <c r="L32" s="484"/>
      <c r="N32" s="413"/>
    </row>
    <row r="33" spans="1:14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'5'!F35</f>
        <v>629027</v>
      </c>
      <c r="F35" s="586">
        <v>629027</v>
      </c>
      <c r="G35" s="549">
        <f t="shared" ref="G35:G46" si="4">F35-E35</f>
        <v>0</v>
      </c>
      <c r="H35" s="536">
        <f>G35+'5'!H35</f>
        <v>0</v>
      </c>
      <c r="I35" s="531"/>
      <c r="J35" s="629">
        <f>H35/DAY(B2)</f>
        <v>0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'5'!F36</f>
        <v>258477.73</v>
      </c>
      <c r="F36" s="586">
        <v>259350</v>
      </c>
      <c r="G36" s="549">
        <f t="shared" si="4"/>
        <v>872.26999999998952</v>
      </c>
      <c r="H36" s="536">
        <f>G36+'5'!H36</f>
        <v>4258.929999999993</v>
      </c>
      <c r="I36" s="531"/>
      <c r="J36" s="629">
        <f>H36/DAY(B2)</f>
        <v>709.82166666666546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'5'!F37</f>
        <v>415066</v>
      </c>
      <c r="F37" s="586">
        <v>415066</v>
      </c>
      <c r="G37" s="549">
        <f t="shared" si="4"/>
        <v>0</v>
      </c>
      <c r="H37" s="536">
        <f>G37+'5'!H37</f>
        <v>0</v>
      </c>
      <c r="I37" s="531"/>
      <c r="J37" s="629">
        <f>H37/DAY(B2)</f>
        <v>0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'5'!F38</f>
        <v>150714.38</v>
      </c>
      <c r="F38" s="545">
        <v>150714.38</v>
      </c>
      <c r="G38" s="549">
        <f t="shared" si="4"/>
        <v>0</v>
      </c>
      <c r="H38" s="536">
        <f>G38+'5'!H38</f>
        <v>0.38000000000465661</v>
      </c>
      <c r="I38" s="531"/>
      <c r="J38" s="629">
        <f>H38/DAY(B2)</f>
        <v>6.333333333410944E-2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'5'!F39</f>
        <v>912480</v>
      </c>
      <c r="F39" s="586">
        <v>912480</v>
      </c>
      <c r="G39" s="549">
        <f t="shared" si="4"/>
        <v>0</v>
      </c>
      <c r="H39" s="536">
        <f>G39+'5'!H39</f>
        <v>0</v>
      </c>
      <c r="I39" s="531"/>
      <c r="J39" s="629">
        <f>H39/DAY(B2)</f>
        <v>0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'5'!F40</f>
        <v>0.17</v>
      </c>
      <c r="F40" s="586">
        <v>0.17</v>
      </c>
      <c r="G40" s="549">
        <f t="shared" si="4"/>
        <v>0</v>
      </c>
      <c r="H40" s="536">
        <f>G40+'5'!H40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'5'!F41</f>
        <v>300127.90000000002</v>
      </c>
      <c r="F41" s="586">
        <v>300127.90000000002</v>
      </c>
      <c r="G41" s="549">
        <f>F41-E41</f>
        <v>0</v>
      </c>
      <c r="H41" s="536">
        <f>G41+'5'!H41</f>
        <v>-4.9999999988358468E-2</v>
      </c>
      <c r="I41" s="531"/>
      <c r="J41" s="629">
        <f>H41/DAY(B2)</f>
        <v>-8.333333331393078E-3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'5'!F42</f>
        <v>58926</v>
      </c>
      <c r="F42" s="586">
        <v>58926</v>
      </c>
      <c r="G42" s="549">
        <f t="shared" si="4"/>
        <v>0</v>
      </c>
      <c r="H42" s="536">
        <f>G42+'5'!H42</f>
        <v>-8.999999999650754E-2</v>
      </c>
      <c r="I42" s="531"/>
      <c r="J42" s="629">
        <f>H42/DAY(B2)</f>
        <v>-1.4999999999417923E-2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'5'!F43</f>
        <v>708282.87</v>
      </c>
      <c r="F43" s="586">
        <v>710347</v>
      </c>
      <c r="G43" s="549">
        <f t="shared" si="4"/>
        <v>2064.1300000000047</v>
      </c>
      <c r="H43" s="536">
        <f>G43+'5'!H43</f>
        <v>12093.569999999949</v>
      </c>
      <c r="I43" s="531"/>
      <c r="J43" s="629">
        <f>H43/DAY(B2)</f>
        <v>2015.5949999999914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'5'!F44</f>
        <v>0</v>
      </c>
      <c r="F44" s="586">
        <v>0</v>
      </c>
      <c r="G44" s="549">
        <f t="shared" si="4"/>
        <v>0</v>
      </c>
      <c r="H44" s="536">
        <f>G44+'5'!H44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'5'!F45</f>
        <v>614</v>
      </c>
      <c r="F45" s="586">
        <v>614</v>
      </c>
      <c r="G45" s="549">
        <f t="shared" si="4"/>
        <v>0</v>
      </c>
      <c r="H45" s="536">
        <f>G45+'5'!H45</f>
        <v>-0.48000000000001819</v>
      </c>
      <c r="I45" s="531"/>
      <c r="J45" s="629">
        <f>H45/DAY(B2)</f>
        <v>-8.0000000000003027E-2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'5'!F46</f>
        <v>187</v>
      </c>
      <c r="F46" s="586">
        <v>187</v>
      </c>
      <c r="G46" s="549">
        <f t="shared" si="4"/>
        <v>0</v>
      </c>
      <c r="H46" s="536">
        <f>G46+'5'!H46</f>
        <v>-0.49000000000000909</v>
      </c>
      <c r="I46" s="531"/>
      <c r="J46" s="629">
        <f>H46/DAY(B2)</f>
        <v>-8.1666666666668178E-2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2936.3999999999942</v>
      </c>
      <c r="H47" s="536">
        <f>G47+'5'!H47</f>
        <v>16351.76999999996</v>
      </c>
      <c r="I47" s="531"/>
      <c r="J47" s="629">
        <f>H47/DAY(B2)</f>
        <v>2725.2949999999933</v>
      </c>
      <c r="K47" s="467"/>
      <c r="L47" s="408"/>
      <c r="N47" s="413"/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'5'!F49</f>
        <v>163924.66</v>
      </c>
      <c r="F49" s="586">
        <v>166715.79999999999</v>
      </c>
      <c r="G49" s="549">
        <f t="shared" ref="G49:G58" si="5">F49-E49</f>
        <v>2791.1399999999849</v>
      </c>
      <c r="H49" s="536">
        <f>G49+'5'!H49</f>
        <v>17156.799999999988</v>
      </c>
      <c r="I49" s="531"/>
      <c r="J49" s="629">
        <f>H49/DAY(B2)</f>
        <v>2859.4666666666649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'5'!F50</f>
        <v>340112.67</v>
      </c>
      <c r="F50" s="586">
        <v>341012</v>
      </c>
      <c r="G50" s="549">
        <f t="shared" si="5"/>
        <v>899.3300000000163</v>
      </c>
      <c r="H50" s="536">
        <f>G50+'5'!H50</f>
        <v>6111.570000000007</v>
      </c>
      <c r="I50" s="531"/>
      <c r="J50" s="629">
        <f>H50/DAY(B2)</f>
        <v>1018.5950000000012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'5'!F51</f>
        <v>71726.48</v>
      </c>
      <c r="F51" s="586">
        <v>73127</v>
      </c>
      <c r="G51" s="549">
        <f t="shared" si="5"/>
        <v>1400.5200000000041</v>
      </c>
      <c r="H51" s="536">
        <f>G51+'5'!H51</f>
        <v>8419.89</v>
      </c>
      <c r="I51" s="531"/>
      <c r="J51" s="629">
        <f>H51/DAY(B2)</f>
        <v>1403.3149999999998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'5'!F52</f>
        <v>443198</v>
      </c>
      <c r="F52" s="586">
        <v>445156</v>
      </c>
      <c r="G52" s="549">
        <f t="shared" si="5"/>
        <v>1958</v>
      </c>
      <c r="H52" s="536">
        <f>G52+'5'!H52</f>
        <v>11976.369999999995</v>
      </c>
      <c r="I52" s="531"/>
      <c r="J52" s="629">
        <f>H52/DAY(B2)</f>
        <v>1996.0616666666658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'5'!F53</f>
        <v>196918</v>
      </c>
      <c r="F53" s="586">
        <v>200707</v>
      </c>
      <c r="G53" s="549">
        <f t="shared" si="5"/>
        <v>3789</v>
      </c>
      <c r="H53" s="536">
        <f>G53+'5'!H53</f>
        <v>24105.03</v>
      </c>
      <c r="I53" s="531"/>
      <c r="J53" s="629">
        <f>H53/DAY(B2)</f>
        <v>4017.5049999999997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'5'!F54</f>
        <v>4885.8</v>
      </c>
      <c r="F54" s="586">
        <v>4951.43</v>
      </c>
      <c r="G54" s="549">
        <f t="shared" si="5"/>
        <v>65.630000000000109</v>
      </c>
      <c r="H54" s="536">
        <f>G54+'5'!H54</f>
        <v>361.89000000000033</v>
      </c>
      <c r="I54" s="531"/>
      <c r="J54" s="629">
        <f>H54/DAY(B2)</f>
        <v>60.315000000000055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'5'!F55</f>
        <v>158492.73000000001</v>
      </c>
      <c r="F55" s="734">
        <v>158492.73000000001</v>
      </c>
      <c r="G55" s="733">
        <f t="shared" si="5"/>
        <v>0</v>
      </c>
      <c r="H55" s="805">
        <f>G55+'5'!H55</f>
        <v>-0.26999999998952262</v>
      </c>
      <c r="I55" s="806"/>
      <c r="J55" s="807">
        <f>H55/DAY(B2)</f>
        <v>-4.499999999825377E-2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'5'!F56</f>
        <v>534625</v>
      </c>
      <c r="F56" s="734">
        <v>538014</v>
      </c>
      <c r="G56" s="549">
        <f t="shared" si="5"/>
        <v>3389</v>
      </c>
      <c r="H56" s="536">
        <f>G56+'5'!H56</f>
        <v>24802.25</v>
      </c>
      <c r="I56" s="531"/>
      <c r="J56" s="629">
        <f>H56/DAY(B2)</f>
        <v>4133.708333333333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'5'!F57</f>
        <v>0</v>
      </c>
      <c r="F57" s="586">
        <v>0</v>
      </c>
      <c r="G57" s="549">
        <f t="shared" si="5"/>
        <v>0</v>
      </c>
      <c r="H57" s="536">
        <f>G57+'5'!H57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'5'!F58</f>
        <v>25808</v>
      </c>
      <c r="F58" s="734">
        <v>25975</v>
      </c>
      <c r="G58" s="549">
        <f t="shared" si="5"/>
        <v>167</v>
      </c>
      <c r="H58" s="536">
        <f>G58+'5'!H58</f>
        <v>934.59000000000015</v>
      </c>
      <c r="I58" s="531"/>
      <c r="J58" s="629">
        <f>H58/DAY(B2)</f>
        <v>155.76500000000001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14459.620000000006</v>
      </c>
      <c r="H59" s="536">
        <f>G59+'5'!H59</f>
        <v>93868.12000000001</v>
      </c>
      <c r="I59" s="531">
        <f>G7-G60</f>
        <v>442.97999999999956</v>
      </c>
      <c r="J59" s="629">
        <f>H59/DAY(B2)</f>
        <v>15644.686666666668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17396.02</v>
      </c>
      <c r="H60" s="536">
        <f>G60+'5'!H60</f>
        <v>110219.88999999997</v>
      </c>
      <c r="I60" s="531">
        <f>G13-G60</f>
        <v>-223.02000000000044</v>
      </c>
      <c r="J60" s="629">
        <f>H60/DAY(B2)</f>
        <v>18369.981666666663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'5'!F62</f>
        <v>20419</v>
      </c>
      <c r="F62" s="590">
        <v>20419</v>
      </c>
      <c r="G62" s="549">
        <f t="shared" ref="G62:G69" si="6">F62-E62</f>
        <v>0</v>
      </c>
      <c r="H62" s="536">
        <f>G62+'5'!H62</f>
        <v>-0.18000000000029104</v>
      </c>
      <c r="I62" s="591"/>
      <c r="J62" s="629">
        <f>H62/DAY(B2)</f>
        <v>-3.0000000000048505E-2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'5'!F63</f>
        <v>1129</v>
      </c>
      <c r="F63" s="590">
        <v>1133</v>
      </c>
      <c r="G63" s="549">
        <f t="shared" si="6"/>
        <v>4</v>
      </c>
      <c r="H63" s="536">
        <f>G63+'5'!H63</f>
        <v>25.089999999999918</v>
      </c>
      <c r="I63" s="591"/>
      <c r="J63" s="629">
        <f>H63/DAY(B2)</f>
        <v>4.1816666666666533</v>
      </c>
      <c r="K63" s="467"/>
      <c r="L63" s="408"/>
      <c r="N63" s="413"/>
    </row>
    <row r="64" spans="1:14" ht="27.75">
      <c r="A64" s="1367" t="s">
        <v>107</v>
      </c>
      <c r="B64" s="1368"/>
      <c r="C64" s="1369"/>
      <c r="D64" s="599" t="s">
        <v>198</v>
      </c>
      <c r="E64" s="560">
        <f>'5'!F64</f>
        <v>100402</v>
      </c>
      <c r="F64" s="554">
        <v>100792</v>
      </c>
      <c r="G64" s="549">
        <f t="shared" si="6"/>
        <v>390</v>
      </c>
      <c r="H64" s="536">
        <f>G64+'5'!H64</f>
        <v>2368.6000000000058</v>
      </c>
      <c r="I64" s="556"/>
      <c r="J64" s="629">
        <f>H64/DAY(B2)</f>
        <v>394.76666666666762</v>
      </c>
      <c r="K64" s="467"/>
      <c r="L64" s="408"/>
      <c r="N64" s="413"/>
    </row>
    <row r="65" spans="1:14" ht="27.75">
      <c r="A65" s="1367" t="s">
        <v>108</v>
      </c>
      <c r="B65" s="1368"/>
      <c r="C65" s="1369"/>
      <c r="D65" s="599" t="s">
        <v>198</v>
      </c>
      <c r="E65" s="560">
        <f>'5'!F65</f>
        <v>110987.56</v>
      </c>
      <c r="F65" s="732">
        <v>111341</v>
      </c>
      <c r="G65" s="549">
        <f t="shared" si="6"/>
        <v>353.44000000000233</v>
      </c>
      <c r="H65" s="536">
        <f>G65+'5'!H65</f>
        <v>2296.8800000000047</v>
      </c>
      <c r="I65" s="565"/>
      <c r="J65" s="629">
        <f>H65/DAY(B2)</f>
        <v>382.81333333333413</v>
      </c>
      <c r="K65" s="467"/>
      <c r="L65" s="408"/>
      <c r="N65" s="413"/>
    </row>
    <row r="66" spans="1:14" ht="27.75">
      <c r="A66" s="1367" t="s">
        <v>109</v>
      </c>
      <c r="B66" s="1368"/>
      <c r="C66" s="1369"/>
      <c r="D66" s="599" t="s">
        <v>198</v>
      </c>
      <c r="E66" s="560">
        <f>'5'!F66</f>
        <v>4356</v>
      </c>
      <c r="F66" s="554">
        <v>4699.6899999999996</v>
      </c>
      <c r="G66" s="549">
        <f t="shared" si="6"/>
        <v>343.6899999999996</v>
      </c>
      <c r="H66" s="536">
        <f>G66+'5'!H66</f>
        <v>2277.5999999999995</v>
      </c>
      <c r="I66" s="556"/>
      <c r="J66" s="629">
        <f>H66/DAY(B2)</f>
        <v>379.59999999999991</v>
      </c>
      <c r="K66" s="467"/>
      <c r="L66" s="408"/>
      <c r="N66" s="413"/>
    </row>
    <row r="67" spans="1:14" ht="27.75">
      <c r="A67" s="1367" t="s">
        <v>110</v>
      </c>
      <c r="B67" s="1368"/>
      <c r="C67" s="1369"/>
      <c r="D67" s="599" t="s">
        <v>198</v>
      </c>
      <c r="E67" s="560">
        <f>'5'!F67</f>
        <v>171487</v>
      </c>
      <c r="F67" s="554">
        <v>172074.53</v>
      </c>
      <c r="G67" s="549">
        <f t="shared" si="6"/>
        <v>587.52999999999884</v>
      </c>
      <c r="H67" s="536">
        <f>G67+'5'!H67</f>
        <v>3833.179999999993</v>
      </c>
      <c r="I67" s="565"/>
      <c r="J67" s="629">
        <f>H67/DAY(B2)</f>
        <v>638.86333333333221</v>
      </c>
      <c r="K67" s="468"/>
      <c r="L67" s="408"/>
      <c r="N67" s="413"/>
    </row>
    <row r="68" spans="1:14" ht="27.75">
      <c r="A68" s="1367" t="s">
        <v>111</v>
      </c>
      <c r="B68" s="1368"/>
      <c r="C68" s="1369"/>
      <c r="D68" s="599" t="s">
        <v>198</v>
      </c>
      <c r="E68" s="560">
        <f>'5'!F68</f>
        <v>55066.67</v>
      </c>
      <c r="F68" s="554">
        <v>55357</v>
      </c>
      <c r="G68" s="549">
        <f t="shared" si="6"/>
        <v>290.33000000000175</v>
      </c>
      <c r="H68" s="536">
        <f>G68+'5'!H68</f>
        <v>1733.0999999999985</v>
      </c>
      <c r="I68" s="592"/>
      <c r="J68" s="629">
        <f>H68/DAY(B2)</f>
        <v>288.84999999999974</v>
      </c>
      <c r="K68" s="469"/>
      <c r="L68" s="408"/>
      <c r="N68" s="413"/>
    </row>
    <row r="69" spans="1:14" ht="27.75">
      <c r="A69" s="1367" t="s">
        <v>112</v>
      </c>
      <c r="B69" s="1368"/>
      <c r="C69" s="1369"/>
      <c r="D69" s="599" t="s">
        <v>198</v>
      </c>
      <c r="E69" s="560">
        <f>'5'!F69</f>
        <v>47996.44</v>
      </c>
      <c r="F69" s="554">
        <v>48285.51</v>
      </c>
      <c r="G69" s="549">
        <f t="shared" si="6"/>
        <v>289.06999999999971</v>
      </c>
      <c r="H69" s="536">
        <f>G69+'5'!H69</f>
        <v>1766.0800000000017</v>
      </c>
      <c r="I69" s="592"/>
      <c r="J69" s="629">
        <f>H69/DAY(B2)</f>
        <v>294.34666666666698</v>
      </c>
      <c r="K69" s="470"/>
      <c r="L69" s="408"/>
      <c r="N69" s="413"/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413"/>
    </row>
    <row r="72" spans="1:14" ht="27.75">
      <c r="A72" s="1367" t="s">
        <v>202</v>
      </c>
      <c r="B72" s="1368"/>
      <c r="C72" s="1369"/>
      <c r="D72" s="599" t="s">
        <v>198</v>
      </c>
      <c r="E72" s="595">
        <f>'5'!F72</f>
        <v>846789</v>
      </c>
      <c r="F72" s="735">
        <v>846834</v>
      </c>
      <c r="G72" s="549">
        <f t="shared" ref="G72:G84" si="7">F72-E72</f>
        <v>45</v>
      </c>
      <c r="H72" s="536">
        <f>G72+'5'!H72</f>
        <v>434</v>
      </c>
      <c r="I72" s="556"/>
      <c r="J72" s="629">
        <f>H72/DAY(B2)</f>
        <v>72.333333333333329</v>
      </c>
      <c r="K72" s="470"/>
      <c r="L72" s="408"/>
      <c r="N72" s="413"/>
    </row>
    <row r="73" spans="1:14" ht="27.75">
      <c r="A73" s="1367" t="s">
        <v>203</v>
      </c>
      <c r="B73" s="1368"/>
      <c r="C73" s="1369"/>
      <c r="D73" s="599" t="s">
        <v>198</v>
      </c>
      <c r="E73" s="596">
        <f>'5'!F73</f>
        <v>885677</v>
      </c>
      <c r="F73" s="736">
        <v>885677</v>
      </c>
      <c r="G73" s="733">
        <f t="shared" si="7"/>
        <v>0</v>
      </c>
      <c r="H73" s="536">
        <f>G73+'5'!H73</f>
        <v>4</v>
      </c>
      <c r="I73" s="556"/>
      <c r="J73" s="629">
        <f>H73/DAY(B2)</f>
        <v>0.66666666666666663</v>
      </c>
      <c r="K73" s="469"/>
      <c r="L73" s="408"/>
      <c r="N73" s="413"/>
    </row>
    <row r="74" spans="1:14" ht="27.75">
      <c r="A74" s="1367" t="s">
        <v>204</v>
      </c>
      <c r="B74" s="1368"/>
      <c r="C74" s="1369"/>
      <c r="D74" s="599" t="s">
        <v>198</v>
      </c>
      <c r="E74" s="597">
        <f>'5'!F74</f>
        <v>881503</v>
      </c>
      <c r="F74" s="735">
        <v>881532</v>
      </c>
      <c r="G74" s="549">
        <f t="shared" si="7"/>
        <v>29</v>
      </c>
      <c r="H74" s="536">
        <f>G74+'5'!H74</f>
        <v>217</v>
      </c>
      <c r="I74" s="556"/>
      <c r="J74" s="629">
        <f>H74/DAY(B2)</f>
        <v>36.166666666666664</v>
      </c>
      <c r="K74" s="470"/>
      <c r="L74" s="408"/>
      <c r="N74" s="413"/>
    </row>
    <row r="75" spans="1:14" ht="27.75">
      <c r="A75" s="1364" t="s">
        <v>205</v>
      </c>
      <c r="B75" s="1365"/>
      <c r="C75" s="1366"/>
      <c r="D75" s="599" t="s">
        <v>198</v>
      </c>
      <c r="E75" s="596">
        <f>'5'!F75</f>
        <v>732536</v>
      </c>
      <c r="F75" s="736">
        <v>732701</v>
      </c>
      <c r="G75" s="549">
        <f t="shared" si="7"/>
        <v>165</v>
      </c>
      <c r="H75" s="536">
        <f>G75+'5'!H75</f>
        <v>1060</v>
      </c>
      <c r="I75" s="556"/>
      <c r="J75" s="629">
        <f>H75/DAY(B2)</f>
        <v>176.66666666666666</v>
      </c>
      <c r="K75" s="469"/>
      <c r="L75" s="408"/>
      <c r="N75" s="413"/>
    </row>
    <row r="76" spans="1:14" ht="27.75">
      <c r="A76" s="1364" t="s">
        <v>206</v>
      </c>
      <c r="B76" s="1365"/>
      <c r="C76" s="1366"/>
      <c r="D76" s="599" t="s">
        <v>198</v>
      </c>
      <c r="E76" s="596">
        <f>'5'!F76</f>
        <v>684661</v>
      </c>
      <c r="F76" s="736">
        <v>684726</v>
      </c>
      <c r="G76" s="549">
        <f t="shared" si="7"/>
        <v>65</v>
      </c>
      <c r="H76" s="536">
        <f>G76+'5'!H76</f>
        <v>460</v>
      </c>
      <c r="I76" s="581"/>
      <c r="J76" s="629">
        <f>H76/DAY(B2)</f>
        <v>76.666666666666671</v>
      </c>
      <c r="K76" s="469"/>
      <c r="L76" s="408"/>
      <c r="N76" s="413"/>
    </row>
    <row r="77" spans="1:14" ht="27.75">
      <c r="A77" s="1367" t="s">
        <v>207</v>
      </c>
      <c r="B77" s="1368"/>
      <c r="C77" s="1369"/>
      <c r="D77" s="599" t="s">
        <v>198</v>
      </c>
      <c r="E77" s="596">
        <f>'5'!F77</f>
        <v>695683</v>
      </c>
      <c r="F77" s="736">
        <v>695735</v>
      </c>
      <c r="G77" s="733">
        <f t="shared" si="7"/>
        <v>52</v>
      </c>
      <c r="H77" s="536">
        <f>G77+'5'!H77</f>
        <v>341</v>
      </c>
      <c r="I77" s="581"/>
      <c r="J77" s="629">
        <f>H77/DAY(B2)</f>
        <v>56.833333333333336</v>
      </c>
      <c r="K77" s="469"/>
      <c r="L77" s="408"/>
      <c r="N77" s="413"/>
    </row>
    <row r="78" spans="1:14" ht="27.75">
      <c r="A78" s="1255" t="s">
        <v>208</v>
      </c>
      <c r="B78" s="1226"/>
      <c r="C78" s="1226"/>
      <c r="D78" s="599" t="s">
        <v>198</v>
      </c>
      <c r="E78" s="597">
        <f>'5'!F78</f>
        <v>632566</v>
      </c>
      <c r="F78" s="737">
        <v>632860</v>
      </c>
      <c r="G78" s="549">
        <f t="shared" si="7"/>
        <v>294</v>
      </c>
      <c r="H78" s="536">
        <f>G78+'5'!H78</f>
        <v>2087</v>
      </c>
      <c r="I78" s="581"/>
      <c r="J78" s="629">
        <f>H78/DAY(B2)</f>
        <v>347.83333333333331</v>
      </c>
      <c r="K78" s="469"/>
      <c r="L78" s="408"/>
      <c r="N78" s="413"/>
    </row>
    <row r="79" spans="1:14" ht="27.75">
      <c r="A79" s="1364" t="s">
        <v>97</v>
      </c>
      <c r="B79" s="1365"/>
      <c r="C79" s="1366"/>
      <c r="D79" s="600" t="s">
        <v>198</v>
      </c>
      <c r="E79" s="597">
        <f>'5'!F79</f>
        <v>804785</v>
      </c>
      <c r="F79" s="737">
        <v>804965</v>
      </c>
      <c r="G79" s="549">
        <f t="shared" si="7"/>
        <v>180</v>
      </c>
      <c r="H79" s="536">
        <f>G79+'5'!H79</f>
        <v>1122</v>
      </c>
      <c r="I79" s="581"/>
      <c r="J79" s="629">
        <f>H79/DAY(B2)</f>
        <v>187</v>
      </c>
      <c r="K79" s="469"/>
      <c r="L79" s="408"/>
      <c r="N79" s="413"/>
    </row>
    <row r="80" spans="1:14" ht="27.75">
      <c r="A80" s="1364" t="s">
        <v>209</v>
      </c>
      <c r="B80" s="1365"/>
      <c r="C80" s="1366"/>
      <c r="D80" s="600" t="s">
        <v>198</v>
      </c>
      <c r="E80" s="596">
        <f>'5'!F80</f>
        <v>477079</v>
      </c>
      <c r="F80" s="736">
        <v>477365.56</v>
      </c>
      <c r="G80" s="549">
        <f t="shared" si="7"/>
        <v>286.55999999999767</v>
      </c>
      <c r="H80" s="536">
        <f>G80+'5'!H80</f>
        <v>1834.5599999999977</v>
      </c>
      <c r="I80" s="581"/>
      <c r="J80" s="629">
        <f>H80/DAY(B2)</f>
        <v>305.75999999999959</v>
      </c>
      <c r="K80" s="469"/>
      <c r="L80" s="408"/>
      <c r="N80" s="413"/>
    </row>
    <row r="81" spans="1:15" ht="27.75">
      <c r="A81" s="1364" t="s">
        <v>210</v>
      </c>
      <c r="B81" s="1365"/>
      <c r="C81" s="1366"/>
      <c r="D81" s="600" t="s">
        <v>198</v>
      </c>
      <c r="E81" s="596">
        <f>'5'!F81</f>
        <v>619883.64</v>
      </c>
      <c r="F81" s="736">
        <v>620002</v>
      </c>
      <c r="G81" s="549">
        <f t="shared" si="7"/>
        <v>118.35999999998603</v>
      </c>
      <c r="H81" s="536">
        <f>G81+'5'!H81</f>
        <v>748</v>
      </c>
      <c r="I81" s="581"/>
      <c r="J81" s="629">
        <f>H81/DAY(B2)</f>
        <v>124.66666666666667</v>
      </c>
      <c r="K81" s="469"/>
      <c r="L81" s="408"/>
      <c r="N81" s="413"/>
    </row>
    <row r="82" spans="1:15" ht="27.75">
      <c r="A82" s="1364" t="s">
        <v>100</v>
      </c>
      <c r="B82" s="1365"/>
      <c r="C82" s="1366"/>
      <c r="D82" s="561" t="s">
        <v>143</v>
      </c>
      <c r="E82" s="598">
        <f>'5'!F82</f>
        <v>104547</v>
      </c>
      <c r="F82" s="732">
        <v>104566</v>
      </c>
      <c r="G82" s="549">
        <f t="shared" si="7"/>
        <v>19</v>
      </c>
      <c r="H82" s="536">
        <f>G82+'5'!H82</f>
        <v>128</v>
      </c>
      <c r="I82" s="562"/>
      <c r="J82" s="629">
        <f>H82/DAY(B2)</f>
        <v>21.333333333333332</v>
      </c>
      <c r="K82" s="469"/>
      <c r="L82" s="408"/>
      <c r="N82" s="413"/>
    </row>
    <row r="83" spans="1:15" ht="27.75">
      <c r="A83" s="1364" t="s">
        <v>211</v>
      </c>
      <c r="B83" s="1365"/>
      <c r="C83" s="1366"/>
      <c r="D83" s="697" t="s">
        <v>143</v>
      </c>
      <c r="E83" s="587">
        <f>'5'!F83</f>
        <v>975173</v>
      </c>
      <c r="F83" s="587">
        <v>975490</v>
      </c>
      <c r="G83" s="549">
        <f t="shared" si="7"/>
        <v>317</v>
      </c>
      <c r="H83" s="536">
        <f>G83+'5'!H83</f>
        <v>2019</v>
      </c>
      <c r="I83" s="557"/>
      <c r="J83" s="629">
        <f>H83/DAY(B2)</f>
        <v>336.5</v>
      </c>
      <c r="K83" s="468"/>
      <c r="L83" s="408"/>
      <c r="N83" s="413"/>
    </row>
    <row r="84" spans="1:15">
      <c r="A84" s="1256" t="s">
        <v>212</v>
      </c>
      <c r="B84" s="648"/>
      <c r="C84" s="648"/>
      <c r="D84" s="554" t="s">
        <v>143</v>
      </c>
      <c r="E84" s="704">
        <f>'5'!F84</f>
        <v>399710</v>
      </c>
      <c r="F84" s="704">
        <v>400254</v>
      </c>
      <c r="G84" s="549">
        <f t="shared" si="7"/>
        <v>544</v>
      </c>
      <c r="H84" s="536">
        <f>G84+'5'!H84</f>
        <v>3058</v>
      </c>
      <c r="I84" s="557"/>
      <c r="J84" s="629">
        <f>H84/DAY(B2)</f>
        <v>509.66666666666669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2114.9199999999837</v>
      </c>
      <c r="H85" s="536">
        <f>G85+'5'!H85</f>
        <v>11666.559999999998</v>
      </c>
      <c r="I85" s="557"/>
      <c r="J85" s="629">
        <f>H85/DAY(B2)</f>
        <v>1944.4266666666663</v>
      </c>
      <c r="K85" s="411"/>
      <c r="L85" s="409"/>
      <c r="N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'5'!F86</f>
        <v>444598</v>
      </c>
      <c r="F86" s="728">
        <v>444688</v>
      </c>
      <c r="G86" s="805">
        <f t="shared" ref="G86:G90" si="8">F86-E86</f>
        <v>90</v>
      </c>
      <c r="H86" s="536">
        <f>G86+'5'!H86</f>
        <v>356</v>
      </c>
      <c r="I86" s="733"/>
      <c r="J86" s="807">
        <f>H86/DAY(B2)</f>
        <v>59.333333333333336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'5'!F87</f>
        <v>77823</v>
      </c>
      <c r="F87" s="728">
        <v>77852.800000000003</v>
      </c>
      <c r="G87" s="805">
        <f t="shared" si="8"/>
        <v>29.80000000000291</v>
      </c>
      <c r="H87" s="536">
        <f>G87+'5'!H87</f>
        <v>89.80000000000291</v>
      </c>
      <c r="I87" s="733"/>
      <c r="J87" s="807">
        <f>H87/DAY(B2)</f>
        <v>14.966666666667152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'5'!F88</f>
        <v>144784</v>
      </c>
      <c r="F88" s="728">
        <v>144821</v>
      </c>
      <c r="G88" s="805">
        <f t="shared" si="8"/>
        <v>37</v>
      </c>
      <c r="H88" s="536">
        <f>G88+'5'!H88</f>
        <v>237</v>
      </c>
      <c r="I88" s="733"/>
      <c r="J88" s="807">
        <f>H88/DAY(B2)</f>
        <v>39.5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'5'!F89</f>
        <v>57993</v>
      </c>
      <c r="F89" s="728">
        <v>58059.6</v>
      </c>
      <c r="G89" s="805">
        <f t="shared" si="8"/>
        <v>66.599999999998545</v>
      </c>
      <c r="H89" s="536">
        <f>G89+'5'!H89</f>
        <v>370.5</v>
      </c>
      <c r="I89" s="733"/>
      <c r="J89" s="807">
        <f>H89/DAY(B2)</f>
        <v>61.75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'5'!F90</f>
        <v>2992</v>
      </c>
      <c r="F90" s="728">
        <v>2996.9</v>
      </c>
      <c r="G90" s="805">
        <f t="shared" si="8"/>
        <v>4.9000000000000909</v>
      </c>
      <c r="H90" s="536">
        <f>G90+'5'!H90</f>
        <v>14.300000000000182</v>
      </c>
      <c r="I90" s="733"/>
      <c r="J90" s="807">
        <f>H90/DAY(B2)</f>
        <v>2.3833333333333635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88" t="s">
        <v>217</v>
      </c>
      <c r="B92" s="1389"/>
      <c r="C92" s="1390"/>
      <c r="D92" s="599" t="s">
        <v>155</v>
      </c>
      <c r="E92" s="560">
        <f>'5'!F92</f>
        <v>234281</v>
      </c>
      <c r="F92" s="554">
        <v>234344</v>
      </c>
      <c r="G92" s="549">
        <f t="shared" ref="G92:G93" si="9">F92-E92</f>
        <v>63</v>
      </c>
      <c r="H92" s="536">
        <f>G92+'5'!H92</f>
        <v>442</v>
      </c>
      <c r="I92" s="556"/>
      <c r="J92" s="629">
        <f>H92/DAY(B2)</f>
        <v>73.666666666666671</v>
      </c>
      <c r="K92" s="468"/>
      <c r="L92" s="408"/>
      <c r="N92" s="413"/>
    </row>
    <row r="93" spans="1:15" ht="27.75">
      <c r="A93" s="1388" t="s">
        <v>218</v>
      </c>
      <c r="B93" s="1389"/>
      <c r="C93" s="1390"/>
      <c r="D93" s="599" t="s">
        <v>155</v>
      </c>
      <c r="E93" s="560">
        <f>'5'!F93</f>
        <v>167566</v>
      </c>
      <c r="F93" s="554">
        <v>167674</v>
      </c>
      <c r="G93" s="549">
        <f t="shared" si="9"/>
        <v>108</v>
      </c>
      <c r="H93" s="536">
        <f>G93+'5'!H93</f>
        <v>758</v>
      </c>
      <c r="I93" s="556"/>
      <c r="J93" s="629">
        <f>H93/DAY(B2)</f>
        <v>126.33333333333333</v>
      </c>
      <c r="K93" s="411"/>
      <c r="L93" s="408"/>
      <c r="N93" s="413"/>
    </row>
    <row r="94" spans="1:15">
      <c r="A94" s="1419" t="s">
        <v>219</v>
      </c>
      <c r="B94" s="1420"/>
      <c r="C94" s="1421"/>
      <c r="D94" s="599"/>
      <c r="E94" s="560">
        <f>'5'!F94</f>
        <v>0</v>
      </c>
      <c r="F94" s="554"/>
      <c r="G94" s="549">
        <f>G92+G93</f>
        <v>171</v>
      </c>
      <c r="H94" s="536">
        <f>G94+'5'!H94</f>
        <v>926</v>
      </c>
      <c r="I94" s="556"/>
      <c r="J94" s="629">
        <f>H94/DAY(B2)</f>
        <v>154.33333333333334</v>
      </c>
      <c r="K94" s="411"/>
      <c r="L94" s="408"/>
      <c r="N94" s="413"/>
    </row>
    <row r="95" spans="1:15" ht="27.75">
      <c r="A95" s="1388" t="s">
        <v>220</v>
      </c>
      <c r="B95" s="1389"/>
      <c r="C95" s="1390"/>
      <c r="D95" s="599" t="s">
        <v>155</v>
      </c>
      <c r="E95" s="560">
        <f>'5'!F95</f>
        <v>403968</v>
      </c>
      <c r="F95" s="554">
        <v>404025</v>
      </c>
      <c r="G95" s="549">
        <f t="shared" ref="G95:G100" si="10">F95-E95</f>
        <v>57</v>
      </c>
      <c r="H95" s="536">
        <f>G95+'5'!H95</f>
        <v>360</v>
      </c>
      <c r="I95" s="556"/>
      <c r="J95" s="629">
        <f>H95/DAY(B2)</f>
        <v>60</v>
      </c>
      <c r="K95" s="411"/>
      <c r="L95" s="408"/>
      <c r="N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'5'!F96</f>
        <v>100022</v>
      </c>
      <c r="F96" s="554">
        <v>100043</v>
      </c>
      <c r="G96" s="549">
        <f t="shared" si="10"/>
        <v>21</v>
      </c>
      <c r="H96" s="536">
        <f>G96+'5'!H96</f>
        <v>122</v>
      </c>
      <c r="I96" s="556"/>
      <c r="J96" s="629">
        <f>H96/DAY(B2)</f>
        <v>20.333333333333332</v>
      </c>
      <c r="K96" s="466"/>
      <c r="L96" s="408"/>
      <c r="N96" s="413"/>
    </row>
    <row r="97" spans="1:14" ht="27.75">
      <c r="A97" s="1252" t="s">
        <v>222</v>
      </c>
      <c r="B97" s="1253"/>
      <c r="C97" s="1253"/>
      <c r="D97" s="599" t="s">
        <v>155</v>
      </c>
      <c r="E97" s="560">
        <f>'5'!F97</f>
        <v>95134</v>
      </c>
      <c r="F97" s="554">
        <v>95146</v>
      </c>
      <c r="G97" s="549">
        <f t="shared" si="10"/>
        <v>12</v>
      </c>
      <c r="H97" s="536">
        <f>G97+'5'!H97</f>
        <v>119</v>
      </c>
      <c r="I97" s="556"/>
      <c r="J97" s="629">
        <f>H97/DAY(B2)</f>
        <v>19.833333333333332</v>
      </c>
      <c r="K97" s="471"/>
      <c r="L97" s="408"/>
      <c r="N97" s="413"/>
    </row>
    <row r="98" spans="1:14" ht="27.75">
      <c r="A98" s="1252" t="s">
        <v>223</v>
      </c>
      <c r="B98" s="1253"/>
      <c r="C98" s="1253"/>
      <c r="D98" s="599" t="s">
        <v>155</v>
      </c>
      <c r="E98" s="560">
        <f>'5'!F98</f>
        <v>144109</v>
      </c>
      <c r="F98" s="554">
        <v>144161</v>
      </c>
      <c r="G98" s="549">
        <f t="shared" si="10"/>
        <v>52</v>
      </c>
      <c r="H98" s="536">
        <f>G98+'5'!H98</f>
        <v>354</v>
      </c>
      <c r="I98" s="556"/>
      <c r="J98" s="629">
        <f>H98/DAY(B2)</f>
        <v>59</v>
      </c>
      <c r="K98" s="411"/>
      <c r="L98" s="408"/>
      <c r="N98" s="787"/>
    </row>
    <row r="99" spans="1:14" ht="27.75">
      <c r="A99" s="1252" t="s">
        <v>224</v>
      </c>
      <c r="B99" s="1253"/>
      <c r="C99" s="1253"/>
      <c r="D99" s="599" t="s">
        <v>155</v>
      </c>
      <c r="E99" s="560">
        <f>'5'!F99</f>
        <v>5568</v>
      </c>
      <c r="F99" s="554">
        <v>5574</v>
      </c>
      <c r="G99" s="549">
        <f t="shared" si="10"/>
        <v>6</v>
      </c>
      <c r="H99" s="536">
        <f>G99+'5'!H99</f>
        <v>72</v>
      </c>
      <c r="I99" s="556"/>
      <c r="J99" s="629">
        <f>H99/DAY(B2)</f>
        <v>12</v>
      </c>
      <c r="K99" s="411"/>
      <c r="L99" s="408"/>
      <c r="N99" s="413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'5'!F100</f>
        <v>4003</v>
      </c>
      <c r="F100" s="554">
        <v>4007</v>
      </c>
      <c r="G100" s="549">
        <f t="shared" si="10"/>
        <v>4</v>
      </c>
      <c r="H100" s="536">
        <f>G100+'5'!H100</f>
        <v>43</v>
      </c>
      <c r="I100" s="556"/>
      <c r="J100" s="629">
        <f>H100/DAY(B2)</f>
        <v>7.166666666666667</v>
      </c>
      <c r="K100" s="411"/>
      <c r="L100" s="408"/>
      <c r="N100" s="413"/>
    </row>
    <row r="101" spans="1:14">
      <c r="A101" s="1419" t="s">
        <v>227</v>
      </c>
      <c r="B101" s="1420"/>
      <c r="C101" s="1421"/>
      <c r="D101" s="600"/>
      <c r="E101" s="600"/>
      <c r="F101" s="600"/>
      <c r="G101" s="601">
        <f>SUM(G95:G100)</f>
        <v>152</v>
      </c>
      <c r="H101" s="536">
        <f>G101+'5'!H101</f>
        <v>1070</v>
      </c>
      <c r="I101" s="602"/>
      <c r="J101" s="629">
        <f>H101/DAY(B2)</f>
        <v>178.33333333333334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22" t="s">
        <v>229</v>
      </c>
      <c r="B103" s="1423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80" t="s">
        <v>230</v>
      </c>
      <c r="B104" s="1381"/>
      <c r="C104" s="1251"/>
      <c r="D104" s="699" t="s">
        <v>155</v>
      </c>
      <c r="E104" s="608">
        <f>'5'!F104</f>
        <v>7010</v>
      </c>
      <c r="F104" s="739">
        <v>7010</v>
      </c>
      <c r="G104" s="608">
        <f>F104-E104</f>
        <v>0</v>
      </c>
      <c r="H104" s="536">
        <f>G104+'5'!H104</f>
        <v>0</v>
      </c>
      <c r="I104" s="608"/>
      <c r="J104" s="635">
        <f>H104/DAY(B2)</f>
        <v>0</v>
      </c>
      <c r="N104" s="413"/>
    </row>
    <row r="105" spans="1:14" s="481" customFormat="1" ht="27.75">
      <c r="A105" s="1380" t="s">
        <v>77</v>
      </c>
      <c r="B105" s="1381"/>
      <c r="C105" s="1251"/>
      <c r="D105" s="699" t="s">
        <v>155</v>
      </c>
      <c r="E105" s="608">
        <f>'5'!F105</f>
        <v>34959</v>
      </c>
      <c r="F105" s="740">
        <v>34965</v>
      </c>
      <c r="G105" s="608">
        <f t="shared" ref="G105" si="11">F105-E105</f>
        <v>6</v>
      </c>
      <c r="H105" s="536">
        <f>G105+'5'!H105</f>
        <v>51</v>
      </c>
      <c r="I105" s="608"/>
      <c r="J105" s="635">
        <f>H105/DAY(B2)</f>
        <v>8.5</v>
      </c>
      <c r="N105" s="413"/>
    </row>
    <row r="106" spans="1:14" s="481" customFormat="1" ht="27.75">
      <c r="A106" s="1380" t="s">
        <v>78</v>
      </c>
      <c r="B106" s="1424"/>
      <c r="C106" s="1381"/>
      <c r="D106" s="699" t="s">
        <v>155</v>
      </c>
      <c r="E106" s="608">
        <f>'5'!F106</f>
        <v>18914</v>
      </c>
      <c r="F106" s="739">
        <v>18921</v>
      </c>
      <c r="G106" s="608">
        <f>F106-E106</f>
        <v>7</v>
      </c>
      <c r="H106" s="536">
        <f>G106+'5'!H106</f>
        <v>37</v>
      </c>
      <c r="I106" s="608"/>
      <c r="J106" s="635">
        <f>H106/DAY(B2)</f>
        <v>6.166666666666667</v>
      </c>
      <c r="N106" s="413"/>
    </row>
    <row r="107" spans="1:14" s="481" customFormat="1" ht="27.75">
      <c r="A107" s="1382" t="s">
        <v>213</v>
      </c>
      <c r="B107" s="1383"/>
      <c r="C107" s="1251"/>
      <c r="D107" s="699"/>
      <c r="E107" s="608"/>
      <c r="F107" s="739"/>
      <c r="G107" s="608">
        <f>SUM(G104:G106)</f>
        <v>13</v>
      </c>
      <c r="H107" s="536">
        <f>G107+'5'!H107</f>
        <v>88</v>
      </c>
      <c r="I107" s="608"/>
      <c r="J107" s="635">
        <f>H107/DAY(B2)</f>
        <v>14.666666666666666</v>
      </c>
      <c r="N107" s="413"/>
    </row>
    <row r="108" spans="1:14" s="481" customFormat="1" ht="27.75">
      <c r="A108" s="1386" t="s">
        <v>79</v>
      </c>
      <c r="B108" s="1387"/>
      <c r="C108" s="1251"/>
      <c r="D108" s="699" t="s">
        <v>155</v>
      </c>
      <c r="E108" s="608"/>
      <c r="F108" s="739"/>
      <c r="G108" s="608"/>
      <c r="H108" s="536">
        <f>G108+'5'!H108</f>
        <v>0</v>
      </c>
      <c r="I108" s="608"/>
      <c r="J108" s="635"/>
      <c r="N108" s="413"/>
    </row>
    <row r="109" spans="1:14" s="481" customFormat="1" ht="27.75">
      <c r="A109" s="1380" t="s">
        <v>231</v>
      </c>
      <c r="B109" s="1381"/>
      <c r="C109" s="1251"/>
      <c r="D109" s="699" t="s">
        <v>155</v>
      </c>
      <c r="E109" s="608">
        <f>'5'!F109</f>
        <v>53325</v>
      </c>
      <c r="F109" s="739">
        <v>53357</v>
      </c>
      <c r="G109" s="608">
        <f>F109-E109</f>
        <v>32</v>
      </c>
      <c r="H109" s="536">
        <f>G109+'5'!H109</f>
        <v>411</v>
      </c>
      <c r="I109" s="608"/>
      <c r="J109" s="635">
        <f>H109/DAY(B2)</f>
        <v>68.5</v>
      </c>
      <c r="N109" s="413"/>
    </row>
    <row r="110" spans="1:14" s="481" customFormat="1" ht="27.75">
      <c r="A110" s="1380" t="s">
        <v>232</v>
      </c>
      <c r="B110" s="1381"/>
      <c r="C110" s="1251"/>
      <c r="D110" s="699" t="s">
        <v>155</v>
      </c>
      <c r="E110" s="608">
        <f>'5'!F110</f>
        <v>27155</v>
      </c>
      <c r="F110" s="739">
        <v>27215</v>
      </c>
      <c r="G110" s="608">
        <f>F110-E110</f>
        <v>60</v>
      </c>
      <c r="H110" s="536">
        <f>G110+'5'!H110</f>
        <v>355</v>
      </c>
      <c r="I110" s="608"/>
      <c r="J110" s="635">
        <f>H110/DAY(B2)</f>
        <v>59.166666666666664</v>
      </c>
      <c r="N110" s="413"/>
    </row>
    <row r="111" spans="1:14" s="481" customFormat="1" ht="27.75">
      <c r="A111" s="1380" t="s">
        <v>233</v>
      </c>
      <c r="B111" s="1381"/>
      <c r="C111" s="1251"/>
      <c r="D111" s="699" t="s">
        <v>155</v>
      </c>
      <c r="E111" s="608">
        <f>'5'!F111</f>
        <v>3597</v>
      </c>
      <c r="F111" s="739">
        <v>3597</v>
      </c>
      <c r="G111" s="608">
        <f t="shared" ref="G111" si="12">F111-E111</f>
        <v>0</v>
      </c>
      <c r="H111" s="536">
        <f>G111+'5'!H111</f>
        <v>30</v>
      </c>
      <c r="I111" s="608"/>
      <c r="J111" s="635">
        <f>H111/DAY(B2)</f>
        <v>5</v>
      </c>
      <c r="N111" s="413"/>
    </row>
    <row r="112" spans="1:14" s="481" customFormat="1" ht="27.75">
      <c r="A112" s="1382" t="s">
        <v>121</v>
      </c>
      <c r="B112" s="1383"/>
      <c r="C112" s="1251"/>
      <c r="D112" s="699"/>
      <c r="E112" s="608"/>
      <c r="F112" s="739"/>
      <c r="G112" s="608">
        <f>SUM(G109:G111)</f>
        <v>92</v>
      </c>
      <c r="H112" s="536">
        <f>G112+'5'!H112</f>
        <v>796</v>
      </c>
      <c r="I112" s="608"/>
      <c r="J112" s="635">
        <f>H112/DAY(B2)</f>
        <v>132.66666666666666</v>
      </c>
      <c r="N112" s="413"/>
    </row>
    <row r="113" spans="1:14" s="481" customFormat="1" ht="27.75">
      <c r="A113" s="1386" t="s">
        <v>234</v>
      </c>
      <c r="B113" s="1387"/>
      <c r="C113" s="1251"/>
      <c r="D113" s="699"/>
      <c r="E113" s="608"/>
      <c r="F113" s="739"/>
      <c r="G113" s="608"/>
      <c r="H113" s="536">
        <f>G113+'5'!H113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0" t="s">
        <v>235</v>
      </c>
      <c r="B114" s="1381"/>
      <c r="C114" s="651"/>
      <c r="D114" s="699" t="s">
        <v>155</v>
      </c>
      <c r="E114" s="608">
        <f>'5'!F114</f>
        <v>9319</v>
      </c>
      <c r="F114" s="740">
        <v>9327</v>
      </c>
      <c r="G114" s="610">
        <f>F114-E114</f>
        <v>8</v>
      </c>
      <c r="H114" s="536">
        <f>G114+'5'!H114</f>
        <v>99</v>
      </c>
      <c r="I114" s="608"/>
      <c r="J114" s="635">
        <f>H114/DAY(B2)</f>
        <v>16.5</v>
      </c>
      <c r="N114" s="413"/>
    </row>
    <row r="115" spans="1:14" s="481" customFormat="1" ht="27.75">
      <c r="A115" s="1380" t="s">
        <v>236</v>
      </c>
      <c r="B115" s="1381"/>
      <c r="C115" s="651"/>
      <c r="D115" s="699" t="s">
        <v>155</v>
      </c>
      <c r="E115" s="608">
        <f>'5'!F115</f>
        <v>7224</v>
      </c>
      <c r="F115" s="740">
        <v>7228</v>
      </c>
      <c r="G115" s="610">
        <f t="shared" ref="G115:G116" si="13">F115-E115</f>
        <v>4</v>
      </c>
      <c r="H115" s="536">
        <f>G115+'5'!H115</f>
        <v>41</v>
      </c>
      <c r="I115" s="608"/>
      <c r="J115" s="635">
        <f>H115/DAY(B2)</f>
        <v>6.833333333333333</v>
      </c>
      <c r="N115" s="413"/>
    </row>
    <row r="116" spans="1:14" s="481" customFormat="1" ht="27.75">
      <c r="A116" s="1380" t="s">
        <v>237</v>
      </c>
      <c r="B116" s="1381"/>
      <c r="C116" s="651"/>
      <c r="D116" s="699" t="s">
        <v>155</v>
      </c>
      <c r="E116" s="610"/>
      <c r="F116" s="740"/>
      <c r="G116" s="610">
        <f t="shared" si="13"/>
        <v>0</v>
      </c>
      <c r="H116" s="536">
        <f>G116+'5'!H116</f>
        <v>0</v>
      </c>
      <c r="I116" s="608"/>
      <c r="J116" s="635">
        <f>H116/DAY(B2)</f>
        <v>0</v>
      </c>
      <c r="N116" s="413"/>
    </row>
    <row r="117" spans="1:14" s="494" customFormat="1" ht="27.75">
      <c r="A117" s="1382" t="s">
        <v>213</v>
      </c>
      <c r="B117" s="1383"/>
      <c r="C117" s="651"/>
      <c r="D117" s="700"/>
      <c r="E117" s="610"/>
      <c r="F117" s="740"/>
      <c r="G117" s="610">
        <f>SUM(G114:G116)</f>
        <v>12</v>
      </c>
      <c r="H117" s="536">
        <f>G117+'5'!H117</f>
        <v>140</v>
      </c>
      <c r="I117" s="610"/>
      <c r="J117" s="635">
        <f>H117/DAY(B2)</f>
        <v>23.333333333333332</v>
      </c>
      <c r="N117" s="413"/>
    </row>
    <row r="118" spans="1:14" s="495" customFormat="1" ht="27.75">
      <c r="A118" s="1376" t="s">
        <v>238</v>
      </c>
      <c r="B118" s="1377"/>
      <c r="C118" s="1249"/>
      <c r="D118" s="701" t="s">
        <v>155</v>
      </c>
      <c r="E118" s="612"/>
      <c r="F118" s="741">
        <f>SUM(G19+G92)</f>
        <v>111</v>
      </c>
      <c r="G118" s="612">
        <f>SUM(G19+G92)</f>
        <v>111</v>
      </c>
      <c r="H118" s="536">
        <f>G118+'5'!H118</f>
        <v>744</v>
      </c>
      <c r="I118" s="611"/>
      <c r="J118" s="636">
        <f>H118/DAY(B2)</f>
        <v>124</v>
      </c>
      <c r="N118" s="413"/>
    </row>
    <row r="119" spans="1:14" s="495" customFormat="1" ht="27.75">
      <c r="A119" s="1376" t="s">
        <v>239</v>
      </c>
      <c r="B119" s="1377"/>
      <c r="C119" s="1249"/>
      <c r="D119" s="701" t="s">
        <v>155</v>
      </c>
      <c r="E119" s="612"/>
      <c r="F119" s="741">
        <f>SUM(G95,G96,G97,G99,G100)</f>
        <v>100</v>
      </c>
      <c r="G119" s="612">
        <f>SUM(G95,G96,G97,G99,G100)</f>
        <v>100</v>
      </c>
      <c r="H119" s="536">
        <f>G119+'5'!H119</f>
        <v>716</v>
      </c>
      <c r="I119" s="611"/>
      <c r="J119" s="636">
        <f>H119/DAY(B2)</f>
        <v>119.33333333333333</v>
      </c>
      <c r="N119" s="413"/>
    </row>
    <row r="120" spans="1:14" s="495" customFormat="1" ht="27.75">
      <c r="A120" s="1376" t="s">
        <v>240</v>
      </c>
      <c r="B120" s="1377"/>
      <c r="C120" s="1249"/>
      <c r="D120" s="701" t="s">
        <v>155</v>
      </c>
      <c r="E120" s="610"/>
      <c r="F120" s="740">
        <f>SUM(G112)</f>
        <v>92</v>
      </c>
      <c r="G120" s="610">
        <f>SUM(G112)</f>
        <v>92</v>
      </c>
      <c r="H120" s="536">
        <f>G120+'5'!H120</f>
        <v>796</v>
      </c>
      <c r="I120" s="611"/>
      <c r="J120" s="636">
        <f>H120/DAY(B2)</f>
        <v>132.66666666666666</v>
      </c>
      <c r="N120" s="413"/>
    </row>
    <row r="121" spans="1:14" s="481" customFormat="1" ht="27.75">
      <c r="A121" s="1378"/>
      <c r="B121" s="1379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16" t="s">
        <v>241</v>
      </c>
      <c r="B122" s="1417"/>
      <c r="C122" s="1418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'5'!F123</f>
        <v>796704.49</v>
      </c>
      <c r="F123" s="554">
        <v>796905</v>
      </c>
      <c r="G123" s="549">
        <f t="shared" ref="G123:G127" si="14">F123-E123</f>
        <v>200.51000000000931</v>
      </c>
      <c r="H123" s="536">
        <f>G123+'5'!H123</f>
        <v>1480.9499999999534</v>
      </c>
      <c r="I123" s="602"/>
      <c r="J123" s="629">
        <f>H123/DAY(B2)</f>
        <v>246.82499999999223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703">
        <f>'5'!F124</f>
        <v>73582</v>
      </c>
      <c r="F124" s="703">
        <v>73582</v>
      </c>
      <c r="G124" s="549">
        <f t="shared" si="14"/>
        <v>0</v>
      </c>
      <c r="H124" s="536">
        <f>G124+'5'!H124</f>
        <v>-0.19999999999708962</v>
      </c>
      <c r="I124" s="602"/>
      <c r="J124" s="629">
        <f>H124/DAY(B2)</f>
        <v>-3.3333333332848269E-2</v>
      </c>
      <c r="K124" s="411"/>
      <c r="L124" s="408"/>
      <c r="N124" s="413"/>
    </row>
    <row r="125" spans="1:14" ht="27.75">
      <c r="A125" s="1367" t="s">
        <v>244</v>
      </c>
      <c r="B125" s="1368"/>
      <c r="C125" s="1369"/>
      <c r="D125" s="599" t="s">
        <v>152</v>
      </c>
      <c r="E125" s="554">
        <f>'5'!F125</f>
        <v>135919</v>
      </c>
      <c r="F125" s="554">
        <v>135977</v>
      </c>
      <c r="G125" s="549">
        <f t="shared" si="14"/>
        <v>58</v>
      </c>
      <c r="H125" s="536">
        <f>G125+'5'!H125</f>
        <v>386.32999999998719</v>
      </c>
      <c r="I125" s="602"/>
      <c r="J125" s="629">
        <f>H125/DAY(B2)</f>
        <v>64.388333333331204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703">
        <f>'5'!F126</f>
        <v>57532</v>
      </c>
      <c r="F126" s="703">
        <v>57561</v>
      </c>
      <c r="G126" s="549">
        <f t="shared" si="14"/>
        <v>29</v>
      </c>
      <c r="H126" s="536">
        <f>G126+'5'!H126</f>
        <v>180</v>
      </c>
      <c r="I126" s="602"/>
      <c r="J126" s="629">
        <f>H126/DAY(B2)</f>
        <v>30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703">
        <f>'5'!F127</f>
        <v>8716</v>
      </c>
      <c r="F127" s="703">
        <v>8718</v>
      </c>
      <c r="G127" s="549">
        <f t="shared" si="14"/>
        <v>2</v>
      </c>
      <c r="H127" s="536">
        <f>G127+'5'!H127</f>
        <v>12</v>
      </c>
      <c r="I127" s="556"/>
      <c r="J127" s="629">
        <f>H127/DAY(B2)</f>
        <v>2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405.18999999994412</v>
      </c>
      <c r="H128" s="536">
        <f>G128+'5'!H128</f>
        <v>2251.5199999999168</v>
      </c>
      <c r="I128" s="556"/>
      <c r="J128" s="629">
        <f>H128/DAY(B2)</f>
        <v>375.25333333331946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'5'!F130</f>
        <v>0</v>
      </c>
      <c r="F130" s="554">
        <v>0</v>
      </c>
      <c r="G130" s="549">
        <f t="shared" ref="G130:G140" si="15">F130-E130</f>
        <v>0</v>
      </c>
      <c r="H130" s="536">
        <f>G130+'5'!H130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'5'!F131</f>
        <v>0</v>
      </c>
      <c r="F131" s="554">
        <v>0</v>
      </c>
      <c r="G131" s="549">
        <f t="shared" si="15"/>
        <v>0</v>
      </c>
      <c r="H131" s="536">
        <f>G131+'5'!H131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782">
        <f>'5'!F132</f>
        <v>38901</v>
      </c>
      <c r="F132" s="703">
        <v>38901</v>
      </c>
      <c r="G132" s="549">
        <f t="shared" si="15"/>
        <v>0</v>
      </c>
      <c r="H132" s="536">
        <f>G132+'5'!H132</f>
        <v>0</v>
      </c>
      <c r="I132" s="556"/>
      <c r="J132" s="629">
        <f>H132/DAY(B2)</f>
        <v>0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782">
        <f>'5'!F133</f>
        <v>299</v>
      </c>
      <c r="F133" s="703">
        <v>299</v>
      </c>
      <c r="G133" s="549">
        <f t="shared" si="15"/>
        <v>0</v>
      </c>
      <c r="H133" s="536">
        <f>G133+'5'!H133</f>
        <v>0</v>
      </c>
      <c r="I133" s="556">
        <f>G132+G133+G134+G135</f>
        <v>24.469999999997526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782">
        <f>'5'!F134</f>
        <v>39735</v>
      </c>
      <c r="F134" s="703">
        <v>39735</v>
      </c>
      <c r="G134" s="549">
        <f t="shared" si="15"/>
        <v>0</v>
      </c>
      <c r="H134" s="536">
        <f>G134+'5'!H134</f>
        <v>0</v>
      </c>
      <c r="I134" s="556"/>
      <c r="J134" s="629">
        <f>H134/DAY(B2)</f>
        <v>0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598">
        <f>'5'!F135</f>
        <v>32287.56</v>
      </c>
      <c r="F135" s="561">
        <v>32312.03</v>
      </c>
      <c r="G135" s="549">
        <f t="shared" si="15"/>
        <v>24.469999999997526</v>
      </c>
      <c r="H135" s="536">
        <f>G135+'5'!H135</f>
        <v>144.63999999999942</v>
      </c>
      <c r="I135" s="556"/>
      <c r="J135" s="629">
        <f>H135/DAY(B2)</f>
        <v>24.10666666666657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'5'!F136</f>
        <v>21827</v>
      </c>
      <c r="F136" s="732">
        <v>21834.38</v>
      </c>
      <c r="G136" s="549">
        <f t="shared" si="15"/>
        <v>7.3800000000010186</v>
      </c>
      <c r="H136" s="536">
        <f>G136+'5'!H136</f>
        <v>32.680000000000291</v>
      </c>
      <c r="I136" s="556">
        <f>G136+G137+G138</f>
        <v>7.3800000000010186</v>
      </c>
      <c r="J136" s="629">
        <f>H136/DAY(B2)</f>
        <v>5.4466666666667152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'5'!F137</f>
        <v>24990.61</v>
      </c>
      <c r="F137" s="732">
        <v>24990.61</v>
      </c>
      <c r="G137" s="549">
        <f t="shared" si="15"/>
        <v>0</v>
      </c>
      <c r="H137" s="536">
        <f>G137+'5'!H137</f>
        <v>0</v>
      </c>
      <c r="I137" s="556"/>
      <c r="J137" s="629">
        <f>H137/DAY(B2)</f>
        <v>0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618">
        <f>'5'!F138</f>
        <v>70019.45</v>
      </c>
      <c r="F138" s="732">
        <v>70019.45</v>
      </c>
      <c r="G138" s="549">
        <f t="shared" si="15"/>
        <v>0</v>
      </c>
      <c r="H138" s="536">
        <f>G138+'5'!H138</f>
        <v>13.080000000001746</v>
      </c>
      <c r="I138" s="556"/>
      <c r="J138" s="629">
        <f>H138/DAY(B2)</f>
        <v>2.180000000000291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782">
        <f>'5'!F139</f>
        <v>1063</v>
      </c>
      <c r="F139" s="703">
        <v>1063</v>
      </c>
      <c r="G139" s="549">
        <f t="shared" si="15"/>
        <v>0</v>
      </c>
      <c r="H139" s="536">
        <f>G139+'5'!H139</f>
        <v>0</v>
      </c>
      <c r="I139" s="619">
        <f>G140+G1277</f>
        <v>6.5900000000001455</v>
      </c>
      <c r="J139" s="629">
        <f>H139/DAY(B2)</f>
        <v>0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'5'!F140</f>
        <v>4274.74</v>
      </c>
      <c r="F140" s="554">
        <v>4281.33</v>
      </c>
      <c r="G140" s="549">
        <f t="shared" si="15"/>
        <v>6.5900000000001455</v>
      </c>
      <c r="H140" s="536">
        <f>G140+'5'!H140</f>
        <v>48.920000000000073</v>
      </c>
      <c r="I140" s="619"/>
      <c r="J140" s="629">
        <f>H140/DAY(B2)</f>
        <v>8.1533333333333449</v>
      </c>
      <c r="N140" s="413"/>
    </row>
    <row r="141" spans="1:14">
      <c r="A141" s="1397" t="s">
        <v>261</v>
      </c>
      <c r="B141" s="1398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388" t="s">
        <v>262</v>
      </c>
      <c r="B142" s="1389"/>
      <c r="C142" s="1390"/>
      <c r="D142" s="599" t="s">
        <v>143</v>
      </c>
      <c r="E142" s="599"/>
      <c r="F142" s="599"/>
      <c r="G142" s="536">
        <f>G35+G43+G49+G57</f>
        <v>4855.2699999999895</v>
      </c>
      <c r="H142" s="536">
        <f>G142+'5'!H142</f>
        <v>29250.369999999937</v>
      </c>
      <c r="I142" s="556"/>
      <c r="J142" s="629">
        <f>H142/DAY(B2)</f>
        <v>4875.0616666666565</v>
      </c>
      <c r="K142" s="411"/>
      <c r="L142" s="408"/>
      <c r="N142" s="413"/>
    </row>
    <row r="143" spans="1:14" ht="27.75">
      <c r="A143" s="1388" t="s">
        <v>263</v>
      </c>
      <c r="B143" s="1389"/>
      <c r="C143" s="1390"/>
      <c r="D143" s="599" t="s">
        <v>24</v>
      </c>
      <c r="E143" s="587"/>
      <c r="F143" s="587"/>
      <c r="G143" s="620">
        <f>G142/G7</f>
        <v>0.27217164639273445</v>
      </c>
      <c r="H143" s="536">
        <f>G143+'5'!H143</f>
        <v>1.3841585621311177</v>
      </c>
      <c r="I143" s="621"/>
      <c r="J143" s="629">
        <f>H143/DAY(B2)</f>
        <v>0.23069309368851962</v>
      </c>
      <c r="K143" s="411"/>
      <c r="L143" s="408"/>
      <c r="N143" s="413"/>
    </row>
    <row r="144" spans="1:14" ht="27.75">
      <c r="A144" s="1388" t="s">
        <v>264</v>
      </c>
      <c r="B144" s="1389"/>
      <c r="C144" s="1390"/>
      <c r="D144" s="599" t="s">
        <v>143</v>
      </c>
      <c r="E144" s="531"/>
      <c r="F144" s="531"/>
      <c r="G144" s="536">
        <f>G41+G42+G55+G56</f>
        <v>3389</v>
      </c>
      <c r="H144" s="536">
        <f>G144+'5'!H144</f>
        <v>24801.840000000026</v>
      </c>
      <c r="I144" s="556"/>
      <c r="J144" s="629">
        <f>H144/DAY(B2)</f>
        <v>4133.640000000004</v>
      </c>
      <c r="K144" s="411"/>
      <c r="L144" s="408"/>
      <c r="N144" s="413"/>
    </row>
    <row r="145" spans="1:14" ht="27.75">
      <c r="A145" s="1388" t="s">
        <v>265</v>
      </c>
      <c r="B145" s="1389"/>
      <c r="C145" s="1390"/>
      <c r="D145" s="599" t="s">
        <v>24</v>
      </c>
      <c r="E145" s="531"/>
      <c r="F145" s="531"/>
      <c r="G145" s="620">
        <f>G144/G7</f>
        <v>0.18997701664891531</v>
      </c>
      <c r="H145" s="536">
        <f>G145+'5'!H145</f>
        <v>1.3089305261145023</v>
      </c>
      <c r="I145" s="621"/>
      <c r="J145" s="629">
        <f>H145/DAY(B2)</f>
        <v>0.2181550876857504</v>
      </c>
      <c r="K145" s="411"/>
      <c r="L145" s="408"/>
      <c r="N145" s="413"/>
    </row>
    <row r="146" spans="1:14" ht="27.75">
      <c r="A146" s="1388" t="s">
        <v>266</v>
      </c>
      <c r="B146" s="1389"/>
      <c r="C146" s="1390"/>
      <c r="D146" s="599" t="s">
        <v>143</v>
      </c>
      <c r="E146" s="531"/>
      <c r="F146" s="531"/>
      <c r="G146" s="536">
        <f>G39+G53</f>
        <v>3789</v>
      </c>
      <c r="H146" s="536">
        <f>G146+'5'!H146</f>
        <v>24105.03</v>
      </c>
      <c r="I146" s="622"/>
      <c r="J146" s="629">
        <f>H146/DAY(B2)</f>
        <v>4017.5049999999997</v>
      </c>
      <c r="K146" s="411"/>
      <c r="L146" s="408"/>
      <c r="N146" s="413"/>
    </row>
    <row r="147" spans="1:14" ht="27.75">
      <c r="A147" s="1388" t="s">
        <v>267</v>
      </c>
      <c r="B147" s="1389"/>
      <c r="C147" s="1390"/>
      <c r="D147" s="599" t="s">
        <v>24</v>
      </c>
      <c r="E147" s="531"/>
      <c r="F147" s="531"/>
      <c r="G147" s="620">
        <f>G146/G7</f>
        <v>0.21239979819496607</v>
      </c>
      <c r="H147" s="536">
        <f>G147+'5'!H147</f>
        <v>1.2779122563538237</v>
      </c>
      <c r="I147" s="622"/>
      <c r="J147" s="629">
        <f>H147/DAY(B2)</f>
        <v>0.21298537605897061</v>
      </c>
      <c r="N147" s="413"/>
    </row>
    <row r="148" spans="1:14" ht="27.75">
      <c r="A148" s="1388" t="s">
        <v>268</v>
      </c>
      <c r="B148" s="1389"/>
      <c r="C148" s="1390"/>
      <c r="D148" s="599" t="s">
        <v>194</v>
      </c>
      <c r="E148" s="531"/>
      <c r="F148" s="531"/>
      <c r="G148" s="536">
        <f>G38+G52</f>
        <v>1958</v>
      </c>
      <c r="H148" s="536">
        <f>G148+'5'!H148</f>
        <v>11976.75</v>
      </c>
      <c r="I148" s="556"/>
      <c r="J148" s="629">
        <f>H148/DAY(B2)</f>
        <v>1996.125</v>
      </c>
      <c r="K148" s="412"/>
      <c r="N148" s="413"/>
    </row>
    <row r="149" spans="1:14" ht="27.75">
      <c r="A149" s="1388" t="s">
        <v>269</v>
      </c>
      <c r="B149" s="1389"/>
      <c r="C149" s="1390"/>
      <c r="D149" s="599" t="s">
        <v>24</v>
      </c>
      <c r="E149" s="531"/>
      <c r="F149" s="531"/>
      <c r="G149" s="620">
        <f>G148/G7</f>
        <v>0.10975951566791861</v>
      </c>
      <c r="H149" s="536">
        <f>G149+'5'!H149</f>
        <v>0.63488033110445408</v>
      </c>
      <c r="I149" s="622"/>
      <c r="J149" s="629">
        <f>H149/DAY(B2)</f>
        <v>0.10581338851740901</v>
      </c>
      <c r="N149" s="413"/>
    </row>
    <row r="150" spans="1:14" ht="27.75">
      <c r="A150" s="1388" t="s">
        <v>270</v>
      </c>
      <c r="B150" s="1389"/>
      <c r="C150" s="1390"/>
      <c r="D150" s="599" t="s">
        <v>194</v>
      </c>
      <c r="E150" s="531"/>
      <c r="F150" s="531"/>
      <c r="G150" s="536">
        <f>G36+G50</f>
        <v>1771.6000000000058</v>
      </c>
      <c r="H150" s="536">
        <f>G150+'5'!H150</f>
        <v>10370.5</v>
      </c>
      <c r="I150" s="622"/>
      <c r="J150" s="629">
        <f>H150/DAY(B2)</f>
        <v>1728.4166666666667</v>
      </c>
      <c r="N150" s="413"/>
    </row>
    <row r="151" spans="1:14" ht="27.75">
      <c r="A151" s="1388" t="s">
        <v>271</v>
      </c>
      <c r="B151" s="1389"/>
      <c r="C151" s="1390"/>
      <c r="D151" s="599" t="s">
        <v>24</v>
      </c>
      <c r="E151" s="531"/>
      <c r="F151" s="531"/>
      <c r="G151" s="620">
        <f>G150/G7</f>
        <v>9.9310499467459262E-2</v>
      </c>
      <c r="H151" s="536">
        <f>G151+'5'!H151</f>
        <v>0.55106647697562128</v>
      </c>
      <c r="I151" s="556"/>
      <c r="J151" s="629">
        <f>H151/DAY(B2)</f>
        <v>9.1844412829270208E-2</v>
      </c>
      <c r="N151" s="413"/>
    </row>
    <row r="152" spans="1:14" ht="27.75">
      <c r="A152" s="1388" t="s">
        <v>272</v>
      </c>
      <c r="B152" s="1389"/>
      <c r="C152" s="1390"/>
      <c r="D152" s="599" t="s">
        <v>194</v>
      </c>
      <c r="E152" s="531"/>
      <c r="F152" s="531"/>
      <c r="G152" s="536">
        <f>G37+G51</f>
        <v>1400.5200000000041</v>
      </c>
      <c r="H152" s="536">
        <f>G152+'5'!H152</f>
        <v>8419.89</v>
      </c>
      <c r="I152" s="556"/>
      <c r="J152" s="629">
        <f>H152/DAY(B2)</f>
        <v>1403.3149999999998</v>
      </c>
      <c r="N152" s="413"/>
    </row>
    <row r="153" spans="1:14" ht="28.5" thickBot="1">
      <c r="A153" s="1394" t="s">
        <v>273</v>
      </c>
      <c r="B153" s="1395"/>
      <c r="C153" s="1396"/>
      <c r="D153" s="702" t="s">
        <v>24</v>
      </c>
      <c r="E153" s="642"/>
      <c r="F153" s="642"/>
      <c r="G153" s="643">
        <f>G152/G7</f>
        <v>7.850888502718785E-2</v>
      </c>
      <c r="H153" s="536">
        <f>G153+'5'!H153</f>
        <v>0.44692104733779336</v>
      </c>
      <c r="I153" s="645"/>
      <c r="J153" s="646">
        <f>H153/DAY(B2)</f>
        <v>7.4486841222965561E-2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25" t="s">
        <v>278</v>
      </c>
      <c r="B157" s="1426"/>
      <c r="C157" s="1426"/>
      <c r="D157" s="1426"/>
      <c r="E157" s="1426"/>
      <c r="F157" s="1426"/>
      <c r="G157" s="1427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739">
        <v>26426.53</v>
      </c>
      <c r="F160" s="739">
        <v>26499.25</v>
      </c>
      <c r="G160" s="549">
        <f t="shared" ref="G160:G171" si="16">F160-E160</f>
        <v>72.720000000001164</v>
      </c>
    </row>
    <row r="161" spans="1:7">
      <c r="A161" s="889" t="s">
        <v>275</v>
      </c>
      <c r="B161" s="890"/>
      <c r="C161" s="890"/>
      <c r="D161" s="587" t="s">
        <v>198</v>
      </c>
      <c r="E161" s="739">
        <v>30756.639999999999</v>
      </c>
      <c r="F161" s="739">
        <v>31201.96</v>
      </c>
      <c r="G161" s="549">
        <f t="shared" si="16"/>
        <v>445.31999999999971</v>
      </c>
    </row>
    <row r="162" spans="1:7">
      <c r="A162" s="889" t="s">
        <v>276</v>
      </c>
      <c r="B162" s="890"/>
      <c r="C162" s="890"/>
      <c r="D162" s="587" t="s">
        <v>198</v>
      </c>
      <c r="E162" s="739">
        <v>6116.87</v>
      </c>
      <c r="F162" s="739">
        <v>6349.35</v>
      </c>
      <c r="G162" s="549">
        <f t="shared" si="16"/>
        <v>232.48000000000047</v>
      </c>
    </row>
    <row r="163" spans="1:7">
      <c r="A163" s="889" t="s">
        <v>277</v>
      </c>
      <c r="B163" s="890"/>
      <c r="C163" s="890"/>
      <c r="D163" s="587" t="s">
        <v>198</v>
      </c>
      <c r="E163" s="739">
        <v>4450.45</v>
      </c>
      <c r="F163" s="739">
        <v>4473.3500000000004</v>
      </c>
      <c r="G163" s="549">
        <f t="shared" si="16"/>
        <v>22.900000000000546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</v>
      </c>
      <c r="F164" s="590">
        <f>F62</f>
        <v>20419</v>
      </c>
      <c r="G164" s="549">
        <f t="shared" si="16"/>
        <v>0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" si="17">E63</f>
        <v>1129</v>
      </c>
      <c r="F165" s="590">
        <f t="shared" ref="F165:F171" si="18">F63</f>
        <v>1133</v>
      </c>
      <c r="G165" s="549">
        <f t="shared" si="16"/>
        <v>4</v>
      </c>
    </row>
    <row r="166" spans="1:7" ht="27.75">
      <c r="A166" s="1363" t="s">
        <v>107</v>
      </c>
      <c r="B166" s="1363"/>
      <c r="C166" s="1363"/>
      <c r="D166" s="599" t="s">
        <v>198</v>
      </c>
      <c r="E166" s="590">
        <f t="shared" ref="E166" si="19">E64</f>
        <v>100402</v>
      </c>
      <c r="F166" s="590">
        <f t="shared" si="18"/>
        <v>100792</v>
      </c>
      <c r="G166" s="549">
        <f t="shared" si="16"/>
        <v>390</v>
      </c>
    </row>
    <row r="167" spans="1:7" ht="27.75">
      <c r="A167" s="1363" t="s">
        <v>108</v>
      </c>
      <c r="B167" s="1363"/>
      <c r="C167" s="1363"/>
      <c r="D167" s="599" t="s">
        <v>198</v>
      </c>
      <c r="E167" s="590">
        <f t="shared" ref="E167" si="20">E65</f>
        <v>110987.56</v>
      </c>
      <c r="F167" s="590">
        <f t="shared" si="18"/>
        <v>111341</v>
      </c>
      <c r="G167" s="549">
        <f t="shared" si="16"/>
        <v>353.44000000000233</v>
      </c>
    </row>
    <row r="168" spans="1:7" ht="27.75">
      <c r="A168" s="1363" t="s">
        <v>109</v>
      </c>
      <c r="B168" s="1363"/>
      <c r="C168" s="1363"/>
      <c r="D168" s="599" t="s">
        <v>198</v>
      </c>
      <c r="E168" s="590">
        <f t="shared" ref="E168" si="21">E66</f>
        <v>4356</v>
      </c>
      <c r="F168" s="590">
        <f t="shared" si="18"/>
        <v>4699.6899999999996</v>
      </c>
      <c r="G168" s="549">
        <f t="shared" si="16"/>
        <v>343.6899999999996</v>
      </c>
    </row>
    <row r="169" spans="1:7" ht="27.75">
      <c r="A169" s="1363" t="s">
        <v>110</v>
      </c>
      <c r="B169" s="1363"/>
      <c r="C169" s="1363"/>
      <c r="D169" s="599" t="s">
        <v>198</v>
      </c>
      <c r="E169" s="590">
        <f t="shared" ref="E169" si="22">E67</f>
        <v>171487</v>
      </c>
      <c r="F169" s="590">
        <f t="shared" si="18"/>
        <v>172074.53</v>
      </c>
      <c r="G169" s="549">
        <f t="shared" si="16"/>
        <v>587.52999999999884</v>
      </c>
    </row>
    <row r="170" spans="1:7" ht="27.75">
      <c r="A170" s="1363" t="s">
        <v>111</v>
      </c>
      <c r="B170" s="1363"/>
      <c r="C170" s="1363"/>
      <c r="D170" s="599" t="s">
        <v>198</v>
      </c>
      <c r="E170" s="590">
        <f t="shared" ref="E170" si="23">E68</f>
        <v>55066.67</v>
      </c>
      <c r="F170" s="590">
        <f t="shared" si="18"/>
        <v>55357</v>
      </c>
      <c r="G170" s="549">
        <f t="shared" si="16"/>
        <v>290.33000000000175</v>
      </c>
    </row>
    <row r="171" spans="1:7" ht="27.75">
      <c r="A171" s="1363" t="s">
        <v>112</v>
      </c>
      <c r="B171" s="1363"/>
      <c r="C171" s="1363"/>
      <c r="D171" s="599" t="s">
        <v>198</v>
      </c>
      <c r="E171" s="590">
        <f t="shared" ref="E171" si="24">E69</f>
        <v>47996.44</v>
      </c>
      <c r="F171" s="590">
        <f t="shared" si="18"/>
        <v>48285.51</v>
      </c>
      <c r="G171" s="549">
        <f t="shared" si="16"/>
        <v>289.06999999999971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</mergeCells>
  <pageMargins left="0.22" right="0.17" top="0.14000000000000001" bottom="0.2" header="0.2" footer="0.2"/>
  <pageSetup paperSize="5" scale="2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0000"/>
  </sheetPr>
  <dimension ref="A1:P171"/>
  <sheetViews>
    <sheetView view="pageBreakPreview" topLeftCell="A78" zoomScale="55" zoomScaleNormal="77" zoomScaleSheetLayoutView="55" workbookViewId="0">
      <selection activeCell="F28" sqref="F28"/>
    </sheetView>
  </sheetViews>
  <sheetFormatPr defaultColWidth="22.33203125" defaultRowHeight="29.25"/>
  <cols>
    <col min="1" max="1" width="42.3320312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25.33203125" style="615" customWidth="1"/>
    <col min="9" max="9" width="20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6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6" s="281" customFormat="1" ht="27">
      <c r="A2" s="652" t="s">
        <v>331</v>
      </c>
      <c r="B2" s="1139">
        <v>44203</v>
      </c>
      <c r="C2" s="1254" t="s">
        <v>69</v>
      </c>
      <c r="D2" s="688">
        <v>0.44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6" s="281" customFormat="1" ht="27">
      <c r="A3" s="647"/>
      <c r="B3" s="691"/>
      <c r="C3" s="1254" t="s">
        <v>131</v>
      </c>
      <c r="D3" s="689">
        <v>30</v>
      </c>
      <c r="E3" s="1408" t="s">
        <v>132</v>
      </c>
      <c r="F3" s="1409"/>
      <c r="G3" s="538"/>
      <c r="H3" s="539"/>
      <c r="I3" s="539"/>
      <c r="J3" s="692"/>
      <c r="K3" s="402"/>
      <c r="L3" s="293"/>
    </row>
    <row r="4" spans="1:16" s="281" customFormat="1" ht="27">
      <c r="A4" s="653"/>
      <c r="B4" s="693"/>
      <c r="C4" s="1254" t="s">
        <v>133</v>
      </c>
      <c r="D4" s="688">
        <v>0.65</v>
      </c>
      <c r="E4" s="540"/>
      <c r="F4" s="540"/>
      <c r="G4" s="540"/>
      <c r="H4" s="540"/>
      <c r="I4" s="541"/>
      <c r="J4" s="692"/>
      <c r="K4" s="403"/>
      <c r="L4" s="293"/>
    </row>
    <row r="5" spans="1:16">
      <c r="A5" s="654" t="s">
        <v>134</v>
      </c>
      <c r="B5" s="535"/>
      <c r="C5" s="535"/>
      <c r="D5" s="587" t="s">
        <v>226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2" t="s">
        <v>141</v>
      </c>
      <c r="B6" s="1403"/>
      <c r="C6" s="1404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'6'!F7</f>
        <v>3399635</v>
      </c>
      <c r="F7" s="531">
        <v>3417534</v>
      </c>
      <c r="G7" s="770">
        <f t="shared" ref="G7:G12" si="0">F7-E7</f>
        <v>17899</v>
      </c>
      <c r="H7" s="760">
        <f>G7+'6'!H7</f>
        <v>131094</v>
      </c>
      <c r="I7" s="761">
        <f>'1'!I7</f>
        <v>12000</v>
      </c>
      <c r="J7" s="762">
        <f>H7/DAY(B2)</f>
        <v>18727.714285714286</v>
      </c>
      <c r="K7" s="626"/>
      <c r="L7" s="408"/>
      <c r="N7" s="808"/>
      <c r="P7" s="407" t="s">
        <v>226</v>
      </c>
    </row>
    <row r="8" spans="1:16" ht="27.75" thickBot="1">
      <c r="A8" s="763" t="s">
        <v>144</v>
      </c>
      <c r="B8" s="764"/>
      <c r="C8" s="765"/>
      <c r="D8" s="766" t="s">
        <v>25</v>
      </c>
      <c r="E8" s="710">
        <f>'6'!F8</f>
        <v>3420748</v>
      </c>
      <c r="F8" s="551">
        <v>3438920</v>
      </c>
      <c r="G8" s="770">
        <f t="shared" si="0"/>
        <v>18172</v>
      </c>
      <c r="H8" s="760">
        <f>G8+'6'!H8</f>
        <v>132548</v>
      </c>
      <c r="I8" s="767">
        <v>12000</v>
      </c>
      <c r="J8" s="762">
        <f>H8/DAY(B2)</f>
        <v>18935.428571428572</v>
      </c>
      <c r="K8" s="626"/>
      <c r="L8" s="464"/>
      <c r="M8" s="479"/>
      <c r="N8" s="785"/>
    </row>
    <row r="9" spans="1:16">
      <c r="A9" s="768" t="s">
        <v>145</v>
      </c>
      <c r="B9" s="769"/>
      <c r="C9" s="769"/>
      <c r="D9" s="715" t="s">
        <v>143</v>
      </c>
      <c r="E9" s="712">
        <f>'6'!F9</f>
        <v>2420911</v>
      </c>
      <c r="F9" s="554">
        <v>2423678</v>
      </c>
      <c r="G9" s="770">
        <f t="shared" si="0"/>
        <v>2767</v>
      </c>
      <c r="H9" s="760">
        <f>G9+'6'!H9</f>
        <v>18463</v>
      </c>
      <c r="I9" s="771">
        <f>I8-J8</f>
        <v>-6935.4285714285725</v>
      </c>
      <c r="J9" s="762">
        <f>H9/DAY(B2)</f>
        <v>2637.5714285714284</v>
      </c>
      <c r="K9" s="467"/>
      <c r="L9" s="408"/>
      <c r="N9" s="413"/>
    </row>
    <row r="10" spans="1:16">
      <c r="A10" s="757" t="s">
        <v>146</v>
      </c>
      <c r="B10" s="758"/>
      <c r="C10" s="758"/>
      <c r="D10" s="715" t="s">
        <v>143</v>
      </c>
      <c r="E10" s="712">
        <f>'6'!F10</f>
        <v>843794</v>
      </c>
      <c r="F10" s="554">
        <v>858270</v>
      </c>
      <c r="G10" s="770">
        <f t="shared" si="0"/>
        <v>14476</v>
      </c>
      <c r="H10" s="760">
        <f>G10+'6'!H10</f>
        <v>107748.08999999997</v>
      </c>
      <c r="I10" s="772"/>
      <c r="J10" s="762">
        <f>H10/DAY(B2)</f>
        <v>15392.584285714282</v>
      </c>
      <c r="K10" s="467"/>
      <c r="L10" s="408"/>
      <c r="N10" s="413"/>
    </row>
    <row r="11" spans="1:16">
      <c r="A11" s="757" t="s">
        <v>147</v>
      </c>
      <c r="B11" s="758"/>
      <c r="C11" s="758"/>
      <c r="D11" s="715" t="s">
        <v>143</v>
      </c>
      <c r="E11" s="710">
        <f>'6'!F11</f>
        <v>35390</v>
      </c>
      <c r="F11" s="531">
        <v>35390</v>
      </c>
      <c r="G11" s="770">
        <f t="shared" si="0"/>
        <v>0</v>
      </c>
      <c r="H11" s="760">
        <f>G11+'6'!H11</f>
        <v>0</v>
      </c>
      <c r="I11" s="772"/>
      <c r="J11" s="762">
        <f>H11/DAY(B2)</f>
        <v>0</v>
      </c>
      <c r="K11" s="467"/>
      <c r="L11" s="408"/>
      <c r="N11" s="413"/>
    </row>
    <row r="12" spans="1:16">
      <c r="A12" s="757" t="s">
        <v>148</v>
      </c>
      <c r="B12" s="758"/>
      <c r="C12" s="758"/>
      <c r="D12" s="715" t="s">
        <v>143</v>
      </c>
      <c r="E12" s="712">
        <f>'6'!F12</f>
        <v>37630</v>
      </c>
      <c r="F12" s="554">
        <v>37630</v>
      </c>
      <c r="G12" s="770">
        <f t="shared" si="0"/>
        <v>0</v>
      </c>
      <c r="H12" s="760">
        <f>G12+'6'!H12</f>
        <v>0</v>
      </c>
      <c r="I12" s="772"/>
      <c r="J12" s="762">
        <f>H12/DAY(B2)</f>
        <v>0</v>
      </c>
      <c r="K12" s="467"/>
      <c r="L12" s="408"/>
      <c r="N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17243</v>
      </c>
      <c r="H13" s="760">
        <f>G13+'6'!H13</f>
        <v>126211.08999999997</v>
      </c>
      <c r="I13" s="776">
        <f>G7-G13</f>
        <v>656</v>
      </c>
      <c r="J13" s="762">
        <f>H13/DAY(B2)</f>
        <v>18030.155714285709</v>
      </c>
      <c r="K13" s="467"/>
      <c r="L13" s="408"/>
      <c r="N13" s="413"/>
    </row>
    <row r="14" spans="1:16">
      <c r="A14" s="1405" t="s">
        <v>150</v>
      </c>
      <c r="B14" s="1406"/>
      <c r="C14" s="1407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6">
      <c r="A15" s="897" t="s">
        <v>151</v>
      </c>
      <c r="B15" s="898"/>
      <c r="C15" s="898"/>
      <c r="D15" s="600" t="s">
        <v>152</v>
      </c>
      <c r="E15" s="561">
        <f>'6'!F15</f>
        <v>1573224.7</v>
      </c>
      <c r="F15" s="561">
        <v>1573846</v>
      </c>
      <c r="G15" s="745">
        <f>(F15-E15)</f>
        <v>621.30000000004657</v>
      </c>
      <c r="H15" s="562">
        <f>G15+'6'!H15</f>
        <v>4931.8999999999069</v>
      </c>
      <c r="I15" s="1174">
        <v>800</v>
      </c>
      <c r="J15" s="630">
        <f>H15/DAY(B2)</f>
        <v>704.55714285712952</v>
      </c>
      <c r="K15" s="467"/>
      <c r="L15" s="408"/>
      <c r="N15" s="413"/>
    </row>
    <row r="16" spans="1:16">
      <c r="A16" s="664"/>
      <c r="B16" s="665"/>
      <c r="C16" s="665"/>
      <c r="D16" s="600"/>
      <c r="E16" s="561"/>
      <c r="F16" s="561"/>
      <c r="G16" s="549"/>
      <c r="H16" s="562"/>
      <c r="I16" s="558">
        <f>I15-J15</f>
        <v>95.44285714287048</v>
      </c>
      <c r="J16" s="630"/>
      <c r="K16" s="467"/>
      <c r="L16" s="408"/>
      <c r="N16" s="413"/>
    </row>
    <row r="17" spans="1:14">
      <c r="A17" s="1405" t="s">
        <v>153</v>
      </c>
      <c r="B17" s="1406"/>
      <c r="C17" s="1407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31" t="s">
        <v>154</v>
      </c>
      <c r="B18" s="1432"/>
      <c r="C18" s="1433"/>
      <c r="D18" s="715" t="s">
        <v>155</v>
      </c>
      <c r="E18" s="712">
        <f>'6'!F18</f>
        <v>7</v>
      </c>
      <c r="F18" s="554">
        <v>7</v>
      </c>
      <c r="G18" s="775">
        <f>F18*10</f>
        <v>70</v>
      </c>
      <c r="H18" s="760">
        <f>G18+'6'!H18</f>
        <v>710</v>
      </c>
      <c r="I18" s="761">
        <f>'1'!I18</f>
        <v>65</v>
      </c>
      <c r="J18" s="762">
        <f>H18/DAY(B2)</f>
        <v>101.42857142857143</v>
      </c>
      <c r="K18" s="467"/>
      <c r="L18" s="408"/>
      <c r="N18" s="413"/>
    </row>
    <row r="19" spans="1:14" ht="27.75">
      <c r="A19" s="1431" t="s">
        <v>71</v>
      </c>
      <c r="B19" s="1432"/>
      <c r="C19" s="1433"/>
      <c r="D19" s="715" t="s">
        <v>155</v>
      </c>
      <c r="E19" s="712">
        <f>'6'!F19</f>
        <v>131795</v>
      </c>
      <c r="F19" s="554">
        <v>131847</v>
      </c>
      <c r="G19" s="770">
        <f t="shared" ref="G19" si="1">F19-E19</f>
        <v>52</v>
      </c>
      <c r="H19" s="760">
        <f>G19+'6'!H19</f>
        <v>354</v>
      </c>
      <c r="I19" s="777"/>
      <c r="J19" s="762">
        <f>H19/DAY(B2)</f>
        <v>50.571428571428569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122</v>
      </c>
      <c r="H20" s="760">
        <f>G20+'6'!H20</f>
        <v>1064</v>
      </c>
      <c r="I20" s="779">
        <f>I18-J20</f>
        <v>-87</v>
      </c>
      <c r="J20" s="762">
        <f>H20/DAY(B2)</f>
        <v>152</v>
      </c>
      <c r="K20" s="467"/>
      <c r="L20" s="408"/>
      <c r="N20" s="413"/>
    </row>
    <row r="21" spans="1:14">
      <c r="A21" s="1405" t="s">
        <v>157</v>
      </c>
      <c r="B21" s="1406"/>
      <c r="C21" s="1407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712">
        <f>'6'!F22</f>
        <v>2250</v>
      </c>
      <c r="F22" s="554">
        <v>2250</v>
      </c>
      <c r="G22" s="557">
        <f t="shared" ref="G22" si="2">(F22-E22)</f>
        <v>0</v>
      </c>
      <c r="H22" s="536">
        <f>G22+'6'!H22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52" t="s">
        <v>160</v>
      </c>
      <c r="B23" s="666"/>
      <c r="C23" s="666"/>
      <c r="D23" s="599" t="s">
        <v>159</v>
      </c>
      <c r="E23" s="712">
        <f>'6'!F23</f>
        <v>2000</v>
      </c>
      <c r="F23" s="554">
        <v>2000</v>
      </c>
      <c r="G23" s="557">
        <v>0</v>
      </c>
      <c r="H23" s="536">
        <f>G23+'6'!H23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712">
        <f>'6'!F24</f>
        <v>4250</v>
      </c>
      <c r="F24" s="561">
        <v>4250</v>
      </c>
      <c r="G24" s="557">
        <v>0</v>
      </c>
      <c r="H24" s="536">
        <f>G24+'6'!H24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18172</v>
      </c>
      <c r="F27" s="577">
        <v>9</v>
      </c>
      <c r="G27" s="578">
        <f>E27*F27</f>
        <v>163548</v>
      </c>
      <c r="H27" s="536">
        <f>G27+'6'!H27</f>
        <v>1211007</v>
      </c>
      <c r="I27" s="579"/>
      <c r="J27" s="629">
        <f>H27/DAY(B2)</f>
        <v>173001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621.30000000004657</v>
      </c>
      <c r="F28" s="577">
        <v>41</v>
      </c>
      <c r="G28" s="578">
        <f>E28*F28</f>
        <v>25473.300000001909</v>
      </c>
      <c r="H28" s="536">
        <f>G28+'6'!H28</f>
        <v>200966.5399999962</v>
      </c>
      <c r="I28" s="581"/>
      <c r="J28" s="629">
        <f>H28/DAY(B2)</f>
        <v>28709.505714285169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G29+'6'!H29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G30+'6'!H30</f>
        <v>47436</v>
      </c>
      <c r="I30" s="581"/>
      <c r="J30" s="629">
        <f>H30/DAY(B2)</f>
        <v>6776.5714285714284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70</v>
      </c>
      <c r="F31" s="577">
        <v>80</v>
      </c>
      <c r="G31" s="578">
        <f>E31*F31</f>
        <v>5600</v>
      </c>
      <c r="H31" s="536">
        <f>G31+'6'!H31</f>
        <v>56800</v>
      </c>
      <c r="I31" s="581"/>
      <c r="J31" s="629">
        <f>H31/DAY(B2)</f>
        <v>8114.2857142857147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1163">
        <f>G27+G28+G29+G30+G31</f>
        <v>201589.30000000191</v>
      </c>
      <c r="H32" s="536">
        <f>G32+'6'!H32</f>
        <v>1516209.5399999963</v>
      </c>
      <c r="I32" s="585"/>
      <c r="J32" s="629">
        <f>H32/DAY(B2)</f>
        <v>216601.36285714232</v>
      </c>
      <c r="K32" s="404"/>
      <c r="L32" s="484"/>
      <c r="N32" s="413"/>
    </row>
    <row r="33" spans="1:14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'6'!F35</f>
        <v>629027</v>
      </c>
      <c r="F35" s="586">
        <v>629027</v>
      </c>
      <c r="G35" s="549">
        <f t="shared" ref="G35:G46" si="3">F35-E35</f>
        <v>0</v>
      </c>
      <c r="H35" s="536">
        <f>G35+'6'!H35</f>
        <v>0</v>
      </c>
      <c r="I35" s="531"/>
      <c r="J35" s="629">
        <f>H35/DAY(B2)</f>
        <v>0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'6'!F36</f>
        <v>259350</v>
      </c>
      <c r="F36" s="586">
        <v>260162</v>
      </c>
      <c r="G36" s="549">
        <f t="shared" si="3"/>
        <v>812</v>
      </c>
      <c r="H36" s="536">
        <f>G36+'6'!H36</f>
        <v>5070.929999999993</v>
      </c>
      <c r="I36" s="531"/>
      <c r="J36" s="629">
        <f>H36/DAY(B2)</f>
        <v>724.41857142857043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'6'!F37</f>
        <v>415066</v>
      </c>
      <c r="F37" s="586">
        <v>415066</v>
      </c>
      <c r="G37" s="549">
        <f t="shared" si="3"/>
        <v>0</v>
      </c>
      <c r="H37" s="536">
        <f>G37+'6'!H37</f>
        <v>0</v>
      </c>
      <c r="I37" s="531"/>
      <c r="J37" s="629">
        <f>H37/DAY(B2)</f>
        <v>0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'6'!F38</f>
        <v>150714.38</v>
      </c>
      <c r="F38" s="545">
        <v>150714</v>
      </c>
      <c r="G38" s="549">
        <f t="shared" si="3"/>
        <v>-0.38000000000465661</v>
      </c>
      <c r="H38" s="536">
        <f>G38+'6'!H38</f>
        <v>0</v>
      </c>
      <c r="I38" s="531"/>
      <c r="J38" s="629">
        <f>H38/DAY(B2)</f>
        <v>0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'6'!F39</f>
        <v>912480</v>
      </c>
      <c r="F39" s="586">
        <v>912480</v>
      </c>
      <c r="G39" s="549">
        <f t="shared" si="3"/>
        <v>0</v>
      </c>
      <c r="H39" s="536">
        <f>G39+'6'!H39</f>
        <v>0</v>
      </c>
      <c r="I39" s="531"/>
      <c r="J39" s="629">
        <f>H39/DAY(B2)</f>
        <v>0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'6'!F40</f>
        <v>0.17</v>
      </c>
      <c r="F40" s="586">
        <v>0.17</v>
      </c>
      <c r="G40" s="549">
        <f t="shared" si="3"/>
        <v>0</v>
      </c>
      <c r="H40" s="536">
        <f>G40+'6'!H40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'6'!F41</f>
        <v>300127.90000000002</v>
      </c>
      <c r="F41" s="586">
        <v>300127.90000000002</v>
      </c>
      <c r="G41" s="549">
        <f t="shared" si="3"/>
        <v>0</v>
      </c>
      <c r="H41" s="536">
        <f>G41+'6'!H41</f>
        <v>-4.9999999988358468E-2</v>
      </c>
      <c r="I41" s="531"/>
      <c r="J41" s="629">
        <f>H41/DAY(B2)</f>
        <v>-7.1428571411940667E-3</v>
      </c>
      <c r="K41" s="467"/>
      <c r="L41" s="408"/>
      <c r="N41" s="413"/>
    </row>
    <row r="42" spans="1:14">
      <c r="A42" s="664" t="s">
        <v>182</v>
      </c>
      <c r="B42" s="665"/>
      <c r="C42" s="665"/>
      <c r="D42" s="600" t="s">
        <v>143</v>
      </c>
      <c r="E42" s="1165">
        <f>'6'!F42</f>
        <v>58926</v>
      </c>
      <c r="F42" s="1165">
        <v>58926</v>
      </c>
      <c r="G42" s="874">
        <f t="shared" si="3"/>
        <v>0</v>
      </c>
      <c r="H42" s="536">
        <f>G42+'6'!H42</f>
        <v>-8.999999999650754E-2</v>
      </c>
      <c r="I42" s="531"/>
      <c r="J42" s="629">
        <f>H42/DAY(B2)</f>
        <v>-1.2857142856643935E-2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'6'!F43</f>
        <v>710347</v>
      </c>
      <c r="F43" s="586">
        <v>712410</v>
      </c>
      <c r="G43" s="549">
        <f t="shared" si="3"/>
        <v>2063</v>
      </c>
      <c r="H43" s="536">
        <f>G43+'6'!H43</f>
        <v>14156.569999999949</v>
      </c>
      <c r="I43" s="531"/>
      <c r="J43" s="629">
        <f>H43/DAY(B2)</f>
        <v>2022.3671428571356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'6'!F44</f>
        <v>0</v>
      </c>
      <c r="F44" s="586">
        <v>0</v>
      </c>
      <c r="G44" s="549">
        <f t="shared" si="3"/>
        <v>0</v>
      </c>
      <c r="H44" s="536">
        <f>G44+'6'!H44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'6'!F45</f>
        <v>614</v>
      </c>
      <c r="F45" s="586">
        <v>614</v>
      </c>
      <c r="G45" s="549">
        <f t="shared" si="3"/>
        <v>0</v>
      </c>
      <c r="H45" s="536">
        <f>G45+'6'!H45</f>
        <v>-0.48000000000001819</v>
      </c>
      <c r="I45" s="531"/>
      <c r="J45" s="629">
        <f>H45/DAY(B2)</f>
        <v>-6.857142857143117E-2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'6'!F46</f>
        <v>187</v>
      </c>
      <c r="F46" s="586">
        <v>187</v>
      </c>
      <c r="G46" s="549">
        <f t="shared" si="3"/>
        <v>0</v>
      </c>
      <c r="H46" s="536">
        <f>G46+'6'!H46</f>
        <v>-0.49000000000000909</v>
      </c>
      <c r="I46" s="531"/>
      <c r="J46" s="629">
        <f>H46/DAY(B2)</f>
        <v>-7.0000000000001297E-2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2874.6199999999953</v>
      </c>
      <c r="H47" s="536">
        <f>G47+'6'!H47</f>
        <v>19226.389999999956</v>
      </c>
      <c r="I47" s="531"/>
      <c r="J47" s="629">
        <f>H47/DAY(B2)</f>
        <v>2746.6271428571367</v>
      </c>
      <c r="K47" s="467"/>
      <c r="L47" s="408"/>
      <c r="N47" s="413"/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'6'!F49</f>
        <v>166715.79999999999</v>
      </c>
      <c r="F49" s="586">
        <v>169317</v>
      </c>
      <c r="G49" s="549">
        <f t="shared" ref="G49:G58" si="4">F49-E49</f>
        <v>2601.2000000000116</v>
      </c>
      <c r="H49" s="536">
        <f>G49+'6'!H49</f>
        <v>19758</v>
      </c>
      <c r="I49" s="531"/>
      <c r="J49" s="629">
        <f>H49/DAY(B2)</f>
        <v>2822.5714285714284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'6'!F50</f>
        <v>341012</v>
      </c>
      <c r="F50" s="586">
        <v>341950</v>
      </c>
      <c r="G50" s="549">
        <f t="shared" si="4"/>
        <v>938</v>
      </c>
      <c r="H50" s="536">
        <f>G50+'6'!H50</f>
        <v>7049.570000000007</v>
      </c>
      <c r="I50" s="531"/>
      <c r="J50" s="629">
        <f>H50/DAY(B2)</f>
        <v>1007.0814285714296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'6'!F51</f>
        <v>73127</v>
      </c>
      <c r="F51" s="586">
        <v>74550</v>
      </c>
      <c r="G51" s="549">
        <f t="shared" si="4"/>
        <v>1423</v>
      </c>
      <c r="H51" s="536">
        <f>G51+'6'!H51</f>
        <v>9842.89</v>
      </c>
      <c r="I51" s="531"/>
      <c r="J51" s="629">
        <f>H51/DAY(B2)</f>
        <v>1406.1271428571429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'6'!F52</f>
        <v>445156</v>
      </c>
      <c r="F52" s="586">
        <v>447164</v>
      </c>
      <c r="G52" s="549">
        <f t="shared" si="4"/>
        <v>2008</v>
      </c>
      <c r="H52" s="536">
        <f>G52+'6'!H52</f>
        <v>13984.369999999995</v>
      </c>
      <c r="I52" s="531"/>
      <c r="J52" s="629">
        <f>H52/DAY(B2)</f>
        <v>1997.7671428571423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'6'!F53</f>
        <v>200707</v>
      </c>
      <c r="F53" s="586">
        <v>204581</v>
      </c>
      <c r="G53" s="549">
        <f t="shared" si="4"/>
        <v>3874</v>
      </c>
      <c r="H53" s="536">
        <f>G53+'6'!H53</f>
        <v>27979.03</v>
      </c>
      <c r="I53" s="531"/>
      <c r="J53" s="629">
        <f>H53/DAY(B2)</f>
        <v>3997.0042857142857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'6'!F54</f>
        <v>4951.43</v>
      </c>
      <c r="F54" s="586">
        <v>5014</v>
      </c>
      <c r="G54" s="549">
        <f t="shared" si="4"/>
        <v>62.569999999999709</v>
      </c>
      <c r="H54" s="536">
        <f>G54+'6'!H54</f>
        <v>424.46000000000004</v>
      </c>
      <c r="I54" s="531"/>
      <c r="J54" s="629">
        <f>H54/DAY(B2)</f>
        <v>60.637142857142862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'6'!F55</f>
        <v>158492.73000000001</v>
      </c>
      <c r="F55" s="734">
        <v>158492.73000000001</v>
      </c>
      <c r="G55" s="733">
        <f t="shared" si="4"/>
        <v>0</v>
      </c>
      <c r="H55" s="805">
        <f>G55+'6'!H55</f>
        <v>-0.26999999998952262</v>
      </c>
      <c r="I55" s="806"/>
      <c r="J55" s="807">
        <f>H55/DAY(B2)</f>
        <v>-3.8571428569931801E-2</v>
      </c>
      <c r="K55" s="467"/>
      <c r="L55" s="408"/>
      <c r="N55" s="413"/>
    </row>
    <row r="56" spans="1:14">
      <c r="A56" s="664" t="s">
        <v>193</v>
      </c>
      <c r="B56" s="1173"/>
      <c r="C56" s="1173"/>
      <c r="D56" s="600" t="s">
        <v>194</v>
      </c>
      <c r="E56" s="1165">
        <f>'6'!F56</f>
        <v>538014</v>
      </c>
      <c r="F56" s="1165">
        <v>541619</v>
      </c>
      <c r="G56" s="874">
        <f t="shared" si="4"/>
        <v>3605</v>
      </c>
      <c r="H56" s="536">
        <f>G56+'6'!H56</f>
        <v>28407.25</v>
      </c>
      <c r="I56" s="531"/>
      <c r="J56" s="629">
        <f>H56/DAY(B2)</f>
        <v>4058.1785714285716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'6'!F57</f>
        <v>0</v>
      </c>
      <c r="F57" s="586">
        <v>0</v>
      </c>
      <c r="G57" s="549">
        <f t="shared" si="4"/>
        <v>0</v>
      </c>
      <c r="H57" s="536">
        <f>G57+'6'!H57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'6'!F58</f>
        <v>25975</v>
      </c>
      <c r="F58" s="734">
        <v>26044</v>
      </c>
      <c r="G58" s="549">
        <f t="shared" si="4"/>
        <v>69</v>
      </c>
      <c r="H58" s="536">
        <f>G58+'6'!H58</f>
        <v>1003.5900000000001</v>
      </c>
      <c r="I58" s="531"/>
      <c r="J58" s="629">
        <f>H58/DAY(B2)</f>
        <v>143.37000000000003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14580.770000000011</v>
      </c>
      <c r="H59" s="536">
        <f>G59+'6'!H59</f>
        <v>108448.89000000001</v>
      </c>
      <c r="I59" s="531">
        <f>G7-G60</f>
        <v>443.60999999999331</v>
      </c>
      <c r="J59" s="629">
        <f>H59/DAY(B2)</f>
        <v>15492.698571428573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17455.390000000007</v>
      </c>
      <c r="H60" s="536">
        <f>G60+'6'!H60</f>
        <v>127675.27999999997</v>
      </c>
      <c r="I60" s="531">
        <f>G13-G60</f>
        <v>-212.39000000000669</v>
      </c>
      <c r="J60" s="629">
        <f>H60/DAY(B2)</f>
        <v>18239.325714285711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'6'!F62</f>
        <v>20419</v>
      </c>
      <c r="F62" s="590">
        <v>20419</v>
      </c>
      <c r="G62" s="549">
        <f t="shared" ref="G62:G69" si="5">F62-E62</f>
        <v>0</v>
      </c>
      <c r="H62" s="536">
        <f>G62+'6'!H62</f>
        <v>-0.18000000000029104</v>
      </c>
      <c r="I62" s="591"/>
      <c r="J62" s="629">
        <f>H62/DAY(B2)</f>
        <v>-2.5714285714327292E-2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'6'!F63</f>
        <v>1133</v>
      </c>
      <c r="F63" s="590">
        <v>1138</v>
      </c>
      <c r="G63" s="549">
        <f t="shared" si="5"/>
        <v>5</v>
      </c>
      <c r="H63" s="536">
        <f>G63+'6'!H63</f>
        <v>30.089999999999918</v>
      </c>
      <c r="I63" s="591"/>
      <c r="J63" s="629">
        <f>H63/DAY(B2)</f>
        <v>4.2985714285714165</v>
      </c>
      <c r="K63" s="467"/>
      <c r="L63" s="408"/>
      <c r="N63" s="413"/>
    </row>
    <row r="64" spans="1:14" ht="27.75">
      <c r="A64" s="1367" t="s">
        <v>107</v>
      </c>
      <c r="B64" s="1368"/>
      <c r="C64" s="1369"/>
      <c r="D64" s="599" t="s">
        <v>198</v>
      </c>
      <c r="E64" s="560">
        <f>'6'!F64</f>
        <v>100792</v>
      </c>
      <c r="F64" s="554">
        <v>101161</v>
      </c>
      <c r="G64" s="549">
        <f t="shared" si="5"/>
        <v>369</v>
      </c>
      <c r="H64" s="536">
        <f>G64+'6'!H64</f>
        <v>2737.6000000000058</v>
      </c>
      <c r="I64" s="556"/>
      <c r="J64" s="629">
        <f>H64/DAY(B2)</f>
        <v>391.08571428571514</v>
      </c>
      <c r="K64" s="467"/>
      <c r="L64" s="408"/>
      <c r="N64" s="413"/>
    </row>
    <row r="65" spans="1:14" ht="27.75">
      <c r="A65" s="1367" t="s">
        <v>108</v>
      </c>
      <c r="B65" s="1368"/>
      <c r="C65" s="1369"/>
      <c r="D65" s="599" t="s">
        <v>198</v>
      </c>
      <c r="E65" s="560">
        <f>'6'!F65</f>
        <v>111341</v>
      </c>
      <c r="F65" s="732">
        <v>111729</v>
      </c>
      <c r="G65" s="549">
        <f t="shared" si="5"/>
        <v>388</v>
      </c>
      <c r="H65" s="536">
        <f>G65+'6'!H65</f>
        <v>2684.8800000000047</v>
      </c>
      <c r="I65" s="565"/>
      <c r="J65" s="629">
        <f>H65/DAY(B2)</f>
        <v>383.55428571428638</v>
      </c>
      <c r="K65" s="467"/>
      <c r="L65" s="408"/>
      <c r="N65" s="413"/>
    </row>
    <row r="66" spans="1:14" ht="27.75">
      <c r="A66" s="1367" t="s">
        <v>109</v>
      </c>
      <c r="B66" s="1368"/>
      <c r="C66" s="1369"/>
      <c r="D66" s="599" t="s">
        <v>198</v>
      </c>
      <c r="E66" s="560">
        <f>'6'!F66</f>
        <v>4699.6899999999996</v>
      </c>
      <c r="F66" s="554">
        <v>5068</v>
      </c>
      <c r="G66" s="549">
        <f t="shared" si="5"/>
        <v>368.3100000000004</v>
      </c>
      <c r="H66" s="536">
        <f>G66+'6'!H66</f>
        <v>2645.91</v>
      </c>
      <c r="I66" s="556"/>
      <c r="J66" s="629">
        <f>H66/DAY(B2)</f>
        <v>377.98714285714283</v>
      </c>
      <c r="K66" s="467"/>
      <c r="L66" s="408"/>
      <c r="N66" s="413"/>
    </row>
    <row r="67" spans="1:14" ht="27.75">
      <c r="A67" s="1367" t="s">
        <v>110</v>
      </c>
      <c r="B67" s="1368"/>
      <c r="C67" s="1369"/>
      <c r="D67" s="599" t="s">
        <v>198</v>
      </c>
      <c r="E67" s="560">
        <f>'6'!F67</f>
        <v>172074.53</v>
      </c>
      <c r="F67" s="554">
        <v>172694</v>
      </c>
      <c r="G67" s="549">
        <f t="shared" si="5"/>
        <v>619.47000000000116</v>
      </c>
      <c r="H67" s="536">
        <f>G67+'6'!H67</f>
        <v>4452.6499999999942</v>
      </c>
      <c r="I67" s="565"/>
      <c r="J67" s="629">
        <f>H67/DAY(B2)</f>
        <v>636.09285714285636</v>
      </c>
      <c r="K67" s="468"/>
      <c r="L67" s="408"/>
      <c r="N67" s="413"/>
    </row>
    <row r="68" spans="1:14" ht="27.75">
      <c r="A68" s="1367" t="s">
        <v>111</v>
      </c>
      <c r="B68" s="1368"/>
      <c r="C68" s="1369"/>
      <c r="D68" s="599" t="s">
        <v>198</v>
      </c>
      <c r="E68" s="560">
        <f>'6'!F68</f>
        <v>55357</v>
      </c>
      <c r="F68" s="554">
        <v>55641</v>
      </c>
      <c r="G68" s="549">
        <f t="shared" si="5"/>
        <v>284</v>
      </c>
      <c r="H68" s="536">
        <f>G68+'6'!H68</f>
        <v>2017.0999999999985</v>
      </c>
      <c r="I68" s="592"/>
      <c r="J68" s="629">
        <f>H68/DAY(B2)</f>
        <v>288.15714285714267</v>
      </c>
      <c r="K68" s="469"/>
      <c r="L68" s="408"/>
      <c r="N68" s="413"/>
    </row>
    <row r="69" spans="1:14" ht="27.75">
      <c r="A69" s="1367" t="s">
        <v>112</v>
      </c>
      <c r="B69" s="1368"/>
      <c r="C69" s="1369"/>
      <c r="D69" s="599" t="s">
        <v>198</v>
      </c>
      <c r="E69" s="560">
        <f>'6'!F69</f>
        <v>48285.51</v>
      </c>
      <c r="F69" s="554">
        <v>48585</v>
      </c>
      <c r="G69" s="549">
        <f t="shared" si="5"/>
        <v>299.48999999999796</v>
      </c>
      <c r="H69" s="536">
        <f>G69+'6'!H69</f>
        <v>2065.5699999999997</v>
      </c>
      <c r="I69" s="592"/>
      <c r="J69" s="629">
        <f>H69/DAY(B2)</f>
        <v>295.08142857142855</v>
      </c>
      <c r="K69" s="470"/>
      <c r="L69" s="408"/>
      <c r="N69" s="413"/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413"/>
    </row>
    <row r="72" spans="1:14" ht="27.75">
      <c r="A72" s="1367" t="s">
        <v>202</v>
      </c>
      <c r="B72" s="1368"/>
      <c r="C72" s="1369"/>
      <c r="D72" s="599" t="s">
        <v>198</v>
      </c>
      <c r="E72" s="595">
        <f>'6'!F72</f>
        <v>846834</v>
      </c>
      <c r="F72" s="735">
        <v>846921</v>
      </c>
      <c r="G72" s="549">
        <f t="shared" ref="G72:G84" si="6">F72-E72</f>
        <v>87</v>
      </c>
      <c r="H72" s="536">
        <f>G72+'6'!H72</f>
        <v>521</v>
      </c>
      <c r="I72" s="556"/>
      <c r="J72" s="629">
        <f>H72/DAY(B2)</f>
        <v>74.428571428571431</v>
      </c>
      <c r="K72" s="470"/>
      <c r="L72" s="408"/>
      <c r="N72" s="413"/>
    </row>
    <row r="73" spans="1:14" ht="27.75">
      <c r="A73" s="1367" t="s">
        <v>203</v>
      </c>
      <c r="B73" s="1368"/>
      <c r="C73" s="1369"/>
      <c r="D73" s="599" t="s">
        <v>198</v>
      </c>
      <c r="E73" s="596">
        <f>'6'!F73</f>
        <v>885677</v>
      </c>
      <c r="F73" s="736">
        <v>885678</v>
      </c>
      <c r="G73" s="733">
        <f t="shared" si="6"/>
        <v>1</v>
      </c>
      <c r="H73" s="536">
        <f>G73+'6'!H73</f>
        <v>5</v>
      </c>
      <c r="I73" s="556"/>
      <c r="J73" s="629">
        <f>H73/DAY(B2)</f>
        <v>0.7142857142857143</v>
      </c>
      <c r="K73" s="469"/>
      <c r="L73" s="408"/>
      <c r="N73" s="413"/>
    </row>
    <row r="74" spans="1:14" ht="27.75">
      <c r="A74" s="1367" t="s">
        <v>204</v>
      </c>
      <c r="B74" s="1368"/>
      <c r="C74" s="1369"/>
      <c r="D74" s="599" t="s">
        <v>198</v>
      </c>
      <c r="E74" s="597">
        <f>'6'!F74</f>
        <v>881532</v>
      </c>
      <c r="F74" s="735">
        <v>881563</v>
      </c>
      <c r="G74" s="549">
        <f t="shared" si="6"/>
        <v>31</v>
      </c>
      <c r="H74" s="536">
        <f>G74+'6'!H74</f>
        <v>248</v>
      </c>
      <c r="I74" s="556"/>
      <c r="J74" s="629">
        <f>H74/DAY(B2)</f>
        <v>35.428571428571431</v>
      </c>
      <c r="K74" s="470"/>
      <c r="L74" s="408"/>
      <c r="N74" s="413"/>
    </row>
    <row r="75" spans="1:14" ht="27.75">
      <c r="A75" s="1364" t="s">
        <v>205</v>
      </c>
      <c r="B75" s="1365"/>
      <c r="C75" s="1366"/>
      <c r="D75" s="599" t="s">
        <v>198</v>
      </c>
      <c r="E75" s="596">
        <f>'6'!F75</f>
        <v>732701</v>
      </c>
      <c r="F75" s="736">
        <v>732881</v>
      </c>
      <c r="G75" s="549">
        <f t="shared" si="6"/>
        <v>180</v>
      </c>
      <c r="H75" s="536">
        <f>G75+'6'!H75</f>
        <v>1240</v>
      </c>
      <c r="I75" s="556"/>
      <c r="J75" s="629">
        <f>H75/DAY(B2)</f>
        <v>177.14285714285714</v>
      </c>
      <c r="K75" s="469"/>
      <c r="L75" s="408"/>
      <c r="N75" s="413"/>
    </row>
    <row r="76" spans="1:14" ht="27.75">
      <c r="A76" s="1364" t="s">
        <v>206</v>
      </c>
      <c r="B76" s="1365"/>
      <c r="C76" s="1366"/>
      <c r="D76" s="599" t="s">
        <v>198</v>
      </c>
      <c r="E76" s="596">
        <f>'6'!F76</f>
        <v>684726</v>
      </c>
      <c r="F76" s="736">
        <v>684821</v>
      </c>
      <c r="G76" s="549">
        <f t="shared" si="6"/>
        <v>95</v>
      </c>
      <c r="H76" s="536">
        <f>G76+'6'!H76</f>
        <v>555</v>
      </c>
      <c r="I76" s="581"/>
      <c r="J76" s="629">
        <f>H76/DAY(B2)</f>
        <v>79.285714285714292</v>
      </c>
      <c r="K76" s="469"/>
      <c r="L76" s="408"/>
      <c r="N76" s="413"/>
    </row>
    <row r="77" spans="1:14" ht="27.75">
      <c r="A77" s="1367" t="s">
        <v>207</v>
      </c>
      <c r="B77" s="1368"/>
      <c r="C77" s="1369"/>
      <c r="D77" s="599" t="s">
        <v>198</v>
      </c>
      <c r="E77" s="596">
        <f>'6'!F77</f>
        <v>695735</v>
      </c>
      <c r="F77" s="736">
        <v>695790</v>
      </c>
      <c r="G77" s="733">
        <f t="shared" si="6"/>
        <v>55</v>
      </c>
      <c r="H77" s="536">
        <f>G77+'6'!H77</f>
        <v>396</v>
      </c>
      <c r="I77" s="581"/>
      <c r="J77" s="629">
        <f>H77/DAY(B2)</f>
        <v>56.571428571428569</v>
      </c>
      <c r="K77" s="469"/>
      <c r="L77" s="408"/>
      <c r="N77" s="413"/>
    </row>
    <row r="78" spans="1:14" ht="27.75">
      <c r="A78" s="1255" t="s">
        <v>208</v>
      </c>
      <c r="B78" s="1226"/>
      <c r="C78" s="1226"/>
      <c r="D78" s="599" t="s">
        <v>198</v>
      </c>
      <c r="E78" s="597">
        <f>'6'!F78</f>
        <v>632860</v>
      </c>
      <c r="F78" s="737">
        <v>633149</v>
      </c>
      <c r="G78" s="549">
        <f t="shared" si="6"/>
        <v>289</v>
      </c>
      <c r="H78" s="536">
        <f>G78+'6'!H78</f>
        <v>2376</v>
      </c>
      <c r="I78" s="581"/>
      <c r="J78" s="629">
        <f>H78/DAY(B2)</f>
        <v>339.42857142857144</v>
      </c>
      <c r="K78" s="469"/>
      <c r="L78" s="408"/>
      <c r="N78" s="413"/>
    </row>
    <row r="79" spans="1:14" ht="27.75">
      <c r="A79" s="1364" t="s">
        <v>97</v>
      </c>
      <c r="B79" s="1365"/>
      <c r="C79" s="1366"/>
      <c r="D79" s="600" t="s">
        <v>198</v>
      </c>
      <c r="E79" s="597">
        <f>'6'!F79</f>
        <v>804965</v>
      </c>
      <c r="F79" s="737">
        <v>805158</v>
      </c>
      <c r="G79" s="549">
        <f t="shared" si="6"/>
        <v>193</v>
      </c>
      <c r="H79" s="536">
        <f>G79+'6'!H79</f>
        <v>1315</v>
      </c>
      <c r="I79" s="581"/>
      <c r="J79" s="629">
        <f>H79/DAY(B2)</f>
        <v>187.85714285714286</v>
      </c>
      <c r="K79" s="469"/>
      <c r="L79" s="408"/>
      <c r="N79" s="413"/>
    </row>
    <row r="80" spans="1:14" ht="27.75">
      <c r="A80" s="1364" t="s">
        <v>209</v>
      </c>
      <c r="B80" s="1365"/>
      <c r="C80" s="1366"/>
      <c r="D80" s="600" t="s">
        <v>198</v>
      </c>
      <c r="E80" s="596">
        <f>'6'!F80</f>
        <v>477365.56</v>
      </c>
      <c r="F80" s="736">
        <v>477662</v>
      </c>
      <c r="G80" s="549">
        <f t="shared" si="6"/>
        <v>296.44000000000233</v>
      </c>
      <c r="H80" s="536">
        <f>G80+'6'!H80</f>
        <v>2131</v>
      </c>
      <c r="I80" s="581"/>
      <c r="J80" s="629">
        <f>H80/DAY(B2)</f>
        <v>304.42857142857144</v>
      </c>
      <c r="K80" s="469"/>
      <c r="L80" s="408"/>
      <c r="N80" s="413"/>
    </row>
    <row r="81" spans="1:15" ht="27.75">
      <c r="A81" s="1364" t="s">
        <v>210</v>
      </c>
      <c r="B81" s="1365"/>
      <c r="C81" s="1366"/>
      <c r="D81" s="600" t="s">
        <v>198</v>
      </c>
      <c r="E81" s="596">
        <f>'6'!F81</f>
        <v>620002</v>
      </c>
      <c r="F81" s="736">
        <v>620124</v>
      </c>
      <c r="G81" s="549">
        <f t="shared" si="6"/>
        <v>122</v>
      </c>
      <c r="H81" s="536">
        <f>G81+'6'!H81</f>
        <v>870</v>
      </c>
      <c r="I81" s="581"/>
      <c r="J81" s="629">
        <f>H81/DAY(B2)</f>
        <v>124.28571428571429</v>
      </c>
      <c r="K81" s="469"/>
      <c r="L81" s="408"/>
      <c r="N81" s="413"/>
    </row>
    <row r="82" spans="1:15" ht="27.75">
      <c r="A82" s="1364" t="s">
        <v>100</v>
      </c>
      <c r="B82" s="1365"/>
      <c r="C82" s="1366"/>
      <c r="D82" s="561" t="s">
        <v>143</v>
      </c>
      <c r="E82" s="598">
        <f>'6'!F82</f>
        <v>104566</v>
      </c>
      <c r="F82" s="732">
        <v>104586</v>
      </c>
      <c r="G82" s="549">
        <f t="shared" si="6"/>
        <v>20</v>
      </c>
      <c r="H82" s="536">
        <f>G82+'6'!H82</f>
        <v>148</v>
      </c>
      <c r="I82" s="562"/>
      <c r="J82" s="629">
        <f>H82/DAY(B2)</f>
        <v>21.142857142857142</v>
      </c>
      <c r="K82" s="469"/>
      <c r="L82" s="408"/>
      <c r="N82" s="413"/>
    </row>
    <row r="83" spans="1:15" ht="27.75">
      <c r="A83" s="1364" t="s">
        <v>211</v>
      </c>
      <c r="B83" s="1365"/>
      <c r="C83" s="1366"/>
      <c r="D83" s="697" t="s">
        <v>143</v>
      </c>
      <c r="E83" s="587">
        <f>'6'!F83</f>
        <v>975490</v>
      </c>
      <c r="F83" s="587">
        <v>975821</v>
      </c>
      <c r="G83" s="549">
        <f t="shared" si="6"/>
        <v>331</v>
      </c>
      <c r="H83" s="536">
        <f>G83+'6'!H83</f>
        <v>2350</v>
      </c>
      <c r="I83" s="557"/>
      <c r="J83" s="629">
        <f>H83/DAY(B2)</f>
        <v>335.71428571428572</v>
      </c>
      <c r="K83" s="468"/>
      <c r="L83" s="408"/>
      <c r="N83" s="413"/>
    </row>
    <row r="84" spans="1:15">
      <c r="A84" s="1256" t="s">
        <v>212</v>
      </c>
      <c r="B84" s="648"/>
      <c r="C84" s="648"/>
      <c r="D84" s="554" t="s">
        <v>143</v>
      </c>
      <c r="E84" s="704">
        <f>'6'!F84</f>
        <v>400254</v>
      </c>
      <c r="F84" s="704">
        <v>400706</v>
      </c>
      <c r="G84" s="549">
        <f t="shared" si="6"/>
        <v>452</v>
      </c>
      <c r="H84" s="536">
        <f>G84+'6'!H84</f>
        <v>3510</v>
      </c>
      <c r="I84" s="557"/>
      <c r="J84" s="629">
        <f>H84/DAY(B2)</f>
        <v>501.42857142857144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2152.4400000000023</v>
      </c>
      <c r="H85" s="536">
        <f>G85+'6'!H85</f>
        <v>13819</v>
      </c>
      <c r="I85" s="557"/>
      <c r="J85" s="629">
        <f>H85/DAY(B2)</f>
        <v>1974.1428571428571</v>
      </c>
      <c r="K85" s="411"/>
      <c r="L85" s="409"/>
      <c r="N85" s="413"/>
    </row>
    <row r="86" spans="1:15" s="835" customFormat="1">
      <c r="A86" s="830" t="s">
        <v>102</v>
      </c>
      <c r="B86" s="831"/>
      <c r="C86" s="831"/>
      <c r="D86" s="732" t="s">
        <v>194</v>
      </c>
      <c r="E86" s="704">
        <f>'6'!F86</f>
        <v>444688</v>
      </c>
      <c r="F86" s="728">
        <v>444782</v>
      </c>
      <c r="G86" s="805">
        <f t="shared" ref="G86:G90" si="7">F86-E86</f>
        <v>94</v>
      </c>
      <c r="H86" s="805">
        <f t="shared" ref="H86:H88" si="8">G86</f>
        <v>94</v>
      </c>
      <c r="I86" s="733"/>
      <c r="J86" s="807">
        <f>H86/DAY(B2)</f>
        <v>13.428571428571429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732" t="s">
        <v>194</v>
      </c>
      <c r="E87" s="704">
        <f>'6'!F87</f>
        <v>77852.800000000003</v>
      </c>
      <c r="F87" s="728">
        <v>77889</v>
      </c>
      <c r="G87" s="805">
        <f t="shared" si="7"/>
        <v>36.19999999999709</v>
      </c>
      <c r="H87" s="805">
        <f t="shared" si="8"/>
        <v>36.19999999999709</v>
      </c>
      <c r="I87" s="733"/>
      <c r="J87" s="807">
        <f>H87/DAY(B2)</f>
        <v>5.171428571428156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732" t="s">
        <v>194</v>
      </c>
      <c r="E88" s="704">
        <f>'6'!F88</f>
        <v>144821</v>
      </c>
      <c r="F88" s="728">
        <v>144882</v>
      </c>
      <c r="G88" s="805">
        <f t="shared" si="7"/>
        <v>61</v>
      </c>
      <c r="H88" s="805">
        <f t="shared" si="8"/>
        <v>61</v>
      </c>
      <c r="I88" s="733"/>
      <c r="J88" s="807">
        <f>H88/DAY(B2)</f>
        <v>8.7142857142857135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732" t="s">
        <v>194</v>
      </c>
      <c r="E89" s="704">
        <f>'6'!F89</f>
        <v>58059.6</v>
      </c>
      <c r="F89" s="728">
        <v>58115.9</v>
      </c>
      <c r="G89" s="805">
        <f t="shared" si="7"/>
        <v>56.30000000000291</v>
      </c>
      <c r="H89" s="805">
        <f>G89</f>
        <v>56.30000000000291</v>
      </c>
      <c r="I89" s="733"/>
      <c r="J89" s="807">
        <f>H89/DAY(B2)</f>
        <v>8.0428571428575584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732" t="s">
        <v>194</v>
      </c>
      <c r="E90" s="704">
        <f>'6'!F90</f>
        <v>2996.9</v>
      </c>
      <c r="F90" s="728">
        <v>2998</v>
      </c>
      <c r="G90" s="805">
        <f t="shared" si="7"/>
        <v>1.0999999999999091</v>
      </c>
      <c r="H90" s="805">
        <f>G90</f>
        <v>1.0999999999999091</v>
      </c>
      <c r="I90" s="733"/>
      <c r="J90" s="807">
        <f>H90/DAY(B2)</f>
        <v>0.15714285714284415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88" t="s">
        <v>217</v>
      </c>
      <c r="B92" s="1389"/>
      <c r="C92" s="1390"/>
      <c r="D92" s="599" t="s">
        <v>155</v>
      </c>
      <c r="E92" s="560">
        <f>'6'!F92</f>
        <v>234344</v>
      </c>
      <c r="F92" s="554">
        <v>234389</v>
      </c>
      <c r="G92" s="549">
        <f t="shared" ref="G92:G93" si="9">F92-E92</f>
        <v>45</v>
      </c>
      <c r="H92" s="536">
        <f>G92+'6'!H92</f>
        <v>487</v>
      </c>
      <c r="I92" s="556"/>
      <c r="J92" s="629">
        <f>H92/DAY(B2)</f>
        <v>69.571428571428569</v>
      </c>
      <c r="K92" s="468"/>
      <c r="L92" s="408"/>
      <c r="N92" s="413"/>
    </row>
    <row r="93" spans="1:15" ht="27.75">
      <c r="A93" s="1388" t="s">
        <v>218</v>
      </c>
      <c r="B93" s="1389"/>
      <c r="C93" s="1390"/>
      <c r="D93" s="599" t="s">
        <v>155</v>
      </c>
      <c r="E93" s="560">
        <f>'6'!F93</f>
        <v>167674</v>
      </c>
      <c r="F93" s="554">
        <v>167790</v>
      </c>
      <c r="G93" s="549">
        <f t="shared" si="9"/>
        <v>116</v>
      </c>
      <c r="H93" s="536">
        <f>G93+'6'!H93</f>
        <v>874</v>
      </c>
      <c r="I93" s="556"/>
      <c r="J93" s="629">
        <f>H93/DAY(B2)</f>
        <v>124.85714285714286</v>
      </c>
      <c r="K93" s="411"/>
      <c r="L93" s="408"/>
      <c r="N93" s="413"/>
    </row>
    <row r="94" spans="1:15">
      <c r="A94" s="1419" t="s">
        <v>219</v>
      </c>
      <c r="B94" s="1420"/>
      <c r="C94" s="1421"/>
      <c r="D94" s="599"/>
      <c r="E94" s="560">
        <f>'6'!F94</f>
        <v>0</v>
      </c>
      <c r="F94" s="554"/>
      <c r="G94" s="549">
        <f>G92+G93</f>
        <v>161</v>
      </c>
      <c r="H94" s="536">
        <f>G94+'6'!H94</f>
        <v>1087</v>
      </c>
      <c r="I94" s="556"/>
      <c r="J94" s="629">
        <f>H94/DAY(B2)</f>
        <v>155.28571428571428</v>
      </c>
      <c r="K94" s="411"/>
      <c r="L94" s="408"/>
      <c r="N94" s="413"/>
    </row>
    <row r="95" spans="1:15" ht="27.75">
      <c r="A95" s="1388" t="s">
        <v>220</v>
      </c>
      <c r="B95" s="1389"/>
      <c r="C95" s="1390"/>
      <c r="D95" s="599" t="s">
        <v>155</v>
      </c>
      <c r="E95" s="560">
        <f>'6'!F95</f>
        <v>404025</v>
      </c>
      <c r="F95" s="554">
        <v>404073</v>
      </c>
      <c r="G95" s="549">
        <f t="shared" ref="G95:G100" si="10">F95-E95</f>
        <v>48</v>
      </c>
      <c r="H95" s="536">
        <f>G95+'6'!H95</f>
        <v>408</v>
      </c>
      <c r="I95" s="556"/>
      <c r="J95" s="629">
        <f>H95/DAY(B2)</f>
        <v>58.285714285714285</v>
      </c>
      <c r="K95" s="411"/>
      <c r="L95" s="408"/>
      <c r="N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'6'!F96</f>
        <v>100043</v>
      </c>
      <c r="F96" s="554">
        <v>100057</v>
      </c>
      <c r="G96" s="549">
        <f t="shared" si="10"/>
        <v>14</v>
      </c>
      <c r="H96" s="536">
        <f>G96+'6'!H96</f>
        <v>136</v>
      </c>
      <c r="I96" s="556"/>
      <c r="J96" s="629">
        <f>H96/DAY(B2)</f>
        <v>19.428571428571427</v>
      </c>
      <c r="K96" s="466"/>
      <c r="L96" s="408"/>
      <c r="N96" s="413"/>
    </row>
    <row r="97" spans="1:14" ht="27.75">
      <c r="A97" s="1252" t="s">
        <v>222</v>
      </c>
      <c r="B97" s="1253"/>
      <c r="C97" s="1253"/>
      <c r="D97" s="599" t="s">
        <v>155</v>
      </c>
      <c r="E97" s="560">
        <f>'6'!F97</f>
        <v>95146</v>
      </c>
      <c r="F97" s="554">
        <v>95161</v>
      </c>
      <c r="G97" s="549">
        <f t="shared" si="10"/>
        <v>15</v>
      </c>
      <c r="H97" s="536">
        <f>G97+'6'!H97</f>
        <v>134</v>
      </c>
      <c r="I97" s="556"/>
      <c r="J97" s="629">
        <f>H97/DAY(B2)</f>
        <v>19.142857142857142</v>
      </c>
      <c r="K97" s="471"/>
      <c r="L97" s="408"/>
      <c r="N97" s="413"/>
    </row>
    <row r="98" spans="1:14" ht="27.75">
      <c r="A98" s="1252" t="s">
        <v>223</v>
      </c>
      <c r="B98" s="1253"/>
      <c r="C98" s="1253"/>
      <c r="D98" s="599" t="s">
        <v>155</v>
      </c>
      <c r="E98" s="560">
        <f>'6'!F98</f>
        <v>144161</v>
      </c>
      <c r="F98" s="554">
        <v>144207</v>
      </c>
      <c r="G98" s="549">
        <f t="shared" si="10"/>
        <v>46</v>
      </c>
      <c r="H98" s="536">
        <f>G98+'6'!H98</f>
        <v>400</v>
      </c>
      <c r="I98" s="556"/>
      <c r="J98" s="629">
        <f>H98/DAY(B2)</f>
        <v>57.142857142857146</v>
      </c>
      <c r="K98" s="411"/>
      <c r="L98" s="408"/>
      <c r="N98" s="787"/>
    </row>
    <row r="99" spans="1:14" ht="27.75">
      <c r="A99" s="1252" t="s">
        <v>224</v>
      </c>
      <c r="B99" s="1253"/>
      <c r="C99" s="1253"/>
      <c r="D99" s="599" t="s">
        <v>155</v>
      </c>
      <c r="E99" s="560">
        <f>'6'!F99</f>
        <v>5574</v>
      </c>
      <c r="F99" s="554">
        <v>5585</v>
      </c>
      <c r="G99" s="549">
        <f t="shared" si="10"/>
        <v>11</v>
      </c>
      <c r="H99" s="536">
        <f>G99+'6'!H99</f>
        <v>83</v>
      </c>
      <c r="I99" s="556"/>
      <c r="J99" s="629">
        <f>H99/DAY(B2)</f>
        <v>11.857142857142858</v>
      </c>
      <c r="K99" s="411"/>
      <c r="L99" s="408"/>
      <c r="N99" s="413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'6'!F100</f>
        <v>4007</v>
      </c>
      <c r="F100" s="554">
        <v>4020</v>
      </c>
      <c r="G100" s="549">
        <f t="shared" si="10"/>
        <v>13</v>
      </c>
      <c r="H100" s="536">
        <f>G100+'6'!H100</f>
        <v>56</v>
      </c>
      <c r="I100" s="556"/>
      <c r="J100" s="629">
        <f>H100/DAY(B2)</f>
        <v>8</v>
      </c>
      <c r="K100" s="411"/>
      <c r="L100" s="408"/>
      <c r="N100" s="413"/>
    </row>
    <row r="101" spans="1:14">
      <c r="A101" s="1419" t="s">
        <v>227</v>
      </c>
      <c r="B101" s="1420"/>
      <c r="C101" s="1421"/>
      <c r="D101" s="600"/>
      <c r="E101" s="600"/>
      <c r="F101" s="600"/>
      <c r="G101" s="601">
        <f>SUM(G95:G100)</f>
        <v>147</v>
      </c>
      <c r="H101" s="536">
        <f>G101+'6'!H101</f>
        <v>1217</v>
      </c>
      <c r="I101" s="602"/>
      <c r="J101" s="629">
        <f>H101/DAY(B2)</f>
        <v>173.85714285714286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22" t="s">
        <v>229</v>
      </c>
      <c r="B103" s="1423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80" t="s">
        <v>230</v>
      </c>
      <c r="B104" s="1381"/>
      <c r="C104" s="1251"/>
      <c r="D104" s="699" t="s">
        <v>155</v>
      </c>
      <c r="E104" s="608">
        <v>7010</v>
      </c>
      <c r="F104" s="739">
        <v>7010</v>
      </c>
      <c r="G104" s="608">
        <f>F104-E104</f>
        <v>0</v>
      </c>
      <c r="H104" s="536">
        <f>G104+'6'!H104</f>
        <v>0</v>
      </c>
      <c r="I104" s="608"/>
      <c r="J104" s="635">
        <f>H104/DAY(B2)</f>
        <v>0</v>
      </c>
      <c r="N104" s="413"/>
    </row>
    <row r="105" spans="1:14" s="481" customFormat="1" ht="27.75">
      <c r="A105" s="1380" t="s">
        <v>77</v>
      </c>
      <c r="B105" s="1381"/>
      <c r="C105" s="1251"/>
      <c r="D105" s="699" t="s">
        <v>155</v>
      </c>
      <c r="E105" s="608">
        <f>'6'!F105</f>
        <v>34965</v>
      </c>
      <c r="F105" s="740">
        <v>34967</v>
      </c>
      <c r="G105" s="608">
        <f t="shared" ref="G105:G106" si="11">F105-E105</f>
        <v>2</v>
      </c>
      <c r="H105" s="536">
        <f>G105+'6'!H105</f>
        <v>53</v>
      </c>
      <c r="I105" s="608"/>
      <c r="J105" s="635">
        <f>H105/DAY(B2)</f>
        <v>7.5714285714285712</v>
      </c>
      <c r="N105" s="413"/>
    </row>
    <row r="106" spans="1:14" s="481" customFormat="1" ht="27.75">
      <c r="A106" s="1380" t="s">
        <v>78</v>
      </c>
      <c r="B106" s="1424"/>
      <c r="C106" s="1381"/>
      <c r="D106" s="699" t="s">
        <v>155</v>
      </c>
      <c r="E106" s="608">
        <f>'6'!F106</f>
        <v>18921</v>
      </c>
      <c r="F106" s="740">
        <v>18926</v>
      </c>
      <c r="G106" s="608">
        <f t="shared" si="11"/>
        <v>5</v>
      </c>
      <c r="H106" s="536">
        <f>G106+'6'!H106</f>
        <v>42</v>
      </c>
      <c r="I106" s="608"/>
      <c r="J106" s="635">
        <f>H106/DAY(B2)</f>
        <v>6</v>
      </c>
      <c r="N106" s="413"/>
    </row>
    <row r="107" spans="1:14" s="481" customFormat="1" ht="27.75">
      <c r="A107" s="1382" t="s">
        <v>213</v>
      </c>
      <c r="B107" s="1383"/>
      <c r="C107" s="1251"/>
      <c r="D107" s="699"/>
      <c r="E107" s="608"/>
      <c r="F107" s="740"/>
      <c r="G107" s="608">
        <f>SUM(G104:G106)</f>
        <v>7</v>
      </c>
      <c r="H107" s="536">
        <f>G107+'6'!H107</f>
        <v>95</v>
      </c>
      <c r="I107" s="608"/>
      <c r="J107" s="635">
        <f>H107/DAY(B2)</f>
        <v>13.571428571428571</v>
      </c>
      <c r="N107" s="413"/>
    </row>
    <row r="108" spans="1:14" s="481" customFormat="1" ht="27.75">
      <c r="A108" s="1386" t="s">
        <v>79</v>
      </c>
      <c r="B108" s="1387"/>
      <c r="C108" s="1251"/>
      <c r="D108" s="699" t="s">
        <v>155</v>
      </c>
      <c r="E108" s="608"/>
      <c r="F108" s="740"/>
      <c r="G108" s="608"/>
      <c r="H108" s="536">
        <f>G108+'6'!H108</f>
        <v>0</v>
      </c>
      <c r="I108" s="608"/>
      <c r="J108" s="635"/>
      <c r="N108" s="413"/>
    </row>
    <row r="109" spans="1:14" s="481" customFormat="1" ht="27.75">
      <c r="A109" s="1380" t="s">
        <v>231</v>
      </c>
      <c r="B109" s="1381"/>
      <c r="C109" s="1251"/>
      <c r="D109" s="699" t="s">
        <v>155</v>
      </c>
      <c r="E109" s="608">
        <f>'6'!F109</f>
        <v>53357</v>
      </c>
      <c r="F109" s="740">
        <v>53397</v>
      </c>
      <c r="G109" s="608">
        <f>F109-E109</f>
        <v>40</v>
      </c>
      <c r="H109" s="536">
        <f>G109+'6'!H109</f>
        <v>451</v>
      </c>
      <c r="I109" s="608"/>
      <c r="J109" s="635">
        <f>H109/DAY(B2)</f>
        <v>64.428571428571431</v>
      </c>
      <c r="N109" s="413"/>
    </row>
    <row r="110" spans="1:14" s="481" customFormat="1" ht="27.75">
      <c r="A110" s="1380" t="s">
        <v>232</v>
      </c>
      <c r="B110" s="1381"/>
      <c r="C110" s="1251"/>
      <c r="D110" s="699" t="s">
        <v>155</v>
      </c>
      <c r="E110" s="608">
        <f>'6'!F110</f>
        <v>27215</v>
      </c>
      <c r="F110" s="740">
        <v>27239</v>
      </c>
      <c r="G110" s="608">
        <f t="shared" ref="G110:G111" si="12">F110-E110</f>
        <v>24</v>
      </c>
      <c r="H110" s="536">
        <f>G110+'6'!H110</f>
        <v>379</v>
      </c>
      <c r="I110" s="608"/>
      <c r="J110" s="635">
        <f>H110/DAY(B2)</f>
        <v>54.142857142857146</v>
      </c>
      <c r="N110" s="413"/>
    </row>
    <row r="111" spans="1:14" s="481" customFormat="1" ht="27.75">
      <c r="A111" s="1380" t="s">
        <v>233</v>
      </c>
      <c r="B111" s="1381"/>
      <c r="C111" s="1251"/>
      <c r="D111" s="699" t="s">
        <v>155</v>
      </c>
      <c r="E111" s="608">
        <f>'6'!F111</f>
        <v>3597</v>
      </c>
      <c r="F111" s="740">
        <v>3610</v>
      </c>
      <c r="G111" s="608">
        <f t="shared" si="12"/>
        <v>13</v>
      </c>
      <c r="H111" s="536">
        <f>G111+'6'!H111</f>
        <v>43</v>
      </c>
      <c r="I111" s="608"/>
      <c r="J111" s="635">
        <f>H111/DAY(B2)</f>
        <v>6.1428571428571432</v>
      </c>
      <c r="N111" s="413"/>
    </row>
    <row r="112" spans="1:14" s="481" customFormat="1" ht="27.75">
      <c r="A112" s="1382" t="s">
        <v>121</v>
      </c>
      <c r="B112" s="1383"/>
      <c r="C112" s="1251"/>
      <c r="D112" s="699"/>
      <c r="E112" s="608"/>
      <c r="F112" s="740"/>
      <c r="G112" s="608">
        <f>SUM(G109:G111)</f>
        <v>77</v>
      </c>
      <c r="H112" s="536">
        <f>G112+'6'!H112</f>
        <v>873</v>
      </c>
      <c r="I112" s="608"/>
      <c r="J112" s="635">
        <f>H112/DAY(B2)</f>
        <v>124.71428571428571</v>
      </c>
      <c r="N112" s="413"/>
    </row>
    <row r="113" spans="1:14" s="481" customFormat="1" ht="27.75">
      <c r="A113" s="1386" t="s">
        <v>234</v>
      </c>
      <c r="B113" s="1387"/>
      <c r="C113" s="1251"/>
      <c r="D113" s="699"/>
      <c r="E113" s="608"/>
      <c r="F113" s="740"/>
      <c r="G113" s="608"/>
      <c r="H113" s="536">
        <f>G113+'6'!H113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0" t="s">
        <v>235</v>
      </c>
      <c r="B114" s="1381"/>
      <c r="C114" s="651"/>
      <c r="D114" s="699" t="s">
        <v>155</v>
      </c>
      <c r="E114" s="608">
        <f>'6'!F114</f>
        <v>9327</v>
      </c>
      <c r="F114" s="740">
        <v>9336</v>
      </c>
      <c r="G114" s="610">
        <f>F114-E114</f>
        <v>9</v>
      </c>
      <c r="H114" s="536">
        <f>G114+'6'!H114</f>
        <v>108</v>
      </c>
      <c r="I114" s="608"/>
      <c r="J114" s="635">
        <f>H114/DAY(B2)</f>
        <v>15.428571428571429</v>
      </c>
      <c r="N114" s="413"/>
    </row>
    <row r="115" spans="1:14" s="481" customFormat="1" ht="27.75">
      <c r="A115" s="1380" t="s">
        <v>236</v>
      </c>
      <c r="B115" s="1381"/>
      <c r="C115" s="651"/>
      <c r="D115" s="699" t="s">
        <v>155</v>
      </c>
      <c r="E115" s="608">
        <f>'6'!F115</f>
        <v>7228</v>
      </c>
      <c r="F115" s="740">
        <v>7238</v>
      </c>
      <c r="G115" s="610">
        <f t="shared" ref="G115:G116" si="13">F115-E115</f>
        <v>10</v>
      </c>
      <c r="H115" s="536">
        <f>G115+'6'!H115</f>
        <v>51</v>
      </c>
      <c r="I115" s="608"/>
      <c r="J115" s="635">
        <f>H115/DAY(B2)</f>
        <v>7.2857142857142856</v>
      </c>
      <c r="N115" s="413"/>
    </row>
    <row r="116" spans="1:14" s="481" customFormat="1" ht="27.75">
      <c r="A116" s="1380" t="s">
        <v>237</v>
      </c>
      <c r="B116" s="1381"/>
      <c r="C116" s="651"/>
      <c r="D116" s="699" t="s">
        <v>155</v>
      </c>
      <c r="E116" s="610"/>
      <c r="F116" s="740"/>
      <c r="G116" s="610">
        <f t="shared" si="13"/>
        <v>0</v>
      </c>
      <c r="H116" s="536">
        <f>G116+'6'!H116</f>
        <v>0</v>
      </c>
      <c r="I116" s="608"/>
      <c r="J116" s="635">
        <f>H116/DAY(B2)</f>
        <v>0</v>
      </c>
      <c r="N116" s="413"/>
    </row>
    <row r="117" spans="1:14" s="494" customFormat="1" ht="27.75">
      <c r="A117" s="1382" t="s">
        <v>213</v>
      </c>
      <c r="B117" s="1383"/>
      <c r="C117" s="651"/>
      <c r="D117" s="700"/>
      <c r="E117" s="610"/>
      <c r="F117" s="740"/>
      <c r="G117" s="610">
        <f>SUM(G114:G116)</f>
        <v>19</v>
      </c>
      <c r="H117" s="536">
        <f>G117+'6'!H117</f>
        <v>159</v>
      </c>
      <c r="I117" s="610"/>
      <c r="J117" s="635">
        <f>H117/DAY(B2)</f>
        <v>22.714285714285715</v>
      </c>
      <c r="N117" s="413"/>
    </row>
    <row r="118" spans="1:14" s="495" customFormat="1" ht="27.75">
      <c r="A118" s="1376" t="s">
        <v>238</v>
      </c>
      <c r="B118" s="1377"/>
      <c r="C118" s="1249"/>
      <c r="D118" s="701" t="s">
        <v>155</v>
      </c>
      <c r="E118" s="612"/>
      <c r="F118" s="741">
        <f>SUM(G19+G92)</f>
        <v>97</v>
      </c>
      <c r="G118" s="612">
        <f>SUM(G19+G92)</f>
        <v>97</v>
      </c>
      <c r="H118" s="536">
        <f>G118+'6'!H118</f>
        <v>841</v>
      </c>
      <c r="I118" s="611"/>
      <c r="J118" s="636">
        <f>H118/DAY(B2)</f>
        <v>120.14285714285714</v>
      </c>
      <c r="N118" s="413"/>
    </row>
    <row r="119" spans="1:14" s="495" customFormat="1" ht="27.75">
      <c r="A119" s="1376" t="s">
        <v>239</v>
      </c>
      <c r="B119" s="1377"/>
      <c r="C119" s="1249"/>
      <c r="D119" s="701" t="s">
        <v>155</v>
      </c>
      <c r="E119" s="612"/>
      <c r="F119" s="741">
        <f>SUM(G95,G96,G97,G99,G100)</f>
        <v>101</v>
      </c>
      <c r="G119" s="612">
        <f>SUM(G95,G96,G97,G99,G100)</f>
        <v>101</v>
      </c>
      <c r="H119" s="536">
        <f>G119+'6'!H119</f>
        <v>817</v>
      </c>
      <c r="I119" s="611"/>
      <c r="J119" s="636">
        <f>H119/DAY(B2)</f>
        <v>116.71428571428571</v>
      </c>
      <c r="N119" s="413"/>
    </row>
    <row r="120" spans="1:14" s="495" customFormat="1" ht="27.75">
      <c r="A120" s="1376" t="s">
        <v>240</v>
      </c>
      <c r="B120" s="1377"/>
      <c r="C120" s="1249"/>
      <c r="D120" s="701" t="s">
        <v>155</v>
      </c>
      <c r="E120" s="610"/>
      <c r="F120" s="740">
        <f>SUM(G112)</f>
        <v>77</v>
      </c>
      <c r="G120" s="610">
        <f>SUM(G112)</f>
        <v>77</v>
      </c>
      <c r="H120" s="536">
        <f>G120+'6'!H120</f>
        <v>873</v>
      </c>
      <c r="I120" s="611"/>
      <c r="J120" s="636">
        <f>H120/DAY(B2)</f>
        <v>124.71428571428571</v>
      </c>
      <c r="N120" s="413"/>
    </row>
    <row r="121" spans="1:14" s="481" customFormat="1" ht="27.75">
      <c r="A121" s="1378"/>
      <c r="B121" s="1379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16" t="s">
        <v>241</v>
      </c>
      <c r="B122" s="1417"/>
      <c r="C122" s="1418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1166">
        <f>'6'!F123</f>
        <v>796905</v>
      </c>
      <c r="F123" s="1166">
        <v>797143</v>
      </c>
      <c r="G123" s="1167">
        <f t="shared" ref="G123:G127" si="14">F123-E123</f>
        <v>238</v>
      </c>
      <c r="H123" s="536">
        <f>G123+'6'!H123</f>
        <v>1718.9499999999534</v>
      </c>
      <c r="I123" s="602"/>
      <c r="J123" s="629">
        <f>H123/DAY(B2)</f>
        <v>245.56428571427907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561">
        <f>'6'!F124</f>
        <v>73582</v>
      </c>
      <c r="F124" s="561">
        <v>73582</v>
      </c>
      <c r="G124" s="549">
        <f t="shared" si="14"/>
        <v>0</v>
      </c>
      <c r="H124" s="536">
        <f>G124+'6'!H124</f>
        <v>-0.19999999999708962</v>
      </c>
      <c r="I124" s="602"/>
      <c r="J124" s="629">
        <f>H124/DAY(B2)</f>
        <v>-2.8571428571012802E-2</v>
      </c>
      <c r="K124" s="411"/>
      <c r="L124" s="408"/>
      <c r="N124" s="413"/>
    </row>
    <row r="125" spans="1:14" ht="27.75">
      <c r="A125" s="1367" t="s">
        <v>244</v>
      </c>
      <c r="B125" s="1368"/>
      <c r="C125" s="1369"/>
      <c r="D125" s="599" t="s">
        <v>152</v>
      </c>
      <c r="E125" s="1172">
        <f>'6'!F125</f>
        <v>135977</v>
      </c>
      <c r="F125" s="1172">
        <v>136040</v>
      </c>
      <c r="G125" s="1168">
        <f t="shared" si="14"/>
        <v>63</v>
      </c>
      <c r="H125" s="536">
        <f>G125+'6'!H125</f>
        <v>449.32999999998719</v>
      </c>
      <c r="I125" s="602"/>
      <c r="J125" s="629">
        <f>H125/DAY(B2)</f>
        <v>64.189999999998165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561">
        <f>'6'!F126</f>
        <v>57561</v>
      </c>
      <c r="F126" s="561">
        <v>57591</v>
      </c>
      <c r="G126" s="549">
        <f t="shared" si="14"/>
        <v>30</v>
      </c>
      <c r="H126" s="536">
        <f>G126+'6'!H126</f>
        <v>210</v>
      </c>
      <c r="I126" s="602"/>
      <c r="J126" s="629">
        <f>H126/DAY(B2)</f>
        <v>30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561">
        <f>'6'!F127</f>
        <v>8718</v>
      </c>
      <c r="F127" s="561">
        <v>8718</v>
      </c>
      <c r="G127" s="549">
        <f t="shared" si="14"/>
        <v>0</v>
      </c>
      <c r="H127" s="536">
        <f>G127+'6'!H127</f>
        <v>12</v>
      </c>
      <c r="I127" s="556"/>
      <c r="J127" s="629">
        <f>H127/DAY(B2)</f>
        <v>1.7142857142857142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1164">
        <f>G15-SUM(G123:G127)</f>
        <v>290.30000000004657</v>
      </c>
      <c r="H128" s="536">
        <f>G128+'6'!H128</f>
        <v>2541.8199999999633</v>
      </c>
      <c r="I128" s="556"/>
      <c r="J128" s="629">
        <f>H128/DAY(B2)</f>
        <v>363.11714285713759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'6'!F130</f>
        <v>0</v>
      </c>
      <c r="F130" s="554">
        <v>0</v>
      </c>
      <c r="G130" s="549">
        <f t="shared" ref="G130:G140" si="15">F130-E130</f>
        <v>0</v>
      </c>
      <c r="H130" s="536">
        <f>G130+'6'!H130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'6'!F131</f>
        <v>0</v>
      </c>
      <c r="F131" s="554">
        <v>0</v>
      </c>
      <c r="G131" s="549">
        <f t="shared" si="15"/>
        <v>0</v>
      </c>
      <c r="H131" s="536">
        <f>G131+'6'!H131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598">
        <f>'6'!F132</f>
        <v>38901</v>
      </c>
      <c r="F132" s="561">
        <v>38901</v>
      </c>
      <c r="G132" s="549">
        <f t="shared" si="15"/>
        <v>0</v>
      </c>
      <c r="H132" s="536">
        <f>G132+'6'!H132</f>
        <v>0</v>
      </c>
      <c r="I132" s="556"/>
      <c r="J132" s="629">
        <f>H132/DAY(B2)</f>
        <v>0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782">
        <f>'6'!F133</f>
        <v>299</v>
      </c>
      <c r="F133" s="703">
        <v>299</v>
      </c>
      <c r="G133" s="874">
        <f t="shared" si="15"/>
        <v>0</v>
      </c>
      <c r="H133" s="536">
        <f>G133+'6'!H133</f>
        <v>0</v>
      </c>
      <c r="I133" s="556">
        <f>G132+G133+G134+G135</f>
        <v>23.970000000001164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598">
        <f>'6'!F134</f>
        <v>39735</v>
      </c>
      <c r="F134" s="561">
        <v>39735</v>
      </c>
      <c r="G134" s="549">
        <f t="shared" si="15"/>
        <v>0</v>
      </c>
      <c r="H134" s="536">
        <f>G134+'6'!H134</f>
        <v>0</v>
      </c>
      <c r="I134" s="556"/>
      <c r="J134" s="629">
        <f>H134/DAY(B2)</f>
        <v>0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782">
        <f>'6'!F135</f>
        <v>32312.03</v>
      </c>
      <c r="F135" s="703">
        <v>32336</v>
      </c>
      <c r="G135" s="874">
        <f t="shared" si="15"/>
        <v>23.970000000001164</v>
      </c>
      <c r="H135" s="536">
        <f>G135+'6'!H135</f>
        <v>168.61000000000058</v>
      </c>
      <c r="I135" s="556"/>
      <c r="J135" s="629">
        <f>H135/DAY(B2)</f>
        <v>24.08714285714294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'6'!F136</f>
        <v>21834.38</v>
      </c>
      <c r="F136" s="732">
        <v>21836.45</v>
      </c>
      <c r="G136" s="549">
        <f t="shared" si="15"/>
        <v>2.069999999999709</v>
      </c>
      <c r="H136" s="536">
        <f>G136+'6'!H136</f>
        <v>34.75</v>
      </c>
      <c r="I136" s="556">
        <f>G136+G137+G138</f>
        <v>9.4400000000096043</v>
      </c>
      <c r="J136" s="629">
        <f>H136/DAY(B2)</f>
        <v>4.9642857142857144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'6'!F137</f>
        <v>24990.61</v>
      </c>
      <c r="F137" s="732">
        <v>24990.61</v>
      </c>
      <c r="G137" s="549">
        <f t="shared" si="15"/>
        <v>0</v>
      </c>
      <c r="H137" s="536">
        <f>G137+'6'!H137</f>
        <v>0</v>
      </c>
      <c r="I137" s="556"/>
      <c r="J137" s="629">
        <f>H137/DAY(B2)</f>
        <v>0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1170">
        <f>'6'!F138</f>
        <v>70019.45</v>
      </c>
      <c r="F138" s="1171">
        <v>70026.820000000007</v>
      </c>
      <c r="G138" s="1164">
        <f t="shared" si="15"/>
        <v>7.3700000000098953</v>
      </c>
      <c r="H138" s="536">
        <f>G138+'6'!H138</f>
        <v>20.450000000011642</v>
      </c>
      <c r="I138" s="556"/>
      <c r="J138" s="629">
        <f>H138/DAY(B2)</f>
        <v>2.9214285714302344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598">
        <f>'6'!F139</f>
        <v>1063</v>
      </c>
      <c r="F139" s="561">
        <v>1063</v>
      </c>
      <c r="G139" s="549">
        <f t="shared" si="15"/>
        <v>0</v>
      </c>
      <c r="H139" s="536">
        <f>G139+'6'!H139</f>
        <v>0</v>
      </c>
      <c r="I139" s="619">
        <f>G139+G140</f>
        <v>7.6700000000000728</v>
      </c>
      <c r="J139" s="629">
        <f>H139/DAY(B2)</f>
        <v>0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1169">
        <f>'6'!F140</f>
        <v>4281.33</v>
      </c>
      <c r="F140" s="1166">
        <v>4289</v>
      </c>
      <c r="G140" s="1167">
        <f t="shared" si="15"/>
        <v>7.6700000000000728</v>
      </c>
      <c r="H140" s="536">
        <f>G140+'6'!H140</f>
        <v>56.590000000000146</v>
      </c>
      <c r="I140" s="619"/>
      <c r="J140" s="629">
        <f>H140/DAY(B2)</f>
        <v>8.0842857142857358</v>
      </c>
      <c r="N140" s="413"/>
    </row>
    <row r="141" spans="1:14">
      <c r="A141" s="1397" t="s">
        <v>261</v>
      </c>
      <c r="B141" s="1398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388" t="s">
        <v>262</v>
      </c>
      <c r="B142" s="1389"/>
      <c r="C142" s="1390"/>
      <c r="D142" s="599" t="s">
        <v>143</v>
      </c>
      <c r="E142" s="599"/>
      <c r="F142" s="599"/>
      <c r="G142" s="536">
        <f>G35+G43+G49+G57</f>
        <v>4664.2000000000116</v>
      </c>
      <c r="H142" s="536">
        <f>G142+'6'!H142</f>
        <v>33914.569999999949</v>
      </c>
      <c r="I142" s="556"/>
      <c r="J142" s="629">
        <f>H142/DAY(B2)</f>
        <v>4844.9385714285645</v>
      </c>
      <c r="K142" s="411"/>
      <c r="L142" s="408"/>
      <c r="N142" s="413"/>
    </row>
    <row r="143" spans="1:14" ht="27.75">
      <c r="A143" s="1388" t="s">
        <v>263</v>
      </c>
      <c r="B143" s="1389"/>
      <c r="C143" s="1390"/>
      <c r="D143" s="599" t="s">
        <v>24</v>
      </c>
      <c r="E143" s="587"/>
      <c r="F143" s="587"/>
      <c r="G143" s="620">
        <f>G142/G7</f>
        <v>0.26058439018939672</v>
      </c>
      <c r="H143" s="536">
        <f>G143+'6'!H143</f>
        <v>1.6447429523205144</v>
      </c>
      <c r="I143" s="621"/>
      <c r="J143" s="629">
        <f>H143/DAY(B2)</f>
        <v>0.23496327890293062</v>
      </c>
      <c r="K143" s="411"/>
      <c r="L143" s="408"/>
      <c r="N143" s="413"/>
    </row>
    <row r="144" spans="1:14" ht="27.75">
      <c r="A144" s="1388" t="s">
        <v>264</v>
      </c>
      <c r="B144" s="1389"/>
      <c r="C144" s="1390"/>
      <c r="D144" s="599" t="s">
        <v>143</v>
      </c>
      <c r="E144" s="531"/>
      <c r="F144" s="531"/>
      <c r="G144" s="536">
        <f>G41+G42+G55+G56</f>
        <v>3605</v>
      </c>
      <c r="H144" s="536">
        <f>G144+'6'!H144</f>
        <v>28406.840000000026</v>
      </c>
      <c r="I144" s="556"/>
      <c r="J144" s="629">
        <f>H144/DAY(B2)</f>
        <v>4058.1200000000035</v>
      </c>
      <c r="K144" s="411"/>
      <c r="L144" s="408"/>
      <c r="N144" s="413"/>
    </row>
    <row r="145" spans="1:14" ht="27.75">
      <c r="A145" s="1388" t="s">
        <v>265</v>
      </c>
      <c r="B145" s="1389"/>
      <c r="C145" s="1390"/>
      <c r="D145" s="599" t="s">
        <v>24</v>
      </c>
      <c r="E145" s="531"/>
      <c r="F145" s="531"/>
      <c r="G145" s="620">
        <f>G144/G7</f>
        <v>0.20140789988267502</v>
      </c>
      <c r="H145" s="536">
        <f>G145+'6'!H145</f>
        <v>1.5103384259971773</v>
      </c>
      <c r="I145" s="621"/>
      <c r="J145" s="629">
        <f>H145/DAY(B2)</f>
        <v>0.21576263228531103</v>
      </c>
      <c r="K145" s="411"/>
      <c r="L145" s="408"/>
      <c r="N145" s="413"/>
    </row>
    <row r="146" spans="1:14" ht="27.75">
      <c r="A146" s="1388" t="s">
        <v>266</v>
      </c>
      <c r="B146" s="1389"/>
      <c r="C146" s="1390"/>
      <c r="D146" s="599" t="s">
        <v>143</v>
      </c>
      <c r="E146" s="531"/>
      <c r="F146" s="531"/>
      <c r="G146" s="536">
        <f>G39+G53</f>
        <v>3874</v>
      </c>
      <c r="H146" s="536">
        <f>G146+'6'!H146</f>
        <v>27979.03</v>
      </c>
      <c r="I146" s="622"/>
      <c r="J146" s="629">
        <f>H146/DAY(B2)</f>
        <v>3997.0042857142857</v>
      </c>
      <c r="K146" s="411"/>
      <c r="L146" s="408"/>
      <c r="N146" s="413"/>
    </row>
    <row r="147" spans="1:14" ht="27.75">
      <c r="A147" s="1388" t="s">
        <v>267</v>
      </c>
      <c r="B147" s="1389"/>
      <c r="C147" s="1390"/>
      <c r="D147" s="599" t="s">
        <v>24</v>
      </c>
      <c r="E147" s="531"/>
      <c r="F147" s="531"/>
      <c r="G147" s="620">
        <f>G146/G7</f>
        <v>0.21643667243980111</v>
      </c>
      <c r="H147" s="536">
        <f>G147+'6'!H147</f>
        <v>1.4943489287936247</v>
      </c>
      <c r="I147" s="622"/>
      <c r="J147" s="629">
        <f>H147/DAY(B2)</f>
        <v>0.21347841839908924</v>
      </c>
      <c r="N147" s="413"/>
    </row>
    <row r="148" spans="1:14" ht="27.75">
      <c r="A148" s="1388" t="s">
        <v>268</v>
      </c>
      <c r="B148" s="1389"/>
      <c r="C148" s="1390"/>
      <c r="D148" s="599" t="s">
        <v>194</v>
      </c>
      <c r="E148" s="531"/>
      <c r="F148" s="531"/>
      <c r="G148" s="536">
        <f>G38+G52</f>
        <v>2007.6199999999953</v>
      </c>
      <c r="H148" s="536">
        <f>G148+'6'!H148</f>
        <v>13984.369999999995</v>
      </c>
      <c r="I148" s="556"/>
      <c r="J148" s="629">
        <f>H148/DAY(B2)</f>
        <v>1997.7671428571423</v>
      </c>
      <c r="K148" s="412"/>
      <c r="N148" s="413"/>
    </row>
    <row r="149" spans="1:14" ht="27.75">
      <c r="A149" s="1388" t="s">
        <v>269</v>
      </c>
      <c r="B149" s="1389"/>
      <c r="C149" s="1390"/>
      <c r="D149" s="599" t="s">
        <v>24</v>
      </c>
      <c r="E149" s="531"/>
      <c r="F149" s="531"/>
      <c r="G149" s="620">
        <f>G148/G7</f>
        <v>0.11216380803396812</v>
      </c>
      <c r="H149" s="536">
        <f>G149+'6'!H149</f>
        <v>0.74704413913842216</v>
      </c>
      <c r="I149" s="622"/>
      <c r="J149" s="629">
        <f>H149/DAY(B2)</f>
        <v>0.10672059130548887</v>
      </c>
      <c r="N149" s="413"/>
    </row>
    <row r="150" spans="1:14" ht="27.75">
      <c r="A150" s="1388" t="s">
        <v>270</v>
      </c>
      <c r="B150" s="1389"/>
      <c r="C150" s="1390"/>
      <c r="D150" s="599" t="s">
        <v>194</v>
      </c>
      <c r="E150" s="531"/>
      <c r="F150" s="531"/>
      <c r="G150" s="536">
        <f>G36+G50</f>
        <v>1750</v>
      </c>
      <c r="H150" s="536">
        <f>G150+'6'!H150</f>
        <v>12120.5</v>
      </c>
      <c r="I150" s="622"/>
      <c r="J150" s="629">
        <f>H150/DAY(B2)</f>
        <v>1731.5</v>
      </c>
      <c r="N150" s="413"/>
    </row>
    <row r="151" spans="1:14" ht="27.75">
      <c r="A151" s="1388" t="s">
        <v>271</v>
      </c>
      <c r="B151" s="1389"/>
      <c r="C151" s="1390"/>
      <c r="D151" s="599" t="s">
        <v>24</v>
      </c>
      <c r="E151" s="531"/>
      <c r="F151" s="531"/>
      <c r="G151" s="620">
        <f>G150/G7</f>
        <v>9.7770825185764562E-2</v>
      </c>
      <c r="H151" s="536">
        <f>G151+'6'!H151</f>
        <v>0.6488373021613858</v>
      </c>
      <c r="I151" s="556"/>
      <c r="J151" s="629">
        <f>H151/DAY(B2)</f>
        <v>9.2691043165912257E-2</v>
      </c>
      <c r="N151" s="413"/>
    </row>
    <row r="152" spans="1:14" ht="27.75">
      <c r="A152" s="1388" t="s">
        <v>272</v>
      </c>
      <c r="B152" s="1389"/>
      <c r="C152" s="1390"/>
      <c r="D152" s="599" t="s">
        <v>194</v>
      </c>
      <c r="E152" s="531"/>
      <c r="F152" s="531"/>
      <c r="G152" s="536">
        <f>G37+G51</f>
        <v>1423</v>
      </c>
      <c r="H152" s="536">
        <f>G152+'6'!H152</f>
        <v>9842.89</v>
      </c>
      <c r="I152" s="556"/>
      <c r="J152" s="629">
        <f>H152/DAY(B2)</f>
        <v>1406.1271428571429</v>
      </c>
      <c r="N152" s="413"/>
    </row>
    <row r="153" spans="1:14" ht="28.5" thickBot="1">
      <c r="A153" s="1394" t="s">
        <v>273</v>
      </c>
      <c r="B153" s="1395"/>
      <c r="C153" s="1396"/>
      <c r="D153" s="702" t="s">
        <v>24</v>
      </c>
      <c r="E153" s="642"/>
      <c r="F153" s="642"/>
      <c r="G153" s="643">
        <f>G152/G7</f>
        <v>7.9501648136767411E-2</v>
      </c>
      <c r="H153" s="536">
        <f>G153+'6'!H153</f>
        <v>0.52642269547456078</v>
      </c>
      <c r="I153" s="645"/>
      <c r="J153" s="646">
        <f>H153/DAY(B2)</f>
        <v>7.5203242210651541E-2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25" t="s">
        <v>278</v>
      </c>
      <c r="B157" s="1426"/>
      <c r="C157" s="1426"/>
      <c r="D157" s="1426"/>
      <c r="E157" s="1426"/>
      <c r="F157" s="1426"/>
      <c r="G157" s="1427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1169">
        <f>'6'!F160</f>
        <v>26499.25</v>
      </c>
      <c r="F160" s="739">
        <v>26572</v>
      </c>
      <c r="G160" s="549">
        <f t="shared" ref="G160:G171" si="16">F160-E160</f>
        <v>72.75</v>
      </c>
    </row>
    <row r="161" spans="1:7">
      <c r="A161" s="889" t="s">
        <v>275</v>
      </c>
      <c r="B161" s="890"/>
      <c r="C161" s="890"/>
      <c r="D161" s="587" t="s">
        <v>198</v>
      </c>
      <c r="E161" s="1169">
        <f>'6'!F161</f>
        <v>31201.96</v>
      </c>
      <c r="F161" s="739">
        <v>31644</v>
      </c>
      <c r="G161" s="549">
        <f t="shared" si="16"/>
        <v>442.04000000000087</v>
      </c>
    </row>
    <row r="162" spans="1:7">
      <c r="A162" s="889" t="s">
        <v>276</v>
      </c>
      <c r="B162" s="890"/>
      <c r="C162" s="890"/>
      <c r="D162" s="587" t="s">
        <v>198</v>
      </c>
      <c r="E162" s="1169">
        <f>'6'!F162</f>
        <v>6349.35</v>
      </c>
      <c r="F162" s="739">
        <v>6585</v>
      </c>
      <c r="G162" s="549">
        <f t="shared" si="16"/>
        <v>235.64999999999964</v>
      </c>
    </row>
    <row r="163" spans="1:7">
      <c r="A163" s="889" t="s">
        <v>277</v>
      </c>
      <c r="B163" s="890"/>
      <c r="C163" s="890"/>
      <c r="D163" s="587" t="s">
        <v>198</v>
      </c>
      <c r="E163" s="1169">
        <f>'6'!F163</f>
        <v>4473.3500000000004</v>
      </c>
      <c r="F163" s="739">
        <v>4496</v>
      </c>
      <c r="G163" s="549">
        <f t="shared" si="16"/>
        <v>22.649999999999636</v>
      </c>
    </row>
    <row r="164" spans="1:7">
      <c r="A164" s="891" t="s">
        <v>106</v>
      </c>
      <c r="B164" s="681"/>
      <c r="C164" s="681"/>
      <c r="D164" s="587" t="s">
        <v>198</v>
      </c>
      <c r="E164" s="1169">
        <f>'6'!F164</f>
        <v>20419</v>
      </c>
      <c r="F164" s="590">
        <f>F62</f>
        <v>20419</v>
      </c>
      <c r="G164" s="549">
        <f t="shared" si="16"/>
        <v>0</v>
      </c>
    </row>
    <row r="165" spans="1:7">
      <c r="A165" s="891" t="s">
        <v>199</v>
      </c>
      <c r="B165" s="681"/>
      <c r="C165" s="681"/>
      <c r="D165" s="587" t="s">
        <v>198</v>
      </c>
      <c r="E165" s="1169">
        <f>'6'!F165</f>
        <v>1133</v>
      </c>
      <c r="F165" s="590">
        <f t="shared" ref="F165:F171" si="17">F63</f>
        <v>1138</v>
      </c>
      <c r="G165" s="549">
        <f t="shared" si="16"/>
        <v>5</v>
      </c>
    </row>
    <row r="166" spans="1:7" ht="27.75">
      <c r="A166" s="1363" t="s">
        <v>107</v>
      </c>
      <c r="B166" s="1363"/>
      <c r="C166" s="1363"/>
      <c r="D166" s="599" t="s">
        <v>198</v>
      </c>
      <c r="E166" s="1169">
        <f>'6'!F166</f>
        <v>100792</v>
      </c>
      <c r="F166" s="590">
        <f t="shared" si="17"/>
        <v>101161</v>
      </c>
      <c r="G166" s="549">
        <f t="shared" si="16"/>
        <v>369</v>
      </c>
    </row>
    <row r="167" spans="1:7" ht="27.75">
      <c r="A167" s="1363" t="s">
        <v>108</v>
      </c>
      <c r="B167" s="1363"/>
      <c r="C167" s="1363"/>
      <c r="D167" s="599" t="s">
        <v>198</v>
      </c>
      <c r="E167" s="1169">
        <f>'6'!F167</f>
        <v>111341</v>
      </c>
      <c r="F167" s="590">
        <f t="shared" si="17"/>
        <v>111729</v>
      </c>
      <c r="G167" s="549">
        <f t="shared" si="16"/>
        <v>388</v>
      </c>
    </row>
    <row r="168" spans="1:7" ht="27.75">
      <c r="A168" s="1363" t="s">
        <v>109</v>
      </c>
      <c r="B168" s="1363"/>
      <c r="C168" s="1363"/>
      <c r="D168" s="599" t="s">
        <v>198</v>
      </c>
      <c r="E168" s="1169">
        <f>'6'!F168</f>
        <v>4699.6899999999996</v>
      </c>
      <c r="F168" s="590">
        <f t="shared" si="17"/>
        <v>5068</v>
      </c>
      <c r="G168" s="549">
        <f t="shared" si="16"/>
        <v>368.3100000000004</v>
      </c>
    </row>
    <row r="169" spans="1:7" ht="27.75">
      <c r="A169" s="1363" t="s">
        <v>110</v>
      </c>
      <c r="B169" s="1363"/>
      <c r="C169" s="1363"/>
      <c r="D169" s="599" t="s">
        <v>198</v>
      </c>
      <c r="E169" s="1169">
        <f>'6'!F169</f>
        <v>172074.53</v>
      </c>
      <c r="F169" s="590">
        <f t="shared" si="17"/>
        <v>172694</v>
      </c>
      <c r="G169" s="549">
        <f t="shared" si="16"/>
        <v>619.47000000000116</v>
      </c>
    </row>
    <row r="170" spans="1:7" ht="27.75">
      <c r="A170" s="1363" t="s">
        <v>111</v>
      </c>
      <c r="B170" s="1363"/>
      <c r="C170" s="1363"/>
      <c r="D170" s="599" t="s">
        <v>198</v>
      </c>
      <c r="E170" s="1169">
        <f>'6'!F170</f>
        <v>55357</v>
      </c>
      <c r="F170" s="590">
        <f t="shared" si="17"/>
        <v>55641</v>
      </c>
      <c r="G170" s="549">
        <f t="shared" si="16"/>
        <v>284</v>
      </c>
    </row>
    <row r="171" spans="1:7" ht="27.75">
      <c r="A171" s="1363" t="s">
        <v>112</v>
      </c>
      <c r="B171" s="1363"/>
      <c r="C171" s="1363"/>
      <c r="D171" s="599" t="s">
        <v>198</v>
      </c>
      <c r="E171" s="1169">
        <f>'6'!F171</f>
        <v>48285.51</v>
      </c>
      <c r="F171" s="590">
        <f t="shared" si="17"/>
        <v>48585</v>
      </c>
      <c r="G171" s="549">
        <f t="shared" si="16"/>
        <v>299.48999999999796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85"/>
  <sheetViews>
    <sheetView view="pageBreakPreview" topLeftCell="A91" zoomScale="55" zoomScaleSheetLayoutView="55" workbookViewId="0">
      <selection activeCell="F28" sqref="F28"/>
    </sheetView>
  </sheetViews>
  <sheetFormatPr defaultColWidth="22.33203125" defaultRowHeight="29.25"/>
  <cols>
    <col min="1" max="1" width="42.33203125" style="530" customWidth="1"/>
    <col min="2" max="2" width="31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5" s="281" customFormat="1" ht="27">
      <c r="A2" s="652" t="s">
        <v>332</v>
      </c>
      <c r="B2" s="1139">
        <v>44204</v>
      </c>
      <c r="C2" s="1254" t="s">
        <v>69</v>
      </c>
      <c r="D2" s="688">
        <v>0.45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30</v>
      </c>
      <c r="E3" s="1408" t="s">
        <v>132</v>
      </c>
      <c r="F3" s="1409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0.66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/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2" t="s">
        <v>141</v>
      </c>
      <c r="B6" s="1403"/>
      <c r="C6" s="1404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10">
        <f>'7'!F7</f>
        <v>3417534</v>
      </c>
      <c r="F7" s="531">
        <v>3436407</v>
      </c>
      <c r="G7" s="759">
        <f>F7-E7</f>
        <v>18873</v>
      </c>
      <c r="H7" s="760">
        <f>G7+'7'!H7</f>
        <v>149967</v>
      </c>
      <c r="I7" s="761">
        <f>'1'!I7</f>
        <v>12000</v>
      </c>
      <c r="J7" s="762">
        <f>H7/DAY(B2)</f>
        <v>18745.875</v>
      </c>
      <c r="K7" s="626"/>
      <c r="L7" s="408"/>
      <c r="N7" s="808">
        <v>11335</v>
      </c>
      <c r="O7" s="413">
        <f>G7-N7</f>
        <v>7538</v>
      </c>
    </row>
    <row r="8" spans="1:15" ht="27.75" thickBot="1">
      <c r="A8" s="763" t="s">
        <v>144</v>
      </c>
      <c r="B8" s="764"/>
      <c r="C8" s="765"/>
      <c r="D8" s="766" t="s">
        <v>25</v>
      </c>
      <c r="E8" s="710">
        <f>'7'!F8</f>
        <v>3438920</v>
      </c>
      <c r="F8" s="551">
        <v>3457986</v>
      </c>
      <c r="G8" s="770">
        <f>F8-E8</f>
        <v>19066</v>
      </c>
      <c r="H8" s="760">
        <f>G8+'7'!H8</f>
        <v>151614</v>
      </c>
      <c r="I8" s="767">
        <v>12000</v>
      </c>
      <c r="J8" s="762">
        <f>H8/DAY(B2)</f>
        <v>18951.75</v>
      </c>
      <c r="K8" s="626"/>
      <c r="L8" s="464"/>
      <c r="M8" s="479"/>
      <c r="N8" s="785"/>
    </row>
    <row r="9" spans="1:15">
      <c r="A9" s="768" t="s">
        <v>145</v>
      </c>
      <c r="B9" s="769"/>
      <c r="C9" s="769"/>
      <c r="D9" s="715" t="s">
        <v>143</v>
      </c>
      <c r="E9" s="712">
        <f>'7'!F9</f>
        <v>2423678</v>
      </c>
      <c r="F9" s="554">
        <v>2426409</v>
      </c>
      <c r="G9" s="783">
        <f t="shared" ref="G9:G12" si="0">F9-E9</f>
        <v>2731</v>
      </c>
      <c r="H9" s="760">
        <f>G9+'7'!H9</f>
        <v>21194</v>
      </c>
      <c r="I9" s="771">
        <f>I7-J7</f>
        <v>-6745.875</v>
      </c>
      <c r="J9" s="762">
        <f>H9/DAY(B2)</f>
        <v>2649.25</v>
      </c>
      <c r="K9" s="467"/>
      <c r="L9" s="408"/>
      <c r="N9" s="413"/>
    </row>
    <row r="10" spans="1:15">
      <c r="A10" s="757" t="s">
        <v>146</v>
      </c>
      <c r="B10" s="758"/>
      <c r="C10" s="758"/>
      <c r="D10" s="715" t="s">
        <v>143</v>
      </c>
      <c r="E10" s="712">
        <f>'7'!F10</f>
        <v>858270</v>
      </c>
      <c r="F10" s="554">
        <v>873718</v>
      </c>
      <c r="G10" s="770">
        <f t="shared" si="0"/>
        <v>15448</v>
      </c>
      <c r="H10" s="760">
        <f>G10+'7'!H10</f>
        <v>123196.08999999997</v>
      </c>
      <c r="I10" s="772"/>
      <c r="J10" s="762">
        <f>H10/DAY(B2)</f>
        <v>15399.511249999996</v>
      </c>
      <c r="K10" s="467"/>
      <c r="L10" s="408"/>
      <c r="N10" s="413"/>
    </row>
    <row r="11" spans="1:15">
      <c r="A11" s="757" t="s">
        <v>147</v>
      </c>
      <c r="B11" s="758"/>
      <c r="C11" s="758"/>
      <c r="D11" s="715" t="s">
        <v>143</v>
      </c>
      <c r="E11" s="710">
        <f>'7'!F11</f>
        <v>35390</v>
      </c>
      <c r="F11" s="531">
        <v>35390</v>
      </c>
      <c r="G11" s="770">
        <f t="shared" si="0"/>
        <v>0</v>
      </c>
      <c r="H11" s="760">
        <f>G11+'7'!H11</f>
        <v>0</v>
      </c>
      <c r="I11" s="772"/>
      <c r="J11" s="762">
        <f>H11/DAY(B2)</f>
        <v>0</v>
      </c>
      <c r="K11" s="467"/>
      <c r="L11" s="408"/>
      <c r="N11" s="413"/>
    </row>
    <row r="12" spans="1:15">
      <c r="A12" s="757" t="s">
        <v>148</v>
      </c>
      <c r="B12" s="758"/>
      <c r="C12" s="758"/>
      <c r="D12" s="715" t="s">
        <v>143</v>
      </c>
      <c r="E12" s="712">
        <f>'7'!F12</f>
        <v>37630</v>
      </c>
      <c r="F12" s="554">
        <v>37630</v>
      </c>
      <c r="G12" s="770">
        <f t="shared" si="0"/>
        <v>0</v>
      </c>
      <c r="H12" s="760">
        <f>G12+'7'!H12</f>
        <v>0</v>
      </c>
      <c r="I12" s="772"/>
      <c r="J12" s="762">
        <f>H12/DAY(B2)</f>
        <v>0</v>
      </c>
      <c r="K12" s="467"/>
      <c r="L12" s="408"/>
      <c r="N12" s="413"/>
    </row>
    <row r="13" spans="1:15">
      <c r="A13" s="773" t="s">
        <v>149</v>
      </c>
      <c r="B13" s="774"/>
      <c r="C13" s="774"/>
      <c r="D13" s="715"/>
      <c r="E13" s="710"/>
      <c r="F13" s="531"/>
      <c r="G13" s="775">
        <f>G9+G10+G11+G12</f>
        <v>18179</v>
      </c>
      <c r="H13" s="760">
        <f>G13+'7'!H13</f>
        <v>144390.08999999997</v>
      </c>
      <c r="I13" s="776">
        <f>G7-G13</f>
        <v>694</v>
      </c>
      <c r="J13" s="762">
        <f>H13/DAY(B2)</f>
        <v>18048.761249999996</v>
      </c>
      <c r="K13" s="467"/>
      <c r="L13" s="408"/>
      <c r="N13" s="413"/>
    </row>
    <row r="14" spans="1:15">
      <c r="A14" s="1405" t="s">
        <v>150</v>
      </c>
      <c r="B14" s="1406"/>
      <c r="C14" s="1407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5">
      <c r="A15" s="746" t="s">
        <v>151</v>
      </c>
      <c r="B15" s="747"/>
      <c r="C15" s="747"/>
      <c r="D15" s="748" t="s">
        <v>152</v>
      </c>
      <c r="E15" s="749">
        <f>'7'!F15</f>
        <v>1573846</v>
      </c>
      <c r="F15" s="781">
        <v>1574598</v>
      </c>
      <c r="G15" s="745">
        <f>(F15-E15)</f>
        <v>752</v>
      </c>
      <c r="H15" s="751">
        <f>G15+'7'!H15</f>
        <v>5683.8999999999069</v>
      </c>
      <c r="I15" s="752">
        <v>800</v>
      </c>
      <c r="J15" s="753">
        <f>H15/DAY(B2)</f>
        <v>710.48749999998836</v>
      </c>
      <c r="K15" s="467"/>
      <c r="L15" s="408"/>
      <c r="N15" s="413"/>
    </row>
    <row r="16" spans="1:15">
      <c r="A16" s="754"/>
      <c r="B16" s="755"/>
      <c r="C16" s="755"/>
      <c r="D16" s="748"/>
      <c r="E16" s="749"/>
      <c r="F16" s="781"/>
      <c r="G16" s="750"/>
      <c r="H16" s="751"/>
      <c r="I16" s="756">
        <f>I15-J15</f>
        <v>89.512500000011642</v>
      </c>
      <c r="J16" s="753"/>
      <c r="K16" s="467"/>
      <c r="L16" s="408"/>
      <c r="N16" s="413"/>
    </row>
    <row r="17" spans="1:14">
      <c r="A17" s="1405" t="s">
        <v>153</v>
      </c>
      <c r="B17" s="1406"/>
      <c r="C17" s="1407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31" t="s">
        <v>154</v>
      </c>
      <c r="B18" s="1432"/>
      <c r="C18" s="1433"/>
      <c r="D18" s="715" t="s">
        <v>155</v>
      </c>
      <c r="E18" s="712">
        <f>'7'!F18</f>
        <v>7</v>
      </c>
      <c r="F18" s="554">
        <v>8</v>
      </c>
      <c r="G18" s="775">
        <f>F18*10</f>
        <v>80</v>
      </c>
      <c r="H18" s="760">
        <f>G18+'7'!H18</f>
        <v>790</v>
      </c>
      <c r="I18" s="761">
        <f>'1'!I18</f>
        <v>65</v>
      </c>
      <c r="J18" s="762">
        <f>H18/DAY(B2)</f>
        <v>98.75</v>
      </c>
      <c r="K18" s="467"/>
      <c r="L18" s="408"/>
      <c r="N18" s="413"/>
    </row>
    <row r="19" spans="1:14" ht="27.75">
      <c r="A19" s="1431" t="s">
        <v>71</v>
      </c>
      <c r="B19" s="1432"/>
      <c r="C19" s="1433"/>
      <c r="D19" s="715" t="s">
        <v>155</v>
      </c>
      <c r="E19" s="712">
        <f>'7'!F19</f>
        <v>131847</v>
      </c>
      <c r="F19" s="554">
        <v>131895</v>
      </c>
      <c r="G19" s="770">
        <f t="shared" ref="G19" si="1">F19-E19</f>
        <v>48</v>
      </c>
      <c r="H19" s="760">
        <f>G19+'7'!H19</f>
        <v>402</v>
      </c>
      <c r="I19" s="777"/>
      <c r="J19" s="762">
        <f>H19/DAY(B2)</f>
        <v>50.25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128</v>
      </c>
      <c r="H20" s="760">
        <f>G20+'7'!H20</f>
        <v>1192</v>
      </c>
      <c r="I20" s="779">
        <f>I18-J20</f>
        <v>-84</v>
      </c>
      <c r="J20" s="762">
        <f>H20/DAY(B2)</f>
        <v>149</v>
      </c>
      <c r="K20" s="467"/>
      <c r="L20" s="408"/>
      <c r="N20" s="413"/>
    </row>
    <row r="21" spans="1:14">
      <c r="A21" s="1405" t="s">
        <v>157</v>
      </c>
      <c r="B21" s="1406"/>
      <c r="C21" s="1407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560">
        <f>'7'!F22</f>
        <v>2250</v>
      </c>
      <c r="F22" s="554">
        <v>2250</v>
      </c>
      <c r="G22" s="557">
        <f t="shared" ref="G22" si="2">(F22-E22)</f>
        <v>0</v>
      </c>
      <c r="H22" s="536">
        <f>G22+'7'!H22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52" t="s">
        <v>160</v>
      </c>
      <c r="B23" s="666"/>
      <c r="C23" s="666"/>
      <c r="D23" s="599" t="s">
        <v>159</v>
      </c>
      <c r="E23" s="560">
        <f>'7'!F23</f>
        <v>2000</v>
      </c>
      <c r="F23" s="554">
        <v>2000</v>
      </c>
      <c r="G23" s="557">
        <v>0</v>
      </c>
      <c r="H23" s="536">
        <f>G23+'7'!H23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'7'!F24</f>
        <v>4250</v>
      </c>
      <c r="F24" s="561">
        <v>4250</v>
      </c>
      <c r="G24" s="557">
        <v>0</v>
      </c>
      <c r="H24" s="536">
        <f>G24+'7'!H24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19066</v>
      </c>
      <c r="F27" s="577">
        <v>9</v>
      </c>
      <c r="G27" s="578">
        <f>E27*F27</f>
        <v>171594</v>
      </c>
      <c r="H27" s="536">
        <f>G27+'7'!H27</f>
        <v>1382601</v>
      </c>
      <c r="I27" s="579"/>
      <c r="J27" s="629">
        <f>H27/DAY(B2)</f>
        <v>172825.125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752</v>
      </c>
      <c r="F28" s="577">
        <v>41</v>
      </c>
      <c r="G28" s="578">
        <f t="shared" ref="G28:G31" si="3">E28*F28</f>
        <v>30832</v>
      </c>
      <c r="H28" s="536">
        <f>G28+'7'!H28</f>
        <v>231798.5399999962</v>
      </c>
      <c r="I28" s="581"/>
      <c r="J28" s="629">
        <f>H28/DAY(B2)</f>
        <v>28974.817499999524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 t="shared" si="3"/>
        <v>0</v>
      </c>
      <c r="H29" s="536">
        <f>G29+'7'!H29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48</v>
      </c>
      <c r="F30" s="577">
        <v>134</v>
      </c>
      <c r="G30" s="578">
        <f t="shared" si="3"/>
        <v>6432</v>
      </c>
      <c r="H30" s="536">
        <f>G30+'7'!H30</f>
        <v>53868</v>
      </c>
      <c r="I30" s="581"/>
      <c r="J30" s="629">
        <f>H30/DAY(B2)</f>
        <v>6733.5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80</v>
      </c>
      <c r="F31" s="577">
        <v>80</v>
      </c>
      <c r="G31" s="578">
        <f t="shared" si="3"/>
        <v>6400</v>
      </c>
      <c r="H31" s="536">
        <f>G31+'7'!H31</f>
        <v>63200</v>
      </c>
      <c r="I31" s="581"/>
      <c r="J31" s="629">
        <f>H31/DAY(B2)</f>
        <v>7900</v>
      </c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215258</v>
      </c>
      <c r="H32" s="536">
        <f>G32+'7'!H32</f>
        <v>1731467.5399999963</v>
      </c>
      <c r="I32" s="585"/>
      <c r="J32" s="629">
        <f>H32/DAY(B2)</f>
        <v>216433.44249999954</v>
      </c>
      <c r="K32" s="404"/>
      <c r="L32" s="484"/>
      <c r="N32" s="413"/>
    </row>
    <row r="33" spans="1:14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'7'!F35</f>
        <v>629027</v>
      </c>
      <c r="F35" s="586">
        <v>629027</v>
      </c>
      <c r="G35" s="549">
        <f t="shared" ref="G35:G46" si="4">F35-E35</f>
        <v>0</v>
      </c>
      <c r="H35" s="536">
        <f>G35+'7'!H35</f>
        <v>0</v>
      </c>
      <c r="I35" s="531"/>
      <c r="J35" s="629">
        <f>H35/DAY(B2)</f>
        <v>0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'7'!F36</f>
        <v>260162</v>
      </c>
      <c r="F36" s="586">
        <v>260949</v>
      </c>
      <c r="G36" s="549">
        <f t="shared" si="4"/>
        <v>787</v>
      </c>
      <c r="H36" s="536">
        <f>G36+'7'!H36</f>
        <v>5857.929999999993</v>
      </c>
      <c r="I36" s="531"/>
      <c r="J36" s="629">
        <f>H36/DAY(B2)</f>
        <v>732.24124999999913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'7'!F37</f>
        <v>415066</v>
      </c>
      <c r="F37" s="586">
        <v>415066</v>
      </c>
      <c r="G37" s="549">
        <f t="shared" si="4"/>
        <v>0</v>
      </c>
      <c r="H37" s="536">
        <f>G37+'7'!H37</f>
        <v>0</v>
      </c>
      <c r="I37" s="531"/>
      <c r="J37" s="629">
        <f>H37/DAY(B2)</f>
        <v>0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45">
        <f>'7'!F38</f>
        <v>150714</v>
      </c>
      <c r="F38" s="545">
        <v>150714</v>
      </c>
      <c r="G38" s="549">
        <f t="shared" si="4"/>
        <v>0</v>
      </c>
      <c r="H38" s="536">
        <f>G38+'7'!H38</f>
        <v>0</v>
      </c>
      <c r="I38" s="531"/>
      <c r="J38" s="629">
        <f>H38/DAY(B2)</f>
        <v>0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'7'!F39</f>
        <v>912480</v>
      </c>
      <c r="F39" s="586">
        <v>912480</v>
      </c>
      <c r="G39" s="549">
        <f t="shared" si="4"/>
        <v>0</v>
      </c>
      <c r="H39" s="536">
        <f>G39+'7'!H39</f>
        <v>0</v>
      </c>
      <c r="I39" s="531"/>
      <c r="J39" s="629">
        <f>H39/DAY(B2)</f>
        <v>0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'7'!F40</f>
        <v>0.17</v>
      </c>
      <c r="F40" s="586">
        <v>0.17</v>
      </c>
      <c r="G40" s="549">
        <f t="shared" si="4"/>
        <v>0</v>
      </c>
      <c r="H40" s="536">
        <f>G40+'7'!H40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'7'!F41</f>
        <v>300127.90000000002</v>
      </c>
      <c r="F41" s="586">
        <v>300127.90000000002</v>
      </c>
      <c r="G41" s="549">
        <f t="shared" si="4"/>
        <v>0</v>
      </c>
      <c r="H41" s="536">
        <f>G41+'7'!H41</f>
        <v>-4.9999999988358468E-2</v>
      </c>
      <c r="I41" s="531"/>
      <c r="J41" s="629">
        <f>H41/DAY(B2)</f>
        <v>-6.2499999985448085E-3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'7'!F42</f>
        <v>58926</v>
      </c>
      <c r="F42" s="586">
        <v>58926</v>
      </c>
      <c r="G42" s="549">
        <f t="shared" si="4"/>
        <v>0</v>
      </c>
      <c r="H42" s="536">
        <f>G42+'7'!H42</f>
        <v>-8.999999999650754E-2</v>
      </c>
      <c r="I42" s="531"/>
      <c r="J42" s="629">
        <f>H42/DAY(B2)</f>
        <v>-1.1249999999563443E-2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'7'!F43</f>
        <v>712410</v>
      </c>
      <c r="F43" s="586">
        <v>714468</v>
      </c>
      <c r="G43" s="549">
        <f t="shared" si="4"/>
        <v>2058</v>
      </c>
      <c r="H43" s="536">
        <f>G43+'7'!H43</f>
        <v>16214.569999999949</v>
      </c>
      <c r="I43" s="531"/>
      <c r="J43" s="629">
        <f>H43/DAY(B2)</f>
        <v>2026.8212499999936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'7'!F44</f>
        <v>0</v>
      </c>
      <c r="F44" s="586">
        <v>0</v>
      </c>
      <c r="G44" s="549">
        <f t="shared" si="4"/>
        <v>0</v>
      </c>
      <c r="H44" s="536">
        <f>G44+'7'!H44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'7'!F45</f>
        <v>614</v>
      </c>
      <c r="F45" s="586">
        <v>614</v>
      </c>
      <c r="G45" s="549">
        <f t="shared" si="4"/>
        <v>0</v>
      </c>
      <c r="H45" s="536">
        <f>G45+'7'!H45</f>
        <v>-0.48000000000001819</v>
      </c>
      <c r="I45" s="531"/>
      <c r="J45" s="629">
        <f>H45/DAY(B2)</f>
        <v>-6.0000000000002274E-2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'7'!F46</f>
        <v>187</v>
      </c>
      <c r="F46" s="586">
        <v>187</v>
      </c>
      <c r="G46" s="549">
        <f t="shared" si="4"/>
        <v>0</v>
      </c>
      <c r="H46" s="536">
        <f>G46+'7'!H46</f>
        <v>-0.49000000000000909</v>
      </c>
      <c r="I46" s="531"/>
      <c r="J46" s="629">
        <f>H46/DAY(B2)</f>
        <v>-6.1250000000001137E-2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2845</v>
      </c>
      <c r="H47" s="536">
        <f>G47+'7'!H47</f>
        <v>22071.389999999956</v>
      </c>
      <c r="I47" s="531"/>
      <c r="J47" s="629">
        <f>H47/DAY(B2)</f>
        <v>2758.9237499999945</v>
      </c>
      <c r="K47" s="467"/>
      <c r="L47" s="408"/>
      <c r="N47" s="413"/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'7'!F49</f>
        <v>169317</v>
      </c>
      <c r="F49" s="586">
        <v>172147</v>
      </c>
      <c r="G49" s="549">
        <f t="shared" ref="G49:G58" si="5">F49-E49</f>
        <v>2830</v>
      </c>
      <c r="H49" s="536">
        <f>G49+'7'!H49</f>
        <v>22588</v>
      </c>
      <c r="I49" s="531"/>
      <c r="J49" s="629">
        <f>H49/DAY(B2)</f>
        <v>2823.5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'7'!F50</f>
        <v>341950</v>
      </c>
      <c r="F50" s="586">
        <v>342940</v>
      </c>
      <c r="G50" s="549">
        <f t="shared" si="5"/>
        <v>990</v>
      </c>
      <c r="H50" s="536">
        <f>G50+'7'!H50</f>
        <v>8039.570000000007</v>
      </c>
      <c r="I50" s="531"/>
      <c r="J50" s="629">
        <f>H50/DAY(B2)</f>
        <v>1004.9462500000009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'7'!F51</f>
        <v>74550</v>
      </c>
      <c r="F51" s="586">
        <v>75976</v>
      </c>
      <c r="G51" s="549">
        <f t="shared" si="5"/>
        <v>1426</v>
      </c>
      <c r="H51" s="536">
        <f>G51+'7'!H51</f>
        <v>11268.89</v>
      </c>
      <c r="I51" s="531"/>
      <c r="J51" s="629">
        <f>H51/DAY(B2)</f>
        <v>1408.6112499999999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'7'!F52</f>
        <v>447164</v>
      </c>
      <c r="F52" s="586">
        <v>449155</v>
      </c>
      <c r="G52" s="549">
        <f t="shared" si="5"/>
        <v>1991</v>
      </c>
      <c r="H52" s="536">
        <f>G52+'7'!H52</f>
        <v>15975.369999999995</v>
      </c>
      <c r="I52" s="531"/>
      <c r="J52" s="629">
        <f>H52/DAY(B2)</f>
        <v>1996.9212499999994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'7'!F53</f>
        <v>204581</v>
      </c>
      <c r="F53" s="586">
        <v>208542</v>
      </c>
      <c r="G53" s="549">
        <f t="shared" si="5"/>
        <v>3961</v>
      </c>
      <c r="H53" s="536">
        <f>G53+'7'!H53</f>
        <v>31940.03</v>
      </c>
      <c r="I53" s="531"/>
      <c r="J53" s="629">
        <f>H53/DAY(B2)</f>
        <v>3992.5037499999999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'7'!F54</f>
        <v>5014</v>
      </c>
      <c r="F54" s="586">
        <v>5070</v>
      </c>
      <c r="G54" s="549">
        <f t="shared" si="5"/>
        <v>56</v>
      </c>
      <c r="H54" s="536">
        <f>G54+'7'!H54</f>
        <v>480.46000000000004</v>
      </c>
      <c r="I54" s="531"/>
      <c r="J54" s="629">
        <f>H54/DAY(B2)</f>
        <v>60.057500000000005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'7'!F55</f>
        <v>158492.73000000001</v>
      </c>
      <c r="F55" s="734">
        <v>158492.73000000001</v>
      </c>
      <c r="G55" s="733">
        <f t="shared" si="5"/>
        <v>0</v>
      </c>
      <c r="H55" s="805">
        <f>G55+'7'!H55</f>
        <v>-0.26999999998952262</v>
      </c>
      <c r="I55" s="806"/>
      <c r="J55" s="807">
        <f>H55/DAY(B2)</f>
        <v>-3.3749999998690328E-2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'7'!F56</f>
        <v>541619</v>
      </c>
      <c r="F56" s="734">
        <v>545750</v>
      </c>
      <c r="G56" s="549">
        <f t="shared" si="5"/>
        <v>4131</v>
      </c>
      <c r="H56" s="536">
        <f>G56+'7'!H56</f>
        <v>32538.25</v>
      </c>
      <c r="I56" s="531"/>
      <c r="J56" s="629">
        <f>H56/DAY(B2)</f>
        <v>4067.28125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'7'!F57</f>
        <v>0</v>
      </c>
      <c r="F57" s="586">
        <v>0</v>
      </c>
      <c r="G57" s="549">
        <f t="shared" si="5"/>
        <v>0</v>
      </c>
      <c r="H57" s="536">
        <f>G57+'7'!H57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'7'!F58</f>
        <v>26044</v>
      </c>
      <c r="F58" s="734">
        <v>26204</v>
      </c>
      <c r="G58" s="549">
        <f t="shared" si="5"/>
        <v>160</v>
      </c>
      <c r="H58" s="536">
        <f>G58+'7'!H58</f>
        <v>1163.5900000000001</v>
      </c>
      <c r="I58" s="531"/>
      <c r="J58" s="629">
        <f>H58/DAY(B2)</f>
        <v>145.44875000000002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15545</v>
      </c>
      <c r="H59" s="536">
        <f>G59+'7'!H59</f>
        <v>123993.89000000001</v>
      </c>
      <c r="I59" s="531">
        <f>G7-G60</f>
        <v>483</v>
      </c>
      <c r="J59" s="629">
        <f>H59/DAY(B2)</f>
        <v>15499.236250000002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18390</v>
      </c>
      <c r="H60" s="536">
        <f>G60+'7'!H60</f>
        <v>146065.27999999997</v>
      </c>
      <c r="I60" s="531">
        <f>G13-G60</f>
        <v>-211</v>
      </c>
      <c r="J60" s="629">
        <f>H60/DAY(B2)</f>
        <v>18258.159999999996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'7'!F62</f>
        <v>20419</v>
      </c>
      <c r="F62" s="590">
        <v>20419</v>
      </c>
      <c r="G62" s="549">
        <f t="shared" ref="G62:G69" si="6">F62-E62</f>
        <v>0</v>
      </c>
      <c r="H62" s="536">
        <f>G62+'7'!H62</f>
        <v>-0.18000000000029104</v>
      </c>
      <c r="I62" s="591"/>
      <c r="J62" s="629">
        <f>H62/DAY(B2)</f>
        <v>-2.250000000003638E-2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'7'!F63</f>
        <v>1138</v>
      </c>
      <c r="F63" s="590">
        <v>1142</v>
      </c>
      <c r="G63" s="549">
        <f t="shared" si="6"/>
        <v>4</v>
      </c>
      <c r="H63" s="536">
        <f>G63+'7'!H63</f>
        <v>34.089999999999918</v>
      </c>
      <c r="I63" s="591"/>
      <c r="J63" s="629">
        <f>H63/DAY(B2)</f>
        <v>4.2612499999999898</v>
      </c>
      <c r="K63" s="467"/>
      <c r="L63" s="408"/>
      <c r="N63" s="413"/>
    </row>
    <row r="64" spans="1:14" ht="27.75">
      <c r="A64" s="1367" t="s">
        <v>107</v>
      </c>
      <c r="B64" s="1368"/>
      <c r="C64" s="1369"/>
      <c r="D64" s="599" t="s">
        <v>198</v>
      </c>
      <c r="E64" s="560">
        <f>'7'!F64</f>
        <v>101161</v>
      </c>
      <c r="F64" s="554">
        <v>101573</v>
      </c>
      <c r="G64" s="549">
        <f t="shared" si="6"/>
        <v>412</v>
      </c>
      <c r="H64" s="536">
        <f>G64+'7'!H64</f>
        <v>3149.6000000000058</v>
      </c>
      <c r="I64" s="556"/>
      <c r="J64" s="629">
        <f>H64/DAY(B2)</f>
        <v>393.70000000000073</v>
      </c>
      <c r="K64" s="467"/>
      <c r="L64" s="408"/>
      <c r="N64" s="413"/>
    </row>
    <row r="65" spans="1:14" ht="27.75">
      <c r="A65" s="1367" t="s">
        <v>108</v>
      </c>
      <c r="B65" s="1368"/>
      <c r="C65" s="1369"/>
      <c r="D65" s="599" t="s">
        <v>198</v>
      </c>
      <c r="E65" s="560">
        <f>'7'!F65</f>
        <v>111729</v>
      </c>
      <c r="F65" s="732">
        <v>112139</v>
      </c>
      <c r="G65" s="549">
        <f t="shared" si="6"/>
        <v>410</v>
      </c>
      <c r="H65" s="536">
        <f>G65+'7'!H65</f>
        <v>3094.8800000000047</v>
      </c>
      <c r="I65" s="565"/>
      <c r="J65" s="629">
        <f>H65/DAY(B2)</f>
        <v>386.86000000000058</v>
      </c>
      <c r="K65" s="467"/>
      <c r="L65" s="408"/>
      <c r="N65" s="413"/>
    </row>
    <row r="66" spans="1:14" ht="27.75">
      <c r="A66" s="1367" t="s">
        <v>109</v>
      </c>
      <c r="B66" s="1368"/>
      <c r="C66" s="1369"/>
      <c r="D66" s="599" t="s">
        <v>198</v>
      </c>
      <c r="E66" s="560">
        <f>'7'!F66</f>
        <v>5068</v>
      </c>
      <c r="F66" s="554">
        <v>5435</v>
      </c>
      <c r="G66" s="549">
        <f t="shared" si="6"/>
        <v>367</v>
      </c>
      <c r="H66" s="536">
        <f>G66+'7'!H66</f>
        <v>3012.91</v>
      </c>
      <c r="I66" s="556"/>
      <c r="J66" s="629">
        <f>H66/DAY(B2)</f>
        <v>376.61374999999998</v>
      </c>
      <c r="K66" s="467"/>
      <c r="L66" s="408"/>
      <c r="N66" s="413"/>
    </row>
    <row r="67" spans="1:14" ht="27.75">
      <c r="A67" s="1367" t="s">
        <v>110</v>
      </c>
      <c r="B67" s="1368"/>
      <c r="C67" s="1369"/>
      <c r="D67" s="599" t="s">
        <v>198</v>
      </c>
      <c r="E67" s="560">
        <f>'7'!F67</f>
        <v>172694</v>
      </c>
      <c r="F67" s="554">
        <v>173331</v>
      </c>
      <c r="G67" s="549">
        <f t="shared" si="6"/>
        <v>637</v>
      </c>
      <c r="H67" s="536">
        <f>G67+'7'!H67</f>
        <v>5089.6499999999942</v>
      </c>
      <c r="I67" s="565"/>
      <c r="J67" s="629">
        <f>H67/DAY(B2)</f>
        <v>636.20624999999927</v>
      </c>
      <c r="K67" s="468"/>
      <c r="L67" s="408"/>
      <c r="N67" s="413"/>
    </row>
    <row r="68" spans="1:14" ht="27.75">
      <c r="A68" s="1367" t="s">
        <v>111</v>
      </c>
      <c r="B68" s="1368"/>
      <c r="C68" s="1369"/>
      <c r="D68" s="599" t="s">
        <v>198</v>
      </c>
      <c r="E68" s="560">
        <f>'7'!F68</f>
        <v>55641</v>
      </c>
      <c r="F68" s="554">
        <v>55919</v>
      </c>
      <c r="G68" s="549">
        <f t="shared" si="6"/>
        <v>278</v>
      </c>
      <c r="H68" s="536">
        <f>G68+'7'!H68</f>
        <v>2295.0999999999985</v>
      </c>
      <c r="I68" s="592"/>
      <c r="J68" s="629">
        <f>H68/DAY(B2)</f>
        <v>286.88749999999982</v>
      </c>
      <c r="K68" s="469"/>
      <c r="L68" s="408"/>
      <c r="N68" s="413"/>
    </row>
    <row r="69" spans="1:14" ht="27.75">
      <c r="A69" s="1367" t="s">
        <v>112</v>
      </c>
      <c r="B69" s="1368"/>
      <c r="C69" s="1369"/>
      <c r="D69" s="599" t="s">
        <v>198</v>
      </c>
      <c r="E69" s="560">
        <f>'7'!F69</f>
        <v>48585</v>
      </c>
      <c r="F69" s="554">
        <v>48885</v>
      </c>
      <c r="G69" s="549">
        <f t="shared" si="6"/>
        <v>300</v>
      </c>
      <c r="H69" s="536">
        <f>G69+'7'!H69</f>
        <v>2365.5699999999997</v>
      </c>
      <c r="I69" s="592"/>
      <c r="J69" s="629">
        <f>H69/DAY(B2)</f>
        <v>295.69624999999996</v>
      </c>
      <c r="K69" s="470"/>
      <c r="L69" s="408"/>
      <c r="N69" s="413"/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594" t="s">
        <v>280</v>
      </c>
      <c r="G70" s="594"/>
      <c r="H70" s="536"/>
      <c r="I70" s="594"/>
      <c r="J70" s="633"/>
      <c r="K70" s="470"/>
      <c r="L70" s="408"/>
      <c r="N70" s="413"/>
    </row>
    <row r="71" spans="1:14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413"/>
    </row>
    <row r="72" spans="1:14" ht="27.75">
      <c r="A72" s="1367" t="s">
        <v>202</v>
      </c>
      <c r="B72" s="1368"/>
      <c r="C72" s="1369"/>
      <c r="D72" s="599" t="s">
        <v>198</v>
      </c>
      <c r="E72" s="595">
        <f>'7'!F72</f>
        <v>846921</v>
      </c>
      <c r="F72" s="735">
        <v>846976</v>
      </c>
      <c r="G72" s="549">
        <f t="shared" ref="G72:G84" si="7">F72-E72</f>
        <v>55</v>
      </c>
      <c r="H72" s="536">
        <f>G72+'7'!H72</f>
        <v>576</v>
      </c>
      <c r="I72" s="556"/>
      <c r="J72" s="629">
        <f>H72/DAY(B2)</f>
        <v>72</v>
      </c>
      <c r="K72" s="470"/>
      <c r="L72" s="408"/>
      <c r="N72" s="413"/>
    </row>
    <row r="73" spans="1:14" ht="27.75">
      <c r="A73" s="1367" t="s">
        <v>203</v>
      </c>
      <c r="B73" s="1368"/>
      <c r="C73" s="1369"/>
      <c r="D73" s="599" t="s">
        <v>198</v>
      </c>
      <c r="E73" s="596">
        <f>'7'!F73</f>
        <v>885678</v>
      </c>
      <c r="F73" s="736">
        <v>885679</v>
      </c>
      <c r="G73" s="733">
        <f t="shared" si="7"/>
        <v>1</v>
      </c>
      <c r="H73" s="536">
        <f>G73+'7'!H73</f>
        <v>6</v>
      </c>
      <c r="I73" s="556"/>
      <c r="J73" s="629">
        <f>H73/DAY(B2)</f>
        <v>0.75</v>
      </c>
      <c r="K73" s="469"/>
      <c r="L73" s="408"/>
      <c r="N73" s="413"/>
    </row>
    <row r="74" spans="1:14" ht="27.75">
      <c r="A74" s="1367" t="s">
        <v>204</v>
      </c>
      <c r="B74" s="1368"/>
      <c r="C74" s="1369"/>
      <c r="D74" s="599" t="s">
        <v>198</v>
      </c>
      <c r="E74" s="597">
        <f>'7'!F74</f>
        <v>881563</v>
      </c>
      <c r="F74" s="735">
        <v>881593</v>
      </c>
      <c r="G74" s="549">
        <f t="shared" si="7"/>
        <v>30</v>
      </c>
      <c r="H74" s="536">
        <f>G74+'7'!H74</f>
        <v>278</v>
      </c>
      <c r="I74" s="556"/>
      <c r="J74" s="629">
        <f>H74/DAY(B2)</f>
        <v>34.75</v>
      </c>
      <c r="K74" s="470"/>
      <c r="L74" s="408"/>
      <c r="N74" s="413"/>
    </row>
    <row r="75" spans="1:14" ht="27.75">
      <c r="A75" s="1364" t="s">
        <v>205</v>
      </c>
      <c r="B75" s="1365"/>
      <c r="C75" s="1366"/>
      <c r="D75" s="599" t="s">
        <v>198</v>
      </c>
      <c r="E75" s="596">
        <f>'7'!F75</f>
        <v>732881</v>
      </c>
      <c r="F75" s="736">
        <v>733055</v>
      </c>
      <c r="G75" s="549">
        <f t="shared" si="7"/>
        <v>174</v>
      </c>
      <c r="H75" s="536">
        <f>G75+'7'!H75</f>
        <v>1414</v>
      </c>
      <c r="I75" s="556"/>
      <c r="J75" s="629">
        <f>H75/DAY(B2)</f>
        <v>176.75</v>
      </c>
      <c r="K75" s="469"/>
      <c r="L75" s="408"/>
      <c r="N75" s="413"/>
    </row>
    <row r="76" spans="1:14" ht="27.75">
      <c r="A76" s="1364" t="s">
        <v>206</v>
      </c>
      <c r="B76" s="1365"/>
      <c r="C76" s="1366"/>
      <c r="D76" s="599" t="s">
        <v>198</v>
      </c>
      <c r="E76" s="596">
        <f>'7'!F76</f>
        <v>684821</v>
      </c>
      <c r="F76" s="736">
        <v>684923</v>
      </c>
      <c r="G76" s="549">
        <f t="shared" si="7"/>
        <v>102</v>
      </c>
      <c r="H76" s="536">
        <f>G76+'7'!H76</f>
        <v>657</v>
      </c>
      <c r="I76" s="581"/>
      <c r="J76" s="629">
        <f>H76/DAY(B2)</f>
        <v>82.125</v>
      </c>
      <c r="K76" s="469"/>
      <c r="L76" s="408"/>
      <c r="N76" s="413"/>
    </row>
    <row r="77" spans="1:14" ht="27.75">
      <c r="A77" s="1367" t="s">
        <v>207</v>
      </c>
      <c r="B77" s="1368"/>
      <c r="C77" s="1369"/>
      <c r="D77" s="599" t="s">
        <v>198</v>
      </c>
      <c r="E77" s="886">
        <f>'7'!F77</f>
        <v>695790</v>
      </c>
      <c r="F77" s="887">
        <v>695840</v>
      </c>
      <c r="G77" s="733">
        <f t="shared" si="7"/>
        <v>50</v>
      </c>
      <c r="H77" s="536">
        <f>G77+'7'!H77</f>
        <v>446</v>
      </c>
      <c r="I77" s="581"/>
      <c r="J77" s="629">
        <f>H77/DAY(B2)</f>
        <v>55.75</v>
      </c>
      <c r="K77" s="469"/>
      <c r="L77" s="408"/>
      <c r="N77" s="413"/>
    </row>
    <row r="78" spans="1:14" ht="27.75">
      <c r="A78" s="1255" t="s">
        <v>208</v>
      </c>
      <c r="B78" s="1226"/>
      <c r="C78" s="1226"/>
      <c r="D78" s="599" t="s">
        <v>198</v>
      </c>
      <c r="E78" s="597">
        <f>'7'!F78</f>
        <v>633149</v>
      </c>
      <c r="F78" s="737">
        <v>633469</v>
      </c>
      <c r="G78" s="549">
        <f t="shared" si="7"/>
        <v>320</v>
      </c>
      <c r="H78" s="536">
        <f>G78+'7'!H78</f>
        <v>2696</v>
      </c>
      <c r="I78" s="581"/>
      <c r="J78" s="629">
        <f>H78/DAY(B2)</f>
        <v>337</v>
      </c>
      <c r="K78" s="469"/>
      <c r="L78" s="408"/>
      <c r="N78" s="413"/>
    </row>
    <row r="79" spans="1:14" ht="27.75">
      <c r="A79" s="1364" t="s">
        <v>97</v>
      </c>
      <c r="B79" s="1365"/>
      <c r="C79" s="1366"/>
      <c r="D79" s="600" t="s">
        <v>198</v>
      </c>
      <c r="E79" s="597">
        <f>'7'!F79</f>
        <v>805158</v>
      </c>
      <c r="F79" s="737">
        <v>805334</v>
      </c>
      <c r="G79" s="549">
        <f t="shared" si="7"/>
        <v>176</v>
      </c>
      <c r="H79" s="536">
        <f>G79+'7'!H79</f>
        <v>1491</v>
      </c>
      <c r="I79" s="581"/>
      <c r="J79" s="629">
        <f>H79/DAY(B2)</f>
        <v>186.375</v>
      </c>
      <c r="K79" s="469"/>
      <c r="L79" s="408"/>
      <c r="N79" s="413"/>
    </row>
    <row r="80" spans="1:14" ht="27.75">
      <c r="A80" s="1364" t="s">
        <v>209</v>
      </c>
      <c r="B80" s="1365"/>
      <c r="C80" s="1366"/>
      <c r="D80" s="600" t="s">
        <v>198</v>
      </c>
      <c r="E80" s="596">
        <f>'7'!F80</f>
        <v>477662</v>
      </c>
      <c r="F80" s="736">
        <v>477959</v>
      </c>
      <c r="G80" s="549">
        <f t="shared" si="7"/>
        <v>297</v>
      </c>
      <c r="H80" s="536">
        <f>G80+'7'!H80</f>
        <v>2428</v>
      </c>
      <c r="I80" s="581"/>
      <c r="J80" s="629">
        <f>H80/DAY(B2)</f>
        <v>303.5</v>
      </c>
      <c r="K80" s="469"/>
      <c r="L80" s="408"/>
      <c r="N80" s="413"/>
    </row>
    <row r="81" spans="1:15" ht="27.75">
      <c r="A81" s="1364" t="s">
        <v>210</v>
      </c>
      <c r="B81" s="1365"/>
      <c r="C81" s="1366"/>
      <c r="D81" s="600" t="s">
        <v>198</v>
      </c>
      <c r="E81" s="596">
        <f>'7'!F81</f>
        <v>620124</v>
      </c>
      <c r="F81" s="736">
        <v>620240</v>
      </c>
      <c r="G81" s="549">
        <f t="shared" si="7"/>
        <v>116</v>
      </c>
      <c r="H81" s="536">
        <f>G81+'7'!H81</f>
        <v>986</v>
      </c>
      <c r="I81" s="581"/>
      <c r="J81" s="629">
        <f>H81/DAY(B2)</f>
        <v>123.25</v>
      </c>
      <c r="K81" s="469"/>
      <c r="L81" s="408"/>
      <c r="N81" s="413"/>
    </row>
    <row r="82" spans="1:15" ht="27.75">
      <c r="A82" s="1364" t="s">
        <v>100</v>
      </c>
      <c r="B82" s="1365"/>
      <c r="C82" s="1366"/>
      <c r="D82" s="561" t="s">
        <v>143</v>
      </c>
      <c r="E82" s="598">
        <f>'7'!F82</f>
        <v>104586</v>
      </c>
      <c r="F82" s="732">
        <v>104605</v>
      </c>
      <c r="G82" s="549">
        <f t="shared" si="7"/>
        <v>19</v>
      </c>
      <c r="H82" s="536">
        <f>G82+'7'!H82</f>
        <v>167</v>
      </c>
      <c r="I82" s="562"/>
      <c r="J82" s="629">
        <f>H82/DAY(B2)</f>
        <v>20.875</v>
      </c>
      <c r="K82" s="469"/>
      <c r="L82" s="408"/>
      <c r="N82" s="413"/>
    </row>
    <row r="83" spans="1:15" ht="27.75">
      <c r="A83" s="1364" t="s">
        <v>211</v>
      </c>
      <c r="B83" s="1365"/>
      <c r="C83" s="1366"/>
      <c r="D83" s="697" t="s">
        <v>143</v>
      </c>
      <c r="E83" s="587">
        <f>'7'!F83</f>
        <v>975821</v>
      </c>
      <c r="F83" s="587">
        <v>976168</v>
      </c>
      <c r="G83" s="549">
        <f t="shared" si="7"/>
        <v>347</v>
      </c>
      <c r="H83" s="536">
        <f>G83+'7'!H83</f>
        <v>2697</v>
      </c>
      <c r="I83" s="557"/>
      <c r="J83" s="629">
        <f>H83/DAY(B2)</f>
        <v>337.125</v>
      </c>
      <c r="K83" s="468"/>
      <c r="L83" s="408"/>
      <c r="N83" s="413"/>
    </row>
    <row r="84" spans="1:15">
      <c r="A84" s="1256" t="s">
        <v>212</v>
      </c>
      <c r="B84" s="648"/>
      <c r="C84" s="648"/>
      <c r="D84" s="554" t="s">
        <v>143</v>
      </c>
      <c r="E84" s="704">
        <f>'7'!F84</f>
        <v>400706</v>
      </c>
      <c r="F84" s="704">
        <v>401224</v>
      </c>
      <c r="G84" s="549">
        <f t="shared" si="7"/>
        <v>518</v>
      </c>
      <c r="H84" s="536">
        <f>G84+'7'!H84</f>
        <v>4028</v>
      </c>
      <c r="I84" s="557"/>
      <c r="J84" s="629">
        <f>H84/DAY(B2)</f>
        <v>503.5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2205</v>
      </c>
      <c r="H85" s="536">
        <f>G85+'7'!H85</f>
        <v>16024</v>
      </c>
      <c r="I85" s="557"/>
      <c r="J85" s="629">
        <f>H85/DAY(B2)</f>
        <v>2003</v>
      </c>
      <c r="K85" s="411"/>
      <c r="L85" s="409"/>
      <c r="N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'7'!F86</f>
        <v>444782</v>
      </c>
      <c r="F86" s="728">
        <v>444872</v>
      </c>
      <c r="G86" s="805">
        <f t="shared" ref="G86:G90" si="8">F86-E86</f>
        <v>90</v>
      </c>
      <c r="H86" s="805">
        <f t="shared" ref="H86:H88" si="9">G86</f>
        <v>90</v>
      </c>
      <c r="I86" s="733"/>
      <c r="J86" s="807">
        <f>H86/DAY(B2)</f>
        <v>11.25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'7'!F87</f>
        <v>77889</v>
      </c>
      <c r="F87" s="728">
        <v>77921</v>
      </c>
      <c r="G87" s="805">
        <f t="shared" si="8"/>
        <v>32</v>
      </c>
      <c r="H87" s="805">
        <f t="shared" si="9"/>
        <v>32</v>
      </c>
      <c r="I87" s="733"/>
      <c r="J87" s="807">
        <f>H87/DAY(B2)</f>
        <v>4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'7'!F88</f>
        <v>144882</v>
      </c>
      <c r="F88" s="728">
        <v>144931</v>
      </c>
      <c r="G88" s="805">
        <f t="shared" si="8"/>
        <v>49</v>
      </c>
      <c r="H88" s="805">
        <f t="shared" si="9"/>
        <v>49</v>
      </c>
      <c r="I88" s="733"/>
      <c r="J88" s="807">
        <f>H88/DAY(B2)</f>
        <v>6.125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'7'!F89</f>
        <v>58115.9</v>
      </c>
      <c r="F89" s="728">
        <v>58203</v>
      </c>
      <c r="G89" s="805">
        <f t="shared" si="8"/>
        <v>87.099999999998545</v>
      </c>
      <c r="H89" s="805">
        <f>G89</f>
        <v>87.099999999998545</v>
      </c>
      <c r="I89" s="733"/>
      <c r="J89" s="807">
        <f>H89/DAY(B2)</f>
        <v>10.887499999999818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'7'!F90</f>
        <v>2998</v>
      </c>
      <c r="F90" s="728">
        <v>3003</v>
      </c>
      <c r="G90" s="805">
        <f t="shared" si="8"/>
        <v>5</v>
      </c>
      <c r="H90" s="805">
        <f>G90</f>
        <v>5</v>
      </c>
      <c r="I90" s="733"/>
      <c r="J90" s="807">
        <f>H90/DAY(B2)</f>
        <v>0.625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88" t="s">
        <v>217</v>
      </c>
      <c r="B92" s="1389"/>
      <c r="C92" s="1390"/>
      <c r="D92" s="599" t="s">
        <v>155</v>
      </c>
      <c r="E92" s="560">
        <f>'7'!F92</f>
        <v>234389</v>
      </c>
      <c r="F92" s="554">
        <v>234451</v>
      </c>
      <c r="G92" s="549">
        <f t="shared" ref="G92:G93" si="10">F92-E92</f>
        <v>62</v>
      </c>
      <c r="H92" s="536">
        <f>G92+'7'!H92</f>
        <v>549</v>
      </c>
      <c r="I92" s="556"/>
      <c r="J92" s="629">
        <f>H92/DAY(B2)</f>
        <v>68.625</v>
      </c>
      <c r="K92" s="468"/>
      <c r="L92" s="408"/>
      <c r="N92" s="413"/>
    </row>
    <row r="93" spans="1:15" ht="27.75">
      <c r="A93" s="1388" t="s">
        <v>218</v>
      </c>
      <c r="B93" s="1389"/>
      <c r="C93" s="1390"/>
      <c r="D93" s="599" t="s">
        <v>155</v>
      </c>
      <c r="E93" s="560">
        <f>'7'!F93</f>
        <v>167790</v>
      </c>
      <c r="F93" s="554">
        <v>167931</v>
      </c>
      <c r="G93" s="549">
        <f t="shared" si="10"/>
        <v>141</v>
      </c>
      <c r="H93" s="536">
        <f>G93+'7'!H93</f>
        <v>1015</v>
      </c>
      <c r="I93" s="556"/>
      <c r="J93" s="629">
        <f>H93/DAY(B2)</f>
        <v>126.875</v>
      </c>
      <c r="K93" s="411"/>
      <c r="L93" s="408"/>
      <c r="N93" s="413"/>
    </row>
    <row r="94" spans="1:15">
      <c r="A94" s="1419" t="s">
        <v>219</v>
      </c>
      <c r="B94" s="1420"/>
      <c r="C94" s="1421"/>
      <c r="D94" s="599"/>
      <c r="E94" s="560">
        <f>'7'!F94</f>
        <v>0</v>
      </c>
      <c r="F94" s="554"/>
      <c r="G94" s="549">
        <f>G92+G93</f>
        <v>203</v>
      </c>
      <c r="H94" s="536">
        <f>G94+'7'!H94</f>
        <v>1290</v>
      </c>
      <c r="I94" s="556"/>
      <c r="J94" s="629">
        <f>H94/DAY(B2)</f>
        <v>161.25</v>
      </c>
      <c r="K94" s="411"/>
      <c r="L94" s="408"/>
      <c r="N94" s="413"/>
    </row>
    <row r="95" spans="1:15" ht="27.75">
      <c r="A95" s="1388" t="s">
        <v>220</v>
      </c>
      <c r="B95" s="1389"/>
      <c r="C95" s="1390"/>
      <c r="D95" s="599" t="s">
        <v>155</v>
      </c>
      <c r="E95" s="560">
        <f>'7'!F95</f>
        <v>404073</v>
      </c>
      <c r="F95" s="554">
        <v>404132</v>
      </c>
      <c r="G95" s="549">
        <f t="shared" ref="G95:G100" si="11">F95-E95</f>
        <v>59</v>
      </c>
      <c r="H95" s="536">
        <f>G95+'7'!H95</f>
        <v>467</v>
      </c>
      <c r="I95" s="556"/>
      <c r="J95" s="629">
        <f>H95/DAY(B2)</f>
        <v>58.375</v>
      </c>
      <c r="K95" s="411"/>
      <c r="L95" s="408"/>
      <c r="N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'7'!F96</f>
        <v>100057</v>
      </c>
      <c r="F96" s="554">
        <v>100073</v>
      </c>
      <c r="G96" s="549">
        <f t="shared" si="11"/>
        <v>16</v>
      </c>
      <c r="H96" s="536">
        <f>G96+'7'!H96</f>
        <v>152</v>
      </c>
      <c r="I96" s="556"/>
      <c r="J96" s="629">
        <f>H96/DAY(B2)</f>
        <v>19</v>
      </c>
      <c r="K96" s="466"/>
      <c r="L96" s="408"/>
      <c r="N96" s="413"/>
    </row>
    <row r="97" spans="1:14" ht="27.75">
      <c r="A97" s="1252" t="s">
        <v>222</v>
      </c>
      <c r="B97" s="1253"/>
      <c r="C97" s="1253"/>
      <c r="D97" s="599" t="s">
        <v>155</v>
      </c>
      <c r="E97" s="560">
        <f>'7'!F97</f>
        <v>95161</v>
      </c>
      <c r="F97" s="554">
        <v>95177</v>
      </c>
      <c r="G97" s="549">
        <f t="shared" si="11"/>
        <v>16</v>
      </c>
      <c r="H97" s="536">
        <f>G97+'7'!H97</f>
        <v>150</v>
      </c>
      <c r="I97" s="556"/>
      <c r="J97" s="629">
        <f>H97/DAY(B2)</f>
        <v>18.75</v>
      </c>
      <c r="K97" s="471"/>
      <c r="L97" s="408"/>
      <c r="N97" s="413"/>
    </row>
    <row r="98" spans="1:14" ht="27.75">
      <c r="A98" s="1252" t="s">
        <v>223</v>
      </c>
      <c r="B98" s="1253"/>
      <c r="C98" s="1253"/>
      <c r="D98" s="599" t="s">
        <v>155</v>
      </c>
      <c r="E98" s="560">
        <f>'7'!F98</f>
        <v>144207</v>
      </c>
      <c r="F98" s="554">
        <v>144260</v>
      </c>
      <c r="G98" s="549">
        <f t="shared" si="11"/>
        <v>53</v>
      </c>
      <c r="H98" s="536">
        <f>G98+'7'!H98</f>
        <v>453</v>
      </c>
      <c r="I98" s="556"/>
      <c r="J98" s="629">
        <f>H98/DAY(B2)</f>
        <v>56.625</v>
      </c>
      <c r="K98" s="411"/>
      <c r="L98" s="408"/>
      <c r="N98" s="787"/>
    </row>
    <row r="99" spans="1:14" ht="27.75">
      <c r="A99" s="1252" t="s">
        <v>224</v>
      </c>
      <c r="B99" s="1253"/>
      <c r="C99" s="1253"/>
      <c r="D99" s="599" t="s">
        <v>155</v>
      </c>
      <c r="E99" s="560">
        <f>'7'!F99</f>
        <v>5585</v>
      </c>
      <c r="F99" s="554">
        <v>5592</v>
      </c>
      <c r="G99" s="549">
        <f t="shared" si="11"/>
        <v>7</v>
      </c>
      <c r="H99" s="536">
        <f>G99+'7'!H99</f>
        <v>90</v>
      </c>
      <c r="I99" s="556"/>
      <c r="J99" s="629">
        <f>H99/DAY(B2)</f>
        <v>11.25</v>
      </c>
      <c r="K99" s="411"/>
      <c r="L99" s="408"/>
      <c r="N99" s="413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'7'!F100</f>
        <v>4020</v>
      </c>
      <c r="F100" s="554">
        <v>4029</v>
      </c>
      <c r="G100" s="549">
        <f t="shared" si="11"/>
        <v>9</v>
      </c>
      <c r="H100" s="536">
        <f>G100+'7'!H100</f>
        <v>65</v>
      </c>
      <c r="I100" s="556"/>
      <c r="J100" s="629">
        <f>H100/DAY(B2)</f>
        <v>8.125</v>
      </c>
      <c r="K100" s="411"/>
      <c r="L100" s="408"/>
      <c r="N100" s="413"/>
    </row>
    <row r="101" spans="1:14">
      <c r="A101" s="1419" t="s">
        <v>227</v>
      </c>
      <c r="B101" s="1420"/>
      <c r="C101" s="1421"/>
      <c r="D101" s="600"/>
      <c r="E101" s="600"/>
      <c r="F101" s="600"/>
      <c r="G101" s="601">
        <f>SUM(G95:G100)</f>
        <v>160</v>
      </c>
      <c r="H101" s="536">
        <f>G101+'7'!H101</f>
        <v>1377</v>
      </c>
      <c r="I101" s="602"/>
      <c r="J101" s="629">
        <f>H101/DAY(B2)</f>
        <v>172.125</v>
      </c>
      <c r="K101" s="411"/>
      <c r="L101" s="408"/>
      <c r="N101" s="413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22" t="s">
        <v>229</v>
      </c>
      <c r="B103" s="1423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80" t="s">
        <v>230</v>
      </c>
      <c r="B104" s="1381"/>
      <c r="C104" s="1251"/>
      <c r="D104" s="699" t="s">
        <v>155</v>
      </c>
      <c r="E104" s="608">
        <f>'7'!F104</f>
        <v>7010</v>
      </c>
      <c r="F104" s="739">
        <v>7010</v>
      </c>
      <c r="G104" s="608">
        <f>F104-E104</f>
        <v>0</v>
      </c>
      <c r="H104" s="536">
        <f>G104+'7'!H104</f>
        <v>0</v>
      </c>
      <c r="I104" s="608"/>
      <c r="J104" s="635">
        <f>H104/DAY(B2)</f>
        <v>0</v>
      </c>
      <c r="N104" s="413"/>
    </row>
    <row r="105" spans="1:14" s="481" customFormat="1" ht="27.75">
      <c r="A105" s="1380" t="s">
        <v>77</v>
      </c>
      <c r="B105" s="1381"/>
      <c r="C105" s="1251"/>
      <c r="D105" s="699" t="s">
        <v>155</v>
      </c>
      <c r="E105" s="608">
        <f>'7'!F105</f>
        <v>34967</v>
      </c>
      <c r="F105" s="740">
        <v>34971</v>
      </c>
      <c r="G105" s="608">
        <f t="shared" ref="G105:G106" si="12">F105-E105</f>
        <v>4</v>
      </c>
      <c r="H105" s="536">
        <f>G105+'7'!H105</f>
        <v>57</v>
      </c>
      <c r="I105" s="608"/>
      <c r="J105" s="635">
        <f>H105/DAY(B2)</f>
        <v>7.125</v>
      </c>
      <c r="N105" s="413"/>
    </row>
    <row r="106" spans="1:14" s="481" customFormat="1" ht="27.75">
      <c r="A106" s="1380" t="s">
        <v>78</v>
      </c>
      <c r="B106" s="1424"/>
      <c r="C106" s="1381"/>
      <c r="D106" s="699" t="s">
        <v>155</v>
      </c>
      <c r="E106" s="608">
        <f>'7'!F106</f>
        <v>18926</v>
      </c>
      <c r="F106" s="740">
        <v>18932</v>
      </c>
      <c r="G106" s="608">
        <f t="shared" si="12"/>
        <v>6</v>
      </c>
      <c r="H106" s="536">
        <f>G106+'7'!H106</f>
        <v>48</v>
      </c>
      <c r="I106" s="608"/>
      <c r="J106" s="635">
        <f>H106/DAY(B2)</f>
        <v>6</v>
      </c>
      <c r="N106" s="413"/>
    </row>
    <row r="107" spans="1:14" s="481" customFormat="1" ht="27.75">
      <c r="A107" s="1382" t="s">
        <v>213</v>
      </c>
      <c r="B107" s="1383"/>
      <c r="C107" s="1251"/>
      <c r="D107" s="699"/>
      <c r="E107" s="608"/>
      <c r="F107" s="740"/>
      <c r="G107" s="608">
        <f>SUM(G104:G106)</f>
        <v>10</v>
      </c>
      <c r="H107" s="536">
        <f>G107+'7'!H107</f>
        <v>105</v>
      </c>
      <c r="I107" s="608"/>
      <c r="J107" s="635">
        <f>H107/DAY(B2)</f>
        <v>13.125</v>
      </c>
      <c r="N107" s="413"/>
    </row>
    <row r="108" spans="1:14" s="481" customFormat="1" ht="27.75">
      <c r="A108" s="1386" t="s">
        <v>79</v>
      </c>
      <c r="B108" s="1387"/>
      <c r="C108" s="1251"/>
      <c r="D108" s="699" t="s">
        <v>155</v>
      </c>
      <c r="E108" s="608"/>
      <c r="F108" s="740"/>
      <c r="G108" s="608"/>
      <c r="H108" s="536">
        <f>G108+'7'!H108</f>
        <v>0</v>
      </c>
      <c r="I108" s="608"/>
      <c r="J108" s="635"/>
      <c r="N108" s="413"/>
    </row>
    <row r="109" spans="1:14" s="481" customFormat="1" ht="27.75">
      <c r="A109" s="1380" t="s">
        <v>231</v>
      </c>
      <c r="B109" s="1381"/>
      <c r="C109" s="1251"/>
      <c r="D109" s="699" t="s">
        <v>155</v>
      </c>
      <c r="E109" s="608">
        <f>'7'!F109</f>
        <v>53397</v>
      </c>
      <c r="F109" s="740">
        <v>53436</v>
      </c>
      <c r="G109" s="608">
        <f>F109-E109</f>
        <v>39</v>
      </c>
      <c r="H109" s="536">
        <f>G109+'7'!H109</f>
        <v>490</v>
      </c>
      <c r="I109" s="608"/>
      <c r="J109" s="635">
        <f>H109/DAY(B2)</f>
        <v>61.25</v>
      </c>
      <c r="N109" s="413"/>
    </row>
    <row r="110" spans="1:14" s="481" customFormat="1" ht="27.75">
      <c r="A110" s="1380" t="s">
        <v>232</v>
      </c>
      <c r="B110" s="1381"/>
      <c r="C110" s="1251"/>
      <c r="D110" s="699" t="s">
        <v>155</v>
      </c>
      <c r="E110" s="608">
        <f>'7'!F110</f>
        <v>27239</v>
      </c>
      <c r="F110" s="740">
        <v>27303</v>
      </c>
      <c r="G110" s="608">
        <f t="shared" ref="G110:G111" si="13">F110-E110</f>
        <v>64</v>
      </c>
      <c r="H110" s="536">
        <f>G110+'7'!H110</f>
        <v>443</v>
      </c>
      <c r="I110" s="608"/>
      <c r="J110" s="635">
        <f>H110/DAY(B2)</f>
        <v>55.375</v>
      </c>
      <c r="N110" s="413"/>
    </row>
    <row r="111" spans="1:14" s="481" customFormat="1" ht="27.75">
      <c r="A111" s="1380" t="s">
        <v>233</v>
      </c>
      <c r="B111" s="1381"/>
      <c r="C111" s="1251"/>
      <c r="D111" s="699" t="s">
        <v>155</v>
      </c>
      <c r="E111" s="608">
        <f>'7'!F111</f>
        <v>3610</v>
      </c>
      <c r="F111" s="740">
        <v>3610</v>
      </c>
      <c r="G111" s="608">
        <f t="shared" si="13"/>
        <v>0</v>
      </c>
      <c r="H111" s="536">
        <f>G111+'7'!H111</f>
        <v>43</v>
      </c>
      <c r="I111" s="608"/>
      <c r="J111" s="635">
        <f>H111/DAY(B2)</f>
        <v>5.375</v>
      </c>
      <c r="N111" s="413"/>
    </row>
    <row r="112" spans="1:14" s="481" customFormat="1" ht="27.75">
      <c r="A112" s="1382" t="s">
        <v>121</v>
      </c>
      <c r="B112" s="1383"/>
      <c r="C112" s="1251"/>
      <c r="D112" s="699"/>
      <c r="E112" s="608"/>
      <c r="F112" s="740"/>
      <c r="G112" s="608">
        <f>SUM(G109:G111)</f>
        <v>103</v>
      </c>
      <c r="H112" s="536">
        <f>G112+'7'!H112</f>
        <v>976</v>
      </c>
      <c r="I112" s="608"/>
      <c r="J112" s="635">
        <f>H112/DAY(B2)</f>
        <v>122</v>
      </c>
      <c r="N112" s="413"/>
    </row>
    <row r="113" spans="1:14" s="481" customFormat="1" ht="27.75">
      <c r="A113" s="1386" t="s">
        <v>234</v>
      </c>
      <c r="B113" s="1387"/>
      <c r="C113" s="1251"/>
      <c r="D113" s="699"/>
      <c r="E113" s="608"/>
      <c r="F113" s="740"/>
      <c r="G113" s="608"/>
      <c r="H113" s="536">
        <f>G113+'7'!H113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0" t="s">
        <v>235</v>
      </c>
      <c r="B114" s="1381"/>
      <c r="C114" s="651"/>
      <c r="D114" s="699" t="s">
        <v>155</v>
      </c>
      <c r="E114" s="608">
        <f>'7'!F114</f>
        <v>9336</v>
      </c>
      <c r="F114" s="740">
        <v>9349</v>
      </c>
      <c r="G114" s="610">
        <f>F114-E114</f>
        <v>13</v>
      </c>
      <c r="H114" s="536">
        <f>G114+'7'!H114</f>
        <v>121</v>
      </c>
      <c r="I114" s="608"/>
      <c r="J114" s="635">
        <f>H114/DAY(B2)</f>
        <v>15.125</v>
      </c>
      <c r="N114" s="413"/>
    </row>
    <row r="115" spans="1:14" s="481" customFormat="1" ht="27.75">
      <c r="A115" s="1380" t="s">
        <v>236</v>
      </c>
      <c r="B115" s="1381"/>
      <c r="C115" s="651"/>
      <c r="D115" s="699" t="s">
        <v>155</v>
      </c>
      <c r="E115" s="608">
        <f>'7'!F115</f>
        <v>7238</v>
      </c>
      <c r="F115" s="740">
        <v>7245</v>
      </c>
      <c r="G115" s="610">
        <f t="shared" ref="G115:G116" si="14">F115-E115</f>
        <v>7</v>
      </c>
      <c r="H115" s="536">
        <f>G115+'7'!H115</f>
        <v>58</v>
      </c>
      <c r="I115" s="608"/>
      <c r="J115" s="635">
        <f>H115/DAY(B2)</f>
        <v>7.25</v>
      </c>
      <c r="N115" s="413"/>
    </row>
    <row r="116" spans="1:14" s="481" customFormat="1" ht="27.75">
      <c r="A116" s="1380" t="s">
        <v>237</v>
      </c>
      <c r="B116" s="1381"/>
      <c r="C116" s="651"/>
      <c r="D116" s="699" t="s">
        <v>155</v>
      </c>
      <c r="E116" s="610"/>
      <c r="F116" s="740"/>
      <c r="G116" s="610">
        <f t="shared" si="14"/>
        <v>0</v>
      </c>
      <c r="H116" s="536">
        <f>G116+'7'!H116</f>
        <v>0</v>
      </c>
      <c r="I116" s="608"/>
      <c r="J116" s="635">
        <f>H116/DAY(B2)</f>
        <v>0</v>
      </c>
      <c r="N116" s="413"/>
    </row>
    <row r="117" spans="1:14" s="494" customFormat="1" ht="27.75">
      <c r="A117" s="1382" t="s">
        <v>213</v>
      </c>
      <c r="B117" s="1383"/>
      <c r="C117" s="651"/>
      <c r="D117" s="700"/>
      <c r="E117" s="610"/>
      <c r="F117" s="740"/>
      <c r="G117" s="610">
        <f>SUM(G114:G116)</f>
        <v>20</v>
      </c>
      <c r="H117" s="536">
        <f>G117+'7'!H117</f>
        <v>179</v>
      </c>
      <c r="I117" s="610"/>
      <c r="J117" s="635">
        <f>H117/DAY(B2)</f>
        <v>22.375</v>
      </c>
      <c r="N117" s="413"/>
    </row>
    <row r="118" spans="1:14" s="495" customFormat="1" ht="27.75">
      <c r="A118" s="1376" t="s">
        <v>238</v>
      </c>
      <c r="B118" s="1377"/>
      <c r="C118" s="1249"/>
      <c r="D118" s="701" t="s">
        <v>155</v>
      </c>
      <c r="E118" s="612"/>
      <c r="F118" s="741">
        <f>SUM(G19+G92)</f>
        <v>110</v>
      </c>
      <c r="G118" s="612">
        <f>SUM(G19+G92)</f>
        <v>110</v>
      </c>
      <c r="H118" s="536">
        <f>G118+'7'!H118</f>
        <v>951</v>
      </c>
      <c r="I118" s="611"/>
      <c r="J118" s="636">
        <f>H118/DAY(B2)</f>
        <v>118.875</v>
      </c>
      <c r="N118" s="413"/>
    </row>
    <row r="119" spans="1:14" s="495" customFormat="1" ht="27.75">
      <c r="A119" s="1376" t="s">
        <v>239</v>
      </c>
      <c r="B119" s="1377"/>
      <c r="C119" s="1249"/>
      <c r="D119" s="701" t="s">
        <v>155</v>
      </c>
      <c r="E119" s="612"/>
      <c r="F119" s="741">
        <f>SUM(G95,G96,G97,G99,G100)</f>
        <v>107</v>
      </c>
      <c r="G119" s="612">
        <f>SUM(G95,G96,G97,G99,G100)</f>
        <v>107</v>
      </c>
      <c r="H119" s="536">
        <f>G119+'7'!H119</f>
        <v>924</v>
      </c>
      <c r="I119" s="611"/>
      <c r="J119" s="636">
        <f>H119/DAY(B2)</f>
        <v>115.5</v>
      </c>
      <c r="N119" s="413"/>
    </row>
    <row r="120" spans="1:14" s="495" customFormat="1" ht="27.75">
      <c r="A120" s="1376" t="s">
        <v>240</v>
      </c>
      <c r="B120" s="1377"/>
      <c r="C120" s="1249"/>
      <c r="D120" s="701" t="s">
        <v>155</v>
      </c>
      <c r="E120" s="610"/>
      <c r="F120" s="740">
        <f>SUM(G112)</f>
        <v>103</v>
      </c>
      <c r="G120" s="610">
        <f>SUM(G112)</f>
        <v>103</v>
      </c>
      <c r="H120" s="536">
        <f>G120+'7'!H120</f>
        <v>976</v>
      </c>
      <c r="I120" s="611"/>
      <c r="J120" s="636">
        <f>H120/DAY(B2)</f>
        <v>122</v>
      </c>
      <c r="N120" s="413"/>
    </row>
    <row r="121" spans="1:14" s="481" customFormat="1" ht="27.75">
      <c r="A121" s="1378"/>
      <c r="B121" s="1379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16" t="s">
        <v>241</v>
      </c>
      <c r="B122" s="1417"/>
      <c r="C122" s="1418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'7'!F123</f>
        <v>797143</v>
      </c>
      <c r="F123" s="554">
        <v>797352</v>
      </c>
      <c r="G123" s="549">
        <f t="shared" ref="G123:G127" si="15">F123-E123</f>
        <v>209</v>
      </c>
      <c r="H123" s="536">
        <f>G123+'7'!H123</f>
        <v>1927.9499999999534</v>
      </c>
      <c r="I123" s="602"/>
      <c r="J123" s="629">
        <f>H123/DAY(B2)</f>
        <v>240.99374999999418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703">
        <f>'7'!F124</f>
        <v>73582</v>
      </c>
      <c r="F124" s="703">
        <v>73582</v>
      </c>
      <c r="G124" s="549">
        <f t="shared" si="15"/>
        <v>0</v>
      </c>
      <c r="H124" s="536">
        <f>G124+'7'!H124</f>
        <v>-0.19999999999708962</v>
      </c>
      <c r="I124" s="602"/>
      <c r="J124" s="629">
        <f>H124/DAY(B2)</f>
        <v>-2.4999999999636202E-2</v>
      </c>
      <c r="K124" s="411"/>
      <c r="L124" s="408"/>
      <c r="N124" s="413"/>
    </row>
    <row r="125" spans="1:14" ht="27.75">
      <c r="A125" s="1367" t="s">
        <v>244</v>
      </c>
      <c r="B125" s="1368"/>
      <c r="C125" s="1369"/>
      <c r="D125" s="599" t="s">
        <v>152</v>
      </c>
      <c r="E125" s="554">
        <f>'7'!F125</f>
        <v>136040</v>
      </c>
      <c r="F125" s="554">
        <v>136096</v>
      </c>
      <c r="G125" s="549">
        <f t="shared" si="15"/>
        <v>56</v>
      </c>
      <c r="H125" s="536">
        <f>G125+'7'!H125</f>
        <v>505.32999999998719</v>
      </c>
      <c r="I125" s="602"/>
      <c r="J125" s="629">
        <f>H125/DAY(B2)</f>
        <v>63.166249999998399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703">
        <f>'7'!F126</f>
        <v>57591</v>
      </c>
      <c r="F126" s="703">
        <v>57613</v>
      </c>
      <c r="G126" s="549">
        <f t="shared" si="15"/>
        <v>22</v>
      </c>
      <c r="H126" s="536">
        <f>G126+'7'!H126</f>
        <v>232</v>
      </c>
      <c r="I126" s="602"/>
      <c r="J126" s="629">
        <f>H126/DAY(B2)</f>
        <v>29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703">
        <f>'7'!F127</f>
        <v>8718</v>
      </c>
      <c r="F127" s="703">
        <v>8720</v>
      </c>
      <c r="G127" s="549">
        <f t="shared" si="15"/>
        <v>2</v>
      </c>
      <c r="H127" s="536">
        <f>G127+'7'!H127</f>
        <v>14</v>
      </c>
      <c r="I127" s="556"/>
      <c r="J127" s="629">
        <f>H127/DAY(B2)</f>
        <v>1.75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463</v>
      </c>
      <c r="H128" s="536"/>
      <c r="I128" s="556"/>
      <c r="J128" s="629"/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'7'!F130</f>
        <v>0</v>
      </c>
      <c r="F130" s="554">
        <v>0</v>
      </c>
      <c r="G130" s="549">
        <f t="shared" ref="G130:G140" si="16">F130-E130</f>
        <v>0</v>
      </c>
      <c r="H130" s="536">
        <f>G130+'7'!H130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'7'!F131</f>
        <v>0</v>
      </c>
      <c r="F131" s="554">
        <v>0</v>
      </c>
      <c r="G131" s="549">
        <f t="shared" si="16"/>
        <v>0</v>
      </c>
      <c r="H131" s="536">
        <f>G131+'7'!H131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782">
        <f>'7'!F132</f>
        <v>38901</v>
      </c>
      <c r="F132" s="703">
        <v>38901</v>
      </c>
      <c r="G132" s="549">
        <f t="shared" si="16"/>
        <v>0</v>
      </c>
      <c r="H132" s="536">
        <f>G132+'7'!H132</f>
        <v>0</v>
      </c>
      <c r="I132" s="556"/>
      <c r="J132" s="629">
        <f>H132/DAY(B2)</f>
        <v>0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598">
        <f>'7'!F133</f>
        <v>299</v>
      </c>
      <c r="F133" s="561">
        <v>299</v>
      </c>
      <c r="G133" s="549">
        <f t="shared" si="16"/>
        <v>0</v>
      </c>
      <c r="H133" s="536">
        <f>G133+'7'!H133</f>
        <v>0</v>
      </c>
      <c r="I133" s="556">
        <f>G130+G131+G132+G133</f>
        <v>0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782">
        <f>'7'!F134</f>
        <v>39735</v>
      </c>
      <c r="F134" s="703">
        <v>39735</v>
      </c>
      <c r="G134" s="549">
        <f t="shared" si="16"/>
        <v>0</v>
      </c>
      <c r="H134" s="536">
        <f>G134+'7'!H134</f>
        <v>0</v>
      </c>
      <c r="I134" s="556"/>
      <c r="J134" s="629">
        <f>H134/DAY(B2)</f>
        <v>0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782">
        <f>'7'!F135</f>
        <v>32336</v>
      </c>
      <c r="F135" s="703">
        <v>32360</v>
      </c>
      <c r="G135" s="549">
        <f t="shared" si="16"/>
        <v>24</v>
      </c>
      <c r="H135" s="536">
        <f>G135+'7'!H135</f>
        <v>192.61000000000058</v>
      </c>
      <c r="I135" s="556"/>
      <c r="J135" s="629">
        <f>H135/DAY(B2)</f>
        <v>24.076250000000073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'7'!F136</f>
        <v>21836.45</v>
      </c>
      <c r="F136" s="732">
        <v>21844.66</v>
      </c>
      <c r="G136" s="549">
        <f t="shared" si="16"/>
        <v>8.2099999999991269</v>
      </c>
      <c r="H136" s="536">
        <f>G136+'7'!H136</f>
        <v>42.959999999999127</v>
      </c>
      <c r="I136" s="556">
        <f>G134+G135+G136</f>
        <v>32.209999999999127</v>
      </c>
      <c r="J136" s="629">
        <f>H136/DAY(B2)</f>
        <v>5.3699999999998909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'7'!F137</f>
        <v>24990.61</v>
      </c>
      <c r="F137" s="732">
        <v>24990.61</v>
      </c>
      <c r="G137" s="549">
        <f t="shared" si="16"/>
        <v>0</v>
      </c>
      <c r="H137" s="536">
        <f>G137+'7'!H137</f>
        <v>0</v>
      </c>
      <c r="I137" s="556"/>
      <c r="J137" s="629">
        <f>H137/DAY(B2)</f>
        <v>0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618">
        <f>'7'!F138</f>
        <v>70026.820000000007</v>
      </c>
      <c r="F138" s="732">
        <v>70026.820000000007</v>
      </c>
      <c r="G138" s="549">
        <f t="shared" si="16"/>
        <v>0</v>
      </c>
      <c r="H138" s="536">
        <f>G138+'7'!H138</f>
        <v>20.450000000011642</v>
      </c>
      <c r="I138" s="556">
        <f>G137+G138</f>
        <v>0</v>
      </c>
      <c r="J138" s="629">
        <f>H138/DAY(B2)</f>
        <v>2.5562500000014552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782">
        <f>'7'!F139</f>
        <v>1063</v>
      </c>
      <c r="F139" s="703">
        <v>1063</v>
      </c>
      <c r="G139" s="549">
        <f t="shared" si="16"/>
        <v>0</v>
      </c>
      <c r="H139" s="536">
        <f>G139+'7'!H139</f>
        <v>0</v>
      </c>
      <c r="I139" s="619"/>
      <c r="J139" s="629">
        <f>H139/DAY(B2)</f>
        <v>0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'7'!F140</f>
        <v>4289</v>
      </c>
      <c r="F140" s="554">
        <v>4295.97</v>
      </c>
      <c r="G140" s="549">
        <f t="shared" si="16"/>
        <v>6.9700000000002547</v>
      </c>
      <c r="H140" s="536">
        <f>G140+'7'!H140</f>
        <v>63.5600000000004</v>
      </c>
      <c r="I140" s="619"/>
      <c r="J140" s="629">
        <f>H140/DAY(B2)</f>
        <v>7.94500000000005</v>
      </c>
      <c r="N140" s="413"/>
    </row>
    <row r="141" spans="1:14">
      <c r="A141" s="1397" t="s">
        <v>261</v>
      </c>
      <c r="B141" s="1398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388" t="s">
        <v>262</v>
      </c>
      <c r="B142" s="1389"/>
      <c r="C142" s="1390"/>
      <c r="D142" s="599" t="s">
        <v>143</v>
      </c>
      <c r="E142" s="599"/>
      <c r="F142" s="599"/>
      <c r="G142" s="536">
        <f>G35+G43+G49+G57</f>
        <v>4888</v>
      </c>
      <c r="H142" s="536">
        <f>G142+'7'!H142</f>
        <v>38802.569999999949</v>
      </c>
      <c r="I142" s="556"/>
      <c r="J142" s="629">
        <f>H142/DAY(B2)</f>
        <v>4850.3212499999936</v>
      </c>
      <c r="K142" s="411"/>
      <c r="L142" s="408"/>
      <c r="N142" s="413"/>
    </row>
    <row r="143" spans="1:14" ht="27.75">
      <c r="A143" s="1388" t="s">
        <v>263</v>
      </c>
      <c r="B143" s="1389"/>
      <c r="C143" s="1390"/>
      <c r="D143" s="599" t="s">
        <v>24</v>
      </c>
      <c r="E143" s="587"/>
      <c r="F143" s="587"/>
      <c r="G143" s="620">
        <f>G142/G7</f>
        <v>0.25899433052508875</v>
      </c>
      <c r="H143" s="536">
        <f>G143+'7'!H143</f>
        <v>1.9037372828456032</v>
      </c>
      <c r="I143" s="621"/>
      <c r="J143" s="629">
        <f>H143/DAY(B2)</f>
        <v>0.2379671603557004</v>
      </c>
      <c r="K143" s="411"/>
      <c r="L143" s="408"/>
      <c r="N143" s="413"/>
    </row>
    <row r="144" spans="1:14" ht="27.75">
      <c r="A144" s="1388" t="s">
        <v>264</v>
      </c>
      <c r="B144" s="1389"/>
      <c r="C144" s="1390"/>
      <c r="D144" s="599" t="s">
        <v>143</v>
      </c>
      <c r="E144" s="531"/>
      <c r="F144" s="531"/>
      <c r="G144" s="536">
        <f>G41+G42+G55+G56</f>
        <v>4131</v>
      </c>
      <c r="H144" s="536">
        <f>G144+'7'!H144</f>
        <v>32537.840000000026</v>
      </c>
      <c r="I144" s="556"/>
      <c r="J144" s="629">
        <f>H144/DAY(B2)</f>
        <v>4067.2300000000032</v>
      </c>
      <c r="K144" s="411"/>
      <c r="L144" s="408"/>
      <c r="N144" s="413"/>
    </row>
    <row r="145" spans="1:14" ht="27.75">
      <c r="A145" s="1388" t="s">
        <v>265</v>
      </c>
      <c r="B145" s="1389"/>
      <c r="C145" s="1390"/>
      <c r="D145" s="599" t="s">
        <v>24</v>
      </c>
      <c r="E145" s="531"/>
      <c r="F145" s="531"/>
      <c r="G145" s="620">
        <f>G144/G7</f>
        <v>0.21888412017167383</v>
      </c>
      <c r="H145" s="536">
        <f>G145+'7'!H145</f>
        <v>1.7292225461688511</v>
      </c>
      <c r="I145" s="621"/>
      <c r="J145" s="629">
        <f>H145/DAY(B2)</f>
        <v>0.21615281827110638</v>
      </c>
      <c r="K145" s="411"/>
      <c r="L145" s="408"/>
      <c r="N145" s="413"/>
    </row>
    <row r="146" spans="1:14" ht="27.75">
      <c r="A146" s="1388" t="s">
        <v>266</v>
      </c>
      <c r="B146" s="1389"/>
      <c r="C146" s="1390"/>
      <c r="D146" s="599" t="s">
        <v>143</v>
      </c>
      <c r="E146" s="531"/>
      <c r="F146" s="531"/>
      <c r="G146" s="536">
        <f>G39+G53</f>
        <v>3961</v>
      </c>
      <c r="H146" s="536">
        <f>G146+'7'!H146</f>
        <v>31940.03</v>
      </c>
      <c r="I146" s="622"/>
      <c r="J146" s="629">
        <f>H146/DAY(B2)</f>
        <v>3992.5037499999999</v>
      </c>
      <c r="K146" s="411"/>
      <c r="L146" s="408"/>
      <c r="N146" s="413"/>
    </row>
    <row r="147" spans="1:14" ht="27.75">
      <c r="A147" s="1388" t="s">
        <v>267</v>
      </c>
      <c r="B147" s="1389"/>
      <c r="C147" s="1390"/>
      <c r="D147" s="599" t="s">
        <v>24</v>
      </c>
      <c r="E147" s="531"/>
      <c r="F147" s="531"/>
      <c r="G147" s="620">
        <f>G146/G7</f>
        <v>0.20987654320987653</v>
      </c>
      <c r="H147" s="536">
        <f>G147+'7'!H147</f>
        <v>1.7042254720035013</v>
      </c>
      <c r="I147" s="622"/>
      <c r="J147" s="629">
        <f>H147/DAY(B2)</f>
        <v>0.21302818400043766</v>
      </c>
      <c r="N147" s="413"/>
    </row>
    <row r="148" spans="1:14" ht="27.75">
      <c r="A148" s="1388" t="s">
        <v>268</v>
      </c>
      <c r="B148" s="1389"/>
      <c r="C148" s="1390"/>
      <c r="D148" s="599" t="s">
        <v>194</v>
      </c>
      <c r="E148" s="531"/>
      <c r="F148" s="531"/>
      <c r="G148" s="536">
        <f>G38+G52</f>
        <v>1991</v>
      </c>
      <c r="H148" s="536">
        <f>G148+'7'!H148</f>
        <v>15975.369999999995</v>
      </c>
      <c r="I148" s="556"/>
      <c r="J148" s="629">
        <f>H148/DAY(B2)</f>
        <v>1996.9212499999994</v>
      </c>
      <c r="K148" s="412"/>
      <c r="N148" s="413"/>
    </row>
    <row r="149" spans="1:14" ht="27.75">
      <c r="A149" s="1388" t="s">
        <v>269</v>
      </c>
      <c r="B149" s="1389"/>
      <c r="C149" s="1390"/>
      <c r="D149" s="599" t="s">
        <v>24</v>
      </c>
      <c r="E149" s="531"/>
      <c r="F149" s="531"/>
      <c r="G149" s="620">
        <f>G148/G7</f>
        <v>0.10549462194669634</v>
      </c>
      <c r="H149" s="536">
        <f>G149+'7'!H149</f>
        <v>0.8525387610851185</v>
      </c>
      <c r="I149" s="622"/>
      <c r="J149" s="629">
        <f>H149/DAY(B2)</f>
        <v>0.10656734513563981</v>
      </c>
      <c r="N149" s="413"/>
    </row>
    <row r="150" spans="1:14" ht="27.75">
      <c r="A150" s="1388" t="s">
        <v>270</v>
      </c>
      <c r="B150" s="1389"/>
      <c r="C150" s="1390"/>
      <c r="D150" s="599" t="s">
        <v>194</v>
      </c>
      <c r="E150" s="531"/>
      <c r="F150" s="531"/>
      <c r="G150" s="536">
        <f>G36+G50</f>
        <v>1777</v>
      </c>
      <c r="H150" s="536">
        <f>G150+'7'!H150</f>
        <v>13897.5</v>
      </c>
      <c r="I150" s="622"/>
      <c r="J150" s="629">
        <f>H150/DAY(B2)</f>
        <v>1737.1875</v>
      </c>
      <c r="N150" s="413"/>
    </row>
    <row r="151" spans="1:14" ht="27.75">
      <c r="A151" s="1388" t="s">
        <v>271</v>
      </c>
      <c r="B151" s="1389"/>
      <c r="C151" s="1390"/>
      <c r="D151" s="599" t="s">
        <v>24</v>
      </c>
      <c r="E151" s="531"/>
      <c r="F151" s="531"/>
      <c r="G151" s="620">
        <f>G150/G7</f>
        <v>9.4155672124198592E-2</v>
      </c>
      <c r="H151" s="536">
        <f>G151+'7'!H151</f>
        <v>0.74299297428558442</v>
      </c>
      <c r="I151" s="556"/>
      <c r="J151" s="629">
        <f>H151/DAY(B2)</f>
        <v>9.2874121785698052E-2</v>
      </c>
      <c r="N151" s="413"/>
    </row>
    <row r="152" spans="1:14" ht="27.75">
      <c r="A152" s="1388" t="s">
        <v>272</v>
      </c>
      <c r="B152" s="1389"/>
      <c r="C152" s="1390"/>
      <c r="D152" s="599" t="s">
        <v>194</v>
      </c>
      <c r="E152" s="531"/>
      <c r="F152" s="531"/>
      <c r="G152" s="536">
        <f>G37+G51</f>
        <v>1426</v>
      </c>
      <c r="H152" s="536">
        <f>G152+'7'!H152</f>
        <v>11268.89</v>
      </c>
      <c r="I152" s="556"/>
      <c r="J152" s="629">
        <f>H152/DAY(B2)</f>
        <v>1408.6112499999999</v>
      </c>
      <c r="N152" s="413"/>
    </row>
    <row r="153" spans="1:14" ht="28.5" thickBot="1">
      <c r="A153" s="1394" t="s">
        <v>273</v>
      </c>
      <c r="B153" s="1395"/>
      <c r="C153" s="1396"/>
      <c r="D153" s="702" t="s">
        <v>24</v>
      </c>
      <c r="E153" s="642"/>
      <c r="F153" s="642"/>
      <c r="G153" s="643">
        <f>G152/G7</f>
        <v>7.5557674985428924E-2</v>
      </c>
      <c r="H153" s="536">
        <f>G153+'7'!H153</f>
        <v>0.60198037045998976</v>
      </c>
      <c r="I153" s="645"/>
      <c r="J153" s="646">
        <f>H153/DAY(B2)</f>
        <v>7.5247546307498719E-2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25" t="s">
        <v>278</v>
      </c>
      <c r="B157" s="1426"/>
      <c r="C157" s="1426"/>
      <c r="D157" s="1426"/>
      <c r="E157" s="1426"/>
      <c r="F157" s="1426"/>
      <c r="G157" s="1427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1169">
        <f>'7'!F160</f>
        <v>26572</v>
      </c>
      <c r="F160" s="739">
        <v>26644</v>
      </c>
      <c r="G160" s="549">
        <f t="shared" ref="G160:G171" si="17">F160-E160</f>
        <v>72</v>
      </c>
    </row>
    <row r="161" spans="1:7">
      <c r="A161" s="889" t="s">
        <v>275</v>
      </c>
      <c r="B161" s="890"/>
      <c r="C161" s="890"/>
      <c r="D161" s="587" t="s">
        <v>198</v>
      </c>
      <c r="E161" s="1169">
        <f>'7'!F161</f>
        <v>31644</v>
      </c>
      <c r="F161" s="739">
        <v>32079</v>
      </c>
      <c r="G161" s="549">
        <f t="shared" si="17"/>
        <v>435</v>
      </c>
    </row>
    <row r="162" spans="1:7">
      <c r="A162" s="889" t="s">
        <v>276</v>
      </c>
      <c r="B162" s="890"/>
      <c r="C162" s="890"/>
      <c r="D162" s="587" t="s">
        <v>198</v>
      </c>
      <c r="E162" s="1169">
        <f>'7'!F162</f>
        <v>6585</v>
      </c>
      <c r="F162" s="739">
        <v>6799</v>
      </c>
      <c r="G162" s="549">
        <f t="shared" si="17"/>
        <v>214</v>
      </c>
    </row>
    <row r="163" spans="1:7">
      <c r="A163" s="889" t="s">
        <v>277</v>
      </c>
      <c r="B163" s="890"/>
      <c r="C163" s="890"/>
      <c r="D163" s="587" t="s">
        <v>198</v>
      </c>
      <c r="E163" s="1169">
        <f>'7'!F163</f>
        <v>4496</v>
      </c>
      <c r="F163" s="739">
        <v>4518</v>
      </c>
      <c r="G163" s="549">
        <f t="shared" si="17"/>
        <v>22</v>
      </c>
    </row>
    <row r="164" spans="1:7">
      <c r="A164" s="891" t="s">
        <v>106</v>
      </c>
      <c r="B164" s="681"/>
      <c r="C164" s="681"/>
      <c r="D164" s="587" t="s">
        <v>198</v>
      </c>
      <c r="E164" s="1169">
        <f>'7'!F164</f>
        <v>20419</v>
      </c>
      <c r="F164" s="590">
        <f>F62</f>
        <v>20419</v>
      </c>
      <c r="G164" s="549">
        <f t="shared" si="17"/>
        <v>0</v>
      </c>
    </row>
    <row r="165" spans="1:7">
      <c r="A165" s="891" t="s">
        <v>199</v>
      </c>
      <c r="B165" s="681"/>
      <c r="C165" s="681"/>
      <c r="D165" s="587" t="s">
        <v>198</v>
      </c>
      <c r="E165" s="1169">
        <f>'7'!F165</f>
        <v>1138</v>
      </c>
      <c r="F165" s="590">
        <f t="shared" ref="F165:F171" si="18">F63</f>
        <v>1142</v>
      </c>
      <c r="G165" s="549">
        <f t="shared" si="17"/>
        <v>4</v>
      </c>
    </row>
    <row r="166" spans="1:7" ht="27.75">
      <c r="A166" s="1363" t="s">
        <v>107</v>
      </c>
      <c r="B166" s="1363"/>
      <c r="C166" s="1363"/>
      <c r="D166" s="599" t="s">
        <v>198</v>
      </c>
      <c r="E166" s="1169">
        <f>'7'!F166</f>
        <v>101161</v>
      </c>
      <c r="F166" s="590">
        <f t="shared" si="18"/>
        <v>101573</v>
      </c>
      <c r="G166" s="549">
        <f t="shared" si="17"/>
        <v>412</v>
      </c>
    </row>
    <row r="167" spans="1:7" ht="27.75">
      <c r="A167" s="1363" t="s">
        <v>108</v>
      </c>
      <c r="B167" s="1363"/>
      <c r="C167" s="1363"/>
      <c r="D167" s="599" t="s">
        <v>198</v>
      </c>
      <c r="E167" s="1169">
        <f>'7'!F167</f>
        <v>111729</v>
      </c>
      <c r="F167" s="590">
        <f t="shared" si="18"/>
        <v>112139</v>
      </c>
      <c r="G167" s="549">
        <f t="shared" si="17"/>
        <v>410</v>
      </c>
    </row>
    <row r="168" spans="1:7" ht="27.75">
      <c r="A168" s="1363" t="s">
        <v>109</v>
      </c>
      <c r="B168" s="1363"/>
      <c r="C168" s="1363"/>
      <c r="D168" s="599" t="s">
        <v>198</v>
      </c>
      <c r="E168" s="1169">
        <f>'7'!F168</f>
        <v>5068</v>
      </c>
      <c r="F168" s="590">
        <f t="shared" si="18"/>
        <v>5435</v>
      </c>
      <c r="G168" s="549">
        <f t="shared" si="17"/>
        <v>367</v>
      </c>
    </row>
    <row r="169" spans="1:7" ht="27.75">
      <c r="A169" s="1363" t="s">
        <v>110</v>
      </c>
      <c r="B169" s="1363"/>
      <c r="C169" s="1363"/>
      <c r="D169" s="599" t="s">
        <v>198</v>
      </c>
      <c r="E169" s="1169">
        <f>'7'!F169</f>
        <v>172694</v>
      </c>
      <c r="F169" s="590">
        <f t="shared" si="18"/>
        <v>173331</v>
      </c>
      <c r="G169" s="549">
        <f t="shared" si="17"/>
        <v>637</v>
      </c>
    </row>
    <row r="170" spans="1:7" ht="27.75">
      <c r="A170" s="1363" t="s">
        <v>111</v>
      </c>
      <c r="B170" s="1363"/>
      <c r="C170" s="1363"/>
      <c r="D170" s="599" t="s">
        <v>198</v>
      </c>
      <c r="E170" s="1169">
        <f>'7'!F170</f>
        <v>55641</v>
      </c>
      <c r="F170" s="590">
        <f t="shared" si="18"/>
        <v>55919</v>
      </c>
      <c r="G170" s="549">
        <f t="shared" si="17"/>
        <v>278</v>
      </c>
    </row>
    <row r="171" spans="1:7" ht="27.75">
      <c r="A171" s="1363" t="s">
        <v>112</v>
      </c>
      <c r="B171" s="1363"/>
      <c r="C171" s="1363"/>
      <c r="D171" s="599" t="s">
        <v>198</v>
      </c>
      <c r="E171" s="1169">
        <f>'7'!F171</f>
        <v>48585</v>
      </c>
      <c r="F171" s="590">
        <f t="shared" si="18"/>
        <v>48885</v>
      </c>
      <c r="G171" s="549">
        <f t="shared" si="17"/>
        <v>300</v>
      </c>
    </row>
    <row r="176" spans="1:7" ht="18.75" customHeight="1"/>
    <row r="184" ht="20.25" customHeight="1"/>
    <row r="185" ht="20.2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0"/>
  <sheetViews>
    <sheetView view="pageBreakPreview" topLeftCell="A97" zoomScale="55" zoomScaleNormal="80" zoomScaleSheetLayoutView="55" workbookViewId="0">
      <selection activeCell="F28" sqref="F28"/>
    </sheetView>
  </sheetViews>
  <sheetFormatPr defaultColWidth="22.33203125" defaultRowHeight="29.25"/>
  <cols>
    <col min="1" max="1" width="42.8867187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4" s="281" customFormat="1" ht="27">
      <c r="A2" s="652" t="s">
        <v>333</v>
      </c>
      <c r="B2" s="1139">
        <v>44205</v>
      </c>
      <c r="C2" s="1254" t="s">
        <v>69</v>
      </c>
      <c r="D2" s="688">
        <v>0.75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281" t="s">
        <v>129</v>
      </c>
    </row>
    <row r="3" spans="1:14" s="281" customFormat="1" ht="27">
      <c r="A3" s="647"/>
      <c r="B3" s="691"/>
      <c r="C3" s="1254" t="s">
        <v>131</v>
      </c>
      <c r="D3" s="689">
        <v>31</v>
      </c>
      <c r="E3" s="1408" t="s">
        <v>132</v>
      </c>
      <c r="F3" s="1409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54" t="s">
        <v>133</v>
      </c>
      <c r="D4" s="688">
        <v>0.65</v>
      </c>
      <c r="E4" s="540"/>
      <c r="F4" s="540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407" t="s">
        <v>137</v>
      </c>
    </row>
    <row r="6" spans="1:14">
      <c r="A6" s="1402" t="s">
        <v>141</v>
      </c>
      <c r="B6" s="1403"/>
      <c r="C6" s="1404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'8'!F7</f>
        <v>3436407</v>
      </c>
      <c r="F7" s="531">
        <v>3455240</v>
      </c>
      <c r="G7" s="759">
        <f>F7-E7</f>
        <v>18833</v>
      </c>
      <c r="H7" s="760">
        <f>G7+'8'!H7</f>
        <v>168800</v>
      </c>
      <c r="I7" s="761">
        <f>'1'!I7</f>
        <v>12000</v>
      </c>
      <c r="J7" s="762">
        <f>H7/DAY(B2)</f>
        <v>18755.555555555555</v>
      </c>
      <c r="K7" s="626"/>
      <c r="L7" s="408"/>
      <c r="N7" s="413">
        <v>11359</v>
      </c>
    </row>
    <row r="8" spans="1:14" ht="27.75" thickBot="1">
      <c r="A8" s="763" t="s">
        <v>144</v>
      </c>
      <c r="B8" s="764"/>
      <c r="C8" s="765"/>
      <c r="D8" s="766" t="s">
        <v>25</v>
      </c>
      <c r="E8" s="710">
        <f>'8'!F8</f>
        <v>3457986</v>
      </c>
      <c r="F8" s="551">
        <v>3477016</v>
      </c>
      <c r="G8" s="770">
        <f>F8-E8</f>
        <v>19030</v>
      </c>
      <c r="H8" s="760">
        <f>G8+'8'!H8</f>
        <v>170644</v>
      </c>
      <c r="I8" s="767">
        <v>12000</v>
      </c>
      <c r="J8" s="762">
        <f>H8/DAY(B2)</f>
        <v>18960.444444444445</v>
      </c>
      <c r="K8" s="626"/>
      <c r="L8" s="464"/>
      <c r="M8" s="479"/>
      <c r="N8" s="413">
        <v>11487</v>
      </c>
    </row>
    <row r="9" spans="1:14">
      <c r="A9" s="768" t="s">
        <v>145</v>
      </c>
      <c r="B9" s="769"/>
      <c r="C9" s="769"/>
      <c r="D9" s="715" t="s">
        <v>143</v>
      </c>
      <c r="E9" s="710">
        <f>'8'!F9</f>
        <v>2426409</v>
      </c>
      <c r="F9" s="554">
        <v>2428983</v>
      </c>
      <c r="G9" s="783">
        <f t="shared" ref="G9:G12" si="0">F9-E9</f>
        <v>2574</v>
      </c>
      <c r="H9" s="760">
        <f>G9+'8'!H9</f>
        <v>23768</v>
      </c>
      <c r="I9" s="771">
        <f>I7-J7</f>
        <v>-6755.5555555555547</v>
      </c>
      <c r="J9" s="762">
        <f>H9/DAY(B2)</f>
        <v>2640.8888888888887</v>
      </c>
      <c r="K9" s="467"/>
      <c r="L9" s="408"/>
      <c r="N9" s="413">
        <v>11077</v>
      </c>
    </row>
    <row r="10" spans="1:14">
      <c r="A10" s="757" t="s">
        <v>146</v>
      </c>
      <c r="B10" s="758"/>
      <c r="C10" s="758"/>
      <c r="D10" s="715" t="s">
        <v>143</v>
      </c>
      <c r="E10" s="710">
        <f>'8'!F10</f>
        <v>873718</v>
      </c>
      <c r="F10" s="554">
        <v>889218</v>
      </c>
      <c r="G10" s="770">
        <f t="shared" si="0"/>
        <v>15500</v>
      </c>
      <c r="H10" s="760">
        <f>G10+'8'!H10</f>
        <v>138696.08999999997</v>
      </c>
      <c r="I10" s="772"/>
      <c r="J10" s="762">
        <f>H10/DAY(B2)</f>
        <v>15410.676666666663</v>
      </c>
      <c r="K10" s="467"/>
      <c r="L10" s="408"/>
      <c r="N10" s="413">
        <v>0</v>
      </c>
    </row>
    <row r="11" spans="1:14">
      <c r="A11" s="757" t="s">
        <v>147</v>
      </c>
      <c r="B11" s="758"/>
      <c r="C11" s="758"/>
      <c r="D11" s="715" t="s">
        <v>143</v>
      </c>
      <c r="E11" s="710">
        <f>'8'!F11</f>
        <v>35390</v>
      </c>
      <c r="F11" s="531">
        <v>35390</v>
      </c>
      <c r="G11" s="770">
        <f t="shared" si="0"/>
        <v>0</v>
      </c>
      <c r="H11" s="760">
        <f>G11+'8'!H11</f>
        <v>0</v>
      </c>
      <c r="I11" s="772"/>
      <c r="J11" s="762">
        <f>H11/DAY(B2)</f>
        <v>0</v>
      </c>
      <c r="K11" s="467"/>
      <c r="L11" s="408"/>
      <c r="N11" s="413">
        <v>0</v>
      </c>
    </row>
    <row r="12" spans="1:14">
      <c r="A12" s="757" t="s">
        <v>148</v>
      </c>
      <c r="B12" s="758"/>
      <c r="C12" s="758"/>
      <c r="D12" s="715" t="s">
        <v>143</v>
      </c>
      <c r="E12" s="710">
        <f>'8'!F12</f>
        <v>37630</v>
      </c>
      <c r="F12" s="554">
        <v>37630</v>
      </c>
      <c r="G12" s="770">
        <f t="shared" si="0"/>
        <v>0</v>
      </c>
      <c r="H12" s="760">
        <f>G12+'8'!H12</f>
        <v>0</v>
      </c>
      <c r="I12" s="772"/>
      <c r="J12" s="762">
        <f>H12/DAY(B2)</f>
        <v>0</v>
      </c>
      <c r="K12" s="467"/>
      <c r="L12" s="408"/>
      <c r="N12" s="413">
        <v>0</v>
      </c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18074</v>
      </c>
      <c r="H13" s="760">
        <f>G13+'8'!H13</f>
        <v>162464.08999999997</v>
      </c>
      <c r="I13" s="776">
        <f>G7-G13</f>
        <v>759</v>
      </c>
      <c r="J13" s="762">
        <f>H13/DAY(B2)</f>
        <v>18051.565555555553</v>
      </c>
      <c r="K13" s="467"/>
      <c r="L13" s="408"/>
      <c r="N13" s="413">
        <v>11077</v>
      </c>
    </row>
    <row r="14" spans="1:14">
      <c r="A14" s="1405" t="s">
        <v>150</v>
      </c>
      <c r="B14" s="1406"/>
      <c r="C14" s="1407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>
      <c r="A15" s="1291" t="s">
        <v>151</v>
      </c>
      <c r="B15" s="1292"/>
      <c r="C15" s="1292"/>
      <c r="D15" s="1293" t="s">
        <v>152</v>
      </c>
      <c r="E15" s="781">
        <f>'8'!F15</f>
        <v>1574598</v>
      </c>
      <c r="F15" s="781">
        <v>1575357</v>
      </c>
      <c r="G15" s="759">
        <f>(F15-E15)</f>
        <v>759</v>
      </c>
      <c r="H15" s="1286">
        <f>G15+'8'!H15</f>
        <v>6442.8999999999069</v>
      </c>
      <c r="I15" s="1287">
        <v>800</v>
      </c>
      <c r="J15" s="1288">
        <f>H15/DAY(B2)</f>
        <v>715.87777777776739</v>
      </c>
      <c r="K15" s="1280"/>
      <c r="L15" s="1281"/>
      <c r="M15" s="1282"/>
      <c r="N15" s="1283">
        <v>330.54600000008941</v>
      </c>
    </row>
    <row r="16" spans="1:14">
      <c r="A16" s="1284"/>
      <c r="B16" s="1285"/>
      <c r="C16" s="1285"/>
      <c r="D16" s="1278"/>
      <c r="E16" s="1279"/>
      <c r="F16" s="1279"/>
      <c r="G16" s="1289"/>
      <c r="H16" s="1286"/>
      <c r="I16" s="1290">
        <f>I15-J15</f>
        <v>84.122222222232608</v>
      </c>
      <c r="J16" s="1288"/>
      <c r="K16" s="1280"/>
      <c r="L16" s="1281"/>
      <c r="M16" s="1282"/>
      <c r="N16" s="1283"/>
    </row>
    <row r="17" spans="1:14">
      <c r="A17" s="1405" t="s">
        <v>153</v>
      </c>
      <c r="B17" s="1406"/>
      <c r="C17" s="1407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31" t="s">
        <v>154</v>
      </c>
      <c r="B18" s="1432"/>
      <c r="C18" s="1433"/>
      <c r="D18" s="715" t="s">
        <v>155</v>
      </c>
      <c r="E18" s="712">
        <f>'8'!F18</f>
        <v>8</v>
      </c>
      <c r="F18" s="554">
        <v>12</v>
      </c>
      <c r="G18" s="775">
        <f>F18*10</f>
        <v>120</v>
      </c>
      <c r="H18" s="760">
        <f>G18+'8'!H18</f>
        <v>910</v>
      </c>
      <c r="I18" s="761">
        <v>65</v>
      </c>
      <c r="J18" s="762">
        <f>H18/DAY(B2)</f>
        <v>101.11111111111111</v>
      </c>
      <c r="K18" s="467"/>
      <c r="L18" s="408"/>
      <c r="N18" s="413">
        <v>0</v>
      </c>
    </row>
    <row r="19" spans="1:14" ht="27.75">
      <c r="A19" s="1431" t="s">
        <v>71</v>
      </c>
      <c r="B19" s="1432"/>
      <c r="C19" s="1433"/>
      <c r="D19" s="715" t="s">
        <v>155</v>
      </c>
      <c r="E19" s="712">
        <f>'8'!F19</f>
        <v>131895</v>
      </c>
      <c r="F19" s="554">
        <v>131932</v>
      </c>
      <c r="G19" s="770">
        <f t="shared" ref="G19" si="1">F19-E19</f>
        <v>37</v>
      </c>
      <c r="H19" s="760">
        <f>G19+'8'!H19</f>
        <v>439</v>
      </c>
      <c r="I19" s="777"/>
      <c r="J19" s="762">
        <f>H19/DAY(B2)</f>
        <v>48.777777777777779</v>
      </c>
      <c r="K19" s="467"/>
      <c r="L19" s="408"/>
      <c r="N19" s="413">
        <v>55</v>
      </c>
    </row>
    <row r="20" spans="1:14">
      <c r="A20" s="773" t="s">
        <v>156</v>
      </c>
      <c r="B20" s="774"/>
      <c r="C20" s="774"/>
      <c r="D20" s="715"/>
      <c r="E20" s="715"/>
      <c r="F20" s="600"/>
      <c r="G20" s="778">
        <f>G18+G19</f>
        <v>157</v>
      </c>
      <c r="H20" s="760">
        <f>G20+'8'!H20</f>
        <v>1349</v>
      </c>
      <c r="I20" s="779">
        <f>I18-J20</f>
        <v>-84.888888888888886</v>
      </c>
      <c r="J20" s="762">
        <f>H20/DAY(B2)</f>
        <v>149.88888888888889</v>
      </c>
      <c r="K20" s="467"/>
      <c r="L20" s="408"/>
      <c r="N20" s="413">
        <v>55</v>
      </c>
    </row>
    <row r="21" spans="1:14">
      <c r="A21" s="1405" t="s">
        <v>157</v>
      </c>
      <c r="B21" s="1406"/>
      <c r="C21" s="1407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712">
        <f>'8'!F22</f>
        <v>2250</v>
      </c>
      <c r="F22" s="554">
        <v>2250</v>
      </c>
      <c r="G22" s="557">
        <f t="shared" ref="G22" si="2">(F22-E22)</f>
        <v>0</v>
      </c>
      <c r="H22" s="536">
        <f>G22+'8'!H22</f>
        <v>0</v>
      </c>
      <c r="I22" s="556"/>
      <c r="J22" s="629">
        <f>H22/DAY(B2)</f>
        <v>0</v>
      </c>
      <c r="K22" s="467"/>
      <c r="L22" s="408"/>
      <c r="N22" s="413">
        <v>0</v>
      </c>
    </row>
    <row r="23" spans="1:14">
      <c r="A23" s="1252" t="s">
        <v>160</v>
      </c>
      <c r="B23" s="666"/>
      <c r="C23" s="666"/>
      <c r="D23" s="599" t="s">
        <v>159</v>
      </c>
      <c r="E23" s="712">
        <f>'8'!F23</f>
        <v>2000</v>
      </c>
      <c r="F23" s="554">
        <v>2000</v>
      </c>
      <c r="G23" s="557">
        <v>0</v>
      </c>
      <c r="H23" s="536">
        <f>G23+'8'!H23</f>
        <v>0</v>
      </c>
      <c r="I23" s="556"/>
      <c r="J23" s="629">
        <f>H23/DAY(B2)</f>
        <v>0</v>
      </c>
      <c r="K23" s="467"/>
      <c r="L23" s="408"/>
      <c r="N23" s="413">
        <v>0</v>
      </c>
    </row>
    <row r="24" spans="1:14">
      <c r="A24" s="667" t="s">
        <v>161</v>
      </c>
      <c r="B24" s="668"/>
      <c r="C24" s="668"/>
      <c r="D24" s="587" t="s">
        <v>159</v>
      </c>
      <c r="E24" s="569">
        <f>'7'!F24</f>
        <v>4250</v>
      </c>
      <c r="F24" s="561">
        <v>4250</v>
      </c>
      <c r="G24" s="557">
        <v>0</v>
      </c>
      <c r="H24" s="536">
        <f>G24+'8'!H24</f>
        <v>0</v>
      </c>
      <c r="I24" s="556"/>
      <c r="J24" s="629">
        <f>H24/DAY(B2)</f>
        <v>0</v>
      </c>
      <c r="K24" s="467"/>
      <c r="L24" s="408"/>
      <c r="N24" s="413">
        <v>0</v>
      </c>
    </row>
    <row r="25" spans="1:14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19030</v>
      </c>
      <c r="F27" s="577">
        <v>9</v>
      </c>
      <c r="G27" s="578">
        <f>E27*F27</f>
        <v>171270</v>
      </c>
      <c r="H27" s="536">
        <f>G27+'8'!H27</f>
        <v>1553871</v>
      </c>
      <c r="I27" s="579"/>
      <c r="J27" s="629">
        <f>H27/DAY(B2)</f>
        <v>172652.33333333334</v>
      </c>
      <c r="K27" s="404"/>
      <c r="L27" s="484"/>
      <c r="N27" s="413">
        <v>114870</v>
      </c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759</v>
      </c>
      <c r="F28" s="577">
        <v>41</v>
      </c>
      <c r="G28" s="578">
        <f>E28*F28</f>
        <v>31119</v>
      </c>
      <c r="H28" s="536">
        <f>G28+'8'!H28</f>
        <v>262917.5399999962</v>
      </c>
      <c r="I28" s="581"/>
      <c r="J28" s="629">
        <f>H28/DAY(B2)</f>
        <v>29213.059999999576</v>
      </c>
      <c r="K28" s="404"/>
      <c r="L28" s="484"/>
      <c r="N28" s="413">
        <v>11569.110000003129</v>
      </c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G29+'8'!H29</f>
        <v>0</v>
      </c>
      <c r="I29" s="581"/>
      <c r="J29" s="629">
        <f>H29/DAY(B2)</f>
        <v>0</v>
      </c>
      <c r="K29" s="404"/>
      <c r="L29" s="484"/>
      <c r="N29" s="413">
        <v>0</v>
      </c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37</v>
      </c>
      <c r="F30" s="577">
        <v>134</v>
      </c>
      <c r="G30" s="578">
        <f>E30*F30</f>
        <v>4958</v>
      </c>
      <c r="H30" s="536">
        <f>G30+'8'!H30</f>
        <v>58826</v>
      </c>
      <c r="I30" s="581"/>
      <c r="J30" s="629">
        <f>H30/DAY(B2)</f>
        <v>6536.2222222222226</v>
      </c>
      <c r="K30" s="404"/>
      <c r="L30" s="484"/>
      <c r="N30" s="413">
        <v>7370</v>
      </c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G31+'8'!H31</f>
        <v>72800</v>
      </c>
      <c r="I31" s="581"/>
      <c r="J31" s="629">
        <f>H31/DAY(B2)</f>
        <v>8088.8888888888887</v>
      </c>
      <c r="K31" s="404"/>
      <c r="L31" s="484"/>
      <c r="N31" s="413">
        <v>0</v>
      </c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216947</v>
      </c>
      <c r="H32" s="536">
        <f>G32+'8'!H32</f>
        <v>1948414.5399999963</v>
      </c>
      <c r="I32" s="585"/>
      <c r="J32" s="629">
        <f>H32/DAY(B2)</f>
        <v>216490.50444444403</v>
      </c>
      <c r="K32" s="404"/>
      <c r="L32" s="484"/>
      <c r="N32" s="413">
        <v>133809.11000000313</v>
      </c>
    </row>
    <row r="33" spans="1:14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'8'!F35</f>
        <v>629027</v>
      </c>
      <c r="F35" s="586">
        <v>629027</v>
      </c>
      <c r="G35" s="549">
        <f t="shared" ref="G35:G46" si="3">F35-E35</f>
        <v>0</v>
      </c>
      <c r="H35" s="536">
        <f>G35+'8'!H35</f>
        <v>0</v>
      </c>
      <c r="I35" s="531"/>
      <c r="J35" s="629">
        <f>H35/DAY(B2)</f>
        <v>0</v>
      </c>
      <c r="K35" s="467"/>
      <c r="L35" s="408"/>
      <c r="N35" s="413">
        <v>1380.8400000000256</v>
      </c>
    </row>
    <row r="36" spans="1:14">
      <c r="A36" s="655" t="s">
        <v>176</v>
      </c>
      <c r="B36" s="656"/>
      <c r="C36" s="656"/>
      <c r="D36" s="599" t="s">
        <v>143</v>
      </c>
      <c r="E36" s="586">
        <f>'8'!F36</f>
        <v>260949</v>
      </c>
      <c r="F36" s="586">
        <v>261573</v>
      </c>
      <c r="G36" s="549">
        <f t="shared" si="3"/>
        <v>624</v>
      </c>
      <c r="H36" s="536">
        <f>G36+'8'!H36</f>
        <v>6481.929999999993</v>
      </c>
      <c r="I36" s="531"/>
      <c r="J36" s="629">
        <f>H36/DAY(B2)</f>
        <v>720.21444444444364</v>
      </c>
      <c r="K36" s="467"/>
      <c r="L36" s="408"/>
      <c r="N36" s="705">
        <v>514.63999999999942</v>
      </c>
    </row>
    <row r="37" spans="1:14">
      <c r="A37" s="655" t="s">
        <v>177</v>
      </c>
      <c r="B37" s="656"/>
      <c r="C37" s="656"/>
      <c r="D37" s="599" t="s">
        <v>143</v>
      </c>
      <c r="E37" s="586">
        <f>'8'!F37</f>
        <v>415066</v>
      </c>
      <c r="F37" s="586">
        <v>415066</v>
      </c>
      <c r="G37" s="549">
        <f t="shared" si="3"/>
        <v>0</v>
      </c>
      <c r="H37" s="536">
        <f>G37+'8'!H37</f>
        <v>0</v>
      </c>
      <c r="I37" s="531"/>
      <c r="J37" s="629">
        <f>H37/DAY(B2)</f>
        <v>0</v>
      </c>
      <c r="K37" s="467"/>
      <c r="L37" s="408"/>
      <c r="N37" s="706">
        <v>1164.4599999999919</v>
      </c>
    </row>
    <row r="38" spans="1:14">
      <c r="A38" s="655" t="s">
        <v>178</v>
      </c>
      <c r="B38" s="656"/>
      <c r="C38" s="656"/>
      <c r="D38" s="599" t="s">
        <v>143</v>
      </c>
      <c r="E38" s="586">
        <f>'8'!F38</f>
        <v>150714</v>
      </c>
      <c r="F38" s="545">
        <v>150714</v>
      </c>
      <c r="G38" s="549">
        <f t="shared" si="3"/>
        <v>0</v>
      </c>
      <c r="H38" s="536">
        <f>G38+'8'!H38</f>
        <v>0</v>
      </c>
      <c r="I38" s="531"/>
      <c r="J38" s="629">
        <f>H38/DAY(B2)</f>
        <v>0</v>
      </c>
      <c r="K38" s="467"/>
      <c r="L38" s="408"/>
      <c r="N38" s="413">
        <v>0</v>
      </c>
    </row>
    <row r="39" spans="1:14">
      <c r="A39" s="655" t="s">
        <v>179</v>
      </c>
      <c r="B39" s="656"/>
      <c r="C39" s="656"/>
      <c r="D39" s="599" t="s">
        <v>143</v>
      </c>
      <c r="E39" s="586">
        <f>'8'!F39</f>
        <v>912480</v>
      </c>
      <c r="F39" s="586">
        <v>912480</v>
      </c>
      <c r="G39" s="549">
        <f t="shared" si="3"/>
        <v>0</v>
      </c>
      <c r="H39" s="536">
        <f>G39+'8'!H39</f>
        <v>0</v>
      </c>
      <c r="I39" s="531"/>
      <c r="J39" s="629">
        <f>H39/DAY(B2)</f>
        <v>0</v>
      </c>
      <c r="K39" s="467"/>
      <c r="L39" s="408"/>
      <c r="N39" s="413">
        <v>1951.1300000000047</v>
      </c>
    </row>
    <row r="40" spans="1:14">
      <c r="A40" s="676" t="s">
        <v>180</v>
      </c>
      <c r="B40" s="677"/>
      <c r="C40" s="677"/>
      <c r="D40" s="599" t="s">
        <v>143</v>
      </c>
      <c r="E40" s="586">
        <f>'8'!F40</f>
        <v>0.17</v>
      </c>
      <c r="F40" s="586">
        <v>0.17</v>
      </c>
      <c r="G40" s="549">
        <f t="shared" si="3"/>
        <v>0</v>
      </c>
      <c r="H40" s="536">
        <f>G40+'8'!H40</f>
        <v>0</v>
      </c>
      <c r="I40" s="531"/>
      <c r="J40" s="629">
        <f>H40/DAY(B2)</f>
        <v>0</v>
      </c>
      <c r="K40" s="468"/>
      <c r="L40" s="408"/>
      <c r="N40" s="413">
        <v>0</v>
      </c>
    </row>
    <row r="41" spans="1:14">
      <c r="A41" s="655" t="s">
        <v>181</v>
      </c>
      <c r="B41" s="656"/>
      <c r="C41" s="656"/>
      <c r="D41" s="599" t="s">
        <v>143</v>
      </c>
      <c r="E41" s="586">
        <f>'8'!F41</f>
        <v>300127.90000000002</v>
      </c>
      <c r="F41" s="586">
        <v>300127.90000000002</v>
      </c>
      <c r="G41" s="549">
        <f t="shared" si="3"/>
        <v>0</v>
      </c>
      <c r="H41" s="536">
        <f>G41+'8'!H41</f>
        <v>-4.9999999988358468E-2</v>
      </c>
      <c r="I41" s="531"/>
      <c r="J41" s="629">
        <f>H41/DAY(B2)</f>
        <v>-5.5555555542620523E-3</v>
      </c>
      <c r="K41" s="467"/>
      <c r="L41" s="408"/>
      <c r="N41" s="413">
        <v>2876.3199999999779</v>
      </c>
    </row>
    <row r="42" spans="1:14">
      <c r="A42" s="655" t="s">
        <v>182</v>
      </c>
      <c r="B42" s="656"/>
      <c r="C42" s="656"/>
      <c r="D42" s="599" t="s">
        <v>143</v>
      </c>
      <c r="E42" s="586">
        <f>'8'!F42</f>
        <v>58926</v>
      </c>
      <c r="F42" s="586">
        <v>58926</v>
      </c>
      <c r="G42" s="549">
        <f t="shared" si="3"/>
        <v>0</v>
      </c>
      <c r="H42" s="536">
        <f>G42+'8'!H42</f>
        <v>-8.999999999650754E-2</v>
      </c>
      <c r="I42" s="531"/>
      <c r="J42" s="629">
        <f>H42/DAY(B2)</f>
        <v>-9.9999999996119495E-3</v>
      </c>
      <c r="K42" s="467"/>
      <c r="L42" s="408"/>
      <c r="N42" s="413">
        <v>0</v>
      </c>
    </row>
    <row r="43" spans="1:14">
      <c r="A43" s="655" t="s">
        <v>183</v>
      </c>
      <c r="B43" s="656"/>
      <c r="C43" s="656"/>
      <c r="D43" s="599" t="s">
        <v>143</v>
      </c>
      <c r="E43" s="586">
        <f>'8'!F43</f>
        <v>714468</v>
      </c>
      <c r="F43" s="586">
        <v>716531</v>
      </c>
      <c r="G43" s="549">
        <f t="shared" si="3"/>
        <v>2063</v>
      </c>
      <c r="H43" s="536">
        <f>G43+'8'!H43</f>
        <v>18277.569999999949</v>
      </c>
      <c r="I43" s="531"/>
      <c r="J43" s="629">
        <f>H43/DAY(B2)</f>
        <v>2030.8411111111054</v>
      </c>
      <c r="K43" s="467"/>
      <c r="L43" s="408"/>
      <c r="N43" s="413">
        <v>1531.2399999999907</v>
      </c>
    </row>
    <row r="44" spans="1:14">
      <c r="A44" s="655" t="s">
        <v>184</v>
      </c>
      <c r="B44" s="656"/>
      <c r="C44" s="656"/>
      <c r="D44" s="599" t="s">
        <v>143</v>
      </c>
      <c r="E44" s="586">
        <f>'8'!F44</f>
        <v>0</v>
      </c>
      <c r="F44" s="586">
        <v>0</v>
      </c>
      <c r="G44" s="549">
        <f t="shared" si="3"/>
        <v>0</v>
      </c>
      <c r="H44" s="536">
        <f>G44+'8'!H44</f>
        <v>0</v>
      </c>
      <c r="I44" s="531"/>
      <c r="J44" s="629">
        <f>H44/DAY(B2)</f>
        <v>0</v>
      </c>
      <c r="K44" s="467"/>
      <c r="L44" s="408"/>
      <c r="N44" s="413">
        <v>0</v>
      </c>
    </row>
    <row r="45" spans="1:14">
      <c r="A45" s="655" t="s">
        <v>185</v>
      </c>
      <c r="B45" s="656"/>
      <c r="C45" s="656"/>
      <c r="D45" s="599" t="s">
        <v>143</v>
      </c>
      <c r="E45" s="586">
        <f>'8'!F45</f>
        <v>614</v>
      </c>
      <c r="F45" s="586">
        <v>614</v>
      </c>
      <c r="G45" s="549">
        <f t="shared" si="3"/>
        <v>0</v>
      </c>
      <c r="H45" s="536">
        <f>G45+'8'!H45</f>
        <v>-0.48000000000001819</v>
      </c>
      <c r="I45" s="531"/>
      <c r="J45" s="629">
        <f>H45/DAY(B2)</f>
        <v>-5.3333333333335356E-2</v>
      </c>
      <c r="K45" s="467"/>
      <c r="L45" s="408"/>
      <c r="N45" s="413">
        <v>0</v>
      </c>
    </row>
    <row r="46" spans="1:14">
      <c r="A46" s="655" t="s">
        <v>186</v>
      </c>
      <c r="B46" s="656"/>
      <c r="C46" s="656"/>
      <c r="D46" s="599" t="s">
        <v>143</v>
      </c>
      <c r="E46" s="586">
        <f>'8'!F46</f>
        <v>187</v>
      </c>
      <c r="F46" s="586">
        <v>187</v>
      </c>
      <c r="G46" s="549">
        <f t="shared" si="3"/>
        <v>0</v>
      </c>
      <c r="H46" s="536">
        <f>G46+'8'!H46</f>
        <v>-0.49000000000000909</v>
      </c>
      <c r="I46" s="531"/>
      <c r="J46" s="629">
        <f>H46/DAY(B2)</f>
        <v>-5.4444444444445454E-2</v>
      </c>
      <c r="K46" s="467"/>
      <c r="L46" s="408"/>
      <c r="N46" s="413">
        <v>0</v>
      </c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2687</v>
      </c>
      <c r="H47" s="536">
        <f>G47+'8'!H47</f>
        <v>24758.389999999956</v>
      </c>
      <c r="I47" s="531"/>
      <c r="J47" s="629">
        <f>H47/DAY(B2)</f>
        <v>2750.9322222222172</v>
      </c>
      <c r="K47" s="467"/>
      <c r="L47" s="408"/>
      <c r="N47" s="413">
        <v>9418.6299999999901</v>
      </c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'8'!F49</f>
        <v>172147</v>
      </c>
      <c r="F49" s="586">
        <v>174906</v>
      </c>
      <c r="G49" s="549">
        <f t="shared" ref="G49:G58" si="4">F49-E49</f>
        <v>2759</v>
      </c>
      <c r="H49" s="536">
        <f>G49+'8'!H49</f>
        <v>25347</v>
      </c>
      <c r="I49" s="531"/>
      <c r="J49" s="629">
        <f>H49/DAY(B2)</f>
        <v>2816.3333333333335</v>
      </c>
      <c r="K49" s="467"/>
      <c r="L49" s="408"/>
      <c r="N49" s="413">
        <v>0</v>
      </c>
    </row>
    <row r="50" spans="1:14">
      <c r="A50" s="655" t="s">
        <v>189</v>
      </c>
      <c r="B50" s="678"/>
      <c r="C50" s="678"/>
      <c r="D50" s="599" t="s">
        <v>143</v>
      </c>
      <c r="E50" s="586">
        <f>'8'!F50</f>
        <v>342940</v>
      </c>
      <c r="F50" s="586">
        <v>343935</v>
      </c>
      <c r="G50" s="549">
        <f t="shared" si="4"/>
        <v>995</v>
      </c>
      <c r="H50" s="536">
        <f>G50+'8'!H50</f>
        <v>9034.570000000007</v>
      </c>
      <c r="I50" s="531"/>
      <c r="J50" s="629">
        <f>H50/DAY(B2)</f>
        <v>1003.8411111111119</v>
      </c>
      <c r="K50" s="467"/>
      <c r="L50" s="408"/>
      <c r="N50" s="413">
        <v>609.48999999999069</v>
      </c>
    </row>
    <row r="51" spans="1:14">
      <c r="A51" s="655" t="s">
        <v>177</v>
      </c>
      <c r="B51" s="678"/>
      <c r="C51" s="678"/>
      <c r="D51" s="599" t="s">
        <v>143</v>
      </c>
      <c r="E51" s="586">
        <f>'8'!F51</f>
        <v>75976</v>
      </c>
      <c r="F51" s="586">
        <v>77456</v>
      </c>
      <c r="G51" s="549">
        <f t="shared" si="4"/>
        <v>1480</v>
      </c>
      <c r="H51" s="536">
        <f>G51+'8'!H51</f>
        <v>12748.89</v>
      </c>
      <c r="I51" s="531"/>
      <c r="J51" s="629">
        <f>H51/DAY(B2)</f>
        <v>1416.5433333333333</v>
      </c>
      <c r="K51" s="467"/>
      <c r="L51" s="408"/>
      <c r="N51" s="413">
        <v>0</v>
      </c>
    </row>
    <row r="52" spans="1:14">
      <c r="A52" s="655" t="s">
        <v>190</v>
      </c>
      <c r="B52" s="678"/>
      <c r="C52" s="678"/>
      <c r="D52" s="599" t="s">
        <v>143</v>
      </c>
      <c r="E52" s="586">
        <f>'8'!F52</f>
        <v>449155</v>
      </c>
      <c r="F52" s="586">
        <v>451202</v>
      </c>
      <c r="G52" s="549">
        <f t="shared" si="4"/>
        <v>2047</v>
      </c>
      <c r="H52" s="536">
        <f>G52+'8'!H52</f>
        <v>18022.369999999995</v>
      </c>
      <c r="I52" s="531"/>
      <c r="J52" s="629">
        <f>H52/DAY(B2)</f>
        <v>2002.485555555555</v>
      </c>
      <c r="K52" s="467"/>
      <c r="L52" s="408"/>
      <c r="N52" s="413">
        <v>1071.8899999999849</v>
      </c>
    </row>
    <row r="53" spans="1:14">
      <c r="A53" s="655" t="s">
        <v>179</v>
      </c>
      <c r="B53" s="678"/>
      <c r="C53" s="678"/>
      <c r="D53" s="599" t="s">
        <v>143</v>
      </c>
      <c r="E53" s="586">
        <f>'8'!F53</f>
        <v>208542</v>
      </c>
      <c r="F53" s="586">
        <v>212556</v>
      </c>
      <c r="G53" s="549">
        <f t="shared" si="4"/>
        <v>4014</v>
      </c>
      <c r="H53" s="536">
        <f>G53+'8'!H53</f>
        <v>35954.03</v>
      </c>
      <c r="I53" s="531"/>
      <c r="J53" s="629">
        <f>H53/DAY(B2)</f>
        <v>3994.8922222222222</v>
      </c>
      <c r="K53" s="467"/>
      <c r="L53" s="408"/>
      <c r="N53" s="413">
        <v>85.455900000000838</v>
      </c>
    </row>
    <row r="54" spans="1:14">
      <c r="A54" s="655" t="s">
        <v>191</v>
      </c>
      <c r="B54" s="678"/>
      <c r="C54" s="678"/>
      <c r="D54" s="599" t="s">
        <v>143</v>
      </c>
      <c r="E54" s="586">
        <f>'8'!F54</f>
        <v>5070</v>
      </c>
      <c r="F54" s="586">
        <v>5125</v>
      </c>
      <c r="G54" s="549">
        <f t="shared" si="4"/>
        <v>55</v>
      </c>
      <c r="H54" s="536">
        <f>G54+'8'!H54</f>
        <v>535.46</v>
      </c>
      <c r="I54" s="531"/>
      <c r="J54" s="629">
        <f>H54/DAY(B2)</f>
        <v>59.495555555555562</v>
      </c>
      <c r="K54" s="467"/>
      <c r="L54" s="408"/>
      <c r="N54" s="413">
        <v>0</v>
      </c>
    </row>
    <row r="55" spans="1:14">
      <c r="A55" s="655" t="s">
        <v>192</v>
      </c>
      <c r="B55" s="678"/>
      <c r="C55" s="678"/>
      <c r="D55" s="599" t="s">
        <v>143</v>
      </c>
      <c r="E55" s="586">
        <f>'8'!F55</f>
        <v>158492.73000000001</v>
      </c>
      <c r="F55" s="734">
        <v>158492.73000000001</v>
      </c>
      <c r="G55" s="733">
        <f t="shared" si="4"/>
        <v>0</v>
      </c>
      <c r="H55" s="805">
        <f>G55+'8'!H55</f>
        <v>-0.26999999998952262</v>
      </c>
      <c r="I55" s="806"/>
      <c r="J55" s="807">
        <f>H55/DAY(B2)</f>
        <v>-2.9999999998835847E-2</v>
      </c>
      <c r="K55" s="467"/>
      <c r="L55" s="408"/>
      <c r="N55" s="413">
        <v>0</v>
      </c>
    </row>
    <row r="56" spans="1:14">
      <c r="A56" s="655" t="s">
        <v>193</v>
      </c>
      <c r="B56" s="678"/>
      <c r="C56" s="678"/>
      <c r="D56" s="599" t="s">
        <v>194</v>
      </c>
      <c r="E56" s="586">
        <f>'8'!F56</f>
        <v>545750</v>
      </c>
      <c r="F56" s="734">
        <v>549866</v>
      </c>
      <c r="G56" s="549">
        <f t="shared" si="4"/>
        <v>4116</v>
      </c>
      <c r="H56" s="536">
        <f>G56+'8'!H56</f>
        <v>36654.25</v>
      </c>
      <c r="I56" s="531"/>
      <c r="J56" s="629">
        <f>H56/DAY(B2)</f>
        <v>4072.6944444444443</v>
      </c>
      <c r="K56" s="466"/>
      <c r="L56" s="408"/>
      <c r="N56" s="413">
        <v>0</v>
      </c>
    </row>
    <row r="57" spans="1:14">
      <c r="A57" s="655" t="s">
        <v>183</v>
      </c>
      <c r="B57" s="678"/>
      <c r="C57" s="678"/>
      <c r="D57" s="599" t="s">
        <v>143</v>
      </c>
      <c r="E57" s="586">
        <f>'8'!F57</f>
        <v>0</v>
      </c>
      <c r="F57" s="586">
        <v>0</v>
      </c>
      <c r="G57" s="549">
        <f t="shared" si="4"/>
        <v>0</v>
      </c>
      <c r="H57" s="536">
        <f>G57+'8'!H57</f>
        <v>0</v>
      </c>
      <c r="I57" s="531"/>
      <c r="J57" s="629">
        <f>H57/DAY(B2)</f>
        <v>0</v>
      </c>
      <c r="K57" s="467"/>
      <c r="L57" s="408"/>
      <c r="N57" s="413">
        <v>0</v>
      </c>
    </row>
    <row r="58" spans="1:14">
      <c r="A58" s="655" t="s">
        <v>195</v>
      </c>
      <c r="B58" s="678"/>
      <c r="C58" s="678"/>
      <c r="D58" s="599" t="s">
        <v>143</v>
      </c>
      <c r="E58" s="586">
        <f>'8'!F58</f>
        <v>26204</v>
      </c>
      <c r="F58" s="734">
        <v>26340</v>
      </c>
      <c r="G58" s="549">
        <f t="shared" si="4"/>
        <v>136</v>
      </c>
      <c r="H58" s="536">
        <f>G58+'8'!H58</f>
        <v>1299.5900000000001</v>
      </c>
      <c r="I58" s="531"/>
      <c r="J58" s="629">
        <f>H58/DAY(B2)</f>
        <v>144.39888888888891</v>
      </c>
      <c r="K58" s="467"/>
      <c r="L58" s="408"/>
      <c r="N58" s="413">
        <v>-0.29700000000048021</v>
      </c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15602</v>
      </c>
      <c r="H59" s="536">
        <f>G59+'8'!H59</f>
        <v>139595.89000000001</v>
      </c>
      <c r="I59" s="531">
        <f>G7-G60</f>
        <v>544</v>
      </c>
      <c r="J59" s="629">
        <f>H59/DAY(B2)</f>
        <v>15510.654444444446</v>
      </c>
      <c r="K59" s="467"/>
      <c r="L59" s="408"/>
      <c r="N59" s="413">
        <v>1766.5388999999759</v>
      </c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18289</v>
      </c>
      <c r="H60" s="536">
        <f>G60+'8'!H60</f>
        <v>164354.27999999997</v>
      </c>
      <c r="I60" s="531">
        <f>G13-G60</f>
        <v>-215</v>
      </c>
      <c r="J60" s="629">
        <f>H60/DAY(B2)</f>
        <v>18261.586666666662</v>
      </c>
      <c r="K60" s="467"/>
      <c r="L60" s="408"/>
      <c r="N60" s="413">
        <v>11185.168899999966</v>
      </c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'8'!F62</f>
        <v>20419</v>
      </c>
      <c r="F62" s="590">
        <v>20419</v>
      </c>
      <c r="G62" s="549">
        <f t="shared" ref="G62:G69" si="5">F62-E62</f>
        <v>0</v>
      </c>
      <c r="H62" s="536">
        <f>G62+'8'!H62</f>
        <v>-0.18000000000029104</v>
      </c>
      <c r="I62" s="591"/>
      <c r="J62" s="629">
        <f>H62/DAY(B2)</f>
        <v>-2.0000000000032339E-2</v>
      </c>
      <c r="K62" s="467"/>
      <c r="L62" s="408"/>
      <c r="N62" s="413">
        <v>0</v>
      </c>
    </row>
    <row r="63" spans="1:14">
      <c r="A63" s="680" t="s">
        <v>199</v>
      </c>
      <c r="B63" s="681"/>
      <c r="C63" s="681"/>
      <c r="D63" s="587" t="s">
        <v>198</v>
      </c>
      <c r="E63" s="590">
        <f>'8'!F63</f>
        <v>1142</v>
      </c>
      <c r="F63" s="590">
        <v>1146</v>
      </c>
      <c r="G63" s="549">
        <f t="shared" si="5"/>
        <v>4</v>
      </c>
      <c r="H63" s="536">
        <f>G63+'8'!H63</f>
        <v>38.089999999999918</v>
      </c>
      <c r="I63" s="591"/>
      <c r="J63" s="629">
        <f>H63/DAY(B2)</f>
        <v>4.2322222222222132</v>
      </c>
      <c r="K63" s="467"/>
      <c r="L63" s="408"/>
      <c r="N63" s="413">
        <v>0</v>
      </c>
    </row>
    <row r="64" spans="1:14" ht="27.75">
      <c r="A64" s="1367" t="s">
        <v>107</v>
      </c>
      <c r="B64" s="1368"/>
      <c r="C64" s="1369"/>
      <c r="D64" s="599" t="s">
        <v>198</v>
      </c>
      <c r="E64" s="590">
        <f>'8'!F64</f>
        <v>101573</v>
      </c>
      <c r="F64" s="554">
        <v>101962</v>
      </c>
      <c r="G64" s="549">
        <f t="shared" si="5"/>
        <v>389</v>
      </c>
      <c r="H64" s="536">
        <f>G64+'8'!H64</f>
        <v>3538.6000000000058</v>
      </c>
      <c r="I64" s="556"/>
      <c r="J64" s="629">
        <f>H64/DAY(B2)</f>
        <v>393.17777777777843</v>
      </c>
      <c r="K64" s="467"/>
      <c r="L64" s="408"/>
      <c r="N64" s="413">
        <v>161.90400000000227</v>
      </c>
    </row>
    <row r="65" spans="1:14" ht="27.75">
      <c r="A65" s="1367" t="s">
        <v>108</v>
      </c>
      <c r="B65" s="1368"/>
      <c r="C65" s="1369"/>
      <c r="D65" s="599" t="s">
        <v>198</v>
      </c>
      <c r="E65" s="590">
        <f>'8'!F65</f>
        <v>112139</v>
      </c>
      <c r="F65" s="732">
        <v>112560</v>
      </c>
      <c r="G65" s="549">
        <f t="shared" si="5"/>
        <v>421</v>
      </c>
      <c r="H65" s="536">
        <f>G65+'8'!H65</f>
        <v>3515.8800000000047</v>
      </c>
      <c r="I65" s="565"/>
      <c r="J65" s="629">
        <f>H65/DAY(B2)</f>
        <v>390.65333333333388</v>
      </c>
      <c r="K65" s="467"/>
      <c r="L65" s="408"/>
      <c r="N65" s="413">
        <v>215.74700000000303</v>
      </c>
    </row>
    <row r="66" spans="1:14" ht="27.75">
      <c r="A66" s="1367" t="s">
        <v>109</v>
      </c>
      <c r="B66" s="1368"/>
      <c r="C66" s="1369"/>
      <c r="D66" s="599" t="s">
        <v>198</v>
      </c>
      <c r="E66" s="590">
        <f>'8'!F66</f>
        <v>5435</v>
      </c>
      <c r="F66" s="554">
        <v>5806</v>
      </c>
      <c r="G66" s="549">
        <f t="shared" si="5"/>
        <v>371</v>
      </c>
      <c r="H66" s="536">
        <f>G66+'8'!H66</f>
        <v>3383.91</v>
      </c>
      <c r="I66" s="556"/>
      <c r="J66" s="629">
        <f>H66/DAY(B2)</f>
        <v>375.99</v>
      </c>
      <c r="K66" s="467"/>
      <c r="L66" s="408"/>
      <c r="N66" s="413">
        <v>243.63500000000204</v>
      </c>
    </row>
    <row r="67" spans="1:14" ht="27.75">
      <c r="A67" s="1367" t="s">
        <v>110</v>
      </c>
      <c r="B67" s="1368"/>
      <c r="C67" s="1369"/>
      <c r="D67" s="599" t="s">
        <v>198</v>
      </c>
      <c r="E67" s="590">
        <f>'8'!F67</f>
        <v>173331</v>
      </c>
      <c r="F67" s="554">
        <v>174007</v>
      </c>
      <c r="G67" s="549">
        <f t="shared" si="5"/>
        <v>676</v>
      </c>
      <c r="H67" s="536">
        <f>G67+'8'!H67</f>
        <v>5765.6499999999942</v>
      </c>
      <c r="I67" s="565"/>
      <c r="J67" s="629">
        <f>H67/DAY(B2)</f>
        <v>640.62777777777717</v>
      </c>
      <c r="K67" s="468"/>
      <c r="L67" s="408"/>
      <c r="N67" s="413">
        <v>74.99199999999837</v>
      </c>
    </row>
    <row r="68" spans="1:14" ht="27.75">
      <c r="A68" s="1367" t="s">
        <v>111</v>
      </c>
      <c r="B68" s="1368"/>
      <c r="C68" s="1369"/>
      <c r="D68" s="599" t="s">
        <v>198</v>
      </c>
      <c r="E68" s="590">
        <f>'8'!F68</f>
        <v>55919</v>
      </c>
      <c r="F68" s="554">
        <v>56205</v>
      </c>
      <c r="G68" s="549">
        <f t="shared" si="5"/>
        <v>286</v>
      </c>
      <c r="H68" s="536">
        <f>G68+'8'!H68</f>
        <v>2581.0999999999985</v>
      </c>
      <c r="I68" s="592"/>
      <c r="J68" s="629">
        <f>H68/DAY(B2)</f>
        <v>286.78888888888872</v>
      </c>
      <c r="K68" s="469"/>
      <c r="L68" s="408"/>
      <c r="N68" s="413">
        <v>92.599999999999909</v>
      </c>
    </row>
    <row r="69" spans="1:14" ht="27.75">
      <c r="A69" s="1367" t="s">
        <v>112</v>
      </c>
      <c r="B69" s="1368"/>
      <c r="C69" s="1369"/>
      <c r="D69" s="599" t="s">
        <v>198</v>
      </c>
      <c r="E69" s="590">
        <f>'8'!F69</f>
        <v>48885</v>
      </c>
      <c r="F69" s="554">
        <v>49182</v>
      </c>
      <c r="G69" s="549">
        <f t="shared" si="5"/>
        <v>297</v>
      </c>
      <c r="H69" s="536">
        <f>G69+'8'!H69</f>
        <v>2662.5699999999997</v>
      </c>
      <c r="I69" s="592"/>
      <c r="J69" s="629">
        <f>H69/DAY(B2)</f>
        <v>295.8411111111111</v>
      </c>
      <c r="K69" s="470"/>
      <c r="L69" s="408"/>
      <c r="N69" s="413">
        <v>12.727999999999156</v>
      </c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413"/>
    </row>
    <row r="72" spans="1:14" ht="27.75">
      <c r="A72" s="1367" t="s">
        <v>202</v>
      </c>
      <c r="B72" s="1368"/>
      <c r="C72" s="1369"/>
      <c r="D72" s="599" t="s">
        <v>198</v>
      </c>
      <c r="E72" s="595">
        <f>'8'!F72</f>
        <v>846976</v>
      </c>
      <c r="F72" s="735">
        <v>847018</v>
      </c>
      <c r="G72" s="549">
        <f t="shared" ref="G72:G84" si="6">F72-E72</f>
        <v>42</v>
      </c>
      <c r="H72" s="536">
        <f>G72+'8'!H72</f>
        <v>618</v>
      </c>
      <c r="I72" s="556"/>
      <c r="J72" s="629">
        <f>H72/DAY(B2)</f>
        <v>68.666666666666671</v>
      </c>
      <c r="K72" s="470"/>
      <c r="L72" s="408"/>
      <c r="N72" s="413">
        <v>11</v>
      </c>
    </row>
    <row r="73" spans="1:14" ht="27.75">
      <c r="A73" s="1367" t="s">
        <v>203</v>
      </c>
      <c r="B73" s="1368"/>
      <c r="C73" s="1369"/>
      <c r="D73" s="599" t="s">
        <v>198</v>
      </c>
      <c r="E73" s="595">
        <f>'8'!F73</f>
        <v>885679</v>
      </c>
      <c r="F73" s="736">
        <v>885680</v>
      </c>
      <c r="G73" s="733">
        <f t="shared" si="6"/>
        <v>1</v>
      </c>
      <c r="H73" s="536">
        <f>G73+'8'!H73</f>
        <v>7</v>
      </c>
      <c r="I73" s="556"/>
      <c r="J73" s="629">
        <f>H73/DAY(B2)</f>
        <v>0.77777777777777779</v>
      </c>
      <c r="K73" s="469"/>
      <c r="L73" s="408"/>
      <c r="N73" s="413">
        <v>2</v>
      </c>
    </row>
    <row r="74" spans="1:14" ht="27.75">
      <c r="A74" s="1367" t="s">
        <v>204</v>
      </c>
      <c r="B74" s="1368"/>
      <c r="C74" s="1369"/>
      <c r="D74" s="599" t="s">
        <v>198</v>
      </c>
      <c r="E74" s="595">
        <f>'8'!F74</f>
        <v>881593</v>
      </c>
      <c r="F74" s="735">
        <v>881625</v>
      </c>
      <c r="G74" s="549">
        <f t="shared" si="6"/>
        <v>32</v>
      </c>
      <c r="H74" s="536">
        <f>G74+'8'!H74</f>
        <v>310</v>
      </c>
      <c r="I74" s="556"/>
      <c r="J74" s="629">
        <f>H74/DAY(B2)</f>
        <v>34.444444444444443</v>
      </c>
      <c r="K74" s="470"/>
      <c r="L74" s="408"/>
      <c r="N74" s="413">
        <v>11</v>
      </c>
    </row>
    <row r="75" spans="1:14" ht="27.75">
      <c r="A75" s="1364" t="s">
        <v>205</v>
      </c>
      <c r="B75" s="1365"/>
      <c r="C75" s="1366"/>
      <c r="D75" s="599" t="s">
        <v>198</v>
      </c>
      <c r="E75" s="595">
        <f>'8'!F75</f>
        <v>733055</v>
      </c>
      <c r="F75" s="736">
        <v>733239</v>
      </c>
      <c r="G75" s="549">
        <f t="shared" si="6"/>
        <v>184</v>
      </c>
      <c r="H75" s="536">
        <f>G75+'8'!H75</f>
        <v>1598</v>
      </c>
      <c r="I75" s="556"/>
      <c r="J75" s="629">
        <f>H75/DAY(B2)</f>
        <v>177.55555555555554</v>
      </c>
      <c r="K75" s="469"/>
      <c r="L75" s="408"/>
      <c r="N75" s="413">
        <v>62</v>
      </c>
    </row>
    <row r="76" spans="1:14" ht="27.75">
      <c r="A76" s="1364" t="s">
        <v>206</v>
      </c>
      <c r="B76" s="1365"/>
      <c r="C76" s="1366"/>
      <c r="D76" s="599" t="s">
        <v>198</v>
      </c>
      <c r="E76" s="595">
        <f>'8'!F76</f>
        <v>684923</v>
      </c>
      <c r="F76" s="736">
        <v>685035</v>
      </c>
      <c r="G76" s="549">
        <f t="shared" si="6"/>
        <v>112</v>
      </c>
      <c r="H76" s="536">
        <f>G76+'8'!H76</f>
        <v>769</v>
      </c>
      <c r="I76" s="581"/>
      <c r="J76" s="629">
        <f>H76/DAY(B2)</f>
        <v>85.444444444444443</v>
      </c>
      <c r="K76" s="469"/>
      <c r="L76" s="408"/>
      <c r="N76" s="413">
        <v>4</v>
      </c>
    </row>
    <row r="77" spans="1:14" ht="27.75">
      <c r="A77" s="1367" t="s">
        <v>207</v>
      </c>
      <c r="B77" s="1368"/>
      <c r="C77" s="1369"/>
      <c r="D77" s="599" t="s">
        <v>198</v>
      </c>
      <c r="E77" s="595">
        <f>'8'!F77</f>
        <v>695840</v>
      </c>
      <c r="F77" s="736">
        <v>695898</v>
      </c>
      <c r="G77" s="733">
        <f t="shared" si="6"/>
        <v>58</v>
      </c>
      <c r="H77" s="536">
        <f>G77+'8'!H77</f>
        <v>504</v>
      </c>
      <c r="I77" s="581"/>
      <c r="J77" s="629">
        <f>H77/DAY(B2)</f>
        <v>56</v>
      </c>
      <c r="K77" s="469"/>
      <c r="L77" s="408"/>
      <c r="N77" s="413">
        <v>19</v>
      </c>
    </row>
    <row r="78" spans="1:14" ht="27.75">
      <c r="A78" s="1255" t="s">
        <v>208</v>
      </c>
      <c r="B78" s="1226"/>
      <c r="C78" s="1226"/>
      <c r="D78" s="599" t="s">
        <v>198</v>
      </c>
      <c r="E78" s="595">
        <f>'8'!F78</f>
        <v>633469</v>
      </c>
      <c r="F78" s="737">
        <v>633833</v>
      </c>
      <c r="G78" s="549">
        <f t="shared" si="6"/>
        <v>364</v>
      </c>
      <c r="H78" s="536">
        <f>G78+'8'!H78</f>
        <v>3060</v>
      </c>
      <c r="I78" s="581"/>
      <c r="J78" s="629">
        <f>H78/DAY(B2)</f>
        <v>340</v>
      </c>
      <c r="K78" s="469"/>
      <c r="L78" s="408"/>
      <c r="N78" s="413">
        <v>31</v>
      </c>
    </row>
    <row r="79" spans="1:14" ht="27.75">
      <c r="A79" s="1364" t="s">
        <v>97</v>
      </c>
      <c r="B79" s="1365"/>
      <c r="C79" s="1366"/>
      <c r="D79" s="600" t="s">
        <v>198</v>
      </c>
      <c r="E79" s="595">
        <f>'8'!F79</f>
        <v>805334</v>
      </c>
      <c r="F79" s="737">
        <v>805528</v>
      </c>
      <c r="G79" s="549">
        <f t="shared" si="6"/>
        <v>194</v>
      </c>
      <c r="H79" s="536">
        <f>G79+'8'!H79</f>
        <v>1685</v>
      </c>
      <c r="I79" s="581"/>
      <c r="J79" s="629">
        <f>H79/DAY(B2)</f>
        <v>187.22222222222223</v>
      </c>
      <c r="K79" s="469"/>
      <c r="L79" s="408"/>
      <c r="N79" s="413">
        <v>100</v>
      </c>
    </row>
    <row r="80" spans="1:14" ht="27.75">
      <c r="A80" s="1364" t="s">
        <v>209</v>
      </c>
      <c r="B80" s="1365"/>
      <c r="C80" s="1366"/>
      <c r="D80" s="600" t="s">
        <v>198</v>
      </c>
      <c r="E80" s="595">
        <f>'8'!F80</f>
        <v>477959</v>
      </c>
      <c r="F80" s="736">
        <v>478277</v>
      </c>
      <c r="G80" s="549">
        <f t="shared" si="6"/>
        <v>318</v>
      </c>
      <c r="H80" s="536">
        <f>G80+'8'!H80</f>
        <v>2746</v>
      </c>
      <c r="I80" s="581"/>
      <c r="J80" s="629">
        <f>H80/DAY(B2)</f>
        <v>305.11111111111109</v>
      </c>
      <c r="K80" s="469"/>
      <c r="L80" s="408"/>
      <c r="N80" s="413">
        <v>158.95999999996275</v>
      </c>
    </row>
    <row r="81" spans="1:15" ht="27.75">
      <c r="A81" s="1364" t="s">
        <v>210</v>
      </c>
      <c r="B81" s="1365"/>
      <c r="C81" s="1366"/>
      <c r="D81" s="600" t="s">
        <v>198</v>
      </c>
      <c r="E81" s="595">
        <f>'8'!F81</f>
        <v>620240</v>
      </c>
      <c r="F81" s="736">
        <v>620358</v>
      </c>
      <c r="G81" s="549">
        <f t="shared" si="6"/>
        <v>118</v>
      </c>
      <c r="H81" s="536">
        <f>G81+'8'!H81</f>
        <v>1104</v>
      </c>
      <c r="I81" s="581"/>
      <c r="J81" s="629">
        <f>H81/DAY(B2)</f>
        <v>122.66666666666667</v>
      </c>
      <c r="K81" s="469"/>
      <c r="L81" s="408"/>
      <c r="N81" s="413">
        <v>79.199999999953434</v>
      </c>
    </row>
    <row r="82" spans="1:15" ht="27.75">
      <c r="A82" s="1364" t="s">
        <v>100</v>
      </c>
      <c r="B82" s="1365"/>
      <c r="C82" s="1366"/>
      <c r="D82" s="561" t="s">
        <v>143</v>
      </c>
      <c r="E82" s="595">
        <f>'8'!F82</f>
        <v>104605</v>
      </c>
      <c r="F82" s="732">
        <v>104631</v>
      </c>
      <c r="G82" s="549">
        <f t="shared" si="6"/>
        <v>26</v>
      </c>
      <c r="H82" s="536">
        <f>G82+'8'!H82</f>
        <v>193</v>
      </c>
      <c r="I82" s="562"/>
      <c r="J82" s="629">
        <f>H82/DAY(B2)</f>
        <v>21.444444444444443</v>
      </c>
      <c r="K82" s="469"/>
      <c r="L82" s="408"/>
      <c r="N82" s="413">
        <v>30.149999999994179</v>
      </c>
    </row>
    <row r="83" spans="1:15" ht="27.75">
      <c r="A83" s="1364" t="s">
        <v>211</v>
      </c>
      <c r="B83" s="1365"/>
      <c r="C83" s="1366"/>
      <c r="D83" s="697" t="s">
        <v>143</v>
      </c>
      <c r="E83" s="595">
        <f>'8'!F83</f>
        <v>976168</v>
      </c>
      <c r="F83" s="587">
        <v>976497</v>
      </c>
      <c r="G83" s="549">
        <f t="shared" si="6"/>
        <v>329</v>
      </c>
      <c r="H83" s="536">
        <f>G83+'8'!H83</f>
        <v>3026</v>
      </c>
      <c r="I83" s="557"/>
      <c r="J83" s="629">
        <f>H83/DAY(B2)</f>
        <v>336.22222222222223</v>
      </c>
      <c r="K83" s="468"/>
      <c r="L83" s="408"/>
      <c r="N83" s="413">
        <v>316</v>
      </c>
    </row>
    <row r="84" spans="1:15">
      <c r="A84" s="1256" t="s">
        <v>212</v>
      </c>
      <c r="B84" s="648"/>
      <c r="C84" s="648"/>
      <c r="D84" s="554" t="s">
        <v>143</v>
      </c>
      <c r="E84" s="595">
        <f>'8'!F84</f>
        <v>401224</v>
      </c>
      <c r="F84" s="704">
        <v>401791</v>
      </c>
      <c r="G84" s="549">
        <f t="shared" si="6"/>
        <v>567</v>
      </c>
      <c r="H84" s="536">
        <f>G84+'8'!H84</f>
        <v>4595</v>
      </c>
      <c r="I84" s="557"/>
      <c r="J84" s="629">
        <f>H84/DAY(B2)</f>
        <v>510.55555555555554</v>
      </c>
      <c r="K84" s="411"/>
      <c r="L84" s="408"/>
      <c r="N84" s="413">
        <v>408</v>
      </c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2345</v>
      </c>
      <c r="H85" s="536">
        <f>G85+'8'!H85</f>
        <v>18369</v>
      </c>
      <c r="I85" s="557"/>
      <c r="J85" s="629">
        <f>H85/DAY(B2)</f>
        <v>2041</v>
      </c>
      <c r="K85" s="411"/>
      <c r="L85" s="409"/>
      <c r="N85" s="413">
        <v>1232.3099999999104</v>
      </c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'8'!F86</f>
        <v>444872</v>
      </c>
      <c r="F86" s="717">
        <v>444959</v>
      </c>
      <c r="G86" s="805">
        <f t="shared" ref="G86:G90" si="7">F86-E86</f>
        <v>87</v>
      </c>
      <c r="H86" s="536">
        <f>G86+'8'!H86</f>
        <v>177</v>
      </c>
      <c r="I86" s="733"/>
      <c r="J86" s="807">
        <f>H86/DAY(B2)</f>
        <v>19.666666666666668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'8'!F87</f>
        <v>77921</v>
      </c>
      <c r="F87" s="728">
        <v>77933</v>
      </c>
      <c r="G87" s="805">
        <f t="shared" si="7"/>
        <v>12</v>
      </c>
      <c r="H87" s="536">
        <f>G87+'8'!H87</f>
        <v>44</v>
      </c>
      <c r="I87" s="733"/>
      <c r="J87" s="807">
        <f>H87/DAY(B2)</f>
        <v>4.8888888888888893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'8'!F88</f>
        <v>144931</v>
      </c>
      <c r="F88" s="717">
        <v>144995</v>
      </c>
      <c r="G88" s="805">
        <f t="shared" si="7"/>
        <v>64</v>
      </c>
      <c r="H88" s="536">
        <f>G88+'8'!H88</f>
        <v>113</v>
      </c>
      <c r="I88" s="733"/>
      <c r="J88" s="807">
        <f>H88/DAY(B2)</f>
        <v>12.555555555555555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'8'!F89</f>
        <v>58203</v>
      </c>
      <c r="F89" s="728">
        <v>58271</v>
      </c>
      <c r="G89" s="805">
        <f t="shared" si="7"/>
        <v>68</v>
      </c>
      <c r="H89" s="536">
        <f>G89+'8'!H89</f>
        <v>155.09999999999854</v>
      </c>
      <c r="I89" s="733"/>
      <c r="J89" s="807">
        <f>H89/DAY(B2)</f>
        <v>17.233333333333171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'8'!F90</f>
        <v>3003</v>
      </c>
      <c r="F90" s="728">
        <v>3004</v>
      </c>
      <c r="G90" s="805">
        <f t="shared" si="7"/>
        <v>1</v>
      </c>
      <c r="H90" s="536">
        <f>G90+'8'!H90</f>
        <v>6</v>
      </c>
      <c r="I90" s="733"/>
      <c r="J90" s="807">
        <f>H90/DAY(B2)</f>
        <v>0.66666666666666663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88" t="s">
        <v>217</v>
      </c>
      <c r="B92" s="1389"/>
      <c r="C92" s="1390"/>
      <c r="D92" s="599" t="s">
        <v>155</v>
      </c>
      <c r="E92" s="560">
        <f>'8'!F92</f>
        <v>234451</v>
      </c>
      <c r="F92" s="554">
        <v>234526</v>
      </c>
      <c r="G92" s="549">
        <f t="shared" ref="G92:G93" si="8">F92-E92</f>
        <v>75</v>
      </c>
      <c r="H92" s="536">
        <f>G92+'8'!H92</f>
        <v>624</v>
      </c>
      <c r="I92" s="556"/>
      <c r="J92" s="629">
        <f>H92/DAY(B2)</f>
        <v>69.333333333333329</v>
      </c>
      <c r="K92" s="468"/>
      <c r="L92" s="408"/>
      <c r="N92" s="413">
        <v>0</v>
      </c>
    </row>
    <row r="93" spans="1:15" ht="27.75">
      <c r="A93" s="1388" t="s">
        <v>218</v>
      </c>
      <c r="B93" s="1389"/>
      <c r="C93" s="1390"/>
      <c r="D93" s="599" t="s">
        <v>155</v>
      </c>
      <c r="E93" s="560">
        <f>'8'!F93</f>
        <v>167931</v>
      </c>
      <c r="F93" s="554">
        <v>168036</v>
      </c>
      <c r="G93" s="549">
        <f t="shared" si="8"/>
        <v>105</v>
      </c>
      <c r="H93" s="536">
        <f>G93+'8'!H93</f>
        <v>1120</v>
      </c>
      <c r="I93" s="556"/>
      <c r="J93" s="629">
        <f>H93/DAY(B2)</f>
        <v>124.44444444444444</v>
      </c>
      <c r="K93" s="411"/>
      <c r="L93" s="408"/>
      <c r="N93" s="413">
        <v>71</v>
      </c>
    </row>
    <row r="94" spans="1:15">
      <c r="A94" s="1419" t="s">
        <v>219</v>
      </c>
      <c r="B94" s="1420"/>
      <c r="C94" s="1421"/>
      <c r="D94" s="599"/>
      <c r="E94" s="560">
        <f>'8'!F94</f>
        <v>0</v>
      </c>
      <c r="F94" s="554"/>
      <c r="G94" s="549">
        <f>G92+G93</f>
        <v>180</v>
      </c>
      <c r="H94" s="536">
        <f>G94+'8'!H94</f>
        <v>1470</v>
      </c>
      <c r="I94" s="556"/>
      <c r="J94" s="629">
        <f>H94/DAY(B2)</f>
        <v>163.33333333333334</v>
      </c>
      <c r="K94" s="411"/>
      <c r="L94" s="408"/>
      <c r="N94" s="413">
        <v>71</v>
      </c>
    </row>
    <row r="95" spans="1:15" ht="27.75">
      <c r="A95" s="1388" t="s">
        <v>220</v>
      </c>
      <c r="B95" s="1389"/>
      <c r="C95" s="1390"/>
      <c r="D95" s="599" t="s">
        <v>155</v>
      </c>
      <c r="E95" s="560">
        <f>'8'!F95</f>
        <v>404132</v>
      </c>
      <c r="F95" s="554">
        <v>404200</v>
      </c>
      <c r="G95" s="549">
        <f t="shared" ref="G95:G100" si="9">F95-E95</f>
        <v>68</v>
      </c>
      <c r="H95" s="536">
        <f>G95+'8'!H95</f>
        <v>535</v>
      </c>
      <c r="I95" s="556"/>
      <c r="J95" s="629">
        <f>H95/DAY(B2)</f>
        <v>59.444444444444443</v>
      </c>
      <c r="K95" s="411"/>
      <c r="L95" s="408"/>
      <c r="N95" s="413">
        <v>26</v>
      </c>
    </row>
    <row r="96" spans="1:15" ht="27.75">
      <c r="A96" s="1252" t="s">
        <v>221</v>
      </c>
      <c r="B96" s="1253"/>
      <c r="C96" s="1253"/>
      <c r="D96" s="599" t="s">
        <v>155</v>
      </c>
      <c r="E96" s="560">
        <f>'8'!F96</f>
        <v>100073</v>
      </c>
      <c r="F96" s="554">
        <v>100090</v>
      </c>
      <c r="G96" s="549">
        <f t="shared" si="9"/>
        <v>17</v>
      </c>
      <c r="H96" s="536">
        <f>G96+'8'!H96</f>
        <v>169</v>
      </c>
      <c r="I96" s="556"/>
      <c r="J96" s="629">
        <f>H96/DAY(B2)</f>
        <v>18.777777777777779</v>
      </c>
      <c r="K96" s="466"/>
      <c r="L96" s="408"/>
      <c r="N96" s="413">
        <v>11</v>
      </c>
    </row>
    <row r="97" spans="1:14" ht="27.75">
      <c r="A97" s="1252" t="s">
        <v>222</v>
      </c>
      <c r="B97" s="1253"/>
      <c r="C97" s="1253"/>
      <c r="D97" s="599" t="s">
        <v>155</v>
      </c>
      <c r="E97" s="560">
        <f>'8'!F97</f>
        <v>95177</v>
      </c>
      <c r="F97" s="554">
        <v>95199</v>
      </c>
      <c r="G97" s="549">
        <f t="shared" si="9"/>
        <v>22</v>
      </c>
      <c r="H97" s="536">
        <f>G97+'8'!H97</f>
        <v>172</v>
      </c>
      <c r="I97" s="556"/>
      <c r="J97" s="629">
        <f>H97/DAY(B2)</f>
        <v>19.111111111111111</v>
      </c>
      <c r="K97" s="471"/>
      <c r="L97" s="408"/>
      <c r="N97" s="413">
        <v>9</v>
      </c>
    </row>
    <row r="98" spans="1:14" ht="27.75">
      <c r="A98" s="1252" t="s">
        <v>223</v>
      </c>
      <c r="B98" s="1253"/>
      <c r="C98" s="1253"/>
      <c r="D98" s="599" t="s">
        <v>155</v>
      </c>
      <c r="E98" s="560">
        <f>'8'!F98</f>
        <v>144260</v>
      </c>
      <c r="F98" s="554">
        <v>144308</v>
      </c>
      <c r="G98" s="549">
        <f t="shared" si="9"/>
        <v>48</v>
      </c>
      <c r="H98" s="536">
        <f>G98+'8'!H98</f>
        <v>501</v>
      </c>
      <c r="I98" s="556"/>
      <c r="J98" s="629">
        <f>H98/DAY(B2)</f>
        <v>55.666666666666664</v>
      </c>
      <c r="K98" s="411"/>
      <c r="L98" s="408"/>
      <c r="N98" s="787">
        <v>24</v>
      </c>
    </row>
    <row r="99" spans="1:14" ht="27.75">
      <c r="A99" s="1252" t="s">
        <v>224</v>
      </c>
      <c r="B99" s="1253"/>
      <c r="C99" s="1253"/>
      <c r="D99" s="599" t="s">
        <v>155</v>
      </c>
      <c r="E99" s="560">
        <f>'8'!F99</f>
        <v>5592</v>
      </c>
      <c r="F99" s="554">
        <v>5604</v>
      </c>
      <c r="G99" s="549">
        <f t="shared" si="9"/>
        <v>12</v>
      </c>
      <c r="H99" s="536">
        <f>G99+'8'!H99</f>
        <v>102</v>
      </c>
      <c r="I99" s="556"/>
      <c r="J99" s="629">
        <f>H99/DAY(B2)</f>
        <v>11.333333333333334</v>
      </c>
      <c r="K99" s="411"/>
      <c r="L99" s="408"/>
      <c r="N99" s="413">
        <v>3</v>
      </c>
    </row>
    <row r="100" spans="1:14" ht="27.75">
      <c r="A100" s="1252" t="s">
        <v>225</v>
      </c>
      <c r="B100" s="1253"/>
      <c r="C100" s="1253"/>
      <c r="D100" s="599" t="s">
        <v>155</v>
      </c>
      <c r="E100" s="560">
        <f>'8'!F100</f>
        <v>4029</v>
      </c>
      <c r="F100" s="554">
        <v>4036</v>
      </c>
      <c r="G100" s="549">
        <f t="shared" si="9"/>
        <v>7</v>
      </c>
      <c r="H100" s="536">
        <f>G100+'8'!H100</f>
        <v>72</v>
      </c>
      <c r="I100" s="556"/>
      <c r="J100" s="629">
        <f>H100/DAY(B2)</f>
        <v>8</v>
      </c>
      <c r="K100" s="411"/>
      <c r="L100" s="408"/>
      <c r="N100" s="413">
        <v>0</v>
      </c>
    </row>
    <row r="101" spans="1:14">
      <c r="A101" s="1419" t="s">
        <v>227</v>
      </c>
      <c r="B101" s="1420"/>
      <c r="C101" s="1421"/>
      <c r="D101" s="600"/>
      <c r="E101" s="560"/>
      <c r="F101" s="600"/>
      <c r="G101" s="601">
        <f>SUM(G95:G100)</f>
        <v>174</v>
      </c>
      <c r="H101" s="536">
        <f>G101+'8'!H101</f>
        <v>1551</v>
      </c>
      <c r="I101" s="602"/>
      <c r="J101" s="629">
        <f>H101/DAY(B2)</f>
        <v>172.33333333333334</v>
      </c>
      <c r="K101" s="411"/>
      <c r="L101" s="408"/>
      <c r="N101" s="413">
        <v>73</v>
      </c>
    </row>
    <row r="102" spans="1:14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413"/>
    </row>
    <row r="103" spans="1:14" s="481" customFormat="1" ht="27.75">
      <c r="A103" s="1422" t="s">
        <v>229</v>
      </c>
      <c r="B103" s="1423"/>
      <c r="C103" s="650"/>
      <c r="D103" s="699"/>
      <c r="E103" s="560"/>
      <c r="F103" s="739"/>
      <c r="G103" s="608"/>
      <c r="H103" s="609"/>
      <c r="I103" s="608"/>
      <c r="J103" s="635"/>
      <c r="N103" s="413"/>
    </row>
    <row r="104" spans="1:14" s="481" customFormat="1" ht="27.75">
      <c r="A104" s="1380" t="s">
        <v>230</v>
      </c>
      <c r="B104" s="1381"/>
      <c r="C104" s="1251"/>
      <c r="D104" s="699" t="s">
        <v>155</v>
      </c>
      <c r="E104" s="560">
        <f>'8'!F104</f>
        <v>7010</v>
      </c>
      <c r="F104" s="739">
        <v>7010</v>
      </c>
      <c r="G104" s="608">
        <f>F104-E104</f>
        <v>0</v>
      </c>
      <c r="H104" s="536">
        <f>G104+'8'!H104</f>
        <v>0</v>
      </c>
      <c r="I104" s="608"/>
      <c r="J104" s="635">
        <f>H104/DAY(B2)</f>
        <v>0</v>
      </c>
      <c r="N104" s="413">
        <v>0</v>
      </c>
    </row>
    <row r="105" spans="1:14" s="481" customFormat="1" ht="27.75">
      <c r="A105" s="1380" t="s">
        <v>77</v>
      </c>
      <c r="B105" s="1381"/>
      <c r="C105" s="1251"/>
      <c r="D105" s="699" t="s">
        <v>155</v>
      </c>
      <c r="E105" s="560">
        <f>'8'!F105</f>
        <v>34971</v>
      </c>
      <c r="F105" s="740">
        <v>34976</v>
      </c>
      <c r="G105" s="608">
        <f t="shared" ref="G105:G106" si="10">F105-E105</f>
        <v>5</v>
      </c>
      <c r="H105" s="536">
        <f>G105+'8'!H105</f>
        <v>62</v>
      </c>
      <c r="I105" s="608"/>
      <c r="J105" s="635">
        <f>H105/DAY(B2)</f>
        <v>6.8888888888888893</v>
      </c>
      <c r="N105" s="413">
        <v>0</v>
      </c>
    </row>
    <row r="106" spans="1:14" s="481" customFormat="1" ht="27.75">
      <c r="A106" s="1380" t="s">
        <v>78</v>
      </c>
      <c r="B106" s="1424"/>
      <c r="C106" s="1381"/>
      <c r="D106" s="699" t="s">
        <v>155</v>
      </c>
      <c r="E106" s="560">
        <f>'8'!F106</f>
        <v>18932</v>
      </c>
      <c r="F106" s="888">
        <v>18938</v>
      </c>
      <c r="G106" s="608">
        <f t="shared" si="10"/>
        <v>6</v>
      </c>
      <c r="H106" s="536">
        <f>G106+'8'!H106</f>
        <v>54</v>
      </c>
      <c r="I106" s="608"/>
      <c r="J106" s="635">
        <f>H106/DAY(B2)</f>
        <v>6</v>
      </c>
      <c r="N106" s="413">
        <v>4</v>
      </c>
    </row>
    <row r="107" spans="1:14" s="481" customFormat="1" ht="27.75">
      <c r="A107" s="1382" t="s">
        <v>213</v>
      </c>
      <c r="B107" s="1383"/>
      <c r="C107" s="1251"/>
      <c r="D107" s="699"/>
      <c r="E107" s="560"/>
      <c r="F107" s="740"/>
      <c r="G107" s="608">
        <f>SUM(G104:G106)</f>
        <v>11</v>
      </c>
      <c r="H107" s="536">
        <f>G107+'8'!H107</f>
        <v>116</v>
      </c>
      <c r="I107" s="608"/>
      <c r="J107" s="635">
        <f>H107/DAY(B2)</f>
        <v>12.888888888888889</v>
      </c>
      <c r="N107" s="413">
        <v>4</v>
      </c>
    </row>
    <row r="108" spans="1:14" s="481" customFormat="1" ht="27.75">
      <c r="A108" s="1386" t="s">
        <v>79</v>
      </c>
      <c r="B108" s="1387"/>
      <c r="C108" s="1251"/>
      <c r="D108" s="699" t="s">
        <v>155</v>
      </c>
      <c r="E108" s="560">
        <f>'8'!F108</f>
        <v>0</v>
      </c>
      <c r="F108" s="740"/>
      <c r="G108" s="608"/>
      <c r="H108" s="536">
        <f>G108+'8'!H108</f>
        <v>0</v>
      </c>
      <c r="I108" s="608"/>
      <c r="J108" s="635"/>
      <c r="N108" s="413"/>
    </row>
    <row r="109" spans="1:14" s="481" customFormat="1" ht="27.75">
      <c r="A109" s="1380" t="s">
        <v>231</v>
      </c>
      <c r="B109" s="1381"/>
      <c r="C109" s="1251"/>
      <c r="D109" s="699" t="s">
        <v>155</v>
      </c>
      <c r="E109" s="560">
        <f>'8'!F109</f>
        <v>53436</v>
      </c>
      <c r="F109" s="740">
        <v>53493</v>
      </c>
      <c r="G109" s="608">
        <f>F109-E109</f>
        <v>57</v>
      </c>
      <c r="H109" s="536">
        <f>G109+'8'!H109</f>
        <v>547</v>
      </c>
      <c r="I109" s="608"/>
      <c r="J109" s="635">
        <f>H109/DAY(B2)</f>
        <v>60.777777777777779</v>
      </c>
      <c r="N109" s="413">
        <v>40</v>
      </c>
    </row>
    <row r="110" spans="1:14" s="481" customFormat="1" ht="27.75">
      <c r="A110" s="1380" t="s">
        <v>232</v>
      </c>
      <c r="B110" s="1381"/>
      <c r="C110" s="1251"/>
      <c r="D110" s="699" t="s">
        <v>155</v>
      </c>
      <c r="E110" s="560">
        <f>'8'!F110</f>
        <v>27303</v>
      </c>
      <c r="F110" s="740">
        <v>27332</v>
      </c>
      <c r="G110" s="608">
        <f t="shared" ref="G110:G111" si="11">F110-E110</f>
        <v>29</v>
      </c>
      <c r="H110" s="536">
        <f>G110+'8'!H110</f>
        <v>472</v>
      </c>
      <c r="I110" s="608"/>
      <c r="J110" s="635">
        <f>H110/DAY(B2)</f>
        <v>52.444444444444443</v>
      </c>
      <c r="N110" s="413">
        <v>43</v>
      </c>
    </row>
    <row r="111" spans="1:14" s="481" customFormat="1" ht="27.75">
      <c r="A111" s="1380" t="s">
        <v>233</v>
      </c>
      <c r="B111" s="1381"/>
      <c r="C111" s="1251"/>
      <c r="D111" s="699" t="s">
        <v>155</v>
      </c>
      <c r="E111" s="560">
        <f>'8'!F111</f>
        <v>3610</v>
      </c>
      <c r="F111" s="740">
        <v>3625</v>
      </c>
      <c r="G111" s="608">
        <f t="shared" si="11"/>
        <v>15</v>
      </c>
      <c r="H111" s="536">
        <f>G111+'8'!H111</f>
        <v>58</v>
      </c>
      <c r="I111" s="608"/>
      <c r="J111" s="635">
        <f>H111/DAY(B2)</f>
        <v>6.4444444444444446</v>
      </c>
      <c r="N111" s="413">
        <v>0</v>
      </c>
    </row>
    <row r="112" spans="1:14" s="481" customFormat="1" ht="27.75">
      <c r="A112" s="1382" t="s">
        <v>121</v>
      </c>
      <c r="B112" s="1383"/>
      <c r="C112" s="1251"/>
      <c r="D112" s="699"/>
      <c r="E112" s="560"/>
      <c r="F112" s="740"/>
      <c r="G112" s="608">
        <f>SUM(G109:G111)</f>
        <v>101</v>
      </c>
      <c r="H112" s="536">
        <f>G112+'8'!H112</f>
        <v>1077</v>
      </c>
      <c r="I112" s="608"/>
      <c r="J112" s="635">
        <f>H112/DAY(B2)</f>
        <v>119.66666666666667</v>
      </c>
      <c r="N112" s="413">
        <v>83</v>
      </c>
    </row>
    <row r="113" spans="1:14" s="481" customFormat="1" ht="27.75">
      <c r="A113" s="1386" t="s">
        <v>234</v>
      </c>
      <c r="B113" s="1387"/>
      <c r="C113" s="1251"/>
      <c r="D113" s="699"/>
      <c r="E113" s="560"/>
      <c r="F113" s="740"/>
      <c r="G113" s="608"/>
      <c r="H113" s="536">
        <f>G113+'8'!H113</f>
        <v>0</v>
      </c>
      <c r="I113" s="608"/>
      <c r="J113" s="635">
        <f>H113/DAY(B2)</f>
        <v>0</v>
      </c>
      <c r="N113" s="413"/>
    </row>
    <row r="114" spans="1:14" s="481" customFormat="1" ht="27.75">
      <c r="A114" s="1380" t="s">
        <v>235</v>
      </c>
      <c r="B114" s="1381"/>
      <c r="C114" s="651"/>
      <c r="D114" s="699" t="s">
        <v>155</v>
      </c>
      <c r="E114" s="560">
        <f>'8'!F114</f>
        <v>9349</v>
      </c>
      <c r="F114" s="740">
        <v>9365</v>
      </c>
      <c r="G114" s="610">
        <f>F114-E114</f>
        <v>16</v>
      </c>
      <c r="H114" s="536">
        <f>G114+'8'!H114</f>
        <v>137</v>
      </c>
      <c r="I114" s="608"/>
      <c r="J114" s="635">
        <f>H114/DAY(B2)</f>
        <v>15.222222222222221</v>
      </c>
      <c r="N114" s="413">
        <v>5</v>
      </c>
    </row>
    <row r="115" spans="1:14" s="481" customFormat="1" ht="27.75">
      <c r="A115" s="1380" t="s">
        <v>236</v>
      </c>
      <c r="B115" s="1381"/>
      <c r="C115" s="651"/>
      <c r="D115" s="699" t="s">
        <v>155</v>
      </c>
      <c r="E115" s="560">
        <f>'8'!F115</f>
        <v>7245</v>
      </c>
      <c r="F115" s="740">
        <v>7253</v>
      </c>
      <c r="G115" s="610">
        <f t="shared" ref="G115:G116" si="12">F115-E115</f>
        <v>8</v>
      </c>
      <c r="H115" s="536">
        <f>G115+'8'!H115</f>
        <v>66</v>
      </c>
      <c r="I115" s="608"/>
      <c r="J115" s="635">
        <f>H115/DAY(B2)</f>
        <v>7.333333333333333</v>
      </c>
      <c r="N115" s="413">
        <v>3</v>
      </c>
    </row>
    <row r="116" spans="1:14" s="481" customFormat="1" ht="27.75">
      <c r="A116" s="1380" t="s">
        <v>237</v>
      </c>
      <c r="B116" s="1381"/>
      <c r="C116" s="651"/>
      <c r="D116" s="699" t="s">
        <v>155</v>
      </c>
      <c r="E116" s="610"/>
      <c r="F116" s="740"/>
      <c r="G116" s="610">
        <f t="shared" si="12"/>
        <v>0</v>
      </c>
      <c r="H116" s="536">
        <f>G116+'8'!H116</f>
        <v>0</v>
      </c>
      <c r="I116" s="608"/>
      <c r="J116" s="635">
        <f>H116/DAY(B2)</f>
        <v>0</v>
      </c>
      <c r="N116" s="413">
        <v>0</v>
      </c>
    </row>
    <row r="117" spans="1:14" s="494" customFormat="1" ht="27.75">
      <c r="A117" s="1382" t="s">
        <v>213</v>
      </c>
      <c r="B117" s="1383"/>
      <c r="C117" s="651"/>
      <c r="D117" s="700"/>
      <c r="E117" s="610"/>
      <c r="F117" s="740"/>
      <c r="G117" s="610">
        <f>SUM(G114:G116)</f>
        <v>24</v>
      </c>
      <c r="H117" s="536">
        <f>G117+'8'!H117</f>
        <v>203</v>
      </c>
      <c r="I117" s="610"/>
      <c r="J117" s="635">
        <f>H117/DAY(B2)</f>
        <v>22.555555555555557</v>
      </c>
      <c r="N117" s="413">
        <v>8</v>
      </c>
    </row>
    <row r="118" spans="1:14" s="495" customFormat="1" ht="27.75">
      <c r="A118" s="1376" t="s">
        <v>238</v>
      </c>
      <c r="B118" s="1377"/>
      <c r="C118" s="1249"/>
      <c r="D118" s="701" t="s">
        <v>155</v>
      </c>
      <c r="E118" s="612"/>
      <c r="F118" s="741">
        <f>SUM(G19+G92)</f>
        <v>112</v>
      </c>
      <c r="G118" s="612">
        <f>SUM(G19+G92)</f>
        <v>112</v>
      </c>
      <c r="H118" s="536">
        <f>G118+'8'!H118</f>
        <v>1063</v>
      </c>
      <c r="I118" s="611"/>
      <c r="J118" s="636">
        <f>H118/DAY(B2)</f>
        <v>118.11111111111111</v>
      </c>
      <c r="N118" s="413">
        <v>55</v>
      </c>
    </row>
    <row r="119" spans="1:14" s="495" customFormat="1" ht="27.75">
      <c r="A119" s="1376" t="s">
        <v>239</v>
      </c>
      <c r="B119" s="1377"/>
      <c r="C119" s="1249"/>
      <c r="D119" s="701" t="s">
        <v>155</v>
      </c>
      <c r="E119" s="612"/>
      <c r="F119" s="741">
        <f>SUM(G95,G96,G97,G99,G100)</f>
        <v>126</v>
      </c>
      <c r="G119" s="612">
        <f>SUM(G95,G96,G97,G99,G100)</f>
        <v>126</v>
      </c>
      <c r="H119" s="536">
        <f>G119+'8'!H119</f>
        <v>1050</v>
      </c>
      <c r="I119" s="611"/>
      <c r="J119" s="636">
        <f>H119/DAY(B2)</f>
        <v>116.66666666666667</v>
      </c>
      <c r="N119" s="413">
        <v>49</v>
      </c>
    </row>
    <row r="120" spans="1:14" s="495" customFormat="1" ht="27.75">
      <c r="A120" s="1376" t="s">
        <v>240</v>
      </c>
      <c r="B120" s="1377"/>
      <c r="C120" s="1249"/>
      <c r="D120" s="701" t="s">
        <v>155</v>
      </c>
      <c r="E120" s="610"/>
      <c r="F120" s="740">
        <f>SUM(G112)</f>
        <v>101</v>
      </c>
      <c r="G120" s="610">
        <f>SUM(G112)</f>
        <v>101</v>
      </c>
      <c r="H120" s="536">
        <f>G120+'8'!H120</f>
        <v>1077</v>
      </c>
      <c r="I120" s="611"/>
      <c r="J120" s="636">
        <f>H120/DAY(B2)</f>
        <v>119.66666666666667</v>
      </c>
      <c r="N120" s="413">
        <v>83</v>
      </c>
    </row>
    <row r="121" spans="1:14" s="481" customFormat="1" ht="27.75">
      <c r="A121" s="1378"/>
      <c r="B121" s="1379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16" t="s">
        <v>241</v>
      </c>
      <c r="B122" s="1417"/>
      <c r="C122" s="1418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'8'!F123</f>
        <v>797352</v>
      </c>
      <c r="F123" s="554">
        <v>797569</v>
      </c>
      <c r="G123" s="549">
        <f t="shared" ref="G123:G127" si="13">F123-E123</f>
        <v>217</v>
      </c>
      <c r="H123" s="536">
        <f>G123+'8'!H123</f>
        <v>2144.9499999999534</v>
      </c>
      <c r="I123" s="602"/>
      <c r="J123" s="629">
        <f>H123/DAY(B2)</f>
        <v>238.32777777777261</v>
      </c>
      <c r="K123" s="411"/>
      <c r="L123" s="408"/>
      <c r="N123" s="413">
        <v>111.45100000000093</v>
      </c>
    </row>
    <row r="124" spans="1:14" ht="27.75">
      <c r="A124" s="1252" t="s">
        <v>243</v>
      </c>
      <c r="B124" s="1253"/>
      <c r="C124" s="1253"/>
      <c r="D124" s="599" t="s">
        <v>152</v>
      </c>
      <c r="E124" s="703">
        <f>'8'!F124</f>
        <v>73582</v>
      </c>
      <c r="F124" s="703">
        <v>73582</v>
      </c>
      <c r="G124" s="549">
        <f t="shared" si="13"/>
        <v>0</v>
      </c>
      <c r="H124" s="536">
        <f>G124+'8'!H124</f>
        <v>-0.19999999999708962</v>
      </c>
      <c r="I124" s="602"/>
      <c r="J124" s="629">
        <f>H124/DAY(B2)</f>
        <v>-2.2222222221898846E-2</v>
      </c>
      <c r="K124" s="411"/>
      <c r="L124" s="408"/>
      <c r="N124" s="413">
        <v>0</v>
      </c>
    </row>
    <row r="125" spans="1:14" ht="27.75">
      <c r="A125" s="1367" t="s">
        <v>244</v>
      </c>
      <c r="B125" s="1368"/>
      <c r="C125" s="1369"/>
      <c r="D125" s="599" t="s">
        <v>152</v>
      </c>
      <c r="E125" s="554">
        <f>'8'!F125</f>
        <v>136096</v>
      </c>
      <c r="F125" s="554">
        <v>136184</v>
      </c>
      <c r="G125" s="549">
        <f t="shared" si="13"/>
        <v>88</v>
      </c>
      <c r="H125" s="536">
        <f>G125+'8'!H125</f>
        <v>593.32999999998719</v>
      </c>
      <c r="I125" s="602"/>
      <c r="J125" s="629">
        <f>H125/DAY(B2)</f>
        <v>65.925555555554126</v>
      </c>
      <c r="K125" s="411"/>
      <c r="L125" s="408"/>
      <c r="N125" s="413">
        <v>43.220000000001164</v>
      </c>
    </row>
    <row r="126" spans="1:14" ht="27.75">
      <c r="A126" s="686" t="s">
        <v>245</v>
      </c>
      <c r="B126" s="1253"/>
      <c r="C126" s="1253"/>
      <c r="D126" s="599" t="s">
        <v>152</v>
      </c>
      <c r="E126" s="703">
        <f>'8'!F126</f>
        <v>57613</v>
      </c>
      <c r="F126" s="703">
        <v>57640</v>
      </c>
      <c r="G126" s="549">
        <f t="shared" si="13"/>
        <v>27</v>
      </c>
      <c r="H126" s="536">
        <f>G126+'8'!H126</f>
        <v>259</v>
      </c>
      <c r="I126" s="602"/>
      <c r="J126" s="629">
        <f>H126/DAY(B2)</f>
        <v>28.777777777777779</v>
      </c>
      <c r="K126" s="411"/>
      <c r="L126" s="408"/>
      <c r="N126" s="413">
        <v>0</v>
      </c>
    </row>
    <row r="127" spans="1:14" ht="27.75">
      <c r="A127" s="686" t="s">
        <v>246</v>
      </c>
      <c r="B127" s="1253"/>
      <c r="C127" s="1253"/>
      <c r="D127" s="599" t="s">
        <v>152</v>
      </c>
      <c r="E127" s="703">
        <f>'8'!F127</f>
        <v>8720</v>
      </c>
      <c r="F127" s="703">
        <v>8721</v>
      </c>
      <c r="G127" s="549">
        <f t="shared" si="13"/>
        <v>1</v>
      </c>
      <c r="H127" s="536">
        <f>G127+'8'!H127</f>
        <v>15</v>
      </c>
      <c r="I127" s="556"/>
      <c r="J127" s="629">
        <f>H127/DAY(B2)</f>
        <v>1.6666666666666667</v>
      </c>
      <c r="K127" s="411"/>
      <c r="L127" s="408"/>
      <c r="N127" s="413">
        <v>0</v>
      </c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426</v>
      </c>
      <c r="H128" s="536"/>
      <c r="I128" s="556"/>
      <c r="J128" s="629"/>
      <c r="K128" s="391"/>
      <c r="L128" s="293"/>
      <c r="N128" s="413">
        <v>175.87500000008731</v>
      </c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'8'!F130</f>
        <v>0</v>
      </c>
      <c r="F130" s="554">
        <v>0</v>
      </c>
      <c r="G130" s="549">
        <f t="shared" ref="G130:G140" si="14">F130-E130</f>
        <v>0</v>
      </c>
      <c r="H130" s="536">
        <f>G130+'8'!H130</f>
        <v>0</v>
      </c>
      <c r="I130" s="556"/>
      <c r="J130" s="629">
        <f>H130/DAY(B2)</f>
        <v>0</v>
      </c>
      <c r="N130" s="413">
        <v>0</v>
      </c>
    </row>
    <row r="131" spans="1:14" ht="27.75">
      <c r="A131" s="1252" t="s">
        <v>251</v>
      </c>
      <c r="B131" s="1253"/>
      <c r="C131" s="1253"/>
      <c r="D131" s="599" t="s">
        <v>250</v>
      </c>
      <c r="E131" s="560">
        <f>'8'!F131</f>
        <v>0</v>
      </c>
      <c r="F131" s="554">
        <v>0</v>
      </c>
      <c r="G131" s="549">
        <f t="shared" si="14"/>
        <v>0</v>
      </c>
      <c r="H131" s="536">
        <f>G131+'8'!H131</f>
        <v>0</v>
      </c>
      <c r="I131" s="556"/>
      <c r="J131" s="629">
        <f>H131/DAY(B2)</f>
        <v>0</v>
      </c>
      <c r="N131" s="413">
        <v>0</v>
      </c>
    </row>
    <row r="132" spans="1:14" ht="27.75">
      <c r="A132" s="1252" t="s">
        <v>252</v>
      </c>
      <c r="B132" s="1253"/>
      <c r="C132" s="1253"/>
      <c r="D132" s="599" t="s">
        <v>250</v>
      </c>
      <c r="E132" s="782">
        <f>'8'!F132</f>
        <v>38901</v>
      </c>
      <c r="F132" s="703">
        <v>38901</v>
      </c>
      <c r="G132" s="549">
        <f t="shared" si="14"/>
        <v>0</v>
      </c>
      <c r="H132" s="536">
        <f>G132+'8'!H132</f>
        <v>0</v>
      </c>
      <c r="I132" s="556"/>
      <c r="J132" s="629">
        <f>H132/DAY(B2)</f>
        <v>0</v>
      </c>
      <c r="N132" s="413">
        <v>22</v>
      </c>
    </row>
    <row r="133" spans="1:14" ht="27.75">
      <c r="A133" s="1252" t="s">
        <v>253</v>
      </c>
      <c r="B133" s="1253"/>
      <c r="C133" s="1253"/>
      <c r="D133" s="599" t="s">
        <v>250</v>
      </c>
      <c r="E133" s="598">
        <f>'8'!F133</f>
        <v>299</v>
      </c>
      <c r="F133" s="561">
        <v>299</v>
      </c>
      <c r="G133" s="549">
        <f t="shared" si="14"/>
        <v>0</v>
      </c>
      <c r="H133" s="536">
        <f>G133+'8'!H133</f>
        <v>0</v>
      </c>
      <c r="I133" s="556">
        <f>G130+G131+G132+G133</f>
        <v>0</v>
      </c>
      <c r="J133" s="629">
        <f>H133/DAY(B2)</f>
        <v>0</v>
      </c>
      <c r="N133" s="413">
        <v>0</v>
      </c>
    </row>
    <row r="134" spans="1:14" ht="27.75">
      <c r="A134" s="1252" t="s">
        <v>254</v>
      </c>
      <c r="B134" s="1253"/>
      <c r="C134" s="1253"/>
      <c r="D134" s="599" t="s">
        <v>250</v>
      </c>
      <c r="E134" s="782">
        <v>39735</v>
      </c>
      <c r="F134" s="703">
        <v>39735</v>
      </c>
      <c r="G134" s="549">
        <f t="shared" si="14"/>
        <v>0</v>
      </c>
      <c r="H134" s="536">
        <f>G134+'8'!H134</f>
        <v>0</v>
      </c>
      <c r="I134" s="556"/>
      <c r="J134" s="629">
        <f>H134/DAY(B2)</f>
        <v>0</v>
      </c>
      <c r="N134" s="413">
        <v>0</v>
      </c>
    </row>
    <row r="135" spans="1:14" ht="27.75">
      <c r="A135" s="1252" t="s">
        <v>255</v>
      </c>
      <c r="B135" s="1253"/>
      <c r="C135" s="1253"/>
      <c r="D135" s="599" t="s">
        <v>250</v>
      </c>
      <c r="E135" s="782">
        <f>'8'!F135</f>
        <v>32360</v>
      </c>
      <c r="F135" s="703">
        <v>32384</v>
      </c>
      <c r="G135" s="549">
        <f t="shared" si="14"/>
        <v>24</v>
      </c>
      <c r="H135" s="536">
        <f>G135+'8'!H135</f>
        <v>216.61000000000058</v>
      </c>
      <c r="I135" s="556"/>
      <c r="J135" s="629">
        <f>H135/DAY(B2)</f>
        <v>24.067777777777842</v>
      </c>
      <c r="N135" s="413">
        <v>0</v>
      </c>
    </row>
    <row r="136" spans="1:14" ht="27.75">
      <c r="A136" s="1252" t="s">
        <v>256</v>
      </c>
      <c r="B136" s="1253"/>
      <c r="C136" s="1253"/>
      <c r="D136" s="599" t="s">
        <v>250</v>
      </c>
      <c r="E136" s="618">
        <f>'8'!F136</f>
        <v>21844.66</v>
      </c>
      <c r="F136" s="732">
        <v>21851.85</v>
      </c>
      <c r="G136" s="549">
        <f t="shared" si="14"/>
        <v>7.1899999999986903</v>
      </c>
      <c r="H136" s="536">
        <f>G136+'8'!H136</f>
        <v>50.149999999997817</v>
      </c>
      <c r="I136" s="556">
        <f>G134+G135+G136</f>
        <v>31.18999999999869</v>
      </c>
      <c r="J136" s="629">
        <f>H136/DAY(B2)</f>
        <v>5.5722222222219795</v>
      </c>
      <c r="N136" s="413">
        <v>-0.2999999999992724</v>
      </c>
    </row>
    <row r="137" spans="1:14" ht="27.75">
      <c r="A137" s="1252" t="s">
        <v>257</v>
      </c>
      <c r="B137" s="1253"/>
      <c r="C137" s="1253"/>
      <c r="D137" s="599" t="s">
        <v>250</v>
      </c>
      <c r="E137" s="618">
        <f>'8'!F137</f>
        <v>24990.61</v>
      </c>
      <c r="F137" s="732">
        <v>24990.61</v>
      </c>
      <c r="G137" s="549">
        <f t="shared" si="14"/>
        <v>0</v>
      </c>
      <c r="H137" s="536">
        <f>G137+'8'!H137</f>
        <v>0</v>
      </c>
      <c r="I137" s="556"/>
      <c r="J137" s="629">
        <f>H137/DAY(B2)</f>
        <v>0</v>
      </c>
      <c r="N137" s="413">
        <v>0</v>
      </c>
    </row>
    <row r="138" spans="1:14" ht="27.75">
      <c r="A138" s="1252" t="s">
        <v>258</v>
      </c>
      <c r="B138" s="1253"/>
      <c r="C138" s="1253"/>
      <c r="D138" s="599" t="s">
        <v>250</v>
      </c>
      <c r="E138" s="618">
        <f>'8'!F138</f>
        <v>70026.820000000007</v>
      </c>
      <c r="F138" s="732">
        <v>70027.539999999994</v>
      </c>
      <c r="G138" s="549">
        <f t="shared" si="14"/>
        <v>0.71999999998661224</v>
      </c>
      <c r="H138" s="536">
        <f>G138+'8'!H138</f>
        <v>21.169999999998254</v>
      </c>
      <c r="I138" s="556">
        <f>G137+G138</f>
        <v>0.71999999998661224</v>
      </c>
      <c r="J138" s="629">
        <f>H138/DAY(B2)</f>
        <v>2.3522222222220281</v>
      </c>
      <c r="N138" s="413">
        <v>9.7100000000064028</v>
      </c>
    </row>
    <row r="139" spans="1:14" ht="27.75">
      <c r="A139" s="1252" t="s">
        <v>259</v>
      </c>
      <c r="B139" s="1253"/>
      <c r="C139" s="1253"/>
      <c r="D139" s="599" t="s">
        <v>250</v>
      </c>
      <c r="E139" s="782">
        <f>'8'!F139</f>
        <v>1063</v>
      </c>
      <c r="F139" s="703">
        <v>1063</v>
      </c>
      <c r="G139" s="549">
        <f t="shared" si="14"/>
        <v>0</v>
      </c>
      <c r="H139" s="536">
        <f>G139+'8'!H139</f>
        <v>0</v>
      </c>
      <c r="I139" s="619"/>
      <c r="J139" s="629">
        <f>H139/DAY(B2)</f>
        <v>0</v>
      </c>
      <c r="N139" s="413">
        <v>0</v>
      </c>
    </row>
    <row r="140" spans="1:14" ht="27.75">
      <c r="A140" s="1252" t="s">
        <v>260</v>
      </c>
      <c r="B140" s="1253"/>
      <c r="C140" s="1253"/>
      <c r="D140" s="599" t="s">
        <v>250</v>
      </c>
      <c r="E140" s="560">
        <f>'8'!F140</f>
        <v>4295.97</v>
      </c>
      <c r="F140" s="554">
        <v>4303.12</v>
      </c>
      <c r="G140" s="549">
        <f t="shared" si="14"/>
        <v>7.1499999999996362</v>
      </c>
      <c r="H140" s="536">
        <f>G140+'8'!H140</f>
        <v>70.710000000000036</v>
      </c>
      <c r="I140" s="619"/>
      <c r="J140" s="629">
        <f>H140/DAY(B2)</f>
        <v>7.8566666666666709</v>
      </c>
      <c r="N140" s="413">
        <v>3.6500000000000909</v>
      </c>
    </row>
    <row r="141" spans="1:14">
      <c r="A141" s="1397" t="s">
        <v>261</v>
      </c>
      <c r="B141" s="1398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>
      <c r="A142" s="1388" t="s">
        <v>262</v>
      </c>
      <c r="B142" s="1389"/>
      <c r="C142" s="1390"/>
      <c r="D142" s="599" t="s">
        <v>143</v>
      </c>
      <c r="E142" s="599"/>
      <c r="F142" s="599"/>
      <c r="G142" s="536">
        <f>G35+G43+G49+G57</f>
        <v>4822</v>
      </c>
      <c r="H142" s="536">
        <f>G142+'8'!H142</f>
        <v>43624.569999999949</v>
      </c>
      <c r="I142" s="556"/>
      <c r="J142" s="629">
        <f>H142/DAY(B2)</f>
        <v>4847.1744444444384</v>
      </c>
      <c r="K142" s="411"/>
      <c r="L142" s="408"/>
      <c r="N142" s="413">
        <v>2912.0800000000163</v>
      </c>
    </row>
    <row r="143" spans="1:14" ht="27.75">
      <c r="A143" s="1388" t="s">
        <v>263</v>
      </c>
      <c r="B143" s="1389"/>
      <c r="C143" s="1390"/>
      <c r="D143" s="599" t="s">
        <v>24</v>
      </c>
      <c r="E143" s="587"/>
      <c r="F143" s="587"/>
      <c r="G143" s="620">
        <f>G142/G7</f>
        <v>0.25603992991026392</v>
      </c>
      <c r="H143" s="536">
        <f>G143+'8'!H143</f>
        <v>2.1597772127558672</v>
      </c>
      <c r="I143" s="621"/>
      <c r="J143" s="629">
        <f>H143/DAY(B2)</f>
        <v>0.23997524586176303</v>
      </c>
      <c r="K143" s="411"/>
      <c r="L143" s="408"/>
      <c r="N143" s="413">
        <v>0.25636763799630391</v>
      </c>
    </row>
    <row r="144" spans="1:14" ht="27.75">
      <c r="A144" s="1388" t="s">
        <v>264</v>
      </c>
      <c r="B144" s="1389"/>
      <c r="C144" s="1390"/>
      <c r="D144" s="599" t="s">
        <v>143</v>
      </c>
      <c r="E144" s="531"/>
      <c r="F144" s="531"/>
      <c r="G144" s="536">
        <f>G41+G42+G55+G56</f>
        <v>4116</v>
      </c>
      <c r="H144" s="536">
        <f>G144+'8'!H144</f>
        <v>36653.840000000026</v>
      </c>
      <c r="I144" s="556"/>
      <c r="J144" s="629">
        <f>H144/DAY(B2)</f>
        <v>4072.6488888888916</v>
      </c>
      <c r="K144" s="411"/>
      <c r="L144" s="408"/>
      <c r="N144" s="413">
        <v>2876.3199999999779</v>
      </c>
    </row>
    <row r="145" spans="1:14" ht="27.75">
      <c r="A145" s="1388" t="s">
        <v>265</v>
      </c>
      <c r="B145" s="1389"/>
      <c r="C145" s="1390"/>
      <c r="D145" s="599" t="s">
        <v>24</v>
      </c>
      <c r="E145" s="531"/>
      <c r="F145" s="531"/>
      <c r="G145" s="620">
        <f>G144/G7</f>
        <v>0.21855254075293368</v>
      </c>
      <c r="H145" s="536">
        <f>G145+'8'!H145</f>
        <v>1.9477750869217847</v>
      </c>
      <c r="I145" s="621"/>
      <c r="J145" s="629">
        <f>H145/DAY(B2)</f>
        <v>0.21641945410242053</v>
      </c>
      <c r="K145" s="411"/>
      <c r="L145" s="408"/>
      <c r="N145" s="413">
        <v>0.25321947354520452</v>
      </c>
    </row>
    <row r="146" spans="1:14" ht="27.75">
      <c r="A146" s="1388" t="s">
        <v>266</v>
      </c>
      <c r="B146" s="1389"/>
      <c r="C146" s="1390"/>
      <c r="D146" s="599" t="s">
        <v>143</v>
      </c>
      <c r="E146" s="531"/>
      <c r="F146" s="531"/>
      <c r="G146" s="536">
        <f>G39+G53</f>
        <v>4014</v>
      </c>
      <c r="H146" s="536">
        <f>G146+'8'!H146</f>
        <v>35954.03</v>
      </c>
      <c r="I146" s="622"/>
      <c r="J146" s="629">
        <f>H146/DAY(B2)</f>
        <v>3994.8922222222222</v>
      </c>
      <c r="K146" s="411"/>
      <c r="L146" s="408"/>
      <c r="N146" s="413">
        <v>2036.5859000000055</v>
      </c>
    </row>
    <row r="147" spans="1:14" ht="27.75">
      <c r="A147" s="1388" t="s">
        <v>267</v>
      </c>
      <c r="B147" s="1389"/>
      <c r="C147" s="1390"/>
      <c r="D147" s="599" t="s">
        <v>24</v>
      </c>
      <c r="E147" s="531"/>
      <c r="F147" s="531"/>
      <c r="G147" s="620">
        <f>G146/G7</f>
        <v>0.2131365156905432</v>
      </c>
      <c r="H147" s="536">
        <f>G147+'8'!H147</f>
        <v>1.9173619876940444</v>
      </c>
      <c r="I147" s="622"/>
      <c r="J147" s="629">
        <f>H147/DAY(B2)</f>
        <v>0.21304022085489382</v>
      </c>
      <c r="N147" s="413">
        <v>0.17929271062593585</v>
      </c>
    </row>
    <row r="148" spans="1:14" ht="27.75">
      <c r="A148" s="1388" t="s">
        <v>268</v>
      </c>
      <c r="B148" s="1389"/>
      <c r="C148" s="1390"/>
      <c r="D148" s="599" t="s">
        <v>194</v>
      </c>
      <c r="E148" s="531"/>
      <c r="F148" s="531"/>
      <c r="G148" s="536">
        <f>G38+G52</f>
        <v>2047</v>
      </c>
      <c r="H148" s="536">
        <f>G148+'8'!H148</f>
        <v>18022.369999999995</v>
      </c>
      <c r="I148" s="556"/>
      <c r="J148" s="629">
        <f>H148/DAY(B2)</f>
        <v>2002.485555555555</v>
      </c>
      <c r="K148" s="412"/>
      <c r="N148" s="413">
        <v>1071.8899999999849</v>
      </c>
    </row>
    <row r="149" spans="1:14" ht="27.75">
      <c r="A149" s="1388" t="s">
        <v>269</v>
      </c>
      <c r="B149" s="1389"/>
      <c r="C149" s="1390"/>
      <c r="D149" s="599" t="s">
        <v>24</v>
      </c>
      <c r="E149" s="531"/>
      <c r="F149" s="531"/>
      <c r="G149" s="620">
        <f>G148/G7</f>
        <v>0.10869218924228748</v>
      </c>
      <c r="H149" s="536">
        <f>G149+'8'!H149</f>
        <v>0.96123095032740602</v>
      </c>
      <c r="I149" s="622"/>
      <c r="J149" s="629">
        <f>H149/DAY(B2)</f>
        <v>0.10680343892526734</v>
      </c>
      <c r="N149" s="413">
        <v>9.4364820846904202E-2</v>
      </c>
    </row>
    <row r="150" spans="1:14" ht="27.75">
      <c r="A150" s="1388" t="s">
        <v>270</v>
      </c>
      <c r="B150" s="1389"/>
      <c r="C150" s="1390"/>
      <c r="D150" s="599" t="s">
        <v>194</v>
      </c>
      <c r="E150" s="531"/>
      <c r="F150" s="531"/>
      <c r="G150" s="536">
        <f>G36+G50</f>
        <v>1619</v>
      </c>
      <c r="H150" s="536">
        <f>G150+'8'!H150</f>
        <v>15516.5</v>
      </c>
      <c r="I150" s="622"/>
      <c r="J150" s="629">
        <f>H150/DAY(B2)</f>
        <v>1724.0555555555557</v>
      </c>
      <c r="N150" s="413">
        <v>1124.1299999999901</v>
      </c>
    </row>
    <row r="151" spans="1:14" ht="27.75">
      <c r="A151" s="1388" t="s">
        <v>271</v>
      </c>
      <c r="B151" s="1389"/>
      <c r="C151" s="1390"/>
      <c r="D151" s="599" t="s">
        <v>24</v>
      </c>
      <c r="E151" s="531"/>
      <c r="F151" s="531"/>
      <c r="G151" s="620">
        <f>G150/G7</f>
        <v>8.59661232942176E-2</v>
      </c>
      <c r="H151" s="536">
        <f>G151+'8'!H151</f>
        <v>0.82895909757980202</v>
      </c>
      <c r="I151" s="556"/>
      <c r="J151" s="629">
        <f>H151/DAY(B2)</f>
        <v>9.2106566397755774E-2</v>
      </c>
      <c r="N151" s="413">
        <v>9.8963817237432E-2</v>
      </c>
    </row>
    <row r="152" spans="1:14" ht="27.75">
      <c r="A152" s="1388" t="s">
        <v>272</v>
      </c>
      <c r="B152" s="1389"/>
      <c r="C152" s="1390"/>
      <c r="D152" s="599" t="s">
        <v>194</v>
      </c>
      <c r="E152" s="531"/>
      <c r="F152" s="531"/>
      <c r="G152" s="536">
        <f>G37+G51</f>
        <v>1480</v>
      </c>
      <c r="H152" s="536">
        <f>G152+'8'!H152</f>
        <v>12748.89</v>
      </c>
      <c r="I152" s="556"/>
      <c r="J152" s="629">
        <f>H152/DAY(B2)</f>
        <v>1416.5433333333333</v>
      </c>
      <c r="N152" s="413">
        <v>1164.4599999999919</v>
      </c>
    </row>
    <row r="153" spans="1:14" ht="27" customHeight="1" thickBot="1">
      <c r="A153" s="1394" t="s">
        <v>273</v>
      </c>
      <c r="B153" s="1395"/>
      <c r="C153" s="1396"/>
      <c r="D153" s="702" t="s">
        <v>24</v>
      </c>
      <c r="E153" s="642"/>
      <c r="F153" s="642"/>
      <c r="G153" s="643">
        <f>G152/G7</f>
        <v>7.8585461689587424E-2</v>
      </c>
      <c r="H153" s="536">
        <f>G153+'8'!H153</f>
        <v>0.68056583214957722</v>
      </c>
      <c r="I153" s="645"/>
      <c r="J153" s="646">
        <f>H153/DAY(B2)</f>
        <v>7.5618425794397467E-2</v>
      </c>
      <c r="N153" s="413">
        <v>0.10251430583678069</v>
      </c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>
      <c r="A157" s="1425" t="s">
        <v>278</v>
      </c>
      <c r="B157" s="1426"/>
      <c r="C157" s="1426"/>
      <c r="D157" s="1426"/>
      <c r="E157" s="1426"/>
      <c r="F157" s="1426"/>
      <c r="G157" s="1427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1169">
        <f>'8'!F160</f>
        <v>26644</v>
      </c>
      <c r="F160" s="739">
        <v>26716</v>
      </c>
      <c r="G160" s="549">
        <f t="shared" ref="G160:G171" si="15">F160-E160</f>
        <v>72</v>
      </c>
    </row>
    <row r="161" spans="1:7">
      <c r="A161" s="889" t="s">
        <v>275</v>
      </c>
      <c r="B161" s="890"/>
      <c r="C161" s="890"/>
      <c r="D161" s="587" t="s">
        <v>198</v>
      </c>
      <c r="E161" s="1169">
        <f>'8'!F161</f>
        <v>32079</v>
      </c>
      <c r="F161" s="739">
        <v>32510</v>
      </c>
      <c r="G161" s="549">
        <f t="shared" si="15"/>
        <v>431</v>
      </c>
    </row>
    <row r="162" spans="1:7">
      <c r="A162" s="889" t="s">
        <v>276</v>
      </c>
      <c r="B162" s="890"/>
      <c r="C162" s="890"/>
      <c r="D162" s="587" t="s">
        <v>198</v>
      </c>
      <c r="E162" s="1169">
        <f>'8'!F162</f>
        <v>6799</v>
      </c>
      <c r="F162" s="739">
        <v>7048</v>
      </c>
      <c r="G162" s="549">
        <f t="shared" si="15"/>
        <v>249</v>
      </c>
    </row>
    <row r="163" spans="1:7">
      <c r="A163" s="889" t="s">
        <v>277</v>
      </c>
      <c r="B163" s="890"/>
      <c r="C163" s="890"/>
      <c r="D163" s="587" t="s">
        <v>198</v>
      </c>
      <c r="E163" s="1169">
        <f>'8'!F163</f>
        <v>4518</v>
      </c>
      <c r="F163" s="739">
        <v>4540</v>
      </c>
      <c r="G163" s="549">
        <f t="shared" si="15"/>
        <v>22</v>
      </c>
    </row>
    <row r="164" spans="1:7">
      <c r="A164" s="891" t="s">
        <v>106</v>
      </c>
      <c r="B164" s="681"/>
      <c r="C164" s="681"/>
      <c r="D164" s="587" t="s">
        <v>198</v>
      </c>
      <c r="E164" s="1169">
        <f>'8'!F164</f>
        <v>20419</v>
      </c>
      <c r="F164" s="590">
        <f>F62</f>
        <v>20419</v>
      </c>
      <c r="G164" s="549">
        <f t="shared" si="15"/>
        <v>0</v>
      </c>
    </row>
    <row r="165" spans="1:7">
      <c r="A165" s="891" t="s">
        <v>199</v>
      </c>
      <c r="B165" s="681"/>
      <c r="C165" s="681"/>
      <c r="D165" s="587" t="s">
        <v>198</v>
      </c>
      <c r="E165" s="1169">
        <f>'8'!F165</f>
        <v>1142</v>
      </c>
      <c r="F165" s="590">
        <f t="shared" ref="F165:F171" si="16">F63</f>
        <v>1146</v>
      </c>
      <c r="G165" s="549">
        <f t="shared" si="15"/>
        <v>4</v>
      </c>
    </row>
    <row r="166" spans="1:7" ht="27.75">
      <c r="A166" s="1363" t="s">
        <v>107</v>
      </c>
      <c r="B166" s="1363"/>
      <c r="C166" s="1363"/>
      <c r="D166" s="599" t="s">
        <v>198</v>
      </c>
      <c r="E166" s="1169">
        <f>'8'!F166</f>
        <v>101573</v>
      </c>
      <c r="F166" s="590">
        <f t="shared" si="16"/>
        <v>101962</v>
      </c>
      <c r="G166" s="549">
        <f t="shared" si="15"/>
        <v>389</v>
      </c>
    </row>
    <row r="167" spans="1:7" ht="27.75">
      <c r="A167" s="1363" t="s">
        <v>108</v>
      </c>
      <c r="B167" s="1363"/>
      <c r="C167" s="1363"/>
      <c r="D167" s="599" t="s">
        <v>198</v>
      </c>
      <c r="E167" s="1169">
        <f>'8'!F167</f>
        <v>112139</v>
      </c>
      <c r="F167" s="590">
        <f t="shared" si="16"/>
        <v>112560</v>
      </c>
      <c r="G167" s="549">
        <f t="shared" si="15"/>
        <v>421</v>
      </c>
    </row>
    <row r="168" spans="1:7" ht="27.75">
      <c r="A168" s="1363" t="s">
        <v>109</v>
      </c>
      <c r="B168" s="1363"/>
      <c r="C168" s="1363"/>
      <c r="D168" s="599" t="s">
        <v>198</v>
      </c>
      <c r="E168" s="1169">
        <f>'8'!F168</f>
        <v>5435</v>
      </c>
      <c r="F168" s="590">
        <f t="shared" si="16"/>
        <v>5806</v>
      </c>
      <c r="G168" s="549">
        <f t="shared" si="15"/>
        <v>371</v>
      </c>
    </row>
    <row r="169" spans="1:7" ht="27.75">
      <c r="A169" s="1363" t="s">
        <v>110</v>
      </c>
      <c r="B169" s="1363"/>
      <c r="C169" s="1363"/>
      <c r="D169" s="599" t="s">
        <v>198</v>
      </c>
      <c r="E169" s="1169">
        <f>'8'!F169</f>
        <v>173331</v>
      </c>
      <c r="F169" s="590">
        <f t="shared" si="16"/>
        <v>174007</v>
      </c>
      <c r="G169" s="549">
        <f t="shared" si="15"/>
        <v>676</v>
      </c>
    </row>
    <row r="170" spans="1:7" ht="27.75">
      <c r="A170" s="1363" t="s">
        <v>111</v>
      </c>
      <c r="B170" s="1363"/>
      <c r="C170" s="1363"/>
      <c r="D170" s="599" t="s">
        <v>198</v>
      </c>
      <c r="E170" s="1169">
        <f>'8'!F170</f>
        <v>55919</v>
      </c>
      <c r="F170" s="590">
        <f t="shared" si="16"/>
        <v>56205</v>
      </c>
      <c r="G170" s="549">
        <f t="shared" si="15"/>
        <v>286</v>
      </c>
    </row>
    <row r="171" spans="1:7" ht="27.75">
      <c r="A171" s="1363" t="s">
        <v>112</v>
      </c>
      <c r="B171" s="1363"/>
      <c r="C171" s="1363"/>
      <c r="D171" s="599" t="s">
        <v>198</v>
      </c>
      <c r="E171" s="1169">
        <f>'8'!F171</f>
        <v>48885</v>
      </c>
      <c r="F171" s="590">
        <f t="shared" si="16"/>
        <v>49182</v>
      </c>
      <c r="G171" s="549">
        <f t="shared" si="15"/>
        <v>297</v>
      </c>
    </row>
    <row r="176" spans="1:7" ht="18.75" customHeight="1"/>
    <row r="177" spans="6:6" ht="18.75" customHeight="1">
      <c r="F177" s="744" t="s">
        <v>226</v>
      </c>
    </row>
    <row r="181" spans="6:6" ht="19.5" customHeight="1"/>
    <row r="184" spans="6:6" ht="19.5" customHeight="1"/>
    <row r="185" spans="6:6" ht="19.5" customHeight="1"/>
    <row r="186" spans="6:6" ht="19.5" customHeight="1"/>
    <row r="187" spans="6:6" ht="19.5" customHeight="1"/>
    <row r="188" spans="6:6" ht="19.5" customHeight="1"/>
    <row r="189" spans="6:6" ht="19.5" customHeight="1"/>
    <row r="190" spans="6:6" ht="19.5" customHeight="1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237"/>
  <sheetViews>
    <sheetView view="pageBreakPreview" zoomScale="60" zoomScaleNormal="55" workbookViewId="0">
      <selection activeCell="F28" sqref="F28"/>
    </sheetView>
  </sheetViews>
  <sheetFormatPr defaultColWidth="22.33203125" defaultRowHeight="29.25"/>
  <cols>
    <col min="1" max="1" width="41.77734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80" customWidth="1"/>
    <col min="15" max="16384" width="22.33203125" style="407"/>
  </cols>
  <sheetData>
    <row r="1" spans="1:14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4" s="281" customFormat="1" ht="27">
      <c r="A2" s="652" t="s">
        <v>334</v>
      </c>
      <c r="B2" s="1139">
        <v>44206</v>
      </c>
      <c r="C2" s="1254" t="s">
        <v>69</v>
      </c>
      <c r="D2" s="688">
        <v>0.64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0"/>
    </row>
    <row r="3" spans="1:14" s="281" customFormat="1" ht="27">
      <c r="A3" s="647"/>
      <c r="B3" s="691"/>
      <c r="C3" s="1254" t="s">
        <v>131</v>
      </c>
      <c r="D3" s="689">
        <v>29</v>
      </c>
      <c r="E3" s="1408" t="s">
        <v>132</v>
      </c>
      <c r="F3" s="1409"/>
      <c r="G3" s="538"/>
      <c r="H3" s="539"/>
      <c r="I3" s="539"/>
      <c r="J3" s="692"/>
      <c r="K3" s="402"/>
      <c r="L3" s="293"/>
      <c r="N3" s="810"/>
    </row>
    <row r="4" spans="1:14" s="281" customFormat="1" ht="27">
      <c r="A4" s="653"/>
      <c r="B4" s="693"/>
      <c r="C4" s="1254" t="s">
        <v>133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  <c r="N4" s="810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402" t="s">
        <v>141</v>
      </c>
      <c r="B6" s="1403"/>
      <c r="C6" s="1404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'9'!F7</f>
        <v>3455240</v>
      </c>
      <c r="F7" s="531">
        <v>3475449</v>
      </c>
      <c r="G7" s="759">
        <f>F7-E7</f>
        <v>20209</v>
      </c>
      <c r="H7" s="760">
        <f>G7+'9'!H7</f>
        <v>189009</v>
      </c>
      <c r="I7" s="761">
        <v>12000</v>
      </c>
      <c r="J7" s="762">
        <f>H7/DAY(B2)</f>
        <v>18900.900000000001</v>
      </c>
      <c r="K7" s="626"/>
      <c r="L7" s="408"/>
      <c r="N7" s="811"/>
    </row>
    <row r="8" spans="1:14" ht="27.75" thickBot="1">
      <c r="A8" s="763" t="s">
        <v>144</v>
      </c>
      <c r="B8" s="764"/>
      <c r="C8" s="765"/>
      <c r="D8" s="766" t="s">
        <v>25</v>
      </c>
      <c r="E8" s="710">
        <f>'9'!F8</f>
        <v>3477016</v>
      </c>
      <c r="F8" s="551">
        <v>3497397</v>
      </c>
      <c r="G8" s="770">
        <f>F8-E8</f>
        <v>20381</v>
      </c>
      <c r="H8" s="760">
        <f>G8+'9'!H8</f>
        <v>191025</v>
      </c>
      <c r="I8" s="767">
        <v>12000</v>
      </c>
      <c r="J8" s="762">
        <f>H8/DAY(B2)</f>
        <v>19102.5</v>
      </c>
      <c r="K8" s="626"/>
      <c r="L8" s="464"/>
      <c r="M8" s="479"/>
      <c r="N8" s="812"/>
    </row>
    <row r="9" spans="1:14">
      <c r="A9" s="768" t="s">
        <v>145</v>
      </c>
      <c r="B9" s="769"/>
      <c r="C9" s="769"/>
      <c r="D9" s="715" t="s">
        <v>143</v>
      </c>
      <c r="E9" s="710">
        <f>'9'!F9</f>
        <v>2428983</v>
      </c>
      <c r="F9" s="554">
        <v>2431561</v>
      </c>
      <c r="G9" s="783">
        <f t="shared" ref="G9:G12" si="0">F9-E9</f>
        <v>2578</v>
      </c>
      <c r="H9" s="760">
        <f>G9+'9'!H9</f>
        <v>26346</v>
      </c>
      <c r="I9" s="771">
        <f>I7-J7</f>
        <v>-6900.9000000000015</v>
      </c>
      <c r="J9" s="762">
        <f>H9/DAY(B2)</f>
        <v>2634.6</v>
      </c>
      <c r="K9" s="467"/>
      <c r="L9" s="408"/>
      <c r="N9" s="813"/>
    </row>
    <row r="10" spans="1:14">
      <c r="A10" s="757" t="s">
        <v>146</v>
      </c>
      <c r="B10" s="758"/>
      <c r="C10" s="758"/>
      <c r="D10" s="715" t="s">
        <v>143</v>
      </c>
      <c r="E10" s="710">
        <f>'9'!F10</f>
        <v>889218</v>
      </c>
      <c r="F10" s="554">
        <v>906161</v>
      </c>
      <c r="G10" s="770">
        <f t="shared" si="0"/>
        <v>16943</v>
      </c>
      <c r="H10" s="760">
        <f>G10+'9'!H10</f>
        <v>155639.08999999997</v>
      </c>
      <c r="I10" s="772"/>
      <c r="J10" s="762">
        <f>H10/DAY(B2)</f>
        <v>15563.908999999996</v>
      </c>
      <c r="K10" s="467"/>
      <c r="L10" s="408"/>
      <c r="N10" s="813"/>
    </row>
    <row r="11" spans="1:14">
      <c r="A11" s="757" t="s">
        <v>147</v>
      </c>
      <c r="B11" s="758"/>
      <c r="C11" s="758"/>
      <c r="D11" s="715" t="s">
        <v>143</v>
      </c>
      <c r="E11" s="710">
        <f>'9'!F11</f>
        <v>35390</v>
      </c>
      <c r="F11" s="531">
        <v>35390</v>
      </c>
      <c r="G11" s="770">
        <f t="shared" si="0"/>
        <v>0</v>
      </c>
      <c r="H11" s="760">
        <f>G11+'9'!H11</f>
        <v>0</v>
      </c>
      <c r="I11" s="772"/>
      <c r="J11" s="762">
        <f>H11/DAY(B2)</f>
        <v>0</v>
      </c>
      <c r="K11" s="467"/>
      <c r="L11" s="408"/>
      <c r="N11" s="813"/>
    </row>
    <row r="12" spans="1:14">
      <c r="A12" s="757" t="s">
        <v>148</v>
      </c>
      <c r="B12" s="758"/>
      <c r="C12" s="758"/>
      <c r="D12" s="715" t="s">
        <v>143</v>
      </c>
      <c r="E12" s="710">
        <f>'9'!F12</f>
        <v>37630</v>
      </c>
      <c r="F12" s="554">
        <v>37630</v>
      </c>
      <c r="G12" s="770">
        <f t="shared" si="0"/>
        <v>0</v>
      </c>
      <c r="H12" s="760">
        <f>G12+'9'!H12</f>
        <v>0</v>
      </c>
      <c r="I12" s="772"/>
      <c r="J12" s="762">
        <f>H12/DAY(B2)</f>
        <v>0</v>
      </c>
      <c r="K12" s="467"/>
      <c r="L12" s="408"/>
      <c r="N12" s="813"/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19521</v>
      </c>
      <c r="H13" s="760">
        <f>G13+'9'!H13</f>
        <v>181985.08999999997</v>
      </c>
      <c r="I13" s="776">
        <f>G7-G13</f>
        <v>688</v>
      </c>
      <c r="J13" s="762">
        <f>H13/DAY(B2)</f>
        <v>18198.508999999998</v>
      </c>
      <c r="K13" s="467"/>
      <c r="L13" s="408"/>
      <c r="N13" s="813"/>
    </row>
    <row r="14" spans="1:14">
      <c r="A14" s="1405" t="s">
        <v>150</v>
      </c>
      <c r="B14" s="1406"/>
      <c r="C14" s="1407"/>
      <c r="D14" s="548"/>
      <c r="E14" s="548"/>
      <c r="F14" s="548"/>
      <c r="G14" s="559"/>
      <c r="H14" s="548"/>
      <c r="I14" s="548"/>
      <c r="J14" s="628"/>
      <c r="K14" s="468"/>
      <c r="L14" s="408"/>
      <c r="N14" s="813"/>
    </row>
    <row r="15" spans="1:14">
      <c r="A15" s="897" t="s">
        <v>151</v>
      </c>
      <c r="B15" s="892"/>
      <c r="C15" s="892"/>
      <c r="D15" s="600" t="s">
        <v>152</v>
      </c>
      <c r="E15" s="561">
        <f>'9'!F15</f>
        <v>1575357</v>
      </c>
      <c r="F15" s="561">
        <v>1576133</v>
      </c>
      <c r="G15" s="745">
        <f>(F15-E15)</f>
        <v>776</v>
      </c>
      <c r="H15" s="562">
        <f>G15+'9'!H15</f>
        <v>7218.8999999999069</v>
      </c>
      <c r="I15" s="550">
        <v>800</v>
      </c>
      <c r="J15" s="630">
        <f>H15/DAY(B2)</f>
        <v>721.88999999999066</v>
      </c>
      <c r="K15" s="467"/>
      <c r="L15" s="408"/>
      <c r="N15" s="813"/>
    </row>
    <row r="16" spans="1:14">
      <c r="A16" s="895"/>
      <c r="B16" s="896"/>
      <c r="C16" s="896"/>
      <c r="D16" s="893"/>
      <c r="E16" s="894"/>
      <c r="F16" s="561"/>
      <c r="G16" s="750"/>
      <c r="H16" s="562"/>
      <c r="I16" s="558">
        <f>I15-J15</f>
        <v>78.110000000009336</v>
      </c>
      <c r="J16" s="630"/>
      <c r="K16" s="467"/>
      <c r="L16" s="408"/>
      <c r="N16" s="813"/>
    </row>
    <row r="17" spans="1:14">
      <c r="A17" s="1405" t="s">
        <v>153</v>
      </c>
      <c r="B17" s="1406"/>
      <c r="C17" s="1407"/>
      <c r="D17" s="548"/>
      <c r="E17" s="548"/>
      <c r="F17" s="548"/>
      <c r="G17" s="564"/>
      <c r="H17" s="548"/>
      <c r="I17" s="548"/>
      <c r="J17" s="628"/>
      <c r="K17" s="467"/>
      <c r="L17" s="408"/>
      <c r="N17" s="813"/>
    </row>
    <row r="18" spans="1:14" ht="27.75">
      <c r="A18" s="1431" t="s">
        <v>154</v>
      </c>
      <c r="B18" s="1432"/>
      <c r="C18" s="1433"/>
      <c r="D18" s="715" t="s">
        <v>155</v>
      </c>
      <c r="E18" s="712">
        <f>'9'!F18</f>
        <v>12</v>
      </c>
      <c r="F18" s="554">
        <v>10</v>
      </c>
      <c r="G18" s="775">
        <f>F18*10</f>
        <v>100</v>
      </c>
      <c r="H18" s="760">
        <f>G18+'9'!H18</f>
        <v>1010</v>
      </c>
      <c r="I18" s="761">
        <v>65</v>
      </c>
      <c r="J18" s="762">
        <f>H18/DAY(B2)</f>
        <v>101</v>
      </c>
      <c r="K18" s="467"/>
      <c r="L18" s="408"/>
      <c r="N18" s="813"/>
    </row>
    <row r="19" spans="1:14" ht="27.75">
      <c r="A19" s="1431" t="s">
        <v>71</v>
      </c>
      <c r="B19" s="1432"/>
      <c r="C19" s="1433"/>
      <c r="D19" s="715" t="s">
        <v>155</v>
      </c>
      <c r="E19" s="712">
        <f>'9'!F19</f>
        <v>131932</v>
      </c>
      <c r="F19" s="554">
        <v>131973</v>
      </c>
      <c r="G19" s="770">
        <f t="shared" ref="G19" si="1">F19-E19</f>
        <v>41</v>
      </c>
      <c r="H19" s="760">
        <f>G19+'9'!H19</f>
        <v>480</v>
      </c>
      <c r="I19" s="777"/>
      <c r="J19" s="762">
        <f>H19/DAY(B2)</f>
        <v>48</v>
      </c>
      <c r="K19" s="467"/>
      <c r="L19" s="408"/>
      <c r="N19" s="813"/>
    </row>
    <row r="20" spans="1:14">
      <c r="A20" s="773" t="s">
        <v>156</v>
      </c>
      <c r="B20" s="774"/>
      <c r="C20" s="774"/>
      <c r="D20" s="715"/>
      <c r="E20" s="715"/>
      <c r="F20" s="600"/>
      <c r="G20" s="778">
        <f>G18+G19</f>
        <v>141</v>
      </c>
      <c r="H20" s="760">
        <f>G20+'9'!H20</f>
        <v>1490</v>
      </c>
      <c r="I20" s="779">
        <f>I18-J20</f>
        <v>-84</v>
      </c>
      <c r="J20" s="762">
        <f>H20/DAY(B2)</f>
        <v>149</v>
      </c>
      <c r="K20" s="467"/>
      <c r="L20" s="408"/>
      <c r="N20" s="813"/>
    </row>
    <row r="21" spans="1:14">
      <c r="A21" s="1405" t="s">
        <v>157</v>
      </c>
      <c r="B21" s="1406"/>
      <c r="C21" s="1407"/>
      <c r="D21" s="548"/>
      <c r="E21" s="548"/>
      <c r="F21" s="548"/>
      <c r="G21" s="559"/>
      <c r="H21" s="548"/>
      <c r="I21" s="548"/>
      <c r="J21" s="628"/>
      <c r="K21" s="467"/>
      <c r="L21" s="408"/>
      <c r="N21" s="813"/>
    </row>
    <row r="22" spans="1:14">
      <c r="A22" s="1252" t="s">
        <v>158</v>
      </c>
      <c r="B22" s="666"/>
      <c r="C22" s="666"/>
      <c r="D22" s="599" t="s">
        <v>159</v>
      </c>
      <c r="E22" s="712">
        <f>'9'!F22</f>
        <v>2250</v>
      </c>
      <c r="F22" s="554">
        <v>2250</v>
      </c>
      <c r="G22" s="557">
        <f t="shared" ref="G22" si="2">(F22-E22)</f>
        <v>0</v>
      </c>
      <c r="H22" s="536">
        <f>G22+'9'!H22</f>
        <v>0</v>
      </c>
      <c r="I22" s="556"/>
      <c r="J22" s="629">
        <f>H22/DAY(B2)</f>
        <v>0</v>
      </c>
      <c r="K22" s="467"/>
      <c r="L22" s="408"/>
      <c r="N22" s="813"/>
    </row>
    <row r="23" spans="1:14">
      <c r="A23" s="1252" t="s">
        <v>160</v>
      </c>
      <c r="B23" s="666"/>
      <c r="C23" s="666"/>
      <c r="D23" s="599" t="s">
        <v>159</v>
      </c>
      <c r="E23" s="712">
        <f>'9'!F23</f>
        <v>2000</v>
      </c>
      <c r="F23" s="554">
        <v>2000</v>
      </c>
      <c r="G23" s="557">
        <v>0</v>
      </c>
      <c r="H23" s="536">
        <f>G23+'9'!H23</f>
        <v>0</v>
      </c>
      <c r="I23" s="556"/>
      <c r="J23" s="629">
        <f>H23/DAY(B2)</f>
        <v>0</v>
      </c>
      <c r="K23" s="467"/>
      <c r="L23" s="408"/>
      <c r="N23" s="813"/>
    </row>
    <row r="24" spans="1:14">
      <c r="A24" s="667" t="s">
        <v>161</v>
      </c>
      <c r="B24" s="668"/>
      <c r="C24" s="668"/>
      <c r="D24" s="587" t="s">
        <v>159</v>
      </c>
      <c r="E24" s="569">
        <f>'9'!F24</f>
        <v>4250</v>
      </c>
      <c r="F24" s="561">
        <v>4250</v>
      </c>
      <c r="G24" s="557">
        <v>0</v>
      </c>
      <c r="H24" s="536">
        <f>G24+'9'!H24</f>
        <v>0</v>
      </c>
      <c r="I24" s="556"/>
      <c r="J24" s="629">
        <f>H24/DAY(B2)</f>
        <v>0</v>
      </c>
      <c r="K24" s="467"/>
      <c r="L24" s="408"/>
      <c r="N24" s="813"/>
    </row>
    <row r="25" spans="1:14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N25" s="8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20381</v>
      </c>
      <c r="F27" s="577">
        <v>9</v>
      </c>
      <c r="G27" s="578">
        <f>E27*F27</f>
        <v>183429</v>
      </c>
      <c r="H27" s="536">
        <f>G27+'9'!H27</f>
        <v>1737300</v>
      </c>
      <c r="I27" s="579"/>
      <c r="J27" s="629">
        <f>H27/DAY(B2)</f>
        <v>173730</v>
      </c>
      <c r="K27" s="404"/>
      <c r="L27" s="484"/>
      <c r="N27" s="8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776</v>
      </c>
      <c r="F28" s="577">
        <v>41</v>
      </c>
      <c r="G28" s="578">
        <f>E28*F28</f>
        <v>31816</v>
      </c>
      <c r="H28" s="536">
        <f>G28+'9'!H28</f>
        <v>294733.5399999962</v>
      </c>
      <c r="I28" s="581"/>
      <c r="J28" s="629">
        <f>H28/DAY(B2)</f>
        <v>29473.353999999621</v>
      </c>
      <c r="K28" s="404"/>
      <c r="L28" s="484"/>
      <c r="N28" s="8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G29+'9'!H29</f>
        <v>0</v>
      </c>
      <c r="I29" s="581"/>
      <c r="J29" s="629">
        <f>H29/DAY(B2)</f>
        <v>0</v>
      </c>
      <c r="K29" s="404"/>
      <c r="L29" s="484"/>
      <c r="N29" s="8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41</v>
      </c>
      <c r="F30" s="577">
        <v>134</v>
      </c>
      <c r="G30" s="578">
        <f>E30*F30</f>
        <v>5494</v>
      </c>
      <c r="H30" s="536">
        <f>G30+'9'!H30</f>
        <v>64320</v>
      </c>
      <c r="I30" s="581"/>
      <c r="J30" s="629">
        <f>H30/DAY(B2)</f>
        <v>6432</v>
      </c>
      <c r="K30" s="404"/>
      <c r="L30" s="484"/>
      <c r="N30" s="8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100</v>
      </c>
      <c r="F31" s="577">
        <v>80</v>
      </c>
      <c r="G31" s="578">
        <f>E31*F31</f>
        <v>8000</v>
      </c>
      <c r="H31" s="536">
        <f>G31+'9'!H31</f>
        <v>80800</v>
      </c>
      <c r="I31" s="581"/>
      <c r="J31" s="629">
        <f>H31/DAY(B2)</f>
        <v>8080</v>
      </c>
      <c r="K31" s="404"/>
      <c r="L31" s="484"/>
      <c r="N31" s="8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228739</v>
      </c>
      <c r="H32" s="536">
        <f>G32+'9'!H32</f>
        <v>2177153.5399999963</v>
      </c>
      <c r="I32" s="585"/>
      <c r="J32" s="629">
        <f>H32/DAY(B2)</f>
        <v>217715.35399999964</v>
      </c>
      <c r="K32" s="404"/>
      <c r="L32" s="484"/>
      <c r="N32" s="813"/>
    </row>
    <row r="33" spans="1:14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8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813"/>
    </row>
    <row r="35" spans="1:14">
      <c r="A35" s="655" t="s">
        <v>175</v>
      </c>
      <c r="B35" s="656"/>
      <c r="C35" s="656"/>
      <c r="D35" s="599" t="s">
        <v>143</v>
      </c>
      <c r="E35" s="586">
        <f>'9'!F35</f>
        <v>629027</v>
      </c>
      <c r="F35" s="1141">
        <v>629027</v>
      </c>
      <c r="G35" s="549">
        <f t="shared" ref="G35:G46" si="3">F35-E35</f>
        <v>0</v>
      </c>
      <c r="H35" s="536">
        <f>G35+'9'!H35</f>
        <v>0</v>
      </c>
      <c r="I35" s="531"/>
      <c r="J35" s="629">
        <f>H35/DAY(B2)</f>
        <v>0</v>
      </c>
      <c r="K35" s="467"/>
      <c r="L35" s="408"/>
      <c r="N35" s="813"/>
    </row>
    <row r="36" spans="1:14">
      <c r="A36" s="655" t="s">
        <v>176</v>
      </c>
      <c r="B36" s="656"/>
      <c r="C36" s="656"/>
      <c r="D36" s="599" t="s">
        <v>143</v>
      </c>
      <c r="E36" s="586">
        <f>'9'!F36</f>
        <v>261573</v>
      </c>
      <c r="F36" s="1141">
        <v>262174</v>
      </c>
      <c r="G36" s="549">
        <f t="shared" si="3"/>
        <v>601</v>
      </c>
      <c r="H36" s="536">
        <f>G36+'9'!H36</f>
        <v>7082.929999999993</v>
      </c>
      <c r="I36" s="531"/>
      <c r="J36" s="629">
        <f>H36/DAY(B2)</f>
        <v>708.29299999999932</v>
      </c>
      <c r="K36" s="467"/>
      <c r="L36" s="408"/>
      <c r="N36" s="814"/>
    </row>
    <row r="37" spans="1:14">
      <c r="A37" s="655" t="s">
        <v>177</v>
      </c>
      <c r="B37" s="656"/>
      <c r="C37" s="656"/>
      <c r="D37" s="599" t="s">
        <v>143</v>
      </c>
      <c r="E37" s="586">
        <f>'9'!F37</f>
        <v>415066</v>
      </c>
      <c r="F37" s="1141">
        <v>415066</v>
      </c>
      <c r="G37" s="549">
        <f t="shared" si="3"/>
        <v>0</v>
      </c>
      <c r="H37" s="536">
        <f>G37+'9'!H37</f>
        <v>0</v>
      </c>
      <c r="I37" s="531"/>
      <c r="J37" s="629">
        <f>H37/DAY(B2)</f>
        <v>0</v>
      </c>
      <c r="K37" s="467"/>
      <c r="L37" s="408"/>
      <c r="N37" s="814"/>
    </row>
    <row r="38" spans="1:14">
      <c r="A38" s="655" t="s">
        <v>178</v>
      </c>
      <c r="B38" s="656"/>
      <c r="C38" s="656"/>
      <c r="D38" s="599" t="s">
        <v>143</v>
      </c>
      <c r="E38" s="586">
        <f>'9'!F38</f>
        <v>150714</v>
      </c>
      <c r="F38" s="543">
        <v>150714</v>
      </c>
      <c r="G38" s="549">
        <f t="shared" si="3"/>
        <v>0</v>
      </c>
      <c r="H38" s="536">
        <f>G38+'9'!H38</f>
        <v>0</v>
      </c>
      <c r="I38" s="531"/>
      <c r="J38" s="629">
        <f>H38/DAY(B2)</f>
        <v>0</v>
      </c>
      <c r="K38" s="467"/>
      <c r="L38" s="408"/>
      <c r="N38" s="813"/>
    </row>
    <row r="39" spans="1:14">
      <c r="A39" s="655" t="s">
        <v>179</v>
      </c>
      <c r="B39" s="656"/>
      <c r="C39" s="656"/>
      <c r="D39" s="599" t="s">
        <v>143</v>
      </c>
      <c r="E39" s="586">
        <f>'9'!F39</f>
        <v>912480</v>
      </c>
      <c r="F39" s="1141">
        <v>912480</v>
      </c>
      <c r="G39" s="549">
        <f t="shared" si="3"/>
        <v>0</v>
      </c>
      <c r="H39" s="536">
        <f>G39+'9'!H39</f>
        <v>0</v>
      </c>
      <c r="I39" s="531"/>
      <c r="J39" s="629">
        <f>H39/DAY(B2)</f>
        <v>0</v>
      </c>
      <c r="K39" s="467"/>
      <c r="L39" s="408"/>
      <c r="N39" s="813"/>
    </row>
    <row r="40" spans="1:14">
      <c r="A40" s="676" t="s">
        <v>180</v>
      </c>
      <c r="B40" s="677"/>
      <c r="C40" s="677"/>
      <c r="D40" s="599" t="s">
        <v>143</v>
      </c>
      <c r="E40" s="586">
        <f>'9'!F40</f>
        <v>0.17</v>
      </c>
      <c r="F40" s="1141">
        <v>0.17</v>
      </c>
      <c r="G40" s="549">
        <f t="shared" si="3"/>
        <v>0</v>
      </c>
      <c r="H40" s="536">
        <f>G40+'9'!H40</f>
        <v>0</v>
      </c>
      <c r="I40" s="531"/>
      <c r="J40" s="629">
        <f>H40/DAY(B2)</f>
        <v>0</v>
      </c>
      <c r="K40" s="468"/>
      <c r="L40" s="408"/>
      <c r="N40" s="813"/>
    </row>
    <row r="41" spans="1:14">
      <c r="A41" s="655" t="s">
        <v>181</v>
      </c>
      <c r="B41" s="656"/>
      <c r="C41" s="656"/>
      <c r="D41" s="599" t="s">
        <v>143</v>
      </c>
      <c r="E41" s="586">
        <f>'9'!F41</f>
        <v>300127.90000000002</v>
      </c>
      <c r="F41" s="1141">
        <v>300127.90000000002</v>
      </c>
      <c r="G41" s="549">
        <f>F41-E41</f>
        <v>0</v>
      </c>
      <c r="H41" s="536">
        <f>G41+'9'!H41</f>
        <v>-4.9999999988358468E-2</v>
      </c>
      <c r="I41" s="531"/>
      <c r="J41" s="629">
        <f>H41/DAY(B2)</f>
        <v>-4.9999999988358471E-3</v>
      </c>
      <c r="K41" s="467"/>
      <c r="L41" s="408"/>
      <c r="N41" s="813"/>
    </row>
    <row r="42" spans="1:14">
      <c r="A42" s="655" t="s">
        <v>182</v>
      </c>
      <c r="B42" s="656"/>
      <c r="C42" s="656"/>
      <c r="D42" s="599" t="s">
        <v>143</v>
      </c>
      <c r="E42" s="586">
        <f>'9'!F42</f>
        <v>58926</v>
      </c>
      <c r="F42" s="1141">
        <v>58926</v>
      </c>
      <c r="G42" s="549">
        <f t="shared" si="3"/>
        <v>0</v>
      </c>
      <c r="H42" s="536">
        <f>G42+'9'!H42</f>
        <v>-8.999999999650754E-2</v>
      </c>
      <c r="I42" s="531"/>
      <c r="J42" s="629">
        <f>H42/DAY(B2)</f>
        <v>-8.9999999996507544E-3</v>
      </c>
      <c r="K42" s="467"/>
      <c r="L42" s="408"/>
      <c r="N42" s="813"/>
    </row>
    <row r="43" spans="1:14">
      <c r="A43" s="655" t="s">
        <v>183</v>
      </c>
      <c r="B43" s="656"/>
      <c r="C43" s="656"/>
      <c r="D43" s="599" t="s">
        <v>143</v>
      </c>
      <c r="E43" s="586">
        <f>'9'!F43</f>
        <v>716531</v>
      </c>
      <c r="F43" s="1141">
        <v>718592</v>
      </c>
      <c r="G43" s="549">
        <f t="shared" si="3"/>
        <v>2061</v>
      </c>
      <c r="H43" s="536">
        <f>G43+'9'!H43</f>
        <v>20338.569999999949</v>
      </c>
      <c r="I43" s="531"/>
      <c r="J43" s="629">
        <f>H43/DAY(B2)</f>
        <v>2033.856999999995</v>
      </c>
      <c r="K43" s="467"/>
      <c r="L43" s="408"/>
      <c r="N43" s="813"/>
    </row>
    <row r="44" spans="1:14">
      <c r="A44" s="655" t="s">
        <v>184</v>
      </c>
      <c r="B44" s="656"/>
      <c r="C44" s="656"/>
      <c r="D44" s="599" t="s">
        <v>143</v>
      </c>
      <c r="E44" s="586">
        <f>'9'!F44</f>
        <v>0</v>
      </c>
      <c r="F44" s="586">
        <v>0</v>
      </c>
      <c r="G44" s="549">
        <f t="shared" si="3"/>
        <v>0</v>
      </c>
      <c r="H44" s="536">
        <f>G44+'9'!H44</f>
        <v>0</v>
      </c>
      <c r="I44" s="531"/>
      <c r="J44" s="629">
        <f>H44/DAY(B2)</f>
        <v>0</v>
      </c>
      <c r="K44" s="467"/>
      <c r="L44" s="408"/>
      <c r="N44" s="813"/>
    </row>
    <row r="45" spans="1:14">
      <c r="A45" s="655" t="s">
        <v>185</v>
      </c>
      <c r="B45" s="656"/>
      <c r="C45" s="656"/>
      <c r="D45" s="599" t="s">
        <v>143</v>
      </c>
      <c r="E45" s="586">
        <f>'9'!F45</f>
        <v>614</v>
      </c>
      <c r="F45" s="586">
        <v>614</v>
      </c>
      <c r="G45" s="549">
        <f t="shared" si="3"/>
        <v>0</v>
      </c>
      <c r="H45" s="536">
        <f>G45+'9'!H45</f>
        <v>-0.48000000000001819</v>
      </c>
      <c r="I45" s="531"/>
      <c r="J45" s="629">
        <f>H45/DAY(B2)</f>
        <v>-4.8000000000001819E-2</v>
      </c>
      <c r="K45" s="467"/>
      <c r="L45" s="408"/>
      <c r="N45" s="813"/>
    </row>
    <row r="46" spans="1:14">
      <c r="A46" s="655" t="s">
        <v>186</v>
      </c>
      <c r="B46" s="656"/>
      <c r="C46" s="656"/>
      <c r="D46" s="599" t="s">
        <v>143</v>
      </c>
      <c r="E46" s="586">
        <f>'9'!F46</f>
        <v>187</v>
      </c>
      <c r="F46" s="586">
        <v>187</v>
      </c>
      <c r="G46" s="549">
        <f t="shared" si="3"/>
        <v>0</v>
      </c>
      <c r="H46" s="536">
        <f>G46+'9'!H46</f>
        <v>-0.49000000000000909</v>
      </c>
      <c r="I46" s="531"/>
      <c r="J46" s="629">
        <f>H46/DAY(B2)</f>
        <v>-4.9000000000000911E-2</v>
      </c>
      <c r="K46" s="467"/>
      <c r="L46" s="408"/>
      <c r="N46" s="8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2662</v>
      </c>
      <c r="H47" s="536">
        <f>G47+'9'!H47</f>
        <v>27420.389999999956</v>
      </c>
      <c r="I47" s="531"/>
      <c r="J47" s="629">
        <f>H47/DAY(B2)</f>
        <v>2742.0389999999957</v>
      </c>
      <c r="K47" s="467"/>
      <c r="L47" s="408"/>
      <c r="N47" s="813"/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813"/>
    </row>
    <row r="49" spans="1:14">
      <c r="A49" s="655" t="s">
        <v>175</v>
      </c>
      <c r="B49" s="678"/>
      <c r="C49" s="678"/>
      <c r="D49" s="599" t="s">
        <v>143</v>
      </c>
      <c r="E49" s="586">
        <f>'9'!F49</f>
        <v>174906</v>
      </c>
      <c r="F49" s="586">
        <v>177752</v>
      </c>
      <c r="G49" s="549">
        <f t="shared" ref="G49:G58" si="4">F49-E49</f>
        <v>2846</v>
      </c>
      <c r="H49" s="536">
        <f>G49+'9'!H49</f>
        <v>28193</v>
      </c>
      <c r="I49" s="531"/>
      <c r="J49" s="629">
        <f>H49/DAY(B2)</f>
        <v>2819.3</v>
      </c>
      <c r="K49" s="467"/>
      <c r="L49" s="408"/>
      <c r="N49" s="813"/>
    </row>
    <row r="50" spans="1:14">
      <c r="A50" s="655" t="s">
        <v>189</v>
      </c>
      <c r="B50" s="678"/>
      <c r="C50" s="678"/>
      <c r="D50" s="599" t="s">
        <v>143</v>
      </c>
      <c r="E50" s="586">
        <f>'9'!F50</f>
        <v>343935</v>
      </c>
      <c r="F50" s="1141">
        <v>345252</v>
      </c>
      <c r="G50" s="549">
        <f t="shared" si="4"/>
        <v>1317</v>
      </c>
      <c r="H50" s="536">
        <f>G50+'9'!H50</f>
        <v>10351.570000000007</v>
      </c>
      <c r="I50" s="531"/>
      <c r="J50" s="629">
        <f>H50/DAY(B2)</f>
        <v>1035.1570000000006</v>
      </c>
      <c r="K50" s="467"/>
      <c r="L50" s="408"/>
      <c r="N50" s="813"/>
    </row>
    <row r="51" spans="1:14">
      <c r="A51" s="655" t="s">
        <v>177</v>
      </c>
      <c r="B51" s="678"/>
      <c r="C51" s="678"/>
      <c r="D51" s="599" t="s">
        <v>143</v>
      </c>
      <c r="E51" s="586">
        <f>'9'!F51</f>
        <v>77456</v>
      </c>
      <c r="F51" s="586">
        <v>78907</v>
      </c>
      <c r="G51" s="549">
        <f t="shared" si="4"/>
        <v>1451</v>
      </c>
      <c r="H51" s="536">
        <f>G51+'9'!H51</f>
        <v>14199.89</v>
      </c>
      <c r="I51" s="531"/>
      <c r="J51" s="629">
        <f>H51/DAY(B2)</f>
        <v>1419.989</v>
      </c>
      <c r="K51" s="467"/>
      <c r="L51" s="408"/>
      <c r="N51" s="813"/>
    </row>
    <row r="52" spans="1:14">
      <c r="A52" s="655" t="s">
        <v>190</v>
      </c>
      <c r="B52" s="678"/>
      <c r="C52" s="678"/>
      <c r="D52" s="599" t="s">
        <v>143</v>
      </c>
      <c r="E52" s="586">
        <f>'9'!F52</f>
        <v>451202</v>
      </c>
      <c r="F52" s="586">
        <v>453298</v>
      </c>
      <c r="G52" s="549">
        <f t="shared" si="4"/>
        <v>2096</v>
      </c>
      <c r="H52" s="536">
        <f>G52+'9'!H52</f>
        <v>20118.369999999995</v>
      </c>
      <c r="I52" s="531"/>
      <c r="J52" s="629">
        <f>H52/DAY(B2)</f>
        <v>2011.8369999999995</v>
      </c>
      <c r="K52" s="467"/>
      <c r="L52" s="408"/>
      <c r="N52" s="813"/>
    </row>
    <row r="53" spans="1:14">
      <c r="A53" s="655" t="s">
        <v>179</v>
      </c>
      <c r="B53" s="678"/>
      <c r="C53" s="678"/>
      <c r="D53" s="599" t="s">
        <v>143</v>
      </c>
      <c r="E53" s="586">
        <f>'9'!F53</f>
        <v>212556</v>
      </c>
      <c r="F53" s="586">
        <v>217019</v>
      </c>
      <c r="G53" s="549">
        <f t="shared" si="4"/>
        <v>4463</v>
      </c>
      <c r="H53" s="536">
        <f>G53+'9'!H53</f>
        <v>40417.03</v>
      </c>
      <c r="I53" s="531"/>
      <c r="J53" s="629">
        <f>H53/DAY(B2)</f>
        <v>4041.703</v>
      </c>
      <c r="K53" s="467"/>
      <c r="L53" s="408"/>
      <c r="N53" s="813"/>
    </row>
    <row r="54" spans="1:14">
      <c r="A54" s="655" t="s">
        <v>191</v>
      </c>
      <c r="B54" s="678"/>
      <c r="C54" s="678"/>
      <c r="D54" s="599" t="s">
        <v>143</v>
      </c>
      <c r="E54" s="586">
        <f>'9'!F54</f>
        <v>5125</v>
      </c>
      <c r="F54" s="586">
        <v>5182</v>
      </c>
      <c r="G54" s="549">
        <f t="shared" si="4"/>
        <v>57</v>
      </c>
      <c r="H54" s="536">
        <f>G54+'9'!H54</f>
        <v>592.46</v>
      </c>
      <c r="I54" s="531"/>
      <c r="J54" s="629">
        <f>H54/DAY(B2)</f>
        <v>59.246000000000002</v>
      </c>
      <c r="K54" s="467"/>
      <c r="L54" s="408"/>
      <c r="N54" s="813"/>
    </row>
    <row r="55" spans="1:14">
      <c r="A55" s="655" t="s">
        <v>192</v>
      </c>
      <c r="B55" s="678"/>
      <c r="C55" s="678"/>
      <c r="D55" s="599" t="s">
        <v>143</v>
      </c>
      <c r="E55" s="586">
        <f>'9'!F55</f>
        <v>158492.73000000001</v>
      </c>
      <c r="F55" s="734">
        <v>158492.73000000001</v>
      </c>
      <c r="G55" s="733">
        <f t="shared" si="4"/>
        <v>0</v>
      </c>
      <c r="H55" s="805">
        <f>G55+'9'!H55</f>
        <v>-0.26999999998952262</v>
      </c>
      <c r="I55" s="806"/>
      <c r="J55" s="807">
        <f>H55/DAY(B2)</f>
        <v>-2.6999999998952261E-2</v>
      </c>
      <c r="K55" s="467"/>
      <c r="L55" s="408"/>
      <c r="N55" s="813"/>
    </row>
    <row r="56" spans="1:14">
      <c r="A56" s="655" t="s">
        <v>193</v>
      </c>
      <c r="B56" s="678"/>
      <c r="C56" s="678"/>
      <c r="D56" s="599" t="s">
        <v>194</v>
      </c>
      <c r="E56" s="586">
        <f>'9'!F56</f>
        <v>549866</v>
      </c>
      <c r="F56" s="734">
        <v>554555</v>
      </c>
      <c r="G56" s="549">
        <f t="shared" si="4"/>
        <v>4689</v>
      </c>
      <c r="H56" s="536">
        <f>G56+'9'!H56</f>
        <v>41343.25</v>
      </c>
      <c r="I56" s="531"/>
      <c r="J56" s="629">
        <f>H56/DAY(B2)</f>
        <v>4134.3249999999998</v>
      </c>
      <c r="K56" s="466"/>
      <c r="L56" s="408"/>
      <c r="N56" s="813"/>
    </row>
    <row r="57" spans="1:14">
      <c r="A57" s="655" t="s">
        <v>183</v>
      </c>
      <c r="B57" s="678"/>
      <c r="C57" s="678"/>
      <c r="D57" s="599" t="s">
        <v>143</v>
      </c>
      <c r="E57" s="586">
        <f>'9'!F57</f>
        <v>0</v>
      </c>
      <c r="F57" s="586">
        <v>0</v>
      </c>
      <c r="G57" s="549">
        <f t="shared" si="4"/>
        <v>0</v>
      </c>
      <c r="H57" s="536">
        <f>G57+'9'!H57</f>
        <v>0</v>
      </c>
      <c r="I57" s="531"/>
      <c r="J57" s="629">
        <f>H57/DAY(B2)</f>
        <v>0</v>
      </c>
      <c r="K57" s="467"/>
      <c r="L57" s="408"/>
      <c r="N57" s="813"/>
    </row>
    <row r="58" spans="1:14">
      <c r="A58" s="655" t="s">
        <v>195</v>
      </c>
      <c r="B58" s="678"/>
      <c r="C58" s="678"/>
      <c r="D58" s="599" t="s">
        <v>143</v>
      </c>
      <c r="E58" s="586">
        <f>'9'!F58</f>
        <v>26340</v>
      </c>
      <c r="F58" s="734">
        <v>26455</v>
      </c>
      <c r="G58" s="549">
        <f t="shared" si="4"/>
        <v>115</v>
      </c>
      <c r="H58" s="536">
        <f>G58+'9'!H58</f>
        <v>1414.5900000000001</v>
      </c>
      <c r="I58" s="531"/>
      <c r="J58" s="629">
        <f>H58/DAY(B2)</f>
        <v>141.459</v>
      </c>
      <c r="K58" s="467"/>
      <c r="L58" s="408"/>
      <c r="N58" s="8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17034</v>
      </c>
      <c r="H59" s="536">
        <f>G59+'9'!H59</f>
        <v>156629.89000000001</v>
      </c>
      <c r="I59" s="531">
        <f>G7-G60</f>
        <v>513</v>
      </c>
      <c r="J59" s="629">
        <f>H59/DAY(B2)</f>
        <v>15662.989000000001</v>
      </c>
      <c r="K59" s="467"/>
      <c r="L59" s="408"/>
      <c r="N59" s="8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19696</v>
      </c>
      <c r="H60" s="536">
        <f>G60+'9'!H60</f>
        <v>184050.27999999997</v>
      </c>
      <c r="I60" s="531">
        <f>G13-G60</f>
        <v>-175</v>
      </c>
      <c r="J60" s="629">
        <f>H60/DAY(B2)</f>
        <v>18405.027999999998</v>
      </c>
      <c r="K60" s="467"/>
      <c r="L60" s="408"/>
      <c r="N60" s="8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3"/>
    </row>
    <row r="62" spans="1:14">
      <c r="A62" s="680" t="s">
        <v>106</v>
      </c>
      <c r="B62" s="681"/>
      <c r="C62" s="681"/>
      <c r="D62" s="587" t="s">
        <v>198</v>
      </c>
      <c r="E62" s="590">
        <f>'9'!F62</f>
        <v>20419</v>
      </c>
      <c r="F62" s="590">
        <v>20419</v>
      </c>
      <c r="G62" s="549">
        <f t="shared" ref="G62:G69" si="5">F62-E62</f>
        <v>0</v>
      </c>
      <c r="H62" s="536">
        <f>G62+'9'!H62</f>
        <v>-0.18000000000029104</v>
      </c>
      <c r="I62" s="591"/>
      <c r="J62" s="629">
        <f>H62/DAY(B2)</f>
        <v>-1.8000000000029104E-2</v>
      </c>
      <c r="K62" s="467"/>
      <c r="L62" s="408"/>
      <c r="N62" s="813"/>
    </row>
    <row r="63" spans="1:14">
      <c r="A63" s="680" t="s">
        <v>199</v>
      </c>
      <c r="B63" s="681"/>
      <c r="C63" s="681"/>
      <c r="D63" s="587" t="s">
        <v>198</v>
      </c>
      <c r="E63" s="590">
        <f>'9'!F63</f>
        <v>1146</v>
      </c>
      <c r="F63" s="590">
        <v>1150</v>
      </c>
      <c r="G63" s="549">
        <f t="shared" si="5"/>
        <v>4</v>
      </c>
      <c r="H63" s="536">
        <f>G63+'9'!H63</f>
        <v>42.089999999999918</v>
      </c>
      <c r="I63" s="591"/>
      <c r="J63" s="629">
        <f>H63/DAY(B2)</f>
        <v>4.2089999999999916</v>
      </c>
      <c r="K63" s="467"/>
      <c r="L63" s="408"/>
      <c r="N63" s="813"/>
    </row>
    <row r="64" spans="1:14" ht="27.75">
      <c r="A64" s="1367" t="s">
        <v>107</v>
      </c>
      <c r="B64" s="1368"/>
      <c r="C64" s="1369"/>
      <c r="D64" s="599" t="s">
        <v>198</v>
      </c>
      <c r="E64" s="590">
        <f>'9'!F64</f>
        <v>101962</v>
      </c>
      <c r="F64" s="554">
        <v>102333</v>
      </c>
      <c r="G64" s="549">
        <f t="shared" si="5"/>
        <v>371</v>
      </c>
      <c r="H64" s="536">
        <f>G64+'9'!H64</f>
        <v>3909.6000000000058</v>
      </c>
      <c r="I64" s="556"/>
      <c r="J64" s="629">
        <f>H64/DAY(B2)</f>
        <v>390.9600000000006</v>
      </c>
      <c r="K64" s="467"/>
      <c r="L64" s="408"/>
      <c r="N64" s="813"/>
    </row>
    <row r="65" spans="1:14" ht="27.75">
      <c r="A65" s="1367" t="s">
        <v>108</v>
      </c>
      <c r="B65" s="1368"/>
      <c r="C65" s="1369"/>
      <c r="D65" s="599" t="s">
        <v>198</v>
      </c>
      <c r="E65" s="590">
        <f>'9'!F65</f>
        <v>112560</v>
      </c>
      <c r="F65" s="732">
        <v>112995</v>
      </c>
      <c r="G65" s="549">
        <f t="shared" si="5"/>
        <v>435</v>
      </c>
      <c r="H65" s="536">
        <f>G65+'9'!H65</f>
        <v>3950.8800000000047</v>
      </c>
      <c r="I65" s="565"/>
      <c r="J65" s="629">
        <f>H65/DAY(B2)</f>
        <v>395.08800000000048</v>
      </c>
      <c r="K65" s="467"/>
      <c r="L65" s="408"/>
      <c r="N65" s="813"/>
    </row>
    <row r="66" spans="1:14" ht="27.75">
      <c r="A66" s="1367" t="s">
        <v>109</v>
      </c>
      <c r="B66" s="1368"/>
      <c r="C66" s="1369"/>
      <c r="D66" s="599" t="s">
        <v>198</v>
      </c>
      <c r="E66" s="590">
        <f>'9'!F66</f>
        <v>5806</v>
      </c>
      <c r="F66" s="554">
        <v>6188</v>
      </c>
      <c r="G66" s="549">
        <f t="shared" si="5"/>
        <v>382</v>
      </c>
      <c r="H66" s="536">
        <f>G66+'9'!H66</f>
        <v>3765.91</v>
      </c>
      <c r="I66" s="556"/>
      <c r="J66" s="629">
        <f>H66/DAY(B2)</f>
        <v>376.59100000000001</v>
      </c>
      <c r="K66" s="467"/>
      <c r="L66" s="408"/>
      <c r="N66" s="813"/>
    </row>
    <row r="67" spans="1:14" ht="27.75">
      <c r="A67" s="1367" t="s">
        <v>110</v>
      </c>
      <c r="B67" s="1368"/>
      <c r="C67" s="1369"/>
      <c r="D67" s="599" t="s">
        <v>198</v>
      </c>
      <c r="E67" s="590">
        <f>'9'!F67</f>
        <v>174007</v>
      </c>
      <c r="F67" s="554">
        <v>174708</v>
      </c>
      <c r="G67" s="549">
        <f t="shared" si="5"/>
        <v>701</v>
      </c>
      <c r="H67" s="536">
        <f>G67+'9'!H67</f>
        <v>6466.6499999999942</v>
      </c>
      <c r="I67" s="565"/>
      <c r="J67" s="629">
        <f>H67/DAY(B2)</f>
        <v>646.6649999999994</v>
      </c>
      <c r="K67" s="468"/>
      <c r="L67" s="408"/>
      <c r="N67" s="813"/>
    </row>
    <row r="68" spans="1:14" ht="27.75">
      <c r="A68" s="1367" t="s">
        <v>111</v>
      </c>
      <c r="B68" s="1368"/>
      <c r="C68" s="1369"/>
      <c r="D68" s="599" t="s">
        <v>198</v>
      </c>
      <c r="E68" s="590">
        <f>'9'!F68</f>
        <v>56205</v>
      </c>
      <c r="F68" s="554">
        <v>56505</v>
      </c>
      <c r="G68" s="549">
        <f t="shared" si="5"/>
        <v>300</v>
      </c>
      <c r="H68" s="536">
        <f>G68+'9'!H68</f>
        <v>2881.0999999999985</v>
      </c>
      <c r="I68" s="592"/>
      <c r="J68" s="629">
        <f>H68/DAY(B2)</f>
        <v>288.10999999999984</v>
      </c>
      <c r="K68" s="469"/>
      <c r="L68" s="408"/>
      <c r="N68" s="813"/>
    </row>
    <row r="69" spans="1:14" ht="27.75">
      <c r="A69" s="1367" t="s">
        <v>112</v>
      </c>
      <c r="B69" s="1368"/>
      <c r="C69" s="1369"/>
      <c r="D69" s="599" t="s">
        <v>198</v>
      </c>
      <c r="E69" s="590">
        <f>'9'!F69</f>
        <v>49182</v>
      </c>
      <c r="F69" s="554">
        <v>49481</v>
      </c>
      <c r="G69" s="549">
        <f t="shared" si="5"/>
        <v>299</v>
      </c>
      <c r="H69" s="536">
        <f>G69+'9'!H69</f>
        <v>2961.5699999999997</v>
      </c>
      <c r="I69" s="592"/>
      <c r="J69" s="629">
        <f>H69/DAY(B2)</f>
        <v>296.15699999999998</v>
      </c>
      <c r="K69" s="470"/>
      <c r="L69" s="408"/>
      <c r="N69" s="813"/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813"/>
    </row>
    <row r="71" spans="1:14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813"/>
    </row>
    <row r="72" spans="1:14" ht="27.75">
      <c r="A72" s="1367" t="s">
        <v>202</v>
      </c>
      <c r="B72" s="1368"/>
      <c r="C72" s="1369"/>
      <c r="D72" s="599" t="s">
        <v>198</v>
      </c>
      <c r="E72" s="595">
        <f>'9'!F72</f>
        <v>847018</v>
      </c>
      <c r="F72" s="735">
        <v>847064</v>
      </c>
      <c r="G72" s="549">
        <f t="shared" ref="G72:G84" si="6">F72-E72</f>
        <v>46</v>
      </c>
      <c r="H72" s="536">
        <f>G72+'9'!H72</f>
        <v>664</v>
      </c>
      <c r="I72" s="556"/>
      <c r="J72" s="629">
        <f>H72/DAY(B2)</f>
        <v>66.400000000000006</v>
      </c>
      <c r="K72" s="470"/>
      <c r="L72" s="408"/>
      <c r="N72" s="813"/>
    </row>
    <row r="73" spans="1:14" ht="27.75">
      <c r="A73" s="1367" t="s">
        <v>203</v>
      </c>
      <c r="B73" s="1368"/>
      <c r="C73" s="1369"/>
      <c r="D73" s="599" t="s">
        <v>198</v>
      </c>
      <c r="E73" s="595">
        <f>'9'!F73</f>
        <v>885680</v>
      </c>
      <c r="F73" s="736">
        <v>885680</v>
      </c>
      <c r="G73" s="733">
        <f t="shared" si="6"/>
        <v>0</v>
      </c>
      <c r="H73" s="536">
        <f>G73+'9'!H73</f>
        <v>7</v>
      </c>
      <c r="I73" s="556"/>
      <c r="J73" s="629">
        <f>H73/DAY(B2)</f>
        <v>0.7</v>
      </c>
      <c r="K73" s="469"/>
      <c r="L73" s="408"/>
      <c r="N73" s="813"/>
    </row>
    <row r="74" spans="1:14" ht="27.75">
      <c r="A74" s="1367" t="s">
        <v>204</v>
      </c>
      <c r="B74" s="1368"/>
      <c r="C74" s="1369"/>
      <c r="D74" s="599" t="s">
        <v>198</v>
      </c>
      <c r="E74" s="595">
        <f>'9'!F74</f>
        <v>881625</v>
      </c>
      <c r="F74" s="735">
        <v>881659</v>
      </c>
      <c r="G74" s="549">
        <f t="shared" si="6"/>
        <v>34</v>
      </c>
      <c r="H74" s="536">
        <f>G74+'9'!H74</f>
        <v>344</v>
      </c>
      <c r="I74" s="556"/>
      <c r="J74" s="629">
        <f>H74/DAY(B2)</f>
        <v>34.4</v>
      </c>
      <c r="K74" s="470"/>
      <c r="L74" s="408"/>
      <c r="N74" s="813"/>
    </row>
    <row r="75" spans="1:14" ht="27.75">
      <c r="A75" s="1364" t="s">
        <v>205</v>
      </c>
      <c r="B75" s="1365"/>
      <c r="C75" s="1366"/>
      <c r="D75" s="599" t="s">
        <v>198</v>
      </c>
      <c r="E75" s="595">
        <f>'9'!F75</f>
        <v>733239</v>
      </c>
      <c r="F75" s="736">
        <v>733442</v>
      </c>
      <c r="G75" s="549">
        <f t="shared" si="6"/>
        <v>203</v>
      </c>
      <c r="H75" s="536">
        <f>G75+'9'!H75</f>
        <v>1801</v>
      </c>
      <c r="I75" s="556"/>
      <c r="J75" s="629">
        <f>H75/DAY(B2)</f>
        <v>180.1</v>
      </c>
      <c r="K75" s="469"/>
      <c r="L75" s="408"/>
      <c r="N75" s="813"/>
    </row>
    <row r="76" spans="1:14" ht="27.75">
      <c r="A76" s="1364" t="s">
        <v>206</v>
      </c>
      <c r="B76" s="1365"/>
      <c r="C76" s="1366"/>
      <c r="D76" s="599" t="s">
        <v>198</v>
      </c>
      <c r="E76" s="595">
        <f>'9'!F76</f>
        <v>685035</v>
      </c>
      <c r="F76" s="736">
        <v>685147</v>
      </c>
      <c r="G76" s="549">
        <f t="shared" si="6"/>
        <v>112</v>
      </c>
      <c r="H76" s="536">
        <f>G76+'9'!H76</f>
        <v>881</v>
      </c>
      <c r="I76" s="581"/>
      <c r="J76" s="629">
        <f>H76/DAY(B2)</f>
        <v>88.1</v>
      </c>
      <c r="K76" s="469"/>
      <c r="L76" s="408"/>
      <c r="N76" s="813"/>
    </row>
    <row r="77" spans="1:14" ht="27.75">
      <c r="A77" s="1367" t="s">
        <v>207</v>
      </c>
      <c r="B77" s="1368"/>
      <c r="C77" s="1369"/>
      <c r="D77" s="599" t="s">
        <v>198</v>
      </c>
      <c r="E77" s="595">
        <f>'9'!F77</f>
        <v>695898</v>
      </c>
      <c r="F77" s="736">
        <v>695948</v>
      </c>
      <c r="G77" s="733">
        <f t="shared" si="6"/>
        <v>50</v>
      </c>
      <c r="H77" s="536">
        <f>G77+'9'!H77</f>
        <v>554</v>
      </c>
      <c r="I77" s="581"/>
      <c r="J77" s="629">
        <f>H77/DAY(B2)</f>
        <v>55.4</v>
      </c>
      <c r="K77" s="469"/>
      <c r="L77" s="408"/>
      <c r="N77" s="813"/>
    </row>
    <row r="78" spans="1:14" ht="27.75">
      <c r="A78" s="1255" t="s">
        <v>208</v>
      </c>
      <c r="B78" s="1226"/>
      <c r="C78" s="1226"/>
      <c r="D78" s="599" t="s">
        <v>198</v>
      </c>
      <c r="E78" s="595">
        <f>'9'!F78</f>
        <v>633833</v>
      </c>
      <c r="F78" s="737">
        <v>634213</v>
      </c>
      <c r="G78" s="549">
        <f t="shared" si="6"/>
        <v>380</v>
      </c>
      <c r="H78" s="536">
        <f>G78+'9'!H78</f>
        <v>3440</v>
      </c>
      <c r="I78" s="581"/>
      <c r="J78" s="629">
        <f>H78/DAY(B2)</f>
        <v>344</v>
      </c>
      <c r="K78" s="469"/>
      <c r="L78" s="408"/>
      <c r="N78" s="813"/>
    </row>
    <row r="79" spans="1:14" ht="27.75">
      <c r="A79" s="1364" t="s">
        <v>97</v>
      </c>
      <c r="B79" s="1365"/>
      <c r="C79" s="1366"/>
      <c r="D79" s="600" t="s">
        <v>198</v>
      </c>
      <c r="E79" s="595">
        <f>'9'!F79</f>
        <v>805528</v>
      </c>
      <c r="F79" s="737">
        <v>805713</v>
      </c>
      <c r="G79" s="549">
        <f t="shared" si="6"/>
        <v>185</v>
      </c>
      <c r="H79" s="536">
        <f>G79+'9'!H79</f>
        <v>1870</v>
      </c>
      <c r="I79" s="581"/>
      <c r="J79" s="629">
        <f>H79/DAY(B2)</f>
        <v>187</v>
      </c>
      <c r="K79" s="469"/>
      <c r="L79" s="408"/>
      <c r="N79" s="813"/>
    </row>
    <row r="80" spans="1:14" ht="27.75">
      <c r="A80" s="1364" t="s">
        <v>209</v>
      </c>
      <c r="B80" s="1365"/>
      <c r="C80" s="1366"/>
      <c r="D80" s="600" t="s">
        <v>198</v>
      </c>
      <c r="E80" s="595">
        <f>'9'!F80</f>
        <v>478277</v>
      </c>
      <c r="F80" s="736">
        <v>478649</v>
      </c>
      <c r="G80" s="549">
        <f t="shared" si="6"/>
        <v>372</v>
      </c>
      <c r="H80" s="536">
        <f>G80+'9'!H80</f>
        <v>3118</v>
      </c>
      <c r="I80" s="581"/>
      <c r="J80" s="629">
        <f>H80/DAY(B2)</f>
        <v>311.8</v>
      </c>
      <c r="K80" s="469"/>
      <c r="L80" s="408"/>
      <c r="N80" s="813"/>
    </row>
    <row r="81" spans="1:15" ht="27.75">
      <c r="A81" s="1364" t="s">
        <v>210</v>
      </c>
      <c r="B81" s="1365"/>
      <c r="C81" s="1366"/>
      <c r="D81" s="600" t="s">
        <v>198</v>
      </c>
      <c r="E81" s="595">
        <f>'9'!F81</f>
        <v>620358</v>
      </c>
      <c r="F81" s="736">
        <v>620463</v>
      </c>
      <c r="G81" s="549">
        <f t="shared" si="6"/>
        <v>105</v>
      </c>
      <c r="H81" s="536">
        <f>G81+'9'!H81</f>
        <v>1209</v>
      </c>
      <c r="I81" s="581"/>
      <c r="J81" s="629">
        <f>H81/DAY(B2)</f>
        <v>120.9</v>
      </c>
      <c r="K81" s="469"/>
      <c r="L81" s="408"/>
      <c r="N81" s="813"/>
    </row>
    <row r="82" spans="1:15" ht="27.75">
      <c r="A82" s="1364" t="s">
        <v>100</v>
      </c>
      <c r="B82" s="1365"/>
      <c r="C82" s="1366"/>
      <c r="D82" s="561" t="s">
        <v>143</v>
      </c>
      <c r="E82" s="595">
        <f>'9'!F82</f>
        <v>104631</v>
      </c>
      <c r="F82" s="732">
        <v>104657</v>
      </c>
      <c r="G82" s="549">
        <f t="shared" si="6"/>
        <v>26</v>
      </c>
      <c r="H82" s="536">
        <f>G82+'9'!H82</f>
        <v>219</v>
      </c>
      <c r="I82" s="562"/>
      <c r="J82" s="629">
        <f>H82/DAY(B2)</f>
        <v>21.9</v>
      </c>
      <c r="K82" s="469"/>
      <c r="L82" s="408"/>
      <c r="N82" s="813"/>
    </row>
    <row r="83" spans="1:15" ht="27.75">
      <c r="A83" s="1364" t="s">
        <v>211</v>
      </c>
      <c r="B83" s="1365"/>
      <c r="C83" s="1366"/>
      <c r="D83" s="697" t="s">
        <v>143</v>
      </c>
      <c r="E83" s="595">
        <f>'9'!F83</f>
        <v>976497</v>
      </c>
      <c r="F83" s="587">
        <v>976878</v>
      </c>
      <c r="G83" s="549">
        <f t="shared" si="6"/>
        <v>381</v>
      </c>
      <c r="H83" s="536">
        <f>G83+'9'!H83</f>
        <v>3407</v>
      </c>
      <c r="I83" s="557"/>
      <c r="J83" s="629">
        <f>H83/DAY(B2)</f>
        <v>340.7</v>
      </c>
      <c r="K83" s="468"/>
      <c r="L83" s="408"/>
      <c r="N83" s="813"/>
    </row>
    <row r="84" spans="1:15">
      <c r="A84" s="1256" t="s">
        <v>212</v>
      </c>
      <c r="B84" s="648"/>
      <c r="C84" s="648"/>
      <c r="D84" s="554" t="s">
        <v>143</v>
      </c>
      <c r="E84" s="595">
        <f>'9'!F84</f>
        <v>401791</v>
      </c>
      <c r="F84" s="704">
        <v>402326</v>
      </c>
      <c r="G84" s="549">
        <f t="shared" si="6"/>
        <v>535</v>
      </c>
      <c r="H84" s="536">
        <f>G84+'9'!H84</f>
        <v>5130</v>
      </c>
      <c r="I84" s="557"/>
      <c r="J84" s="629">
        <f>H84/DAY(B2)</f>
        <v>513</v>
      </c>
      <c r="K84" s="411"/>
      <c r="L84" s="408"/>
      <c r="N84" s="8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2429</v>
      </c>
      <c r="H85" s="536">
        <f>G85+'9'!H85</f>
        <v>20798</v>
      </c>
      <c r="I85" s="557"/>
      <c r="J85" s="629">
        <f>H85/DAY(B2)</f>
        <v>2079.8000000000002</v>
      </c>
      <c r="K85" s="411"/>
      <c r="L85" s="409"/>
      <c r="N85" s="8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'9'!F86</f>
        <v>444959</v>
      </c>
      <c r="F86" s="728">
        <v>445009</v>
      </c>
      <c r="G86" s="805">
        <f t="shared" ref="G86:G90" si="7">F86-E86</f>
        <v>50</v>
      </c>
      <c r="H86" s="536">
        <f>G86+'9'!H86</f>
        <v>227</v>
      </c>
      <c r="I86" s="733"/>
      <c r="J86" s="807">
        <f>H86/DAY(B2)</f>
        <v>22.7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'9'!F87</f>
        <v>77933</v>
      </c>
      <c r="F87" s="728">
        <v>77942</v>
      </c>
      <c r="G87" s="805">
        <f t="shared" si="7"/>
        <v>9</v>
      </c>
      <c r="H87" s="536">
        <f>G87+'9'!H87</f>
        <v>53</v>
      </c>
      <c r="I87" s="733"/>
      <c r="J87" s="807">
        <f>H87/DAY(B2)</f>
        <v>5.3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'9'!F88</f>
        <v>144995</v>
      </c>
      <c r="F88" s="728">
        <v>145020</v>
      </c>
      <c r="G88" s="805">
        <f t="shared" si="7"/>
        <v>25</v>
      </c>
      <c r="H88" s="536">
        <f>G88+'9'!H88</f>
        <v>138</v>
      </c>
      <c r="I88" s="733"/>
      <c r="J88" s="807">
        <f>H88/DAY(B2)</f>
        <v>13.8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'9'!F89</f>
        <v>58271</v>
      </c>
      <c r="F89" s="728">
        <v>58330</v>
      </c>
      <c r="G89" s="805">
        <f t="shared" si="7"/>
        <v>59</v>
      </c>
      <c r="H89" s="536">
        <f>G89+'9'!H89</f>
        <v>214.09999999999854</v>
      </c>
      <c r="I89" s="733"/>
      <c r="J89" s="807">
        <f>H89/DAY(B2)</f>
        <v>21.409999999999854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'9'!F90</f>
        <v>3004</v>
      </c>
      <c r="F90" s="728">
        <v>3005</v>
      </c>
      <c r="G90" s="805">
        <f t="shared" si="7"/>
        <v>1</v>
      </c>
      <c r="H90" s="536">
        <f>G90+'9'!H90</f>
        <v>7</v>
      </c>
      <c r="I90" s="733"/>
      <c r="J90" s="807">
        <f>H90/DAY(B2)</f>
        <v>0.7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13"/>
    </row>
    <row r="92" spans="1:15" ht="27.75">
      <c r="A92" s="1388" t="s">
        <v>217</v>
      </c>
      <c r="B92" s="1389"/>
      <c r="C92" s="1390"/>
      <c r="D92" s="599" t="s">
        <v>155</v>
      </c>
      <c r="E92" s="560">
        <f>'9'!F92</f>
        <v>234526</v>
      </c>
      <c r="F92" s="554">
        <v>234625</v>
      </c>
      <c r="G92" s="549">
        <f t="shared" ref="G92:G93" si="8">F92-E92</f>
        <v>99</v>
      </c>
      <c r="H92" s="536">
        <f>G92+'9'!H92</f>
        <v>723</v>
      </c>
      <c r="I92" s="556"/>
      <c r="J92" s="629">
        <f>H92/DAY(B2)</f>
        <v>72.3</v>
      </c>
      <c r="K92" s="468"/>
      <c r="L92" s="408"/>
      <c r="N92" s="813"/>
    </row>
    <row r="93" spans="1:15" ht="27.75">
      <c r="A93" s="1388" t="s">
        <v>218</v>
      </c>
      <c r="B93" s="1389"/>
      <c r="C93" s="1390"/>
      <c r="D93" s="599" t="s">
        <v>155</v>
      </c>
      <c r="E93" s="560">
        <f>'9'!F93</f>
        <v>168036</v>
      </c>
      <c r="F93" s="554">
        <v>168202</v>
      </c>
      <c r="G93" s="549">
        <f t="shared" si="8"/>
        <v>166</v>
      </c>
      <c r="H93" s="536">
        <f>G93+'9'!H93</f>
        <v>1286</v>
      </c>
      <c r="I93" s="556"/>
      <c r="J93" s="629">
        <f>H93/DAY(B2)</f>
        <v>128.6</v>
      </c>
      <c r="K93" s="411"/>
      <c r="L93" s="408"/>
      <c r="N93" s="813"/>
    </row>
    <row r="94" spans="1:15">
      <c r="A94" s="1419" t="s">
        <v>219</v>
      </c>
      <c r="B94" s="1420"/>
      <c r="C94" s="1421"/>
      <c r="D94" s="599"/>
      <c r="E94" s="560"/>
      <c r="F94" s="554"/>
      <c r="G94" s="549">
        <f>G92+G93</f>
        <v>265</v>
      </c>
      <c r="H94" s="536">
        <f>G94+'9'!H94</f>
        <v>1735</v>
      </c>
      <c r="I94" s="556"/>
      <c r="J94" s="629">
        <f>H94/DAY(B2)</f>
        <v>173.5</v>
      </c>
      <c r="K94" s="411"/>
      <c r="L94" s="408"/>
      <c r="N94" s="813"/>
    </row>
    <row r="95" spans="1:15" ht="27.75">
      <c r="A95" s="1388" t="s">
        <v>220</v>
      </c>
      <c r="B95" s="1389"/>
      <c r="C95" s="1390"/>
      <c r="D95" s="599" t="s">
        <v>155</v>
      </c>
      <c r="E95" s="560">
        <f>'9'!F95</f>
        <v>404200</v>
      </c>
      <c r="F95" s="554">
        <v>404261</v>
      </c>
      <c r="G95" s="549">
        <f t="shared" ref="G95:G100" si="9">F95-E95</f>
        <v>61</v>
      </c>
      <c r="H95" s="536">
        <f>G95+'9'!H95</f>
        <v>596</v>
      </c>
      <c r="I95" s="556"/>
      <c r="J95" s="629">
        <f>H95/DAY(B2)</f>
        <v>59.6</v>
      </c>
      <c r="K95" s="411"/>
      <c r="L95" s="408"/>
      <c r="N95" s="813"/>
    </row>
    <row r="96" spans="1:15" ht="27.75">
      <c r="A96" s="1252" t="s">
        <v>221</v>
      </c>
      <c r="B96" s="1253"/>
      <c r="C96" s="1253"/>
      <c r="D96" s="599" t="s">
        <v>155</v>
      </c>
      <c r="E96" s="560">
        <f>'9'!F96</f>
        <v>100090</v>
      </c>
      <c r="F96" s="554">
        <v>100111</v>
      </c>
      <c r="G96" s="549">
        <f t="shared" si="9"/>
        <v>21</v>
      </c>
      <c r="H96" s="536">
        <f>G96+'9'!H96</f>
        <v>190</v>
      </c>
      <c r="I96" s="556"/>
      <c r="J96" s="629">
        <f>H96/DAY(B2)</f>
        <v>19</v>
      </c>
      <c r="K96" s="466"/>
      <c r="L96" s="408"/>
      <c r="N96" s="813"/>
    </row>
    <row r="97" spans="1:14" ht="27.75">
      <c r="A97" s="1252" t="s">
        <v>222</v>
      </c>
      <c r="B97" s="1253"/>
      <c r="C97" s="1253"/>
      <c r="D97" s="599" t="s">
        <v>155</v>
      </c>
      <c r="E97" s="560">
        <f>'9'!F97</f>
        <v>95199</v>
      </c>
      <c r="F97" s="554">
        <v>95226</v>
      </c>
      <c r="G97" s="549">
        <f t="shared" si="9"/>
        <v>27</v>
      </c>
      <c r="H97" s="536">
        <f>G97+'9'!H97</f>
        <v>199</v>
      </c>
      <c r="I97" s="556"/>
      <c r="J97" s="629">
        <f>H97/DAY(B2)</f>
        <v>19.899999999999999</v>
      </c>
      <c r="K97" s="471"/>
      <c r="L97" s="408"/>
      <c r="N97" s="813"/>
    </row>
    <row r="98" spans="1:14" ht="27.75">
      <c r="A98" s="1252" t="s">
        <v>223</v>
      </c>
      <c r="B98" s="1253"/>
      <c r="C98" s="1253"/>
      <c r="D98" s="599" t="s">
        <v>155</v>
      </c>
      <c r="E98" s="560">
        <f>'9'!F98</f>
        <v>144308</v>
      </c>
      <c r="F98" s="554">
        <v>144388</v>
      </c>
      <c r="G98" s="549">
        <f t="shared" si="9"/>
        <v>80</v>
      </c>
      <c r="H98" s="536">
        <f>G98+'9'!H98</f>
        <v>581</v>
      </c>
      <c r="I98" s="556"/>
      <c r="J98" s="629">
        <f>H98/DAY(B2)</f>
        <v>58.1</v>
      </c>
      <c r="K98" s="411"/>
      <c r="L98" s="408"/>
      <c r="N98" s="815"/>
    </row>
    <row r="99" spans="1:14" ht="27.75">
      <c r="A99" s="1252" t="s">
        <v>224</v>
      </c>
      <c r="B99" s="1253"/>
      <c r="C99" s="1253"/>
      <c r="D99" s="599" t="s">
        <v>155</v>
      </c>
      <c r="E99" s="560">
        <f>'9'!F99</f>
        <v>5604</v>
      </c>
      <c r="F99" s="554">
        <v>5622</v>
      </c>
      <c r="G99" s="549">
        <f t="shared" si="9"/>
        <v>18</v>
      </c>
      <c r="H99" s="536">
        <f>G99+'9'!H99</f>
        <v>120</v>
      </c>
      <c r="I99" s="556"/>
      <c r="J99" s="629">
        <f>H99/DAY(B2)</f>
        <v>12</v>
      </c>
      <c r="K99" s="411"/>
      <c r="L99" s="408"/>
      <c r="N99" s="813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'9'!F100</f>
        <v>4036</v>
      </c>
      <c r="F100" s="554">
        <v>4047</v>
      </c>
      <c r="G100" s="549">
        <f t="shared" si="9"/>
        <v>11</v>
      </c>
      <c r="H100" s="536">
        <f>G100+'9'!H100</f>
        <v>83</v>
      </c>
      <c r="I100" s="556"/>
      <c r="J100" s="629">
        <f>H100/DAY(B2)</f>
        <v>8.3000000000000007</v>
      </c>
      <c r="K100" s="411"/>
      <c r="L100" s="408"/>
      <c r="N100" s="813"/>
    </row>
    <row r="101" spans="1:14">
      <c r="A101" s="1419" t="s">
        <v>227</v>
      </c>
      <c r="B101" s="1420"/>
      <c r="C101" s="1421"/>
      <c r="D101" s="600"/>
      <c r="E101" s="560"/>
      <c r="F101" s="600"/>
      <c r="G101" s="601">
        <f>SUM(G95:G100)</f>
        <v>218</v>
      </c>
      <c r="H101" s="536">
        <f>G101+'9'!H101</f>
        <v>1769</v>
      </c>
      <c r="I101" s="602"/>
      <c r="J101" s="629">
        <f>H101/DAY(B2)</f>
        <v>176.9</v>
      </c>
      <c r="K101" s="411"/>
      <c r="L101" s="408"/>
      <c r="N101" s="813"/>
    </row>
    <row r="102" spans="1:14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3"/>
    </row>
    <row r="103" spans="1:14" s="481" customFormat="1" ht="27.75">
      <c r="A103" s="1422" t="s">
        <v>229</v>
      </c>
      <c r="B103" s="1423"/>
      <c r="C103" s="650"/>
      <c r="D103" s="699"/>
      <c r="E103" s="560"/>
      <c r="F103" s="739"/>
      <c r="G103" s="608"/>
      <c r="H103" s="609"/>
      <c r="I103" s="608"/>
      <c r="J103" s="635"/>
      <c r="N103" s="813"/>
    </row>
    <row r="104" spans="1:14" s="481" customFormat="1" ht="27.75">
      <c r="A104" s="1380" t="s">
        <v>230</v>
      </c>
      <c r="B104" s="1381"/>
      <c r="C104" s="1251"/>
      <c r="D104" s="699" t="s">
        <v>155</v>
      </c>
      <c r="E104" s="560">
        <f>'9'!F104</f>
        <v>7010</v>
      </c>
      <c r="F104" s="739">
        <v>7010</v>
      </c>
      <c r="G104" s="608">
        <v>0</v>
      </c>
      <c r="H104" s="536">
        <f>G104+'9'!H104</f>
        <v>0</v>
      </c>
      <c r="I104" s="608"/>
      <c r="J104" s="635">
        <f>H104/DAY(B2)</f>
        <v>0</v>
      </c>
      <c r="N104" s="813"/>
    </row>
    <row r="105" spans="1:14" s="481" customFormat="1" ht="27.75">
      <c r="A105" s="1380" t="s">
        <v>77</v>
      </c>
      <c r="B105" s="1381"/>
      <c r="C105" s="1251"/>
      <c r="D105" s="699" t="s">
        <v>155</v>
      </c>
      <c r="E105" s="560">
        <f>'9'!F105</f>
        <v>34976</v>
      </c>
      <c r="F105" s="740">
        <v>34980</v>
      </c>
      <c r="G105" s="608">
        <f t="shared" ref="G105:G106" si="10">F105-E105</f>
        <v>4</v>
      </c>
      <c r="H105" s="536">
        <f>G105+'9'!H105</f>
        <v>66</v>
      </c>
      <c r="I105" s="608"/>
      <c r="J105" s="635">
        <f>H105/DAY(B2)</f>
        <v>6.6</v>
      </c>
      <c r="N105" s="813"/>
    </row>
    <row r="106" spans="1:14" s="481" customFormat="1" ht="27.75">
      <c r="A106" s="1380" t="s">
        <v>78</v>
      </c>
      <c r="B106" s="1424"/>
      <c r="C106" s="1381"/>
      <c r="D106" s="699" t="s">
        <v>155</v>
      </c>
      <c r="E106" s="560">
        <f>'9'!F106</f>
        <v>18938</v>
      </c>
      <c r="F106" s="740">
        <v>18943</v>
      </c>
      <c r="G106" s="608">
        <f t="shared" si="10"/>
        <v>5</v>
      </c>
      <c r="H106" s="536">
        <f>G106+'9'!H106</f>
        <v>59</v>
      </c>
      <c r="I106" s="608"/>
      <c r="J106" s="635">
        <f>H106/DAY(B2)</f>
        <v>5.9</v>
      </c>
      <c r="N106" s="813"/>
    </row>
    <row r="107" spans="1:14" s="481" customFormat="1" ht="27.75">
      <c r="A107" s="1382" t="s">
        <v>213</v>
      </c>
      <c r="B107" s="1383"/>
      <c r="C107" s="1251"/>
      <c r="D107" s="699"/>
      <c r="E107" s="560"/>
      <c r="F107" s="740"/>
      <c r="G107" s="608">
        <f>SUM(G104:G106)</f>
        <v>9</v>
      </c>
      <c r="H107" s="536">
        <f>G107+'9'!H107</f>
        <v>125</v>
      </c>
      <c r="I107" s="608"/>
      <c r="J107" s="635">
        <f>H107/DAY(B2)</f>
        <v>12.5</v>
      </c>
      <c r="N107" s="813"/>
    </row>
    <row r="108" spans="1:14" s="481" customFormat="1" ht="27.75">
      <c r="A108" s="1386" t="s">
        <v>79</v>
      </c>
      <c r="B108" s="1387"/>
      <c r="C108" s="1251"/>
      <c r="D108" s="699" t="s">
        <v>155</v>
      </c>
      <c r="E108" s="560"/>
      <c r="F108" s="740"/>
      <c r="G108" s="608"/>
      <c r="H108" s="609"/>
      <c r="I108" s="608"/>
      <c r="J108" s="635"/>
      <c r="N108" s="813"/>
    </row>
    <row r="109" spans="1:14" s="481" customFormat="1" ht="27.75">
      <c r="A109" s="1380" t="s">
        <v>231</v>
      </c>
      <c r="B109" s="1381"/>
      <c r="C109" s="1251"/>
      <c r="D109" s="699" t="s">
        <v>155</v>
      </c>
      <c r="E109" s="560">
        <f>'9'!F109</f>
        <v>53493</v>
      </c>
      <c r="F109" s="740">
        <v>53536</v>
      </c>
      <c r="G109" s="608">
        <f>F109-E109</f>
        <v>43</v>
      </c>
      <c r="H109" s="536">
        <f>G109+'9'!H109</f>
        <v>590</v>
      </c>
      <c r="I109" s="608"/>
      <c r="J109" s="635">
        <f>H109/DAY(B2)</f>
        <v>59</v>
      </c>
      <c r="N109" s="813"/>
    </row>
    <row r="110" spans="1:14" s="481" customFormat="1" ht="27.75">
      <c r="A110" s="1380" t="s">
        <v>232</v>
      </c>
      <c r="B110" s="1381"/>
      <c r="C110" s="1251"/>
      <c r="D110" s="699" t="s">
        <v>155</v>
      </c>
      <c r="E110" s="560">
        <f>'9'!F110</f>
        <v>27332</v>
      </c>
      <c r="F110" s="740">
        <v>27432</v>
      </c>
      <c r="G110" s="608">
        <f t="shared" ref="G110:G111" si="11">F110-E110</f>
        <v>100</v>
      </c>
      <c r="H110" s="536">
        <f>G110+'9'!H110</f>
        <v>572</v>
      </c>
      <c r="I110" s="608"/>
      <c r="J110" s="635">
        <f>H110/DAY(B2)</f>
        <v>57.2</v>
      </c>
      <c r="N110" s="813"/>
    </row>
    <row r="111" spans="1:14" s="481" customFormat="1" ht="27.75">
      <c r="A111" s="1380" t="s">
        <v>233</v>
      </c>
      <c r="B111" s="1381"/>
      <c r="C111" s="1251"/>
      <c r="D111" s="699" t="s">
        <v>155</v>
      </c>
      <c r="E111" s="560">
        <f>'9'!F111</f>
        <v>3625</v>
      </c>
      <c r="F111" s="740">
        <v>3625</v>
      </c>
      <c r="G111" s="608">
        <f t="shared" si="11"/>
        <v>0</v>
      </c>
      <c r="H111" s="536">
        <f>G111+'9'!H111</f>
        <v>58</v>
      </c>
      <c r="I111" s="608"/>
      <c r="J111" s="635">
        <f>H111/DAY(B2)</f>
        <v>5.8</v>
      </c>
      <c r="N111" s="813"/>
    </row>
    <row r="112" spans="1:14" s="481" customFormat="1" ht="27.75">
      <c r="A112" s="1382" t="s">
        <v>121</v>
      </c>
      <c r="B112" s="1383"/>
      <c r="C112" s="1251"/>
      <c r="D112" s="699"/>
      <c r="E112" s="560"/>
      <c r="F112" s="740"/>
      <c r="G112" s="608">
        <f>SUM(G109:G111)</f>
        <v>143</v>
      </c>
      <c r="H112" s="536">
        <f>G112+'9'!H112</f>
        <v>1220</v>
      </c>
      <c r="I112" s="608"/>
      <c r="J112" s="635">
        <f>H112/DAY(B2)</f>
        <v>122</v>
      </c>
      <c r="N112" s="813"/>
    </row>
    <row r="113" spans="1:14" s="481" customFormat="1" ht="27.75">
      <c r="A113" s="1386" t="s">
        <v>234</v>
      </c>
      <c r="B113" s="1387"/>
      <c r="C113" s="1251"/>
      <c r="D113" s="699"/>
      <c r="E113" s="560"/>
      <c r="F113" s="740"/>
      <c r="G113" s="608"/>
      <c r="H113" s="536">
        <f>G113+'9'!H113</f>
        <v>0</v>
      </c>
      <c r="I113" s="608"/>
      <c r="J113" s="635">
        <f>H113/DAY(B2)</f>
        <v>0</v>
      </c>
      <c r="N113" s="813"/>
    </row>
    <row r="114" spans="1:14" s="481" customFormat="1" ht="27.75">
      <c r="A114" s="1380" t="s">
        <v>235</v>
      </c>
      <c r="B114" s="1381"/>
      <c r="C114" s="651"/>
      <c r="D114" s="699" t="s">
        <v>155</v>
      </c>
      <c r="E114" s="560">
        <f>'9'!F114</f>
        <v>9365</v>
      </c>
      <c r="F114" s="740">
        <v>9386</v>
      </c>
      <c r="G114" s="610">
        <f>F114-E114</f>
        <v>21</v>
      </c>
      <c r="H114" s="536">
        <f>G114+'9'!H114</f>
        <v>158</v>
      </c>
      <c r="I114" s="608"/>
      <c r="J114" s="635">
        <f>H114/DAY(B2)</f>
        <v>15.8</v>
      </c>
      <c r="N114" s="813"/>
    </row>
    <row r="115" spans="1:14" s="481" customFormat="1" ht="27.75">
      <c r="A115" s="1380" t="s">
        <v>236</v>
      </c>
      <c r="B115" s="1381"/>
      <c r="C115" s="651"/>
      <c r="D115" s="699" t="s">
        <v>155</v>
      </c>
      <c r="E115" s="560">
        <f>'9'!F115</f>
        <v>7253</v>
      </c>
      <c r="F115" s="740">
        <v>7263</v>
      </c>
      <c r="G115" s="610">
        <f t="shared" ref="G115:G116" si="12">F115-E115</f>
        <v>10</v>
      </c>
      <c r="H115" s="536">
        <f>G115+'9'!H115</f>
        <v>76</v>
      </c>
      <c r="I115" s="608"/>
      <c r="J115" s="635">
        <f>H115/DAY(B2)</f>
        <v>7.6</v>
      </c>
      <c r="N115" s="813"/>
    </row>
    <row r="116" spans="1:14" s="481" customFormat="1" ht="27.75">
      <c r="A116" s="1380" t="s">
        <v>237</v>
      </c>
      <c r="B116" s="1381"/>
      <c r="C116" s="651"/>
      <c r="D116" s="699" t="s">
        <v>155</v>
      </c>
      <c r="E116" s="610"/>
      <c r="F116" s="740"/>
      <c r="G116" s="610">
        <f t="shared" si="12"/>
        <v>0</v>
      </c>
      <c r="H116" s="536">
        <f>G116+'9'!H116</f>
        <v>0</v>
      </c>
      <c r="I116" s="608"/>
      <c r="J116" s="635">
        <f>H116/DAY(B2)</f>
        <v>0</v>
      </c>
      <c r="N116" s="813"/>
    </row>
    <row r="117" spans="1:14" s="494" customFormat="1" ht="27.75">
      <c r="A117" s="1382" t="s">
        <v>213</v>
      </c>
      <c r="B117" s="1383"/>
      <c r="C117" s="651"/>
      <c r="D117" s="700"/>
      <c r="E117" s="610"/>
      <c r="F117" s="740"/>
      <c r="G117" s="610">
        <f>SUM(G114:G116)</f>
        <v>31</v>
      </c>
      <c r="H117" s="536">
        <f>G117+'9'!H117</f>
        <v>234</v>
      </c>
      <c r="I117" s="610"/>
      <c r="J117" s="635">
        <f>H117/DAY(B2)</f>
        <v>23.4</v>
      </c>
      <c r="N117" s="813"/>
    </row>
    <row r="118" spans="1:14" s="495" customFormat="1" ht="27.75">
      <c r="A118" s="1376" t="s">
        <v>238</v>
      </c>
      <c r="B118" s="1377"/>
      <c r="C118" s="1249"/>
      <c r="D118" s="701" t="s">
        <v>155</v>
      </c>
      <c r="E118" s="612"/>
      <c r="F118" s="741">
        <f>SUM(G19+G92)</f>
        <v>140</v>
      </c>
      <c r="G118" s="612">
        <f>SUM(G19+G92)</f>
        <v>140</v>
      </c>
      <c r="H118" s="536">
        <f>G118+'9'!H118</f>
        <v>1203</v>
      </c>
      <c r="I118" s="611"/>
      <c r="J118" s="636">
        <f>H118/DAY(B2)</f>
        <v>120.3</v>
      </c>
      <c r="N118" s="813"/>
    </row>
    <row r="119" spans="1:14" s="495" customFormat="1" ht="27.75">
      <c r="A119" s="1376" t="s">
        <v>239</v>
      </c>
      <c r="B119" s="1377"/>
      <c r="C119" s="1249"/>
      <c r="D119" s="701" t="s">
        <v>155</v>
      </c>
      <c r="E119" s="612"/>
      <c r="F119" s="741">
        <f>SUM(G95,G96,G97,G99,G100)</f>
        <v>138</v>
      </c>
      <c r="G119" s="612">
        <f>SUM(G95,G96,G97,G99,G100)</f>
        <v>138</v>
      </c>
      <c r="H119" s="536">
        <f>G119+'9'!H119</f>
        <v>1188</v>
      </c>
      <c r="I119" s="611"/>
      <c r="J119" s="636">
        <f>H119/DAY(B2)</f>
        <v>118.8</v>
      </c>
      <c r="N119" s="813"/>
    </row>
    <row r="120" spans="1:14" s="495" customFormat="1" ht="27.75">
      <c r="A120" s="1376" t="s">
        <v>240</v>
      </c>
      <c r="B120" s="1377"/>
      <c r="C120" s="1249"/>
      <c r="D120" s="701" t="s">
        <v>155</v>
      </c>
      <c r="E120" s="610"/>
      <c r="F120" s="740">
        <f>SUM(G112)</f>
        <v>143</v>
      </c>
      <c r="G120" s="610">
        <f>SUM(G112)</f>
        <v>143</v>
      </c>
      <c r="H120" s="536">
        <f>G120+'9'!H120</f>
        <v>1220</v>
      </c>
      <c r="I120" s="611"/>
      <c r="J120" s="636">
        <f>H120/DAY(B2)</f>
        <v>122</v>
      </c>
      <c r="N120" s="813"/>
    </row>
    <row r="121" spans="1:14" s="481" customFormat="1" ht="27.75">
      <c r="A121" s="1378"/>
      <c r="B121" s="1379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813"/>
    </row>
    <row r="122" spans="1:14">
      <c r="A122" s="1416" t="s">
        <v>241</v>
      </c>
      <c r="B122" s="1417"/>
      <c r="C122" s="1418"/>
      <c r="D122" s="548"/>
      <c r="E122" s="548"/>
      <c r="F122" s="548"/>
      <c r="G122" s="559"/>
      <c r="H122" s="559"/>
      <c r="I122" s="559"/>
      <c r="J122" s="640"/>
      <c r="K122" s="411"/>
      <c r="L122" s="408"/>
      <c r="N122" s="8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'9'!F123</f>
        <v>797569</v>
      </c>
      <c r="F123" s="554">
        <v>797820</v>
      </c>
      <c r="G123" s="549">
        <f t="shared" ref="G123:G127" si="13">F123-E123</f>
        <v>251</v>
      </c>
      <c r="H123" s="536">
        <f>G123+'9'!H123</f>
        <v>2395.9499999999534</v>
      </c>
      <c r="I123" s="602"/>
      <c r="J123" s="629">
        <f>H123/DAY(B2)</f>
        <v>239.59499999999534</v>
      </c>
      <c r="K123" s="411"/>
      <c r="L123" s="408"/>
      <c r="N123" s="813"/>
    </row>
    <row r="124" spans="1:14" ht="27.75">
      <c r="A124" s="1252" t="s">
        <v>243</v>
      </c>
      <c r="B124" s="1253"/>
      <c r="C124" s="1253"/>
      <c r="D124" s="599" t="s">
        <v>152</v>
      </c>
      <c r="E124" s="703">
        <f>'9'!F124</f>
        <v>73582</v>
      </c>
      <c r="F124" s="703">
        <v>73582</v>
      </c>
      <c r="G124" s="549">
        <f t="shared" si="13"/>
        <v>0</v>
      </c>
      <c r="H124" s="536">
        <f>G124+'9'!H124</f>
        <v>-0.19999999999708962</v>
      </c>
      <c r="I124" s="602"/>
      <c r="J124" s="629">
        <f>H124/DAY(B2)</f>
        <v>-1.9999999999708962E-2</v>
      </c>
      <c r="K124" s="411"/>
      <c r="L124" s="408"/>
      <c r="N124" s="813"/>
    </row>
    <row r="125" spans="1:14" ht="27.75">
      <c r="A125" s="1367" t="s">
        <v>244</v>
      </c>
      <c r="B125" s="1368"/>
      <c r="C125" s="1369"/>
      <c r="D125" s="599" t="s">
        <v>152</v>
      </c>
      <c r="E125" s="554">
        <f>'9'!F125</f>
        <v>136184</v>
      </c>
      <c r="F125" s="554">
        <v>136274</v>
      </c>
      <c r="G125" s="549">
        <f t="shared" si="13"/>
        <v>90</v>
      </c>
      <c r="H125" s="536">
        <f>G125+'9'!H125</f>
        <v>683.32999999998719</v>
      </c>
      <c r="I125" s="602"/>
      <c r="J125" s="629">
        <f>H125/DAY(B2)</f>
        <v>68.332999999998719</v>
      </c>
      <c r="K125" s="411"/>
      <c r="L125" s="408"/>
      <c r="N125" s="813"/>
    </row>
    <row r="126" spans="1:14" ht="27.75">
      <c r="A126" s="686" t="s">
        <v>245</v>
      </c>
      <c r="B126" s="1253"/>
      <c r="C126" s="1253"/>
      <c r="D126" s="599" t="s">
        <v>152</v>
      </c>
      <c r="E126" s="703">
        <f>'9'!F126</f>
        <v>57640</v>
      </c>
      <c r="F126" s="703">
        <v>57684</v>
      </c>
      <c r="G126" s="549">
        <f t="shared" si="13"/>
        <v>44</v>
      </c>
      <c r="H126" s="536">
        <f>G126+'9'!H126</f>
        <v>303</v>
      </c>
      <c r="I126" s="602"/>
      <c r="J126" s="629">
        <f>H126/DAY(B2)</f>
        <v>30.3</v>
      </c>
      <c r="K126" s="411"/>
      <c r="L126" s="408"/>
      <c r="N126" s="813"/>
    </row>
    <row r="127" spans="1:14" ht="27.75">
      <c r="A127" s="686" t="s">
        <v>246</v>
      </c>
      <c r="B127" s="1253"/>
      <c r="C127" s="1253"/>
      <c r="D127" s="599" t="s">
        <v>152</v>
      </c>
      <c r="E127" s="703">
        <f>'9'!F127</f>
        <v>8721</v>
      </c>
      <c r="F127" s="703">
        <v>8726</v>
      </c>
      <c r="G127" s="549">
        <f t="shared" si="13"/>
        <v>5</v>
      </c>
      <c r="H127" s="536">
        <f>G127+'9'!H127</f>
        <v>20</v>
      </c>
      <c r="I127" s="556"/>
      <c r="J127" s="629">
        <f>H127/DAY(B2)</f>
        <v>2</v>
      </c>
      <c r="K127" s="411"/>
      <c r="L127" s="408"/>
      <c r="N127" s="8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386</v>
      </c>
      <c r="H128" s="536"/>
      <c r="I128" s="556"/>
      <c r="J128" s="629"/>
      <c r="K128" s="391"/>
      <c r="L128" s="293"/>
      <c r="N128" s="8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'9'!F130</f>
        <v>0</v>
      </c>
      <c r="F130" s="554">
        <v>0</v>
      </c>
      <c r="G130" s="549">
        <f t="shared" ref="G130:G140" si="14">F130-E130</f>
        <v>0</v>
      </c>
      <c r="H130" s="536">
        <f>G130+'9'!H130</f>
        <v>0</v>
      </c>
      <c r="I130" s="556"/>
      <c r="J130" s="629">
        <f>H130/DAY(B2)</f>
        <v>0</v>
      </c>
      <c r="N130" s="8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'9'!F131</f>
        <v>0</v>
      </c>
      <c r="F131" s="554">
        <v>0</v>
      </c>
      <c r="G131" s="549">
        <f t="shared" si="14"/>
        <v>0</v>
      </c>
      <c r="H131" s="536">
        <f>G131+'9'!H131</f>
        <v>0</v>
      </c>
      <c r="I131" s="556"/>
      <c r="J131" s="629">
        <f>H131/DAY(B2)</f>
        <v>0</v>
      </c>
      <c r="N131" s="813"/>
    </row>
    <row r="132" spans="1:14" ht="27.75">
      <c r="A132" s="1252" t="s">
        <v>252</v>
      </c>
      <c r="B132" s="1253"/>
      <c r="C132" s="1253"/>
      <c r="D132" s="599" t="s">
        <v>250</v>
      </c>
      <c r="E132" s="782">
        <f>'9'!F132</f>
        <v>38901</v>
      </c>
      <c r="F132" s="703">
        <v>38901</v>
      </c>
      <c r="G132" s="549">
        <f t="shared" si="14"/>
        <v>0</v>
      </c>
      <c r="H132" s="536">
        <f>G132+'9'!H132</f>
        <v>0</v>
      </c>
      <c r="I132" s="556"/>
      <c r="J132" s="629">
        <f>H132/DAY(B2)</f>
        <v>0</v>
      </c>
      <c r="N132" s="813"/>
    </row>
    <row r="133" spans="1:14" ht="27.75">
      <c r="A133" s="1252" t="s">
        <v>253</v>
      </c>
      <c r="B133" s="1253"/>
      <c r="C133" s="1253"/>
      <c r="D133" s="599" t="s">
        <v>250</v>
      </c>
      <c r="E133" s="598">
        <f>'9'!F133</f>
        <v>299</v>
      </c>
      <c r="F133" s="561">
        <v>299</v>
      </c>
      <c r="G133" s="549">
        <f t="shared" si="14"/>
        <v>0</v>
      </c>
      <c r="H133" s="536">
        <f>G133+'9'!H133</f>
        <v>0</v>
      </c>
      <c r="I133" s="556">
        <f>G130+G131+G132+G133</f>
        <v>0</v>
      </c>
      <c r="J133" s="629">
        <f>H133/DAY(B2)</f>
        <v>0</v>
      </c>
      <c r="N133" s="813"/>
    </row>
    <row r="134" spans="1:14" ht="27.75">
      <c r="A134" s="1252" t="s">
        <v>254</v>
      </c>
      <c r="B134" s="1253"/>
      <c r="C134" s="1253"/>
      <c r="D134" s="599" t="s">
        <v>250</v>
      </c>
      <c r="E134" s="782">
        <f>'9'!F134</f>
        <v>39735</v>
      </c>
      <c r="F134" s="703">
        <v>39735</v>
      </c>
      <c r="G134" s="549">
        <f t="shared" si="14"/>
        <v>0</v>
      </c>
      <c r="H134" s="536">
        <f>G134+'9'!H134</f>
        <v>0</v>
      </c>
      <c r="I134" s="556"/>
      <c r="J134" s="629">
        <f>H134/DAY(B2)</f>
        <v>0</v>
      </c>
      <c r="N134" s="813"/>
    </row>
    <row r="135" spans="1:14" ht="27.75">
      <c r="A135" s="1252" t="s">
        <v>255</v>
      </c>
      <c r="B135" s="1253"/>
      <c r="C135" s="1253"/>
      <c r="D135" s="599" t="s">
        <v>250</v>
      </c>
      <c r="E135" s="782">
        <f>'9'!F135</f>
        <v>32384</v>
      </c>
      <c r="F135" s="703">
        <v>32408</v>
      </c>
      <c r="G135" s="549">
        <f t="shared" si="14"/>
        <v>24</v>
      </c>
      <c r="H135" s="536">
        <f>G135+'9'!H135</f>
        <v>240.61000000000058</v>
      </c>
      <c r="I135" s="556"/>
      <c r="J135" s="629">
        <f>H135/DAY(B2)</f>
        <v>24.061000000000057</v>
      </c>
      <c r="N135" s="813"/>
    </row>
    <row r="136" spans="1:14" ht="27.75">
      <c r="A136" s="1252" t="s">
        <v>256</v>
      </c>
      <c r="B136" s="1253"/>
      <c r="C136" s="1253"/>
      <c r="D136" s="599" t="s">
        <v>250</v>
      </c>
      <c r="E136" s="618">
        <f>'9'!F136</f>
        <v>21851.85</v>
      </c>
      <c r="F136" s="732">
        <v>21855.96</v>
      </c>
      <c r="G136" s="549">
        <f t="shared" si="14"/>
        <v>4.1100000000005821</v>
      </c>
      <c r="H136" s="536">
        <f>G136+'9'!H136</f>
        <v>54.259999999998399</v>
      </c>
      <c r="I136" s="556">
        <f>G134+G135+G136</f>
        <v>28.110000000000582</v>
      </c>
      <c r="J136" s="629">
        <f>H136/DAY(B2)</f>
        <v>5.4259999999998403</v>
      </c>
      <c r="N136" s="813"/>
    </row>
    <row r="137" spans="1:14" ht="27.75">
      <c r="A137" s="1252" t="s">
        <v>257</v>
      </c>
      <c r="B137" s="1253"/>
      <c r="C137" s="1253"/>
      <c r="D137" s="599" t="s">
        <v>250</v>
      </c>
      <c r="E137" s="618">
        <f>'9'!F137</f>
        <v>24990.61</v>
      </c>
      <c r="F137" s="732">
        <v>24990.61</v>
      </c>
      <c r="G137" s="549">
        <f t="shared" si="14"/>
        <v>0</v>
      </c>
      <c r="H137" s="536">
        <f>G137+'9'!H137</f>
        <v>0</v>
      </c>
      <c r="I137" s="556"/>
      <c r="J137" s="629">
        <f>H137/DAY(B2)</f>
        <v>0</v>
      </c>
      <c r="N137" s="813"/>
    </row>
    <row r="138" spans="1:14" ht="27.75">
      <c r="A138" s="1252" t="s">
        <v>258</v>
      </c>
      <c r="B138" s="1253"/>
      <c r="C138" s="1253"/>
      <c r="D138" s="599" t="s">
        <v>250</v>
      </c>
      <c r="E138" s="618">
        <f>'9'!F138</f>
        <v>70027.539999999994</v>
      </c>
      <c r="F138" s="732">
        <v>70032.31</v>
      </c>
      <c r="G138" s="549">
        <f t="shared" si="14"/>
        <v>4.7700000000040745</v>
      </c>
      <c r="H138" s="536">
        <f>G138+'9'!H138</f>
        <v>25.940000000002328</v>
      </c>
      <c r="I138" s="556">
        <f>G137+G138</f>
        <v>4.7700000000040745</v>
      </c>
      <c r="J138" s="629">
        <f>H138/DAY(B2)</f>
        <v>2.594000000000233</v>
      </c>
      <c r="N138" s="813"/>
    </row>
    <row r="139" spans="1:14" ht="27.75">
      <c r="A139" s="1252" t="s">
        <v>259</v>
      </c>
      <c r="B139" s="1253"/>
      <c r="C139" s="1253"/>
      <c r="D139" s="599" t="s">
        <v>250</v>
      </c>
      <c r="E139" s="782">
        <f>'9'!F139</f>
        <v>1063</v>
      </c>
      <c r="F139" s="703">
        <v>1063</v>
      </c>
      <c r="G139" s="549">
        <f t="shared" si="14"/>
        <v>0</v>
      </c>
      <c r="H139" s="536">
        <f>G139+'9'!H139</f>
        <v>0</v>
      </c>
      <c r="I139" s="619"/>
      <c r="J139" s="629">
        <f>H139/DAY(B2)</f>
        <v>0</v>
      </c>
      <c r="N139" s="8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'9'!F140</f>
        <v>4303.12</v>
      </c>
      <c r="F140" s="554">
        <v>4311.38</v>
      </c>
      <c r="G140" s="549">
        <f t="shared" si="14"/>
        <v>8.2600000000002183</v>
      </c>
      <c r="H140" s="536">
        <f>G140+'9'!H140</f>
        <v>78.970000000000255</v>
      </c>
      <c r="I140" s="619"/>
      <c r="J140" s="629">
        <f>H140/DAY(B2)</f>
        <v>7.8970000000000251</v>
      </c>
      <c r="N140" s="813"/>
    </row>
    <row r="141" spans="1:14">
      <c r="A141" s="1397" t="s">
        <v>261</v>
      </c>
      <c r="B141" s="1398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813"/>
    </row>
    <row r="142" spans="1:14" ht="27.75">
      <c r="A142" s="1388" t="s">
        <v>262</v>
      </c>
      <c r="B142" s="1389"/>
      <c r="C142" s="1390"/>
      <c r="D142" s="599" t="s">
        <v>143</v>
      </c>
      <c r="E142" s="599"/>
      <c r="F142" s="599"/>
      <c r="G142" s="536">
        <f>G35+G43+G49+G57</f>
        <v>4907</v>
      </c>
      <c r="H142" s="536">
        <f>G142+'9'!H142</f>
        <v>48531.569999999949</v>
      </c>
      <c r="I142" s="556"/>
      <c r="J142" s="629">
        <f>H142/DAY(B2)</f>
        <v>4853.1569999999947</v>
      </c>
      <c r="K142" s="411"/>
      <c r="L142" s="408"/>
      <c r="N142" s="813"/>
    </row>
    <row r="143" spans="1:14" ht="27.75">
      <c r="A143" s="1388" t="s">
        <v>263</v>
      </c>
      <c r="B143" s="1389"/>
      <c r="C143" s="1390"/>
      <c r="D143" s="599" t="s">
        <v>24</v>
      </c>
      <c r="E143" s="587"/>
      <c r="F143" s="587"/>
      <c r="G143" s="620">
        <f>G142/G7</f>
        <v>0.24281260824385176</v>
      </c>
      <c r="H143" s="536">
        <f>G143+'9'!H143</f>
        <v>2.4025898209997187</v>
      </c>
      <c r="I143" s="621"/>
      <c r="J143" s="629">
        <f>H143/DAY(B2)</f>
        <v>0.24025898209997187</v>
      </c>
      <c r="K143" s="411"/>
      <c r="L143" s="408"/>
      <c r="N143" s="813"/>
    </row>
    <row r="144" spans="1:14" ht="27.75">
      <c r="A144" s="1388" t="s">
        <v>264</v>
      </c>
      <c r="B144" s="1389"/>
      <c r="C144" s="1390"/>
      <c r="D144" s="599" t="s">
        <v>143</v>
      </c>
      <c r="E144" s="531"/>
      <c r="F144" s="531"/>
      <c r="G144" s="536">
        <f>G41+G42+G55+G56</f>
        <v>4689</v>
      </c>
      <c r="H144" s="536">
        <f>G144+'9'!H144</f>
        <v>41342.840000000026</v>
      </c>
      <c r="I144" s="556"/>
      <c r="J144" s="629">
        <f>H144/DAY(B2)</f>
        <v>4134.2840000000024</v>
      </c>
      <c r="K144" s="411"/>
      <c r="L144" s="408"/>
      <c r="N144" s="813"/>
    </row>
    <row r="145" spans="1:14" ht="27.75">
      <c r="A145" s="1388" t="s">
        <v>265</v>
      </c>
      <c r="B145" s="1389"/>
      <c r="C145" s="1390"/>
      <c r="D145" s="599" t="s">
        <v>24</v>
      </c>
      <c r="E145" s="531"/>
      <c r="F145" s="531"/>
      <c r="G145" s="620">
        <f>G144/G7</f>
        <v>0.23202533524667227</v>
      </c>
      <c r="H145" s="536">
        <f>G145+'9'!H145</f>
        <v>2.1798004221684568</v>
      </c>
      <c r="I145" s="621"/>
      <c r="J145" s="629">
        <f>H145/DAY(B2)</f>
        <v>0.21798004221684569</v>
      </c>
      <c r="K145" s="411"/>
      <c r="L145" s="408"/>
      <c r="N145" s="813"/>
    </row>
    <row r="146" spans="1:14" ht="27.75">
      <c r="A146" s="1388" t="s">
        <v>266</v>
      </c>
      <c r="B146" s="1389"/>
      <c r="C146" s="1390"/>
      <c r="D146" s="599" t="s">
        <v>143</v>
      </c>
      <c r="E146" s="531"/>
      <c r="F146" s="531"/>
      <c r="G146" s="536">
        <f>G39+G53</f>
        <v>4463</v>
      </c>
      <c r="H146" s="536">
        <f>G146+'9'!H146</f>
        <v>40417.03</v>
      </c>
      <c r="I146" s="622"/>
      <c r="J146" s="629">
        <f>H146/DAY(B2)</f>
        <v>4041.703</v>
      </c>
      <c r="K146" s="411"/>
      <c r="L146" s="408"/>
      <c r="N146" s="813"/>
    </row>
    <row r="147" spans="1:14" ht="27.75">
      <c r="A147" s="1388" t="s">
        <v>267</v>
      </c>
      <c r="B147" s="1389"/>
      <c r="C147" s="1390"/>
      <c r="D147" s="599" t="s">
        <v>24</v>
      </c>
      <c r="E147" s="531"/>
      <c r="F147" s="531"/>
      <c r="G147" s="620">
        <f>G146/G7</f>
        <v>0.22084219902023849</v>
      </c>
      <c r="H147" s="536">
        <f>G147+'9'!H147</f>
        <v>2.1382041867142831</v>
      </c>
      <c r="I147" s="622"/>
      <c r="J147" s="629">
        <f>H147/DAY(B2)</f>
        <v>0.21382041867142831</v>
      </c>
      <c r="N147" s="813"/>
    </row>
    <row r="148" spans="1:14" ht="27.75">
      <c r="A148" s="1388" t="s">
        <v>268</v>
      </c>
      <c r="B148" s="1389"/>
      <c r="C148" s="1390"/>
      <c r="D148" s="599" t="s">
        <v>194</v>
      </c>
      <c r="E148" s="531"/>
      <c r="F148" s="531"/>
      <c r="G148" s="536">
        <f>G38+G52</f>
        <v>2096</v>
      </c>
      <c r="H148" s="536">
        <f>G148+'9'!H148</f>
        <v>20118.369999999995</v>
      </c>
      <c r="I148" s="556"/>
      <c r="J148" s="629">
        <f>H148/DAY(B2)</f>
        <v>2011.8369999999995</v>
      </c>
      <c r="K148" s="412"/>
      <c r="N148" s="813"/>
    </row>
    <row r="149" spans="1:14" ht="27.75">
      <c r="A149" s="1388" t="s">
        <v>269</v>
      </c>
      <c r="B149" s="1389"/>
      <c r="C149" s="1390"/>
      <c r="D149" s="599" t="s">
        <v>24</v>
      </c>
      <c r="E149" s="531"/>
      <c r="F149" s="531"/>
      <c r="G149" s="620">
        <f>G148/G7</f>
        <v>0.10371616606462467</v>
      </c>
      <c r="H149" s="536">
        <f>G149+'9'!H149</f>
        <v>1.0649471163920308</v>
      </c>
      <c r="I149" s="622"/>
      <c r="J149" s="629">
        <f>H149/DAY(B2)</f>
        <v>0.10649471163920307</v>
      </c>
      <c r="N149" s="813"/>
    </row>
    <row r="150" spans="1:14" ht="27.75">
      <c r="A150" s="1388" t="s">
        <v>270</v>
      </c>
      <c r="B150" s="1389"/>
      <c r="C150" s="1390"/>
      <c r="D150" s="599" t="s">
        <v>194</v>
      </c>
      <c r="E150" s="531"/>
      <c r="F150" s="531"/>
      <c r="G150" s="536">
        <f>G36+G50</f>
        <v>1918</v>
      </c>
      <c r="H150" s="536">
        <f>G150+'9'!H150</f>
        <v>17434.5</v>
      </c>
      <c r="I150" s="622"/>
      <c r="J150" s="629">
        <f>H150/DAY(B2)</f>
        <v>1743.45</v>
      </c>
      <c r="N150" s="813"/>
    </row>
    <row r="151" spans="1:14" ht="27.75">
      <c r="A151" s="1388" t="s">
        <v>271</v>
      </c>
      <c r="B151" s="1389"/>
      <c r="C151" s="1390"/>
      <c r="D151" s="599" t="s">
        <v>24</v>
      </c>
      <c r="E151" s="531"/>
      <c r="F151" s="531"/>
      <c r="G151" s="620">
        <f>G150/G7</f>
        <v>9.4908209213716663E-2</v>
      </c>
      <c r="H151" s="536">
        <f>G151+'9'!H151</f>
        <v>0.92386730679351869</v>
      </c>
      <c r="I151" s="556"/>
      <c r="J151" s="629">
        <f>H151/DAY(B2)</f>
        <v>9.2386730679351867E-2</v>
      </c>
      <c r="N151" s="813"/>
    </row>
    <row r="152" spans="1:14" ht="27.75">
      <c r="A152" s="1388" t="s">
        <v>272</v>
      </c>
      <c r="B152" s="1389"/>
      <c r="C152" s="1390"/>
      <c r="D152" s="599" t="s">
        <v>194</v>
      </c>
      <c r="E152" s="531"/>
      <c r="F152" s="531"/>
      <c r="G152" s="536">
        <f>G37+G51</f>
        <v>1451</v>
      </c>
      <c r="H152" s="536">
        <f>G152+'9'!H152</f>
        <v>14199.89</v>
      </c>
      <c r="I152" s="556"/>
      <c r="J152" s="629">
        <f>H152/DAY(B2)</f>
        <v>1419.989</v>
      </c>
      <c r="N152" s="813"/>
    </row>
    <row r="153" spans="1:14" ht="28.5" thickBot="1">
      <c r="A153" s="1394" t="s">
        <v>273</v>
      </c>
      <c r="B153" s="1395"/>
      <c r="C153" s="1396"/>
      <c r="D153" s="702" t="s">
        <v>24</v>
      </c>
      <c r="E153" s="642"/>
      <c r="F153" s="642"/>
      <c r="G153" s="643">
        <f>G152/G7</f>
        <v>7.1799693205997328E-2</v>
      </c>
      <c r="H153" s="644">
        <f>G153+'9'!H153</f>
        <v>0.75236552535557455</v>
      </c>
      <c r="I153" s="645"/>
      <c r="J153" s="646">
        <f>H153/DAY(B2)</f>
        <v>7.5236552535557458E-2</v>
      </c>
      <c r="N153" s="8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3"/>
    </row>
    <row r="157" spans="1:14" ht="27.75">
      <c r="A157" s="1425" t="s">
        <v>278</v>
      </c>
      <c r="B157" s="1426"/>
      <c r="C157" s="1426"/>
      <c r="D157" s="1426"/>
      <c r="E157" s="1426"/>
      <c r="F157" s="1426"/>
      <c r="G157" s="1427"/>
    </row>
    <row r="158" spans="1:14">
      <c r="A158" s="889"/>
      <c r="B158" s="890"/>
      <c r="C158" s="890"/>
      <c r="D158" s="587"/>
      <c r="E158" s="531"/>
      <c r="F158" s="739"/>
      <c r="G158" s="549"/>
    </row>
    <row r="159" spans="1:14">
      <c r="A159" s="889"/>
      <c r="B159" s="890"/>
      <c r="C159" s="890"/>
      <c r="D159" s="587"/>
      <c r="E159" s="531"/>
      <c r="F159" s="739"/>
      <c r="G159" s="549"/>
    </row>
    <row r="160" spans="1:14">
      <c r="A160" s="889" t="s">
        <v>274</v>
      </c>
      <c r="B160" s="890"/>
      <c r="C160" s="890"/>
      <c r="D160" s="587" t="s">
        <v>198</v>
      </c>
      <c r="E160" s="1169">
        <f>'9'!F160</f>
        <v>26716</v>
      </c>
      <c r="F160" s="739">
        <v>26786</v>
      </c>
      <c r="G160" s="549">
        <f>F160-E160</f>
        <v>70</v>
      </c>
    </row>
    <row r="161" spans="1:8">
      <c r="A161" s="889" t="s">
        <v>275</v>
      </c>
      <c r="B161" s="890"/>
      <c r="C161" s="890"/>
      <c r="D161" s="587" t="s">
        <v>198</v>
      </c>
      <c r="E161" s="1169">
        <f>'9'!F161</f>
        <v>32510</v>
      </c>
      <c r="F161" s="739">
        <v>32977</v>
      </c>
      <c r="G161" s="549">
        <f t="shared" ref="G161:G171" si="15">F161-E161</f>
        <v>467</v>
      </c>
    </row>
    <row r="162" spans="1:8">
      <c r="A162" s="889" t="s">
        <v>276</v>
      </c>
      <c r="B162" s="890"/>
      <c r="C162" s="890"/>
      <c r="D162" s="587" t="s">
        <v>198</v>
      </c>
      <c r="E162" s="1169">
        <f>'9'!F162</f>
        <v>7048</v>
      </c>
      <c r="F162" s="739">
        <v>7572</v>
      </c>
      <c r="G162" s="549">
        <f t="shared" si="15"/>
        <v>524</v>
      </c>
      <c r="H162" s="590"/>
    </row>
    <row r="163" spans="1:8">
      <c r="A163" s="889" t="s">
        <v>277</v>
      </c>
      <c r="B163" s="890"/>
      <c r="C163" s="890"/>
      <c r="D163" s="587" t="s">
        <v>198</v>
      </c>
      <c r="E163" s="1169">
        <f>'9'!F163</f>
        <v>4540</v>
      </c>
      <c r="F163" s="739">
        <v>4562</v>
      </c>
      <c r="G163" s="549">
        <f t="shared" si="15"/>
        <v>22</v>
      </c>
    </row>
    <row r="164" spans="1:8">
      <c r="A164" s="891" t="s">
        <v>106</v>
      </c>
      <c r="B164" s="681"/>
      <c r="C164" s="681"/>
      <c r="D164" s="587" t="s">
        <v>198</v>
      </c>
      <c r="E164" s="1169">
        <f>'9'!F164</f>
        <v>20419</v>
      </c>
      <c r="F164" s="590">
        <f>F62</f>
        <v>20419</v>
      </c>
      <c r="G164" s="549">
        <f t="shared" si="15"/>
        <v>0</v>
      </c>
    </row>
    <row r="165" spans="1:8" ht="34.5" customHeight="1">
      <c r="A165" s="891" t="s">
        <v>199</v>
      </c>
      <c r="B165" s="681"/>
      <c r="C165" s="681"/>
      <c r="D165" s="587" t="s">
        <v>198</v>
      </c>
      <c r="E165" s="1169">
        <f>'9'!F165</f>
        <v>1146</v>
      </c>
      <c r="F165" s="590">
        <f t="shared" ref="F165:F171" si="16">F63</f>
        <v>1150</v>
      </c>
      <c r="G165" s="549">
        <f t="shared" si="15"/>
        <v>4</v>
      </c>
    </row>
    <row r="166" spans="1:8" ht="31.5" customHeight="1">
      <c r="A166" s="1363" t="s">
        <v>107</v>
      </c>
      <c r="B166" s="1363"/>
      <c r="C166" s="1363"/>
      <c r="D166" s="599" t="s">
        <v>198</v>
      </c>
      <c r="E166" s="1169">
        <f>'9'!F166</f>
        <v>101962</v>
      </c>
      <c r="F166" s="590">
        <f t="shared" si="16"/>
        <v>102333</v>
      </c>
      <c r="G166" s="549">
        <f t="shared" si="15"/>
        <v>371</v>
      </c>
    </row>
    <row r="167" spans="1:8" ht="21.75" customHeight="1">
      <c r="A167" s="1363" t="s">
        <v>108</v>
      </c>
      <c r="B167" s="1363"/>
      <c r="C167" s="1363"/>
      <c r="D167" s="599" t="s">
        <v>198</v>
      </c>
      <c r="E167" s="1169">
        <f>'9'!F167</f>
        <v>112560</v>
      </c>
      <c r="F167" s="590">
        <f t="shared" si="16"/>
        <v>112995</v>
      </c>
      <c r="G167" s="549">
        <f t="shared" si="15"/>
        <v>435</v>
      </c>
    </row>
    <row r="168" spans="1:8" ht="27.75" customHeight="1">
      <c r="A168" s="1363" t="s">
        <v>109</v>
      </c>
      <c r="B168" s="1363"/>
      <c r="C168" s="1363"/>
      <c r="D168" s="599" t="s">
        <v>198</v>
      </c>
      <c r="E168" s="1169">
        <f>'9'!F168</f>
        <v>5806</v>
      </c>
      <c r="F168" s="590">
        <f t="shared" si="16"/>
        <v>6188</v>
      </c>
      <c r="G168" s="549">
        <f t="shared" si="15"/>
        <v>382</v>
      </c>
    </row>
    <row r="169" spans="1:8" ht="21.75" customHeight="1">
      <c r="A169" s="1363" t="s">
        <v>110</v>
      </c>
      <c r="B169" s="1363"/>
      <c r="C169" s="1363"/>
      <c r="D169" s="599" t="s">
        <v>198</v>
      </c>
      <c r="E169" s="1169">
        <f>'9'!F169</f>
        <v>174007</v>
      </c>
      <c r="F169" s="590">
        <f t="shared" si="16"/>
        <v>174708</v>
      </c>
      <c r="G169" s="549">
        <f t="shared" si="15"/>
        <v>701</v>
      </c>
    </row>
    <row r="170" spans="1:8" ht="27.75" customHeight="1">
      <c r="A170" s="1363" t="s">
        <v>111</v>
      </c>
      <c r="B170" s="1363"/>
      <c r="C170" s="1363"/>
      <c r="D170" s="599" t="s">
        <v>198</v>
      </c>
      <c r="E170" s="1169">
        <f>'9'!F170</f>
        <v>56205</v>
      </c>
      <c r="F170" s="590">
        <f t="shared" si="16"/>
        <v>56505</v>
      </c>
      <c r="G170" s="549">
        <f t="shared" si="15"/>
        <v>300</v>
      </c>
    </row>
    <row r="171" spans="1:8" ht="27.75">
      <c r="A171" s="1363" t="s">
        <v>112</v>
      </c>
      <c r="B171" s="1363"/>
      <c r="C171" s="1363"/>
      <c r="D171" s="599" t="s">
        <v>198</v>
      </c>
      <c r="E171" s="1169">
        <f>'9'!F171</f>
        <v>49182</v>
      </c>
      <c r="F171" s="590">
        <f t="shared" si="16"/>
        <v>49481</v>
      </c>
      <c r="G171" s="549">
        <f t="shared" si="15"/>
        <v>299</v>
      </c>
    </row>
    <row r="176" spans="1:8" ht="18.75" customHeight="1"/>
    <row r="177" spans="1:7" ht="44.25" customHeight="1">
      <c r="A177" s="530" t="s">
        <v>228</v>
      </c>
    </row>
    <row r="178" spans="1:7" ht="21.75" customHeight="1">
      <c r="A178" s="530" t="s">
        <v>229</v>
      </c>
    </row>
    <row r="179" spans="1:7" ht="21.75" customHeight="1">
      <c r="A179" s="530" t="s">
        <v>230</v>
      </c>
      <c r="D179" s="614" t="s">
        <v>155</v>
      </c>
      <c r="E179" s="614">
        <v>7010</v>
      </c>
      <c r="F179" s="744">
        <v>7010</v>
      </c>
      <c r="G179" s="614">
        <f>F179-E179</f>
        <v>0</v>
      </c>
    </row>
    <row r="180" spans="1:7" ht="21.75" customHeight="1">
      <c r="A180" s="530" t="s">
        <v>77</v>
      </c>
      <c r="D180" s="614" t="s">
        <v>155</v>
      </c>
      <c r="E180" s="614">
        <v>34070</v>
      </c>
      <c r="F180" s="744">
        <v>34070</v>
      </c>
      <c r="G180" s="614">
        <f t="shared" ref="G180:G181" si="17">F180-E180</f>
        <v>0</v>
      </c>
    </row>
    <row r="181" spans="1:7" ht="21.75" customHeight="1">
      <c r="A181" s="530" t="s">
        <v>78</v>
      </c>
      <c r="D181" s="614" t="s">
        <v>155</v>
      </c>
      <c r="E181" s="614">
        <v>18160</v>
      </c>
      <c r="F181" s="744">
        <v>18171</v>
      </c>
      <c r="G181" s="614">
        <f t="shared" si="17"/>
        <v>11</v>
      </c>
    </row>
    <row r="182" spans="1:7" ht="21.75" customHeight="1">
      <c r="A182" s="530" t="s">
        <v>213</v>
      </c>
      <c r="G182" s="614">
        <f>SUM(G179:G181)</f>
        <v>11</v>
      </c>
    </row>
    <row r="183" spans="1:7" ht="21.75" customHeight="1">
      <c r="A183" s="530" t="s">
        <v>79</v>
      </c>
      <c r="D183" s="614" t="s">
        <v>155</v>
      </c>
    </row>
    <row r="184" spans="1:7" ht="21.75" customHeight="1">
      <c r="A184" s="530" t="s">
        <v>231</v>
      </c>
      <c r="D184" s="614" t="s">
        <v>155</v>
      </c>
      <c r="E184" s="614">
        <v>42234</v>
      </c>
      <c r="F184" s="744">
        <v>42285</v>
      </c>
      <c r="G184" s="614">
        <f>F184-E184</f>
        <v>51</v>
      </c>
    </row>
    <row r="185" spans="1:7" ht="21.75" customHeight="1">
      <c r="A185" s="530" t="s">
        <v>232</v>
      </c>
      <c r="D185" s="614" t="s">
        <v>155</v>
      </c>
      <c r="E185" s="614">
        <v>20656</v>
      </c>
      <c r="F185" s="744">
        <v>20656</v>
      </c>
      <c r="G185" s="614">
        <f t="shared" ref="G185:G186" si="18">F185-E185</f>
        <v>0</v>
      </c>
    </row>
    <row r="186" spans="1:7" ht="21.75" customHeight="1">
      <c r="A186" s="530" t="s">
        <v>233</v>
      </c>
      <c r="D186" s="614" t="s">
        <v>155</v>
      </c>
      <c r="E186" s="614">
        <v>2801</v>
      </c>
      <c r="F186" s="744">
        <v>2801</v>
      </c>
      <c r="G186" s="614">
        <f t="shared" si="18"/>
        <v>0</v>
      </c>
    </row>
    <row r="187" spans="1:7" ht="21.75" customHeight="1">
      <c r="A187" s="530" t="s">
        <v>121</v>
      </c>
      <c r="G187" s="614">
        <f>SUM(G184:G186)</f>
        <v>51</v>
      </c>
    </row>
    <row r="188" spans="1:7" ht="21.75" customHeight="1">
      <c r="A188" s="530" t="s">
        <v>234</v>
      </c>
    </row>
    <row r="189" spans="1:7" ht="21.75" customHeight="1">
      <c r="A189" s="530" t="s">
        <v>235</v>
      </c>
      <c r="D189" s="614" t="s">
        <v>155</v>
      </c>
      <c r="E189" s="614">
        <v>6979</v>
      </c>
      <c r="F189" s="744">
        <v>6983</v>
      </c>
      <c r="G189" s="614">
        <f>F189-E189</f>
        <v>4</v>
      </c>
    </row>
    <row r="190" spans="1:7" ht="21.75" customHeight="1">
      <c r="A190" s="530" t="s">
        <v>236</v>
      </c>
      <c r="D190" s="614" t="s">
        <v>155</v>
      </c>
      <c r="E190" s="614">
        <v>5846</v>
      </c>
      <c r="F190" s="744">
        <v>5849</v>
      </c>
      <c r="G190" s="614">
        <f t="shared" ref="G190:G191" si="19">F190-E190</f>
        <v>3</v>
      </c>
    </row>
    <row r="191" spans="1:7" ht="21.75" customHeight="1">
      <c r="A191" s="530" t="s">
        <v>237</v>
      </c>
      <c r="D191" s="614" t="s">
        <v>155</v>
      </c>
      <c r="G191" s="614">
        <f t="shared" si="19"/>
        <v>0</v>
      </c>
    </row>
    <row r="192" spans="1:7" ht="21.75" customHeight="1"/>
    <row r="193" spans="1:8" ht="36.75" customHeight="1">
      <c r="A193" s="530" t="s">
        <v>213</v>
      </c>
      <c r="G193" s="614">
        <f>SUM(G189:G191)</f>
        <v>7</v>
      </c>
    </row>
    <row r="194" spans="1:8">
      <c r="A194" s="530" t="s">
        <v>238</v>
      </c>
      <c r="D194" s="614" t="s">
        <v>155</v>
      </c>
      <c r="F194" s="744">
        <f>SUM(G92+G19)</f>
        <v>140</v>
      </c>
      <c r="G194" s="614">
        <f>F194+'[4]9'!I145</f>
        <v>140</v>
      </c>
      <c r="H194" s="615" t="e">
        <f>G194/DAY(D147)</f>
        <v>#VALUE!</v>
      </c>
    </row>
    <row r="196" spans="1:8">
      <c r="A196" s="530" t="s">
        <v>239</v>
      </c>
      <c r="D196" s="614" t="s">
        <v>155</v>
      </c>
      <c r="F196" s="744">
        <f>SUM(G95:G97,G189:G191)</f>
        <v>116</v>
      </c>
      <c r="G196" s="614">
        <f>F196+'[4]9'!I147</f>
        <v>116</v>
      </c>
      <c r="H196" s="615" t="e">
        <f>G196/DAY(D147)</f>
        <v>#VALUE!</v>
      </c>
    </row>
    <row r="198" spans="1:8">
      <c r="A198" s="530" t="s">
        <v>240</v>
      </c>
      <c r="D198" s="614" t="s">
        <v>155</v>
      </c>
      <c r="F198" s="744">
        <f>H188+H139</f>
        <v>0</v>
      </c>
      <c r="G198" s="614">
        <f>SUM(G98,G184:G186)</f>
        <v>131</v>
      </c>
      <c r="H198" s="615" t="e">
        <f>G198/DAY(D147)</f>
        <v>#VALUE!</v>
      </c>
    </row>
    <row r="199" spans="1:8" ht="21.75" customHeight="1"/>
    <row r="200" spans="1:8" ht="21.75" customHeight="1"/>
    <row r="201" spans="1:8" ht="21.75" customHeight="1"/>
    <row r="202" spans="1:8" ht="21.75" customHeight="1"/>
    <row r="203" spans="1:8" ht="21.75" customHeight="1"/>
    <row r="204" spans="1:8" ht="21.75" customHeight="1"/>
    <row r="205" spans="1:8" ht="21.75" customHeight="1"/>
    <row r="206" spans="1:8" ht="21.75" customHeight="1"/>
    <row r="207" spans="1:8" ht="21.75" customHeight="1"/>
    <row r="208" spans="1:8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5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109:B109"/>
    <mergeCell ref="A110:B110"/>
    <mergeCell ref="A111:B111"/>
    <mergeCell ref="A112:B112"/>
    <mergeCell ref="A113:B113"/>
    <mergeCell ref="A104:B104"/>
    <mergeCell ref="A105:B105"/>
    <mergeCell ref="A106:C106"/>
    <mergeCell ref="A107:B107"/>
    <mergeCell ref="A108:B108"/>
    <mergeCell ref="A92:C92"/>
    <mergeCell ref="A93:C93"/>
    <mergeCell ref="A94:C94"/>
    <mergeCell ref="A95:C95"/>
    <mergeCell ref="A103:B103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57:G15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18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topLeftCell="A52" zoomScale="55" zoomScaleNormal="55" workbookViewId="0">
      <selection activeCell="F28" sqref="F28"/>
    </sheetView>
  </sheetViews>
  <sheetFormatPr defaultColWidth="22.33203125" defaultRowHeight="29.25"/>
  <cols>
    <col min="1" max="1" width="39.7773437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6384" width="22.33203125" style="407"/>
  </cols>
  <sheetData>
    <row r="1" spans="1:16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6" s="281" customFormat="1" ht="27">
      <c r="A2" s="652" t="s">
        <v>294</v>
      </c>
      <c r="B2" s="1139">
        <v>44207</v>
      </c>
      <c r="C2" s="1254" t="s">
        <v>69</v>
      </c>
      <c r="D2" s="688">
        <v>0.59899999999999998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 t="s">
        <v>129</v>
      </c>
    </row>
    <row r="3" spans="1:16" s="281" customFormat="1" ht="27">
      <c r="A3" s="647"/>
      <c r="B3" s="691"/>
      <c r="C3" s="1254" t="s">
        <v>131</v>
      </c>
      <c r="D3" s="689">
        <v>29</v>
      </c>
      <c r="E3" s="1408" t="s">
        <v>132</v>
      </c>
      <c r="F3" s="1409"/>
      <c r="G3" s="538"/>
      <c r="H3" s="539"/>
      <c r="I3" s="539"/>
      <c r="J3" s="692"/>
      <c r="K3" s="402"/>
      <c r="L3" s="293"/>
      <c r="N3" s="817"/>
    </row>
    <row r="4" spans="1:16" s="281" customFormat="1" ht="27">
      <c r="A4" s="653"/>
      <c r="B4" s="693"/>
      <c r="C4" s="1254" t="s">
        <v>133</v>
      </c>
      <c r="D4" s="688">
        <v>0.68</v>
      </c>
      <c r="E4" s="540"/>
      <c r="F4" s="540"/>
      <c r="G4" s="540"/>
      <c r="H4" s="540"/>
      <c r="I4" s="541"/>
      <c r="J4" s="692"/>
      <c r="K4" s="403"/>
      <c r="L4" s="293"/>
      <c r="N4" s="817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816" t="s">
        <v>137</v>
      </c>
    </row>
    <row r="6" spans="1:16">
      <c r="A6" s="1402" t="s">
        <v>141</v>
      </c>
      <c r="B6" s="1403"/>
      <c r="C6" s="1404"/>
      <c r="D6" s="547"/>
      <c r="E6" s="547"/>
      <c r="F6" s="547"/>
      <c r="G6" s="547"/>
      <c r="H6" s="548"/>
      <c r="I6" s="548"/>
      <c r="J6" s="628"/>
      <c r="K6" s="466"/>
      <c r="L6" s="408"/>
      <c r="P6" s="407" t="s">
        <v>282</v>
      </c>
    </row>
    <row r="7" spans="1:16" ht="30" thickBot="1">
      <c r="A7" s="757" t="s">
        <v>142</v>
      </c>
      <c r="B7" s="758"/>
      <c r="C7" s="758"/>
      <c r="D7" s="715" t="s">
        <v>143</v>
      </c>
      <c r="E7" s="710">
        <f>'10'!F7</f>
        <v>3475449</v>
      </c>
      <c r="F7" s="531">
        <v>3495838</v>
      </c>
      <c r="G7" s="759">
        <f>F7-E7</f>
        <v>20389</v>
      </c>
      <c r="H7" s="760">
        <f>G7+'10'!H7</f>
        <v>209398</v>
      </c>
      <c r="I7" s="761">
        <v>12000</v>
      </c>
      <c r="J7" s="762">
        <f>H7/DAY(B2)</f>
        <v>19036.18181818182</v>
      </c>
      <c r="K7" s="626"/>
      <c r="L7" s="408"/>
      <c r="N7" s="818">
        <v>11918</v>
      </c>
      <c r="P7" s="821">
        <f>G7-N7</f>
        <v>8471</v>
      </c>
    </row>
    <row r="8" spans="1:16" ht="27.75" thickBot="1">
      <c r="A8" s="763" t="s">
        <v>144</v>
      </c>
      <c r="B8" s="764"/>
      <c r="C8" s="765"/>
      <c r="D8" s="766" t="s">
        <v>25</v>
      </c>
      <c r="E8" s="710">
        <f>'10'!F8</f>
        <v>3497397</v>
      </c>
      <c r="F8" s="551">
        <v>3517889</v>
      </c>
      <c r="G8" s="770">
        <f t="shared" ref="G8:G12" si="0">F8-E8</f>
        <v>20492</v>
      </c>
      <c r="H8" s="760">
        <f>G8+'10'!H8</f>
        <v>211517</v>
      </c>
      <c r="I8" s="767">
        <v>12000</v>
      </c>
      <c r="J8" s="762">
        <f>H8/DAY(B2)</f>
        <v>19228.81818181818</v>
      </c>
      <c r="K8" s="626"/>
      <c r="L8" s="464"/>
      <c r="M8" s="479"/>
      <c r="N8" s="818">
        <v>12018</v>
      </c>
      <c r="P8" s="413">
        <f t="shared" ref="P8:P71" si="1">G8-N8</f>
        <v>8474</v>
      </c>
    </row>
    <row r="9" spans="1:16">
      <c r="A9" s="768" t="s">
        <v>145</v>
      </c>
      <c r="B9" s="769"/>
      <c r="C9" s="769"/>
      <c r="D9" s="715" t="s">
        <v>143</v>
      </c>
      <c r="E9" s="710">
        <f>'10'!F9</f>
        <v>2431561</v>
      </c>
      <c r="F9" s="554">
        <v>2434116.9</v>
      </c>
      <c r="G9" s="783">
        <f t="shared" si="0"/>
        <v>2555.8999999999069</v>
      </c>
      <c r="H9" s="760">
        <f>G9+'10'!H9</f>
        <v>28901.899999999907</v>
      </c>
      <c r="I9" s="771">
        <f>I7-J7</f>
        <v>-7036.1818181818198</v>
      </c>
      <c r="J9" s="762">
        <f>H9/DAY(B2)</f>
        <v>2627.445454545446</v>
      </c>
      <c r="K9" s="467"/>
      <c r="L9" s="408"/>
      <c r="N9" s="818">
        <v>11759.219000000001</v>
      </c>
      <c r="O9" s="407">
        <f>G7/G8</f>
        <v>0.99497364825297674</v>
      </c>
      <c r="P9" s="413">
        <f t="shared" si="1"/>
        <v>-9203.3190000000941</v>
      </c>
    </row>
    <row r="10" spans="1:16">
      <c r="A10" s="757" t="s">
        <v>146</v>
      </c>
      <c r="B10" s="758"/>
      <c r="C10" s="758"/>
      <c r="D10" s="715" t="s">
        <v>143</v>
      </c>
      <c r="E10" s="710">
        <f>'10'!F10</f>
        <v>906161</v>
      </c>
      <c r="F10" s="554">
        <v>923242.31</v>
      </c>
      <c r="G10" s="770">
        <f t="shared" si="0"/>
        <v>17081.310000000056</v>
      </c>
      <c r="H10" s="760">
        <f>G10+'10'!H10</f>
        <v>172720.40000000002</v>
      </c>
      <c r="I10" s="772"/>
      <c r="J10" s="762">
        <f>H10/DAY(B2)</f>
        <v>15701.854545454547</v>
      </c>
      <c r="K10" s="467"/>
      <c r="L10" s="408"/>
      <c r="N10" s="818">
        <v>0</v>
      </c>
      <c r="P10" s="413">
        <f t="shared" si="1"/>
        <v>17081.310000000056</v>
      </c>
    </row>
    <row r="11" spans="1:16">
      <c r="A11" s="757" t="s">
        <v>147</v>
      </c>
      <c r="B11" s="758"/>
      <c r="C11" s="758"/>
      <c r="D11" s="715" t="s">
        <v>143</v>
      </c>
      <c r="E11" s="710">
        <f>'10'!F11</f>
        <v>35390</v>
      </c>
      <c r="F11" s="531">
        <v>35390</v>
      </c>
      <c r="G11" s="770">
        <f t="shared" si="0"/>
        <v>0</v>
      </c>
      <c r="H11" s="760">
        <f>G11+'10'!H11</f>
        <v>0</v>
      </c>
      <c r="I11" s="772"/>
      <c r="J11" s="762">
        <f>H11/DAY(B2)</f>
        <v>0</v>
      </c>
      <c r="K11" s="467"/>
      <c r="L11" s="408"/>
      <c r="N11" s="818">
        <v>0</v>
      </c>
      <c r="P11" s="413">
        <f t="shared" si="1"/>
        <v>0</v>
      </c>
    </row>
    <row r="12" spans="1:16">
      <c r="A12" s="757" t="s">
        <v>148</v>
      </c>
      <c r="B12" s="758"/>
      <c r="C12" s="758"/>
      <c r="D12" s="715" t="s">
        <v>143</v>
      </c>
      <c r="E12" s="710">
        <f>'10'!F12</f>
        <v>37630</v>
      </c>
      <c r="F12" s="554">
        <v>37630</v>
      </c>
      <c r="G12" s="770">
        <f t="shared" si="0"/>
        <v>0</v>
      </c>
      <c r="H12" s="760">
        <f>G12+'10'!H12</f>
        <v>0</v>
      </c>
      <c r="I12" s="772"/>
      <c r="J12" s="762">
        <f>H12/DAY(B2)</f>
        <v>0</v>
      </c>
      <c r="K12" s="467"/>
      <c r="L12" s="408"/>
      <c r="N12" s="818">
        <v>0</v>
      </c>
      <c r="P12" s="413">
        <f t="shared" si="1"/>
        <v>0</v>
      </c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19637.209999999963</v>
      </c>
      <c r="H13" s="760">
        <f>G13+'9'!H13</f>
        <v>182101.29999999993</v>
      </c>
      <c r="I13" s="776">
        <f>G7-G13</f>
        <v>751.79000000003725</v>
      </c>
      <c r="J13" s="762">
        <f>H13/DAY(B2)</f>
        <v>16554.663636363632</v>
      </c>
      <c r="K13" s="467"/>
      <c r="L13" s="408"/>
      <c r="N13" s="818">
        <v>11759.219000000001</v>
      </c>
      <c r="P13" s="413">
        <f t="shared" si="1"/>
        <v>7877.9909999999618</v>
      </c>
    </row>
    <row r="14" spans="1:16">
      <c r="A14" s="1405" t="s">
        <v>150</v>
      </c>
      <c r="B14" s="1406"/>
      <c r="C14" s="1407"/>
      <c r="D14" s="548"/>
      <c r="E14" s="548"/>
      <c r="F14" s="548"/>
      <c r="G14" s="559"/>
      <c r="H14" s="548"/>
      <c r="I14" s="548"/>
      <c r="J14" s="628"/>
      <c r="K14" s="468"/>
      <c r="L14" s="408"/>
      <c r="N14" s="818"/>
      <c r="P14" s="413">
        <f t="shared" si="1"/>
        <v>0</v>
      </c>
    </row>
    <row r="15" spans="1:16">
      <c r="A15" s="897" t="s">
        <v>151</v>
      </c>
      <c r="B15" s="898"/>
      <c r="C15" s="898"/>
      <c r="D15" s="600" t="s">
        <v>152</v>
      </c>
      <c r="E15" s="561">
        <f>'10'!F15</f>
        <v>1576133</v>
      </c>
      <c r="F15" s="561">
        <v>1577052.0519999999</v>
      </c>
      <c r="G15" s="745">
        <f>(F15-E15)</f>
        <v>919.05199999990873</v>
      </c>
      <c r="H15" s="562">
        <f>G15+'10'!H15</f>
        <v>8137.9519999998156</v>
      </c>
      <c r="I15" s="550">
        <v>800</v>
      </c>
      <c r="J15" s="630">
        <f>H15/DAY(B2)</f>
        <v>739.81381818180137</v>
      </c>
      <c r="K15" s="467"/>
      <c r="L15" s="408"/>
      <c r="N15" s="818">
        <v>339.24300000001676</v>
      </c>
      <c r="P15" s="413">
        <f t="shared" si="1"/>
        <v>579.80899999989197</v>
      </c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60.186181818198634</v>
      </c>
      <c r="J16" s="630"/>
      <c r="K16" s="467"/>
      <c r="L16" s="408"/>
      <c r="N16" s="818"/>
      <c r="P16" s="413">
        <f t="shared" si="1"/>
        <v>0</v>
      </c>
    </row>
    <row r="17" spans="1:16">
      <c r="A17" s="1405" t="s">
        <v>153</v>
      </c>
      <c r="B17" s="1406"/>
      <c r="C17" s="1407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P17" s="413">
        <f t="shared" si="1"/>
        <v>0</v>
      </c>
    </row>
    <row r="18" spans="1:16" ht="27.75">
      <c r="A18" s="1431" t="s">
        <v>154</v>
      </c>
      <c r="B18" s="1432"/>
      <c r="C18" s="1433"/>
      <c r="D18" s="715" t="s">
        <v>155</v>
      </c>
      <c r="E18" s="712">
        <f>'10'!F18</f>
        <v>10</v>
      </c>
      <c r="F18" s="554">
        <v>14</v>
      </c>
      <c r="G18" s="775">
        <f>F18*10</f>
        <v>140</v>
      </c>
      <c r="H18" s="760">
        <f>G18+'10'!H18</f>
        <v>1150</v>
      </c>
      <c r="I18" s="761">
        <v>65</v>
      </c>
      <c r="J18" s="762">
        <f>H18/DAY(B2)</f>
        <v>104.54545454545455</v>
      </c>
      <c r="K18" s="467"/>
      <c r="L18" s="408"/>
      <c r="N18" s="818">
        <v>20</v>
      </c>
      <c r="P18" s="413">
        <f t="shared" si="1"/>
        <v>120</v>
      </c>
    </row>
    <row r="19" spans="1:16" ht="27.75">
      <c r="A19" s="1431" t="s">
        <v>71</v>
      </c>
      <c r="B19" s="1432"/>
      <c r="C19" s="1433"/>
      <c r="D19" s="715" t="s">
        <v>155</v>
      </c>
      <c r="E19" s="712">
        <f>'10'!F19</f>
        <v>131973</v>
      </c>
      <c r="F19" s="554">
        <v>132027</v>
      </c>
      <c r="G19" s="770">
        <f t="shared" ref="G19" si="2">F19-E19</f>
        <v>54</v>
      </c>
      <c r="H19" s="760">
        <f>G19+'10'!H19</f>
        <v>534</v>
      </c>
      <c r="I19" s="777"/>
      <c r="J19" s="762">
        <f>H19/DAY(B2)</f>
        <v>48.545454545454547</v>
      </c>
      <c r="K19" s="467"/>
      <c r="L19" s="408"/>
      <c r="N19" s="818">
        <v>55</v>
      </c>
      <c r="P19" s="413">
        <f t="shared" si="1"/>
        <v>-1</v>
      </c>
    </row>
    <row r="20" spans="1:16">
      <c r="A20" s="773" t="s">
        <v>156</v>
      </c>
      <c r="B20" s="774"/>
      <c r="C20" s="774"/>
      <c r="D20" s="715"/>
      <c r="E20" s="715"/>
      <c r="F20" s="600"/>
      <c r="G20" s="778">
        <f>G18+G19</f>
        <v>194</v>
      </c>
      <c r="H20" s="760">
        <f>G20+'10'!H20</f>
        <v>1684</v>
      </c>
      <c r="I20" s="779">
        <f>I18-J20</f>
        <v>-88.090909090909093</v>
      </c>
      <c r="J20" s="762">
        <f>H20/DAY(B2)</f>
        <v>153.09090909090909</v>
      </c>
      <c r="K20" s="467"/>
      <c r="L20" s="408"/>
      <c r="N20" s="818">
        <v>75</v>
      </c>
      <c r="P20" s="413">
        <f t="shared" si="1"/>
        <v>119</v>
      </c>
    </row>
    <row r="21" spans="1:16">
      <c r="A21" s="1405" t="s">
        <v>157</v>
      </c>
      <c r="B21" s="1406"/>
      <c r="C21" s="1407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P21" s="413">
        <f t="shared" si="1"/>
        <v>0</v>
      </c>
    </row>
    <row r="22" spans="1:16">
      <c r="A22" s="1252" t="s">
        <v>158</v>
      </c>
      <c r="B22" s="666"/>
      <c r="C22" s="666"/>
      <c r="D22" s="599" t="s">
        <v>159</v>
      </c>
      <c r="E22" s="712">
        <f>'10'!F22</f>
        <v>2250</v>
      </c>
      <c r="F22" s="554">
        <v>2250</v>
      </c>
      <c r="G22" s="557">
        <f t="shared" ref="G22" si="3">(F22-E22)</f>
        <v>0</v>
      </c>
      <c r="H22" s="536">
        <f>G22+'10'!H22</f>
        <v>0</v>
      </c>
      <c r="I22" s="556"/>
      <c r="J22" s="629">
        <f>H22/DAY(B2)</f>
        <v>0</v>
      </c>
      <c r="K22" s="467"/>
      <c r="L22" s="408"/>
      <c r="N22" s="818">
        <v>0</v>
      </c>
      <c r="P22" s="413">
        <f t="shared" si="1"/>
        <v>0</v>
      </c>
    </row>
    <row r="23" spans="1:16">
      <c r="A23" s="1252" t="s">
        <v>160</v>
      </c>
      <c r="B23" s="666"/>
      <c r="C23" s="666"/>
      <c r="D23" s="599" t="s">
        <v>159</v>
      </c>
      <c r="E23" s="712">
        <f>'10'!F23</f>
        <v>2000</v>
      </c>
      <c r="F23" s="554">
        <v>2000</v>
      </c>
      <c r="G23" s="557">
        <v>0</v>
      </c>
      <c r="H23" s="536">
        <f>G23+'10'!H23</f>
        <v>0</v>
      </c>
      <c r="I23" s="556"/>
      <c r="J23" s="629">
        <f>H23/DAY(B2)</f>
        <v>0</v>
      </c>
      <c r="K23" s="467"/>
      <c r="L23" s="408"/>
      <c r="N23" s="818">
        <v>0</v>
      </c>
      <c r="P23" s="413">
        <f t="shared" si="1"/>
        <v>0</v>
      </c>
    </row>
    <row r="24" spans="1:16">
      <c r="A24" s="667" t="s">
        <v>161</v>
      </c>
      <c r="B24" s="668"/>
      <c r="C24" s="668"/>
      <c r="D24" s="587" t="s">
        <v>159</v>
      </c>
      <c r="E24" s="569">
        <f>'10'!F24</f>
        <v>4250</v>
      </c>
      <c r="F24" s="561">
        <v>4250</v>
      </c>
      <c r="G24" s="557">
        <v>0</v>
      </c>
      <c r="H24" s="536">
        <f>G24+'10'!H24</f>
        <v>0</v>
      </c>
      <c r="I24" s="556"/>
      <c r="J24" s="629">
        <f>H24/DAY(B2)</f>
        <v>0</v>
      </c>
      <c r="K24" s="467"/>
      <c r="L24" s="408"/>
      <c r="N24" s="818">
        <v>0</v>
      </c>
      <c r="P24" s="413">
        <f t="shared" si="1"/>
        <v>0</v>
      </c>
    </row>
    <row r="25" spans="1:16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P25" s="413">
        <f t="shared" si="1"/>
        <v>0</v>
      </c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P26" s="413">
        <f t="shared" si="1"/>
        <v>0</v>
      </c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20492</v>
      </c>
      <c r="F27" s="577">
        <v>9</v>
      </c>
      <c r="G27" s="578">
        <f>E27*F27</f>
        <v>184428</v>
      </c>
      <c r="H27" s="536">
        <f>G27+'10'!H27</f>
        <v>1921728</v>
      </c>
      <c r="I27" s="579"/>
      <c r="J27" s="629">
        <f>H27/DAY(B2)</f>
        <v>174702.54545454544</v>
      </c>
      <c r="K27" s="404"/>
      <c r="L27" s="484"/>
      <c r="N27" s="818">
        <v>120180</v>
      </c>
      <c r="P27" s="413">
        <f t="shared" si="1"/>
        <v>64248</v>
      </c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919.05199999990873</v>
      </c>
      <c r="F28" s="577">
        <v>41</v>
      </c>
      <c r="G28" s="578">
        <f>E28*F28</f>
        <v>37681.131999996258</v>
      </c>
      <c r="H28" s="536">
        <f>G28+'10'!H28</f>
        <v>332414.67199999245</v>
      </c>
      <c r="I28" s="581"/>
      <c r="J28" s="629">
        <f>H28/DAY(B2)</f>
        <v>30219.51563636295</v>
      </c>
      <c r="K28" s="404"/>
      <c r="L28" s="484"/>
      <c r="N28" s="818">
        <v>11873.505000000587</v>
      </c>
      <c r="P28" s="413">
        <f t="shared" si="1"/>
        <v>25807.626999995671</v>
      </c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G29+'10'!H29</f>
        <v>0</v>
      </c>
      <c r="I29" s="581"/>
      <c r="J29" s="629">
        <f>H29/DAY(B2)</f>
        <v>0</v>
      </c>
      <c r="K29" s="404"/>
      <c r="L29" s="484"/>
      <c r="N29" s="818">
        <v>0</v>
      </c>
      <c r="P29" s="413">
        <f t="shared" si="1"/>
        <v>0</v>
      </c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54</v>
      </c>
      <c r="F30" s="577">
        <v>134</v>
      </c>
      <c r="G30" s="578">
        <f>E30*F30</f>
        <v>7236</v>
      </c>
      <c r="H30" s="536">
        <f>G30+'10'!H30</f>
        <v>71556</v>
      </c>
      <c r="I30" s="581"/>
      <c r="J30" s="629">
        <f>H30/DAY(B2)</f>
        <v>6505.090909090909</v>
      </c>
      <c r="K30" s="404"/>
      <c r="L30" s="484"/>
      <c r="N30" s="818">
        <v>7370</v>
      </c>
      <c r="P30" s="413">
        <f t="shared" si="1"/>
        <v>-134</v>
      </c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140</v>
      </c>
      <c r="F31" s="577">
        <v>80</v>
      </c>
      <c r="G31" s="578">
        <f>E31*F31</f>
        <v>11200</v>
      </c>
      <c r="H31" s="536">
        <f>G31+'10'!H31</f>
        <v>92000</v>
      </c>
      <c r="I31" s="581"/>
      <c r="J31" s="629"/>
      <c r="K31" s="404"/>
      <c r="L31" s="484"/>
      <c r="N31" s="818">
        <v>1600</v>
      </c>
      <c r="O31" s="481">
        <f>76*134</f>
        <v>10184</v>
      </c>
      <c r="P31" s="413">
        <f>G31-N31</f>
        <v>9600</v>
      </c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240545.13199999626</v>
      </c>
      <c r="H32" s="536">
        <f>G32+'10'!H32</f>
        <v>2417698.6719999928</v>
      </c>
      <c r="I32" s="585"/>
      <c r="J32" s="629">
        <f>H32/DAY(B2)</f>
        <v>219790.78836363571</v>
      </c>
      <c r="K32" s="404"/>
      <c r="L32" s="484"/>
      <c r="N32" s="818">
        <v>141023.50500000059</v>
      </c>
      <c r="P32" s="413">
        <f>G32-N32</f>
        <v>99521.626999995671</v>
      </c>
    </row>
    <row r="33" spans="1:16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818"/>
      <c r="P33" s="413">
        <f t="shared" si="1"/>
        <v>0</v>
      </c>
    </row>
    <row r="34" spans="1:16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P34" s="413">
        <f t="shared" si="1"/>
        <v>0</v>
      </c>
    </row>
    <row r="35" spans="1:16">
      <c r="A35" s="655" t="s">
        <v>175</v>
      </c>
      <c r="B35" s="656"/>
      <c r="C35" s="656"/>
      <c r="D35" s="599" t="s">
        <v>143</v>
      </c>
      <c r="E35" s="586">
        <f>'10'!F35</f>
        <v>629027</v>
      </c>
      <c r="F35" s="586">
        <v>629027.67000000004</v>
      </c>
      <c r="G35" s="549">
        <f t="shared" ref="G35:G46" si="4">F35-E35</f>
        <v>0.67000000004190952</v>
      </c>
      <c r="H35" s="536">
        <f>G35+'10'!H35</f>
        <v>0.67000000004190952</v>
      </c>
      <c r="I35" s="531"/>
      <c r="J35" s="629">
        <f>H35/DAY(B2)</f>
        <v>6.0909090912900865E-2</v>
      </c>
      <c r="K35" s="467"/>
      <c r="L35" s="408"/>
      <c r="N35" s="818">
        <v>1428.320000000007</v>
      </c>
      <c r="P35" s="413">
        <f t="shared" si="1"/>
        <v>-1427.6499999999651</v>
      </c>
    </row>
    <row r="36" spans="1:16">
      <c r="A36" s="655" t="s">
        <v>176</v>
      </c>
      <c r="B36" s="656"/>
      <c r="C36" s="656"/>
      <c r="D36" s="599" t="s">
        <v>143</v>
      </c>
      <c r="E36" s="586">
        <f>'10'!F36</f>
        <v>262174</v>
      </c>
      <c r="F36" s="586">
        <v>262759.07</v>
      </c>
      <c r="G36" s="549">
        <f t="shared" si="4"/>
        <v>585.07000000000698</v>
      </c>
      <c r="H36" s="536">
        <f>G36+'10'!H36</f>
        <v>7668</v>
      </c>
      <c r="I36" s="531"/>
      <c r="J36" s="629">
        <f>H36/DAY(B2)</f>
        <v>697.09090909090912</v>
      </c>
      <c r="K36" s="467"/>
      <c r="L36" s="408"/>
      <c r="N36" s="819">
        <v>535.05999999999767</v>
      </c>
      <c r="P36" s="413">
        <f t="shared" si="1"/>
        <v>50.010000000009313</v>
      </c>
    </row>
    <row r="37" spans="1:16">
      <c r="A37" s="655" t="s">
        <v>177</v>
      </c>
      <c r="B37" s="656"/>
      <c r="C37" s="656"/>
      <c r="D37" s="599" t="s">
        <v>143</v>
      </c>
      <c r="E37" s="586">
        <f>'10'!F37</f>
        <v>415066</v>
      </c>
      <c r="F37" s="586">
        <v>415066</v>
      </c>
      <c r="G37" s="549">
        <f t="shared" si="4"/>
        <v>0</v>
      </c>
      <c r="H37" s="536">
        <f>G37+'10'!H37</f>
        <v>0</v>
      </c>
      <c r="I37" s="531"/>
      <c r="J37" s="629">
        <f>H37/DAY(B2)</f>
        <v>0</v>
      </c>
      <c r="K37" s="467"/>
      <c r="L37" s="408"/>
      <c r="N37" s="819">
        <v>1155.7000000000116</v>
      </c>
      <c r="P37" s="413">
        <f t="shared" si="1"/>
        <v>-1155.7000000000116</v>
      </c>
    </row>
    <row r="38" spans="1:16">
      <c r="A38" s="655" t="s">
        <v>178</v>
      </c>
      <c r="B38" s="656"/>
      <c r="C38" s="656"/>
      <c r="D38" s="599" t="s">
        <v>143</v>
      </c>
      <c r="E38" s="586">
        <f>'10'!F38</f>
        <v>150714</v>
      </c>
      <c r="F38" s="545">
        <v>150714</v>
      </c>
      <c r="G38" s="549">
        <f t="shared" si="4"/>
        <v>0</v>
      </c>
      <c r="H38" s="536">
        <f>G38+'10'!H38</f>
        <v>0</v>
      </c>
      <c r="I38" s="531"/>
      <c r="J38" s="629">
        <f>H38/DAY(B2)</f>
        <v>0</v>
      </c>
      <c r="K38" s="467"/>
      <c r="L38" s="408"/>
      <c r="N38" s="818">
        <v>0.39000000001396984</v>
      </c>
      <c r="P38" s="413">
        <f t="shared" si="1"/>
        <v>-0.39000000001396984</v>
      </c>
    </row>
    <row r="39" spans="1:16">
      <c r="A39" s="655" t="s">
        <v>179</v>
      </c>
      <c r="B39" s="656"/>
      <c r="C39" s="656"/>
      <c r="D39" s="599" t="s">
        <v>143</v>
      </c>
      <c r="E39" s="586">
        <f>'10'!F39</f>
        <v>912480</v>
      </c>
      <c r="F39" s="586">
        <v>912480</v>
      </c>
      <c r="G39" s="549">
        <f t="shared" si="4"/>
        <v>0</v>
      </c>
      <c r="H39" s="536">
        <f>G39+'10'!H39</f>
        <v>0</v>
      </c>
      <c r="I39" s="531"/>
      <c r="J39" s="629">
        <f>H39/DAY(B2)</f>
        <v>0</v>
      </c>
      <c r="K39" s="467"/>
      <c r="L39" s="408"/>
      <c r="N39" s="818">
        <v>2080</v>
      </c>
      <c r="P39" s="413">
        <f t="shared" si="1"/>
        <v>-2080</v>
      </c>
    </row>
    <row r="40" spans="1:16">
      <c r="A40" s="676" t="s">
        <v>180</v>
      </c>
      <c r="B40" s="677"/>
      <c r="C40" s="677"/>
      <c r="D40" s="599" t="s">
        <v>143</v>
      </c>
      <c r="E40" s="586">
        <f>'10'!F40</f>
        <v>0.17</v>
      </c>
      <c r="F40" s="586">
        <v>0.17</v>
      </c>
      <c r="G40" s="549">
        <f t="shared" si="4"/>
        <v>0</v>
      </c>
      <c r="H40" s="536">
        <f>G40+'10'!H40</f>
        <v>0</v>
      </c>
      <c r="I40" s="531"/>
      <c r="J40" s="629">
        <f>H40/DAY(B2)</f>
        <v>0</v>
      </c>
      <c r="K40" s="468"/>
      <c r="L40" s="408"/>
      <c r="N40" s="818">
        <v>0</v>
      </c>
      <c r="P40" s="413">
        <f t="shared" si="1"/>
        <v>0</v>
      </c>
    </row>
    <row r="41" spans="1:16">
      <c r="A41" s="655" t="s">
        <v>181</v>
      </c>
      <c r="B41" s="656"/>
      <c r="C41" s="656"/>
      <c r="D41" s="599" t="s">
        <v>143</v>
      </c>
      <c r="E41" s="586">
        <f>'10'!F41</f>
        <v>300127.90000000002</v>
      </c>
      <c r="F41" s="586">
        <v>300127.90000000002</v>
      </c>
      <c r="G41" s="549">
        <f t="shared" si="4"/>
        <v>0</v>
      </c>
      <c r="H41" s="536">
        <f>G41+'10'!H41</f>
        <v>-4.9999999988358468E-2</v>
      </c>
      <c r="I41" s="531"/>
      <c r="J41" s="629">
        <f>H41/DAY(B2)</f>
        <v>-4.5454545443962243E-3</v>
      </c>
      <c r="K41" s="467"/>
      <c r="L41" s="408"/>
      <c r="N41" s="818">
        <v>3297.5400000000081</v>
      </c>
      <c r="P41" s="821">
        <f t="shared" si="1"/>
        <v>-3297.5400000000081</v>
      </c>
    </row>
    <row r="42" spans="1:16">
      <c r="A42" s="655" t="s">
        <v>182</v>
      </c>
      <c r="B42" s="656"/>
      <c r="C42" s="656"/>
      <c r="D42" s="599" t="s">
        <v>143</v>
      </c>
      <c r="E42" s="586">
        <f>'10'!F42</f>
        <v>58926</v>
      </c>
      <c r="F42" s="586">
        <v>58926.099000000002</v>
      </c>
      <c r="G42" s="549">
        <f t="shared" si="4"/>
        <v>9.900000000197906E-2</v>
      </c>
      <c r="H42" s="536">
        <f>G42+'10'!H42</f>
        <v>9.0000000054715201E-3</v>
      </c>
      <c r="I42" s="531"/>
      <c r="J42" s="629">
        <f>H42/DAY(B2)</f>
        <v>8.1818181867922908E-4</v>
      </c>
      <c r="K42" s="467"/>
      <c r="L42" s="408"/>
      <c r="N42" s="818">
        <v>0</v>
      </c>
      <c r="P42" s="413">
        <f t="shared" si="1"/>
        <v>9.900000000197906E-2</v>
      </c>
    </row>
    <row r="43" spans="1:16">
      <c r="A43" s="655" t="s">
        <v>183</v>
      </c>
      <c r="B43" s="656"/>
      <c r="C43" s="656"/>
      <c r="D43" s="599" t="s">
        <v>143</v>
      </c>
      <c r="E43" s="586">
        <f>'10'!F43</f>
        <v>718592</v>
      </c>
      <c r="F43" s="586">
        <v>720699.83</v>
      </c>
      <c r="G43" s="549">
        <f>F43-E43</f>
        <v>2107.8299999999581</v>
      </c>
      <c r="H43" s="536">
        <f>G43+'10'!H43</f>
        <v>22446.399999999907</v>
      </c>
      <c r="I43" s="531"/>
      <c r="J43" s="629">
        <f>H43/DAY(B2)</f>
        <v>2040.5818181818097</v>
      </c>
      <c r="K43" s="467"/>
      <c r="L43" s="408"/>
      <c r="N43" s="818">
        <v>1592.9000000000233</v>
      </c>
      <c r="P43" s="413">
        <f t="shared" si="1"/>
        <v>514.92999999993481</v>
      </c>
    </row>
    <row r="44" spans="1:16">
      <c r="A44" s="655" t="s">
        <v>184</v>
      </c>
      <c r="B44" s="656"/>
      <c r="C44" s="656"/>
      <c r="D44" s="599" t="s">
        <v>143</v>
      </c>
      <c r="E44" s="586">
        <f>'10'!F44</f>
        <v>0</v>
      </c>
      <c r="F44" s="586">
        <v>0</v>
      </c>
      <c r="G44" s="549">
        <f t="shared" si="4"/>
        <v>0</v>
      </c>
      <c r="H44" s="536">
        <f>G44+'10'!H44</f>
        <v>0</v>
      </c>
      <c r="I44" s="531"/>
      <c r="J44" s="629">
        <f>H44/DAY(B2)</f>
        <v>0</v>
      </c>
      <c r="K44" s="467"/>
      <c r="L44" s="408"/>
      <c r="N44" s="818">
        <v>0</v>
      </c>
      <c r="P44" s="413">
        <f t="shared" si="1"/>
        <v>0</v>
      </c>
    </row>
    <row r="45" spans="1:16">
      <c r="A45" s="655" t="s">
        <v>185</v>
      </c>
      <c r="B45" s="656"/>
      <c r="C45" s="656"/>
      <c r="D45" s="599" t="s">
        <v>143</v>
      </c>
      <c r="E45" s="586">
        <f>'10'!F45</f>
        <v>614</v>
      </c>
      <c r="F45" s="586">
        <v>614</v>
      </c>
      <c r="G45" s="549">
        <f t="shared" si="4"/>
        <v>0</v>
      </c>
      <c r="H45" s="536">
        <f>G45+'10'!H45</f>
        <v>-0.48000000000001819</v>
      </c>
      <c r="I45" s="531"/>
      <c r="J45" s="629">
        <f>H45/DAY(B2)</f>
        <v>-4.3636363636365291E-2</v>
      </c>
      <c r="K45" s="467"/>
      <c r="L45" s="408"/>
      <c r="N45" s="818">
        <v>0</v>
      </c>
      <c r="P45" s="413">
        <f t="shared" si="1"/>
        <v>0</v>
      </c>
    </row>
    <row r="46" spans="1:16">
      <c r="A46" s="655" t="s">
        <v>186</v>
      </c>
      <c r="B46" s="656"/>
      <c r="C46" s="656"/>
      <c r="D46" s="599" t="s">
        <v>143</v>
      </c>
      <c r="E46" s="586">
        <f>'10'!F46</f>
        <v>187</v>
      </c>
      <c r="F46" s="586">
        <v>187.49</v>
      </c>
      <c r="G46" s="549">
        <f t="shared" si="4"/>
        <v>0.49000000000000909</v>
      </c>
      <c r="H46" s="536">
        <f>G46+'10'!H46</f>
        <v>0</v>
      </c>
      <c r="I46" s="531"/>
      <c r="J46" s="629">
        <f>H46/DAY(B2)</f>
        <v>0</v>
      </c>
      <c r="K46" s="467"/>
      <c r="L46" s="408"/>
      <c r="N46" s="818">
        <v>0</v>
      </c>
      <c r="P46" s="413">
        <f t="shared" si="1"/>
        <v>0.49000000000000909</v>
      </c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2694.1590000000087</v>
      </c>
      <c r="H47" s="536">
        <f>G47+'10'!H47</f>
        <v>30114.548999999963</v>
      </c>
      <c r="I47" s="531"/>
      <c r="J47" s="629">
        <f>H47/DAY(B2)</f>
        <v>2737.6862727272692</v>
      </c>
      <c r="K47" s="467"/>
      <c r="L47" s="408"/>
      <c r="N47" s="818">
        <v>10089.910000000062</v>
      </c>
      <c r="P47" s="413">
        <f>G47-N47</f>
        <v>-7395.751000000053</v>
      </c>
    </row>
    <row r="48" spans="1:16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P48" s="413">
        <f t="shared" si="1"/>
        <v>0</v>
      </c>
    </row>
    <row r="49" spans="1:16">
      <c r="A49" s="655" t="s">
        <v>175</v>
      </c>
      <c r="B49" s="678"/>
      <c r="C49" s="678"/>
      <c r="D49" s="599" t="s">
        <v>143</v>
      </c>
      <c r="E49" s="586">
        <f>'10'!F49</f>
        <v>177752</v>
      </c>
      <c r="F49" s="586">
        <v>180742.63</v>
      </c>
      <c r="G49" s="549">
        <f t="shared" ref="G49:G58" si="5">F49-E49</f>
        <v>2990.6300000000047</v>
      </c>
      <c r="H49" s="536">
        <f>G49+'9'!H49</f>
        <v>28337.630000000005</v>
      </c>
      <c r="I49" s="531"/>
      <c r="J49" s="629">
        <f>H49/DAY(B2)</f>
        <v>2576.1481818181824</v>
      </c>
      <c r="K49" s="467"/>
      <c r="L49" s="408"/>
      <c r="N49" s="818">
        <v>0</v>
      </c>
      <c r="P49" s="413">
        <f t="shared" si="1"/>
        <v>2990.6300000000047</v>
      </c>
    </row>
    <row r="50" spans="1:16">
      <c r="A50" s="655" t="s">
        <v>189</v>
      </c>
      <c r="B50" s="678"/>
      <c r="C50" s="678"/>
      <c r="D50" s="599" t="s">
        <v>143</v>
      </c>
      <c r="E50" s="586">
        <f>'10'!F50</f>
        <v>345252</v>
      </c>
      <c r="F50" s="586">
        <v>346490.47</v>
      </c>
      <c r="G50" s="549">
        <f t="shared" si="5"/>
        <v>1238.4699999999721</v>
      </c>
      <c r="H50" s="536">
        <f>G50+'9'!H50</f>
        <v>10273.039999999979</v>
      </c>
      <c r="I50" s="531"/>
      <c r="J50" s="629">
        <f>H50/DAY(B2)</f>
        <v>933.91272727272542</v>
      </c>
      <c r="K50" s="467"/>
      <c r="L50" s="408"/>
      <c r="N50" s="818">
        <v>559.97000000000116</v>
      </c>
      <c r="P50" s="413">
        <f t="shared" si="1"/>
        <v>678.4999999999709</v>
      </c>
    </row>
    <row r="51" spans="1:16">
      <c r="A51" s="655" t="s">
        <v>177</v>
      </c>
      <c r="B51" s="678"/>
      <c r="C51" s="678"/>
      <c r="D51" s="599" t="s">
        <v>143</v>
      </c>
      <c r="E51" s="586">
        <f>'10'!F51</f>
        <v>78907</v>
      </c>
      <c r="F51" s="586">
        <v>80367.735000000001</v>
      </c>
      <c r="G51" s="549">
        <f t="shared" si="5"/>
        <v>1460.7350000000006</v>
      </c>
      <c r="H51" s="536">
        <f>G51+'9'!H51</f>
        <v>14209.625</v>
      </c>
      <c r="I51" s="531"/>
      <c r="J51" s="629">
        <f>H51/DAY(B2)</f>
        <v>1291.784090909091</v>
      </c>
      <c r="K51" s="467"/>
      <c r="L51" s="408"/>
      <c r="N51" s="818">
        <v>0</v>
      </c>
      <c r="P51" s="413">
        <f t="shared" si="1"/>
        <v>1460.7350000000006</v>
      </c>
    </row>
    <row r="52" spans="1:16">
      <c r="A52" s="655" t="s">
        <v>190</v>
      </c>
      <c r="B52" s="678"/>
      <c r="C52" s="678"/>
      <c r="D52" s="599" t="s">
        <v>143</v>
      </c>
      <c r="E52" s="586">
        <f>'10'!F52</f>
        <v>453298</v>
      </c>
      <c r="F52" s="586">
        <v>455504.59</v>
      </c>
      <c r="G52" s="549">
        <f t="shared" si="5"/>
        <v>2206.5900000000256</v>
      </c>
      <c r="H52" s="536">
        <f>G52+'9'!H52</f>
        <v>20228.960000000021</v>
      </c>
      <c r="I52" s="531"/>
      <c r="J52" s="629">
        <f>H52/DAY(B2)</f>
        <v>1838.9963636363655</v>
      </c>
      <c r="K52" s="467"/>
      <c r="L52" s="408"/>
      <c r="N52" s="818">
        <v>1007.1900000000023</v>
      </c>
      <c r="P52" s="413">
        <f t="shared" si="1"/>
        <v>1199.4000000000233</v>
      </c>
    </row>
    <row r="53" spans="1:16">
      <c r="A53" s="655" t="s">
        <v>179</v>
      </c>
      <c r="B53" s="678"/>
      <c r="C53" s="678"/>
      <c r="D53" s="599" t="s">
        <v>143</v>
      </c>
      <c r="E53" s="586">
        <f>'10'!F53</f>
        <v>217019</v>
      </c>
      <c r="F53" s="586">
        <v>221133.21</v>
      </c>
      <c r="G53" s="549">
        <f t="shared" si="5"/>
        <v>4114.2099999999919</v>
      </c>
      <c r="H53" s="536">
        <f>G53+'9'!H53</f>
        <v>40068.239999999991</v>
      </c>
      <c r="I53" s="531"/>
      <c r="J53" s="629">
        <f>H53/DAY(B2)</f>
        <v>3642.5672727272718</v>
      </c>
      <c r="K53" s="467"/>
      <c r="L53" s="408"/>
      <c r="N53" s="818">
        <v>85.61410000000069</v>
      </c>
      <c r="P53" s="413">
        <f t="shared" si="1"/>
        <v>4028.5958999999912</v>
      </c>
    </row>
    <row r="54" spans="1:16">
      <c r="A54" s="655" t="s">
        <v>191</v>
      </c>
      <c r="B54" s="678"/>
      <c r="C54" s="678"/>
      <c r="D54" s="599" t="s">
        <v>143</v>
      </c>
      <c r="E54" s="586">
        <f>'10'!F54</f>
        <v>5182</v>
      </c>
      <c r="F54" s="586">
        <v>5237.5955000000004</v>
      </c>
      <c r="G54" s="549">
        <f t="shared" si="5"/>
        <v>55.595500000000357</v>
      </c>
      <c r="H54" s="536">
        <f>G54+'9'!H54</f>
        <v>591.05550000000039</v>
      </c>
      <c r="I54" s="531"/>
      <c r="J54" s="629">
        <f>H54/DAY(B2)</f>
        <v>53.732318181818215</v>
      </c>
      <c r="K54" s="467"/>
      <c r="L54" s="408"/>
      <c r="N54" s="818">
        <v>0</v>
      </c>
      <c r="P54" s="413">
        <f t="shared" si="1"/>
        <v>55.595500000000357</v>
      </c>
    </row>
    <row r="55" spans="1:16">
      <c r="A55" s="655" t="s">
        <v>192</v>
      </c>
      <c r="B55" s="678"/>
      <c r="C55" s="678"/>
      <c r="D55" s="599" t="s">
        <v>143</v>
      </c>
      <c r="E55" s="586">
        <v>0</v>
      </c>
      <c r="F55" s="734">
        <v>1753.7097000000001</v>
      </c>
      <c r="G55" s="733">
        <f t="shared" si="5"/>
        <v>1753.7097000000001</v>
      </c>
      <c r="H55" s="805">
        <f>G55+'9'!H55</f>
        <v>1753.4397000000106</v>
      </c>
      <c r="I55" s="806"/>
      <c r="J55" s="807">
        <f>H55/DAY(B2)</f>
        <v>159.40360909091007</v>
      </c>
      <c r="K55" s="467"/>
      <c r="L55" s="408"/>
      <c r="N55" s="818">
        <v>29.730000000010477</v>
      </c>
      <c r="P55" s="413">
        <f t="shared" si="1"/>
        <v>1723.9796999999896</v>
      </c>
    </row>
    <row r="56" spans="1:16">
      <c r="A56" s="655" t="s">
        <v>193</v>
      </c>
      <c r="B56" s="678"/>
      <c r="C56" s="678"/>
      <c r="D56" s="599" t="s">
        <v>194</v>
      </c>
      <c r="E56" s="586">
        <f>'10'!F56</f>
        <v>554555</v>
      </c>
      <c r="F56" s="734">
        <v>557724.23</v>
      </c>
      <c r="G56" s="549">
        <f t="shared" si="5"/>
        <v>3169.2299999999814</v>
      </c>
      <c r="H56" s="536">
        <f>G56+'9'!H56</f>
        <v>39823.479999999981</v>
      </c>
      <c r="I56" s="531"/>
      <c r="J56" s="629">
        <f>H56/DAY(B2)</f>
        <v>3620.316363636362</v>
      </c>
      <c r="K56" s="466"/>
      <c r="L56" s="408"/>
      <c r="N56" s="818">
        <v>0</v>
      </c>
      <c r="P56" s="413">
        <f t="shared" si="1"/>
        <v>3169.2299999999814</v>
      </c>
    </row>
    <row r="57" spans="1:16">
      <c r="A57" s="655" t="s">
        <v>183</v>
      </c>
      <c r="B57" s="678"/>
      <c r="C57" s="678"/>
      <c r="D57" s="599" t="s">
        <v>143</v>
      </c>
      <c r="E57" s="586">
        <f>'10'!F57</f>
        <v>0</v>
      </c>
      <c r="F57" s="586">
        <v>0</v>
      </c>
      <c r="G57" s="549">
        <f t="shared" si="5"/>
        <v>0</v>
      </c>
      <c r="H57" s="536">
        <f>G57+'9'!H57</f>
        <v>0</v>
      </c>
      <c r="I57" s="531"/>
      <c r="J57" s="629">
        <f>H57/DAY(B2)</f>
        <v>0</v>
      </c>
      <c r="K57" s="467"/>
      <c r="L57" s="408"/>
      <c r="N57" s="818">
        <v>0</v>
      </c>
      <c r="P57" s="413">
        <f t="shared" si="1"/>
        <v>0</v>
      </c>
    </row>
    <row r="58" spans="1:16">
      <c r="A58" s="655" t="s">
        <v>195</v>
      </c>
      <c r="B58" s="678"/>
      <c r="C58" s="678"/>
      <c r="D58" s="599" t="s">
        <v>143</v>
      </c>
      <c r="E58" s="586">
        <f>'10'!F58</f>
        <v>26455</v>
      </c>
      <c r="F58" s="734">
        <v>26708.703000000001</v>
      </c>
      <c r="G58" s="549">
        <f t="shared" si="5"/>
        <v>253.70300000000134</v>
      </c>
      <c r="H58" s="536">
        <f>G58+'9'!H58</f>
        <v>1553.2930000000015</v>
      </c>
      <c r="I58" s="531"/>
      <c r="J58" s="629">
        <f>H58/DAY(B2)</f>
        <v>141.20845454545469</v>
      </c>
      <c r="K58" s="467"/>
      <c r="L58" s="408"/>
      <c r="N58" s="818">
        <v>7.3549999999995634</v>
      </c>
      <c r="P58" s="413">
        <f t="shared" si="1"/>
        <v>246.34800000000178</v>
      </c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17242.873199999976</v>
      </c>
      <c r="H59" s="536">
        <f>G59+'9'!H59</f>
        <v>156838.76319999999</v>
      </c>
      <c r="I59" s="531">
        <f>G7-G60</f>
        <v>451.96780000001309</v>
      </c>
      <c r="J59" s="629">
        <f>H59/DAY(B2)</f>
        <v>14258.069381818181</v>
      </c>
      <c r="K59" s="467"/>
      <c r="L59" s="408"/>
      <c r="N59" s="818">
        <v>1689.8591000000142</v>
      </c>
      <c r="P59" s="413">
        <f t="shared" si="1"/>
        <v>15553.014099999962</v>
      </c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19937.032199999987</v>
      </c>
      <c r="H60" s="536">
        <f>G60+'10'!H60</f>
        <v>203987.31219999996</v>
      </c>
      <c r="I60" s="531">
        <f>G13-G60</f>
        <v>-299.82220000002417</v>
      </c>
      <c r="J60" s="629">
        <f>H60/DAY(B2)</f>
        <v>18544.301109090906</v>
      </c>
      <c r="K60" s="467"/>
      <c r="L60" s="408"/>
      <c r="N60" s="818">
        <v>11779.769100000076</v>
      </c>
      <c r="P60" s="413">
        <f>G60-N60</f>
        <v>8157.263099999911</v>
      </c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P61" s="413">
        <f t="shared" si="1"/>
        <v>0</v>
      </c>
    </row>
    <row r="62" spans="1:16">
      <c r="A62" s="680" t="s">
        <v>106</v>
      </c>
      <c r="B62" s="681"/>
      <c r="C62" s="681"/>
      <c r="D62" s="587" t="s">
        <v>198</v>
      </c>
      <c r="E62" s="590">
        <f>'10'!F62</f>
        <v>20419</v>
      </c>
      <c r="F62" s="590">
        <v>20419</v>
      </c>
      <c r="G62" s="549">
        <f t="shared" ref="G62:G69" si="6">F62-E62</f>
        <v>0</v>
      </c>
      <c r="H62" s="536">
        <f>G62+'10'!H62</f>
        <v>-0.18000000000029104</v>
      </c>
      <c r="I62" s="591"/>
      <c r="J62" s="629">
        <f>H62/DAY(B2)</f>
        <v>-1.6363636363662823E-2</v>
      </c>
      <c r="K62" s="467"/>
      <c r="L62" s="408"/>
      <c r="N62" s="818">
        <v>0</v>
      </c>
      <c r="P62" s="413">
        <f t="shared" si="1"/>
        <v>0</v>
      </c>
    </row>
    <row r="63" spans="1:16">
      <c r="A63" s="680" t="s">
        <v>199</v>
      </c>
      <c r="B63" s="681"/>
      <c r="C63" s="681"/>
      <c r="D63" s="587" t="s">
        <v>198</v>
      </c>
      <c r="E63" s="590">
        <f>'10'!F63</f>
        <v>1150</v>
      </c>
      <c r="F63" s="590">
        <v>1154.7852</v>
      </c>
      <c r="G63" s="549">
        <f t="shared" si="6"/>
        <v>4.7852000000000317</v>
      </c>
      <c r="H63" s="536">
        <f>G63+'10'!H63</f>
        <v>46.87519999999995</v>
      </c>
      <c r="I63" s="591"/>
      <c r="J63" s="629">
        <f>H63/DAY(B2)</f>
        <v>4.2613818181818139</v>
      </c>
      <c r="K63" s="467"/>
      <c r="L63" s="408"/>
      <c r="N63" s="818">
        <v>0</v>
      </c>
      <c r="P63" s="413">
        <f t="shared" si="1"/>
        <v>4.7852000000000317</v>
      </c>
    </row>
    <row r="64" spans="1:16" ht="27.75">
      <c r="A64" s="1367" t="s">
        <v>107</v>
      </c>
      <c r="B64" s="1368"/>
      <c r="C64" s="1369"/>
      <c r="D64" s="599" t="s">
        <v>198</v>
      </c>
      <c r="E64" s="590">
        <f>'10'!F64</f>
        <v>102333</v>
      </c>
      <c r="F64" s="554">
        <v>102725.46</v>
      </c>
      <c r="G64" s="549">
        <f t="shared" si="6"/>
        <v>392.4600000000064</v>
      </c>
      <c r="H64" s="536">
        <f>G64+'10'!H64</f>
        <v>4302.0600000000122</v>
      </c>
      <c r="I64" s="556"/>
      <c r="J64" s="629">
        <f>H64/DAY(B2)</f>
        <v>391.09636363636474</v>
      </c>
      <c r="K64" s="467"/>
      <c r="L64" s="408"/>
      <c r="N64" s="818">
        <v>163.8269999999975</v>
      </c>
      <c r="P64" s="413">
        <f t="shared" si="1"/>
        <v>228.63300000000891</v>
      </c>
    </row>
    <row r="65" spans="1:16" ht="27.75">
      <c r="A65" s="1367" t="s">
        <v>108</v>
      </c>
      <c r="B65" s="1368"/>
      <c r="C65" s="1369"/>
      <c r="D65" s="599" t="s">
        <v>198</v>
      </c>
      <c r="E65" s="590">
        <f>'10'!F65</f>
        <v>112995</v>
      </c>
      <c r="F65" s="732">
        <v>113427.94</v>
      </c>
      <c r="G65" s="549">
        <f t="shared" si="6"/>
        <v>432.94000000000233</v>
      </c>
      <c r="H65" s="536">
        <f>G65+'10'!H65</f>
        <v>4383.820000000007</v>
      </c>
      <c r="I65" s="565"/>
      <c r="J65" s="629">
        <f>H65/DAY(B2)</f>
        <v>398.52909090909156</v>
      </c>
      <c r="K65" s="467"/>
      <c r="L65" s="408"/>
      <c r="N65" s="818">
        <v>268.47299999999814</v>
      </c>
      <c r="P65" s="413">
        <f t="shared" si="1"/>
        <v>164.46700000000419</v>
      </c>
    </row>
    <row r="66" spans="1:16" ht="27.75">
      <c r="A66" s="1367" t="s">
        <v>109</v>
      </c>
      <c r="B66" s="1368"/>
      <c r="C66" s="1369"/>
      <c r="D66" s="599" t="s">
        <v>198</v>
      </c>
      <c r="E66" s="590">
        <f>'10'!F66</f>
        <v>6188</v>
      </c>
      <c r="F66" s="554">
        <v>6546.65</v>
      </c>
      <c r="G66" s="549">
        <f t="shared" si="6"/>
        <v>358.64999999999964</v>
      </c>
      <c r="H66" s="536">
        <f>G66+'10'!H66</f>
        <v>4124.5599999999995</v>
      </c>
      <c r="I66" s="556"/>
      <c r="J66" s="629">
        <f>H66/DAY(B2)</f>
        <v>374.96</v>
      </c>
      <c r="K66" s="467"/>
      <c r="L66" s="408"/>
      <c r="N66" s="818">
        <v>269.34500000000116</v>
      </c>
      <c r="P66" s="413">
        <f t="shared" si="1"/>
        <v>89.304999999998472</v>
      </c>
    </row>
    <row r="67" spans="1:16" ht="27.75">
      <c r="A67" s="1367" t="s">
        <v>110</v>
      </c>
      <c r="B67" s="1368"/>
      <c r="C67" s="1369"/>
      <c r="D67" s="599" t="s">
        <v>198</v>
      </c>
      <c r="E67" s="590">
        <f>'10'!F67</f>
        <v>174708</v>
      </c>
      <c r="F67" s="554">
        <v>175380.03</v>
      </c>
      <c r="G67" s="549">
        <f t="shared" si="6"/>
        <v>672.02999999999884</v>
      </c>
      <c r="H67" s="536">
        <f>G67+'10'!H67</f>
        <v>7138.679999999993</v>
      </c>
      <c r="I67" s="565"/>
      <c r="J67" s="629">
        <f>H67/DAY(B2)</f>
        <v>648.97090909090844</v>
      </c>
      <c r="K67" s="468"/>
      <c r="L67" s="408"/>
      <c r="N67" s="818">
        <v>278.32000000000698</v>
      </c>
      <c r="P67" s="413">
        <f t="shared" si="1"/>
        <v>393.70999999999185</v>
      </c>
    </row>
    <row r="68" spans="1:16" ht="27.75">
      <c r="A68" s="1367" t="s">
        <v>111</v>
      </c>
      <c r="B68" s="1368"/>
      <c r="C68" s="1369"/>
      <c r="D68" s="599" t="s">
        <v>198</v>
      </c>
      <c r="E68" s="590">
        <f>'10'!F68</f>
        <v>56505</v>
      </c>
      <c r="F68" s="554">
        <v>56830.190999999999</v>
      </c>
      <c r="G68" s="549">
        <f t="shared" si="6"/>
        <v>325.19099999999889</v>
      </c>
      <c r="H68" s="536">
        <f>G68+'10'!H68</f>
        <v>3206.2909999999974</v>
      </c>
      <c r="I68" s="592"/>
      <c r="J68" s="629">
        <f>H68/DAY(B2)</f>
        <v>291.48099999999977</v>
      </c>
      <c r="K68" s="469"/>
      <c r="L68" s="408"/>
      <c r="N68" s="818">
        <v>96.661499999999705</v>
      </c>
      <c r="P68" s="413">
        <f t="shared" si="1"/>
        <v>228.52949999999919</v>
      </c>
    </row>
    <row r="69" spans="1:16" ht="27.75">
      <c r="A69" s="1367" t="s">
        <v>112</v>
      </c>
      <c r="B69" s="1368"/>
      <c r="C69" s="1369"/>
      <c r="D69" s="599" t="s">
        <v>198</v>
      </c>
      <c r="E69" s="590">
        <f>'10'!F69</f>
        <v>49481</v>
      </c>
      <c r="F69" s="554">
        <v>49773.355000000003</v>
      </c>
      <c r="G69" s="549">
        <f t="shared" si="6"/>
        <v>292.3550000000032</v>
      </c>
      <c r="H69" s="536">
        <f>G69+'10'!H69</f>
        <v>3253.9250000000029</v>
      </c>
      <c r="I69" s="592"/>
      <c r="J69" s="629">
        <f>H69/DAY(B2)</f>
        <v>295.81136363636392</v>
      </c>
      <c r="K69" s="470"/>
      <c r="L69" s="408"/>
      <c r="N69" s="818">
        <v>12.966000000000349</v>
      </c>
      <c r="P69" s="413">
        <f t="shared" si="1"/>
        <v>279.38900000000285</v>
      </c>
    </row>
    <row r="70" spans="1:16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G70+'10'!H70</f>
        <v>0</v>
      </c>
      <c r="I70" s="594"/>
      <c r="J70" s="633">
        <f>H70/DAY(B2)</f>
        <v>0</v>
      </c>
      <c r="K70" s="470"/>
      <c r="L70" s="408"/>
      <c r="N70" s="818"/>
      <c r="P70" s="413">
        <f t="shared" si="1"/>
        <v>0</v>
      </c>
    </row>
    <row r="71" spans="1:16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818"/>
      <c r="P71" s="413">
        <f t="shared" si="1"/>
        <v>0</v>
      </c>
    </row>
    <row r="72" spans="1:16" ht="27.75">
      <c r="A72" s="1367" t="s">
        <v>202</v>
      </c>
      <c r="B72" s="1368"/>
      <c r="C72" s="1369"/>
      <c r="D72" s="599" t="s">
        <v>198</v>
      </c>
      <c r="E72" s="595">
        <f>'10'!F72</f>
        <v>847064</v>
      </c>
      <c r="F72" s="735">
        <v>847155</v>
      </c>
      <c r="G72" s="874">
        <f t="shared" ref="G72:G84" si="7">F72-E72</f>
        <v>91</v>
      </c>
      <c r="H72" s="536">
        <f>G72+'10'!H72</f>
        <v>755</v>
      </c>
      <c r="I72" s="556"/>
      <c r="J72" s="629">
        <f>H72/DAY(B2)</f>
        <v>68.63636363636364</v>
      </c>
      <c r="K72" s="470"/>
      <c r="L72" s="408"/>
      <c r="N72" s="818">
        <v>17</v>
      </c>
      <c r="P72" s="413">
        <f t="shared" ref="P72:P140" si="8">G72-N72</f>
        <v>74</v>
      </c>
    </row>
    <row r="73" spans="1:16" ht="27.75">
      <c r="A73" s="1367" t="s">
        <v>203</v>
      </c>
      <c r="B73" s="1368"/>
      <c r="C73" s="1369"/>
      <c r="D73" s="599" t="s">
        <v>198</v>
      </c>
      <c r="E73" s="595">
        <f>'10'!F73</f>
        <v>885680</v>
      </c>
      <c r="F73" s="736">
        <v>885681</v>
      </c>
      <c r="G73" s="733">
        <f t="shared" si="7"/>
        <v>1</v>
      </c>
      <c r="H73" s="536">
        <f>G73+'10'!H73</f>
        <v>8</v>
      </c>
      <c r="I73" s="556"/>
      <c r="J73" s="629">
        <f>H73/DAY(B2)</f>
        <v>0.72727272727272729</v>
      </c>
      <c r="K73" s="469"/>
      <c r="L73" s="408"/>
      <c r="N73" s="818">
        <v>1</v>
      </c>
      <c r="P73" s="413">
        <f t="shared" si="8"/>
        <v>0</v>
      </c>
    </row>
    <row r="74" spans="1:16" ht="27.75">
      <c r="A74" s="1367" t="s">
        <v>204</v>
      </c>
      <c r="B74" s="1368"/>
      <c r="C74" s="1369"/>
      <c r="D74" s="599" t="s">
        <v>198</v>
      </c>
      <c r="E74" s="595">
        <f>'10'!F74</f>
        <v>881659</v>
      </c>
      <c r="F74" s="736">
        <v>881696</v>
      </c>
      <c r="G74" s="549">
        <f t="shared" si="7"/>
        <v>37</v>
      </c>
      <c r="H74" s="536">
        <f>G74+'10'!H74</f>
        <v>381</v>
      </c>
      <c r="I74" s="556"/>
      <c r="J74" s="629">
        <f>H74/DAY(B2)</f>
        <v>34.636363636363633</v>
      </c>
      <c r="K74" s="470"/>
      <c r="L74" s="408"/>
      <c r="N74" s="818">
        <v>7</v>
      </c>
      <c r="P74" s="413">
        <f t="shared" si="8"/>
        <v>30</v>
      </c>
    </row>
    <row r="75" spans="1:16" ht="27.75">
      <c r="A75" s="1364" t="s">
        <v>205</v>
      </c>
      <c r="B75" s="1365"/>
      <c r="C75" s="1366"/>
      <c r="D75" s="599" t="s">
        <v>198</v>
      </c>
      <c r="E75" s="595">
        <f>'10'!F75</f>
        <v>733442</v>
      </c>
      <c r="F75" s="736">
        <v>733643</v>
      </c>
      <c r="G75" s="549">
        <f t="shared" si="7"/>
        <v>201</v>
      </c>
      <c r="H75" s="536">
        <f>G75+'10'!H75</f>
        <v>2002</v>
      </c>
      <c r="I75" s="556"/>
      <c r="J75" s="629">
        <f>H75/DAY(B2)</f>
        <v>182</v>
      </c>
      <c r="K75" s="469"/>
      <c r="L75" s="408"/>
      <c r="N75" s="818">
        <v>63</v>
      </c>
      <c r="P75" s="413">
        <f t="shared" si="8"/>
        <v>138</v>
      </c>
    </row>
    <row r="76" spans="1:16" ht="27.75">
      <c r="A76" s="1364" t="s">
        <v>206</v>
      </c>
      <c r="B76" s="1365"/>
      <c r="C76" s="1366"/>
      <c r="D76" s="599" t="s">
        <v>198</v>
      </c>
      <c r="E76" s="595">
        <f>'10'!F76</f>
        <v>685147</v>
      </c>
      <c r="F76" s="736">
        <v>685252</v>
      </c>
      <c r="G76" s="549">
        <f t="shared" si="7"/>
        <v>105</v>
      </c>
      <c r="H76" s="536">
        <f>G76+'10'!H76</f>
        <v>986</v>
      </c>
      <c r="I76" s="581"/>
      <c r="J76" s="629">
        <f>H76/DAY(B2)</f>
        <v>89.63636363636364</v>
      </c>
      <c r="K76" s="469"/>
      <c r="L76" s="408"/>
      <c r="N76" s="818">
        <v>2</v>
      </c>
      <c r="P76" s="413">
        <f t="shared" si="8"/>
        <v>103</v>
      </c>
    </row>
    <row r="77" spans="1:16" ht="27.75">
      <c r="A77" s="1367" t="s">
        <v>207</v>
      </c>
      <c r="B77" s="1368"/>
      <c r="C77" s="1369"/>
      <c r="D77" s="599" t="s">
        <v>198</v>
      </c>
      <c r="E77" s="595">
        <f>'10'!F77</f>
        <v>695948</v>
      </c>
      <c r="F77" s="736">
        <v>696003</v>
      </c>
      <c r="G77" s="733">
        <f t="shared" si="7"/>
        <v>55</v>
      </c>
      <c r="H77" s="536">
        <f>G77+'10'!H77</f>
        <v>609</v>
      </c>
      <c r="I77" s="581"/>
      <c r="J77" s="629">
        <f>H77/DAY(B2)</f>
        <v>55.363636363636367</v>
      </c>
      <c r="K77" s="469"/>
      <c r="L77" s="408"/>
      <c r="N77" s="818">
        <v>15</v>
      </c>
      <c r="P77" s="413">
        <f t="shared" si="8"/>
        <v>40</v>
      </c>
    </row>
    <row r="78" spans="1:16" ht="27.75">
      <c r="A78" s="1255" t="s">
        <v>208</v>
      </c>
      <c r="B78" s="1226"/>
      <c r="C78" s="1226"/>
      <c r="D78" s="599" t="s">
        <v>198</v>
      </c>
      <c r="E78" s="595">
        <f>'10'!F78</f>
        <v>634213</v>
      </c>
      <c r="F78" s="737">
        <v>634586</v>
      </c>
      <c r="G78" s="549">
        <f t="shared" si="7"/>
        <v>373</v>
      </c>
      <c r="H78" s="536">
        <f>G78+'10'!H78</f>
        <v>3813</v>
      </c>
      <c r="I78" s="581"/>
      <c r="J78" s="629">
        <f>H78/DAY(B2)</f>
        <v>346.63636363636363</v>
      </c>
      <c r="K78" s="469"/>
      <c r="L78" s="408"/>
      <c r="N78" s="818">
        <v>38</v>
      </c>
      <c r="P78" s="413">
        <f t="shared" si="8"/>
        <v>335</v>
      </c>
    </row>
    <row r="79" spans="1:16" ht="27.75">
      <c r="A79" s="1364" t="s">
        <v>97</v>
      </c>
      <c r="B79" s="1365"/>
      <c r="C79" s="1366"/>
      <c r="D79" s="600" t="s">
        <v>198</v>
      </c>
      <c r="E79" s="595">
        <f>'10'!F79</f>
        <v>805713</v>
      </c>
      <c r="F79" s="737">
        <v>805915</v>
      </c>
      <c r="G79" s="549">
        <f t="shared" si="7"/>
        <v>202</v>
      </c>
      <c r="H79" s="536">
        <f>G79+'10'!H79</f>
        <v>2072</v>
      </c>
      <c r="I79" s="581"/>
      <c r="J79" s="629">
        <f>H79/DAY(B2)</f>
        <v>188.36363636363637</v>
      </c>
      <c r="K79" s="469"/>
      <c r="L79" s="408"/>
      <c r="N79" s="818">
        <v>94</v>
      </c>
      <c r="P79" s="413">
        <f t="shared" si="8"/>
        <v>108</v>
      </c>
    </row>
    <row r="80" spans="1:16" ht="27.75">
      <c r="A80" s="1364" t="s">
        <v>209</v>
      </c>
      <c r="B80" s="1365"/>
      <c r="C80" s="1366"/>
      <c r="D80" s="600" t="s">
        <v>198</v>
      </c>
      <c r="E80" s="595">
        <f>'10'!F80</f>
        <v>478649</v>
      </c>
      <c r="F80" s="736">
        <v>479003.44</v>
      </c>
      <c r="G80" s="549">
        <f t="shared" si="7"/>
        <v>354.44000000000233</v>
      </c>
      <c r="H80" s="536">
        <f>G80+'10'!H80</f>
        <v>3472.4400000000023</v>
      </c>
      <c r="I80" s="581"/>
      <c r="J80" s="629">
        <f>H80/DAY(B2)</f>
        <v>315.67636363636387</v>
      </c>
      <c r="K80" s="469"/>
      <c r="L80" s="408"/>
      <c r="N80" s="818">
        <v>188.48000000003958</v>
      </c>
      <c r="P80" s="413">
        <f t="shared" si="8"/>
        <v>165.95999999996275</v>
      </c>
    </row>
    <row r="81" spans="1:16" ht="27.75">
      <c r="A81" s="1364" t="s">
        <v>210</v>
      </c>
      <c r="B81" s="1365"/>
      <c r="C81" s="1366"/>
      <c r="D81" s="600" t="s">
        <v>198</v>
      </c>
      <c r="E81" s="595">
        <f>'10'!F81</f>
        <v>620463</v>
      </c>
      <c r="F81" s="736">
        <v>620583.80000000005</v>
      </c>
      <c r="G81" s="549">
        <f t="shared" si="7"/>
        <v>120.80000000004657</v>
      </c>
      <c r="H81" s="536">
        <f>G81+'10'!H81</f>
        <v>1329.8000000000466</v>
      </c>
      <c r="I81" s="581"/>
      <c r="J81" s="629">
        <f>H81/DAY(B2)</f>
        <v>120.89090909091333</v>
      </c>
      <c r="K81" s="469"/>
      <c r="L81" s="408"/>
      <c r="N81" s="818">
        <v>84.92000000004191</v>
      </c>
      <c r="P81" s="413">
        <f t="shared" si="8"/>
        <v>35.880000000004657</v>
      </c>
    </row>
    <row r="82" spans="1:16" ht="27.75">
      <c r="A82" s="1364" t="s">
        <v>100</v>
      </c>
      <c r="B82" s="1365"/>
      <c r="C82" s="1366"/>
      <c r="D82" s="561" t="s">
        <v>143</v>
      </c>
      <c r="E82" s="595">
        <f>'10'!F82</f>
        <v>104657</v>
      </c>
      <c r="F82" s="732">
        <v>104684.81</v>
      </c>
      <c r="G82" s="549">
        <f t="shared" si="7"/>
        <v>27.809999999997672</v>
      </c>
      <c r="H82" s="536">
        <f>G82+'10'!H82</f>
        <v>246.80999999999767</v>
      </c>
      <c r="I82" s="562"/>
      <c r="J82" s="629">
        <f>H82/DAY(B2)</f>
        <v>22.437272727272514</v>
      </c>
      <c r="K82" s="469"/>
      <c r="L82" s="408"/>
      <c r="N82" s="818">
        <v>31.630000000004657</v>
      </c>
      <c r="P82" s="413">
        <f t="shared" si="8"/>
        <v>-3.8200000000069849</v>
      </c>
    </row>
    <row r="83" spans="1:16" ht="27.75">
      <c r="A83" s="1364" t="s">
        <v>211</v>
      </c>
      <c r="B83" s="1365"/>
      <c r="C83" s="1366"/>
      <c r="D83" s="697" t="s">
        <v>143</v>
      </c>
      <c r="E83" s="595">
        <f>'10'!F83</f>
        <v>976878</v>
      </c>
      <c r="F83" s="587">
        <v>977298</v>
      </c>
      <c r="G83" s="549">
        <f t="shared" si="7"/>
        <v>420</v>
      </c>
      <c r="H83" s="536">
        <f>G83+'10'!H83</f>
        <v>3827</v>
      </c>
      <c r="I83" s="557"/>
      <c r="J83" s="629">
        <f>H83/DAY(B2)</f>
        <v>347.90909090909093</v>
      </c>
      <c r="K83" s="468"/>
      <c r="L83" s="408"/>
      <c r="N83" s="818">
        <v>235</v>
      </c>
      <c r="P83" s="413">
        <f t="shared" si="8"/>
        <v>185</v>
      </c>
    </row>
    <row r="84" spans="1:16">
      <c r="A84" s="1256" t="s">
        <v>212</v>
      </c>
      <c r="B84" s="648"/>
      <c r="C84" s="648"/>
      <c r="D84" s="554" t="s">
        <v>143</v>
      </c>
      <c r="E84" s="595">
        <f>'10'!F84</f>
        <v>402326</v>
      </c>
      <c r="F84" s="704">
        <v>402987</v>
      </c>
      <c r="G84" s="549">
        <f t="shared" si="7"/>
        <v>661</v>
      </c>
      <c r="H84" s="536">
        <f>G84+'10'!H84</f>
        <v>5791</v>
      </c>
      <c r="I84" s="557"/>
      <c r="J84" s="629">
        <f>H84/DAY(B2)</f>
        <v>526.4545454545455</v>
      </c>
      <c r="K84" s="411"/>
      <c r="L84" s="408"/>
      <c r="N84" s="818">
        <v>433</v>
      </c>
      <c r="P84" s="413">
        <f t="shared" si="8"/>
        <v>228</v>
      </c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2649.0500000000466</v>
      </c>
      <c r="H85" s="536">
        <f>G85+'10'!H85</f>
        <v>23447.050000000047</v>
      </c>
      <c r="I85" s="557"/>
      <c r="J85" s="629">
        <f>H85/DAY(B2)</f>
        <v>2131.5500000000043</v>
      </c>
      <c r="K85" s="411"/>
      <c r="L85" s="409"/>
      <c r="N85" s="818">
        <v>1210.0300000000861</v>
      </c>
      <c r="P85" s="413">
        <f t="shared" si="8"/>
        <v>1439.0199999999604</v>
      </c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'10'!F86</f>
        <v>445009</v>
      </c>
      <c r="F86" s="728">
        <v>445132.36</v>
      </c>
      <c r="G86" s="805">
        <f t="shared" ref="G86:G90" si="9">F86-E86</f>
        <v>123.35999999998603</v>
      </c>
      <c r="H86" s="805">
        <f t="shared" ref="H86:H88" si="10">G86</f>
        <v>123.35999999998603</v>
      </c>
      <c r="I86" s="733"/>
      <c r="J86" s="807">
        <f>H86/DAY(B2)</f>
        <v>11.214545454544185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'10'!F87</f>
        <v>77942</v>
      </c>
      <c r="F87" s="728">
        <v>77975.73</v>
      </c>
      <c r="G87" s="805">
        <f t="shared" si="9"/>
        <v>33.729999999995925</v>
      </c>
      <c r="H87" s="805">
        <f t="shared" si="10"/>
        <v>33.729999999995925</v>
      </c>
      <c r="I87" s="733"/>
      <c r="J87" s="807">
        <f>H87/DAY(B2)</f>
        <v>3.066363636363266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'10'!F88</f>
        <v>145020</v>
      </c>
      <c r="F88" s="728">
        <v>145145.49</v>
      </c>
      <c r="G88" s="805">
        <f t="shared" si="9"/>
        <v>125.48999999999069</v>
      </c>
      <c r="H88" s="805">
        <f t="shared" si="10"/>
        <v>125.48999999999069</v>
      </c>
      <c r="I88" s="733"/>
      <c r="J88" s="807">
        <f>H88/DAY(B2)</f>
        <v>11.408181818180971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'10'!F89</f>
        <v>58330</v>
      </c>
      <c r="F89" s="728">
        <v>58412.7</v>
      </c>
      <c r="G89" s="805">
        <f t="shared" si="9"/>
        <v>82.69999999999709</v>
      </c>
      <c r="H89" s="805">
        <f>G89</f>
        <v>82.69999999999709</v>
      </c>
      <c r="I89" s="733"/>
      <c r="J89" s="807">
        <f>H89/DAY(B2)</f>
        <v>7.5181818181815538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'10'!F90</f>
        <v>3005</v>
      </c>
      <c r="F90" s="728">
        <v>3006.4</v>
      </c>
      <c r="G90" s="805">
        <f t="shared" si="9"/>
        <v>1.4000000000000909</v>
      </c>
      <c r="H90" s="805">
        <f>G90</f>
        <v>1.4000000000000909</v>
      </c>
      <c r="I90" s="733"/>
      <c r="J90" s="807">
        <f>H90/DAY(B2)</f>
        <v>0.12727272727273553</v>
      </c>
      <c r="K90" s="833"/>
      <c r="L90" s="834"/>
      <c r="N90" s="881"/>
      <c r="O90" s="413"/>
    </row>
    <row r="91" spans="1:16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P91" s="413">
        <f t="shared" si="8"/>
        <v>0</v>
      </c>
    </row>
    <row r="92" spans="1:16" ht="27.75">
      <c r="A92" s="1388" t="s">
        <v>217</v>
      </c>
      <c r="B92" s="1389"/>
      <c r="C92" s="1390"/>
      <c r="D92" s="599" t="s">
        <v>155</v>
      </c>
      <c r="E92" s="560">
        <f>'10'!F92</f>
        <v>234625</v>
      </c>
      <c r="F92" s="554">
        <v>234740</v>
      </c>
      <c r="G92" s="549">
        <f t="shared" ref="G92:G93" si="11">F92-E92</f>
        <v>115</v>
      </c>
      <c r="H92" s="536">
        <f>G92+'10'!H92</f>
        <v>838</v>
      </c>
      <c r="I92" s="556"/>
      <c r="J92" s="629">
        <f>H92/DAY(B2)</f>
        <v>76.181818181818187</v>
      </c>
      <c r="K92" s="468"/>
      <c r="L92" s="408"/>
      <c r="N92" s="818">
        <v>6</v>
      </c>
      <c r="P92" s="413">
        <f t="shared" si="8"/>
        <v>109</v>
      </c>
    </row>
    <row r="93" spans="1:16" ht="27.75">
      <c r="A93" s="1388" t="s">
        <v>218</v>
      </c>
      <c r="B93" s="1389"/>
      <c r="C93" s="1390"/>
      <c r="D93" s="599" t="s">
        <v>155</v>
      </c>
      <c r="E93" s="560">
        <f>'10'!F93</f>
        <v>168202</v>
      </c>
      <c r="F93" s="554">
        <v>168382</v>
      </c>
      <c r="G93" s="549">
        <f t="shared" si="11"/>
        <v>180</v>
      </c>
      <c r="H93" s="536">
        <f>G93+'10'!H93</f>
        <v>1466</v>
      </c>
      <c r="I93" s="556"/>
      <c r="J93" s="629">
        <f>H93/DAY(B2)</f>
        <v>133.27272727272728</v>
      </c>
      <c r="K93" s="411"/>
      <c r="L93" s="408"/>
      <c r="N93" s="818">
        <v>73</v>
      </c>
      <c r="P93" s="413">
        <f t="shared" si="8"/>
        <v>107</v>
      </c>
    </row>
    <row r="94" spans="1:16">
      <c r="A94" s="1419" t="s">
        <v>219</v>
      </c>
      <c r="B94" s="1420"/>
      <c r="C94" s="1421"/>
      <c r="D94" s="599"/>
      <c r="E94" s="560">
        <f>'10'!F94</f>
        <v>0</v>
      </c>
      <c r="F94" s="554"/>
      <c r="G94" s="549">
        <f>G92+G93</f>
        <v>295</v>
      </c>
      <c r="H94" s="536">
        <f>G94+'10'!H94</f>
        <v>2030</v>
      </c>
      <c r="I94" s="556"/>
      <c r="J94" s="629">
        <f>H94/DAY(B2)</f>
        <v>184.54545454545453</v>
      </c>
      <c r="K94" s="411"/>
      <c r="L94" s="408"/>
      <c r="N94" s="818">
        <v>79</v>
      </c>
      <c r="P94" s="413">
        <f t="shared" si="8"/>
        <v>216</v>
      </c>
    </row>
    <row r="95" spans="1:16" ht="27.75">
      <c r="A95" s="1388" t="s">
        <v>220</v>
      </c>
      <c r="B95" s="1389"/>
      <c r="C95" s="1390"/>
      <c r="D95" s="599" t="s">
        <v>155</v>
      </c>
      <c r="E95" s="560">
        <f>'10'!F95</f>
        <v>404261</v>
      </c>
      <c r="F95" s="554">
        <v>404354</v>
      </c>
      <c r="G95" s="549">
        <f t="shared" ref="G95:G100" si="12">F95-E95</f>
        <v>93</v>
      </c>
      <c r="H95" s="536">
        <f>G95+'10'!H95</f>
        <v>689</v>
      </c>
      <c r="I95" s="556"/>
      <c r="J95" s="629">
        <f>H95/DAY(B2)</f>
        <v>62.636363636363633</v>
      </c>
      <c r="K95" s="411"/>
      <c r="L95" s="408"/>
      <c r="N95" s="818">
        <v>28</v>
      </c>
      <c r="P95" s="413">
        <f t="shared" si="8"/>
        <v>65</v>
      </c>
    </row>
    <row r="96" spans="1:16" ht="27.75">
      <c r="A96" s="1252" t="s">
        <v>221</v>
      </c>
      <c r="B96" s="1253"/>
      <c r="C96" s="1253"/>
      <c r="D96" s="599" t="s">
        <v>155</v>
      </c>
      <c r="E96" s="560">
        <f>'10'!F96</f>
        <v>100111</v>
      </c>
      <c r="F96" s="554">
        <v>100130</v>
      </c>
      <c r="G96" s="549">
        <f t="shared" si="12"/>
        <v>19</v>
      </c>
      <c r="H96" s="536">
        <f>G96+'10'!H96</f>
        <v>209</v>
      </c>
      <c r="I96" s="556"/>
      <c r="J96" s="629">
        <f>H96/DAY(B2)</f>
        <v>19</v>
      </c>
      <c r="K96" s="466"/>
      <c r="L96" s="408"/>
      <c r="N96" s="818">
        <v>10</v>
      </c>
      <c r="P96" s="413">
        <f t="shared" si="8"/>
        <v>9</v>
      </c>
    </row>
    <row r="97" spans="1:16" ht="27.75">
      <c r="A97" s="1252" t="s">
        <v>222</v>
      </c>
      <c r="B97" s="1253"/>
      <c r="C97" s="1253"/>
      <c r="D97" s="599" t="s">
        <v>155</v>
      </c>
      <c r="E97" s="560">
        <f>'10'!F97</f>
        <v>95226</v>
      </c>
      <c r="F97" s="554">
        <v>95246</v>
      </c>
      <c r="G97" s="549">
        <f t="shared" si="12"/>
        <v>20</v>
      </c>
      <c r="H97" s="536">
        <f>G97+'10'!H97</f>
        <v>219</v>
      </c>
      <c r="I97" s="556"/>
      <c r="J97" s="629">
        <f>H97/DAY(B2)</f>
        <v>19.90909090909091</v>
      </c>
      <c r="K97" s="471"/>
      <c r="L97" s="408"/>
      <c r="N97" s="818">
        <v>10</v>
      </c>
      <c r="P97" s="413">
        <f t="shared" si="8"/>
        <v>10</v>
      </c>
    </row>
    <row r="98" spans="1:16" ht="27.75">
      <c r="A98" s="1252" t="s">
        <v>223</v>
      </c>
      <c r="B98" s="1253"/>
      <c r="C98" s="1253"/>
      <c r="D98" s="599" t="s">
        <v>155</v>
      </c>
      <c r="E98" s="560">
        <f>'10'!F98</f>
        <v>144388</v>
      </c>
      <c r="F98" s="554">
        <v>144452</v>
      </c>
      <c r="G98" s="549">
        <f t="shared" si="12"/>
        <v>64</v>
      </c>
      <c r="H98" s="536">
        <f>G98+'10'!H98</f>
        <v>645</v>
      </c>
      <c r="I98" s="556"/>
      <c r="J98" s="629">
        <f>H98/DAY(B2)</f>
        <v>58.636363636363633</v>
      </c>
      <c r="K98" s="411"/>
      <c r="L98" s="408"/>
      <c r="N98" s="820">
        <v>28</v>
      </c>
      <c r="P98" s="413">
        <f t="shared" si="8"/>
        <v>36</v>
      </c>
    </row>
    <row r="99" spans="1:16" ht="27.75">
      <c r="A99" s="1252" t="s">
        <v>224</v>
      </c>
      <c r="B99" s="1253"/>
      <c r="C99" s="1253"/>
      <c r="D99" s="599" t="s">
        <v>155</v>
      </c>
      <c r="E99" s="560">
        <f>'10'!F99</f>
        <v>5622</v>
      </c>
      <c r="F99" s="554">
        <v>5646</v>
      </c>
      <c r="G99" s="549">
        <f t="shared" si="12"/>
        <v>24</v>
      </c>
      <c r="H99" s="536">
        <f>G99+'10'!H99</f>
        <v>144</v>
      </c>
      <c r="I99" s="556"/>
      <c r="J99" s="629">
        <f>H99/DAY(B2)</f>
        <v>13.090909090909092</v>
      </c>
      <c r="K99" s="411"/>
      <c r="L99" s="408"/>
      <c r="N99" s="818">
        <v>5</v>
      </c>
      <c r="P99" s="413">
        <f t="shared" si="8"/>
        <v>19</v>
      </c>
    </row>
    <row r="100" spans="1:16" ht="27.75">
      <c r="A100" s="1252" t="s">
        <v>225</v>
      </c>
      <c r="B100" s="1253"/>
      <c r="C100" s="1253"/>
      <c r="D100" s="599" t="s">
        <v>155</v>
      </c>
      <c r="E100" s="560">
        <f>'10'!F100</f>
        <v>4047</v>
      </c>
      <c r="F100" s="703">
        <v>4056</v>
      </c>
      <c r="G100" s="549">
        <f t="shared" si="12"/>
        <v>9</v>
      </c>
      <c r="H100" s="536">
        <f>G100+'10'!H100</f>
        <v>92</v>
      </c>
      <c r="I100" s="556"/>
      <c r="J100" s="629">
        <f>H100/DAY(B2)</f>
        <v>8.3636363636363633</v>
      </c>
      <c r="K100" s="411"/>
      <c r="L100" s="408"/>
      <c r="N100" s="818">
        <v>0</v>
      </c>
      <c r="P100" s="413">
        <f t="shared" si="8"/>
        <v>9</v>
      </c>
    </row>
    <row r="101" spans="1:16">
      <c r="A101" s="1419" t="s">
        <v>227</v>
      </c>
      <c r="B101" s="1420"/>
      <c r="C101" s="1421"/>
      <c r="D101" s="600"/>
      <c r="E101" s="560"/>
      <c r="F101" s="600"/>
      <c r="G101" s="601">
        <f>SUM(G95:G100)</f>
        <v>229</v>
      </c>
      <c r="H101" s="536">
        <f>G101+'10'!H101</f>
        <v>1998</v>
      </c>
      <c r="I101" s="602"/>
      <c r="J101" s="629">
        <f>H101/DAY(B2)</f>
        <v>181.63636363636363</v>
      </c>
      <c r="K101" s="411"/>
      <c r="L101" s="408"/>
      <c r="N101" s="818">
        <v>81</v>
      </c>
      <c r="P101" s="413">
        <f t="shared" si="8"/>
        <v>148</v>
      </c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P102" s="413">
        <f t="shared" si="8"/>
        <v>0</v>
      </c>
    </row>
    <row r="103" spans="1:16" s="481" customFormat="1" ht="27.75">
      <c r="A103" s="1422" t="s">
        <v>229</v>
      </c>
      <c r="B103" s="1423"/>
      <c r="C103" s="650"/>
      <c r="D103" s="699"/>
      <c r="E103" s="560"/>
      <c r="F103" s="739"/>
      <c r="G103" s="608"/>
      <c r="H103" s="609"/>
      <c r="I103" s="608"/>
      <c r="J103" s="635"/>
      <c r="N103" s="818"/>
      <c r="P103" s="413">
        <f t="shared" si="8"/>
        <v>0</v>
      </c>
    </row>
    <row r="104" spans="1:16" s="481" customFormat="1" ht="27.75">
      <c r="A104" s="1380" t="s">
        <v>230</v>
      </c>
      <c r="B104" s="1381"/>
      <c r="C104" s="1251"/>
      <c r="D104" s="699" t="s">
        <v>155</v>
      </c>
      <c r="E104" s="560">
        <f>'10'!F104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8.9090909090909083</v>
      </c>
      <c r="N104" s="818">
        <v>0</v>
      </c>
      <c r="P104" s="413">
        <f t="shared" si="8"/>
        <v>0</v>
      </c>
    </row>
    <row r="105" spans="1:16" s="481" customFormat="1" ht="27.75">
      <c r="A105" s="1380" t="s">
        <v>77</v>
      </c>
      <c r="B105" s="1381"/>
      <c r="C105" s="1251"/>
      <c r="D105" s="699" t="s">
        <v>155</v>
      </c>
      <c r="E105" s="560">
        <f>'10'!F105</f>
        <v>34980</v>
      </c>
      <c r="F105" s="740">
        <v>34999</v>
      </c>
      <c r="G105" s="608">
        <f t="shared" ref="G105:G106" si="13">F105-E105</f>
        <v>19</v>
      </c>
      <c r="H105" s="609">
        <f>SUM(G105+'1'!G77)</f>
        <v>80</v>
      </c>
      <c r="I105" s="608"/>
      <c r="J105" s="635">
        <f>H105/DAY(B2)</f>
        <v>7.2727272727272725</v>
      </c>
      <c r="N105" s="818">
        <v>0</v>
      </c>
      <c r="P105" s="413">
        <f t="shared" si="8"/>
        <v>19</v>
      </c>
    </row>
    <row r="106" spans="1:16" s="481" customFormat="1" ht="27.75">
      <c r="A106" s="1380" t="s">
        <v>78</v>
      </c>
      <c r="B106" s="1424"/>
      <c r="C106" s="1381"/>
      <c r="D106" s="699" t="s">
        <v>155</v>
      </c>
      <c r="E106" s="560">
        <f>'10'!F106</f>
        <v>18943</v>
      </c>
      <c r="F106" s="740">
        <v>18948</v>
      </c>
      <c r="G106" s="608">
        <f t="shared" si="13"/>
        <v>5</v>
      </c>
      <c r="H106" s="609">
        <f>SUM(G106+'1'!G78)</f>
        <v>374</v>
      </c>
      <c r="I106" s="608"/>
      <c r="J106" s="635">
        <f>H106/DAY(B2)</f>
        <v>34</v>
      </c>
      <c r="N106" s="818">
        <v>4</v>
      </c>
      <c r="P106" s="413">
        <f t="shared" si="8"/>
        <v>1</v>
      </c>
    </row>
    <row r="107" spans="1:16" s="481" customFormat="1" ht="27.75">
      <c r="A107" s="1382" t="s">
        <v>213</v>
      </c>
      <c r="B107" s="1383"/>
      <c r="C107" s="1251"/>
      <c r="D107" s="699"/>
      <c r="E107" s="560"/>
      <c r="F107" s="740"/>
      <c r="G107" s="608">
        <f>SUM(G104:G106)</f>
        <v>24</v>
      </c>
      <c r="H107" s="609">
        <f>SUM(G107+'1'!G79)</f>
        <v>211</v>
      </c>
      <c r="I107" s="608"/>
      <c r="J107" s="635">
        <f>H107/DAY(B2)</f>
        <v>19.181818181818183</v>
      </c>
      <c r="N107" s="818">
        <v>4</v>
      </c>
      <c r="P107" s="413">
        <f t="shared" si="8"/>
        <v>20</v>
      </c>
    </row>
    <row r="108" spans="1:16" s="481" customFormat="1" ht="27.75">
      <c r="A108" s="1386" t="s">
        <v>79</v>
      </c>
      <c r="B108" s="1387"/>
      <c r="C108" s="1251"/>
      <c r="D108" s="699" t="s">
        <v>155</v>
      </c>
      <c r="E108" s="560"/>
      <c r="F108" s="740"/>
      <c r="G108" s="608"/>
      <c r="H108" s="609"/>
      <c r="I108" s="608"/>
      <c r="J108" s="635"/>
      <c r="N108" s="818"/>
      <c r="P108" s="413">
        <f t="shared" si="8"/>
        <v>0</v>
      </c>
    </row>
    <row r="109" spans="1:16" s="481" customFormat="1" ht="27.75">
      <c r="A109" s="1380" t="s">
        <v>231</v>
      </c>
      <c r="B109" s="1381"/>
      <c r="C109" s="1251"/>
      <c r="D109" s="699" t="s">
        <v>155</v>
      </c>
      <c r="E109" s="560">
        <f>'10'!F109</f>
        <v>53536</v>
      </c>
      <c r="F109" s="740">
        <v>53620</v>
      </c>
      <c r="G109" s="608">
        <f>F109-E109</f>
        <v>84</v>
      </c>
      <c r="H109" s="609">
        <f>SUM(G109+'1'!G81)</f>
        <v>213</v>
      </c>
      <c r="I109" s="608"/>
      <c r="J109" s="635">
        <f>H109/DAY(B2)</f>
        <v>19.363636363636363</v>
      </c>
      <c r="N109" s="818">
        <v>40</v>
      </c>
      <c r="P109" s="413">
        <f t="shared" si="8"/>
        <v>44</v>
      </c>
    </row>
    <row r="110" spans="1:16" s="481" customFormat="1" ht="27.75">
      <c r="A110" s="1380" t="s">
        <v>232</v>
      </c>
      <c r="B110" s="1381"/>
      <c r="C110" s="1251"/>
      <c r="D110" s="699" t="s">
        <v>155</v>
      </c>
      <c r="E110" s="560">
        <f>'10'!F110</f>
        <v>27432</v>
      </c>
      <c r="F110" s="740">
        <v>27492</v>
      </c>
      <c r="G110" s="608">
        <f t="shared" ref="G110:G111" si="14">F110-E110</f>
        <v>60</v>
      </c>
      <c r="H110" s="609">
        <f>SUM(G110+'1'!G82)</f>
        <v>83</v>
      </c>
      <c r="I110" s="608"/>
      <c r="J110" s="635">
        <f>H110/DAY(B2)</f>
        <v>7.5454545454545459</v>
      </c>
      <c r="N110" s="818">
        <v>0</v>
      </c>
      <c r="P110" s="413">
        <f t="shared" si="8"/>
        <v>60</v>
      </c>
    </row>
    <row r="111" spans="1:16" s="481" customFormat="1" ht="27.75">
      <c r="A111" s="1380" t="s">
        <v>233</v>
      </c>
      <c r="B111" s="1381"/>
      <c r="C111" s="1251"/>
      <c r="D111" s="699" t="s">
        <v>155</v>
      </c>
      <c r="E111" s="560">
        <f>'10'!F111</f>
        <v>3625</v>
      </c>
      <c r="F111" s="740">
        <v>3625</v>
      </c>
      <c r="G111" s="608">
        <f t="shared" si="14"/>
        <v>0</v>
      </c>
      <c r="H111" s="609">
        <f>SUM(G111+'1'!G83)</f>
        <v>333</v>
      </c>
      <c r="I111" s="608"/>
      <c r="J111" s="635">
        <f>H111/DAY(B2)</f>
        <v>30.272727272727273</v>
      </c>
      <c r="N111" s="818">
        <v>0</v>
      </c>
      <c r="P111" s="413">
        <f t="shared" si="8"/>
        <v>0</v>
      </c>
    </row>
    <row r="112" spans="1:16" s="481" customFormat="1" ht="27.75">
      <c r="A112" s="1382" t="s">
        <v>121</v>
      </c>
      <c r="B112" s="1383"/>
      <c r="C112" s="1251"/>
      <c r="D112" s="699"/>
      <c r="E112" s="560"/>
      <c r="F112" s="740"/>
      <c r="G112" s="608">
        <f>SUM(G109:G111)</f>
        <v>144</v>
      </c>
      <c r="H112" s="609">
        <f>SUM(G112+'1'!G84)</f>
        <v>590</v>
      </c>
      <c r="I112" s="608"/>
      <c r="J112" s="635">
        <f>H112/DAY(B2)</f>
        <v>53.636363636363633</v>
      </c>
      <c r="N112" s="818">
        <v>40</v>
      </c>
      <c r="P112" s="413">
        <f t="shared" si="8"/>
        <v>104</v>
      </c>
    </row>
    <row r="113" spans="1:16" s="481" customFormat="1" ht="27.75">
      <c r="A113" s="1386" t="s">
        <v>234</v>
      </c>
      <c r="B113" s="1387"/>
      <c r="C113" s="1251"/>
      <c r="D113" s="699"/>
      <c r="E113" s="560"/>
      <c r="F113" s="740"/>
      <c r="G113" s="608"/>
      <c r="H113" s="609"/>
      <c r="I113" s="608"/>
      <c r="J113" s="635">
        <f>H113/DAY(B2)</f>
        <v>0</v>
      </c>
      <c r="N113" s="818"/>
      <c r="P113" s="413">
        <f t="shared" si="8"/>
        <v>0</v>
      </c>
    </row>
    <row r="114" spans="1:16" s="481" customFormat="1" ht="27.75">
      <c r="A114" s="1380" t="s">
        <v>235</v>
      </c>
      <c r="B114" s="1381"/>
      <c r="C114" s="651"/>
      <c r="D114" s="699" t="s">
        <v>155</v>
      </c>
      <c r="E114" s="560">
        <f>'10'!F114</f>
        <v>9386</v>
      </c>
      <c r="F114" s="740">
        <v>9413</v>
      </c>
      <c r="G114" s="610">
        <f>F114-E114</f>
        <v>27</v>
      </c>
      <c r="H114" s="609">
        <f>SUM(G114+'1'!G91)</f>
        <v>27</v>
      </c>
      <c r="I114" s="608"/>
      <c r="J114" s="635">
        <f>H114/DAY(B2)</f>
        <v>2.4545454545454546</v>
      </c>
      <c r="N114" s="818">
        <v>5</v>
      </c>
      <c r="P114" s="413">
        <f t="shared" si="8"/>
        <v>22</v>
      </c>
    </row>
    <row r="115" spans="1:16" s="481" customFormat="1" ht="27.75">
      <c r="A115" s="1380" t="s">
        <v>236</v>
      </c>
      <c r="B115" s="1381"/>
      <c r="C115" s="651"/>
      <c r="D115" s="699" t="s">
        <v>155</v>
      </c>
      <c r="E115" s="560">
        <f>'10'!F115</f>
        <v>7263</v>
      </c>
      <c r="F115" s="740">
        <v>7271</v>
      </c>
      <c r="G115" s="610">
        <f t="shared" ref="G115:G116" si="15">F115-E115</f>
        <v>8</v>
      </c>
      <c r="H115" s="609">
        <f>SUM(G115+'1'!G92)</f>
        <v>141</v>
      </c>
      <c r="I115" s="608"/>
      <c r="J115" s="635">
        <f>H115/DAY(B2)</f>
        <v>12.818181818181818</v>
      </c>
      <c r="N115" s="818">
        <v>2</v>
      </c>
      <c r="P115" s="413">
        <f t="shared" si="8"/>
        <v>6</v>
      </c>
    </row>
    <row r="116" spans="1:16" s="481" customFormat="1" ht="27.75">
      <c r="A116" s="1380" t="s">
        <v>237</v>
      </c>
      <c r="B116" s="1381"/>
      <c r="C116" s="651"/>
      <c r="D116" s="699" t="s">
        <v>155</v>
      </c>
      <c r="E116" s="610"/>
      <c r="F116" s="740"/>
      <c r="G116" s="610">
        <f t="shared" si="15"/>
        <v>0</v>
      </c>
      <c r="H116" s="609">
        <f>SUM(G116+'1'!G93)</f>
        <v>141</v>
      </c>
      <c r="I116" s="608"/>
      <c r="J116" s="635">
        <f>H116/DAY(B2)</f>
        <v>12.818181818181818</v>
      </c>
      <c r="N116" s="818">
        <v>0</v>
      </c>
      <c r="P116" s="413">
        <f t="shared" si="8"/>
        <v>0</v>
      </c>
    </row>
    <row r="117" spans="1:16" s="494" customFormat="1" ht="27.75">
      <c r="A117" s="1382" t="s">
        <v>213</v>
      </c>
      <c r="B117" s="1383"/>
      <c r="C117" s="651"/>
      <c r="D117" s="700"/>
      <c r="E117" s="610"/>
      <c r="F117" s="740"/>
      <c r="G117" s="610">
        <f>SUM(G114:G116)</f>
        <v>35</v>
      </c>
      <c r="H117" s="609">
        <f>SUM(G117+'1'!G95)</f>
        <v>95</v>
      </c>
      <c r="I117" s="610"/>
      <c r="J117" s="635">
        <f>H117/DAY(B2)</f>
        <v>8.6363636363636367</v>
      </c>
      <c r="N117" s="818">
        <v>7</v>
      </c>
      <c r="P117" s="413">
        <f t="shared" si="8"/>
        <v>28</v>
      </c>
    </row>
    <row r="118" spans="1:16" s="495" customFormat="1" ht="27.75">
      <c r="A118" s="1376" t="s">
        <v>238</v>
      </c>
      <c r="B118" s="1377"/>
      <c r="C118" s="1249"/>
      <c r="D118" s="701" t="s">
        <v>155</v>
      </c>
      <c r="E118" s="612"/>
      <c r="F118" s="741">
        <f>SUM(G19+G92)</f>
        <v>169</v>
      </c>
      <c r="G118" s="612">
        <f>SUM(G19+G92)</f>
        <v>169</v>
      </c>
      <c r="H118" s="609">
        <f>SUM(G118+'1'!G96)</f>
        <v>202</v>
      </c>
      <c r="I118" s="611"/>
      <c r="J118" s="636">
        <f>H118/DAY(B2)</f>
        <v>18.363636363636363</v>
      </c>
      <c r="N118" s="818">
        <v>61</v>
      </c>
      <c r="P118" s="413">
        <f t="shared" si="8"/>
        <v>108</v>
      </c>
    </row>
    <row r="119" spans="1:16" s="495" customFormat="1" ht="27.75">
      <c r="A119" s="1376" t="s">
        <v>239</v>
      </c>
      <c r="B119" s="1377"/>
      <c r="C119" s="1249"/>
      <c r="D119" s="701" t="s">
        <v>155</v>
      </c>
      <c r="E119" s="612"/>
      <c r="F119" s="741">
        <f>SUM(G95,G96,G97,G99,G100)</f>
        <v>165</v>
      </c>
      <c r="G119" s="612">
        <f>SUM(G95,G96,G97,G99,G100)</f>
        <v>165</v>
      </c>
      <c r="H119" s="609">
        <f>SUM(G119+'1'!G98)</f>
        <v>215</v>
      </c>
      <c r="I119" s="611"/>
      <c r="J119" s="636">
        <f>H119/DAY(B2)</f>
        <v>19.545454545454547</v>
      </c>
      <c r="N119" s="818">
        <v>53</v>
      </c>
      <c r="P119" s="413">
        <f t="shared" si="8"/>
        <v>112</v>
      </c>
    </row>
    <row r="120" spans="1:16" s="495" customFormat="1" ht="27.75">
      <c r="A120" s="1376" t="s">
        <v>240</v>
      </c>
      <c r="B120" s="1377"/>
      <c r="C120" s="1249"/>
      <c r="D120" s="701" t="s">
        <v>155</v>
      </c>
      <c r="E120" s="610"/>
      <c r="F120" s="740">
        <f>SUM(G112)</f>
        <v>144</v>
      </c>
      <c r="G120" s="610">
        <f>SUM(G112)</f>
        <v>144</v>
      </c>
      <c r="H120" s="609">
        <f>SUM(G120+'1'!G100)</f>
        <v>161</v>
      </c>
      <c r="I120" s="611"/>
      <c r="J120" s="636">
        <f>H120/DAY(B2)</f>
        <v>14.636363636363637</v>
      </c>
      <c r="N120" s="818">
        <v>40</v>
      </c>
      <c r="P120" s="413">
        <f t="shared" si="8"/>
        <v>104</v>
      </c>
    </row>
    <row r="121" spans="1:16" s="481" customFormat="1" ht="27.75">
      <c r="A121" s="1378"/>
      <c r="B121" s="1379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818"/>
      <c r="P121" s="413">
        <f t="shared" si="8"/>
        <v>0</v>
      </c>
    </row>
    <row r="122" spans="1:16">
      <c r="A122" s="1416" t="s">
        <v>241</v>
      </c>
      <c r="B122" s="1417"/>
      <c r="C122" s="1418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P122" s="413">
        <f t="shared" si="8"/>
        <v>0</v>
      </c>
    </row>
    <row r="123" spans="1:16" ht="27.75">
      <c r="A123" s="1252" t="s">
        <v>242</v>
      </c>
      <c r="B123" s="1253"/>
      <c r="C123" s="1253"/>
      <c r="D123" s="599" t="s">
        <v>152</v>
      </c>
      <c r="E123" s="554">
        <f>'10'!F123</f>
        <v>797820</v>
      </c>
      <c r="F123" s="554">
        <v>798048.85</v>
      </c>
      <c r="G123" s="549">
        <f t="shared" ref="G123:G127" si="16">F123-E123</f>
        <v>228.84999999997672</v>
      </c>
      <c r="H123" s="536">
        <f>G123+'10'!H123</f>
        <v>2624.7999999999302</v>
      </c>
      <c r="I123" s="602"/>
      <c r="J123" s="629">
        <f>H123/DAY(B2)</f>
        <v>238.61818181817546</v>
      </c>
      <c r="K123" s="411"/>
      <c r="L123" s="408"/>
      <c r="N123" s="818">
        <v>139.71999999997206</v>
      </c>
      <c r="P123" s="413">
        <f t="shared" si="8"/>
        <v>89.130000000004657</v>
      </c>
    </row>
    <row r="124" spans="1:16" ht="27.75">
      <c r="A124" s="1252" t="s">
        <v>243</v>
      </c>
      <c r="B124" s="1253"/>
      <c r="C124" s="1253"/>
      <c r="D124" s="599" t="s">
        <v>152</v>
      </c>
      <c r="E124" s="703">
        <f>'10'!F124</f>
        <v>73582</v>
      </c>
      <c r="F124" s="703">
        <v>73582.3</v>
      </c>
      <c r="G124" s="549">
        <f t="shared" si="16"/>
        <v>0.30000000000291038</v>
      </c>
      <c r="H124" s="536">
        <f>G124+'10'!H124</f>
        <v>0.10000000000582077</v>
      </c>
      <c r="I124" s="602"/>
      <c r="J124" s="629">
        <f>H124/DAY(B2)</f>
        <v>9.0909090914382523E-3</v>
      </c>
      <c r="K124" s="411"/>
      <c r="L124" s="408"/>
      <c r="N124" s="818">
        <v>0</v>
      </c>
      <c r="P124" s="413">
        <f t="shared" si="8"/>
        <v>0.30000000000291038</v>
      </c>
    </row>
    <row r="125" spans="1:16" ht="27.75">
      <c r="A125" s="1367" t="s">
        <v>244</v>
      </c>
      <c r="B125" s="1368"/>
      <c r="C125" s="1369"/>
      <c r="D125" s="599" t="s">
        <v>152</v>
      </c>
      <c r="E125" s="554">
        <f>'10'!F125</f>
        <v>136274</v>
      </c>
      <c r="F125" s="554">
        <v>136362.6</v>
      </c>
      <c r="G125" s="549">
        <f t="shared" si="16"/>
        <v>88.600000000005821</v>
      </c>
      <c r="H125" s="536">
        <f>G125+'10'!H125</f>
        <v>771.92999999999302</v>
      </c>
      <c r="I125" s="602"/>
      <c r="J125" s="629">
        <f>H125/DAY(B2)</f>
        <v>70.175454545453917</v>
      </c>
      <c r="K125" s="411"/>
      <c r="L125" s="408"/>
      <c r="N125" s="818">
        <v>53.380000000004657</v>
      </c>
      <c r="P125" s="413">
        <f t="shared" si="8"/>
        <v>35.220000000001164</v>
      </c>
    </row>
    <row r="126" spans="1:16" ht="27.75">
      <c r="A126" s="686" t="s">
        <v>245</v>
      </c>
      <c r="B126" s="1253"/>
      <c r="C126" s="1253"/>
      <c r="D126" s="599" t="s">
        <v>152</v>
      </c>
      <c r="E126" s="703">
        <f>'10'!F126</f>
        <v>57684</v>
      </c>
      <c r="F126" s="703">
        <v>57727.7</v>
      </c>
      <c r="G126" s="549">
        <f t="shared" si="16"/>
        <v>43.69999999999709</v>
      </c>
      <c r="H126" s="536">
        <f>G126+'10'!H126</f>
        <v>346.69999999999709</v>
      </c>
      <c r="I126" s="602"/>
      <c r="J126" s="629">
        <f>H126/DAY(B2)</f>
        <v>31.518181818181553</v>
      </c>
      <c r="K126" s="411"/>
      <c r="L126" s="408"/>
      <c r="N126" s="818">
        <v>0</v>
      </c>
      <c r="P126" s="413">
        <f t="shared" si="8"/>
        <v>43.69999999999709</v>
      </c>
    </row>
    <row r="127" spans="1:16" ht="27.75">
      <c r="A127" s="686" t="s">
        <v>246</v>
      </c>
      <c r="B127" s="1253"/>
      <c r="C127" s="1253"/>
      <c r="D127" s="599" t="s">
        <v>152</v>
      </c>
      <c r="E127" s="703">
        <f>'10'!F127</f>
        <v>8726</v>
      </c>
      <c r="F127" s="703">
        <v>8729.7000000000007</v>
      </c>
      <c r="G127" s="549">
        <f t="shared" si="16"/>
        <v>3.7000000000007276</v>
      </c>
      <c r="H127" s="536">
        <f>G127+'10'!H127</f>
        <v>23.700000000000728</v>
      </c>
      <c r="I127" s="556"/>
      <c r="J127" s="629">
        <f>H127/DAY(B2)</f>
        <v>2.1545454545455205</v>
      </c>
      <c r="K127" s="411"/>
      <c r="L127" s="408"/>
      <c r="N127" s="818">
        <v>0</v>
      </c>
      <c r="P127" s="413">
        <f t="shared" si="8"/>
        <v>3.7000000000007276</v>
      </c>
    </row>
    <row r="128" spans="1:16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553.90199999992547</v>
      </c>
      <c r="H128" s="536"/>
      <c r="I128" s="556"/>
      <c r="J128" s="629"/>
      <c r="K128" s="391"/>
      <c r="L128" s="293"/>
      <c r="N128" s="818">
        <v>146.14300000004005</v>
      </c>
      <c r="P128" s="413">
        <f t="shared" si="8"/>
        <v>407.75899999988542</v>
      </c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P129" s="413">
        <f t="shared" si="8"/>
        <v>0</v>
      </c>
    </row>
    <row r="130" spans="1:16" ht="27.75">
      <c r="A130" s="1252" t="s">
        <v>249</v>
      </c>
      <c r="B130" s="1253"/>
      <c r="C130" s="1253"/>
      <c r="D130" s="599" t="s">
        <v>250</v>
      </c>
      <c r="E130" s="560">
        <f>'10'!F130</f>
        <v>0</v>
      </c>
      <c r="F130" s="554">
        <v>0</v>
      </c>
      <c r="G130" s="549">
        <f t="shared" ref="G130:G140" si="17">F130-E130</f>
        <v>0</v>
      </c>
      <c r="H130" s="536">
        <f>G130+'10'!H130</f>
        <v>0</v>
      </c>
      <c r="I130" s="556"/>
      <c r="J130" s="629">
        <f>H130/DAY(B2)</f>
        <v>0</v>
      </c>
      <c r="N130" s="818">
        <v>0</v>
      </c>
      <c r="P130" s="413">
        <f t="shared" si="8"/>
        <v>0</v>
      </c>
    </row>
    <row r="131" spans="1:16" ht="27.75">
      <c r="A131" s="1252" t="s">
        <v>251</v>
      </c>
      <c r="B131" s="1253"/>
      <c r="C131" s="1253"/>
      <c r="D131" s="599" t="s">
        <v>250</v>
      </c>
      <c r="E131" s="560">
        <f>'10'!F131</f>
        <v>0</v>
      </c>
      <c r="F131" s="554">
        <v>0</v>
      </c>
      <c r="G131" s="549">
        <f t="shared" si="17"/>
        <v>0</v>
      </c>
      <c r="H131" s="536">
        <f>G131+'10'!H131</f>
        <v>0</v>
      </c>
      <c r="I131" s="556"/>
      <c r="J131" s="629">
        <f>H131/DAY(B2)</f>
        <v>0</v>
      </c>
      <c r="N131" s="818">
        <v>0</v>
      </c>
      <c r="P131" s="413">
        <f t="shared" si="8"/>
        <v>0</v>
      </c>
    </row>
    <row r="132" spans="1:16" ht="27.75">
      <c r="A132" s="1252" t="s">
        <v>252</v>
      </c>
      <c r="B132" s="1253"/>
      <c r="C132" s="1253"/>
      <c r="D132" s="599" t="s">
        <v>250</v>
      </c>
      <c r="E132" s="618">
        <f>'10'!F132</f>
        <v>38901</v>
      </c>
      <c r="F132" s="732">
        <v>38901</v>
      </c>
      <c r="G132" s="549">
        <f t="shared" si="17"/>
        <v>0</v>
      </c>
      <c r="H132" s="536">
        <f>G132+'10'!H132</f>
        <v>0</v>
      </c>
      <c r="I132" s="556"/>
      <c r="J132" s="629">
        <f>H132/DAY(B2)</f>
        <v>0</v>
      </c>
      <c r="N132" s="818">
        <v>22</v>
      </c>
      <c r="P132" s="413">
        <f t="shared" si="8"/>
        <v>-22</v>
      </c>
    </row>
    <row r="133" spans="1:16" ht="27.75">
      <c r="A133" s="1252" t="s">
        <v>253</v>
      </c>
      <c r="B133" s="1253"/>
      <c r="C133" s="1253"/>
      <c r="D133" s="599" t="s">
        <v>250</v>
      </c>
      <c r="E133" s="782">
        <f>'10'!F133</f>
        <v>299</v>
      </c>
      <c r="F133" s="703">
        <v>299</v>
      </c>
      <c r="G133" s="549">
        <f t="shared" si="17"/>
        <v>0</v>
      </c>
      <c r="H133" s="536">
        <f>G133+'10'!H133</f>
        <v>0</v>
      </c>
      <c r="I133" s="556">
        <f>G130+G131+G132+G133</f>
        <v>0</v>
      </c>
      <c r="J133" s="629">
        <f>H133/DAY(B2)</f>
        <v>0</v>
      </c>
      <c r="N133" s="818">
        <v>9.0000000000145519E-2</v>
      </c>
      <c r="P133" s="413">
        <f t="shared" si="8"/>
        <v>-9.0000000000145519E-2</v>
      </c>
    </row>
    <row r="134" spans="1:16" ht="27.75">
      <c r="A134" s="1252" t="s">
        <v>254</v>
      </c>
      <c r="B134" s="1253"/>
      <c r="C134" s="1253"/>
      <c r="D134" s="599" t="s">
        <v>250</v>
      </c>
      <c r="E134" s="782">
        <f>'10'!F134</f>
        <v>39735</v>
      </c>
      <c r="F134" s="703">
        <v>39744.269999999997</v>
      </c>
      <c r="G134" s="549">
        <f t="shared" si="17"/>
        <v>9.2699999999967986</v>
      </c>
      <c r="H134" s="536">
        <f>G134+'10'!H134</f>
        <v>9.2699999999967986</v>
      </c>
      <c r="I134" s="556"/>
      <c r="J134" s="629">
        <f>H134/DAY(B2)</f>
        <v>0.84272727272698167</v>
      </c>
      <c r="N134" s="818">
        <v>1</v>
      </c>
      <c r="P134" s="413">
        <f t="shared" si="8"/>
        <v>8.2699999999967986</v>
      </c>
    </row>
    <row r="135" spans="1:16" ht="27.75">
      <c r="A135" s="1252" t="s">
        <v>255</v>
      </c>
      <c r="B135" s="1253"/>
      <c r="C135" s="1253"/>
      <c r="D135" s="599" t="s">
        <v>250</v>
      </c>
      <c r="E135" s="782">
        <f>'10'!F135</f>
        <v>32408</v>
      </c>
      <c r="F135" s="703">
        <v>32423</v>
      </c>
      <c r="G135" s="549">
        <f t="shared" si="17"/>
        <v>15</v>
      </c>
      <c r="H135" s="536">
        <f>G135+'10'!H135</f>
        <v>255.61000000000058</v>
      </c>
      <c r="I135" s="556"/>
      <c r="J135" s="629">
        <f>H135/DAY(B2)</f>
        <v>23.237272727272781</v>
      </c>
      <c r="N135" s="818">
        <v>0</v>
      </c>
      <c r="P135" s="413">
        <f t="shared" si="8"/>
        <v>15</v>
      </c>
    </row>
    <row r="136" spans="1:16" ht="27.75">
      <c r="A136" s="1252" t="s">
        <v>256</v>
      </c>
      <c r="B136" s="1253"/>
      <c r="C136" s="1253"/>
      <c r="D136" s="599" t="s">
        <v>250</v>
      </c>
      <c r="E136" s="618">
        <f>'10'!F136</f>
        <v>21855.96</v>
      </c>
      <c r="F136" s="732">
        <v>21855.96</v>
      </c>
      <c r="G136" s="549">
        <f t="shared" si="17"/>
        <v>0</v>
      </c>
      <c r="H136" s="536">
        <f>G136+'10'!H136</f>
        <v>54.259999999998399</v>
      </c>
      <c r="I136" s="556">
        <f>G134+G135+G136</f>
        <v>24.269999999996799</v>
      </c>
      <c r="J136" s="629">
        <f>H136/DAY(B2)</f>
        <v>4.932727272727127</v>
      </c>
      <c r="N136" s="818">
        <v>0</v>
      </c>
      <c r="P136" s="413">
        <f t="shared" si="8"/>
        <v>0</v>
      </c>
    </row>
    <row r="137" spans="1:16" ht="27.75">
      <c r="A137" s="1252" t="s">
        <v>257</v>
      </c>
      <c r="B137" s="1253"/>
      <c r="C137" s="1253"/>
      <c r="D137" s="599" t="s">
        <v>250</v>
      </c>
      <c r="E137" s="618">
        <f>'10'!F137</f>
        <v>24990.61</v>
      </c>
      <c r="F137" s="732">
        <v>25000.5</v>
      </c>
      <c r="G137" s="549">
        <f t="shared" si="17"/>
        <v>9.8899999999994179</v>
      </c>
      <c r="H137" s="536">
        <f>G137+'10'!H137</f>
        <v>9.8899999999994179</v>
      </c>
      <c r="I137" s="556"/>
      <c r="J137" s="629">
        <f>H137/DAY(B2)</f>
        <v>0.89909090909085621</v>
      </c>
      <c r="N137" s="818">
        <v>0</v>
      </c>
      <c r="P137" s="413">
        <f t="shared" si="8"/>
        <v>9.8899999999994179</v>
      </c>
    </row>
    <row r="138" spans="1:16" ht="27.75">
      <c r="A138" s="1252" t="s">
        <v>258</v>
      </c>
      <c r="B138" s="1253"/>
      <c r="C138" s="1253"/>
      <c r="D138" s="599" t="s">
        <v>250</v>
      </c>
      <c r="E138" s="618">
        <f>'10'!F138</f>
        <v>70032.31</v>
      </c>
      <c r="F138" s="732">
        <v>70032.31</v>
      </c>
      <c r="G138" s="549">
        <f t="shared" si="17"/>
        <v>0</v>
      </c>
      <c r="H138" s="536">
        <f>G138+'10'!H138</f>
        <v>25.940000000002328</v>
      </c>
      <c r="I138" s="556">
        <f>G137+G138</f>
        <v>9.8899999999994179</v>
      </c>
      <c r="J138" s="629">
        <f>H138/DAY(B2)</f>
        <v>2.3581818181820298</v>
      </c>
      <c r="N138" s="818">
        <v>7.75</v>
      </c>
      <c r="P138" s="413">
        <f t="shared" si="8"/>
        <v>-7.75</v>
      </c>
    </row>
    <row r="139" spans="1:16" ht="27.75">
      <c r="A139" s="1252" t="s">
        <v>259</v>
      </c>
      <c r="B139" s="1253"/>
      <c r="C139" s="1253"/>
      <c r="D139" s="599" t="s">
        <v>250</v>
      </c>
      <c r="E139" s="782">
        <f>'10'!F139</f>
        <v>1063</v>
      </c>
      <c r="F139" s="703">
        <v>1062.6300000000001</v>
      </c>
      <c r="G139" s="549">
        <f t="shared" si="17"/>
        <v>-0.36999999999989086</v>
      </c>
      <c r="H139" s="536">
        <f>G139+'10'!H139</f>
        <v>-0.36999999999989086</v>
      </c>
      <c r="I139" s="619"/>
      <c r="J139" s="629">
        <f>H139/DAY(B2)</f>
        <v>-3.3636363636353715E-2</v>
      </c>
      <c r="N139" s="818">
        <v>0</v>
      </c>
      <c r="P139" s="413">
        <f t="shared" si="8"/>
        <v>-0.36999999999989086</v>
      </c>
    </row>
    <row r="140" spans="1:16" ht="27.75">
      <c r="A140" s="1252" t="s">
        <v>260</v>
      </c>
      <c r="B140" s="1253"/>
      <c r="C140" s="1253"/>
      <c r="D140" s="599" t="s">
        <v>250</v>
      </c>
      <c r="E140" s="560">
        <f>'10'!F140</f>
        <v>4311.38</v>
      </c>
      <c r="F140" s="554">
        <v>4318.92</v>
      </c>
      <c r="G140" s="549">
        <f t="shared" si="17"/>
        <v>7.5399999999999636</v>
      </c>
      <c r="H140" s="536">
        <f>G140+'10'!H140</f>
        <v>86.510000000000218</v>
      </c>
      <c r="I140" s="619"/>
      <c r="J140" s="629">
        <f>H140/DAY(B2)</f>
        <v>7.8645454545454747</v>
      </c>
      <c r="N140" s="818">
        <v>4.6199999999998909</v>
      </c>
      <c r="P140" s="413">
        <f t="shared" si="8"/>
        <v>2.9200000000000728</v>
      </c>
    </row>
    <row r="141" spans="1:16">
      <c r="A141" s="1397" t="s">
        <v>261</v>
      </c>
      <c r="B141" s="1398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P141" s="413">
        <f t="shared" ref="P141:P153" si="18">G141-N141</f>
        <v>0</v>
      </c>
    </row>
    <row r="142" spans="1:16" ht="27.75">
      <c r="A142" s="1388" t="s">
        <v>262</v>
      </c>
      <c r="B142" s="1389"/>
      <c r="C142" s="1390"/>
      <c r="D142" s="599" t="s">
        <v>143</v>
      </c>
      <c r="E142" s="599"/>
      <c r="F142" s="599"/>
      <c r="G142" s="536">
        <f>G35+G43+G49+G57</f>
        <v>5099.1300000000047</v>
      </c>
      <c r="H142" s="536">
        <f>G142+'10'!H142</f>
        <v>53630.699999999953</v>
      </c>
      <c r="I142" s="556"/>
      <c r="J142" s="629">
        <f>H142/DAY(B2)</f>
        <v>4875.5181818181773</v>
      </c>
      <c r="K142" s="411"/>
      <c r="L142" s="408"/>
      <c r="N142" s="818">
        <v>3021.2200000000303</v>
      </c>
      <c r="O142" s="407">
        <f>24-9</f>
        <v>15</v>
      </c>
      <c r="P142" s="413">
        <f t="shared" si="18"/>
        <v>2077.9099999999744</v>
      </c>
    </row>
    <row r="143" spans="1:16" ht="27.75">
      <c r="A143" s="1388" t="s">
        <v>263</v>
      </c>
      <c r="B143" s="1389"/>
      <c r="C143" s="1390"/>
      <c r="D143" s="599" t="s">
        <v>24</v>
      </c>
      <c r="E143" s="587"/>
      <c r="F143" s="587"/>
      <c r="G143" s="620">
        <f>G142/G7</f>
        <v>0.25009220658198072</v>
      </c>
      <c r="H143" s="536">
        <f>G143+'10'!H143</f>
        <v>2.6526820275816996</v>
      </c>
      <c r="I143" s="621"/>
      <c r="J143" s="629">
        <f>H143/DAY(B2)</f>
        <v>0.24115291159833632</v>
      </c>
      <c r="K143" s="411"/>
      <c r="L143" s="408"/>
      <c r="N143" s="818">
        <v>0.25350058734687281</v>
      </c>
      <c r="P143" s="413">
        <f t="shared" si="18"/>
        <v>-3.4083807648920827E-3</v>
      </c>
    </row>
    <row r="144" spans="1:16" ht="27.75">
      <c r="A144" s="1388" t="s">
        <v>264</v>
      </c>
      <c r="B144" s="1389"/>
      <c r="C144" s="1390"/>
      <c r="D144" s="599" t="s">
        <v>143</v>
      </c>
      <c r="E144" s="531"/>
      <c r="F144" s="531"/>
      <c r="G144" s="536">
        <f>G41+G42+G55+G56</f>
        <v>4923.0386999999837</v>
      </c>
      <c r="H144" s="536">
        <f>G144+'10'!H144</f>
        <v>46265.878700000008</v>
      </c>
      <c r="I144" s="556"/>
      <c r="J144" s="629">
        <f>H144/DAY(B2)</f>
        <v>4205.9889727272739</v>
      </c>
      <c r="K144" s="411"/>
      <c r="L144" s="408"/>
      <c r="N144" s="818">
        <v>3327.2700000000186</v>
      </c>
      <c r="P144" s="413">
        <f t="shared" si="18"/>
        <v>1595.7686999999651</v>
      </c>
    </row>
    <row r="145" spans="1:16" ht="27.75">
      <c r="A145" s="1388" t="s">
        <v>265</v>
      </c>
      <c r="B145" s="1389"/>
      <c r="C145" s="1390"/>
      <c r="D145" s="599" t="s">
        <v>24</v>
      </c>
      <c r="E145" s="531"/>
      <c r="F145" s="531"/>
      <c r="G145" s="620">
        <f>G144/G7</f>
        <v>0.24145562313011837</v>
      </c>
      <c r="H145" s="536">
        <f>G145+'10'!H145</f>
        <v>2.4212560452985752</v>
      </c>
      <c r="I145" s="621"/>
      <c r="J145" s="629">
        <f>H145/DAY(B2)</f>
        <v>0.22011418593623411</v>
      </c>
      <c r="K145" s="411"/>
      <c r="L145" s="408"/>
      <c r="N145" s="818">
        <v>0.27918023158248184</v>
      </c>
      <c r="P145" s="413">
        <f t="shared" si="18"/>
        <v>-3.7724608452363473E-2</v>
      </c>
    </row>
    <row r="146" spans="1:16" ht="27.75">
      <c r="A146" s="1388" t="s">
        <v>266</v>
      </c>
      <c r="B146" s="1389"/>
      <c r="C146" s="1390"/>
      <c r="D146" s="599" t="s">
        <v>143</v>
      </c>
      <c r="E146" s="531"/>
      <c r="F146" s="531"/>
      <c r="G146" s="536">
        <f>G39+G53</f>
        <v>4114.2099999999919</v>
      </c>
      <c r="H146" s="536">
        <f>G146+'10'!H146</f>
        <v>44531.239999999991</v>
      </c>
      <c r="I146" s="622"/>
      <c r="J146" s="629">
        <f>H146/DAY(B2)</f>
        <v>4048.2945454545447</v>
      </c>
      <c r="K146" s="411"/>
      <c r="L146" s="408"/>
      <c r="N146" s="818">
        <v>2165.6141000000007</v>
      </c>
      <c r="P146" s="413">
        <f t="shared" si="18"/>
        <v>1948.5958999999912</v>
      </c>
    </row>
    <row r="147" spans="1:16" ht="27.75">
      <c r="A147" s="1388" t="s">
        <v>267</v>
      </c>
      <c r="B147" s="1389"/>
      <c r="C147" s="1390"/>
      <c r="D147" s="599" t="s">
        <v>24</v>
      </c>
      <c r="E147" s="531"/>
      <c r="F147" s="531"/>
      <c r="G147" s="620">
        <f>G146/G7</f>
        <v>0.20178576683505772</v>
      </c>
      <c r="H147" s="536">
        <f>G147+'10'!H147</f>
        <v>2.3399899535493409</v>
      </c>
      <c r="I147" s="622"/>
      <c r="J147" s="629">
        <f>H147/DAY(B2)</f>
        <v>0.21272635941357645</v>
      </c>
      <c r="N147" s="818">
        <v>0.18170952340996818</v>
      </c>
      <c r="P147" s="413">
        <f t="shared" si="18"/>
        <v>2.0076243425089541E-2</v>
      </c>
    </row>
    <row r="148" spans="1:16" ht="27.75">
      <c r="A148" s="1388" t="s">
        <v>268</v>
      </c>
      <c r="B148" s="1389"/>
      <c r="C148" s="1390"/>
      <c r="D148" s="599" t="s">
        <v>194</v>
      </c>
      <c r="E148" s="531"/>
      <c r="F148" s="531"/>
      <c r="G148" s="536">
        <f>G38+G52</f>
        <v>2206.5900000000256</v>
      </c>
      <c r="H148" s="536">
        <f>G148+'10'!H148</f>
        <v>22324.960000000021</v>
      </c>
      <c r="I148" s="556"/>
      <c r="J148" s="629">
        <f>H148/DAY(B2)</f>
        <v>2029.5418181818202</v>
      </c>
      <c r="K148" s="412"/>
      <c r="N148" s="818">
        <v>1007.5800000000163</v>
      </c>
      <c r="P148" s="413">
        <f t="shared" si="18"/>
        <v>1199.0100000000093</v>
      </c>
    </row>
    <row r="149" spans="1:16" ht="27.75">
      <c r="A149" s="1388" t="s">
        <v>269</v>
      </c>
      <c r="B149" s="1389"/>
      <c r="C149" s="1390"/>
      <c r="D149" s="599" t="s">
        <v>24</v>
      </c>
      <c r="E149" s="531"/>
      <c r="F149" s="531"/>
      <c r="G149" s="620">
        <f>G148/G7</f>
        <v>0.10822453283633457</v>
      </c>
      <c r="H149" s="536">
        <f>G149+'10'!H149</f>
        <v>1.1731716492283653</v>
      </c>
      <c r="I149" s="622"/>
      <c r="J149" s="629">
        <f>H149/DAY(B2)</f>
        <v>0.10665196811166956</v>
      </c>
      <c r="N149" s="818">
        <v>8.4542708508140316E-2</v>
      </c>
      <c r="P149" s="413">
        <f t="shared" si="18"/>
        <v>2.3681824328194254E-2</v>
      </c>
    </row>
    <row r="150" spans="1:16" ht="27.75">
      <c r="A150" s="1388" t="s">
        <v>270</v>
      </c>
      <c r="B150" s="1389"/>
      <c r="C150" s="1390"/>
      <c r="D150" s="599" t="s">
        <v>194</v>
      </c>
      <c r="E150" s="531"/>
      <c r="F150" s="531"/>
      <c r="G150" s="536">
        <f>G36+G50</f>
        <v>1823.539999999979</v>
      </c>
      <c r="H150" s="536">
        <f>G150+'10'!H150</f>
        <v>19258.039999999979</v>
      </c>
      <c r="I150" s="622"/>
      <c r="J150" s="629">
        <f>H150/DAY(B2)</f>
        <v>1750.7309090909073</v>
      </c>
      <c r="N150" s="818">
        <v>1095.0299999999988</v>
      </c>
      <c r="P150" s="413">
        <f t="shared" si="18"/>
        <v>728.50999999998021</v>
      </c>
    </row>
    <row r="151" spans="1:16" ht="27.75">
      <c r="A151" s="1388" t="s">
        <v>271</v>
      </c>
      <c r="B151" s="1389"/>
      <c r="C151" s="1390"/>
      <c r="D151" s="599" t="s">
        <v>24</v>
      </c>
      <c r="E151" s="531"/>
      <c r="F151" s="531"/>
      <c r="G151" s="620">
        <f>G150/G7</f>
        <v>8.9437441757809558E-2</v>
      </c>
      <c r="H151" s="536">
        <f>G151+'10'!H151</f>
        <v>1.0133047485513282</v>
      </c>
      <c r="I151" s="556"/>
      <c r="J151" s="629">
        <f>H151/DAY(B2)</f>
        <v>9.21186135046662E-2</v>
      </c>
      <c r="N151" s="818">
        <v>9.1880349051854243E-2</v>
      </c>
      <c r="P151" s="413">
        <f t="shared" si="18"/>
        <v>-2.4429072940446855E-3</v>
      </c>
    </row>
    <row r="152" spans="1:16" ht="27.75">
      <c r="A152" s="1388" t="s">
        <v>272</v>
      </c>
      <c r="B152" s="1389"/>
      <c r="C152" s="1390"/>
      <c r="D152" s="599" t="s">
        <v>194</v>
      </c>
      <c r="E152" s="531"/>
      <c r="F152" s="531"/>
      <c r="G152" s="536">
        <f>G37+G51</f>
        <v>1460.7350000000006</v>
      </c>
      <c r="H152" s="536">
        <f>G152+'10'!H152</f>
        <v>15660.625</v>
      </c>
      <c r="I152" s="556"/>
      <c r="J152" s="629"/>
      <c r="N152" s="818">
        <v>1155.7000000000116</v>
      </c>
      <c r="P152" s="413">
        <f t="shared" si="18"/>
        <v>305.03499999998894</v>
      </c>
    </row>
    <row r="153" spans="1:16" ht="28.5" thickBot="1">
      <c r="A153" s="1394" t="s">
        <v>273</v>
      </c>
      <c r="B153" s="1395"/>
      <c r="C153" s="1396"/>
      <c r="D153" s="702" t="s">
        <v>24</v>
      </c>
      <c r="E153" s="642"/>
      <c r="F153" s="642"/>
      <c r="G153" s="643">
        <f>G152/G7</f>
        <v>7.1643288047476605E-2</v>
      </c>
      <c r="H153" s="536">
        <f>G153+'10'!H153</f>
        <v>0.82400881340305121</v>
      </c>
      <c r="I153" s="645"/>
      <c r="J153" s="646">
        <f>H153/DAY(B2)</f>
        <v>7.4909892127550115E-2</v>
      </c>
      <c r="N153" s="818">
        <v>9.6970968283269982E-2</v>
      </c>
      <c r="P153" s="413">
        <f t="shared" si="18"/>
        <v>-2.5327680235793376E-2</v>
      </c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89" t="s">
        <v>274</v>
      </c>
      <c r="B160" s="890"/>
      <c r="C160" s="890"/>
      <c r="D160" s="587" t="s">
        <v>198</v>
      </c>
      <c r="E160" s="561">
        <f>'10'!F160</f>
        <v>26786</v>
      </c>
      <c r="F160" s="888">
        <v>26858</v>
      </c>
      <c r="G160" s="549">
        <f t="shared" ref="G160:G163" si="19">F160-E160</f>
        <v>72</v>
      </c>
      <c r="N160" s="818"/>
    </row>
    <row r="161" spans="1:14">
      <c r="A161" s="889" t="s">
        <v>275</v>
      </c>
      <c r="B161" s="890"/>
      <c r="C161" s="890"/>
      <c r="D161" s="587" t="s">
        <v>198</v>
      </c>
      <c r="E161" s="561">
        <f>'10'!F161</f>
        <v>32977</v>
      </c>
      <c r="F161" s="739">
        <v>33472.97</v>
      </c>
      <c r="G161" s="549">
        <f t="shared" si="19"/>
        <v>495.97000000000116</v>
      </c>
      <c r="N161" s="818"/>
    </row>
    <row r="162" spans="1:14">
      <c r="A162" s="889" t="s">
        <v>276</v>
      </c>
      <c r="B162" s="890"/>
      <c r="C162" s="890"/>
      <c r="D162" s="587" t="s">
        <v>198</v>
      </c>
      <c r="E162" s="561">
        <f>'10'!F162</f>
        <v>7572</v>
      </c>
      <c r="F162" s="739">
        <v>7835.67</v>
      </c>
      <c r="G162" s="549">
        <f t="shared" si="19"/>
        <v>263.67000000000007</v>
      </c>
      <c r="N162" s="818"/>
    </row>
    <row r="163" spans="1:14">
      <c r="A163" s="889" t="s">
        <v>277</v>
      </c>
      <c r="B163" s="890"/>
      <c r="C163" s="890"/>
      <c r="D163" s="587" t="s">
        <v>198</v>
      </c>
      <c r="E163" s="561">
        <f>'10'!F163</f>
        <v>4562</v>
      </c>
      <c r="F163" s="739">
        <v>4584.5200000000004</v>
      </c>
      <c r="G163" s="549">
        <f t="shared" si="19"/>
        <v>22.520000000000437</v>
      </c>
      <c r="N163" s="818"/>
    </row>
    <row r="164" spans="1:14" ht="37.5" customHeight="1">
      <c r="A164" s="891" t="s">
        <v>106</v>
      </c>
      <c r="B164" s="681"/>
      <c r="C164" s="681"/>
      <c r="D164" s="587" t="s">
        <v>198</v>
      </c>
      <c r="E164" s="561">
        <f>'12'!F164</f>
        <v>20419</v>
      </c>
      <c r="F164" s="590">
        <f>F62</f>
        <v>20419</v>
      </c>
      <c r="G164" s="549">
        <f t="shared" ref="G164:G171" si="20">F164-E164</f>
        <v>0</v>
      </c>
      <c r="N164" s="818"/>
    </row>
    <row r="165" spans="1:14">
      <c r="A165" s="891" t="s">
        <v>199</v>
      </c>
      <c r="B165" s="681"/>
      <c r="C165" s="681"/>
      <c r="D165" s="587" t="s">
        <v>198</v>
      </c>
      <c r="E165" s="841">
        <f>E63</f>
        <v>1150</v>
      </c>
      <c r="F165" s="590">
        <f>F63</f>
        <v>1154.7852</v>
      </c>
      <c r="G165" s="549">
        <f t="shared" si="20"/>
        <v>4.7852000000000317</v>
      </c>
      <c r="N165" s="818"/>
    </row>
    <row r="166" spans="1:14" ht="35.25" customHeight="1">
      <c r="A166" s="1363" t="s">
        <v>107</v>
      </c>
      <c r="B166" s="1363"/>
      <c r="C166" s="1363"/>
      <c r="D166" s="599" t="s">
        <v>198</v>
      </c>
      <c r="E166" s="841">
        <f t="shared" ref="E166:E171" si="21">E64</f>
        <v>102333</v>
      </c>
      <c r="F166" s="590">
        <f t="shared" ref="F166:F171" si="22">F64</f>
        <v>102725.46</v>
      </c>
      <c r="G166" s="549">
        <f t="shared" si="20"/>
        <v>392.4600000000064</v>
      </c>
      <c r="N166" s="818"/>
    </row>
    <row r="167" spans="1:14" ht="33" customHeight="1">
      <c r="A167" s="1363" t="s">
        <v>108</v>
      </c>
      <c r="B167" s="1363"/>
      <c r="C167" s="1363"/>
      <c r="D167" s="599" t="s">
        <v>198</v>
      </c>
      <c r="E167" s="841">
        <f t="shared" si="21"/>
        <v>112995</v>
      </c>
      <c r="F167" s="590">
        <f t="shared" si="22"/>
        <v>113427.94</v>
      </c>
      <c r="G167" s="549">
        <f t="shared" si="20"/>
        <v>432.94000000000233</v>
      </c>
      <c r="N167" s="818"/>
    </row>
    <row r="168" spans="1:14" ht="40.5" customHeight="1">
      <c r="A168" s="1363" t="s">
        <v>109</v>
      </c>
      <c r="B168" s="1363"/>
      <c r="C168" s="1363"/>
      <c r="D168" s="599" t="s">
        <v>198</v>
      </c>
      <c r="E168" s="841">
        <f t="shared" si="21"/>
        <v>6188</v>
      </c>
      <c r="F168" s="590">
        <f t="shared" si="22"/>
        <v>6546.65</v>
      </c>
      <c r="G168" s="549">
        <f t="shared" si="20"/>
        <v>358.64999999999964</v>
      </c>
      <c r="N168" s="818"/>
    </row>
    <row r="169" spans="1:14" ht="30.75" customHeight="1">
      <c r="A169" s="1363" t="s">
        <v>110</v>
      </c>
      <c r="B169" s="1363"/>
      <c r="C169" s="1363"/>
      <c r="D169" s="599" t="s">
        <v>198</v>
      </c>
      <c r="E169" s="841">
        <f t="shared" si="21"/>
        <v>174708</v>
      </c>
      <c r="F169" s="590">
        <f t="shared" si="22"/>
        <v>175380.03</v>
      </c>
      <c r="G169" s="549">
        <f t="shared" si="20"/>
        <v>672.02999999999884</v>
      </c>
      <c r="N169" s="818"/>
    </row>
    <row r="170" spans="1:14" ht="30.75" customHeight="1">
      <c r="A170" s="1363" t="s">
        <v>111</v>
      </c>
      <c r="B170" s="1363"/>
      <c r="C170" s="1363"/>
      <c r="D170" s="599" t="s">
        <v>198</v>
      </c>
      <c r="E170" s="841">
        <f t="shared" si="21"/>
        <v>56505</v>
      </c>
      <c r="F170" s="590">
        <f t="shared" si="22"/>
        <v>56830.190999999999</v>
      </c>
      <c r="G170" s="549">
        <f t="shared" si="20"/>
        <v>325.19099999999889</v>
      </c>
      <c r="N170" s="818"/>
    </row>
    <row r="171" spans="1:14" ht="28.5" customHeight="1">
      <c r="A171" s="1363" t="s">
        <v>112</v>
      </c>
      <c r="B171" s="1363"/>
      <c r="C171" s="1363"/>
      <c r="D171" s="599" t="s">
        <v>198</v>
      </c>
      <c r="E171" s="841">
        <f t="shared" si="21"/>
        <v>49481</v>
      </c>
      <c r="F171" s="590">
        <f t="shared" si="22"/>
        <v>49773.355000000003</v>
      </c>
      <c r="G171" s="549">
        <f t="shared" si="20"/>
        <v>292.3550000000032</v>
      </c>
      <c r="N171" s="818"/>
    </row>
    <row r="172" spans="1:14">
      <c r="G172" s="616">
        <f>SUM(G160:G171)</f>
        <v>3332.5712000000112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44.25" customHeight="1">
      <c r="N177" s="818"/>
    </row>
    <row r="178" spans="14:14" ht="21.75" customHeight="1">
      <c r="N178" s="818"/>
    </row>
    <row r="179" spans="14:14" ht="21.75" customHeight="1">
      <c r="N179" s="818">
        <v>0</v>
      </c>
    </row>
    <row r="180" spans="14:14" ht="21.75" customHeight="1">
      <c r="N180" s="818">
        <v>0</v>
      </c>
    </row>
    <row r="181" spans="14:14" ht="21.75" customHeight="1">
      <c r="N181" s="818">
        <v>11</v>
      </c>
    </row>
    <row r="182" spans="14:14" ht="21.75" customHeight="1">
      <c r="N182" s="818">
        <v>11</v>
      </c>
    </row>
    <row r="183" spans="14:14" ht="21.75" customHeight="1">
      <c r="N183" s="818"/>
    </row>
    <row r="184" spans="14:14" ht="21.75" customHeight="1">
      <c r="N184" s="818">
        <v>51</v>
      </c>
    </row>
    <row r="185" spans="14:14" ht="21.75" customHeight="1">
      <c r="N185" s="818">
        <v>0</v>
      </c>
    </row>
    <row r="186" spans="14:14" ht="21.75" customHeight="1">
      <c r="N186" s="818">
        <v>0</v>
      </c>
    </row>
    <row r="187" spans="14:14" ht="21.75" customHeight="1">
      <c r="N187" s="818">
        <v>51</v>
      </c>
    </row>
    <row r="188" spans="14:14" ht="21.75" customHeight="1">
      <c r="N188" s="818"/>
    </row>
    <row r="189" spans="14:14" ht="21.75" customHeight="1">
      <c r="N189" s="818">
        <v>4</v>
      </c>
    </row>
    <row r="190" spans="14:14" ht="21.75" customHeight="1">
      <c r="N190" s="818">
        <v>3</v>
      </c>
    </row>
    <row r="191" spans="14:14" ht="21.75" customHeight="1">
      <c r="N191" s="818">
        <v>0</v>
      </c>
    </row>
    <row r="192" spans="14:14" ht="21.75" customHeight="1">
      <c r="N192" s="818"/>
    </row>
    <row r="193" spans="14:14" ht="36.75" customHeight="1">
      <c r="N193" s="818">
        <v>7</v>
      </c>
    </row>
    <row r="194" spans="14:14">
      <c r="N194" s="818">
        <v>61</v>
      </c>
    </row>
    <row r="195" spans="14:14">
      <c r="N195" s="818"/>
    </row>
    <row r="196" spans="14:14">
      <c r="N196" s="818">
        <v>55</v>
      </c>
    </row>
    <row r="197" spans="14:14">
      <c r="N197" s="818"/>
    </row>
    <row r="198" spans="14:14">
      <c r="N198" s="816">
        <v>79</v>
      </c>
    </row>
    <row r="199" spans="14:14" ht="21.75" customHeight="1"/>
    <row r="200" spans="14:14" ht="21.75" customHeight="1"/>
    <row r="201" spans="14:14" ht="21.75" customHeight="1"/>
    <row r="202" spans="14:14" ht="21.75" customHeight="1"/>
    <row r="203" spans="14:14" ht="21.75" customHeight="1"/>
    <row r="204" spans="14:14" ht="21.75" customHeight="1"/>
    <row r="205" spans="14:14" ht="21.75" customHeight="1"/>
    <row r="206" spans="14:14" ht="21.75" customHeight="1"/>
    <row r="207" spans="14:14" ht="21.75" customHeight="1"/>
    <row r="208" spans="14:14" ht="21.75" customHeight="1"/>
    <row r="209" ht="21.75" customHeight="1"/>
    <row r="210" ht="21.75" customHeight="1"/>
    <row r="211" ht="21.75" customHeight="1"/>
    <row r="212" ht="21.75" customHeight="1"/>
    <row r="213" ht="21.75" customHeight="1"/>
    <row r="214" ht="21.75" customHeight="1"/>
    <row r="215" ht="21.75" customHeight="1"/>
    <row r="216" ht="21.75" customHeight="1"/>
    <row r="217" ht="21.75" customHeight="1"/>
    <row r="218" ht="21.75" customHeight="1"/>
    <row r="219" ht="21.75" customHeight="1"/>
    <row r="220" ht="21.75" customHeight="1"/>
    <row r="221" ht="21.75" customHeight="1"/>
    <row r="222" ht="21.75" customHeight="1"/>
    <row r="223" ht="21.75" customHeight="1"/>
    <row r="224" ht="21.75" customHeight="1"/>
    <row r="225" ht="21.75" customHeight="1"/>
    <row r="226" ht="21.75" customHeight="1"/>
    <row r="227" ht="21.75" customHeight="1"/>
    <row r="228" ht="21.75" customHeight="1"/>
    <row r="229" ht="21.75" customHeight="1"/>
    <row r="230" ht="21.75" customHeight="1"/>
    <row r="231" ht="21.75" customHeight="1"/>
    <row r="232" ht="21.75" customHeight="1"/>
    <row r="233" ht="21.75" customHeight="1"/>
    <row r="234" ht="21.75" customHeight="1"/>
    <row r="235" ht="21.75" customHeight="1"/>
    <row r="236" ht="21.75" customHeight="1"/>
    <row r="237" ht="21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37"/>
  <sheetViews>
    <sheetView view="pageBreakPreview" zoomScale="55" zoomScaleNormal="75" zoomScaleSheetLayoutView="55" workbookViewId="0">
      <selection activeCell="F28" sqref="F28"/>
    </sheetView>
  </sheetViews>
  <sheetFormatPr defaultColWidth="22.33203125" defaultRowHeight="29.25"/>
  <cols>
    <col min="1" max="1" width="39.664062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1294"/>
    <col min="16" max="17" width="22.33203125" style="480"/>
    <col min="18" max="16384" width="22.33203125" style="407"/>
  </cols>
  <sheetData>
    <row r="1" spans="1:17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7" s="281" customFormat="1" ht="27">
      <c r="A2" s="652" t="s">
        <v>290</v>
      </c>
      <c r="B2" s="1139">
        <v>44208</v>
      </c>
      <c r="C2" s="1254" t="s">
        <v>69</v>
      </c>
      <c r="D2" s="688">
        <v>0.72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1295"/>
      <c r="P2" s="810"/>
      <c r="Q2" s="810"/>
    </row>
    <row r="3" spans="1:17" s="281" customFormat="1" ht="27">
      <c r="A3" s="647"/>
      <c r="B3" s="691"/>
      <c r="C3" s="1254" t="s">
        <v>131</v>
      </c>
      <c r="D3" s="689">
        <v>24</v>
      </c>
      <c r="E3" s="1408" t="s">
        <v>132</v>
      </c>
      <c r="F3" s="1409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  <c r="N3" s="817"/>
      <c r="O3" s="1295"/>
      <c r="P3" s="810"/>
      <c r="Q3" s="810"/>
    </row>
    <row r="4" spans="1:17" s="281" customFormat="1" ht="27">
      <c r="A4" s="653"/>
      <c r="B4" s="693"/>
      <c r="C4" s="1254" t="s">
        <v>133</v>
      </c>
      <c r="D4" s="688">
        <v>0.68</v>
      </c>
      <c r="E4" s="540"/>
      <c r="F4" s="540"/>
      <c r="G4" s="540"/>
      <c r="H4" s="540"/>
      <c r="I4" s="541"/>
      <c r="J4" s="692"/>
      <c r="K4" s="403"/>
      <c r="L4" s="293"/>
      <c r="N4" s="817"/>
      <c r="O4" s="1295"/>
      <c r="P4" s="810"/>
      <c r="Q4" s="810"/>
    </row>
    <row r="5" spans="1:17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7">
      <c r="A6" s="1402" t="s">
        <v>141</v>
      </c>
      <c r="B6" s="1403"/>
      <c r="C6" s="1404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>
      <c r="A7" s="757" t="s">
        <v>142</v>
      </c>
      <c r="B7" s="758"/>
      <c r="C7" s="758"/>
      <c r="D7" s="715" t="s">
        <v>143</v>
      </c>
      <c r="E7" s="710">
        <f>'11'!F7</f>
        <v>3495838</v>
      </c>
      <c r="F7" s="531">
        <v>3515943</v>
      </c>
      <c r="G7" s="759">
        <f>F7-E7</f>
        <v>20105</v>
      </c>
      <c r="H7" s="760">
        <f>G7+'11'!H7</f>
        <v>229503</v>
      </c>
      <c r="I7" s="761">
        <f>'1'!I7</f>
        <v>12000</v>
      </c>
      <c r="J7" s="762">
        <f>H7/DAY(B2)</f>
        <v>19125.25</v>
      </c>
      <c r="K7" s="626"/>
      <c r="L7" s="408"/>
      <c r="N7" s="818"/>
      <c r="O7" s="827"/>
      <c r="P7" s="811"/>
    </row>
    <row r="8" spans="1:17" ht="27.75" thickBot="1">
      <c r="A8" s="763" t="s">
        <v>144</v>
      </c>
      <c r="B8" s="764"/>
      <c r="C8" s="765"/>
      <c r="D8" s="766" t="s">
        <v>25</v>
      </c>
      <c r="E8" s="710">
        <f>'11'!F8</f>
        <v>3517889</v>
      </c>
      <c r="F8" s="551">
        <v>3538080</v>
      </c>
      <c r="G8" s="770">
        <f>F8-E8</f>
        <v>20191</v>
      </c>
      <c r="H8" s="760">
        <f>G8+'11'!H8</f>
        <v>231708</v>
      </c>
      <c r="I8" s="767">
        <f>'1'!I8</f>
        <v>12000</v>
      </c>
      <c r="J8" s="762">
        <f>H8/DAY(B2)</f>
        <v>19309</v>
      </c>
      <c r="K8" s="626"/>
      <c r="L8" s="464"/>
      <c r="M8" s="479"/>
      <c r="N8" s="818"/>
      <c r="O8" s="827"/>
      <c r="P8" s="813"/>
    </row>
    <row r="9" spans="1:17">
      <c r="A9" s="768" t="s">
        <v>145</v>
      </c>
      <c r="B9" s="769"/>
      <c r="C9" s="769"/>
      <c r="D9" s="715" t="s">
        <v>143</v>
      </c>
      <c r="E9" s="710">
        <f>'11'!F9</f>
        <v>2434116.9</v>
      </c>
      <c r="F9" s="554">
        <v>2436909.5</v>
      </c>
      <c r="G9" s="783">
        <f t="shared" ref="G9:G12" si="0">F9-E9</f>
        <v>2792.6000000000931</v>
      </c>
      <c r="H9" s="760">
        <f>G9+'11'!H9</f>
        <v>31694.5</v>
      </c>
      <c r="I9" s="771">
        <f>I7-J7</f>
        <v>-7125.25</v>
      </c>
      <c r="J9" s="762">
        <f>H9/DAY(B2)</f>
        <v>2641.2083333333335</v>
      </c>
      <c r="K9" s="467"/>
      <c r="L9" s="408"/>
      <c r="N9" s="818"/>
      <c r="O9" s="827"/>
      <c r="P9" s="813"/>
    </row>
    <row r="10" spans="1:17">
      <c r="A10" s="757" t="s">
        <v>146</v>
      </c>
      <c r="B10" s="758"/>
      <c r="C10" s="758"/>
      <c r="D10" s="715" t="s">
        <v>143</v>
      </c>
      <c r="E10" s="710">
        <f>'11'!F10</f>
        <v>923242.31</v>
      </c>
      <c r="F10" s="554">
        <v>939812.79</v>
      </c>
      <c r="G10" s="770">
        <f t="shared" si="0"/>
        <v>16570.479999999981</v>
      </c>
      <c r="H10" s="760">
        <f>G10+'11'!H10</f>
        <v>189290.88</v>
      </c>
      <c r="I10" s="772"/>
      <c r="J10" s="762">
        <f>H10/DAY(B2)</f>
        <v>15774.24</v>
      </c>
      <c r="K10" s="467"/>
      <c r="L10" s="408"/>
      <c r="N10" s="818"/>
      <c r="O10" s="827"/>
      <c r="P10" s="813"/>
    </row>
    <row r="11" spans="1:17">
      <c r="A11" s="757" t="s">
        <v>147</v>
      </c>
      <c r="B11" s="758"/>
      <c r="C11" s="758"/>
      <c r="D11" s="715" t="s">
        <v>143</v>
      </c>
      <c r="E11" s="710">
        <f>'11'!F11</f>
        <v>35390</v>
      </c>
      <c r="F11" s="531">
        <v>35390</v>
      </c>
      <c r="G11" s="770">
        <f t="shared" si="0"/>
        <v>0</v>
      </c>
      <c r="H11" s="760">
        <f>G11+'11'!H11</f>
        <v>0</v>
      </c>
      <c r="I11" s="772"/>
      <c r="J11" s="762">
        <f>H11/DAY(B2)</f>
        <v>0</v>
      </c>
      <c r="K11" s="467"/>
      <c r="L11" s="408"/>
      <c r="N11" s="818"/>
      <c r="O11" s="827"/>
      <c r="P11" s="813"/>
    </row>
    <row r="12" spans="1:17">
      <c r="A12" s="757" t="s">
        <v>148</v>
      </c>
      <c r="B12" s="758"/>
      <c r="C12" s="758"/>
      <c r="D12" s="715" t="s">
        <v>143</v>
      </c>
      <c r="E12" s="710">
        <f>'11'!F12</f>
        <v>37630</v>
      </c>
      <c r="F12" s="554">
        <v>37630</v>
      </c>
      <c r="G12" s="770">
        <f t="shared" si="0"/>
        <v>0</v>
      </c>
      <c r="H12" s="760">
        <f>G12+'11'!H12</f>
        <v>0</v>
      </c>
      <c r="I12" s="772"/>
      <c r="J12" s="762">
        <f>H12/DAY(B2)</f>
        <v>0</v>
      </c>
      <c r="K12" s="467"/>
      <c r="L12" s="408"/>
      <c r="N12" s="818"/>
      <c r="O12" s="827"/>
      <c r="P12" s="813"/>
    </row>
    <row r="13" spans="1:17">
      <c r="A13" s="773" t="s">
        <v>149</v>
      </c>
      <c r="B13" s="774"/>
      <c r="C13" s="774"/>
      <c r="D13" s="715"/>
      <c r="E13" s="710"/>
      <c r="F13" s="531"/>
      <c r="G13" s="775">
        <f>G9+G10+G11+G12</f>
        <v>19363.080000000075</v>
      </c>
      <c r="H13" s="760">
        <f>G13+'11'!H13</f>
        <v>201464.38</v>
      </c>
      <c r="I13" s="776">
        <f>G7-G13</f>
        <v>741.91999999992549</v>
      </c>
      <c r="J13" s="762">
        <f>H13/DAY(B2)</f>
        <v>16788.698333333334</v>
      </c>
      <c r="K13" s="467"/>
      <c r="L13" s="408"/>
      <c r="N13" s="818"/>
      <c r="O13" s="827"/>
      <c r="P13" s="813"/>
    </row>
    <row r="14" spans="1:17">
      <c r="A14" s="1405" t="s">
        <v>150</v>
      </c>
      <c r="B14" s="1406"/>
      <c r="C14" s="1407"/>
      <c r="D14" s="548"/>
      <c r="E14" s="548"/>
      <c r="F14" s="548"/>
      <c r="G14" s="559"/>
      <c r="H14" s="548"/>
      <c r="I14" s="548"/>
      <c r="J14" s="628"/>
      <c r="K14" s="468"/>
      <c r="L14" s="408"/>
      <c r="N14" s="818"/>
      <c r="O14" s="827"/>
      <c r="P14" s="813"/>
    </row>
    <row r="15" spans="1:17">
      <c r="A15" s="897" t="s">
        <v>151</v>
      </c>
      <c r="B15" s="898"/>
      <c r="C15" s="898"/>
      <c r="D15" s="600" t="s">
        <v>152</v>
      </c>
      <c r="E15" s="561">
        <f>'11'!F15</f>
        <v>1577052.0519999999</v>
      </c>
      <c r="F15" s="561">
        <v>1578006.956</v>
      </c>
      <c r="G15" s="745">
        <f>(F15-E15)</f>
        <v>954.90400000009686</v>
      </c>
      <c r="H15" s="562">
        <f>G15+'11'!H15</f>
        <v>9092.8559999999125</v>
      </c>
      <c r="I15" s="550">
        <v>800</v>
      </c>
      <c r="J15" s="630">
        <f>H15/DAY(B2)</f>
        <v>757.73799999999267</v>
      </c>
      <c r="K15" s="467"/>
      <c r="L15" s="408"/>
      <c r="N15" s="818"/>
      <c r="O15" s="827"/>
      <c r="P15" s="813"/>
    </row>
    <row r="16" spans="1:17">
      <c r="A16" s="664"/>
      <c r="B16" s="665"/>
      <c r="C16" s="665"/>
      <c r="D16" s="600"/>
      <c r="E16" s="561"/>
      <c r="F16" s="561"/>
      <c r="G16" s="750"/>
      <c r="H16" s="562"/>
      <c r="I16" s="558">
        <f>I15-J15</f>
        <v>42.262000000007333</v>
      </c>
      <c r="J16" s="630"/>
      <c r="K16" s="467"/>
      <c r="L16" s="408"/>
      <c r="N16" s="818"/>
      <c r="O16" s="827"/>
      <c r="P16" s="813"/>
    </row>
    <row r="17" spans="1:17">
      <c r="A17" s="1405" t="s">
        <v>153</v>
      </c>
      <c r="B17" s="1406"/>
      <c r="C17" s="1407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7"/>
      <c r="P17" s="813"/>
    </row>
    <row r="18" spans="1:17" ht="27.75">
      <c r="A18" s="1431" t="s">
        <v>154</v>
      </c>
      <c r="B18" s="1432"/>
      <c r="C18" s="1433"/>
      <c r="D18" s="715" t="s">
        <v>155</v>
      </c>
      <c r="E18" s="712">
        <f>'11'!F18</f>
        <v>14</v>
      </c>
      <c r="F18" s="554">
        <v>10</v>
      </c>
      <c r="G18" s="775">
        <f>F18*10</f>
        <v>100</v>
      </c>
      <c r="H18" s="760">
        <f>G18+'11'!H18</f>
        <v>1250</v>
      </c>
      <c r="I18" s="761">
        <f>'1'!I18</f>
        <v>65</v>
      </c>
      <c r="J18" s="762">
        <f>H18/DAY(B2)</f>
        <v>104.16666666666667</v>
      </c>
      <c r="K18" s="467"/>
      <c r="L18" s="408"/>
      <c r="N18" s="818"/>
      <c r="O18" s="827"/>
      <c r="P18" s="813"/>
    </row>
    <row r="19" spans="1:17" ht="27.75">
      <c r="A19" s="1431" t="s">
        <v>71</v>
      </c>
      <c r="B19" s="1432"/>
      <c r="C19" s="1433"/>
      <c r="D19" s="715" t="s">
        <v>155</v>
      </c>
      <c r="E19" s="712">
        <f>'11'!F19</f>
        <v>132027</v>
      </c>
      <c r="F19" s="554">
        <v>132079</v>
      </c>
      <c r="G19" s="770">
        <f t="shared" ref="G19" si="1">F19-E19</f>
        <v>52</v>
      </c>
      <c r="H19" s="760">
        <f>G19+'11'!H19</f>
        <v>586</v>
      </c>
      <c r="I19" s="777"/>
      <c r="J19" s="762">
        <f>H19/DAY(B2)</f>
        <v>48.833333333333336</v>
      </c>
      <c r="K19" s="467"/>
      <c r="L19" s="408"/>
      <c r="N19" s="818"/>
      <c r="O19" s="827"/>
      <c r="P19" s="813"/>
    </row>
    <row r="20" spans="1:17">
      <c r="A20" s="773" t="s">
        <v>156</v>
      </c>
      <c r="B20" s="774"/>
      <c r="C20" s="774"/>
      <c r="D20" s="715"/>
      <c r="E20" s="715"/>
      <c r="F20" s="809"/>
      <c r="G20" s="778">
        <f>G18+G19</f>
        <v>152</v>
      </c>
      <c r="H20" s="760">
        <f>G20+'11'!H20</f>
        <v>1836</v>
      </c>
      <c r="I20" s="779">
        <f>I18-J20</f>
        <v>-88</v>
      </c>
      <c r="J20" s="762">
        <f>H20/DAY(B2)</f>
        <v>153</v>
      </c>
      <c r="K20" s="467"/>
      <c r="L20" s="408"/>
      <c r="N20" s="818"/>
      <c r="O20" s="827"/>
      <c r="P20" s="813"/>
    </row>
    <row r="21" spans="1:17">
      <c r="A21" s="1405" t="s">
        <v>157</v>
      </c>
      <c r="B21" s="1406"/>
      <c r="C21" s="1407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7"/>
      <c r="P21" s="813"/>
    </row>
    <row r="22" spans="1:17">
      <c r="A22" s="1252" t="s">
        <v>158</v>
      </c>
      <c r="B22" s="666"/>
      <c r="C22" s="666"/>
      <c r="D22" s="599" t="s">
        <v>159</v>
      </c>
      <c r="E22" s="712">
        <f>'11'!F22</f>
        <v>2250</v>
      </c>
      <c r="F22" s="554">
        <v>2250</v>
      </c>
      <c r="G22" s="557">
        <f t="shared" ref="G22" si="2">(F22-E22)</f>
        <v>0</v>
      </c>
      <c r="H22" s="536">
        <f>G22+'11'!H22</f>
        <v>0</v>
      </c>
      <c r="I22" s="556"/>
      <c r="J22" s="629">
        <f>H22/DAY(B2)</f>
        <v>0</v>
      </c>
      <c r="K22" s="467"/>
      <c r="L22" s="408"/>
      <c r="N22" s="818"/>
      <c r="O22" s="827"/>
      <c r="P22" s="813"/>
    </row>
    <row r="23" spans="1:17">
      <c r="A23" s="1252" t="s">
        <v>160</v>
      </c>
      <c r="B23" s="666"/>
      <c r="C23" s="666"/>
      <c r="D23" s="599" t="s">
        <v>159</v>
      </c>
      <c r="E23" s="712">
        <f>'11'!F23</f>
        <v>2000</v>
      </c>
      <c r="F23" s="554">
        <v>2000</v>
      </c>
      <c r="G23" s="557">
        <v>0</v>
      </c>
      <c r="H23" s="536">
        <f>G23+'11'!H23</f>
        <v>0</v>
      </c>
      <c r="I23" s="556"/>
      <c r="J23" s="629">
        <f>H23/DAY(B2)</f>
        <v>0</v>
      </c>
      <c r="K23" s="467"/>
      <c r="L23" s="408"/>
      <c r="N23" s="818"/>
      <c r="O23" s="827"/>
      <c r="P23" s="813"/>
    </row>
    <row r="24" spans="1:17">
      <c r="A24" s="667" t="s">
        <v>161</v>
      </c>
      <c r="B24" s="668"/>
      <c r="C24" s="668"/>
      <c r="D24" s="587" t="s">
        <v>159</v>
      </c>
      <c r="E24" s="569">
        <f>'11'!F24</f>
        <v>4250</v>
      </c>
      <c r="F24" s="561">
        <v>4250</v>
      </c>
      <c r="G24" s="557">
        <v>0</v>
      </c>
      <c r="H24" s="536">
        <f>G24+'11'!H24</f>
        <v>0</v>
      </c>
      <c r="I24" s="556"/>
      <c r="J24" s="629">
        <f>H24/DAY(B2)</f>
        <v>0</v>
      </c>
      <c r="K24" s="467"/>
      <c r="L24" s="408"/>
      <c r="N24" s="818"/>
      <c r="O24" s="827"/>
      <c r="P24" s="813"/>
    </row>
    <row r="25" spans="1:17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7"/>
      <c r="P25" s="813"/>
      <c r="Q25" s="494"/>
    </row>
    <row r="26" spans="1:17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7"/>
      <c r="P26" s="813"/>
      <c r="Q26" s="494"/>
    </row>
    <row r="27" spans="1:17" s="481" customFormat="1" ht="27.75">
      <c r="A27" s="669" t="s">
        <v>6</v>
      </c>
      <c r="B27" s="670"/>
      <c r="C27" s="671"/>
      <c r="D27" s="696" t="s">
        <v>25</v>
      </c>
      <c r="E27" s="780">
        <f>G8</f>
        <v>20191</v>
      </c>
      <c r="F27" s="577">
        <v>9</v>
      </c>
      <c r="G27" s="578">
        <f>E27*F27</f>
        <v>181719</v>
      </c>
      <c r="H27" s="536">
        <f>G27+'11'!H27</f>
        <v>2103447</v>
      </c>
      <c r="I27" s="579"/>
      <c r="J27" s="629">
        <f>H27/DAY(B2)</f>
        <v>175287.25</v>
      </c>
      <c r="K27" s="404"/>
      <c r="L27" s="484"/>
      <c r="N27" s="818"/>
      <c r="O27" s="827"/>
      <c r="P27" s="813"/>
      <c r="Q27" s="494"/>
    </row>
    <row r="28" spans="1:17" s="481" customFormat="1" ht="27.75">
      <c r="A28" s="669" t="s">
        <v>165</v>
      </c>
      <c r="B28" s="670"/>
      <c r="C28" s="671"/>
      <c r="D28" s="696" t="s">
        <v>166</v>
      </c>
      <c r="E28" s="780">
        <f>G15</f>
        <v>954.90400000009686</v>
      </c>
      <c r="F28" s="577">
        <v>41</v>
      </c>
      <c r="G28" s="578">
        <f>E28*F28</f>
        <v>39151.064000003971</v>
      </c>
      <c r="H28" s="536">
        <f>G28+'11'!H28</f>
        <v>371565.73599999642</v>
      </c>
      <c r="I28" s="581"/>
      <c r="J28" s="629">
        <f>H28/DAY(B2)</f>
        <v>30963.811333333037</v>
      </c>
      <c r="K28" s="404"/>
      <c r="L28" s="484"/>
      <c r="N28" s="818"/>
      <c r="O28" s="827"/>
      <c r="P28" s="813"/>
      <c r="Q28" s="494"/>
    </row>
    <row r="29" spans="1:17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G29+'11'!H29</f>
        <v>0</v>
      </c>
      <c r="I29" s="581"/>
      <c r="J29" s="629">
        <f>H29/DAY(B2)</f>
        <v>0</v>
      </c>
      <c r="K29" s="404"/>
      <c r="L29" s="484"/>
      <c r="N29" s="818"/>
      <c r="O29" s="827"/>
      <c r="P29" s="813"/>
      <c r="Q29" s="494"/>
    </row>
    <row r="30" spans="1:17" s="481" customFormat="1" ht="27.75">
      <c r="A30" s="669" t="s">
        <v>169</v>
      </c>
      <c r="B30" s="670"/>
      <c r="C30" s="671"/>
      <c r="D30" s="696" t="s">
        <v>170</v>
      </c>
      <c r="E30" s="780">
        <f>G19</f>
        <v>52</v>
      </c>
      <c r="F30" s="577">
        <v>134</v>
      </c>
      <c r="G30" s="578">
        <f>E30*F30</f>
        <v>6968</v>
      </c>
      <c r="H30" s="536">
        <f>G30+'11'!H30</f>
        <v>78524</v>
      </c>
      <c r="I30" s="581"/>
      <c r="J30" s="629">
        <f>H30/DAY(B2)</f>
        <v>6543.666666666667</v>
      </c>
      <c r="K30" s="404"/>
      <c r="L30" s="484"/>
      <c r="N30" s="818"/>
      <c r="O30" s="827"/>
      <c r="P30" s="813"/>
      <c r="Q30" s="494"/>
    </row>
    <row r="31" spans="1:17" s="481" customFormat="1" ht="27.75">
      <c r="A31" s="669" t="s">
        <v>171</v>
      </c>
      <c r="B31" s="670"/>
      <c r="C31" s="671"/>
      <c r="D31" s="696" t="s">
        <v>155</v>
      </c>
      <c r="E31" s="780">
        <f>G18</f>
        <v>100</v>
      </c>
      <c r="F31" s="577">
        <v>80</v>
      </c>
      <c r="G31" s="578">
        <f>E31*F31</f>
        <v>8000</v>
      </c>
      <c r="H31" s="536">
        <f>G31+'11'!H31</f>
        <v>100000</v>
      </c>
      <c r="I31" s="581"/>
      <c r="J31" s="629"/>
      <c r="K31" s="404"/>
      <c r="L31" s="484"/>
      <c r="N31" s="818"/>
      <c r="O31" s="827"/>
      <c r="P31" s="813"/>
      <c r="Q31" s="494"/>
    </row>
    <row r="32" spans="1:17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235838.06400000397</v>
      </c>
      <c r="H32" s="536">
        <f>G32+'11'!H32</f>
        <v>2653536.7359999968</v>
      </c>
      <c r="I32" s="585"/>
      <c r="J32" s="629">
        <f>H32/DAY(B2)</f>
        <v>221128.06133333305</v>
      </c>
      <c r="K32" s="404"/>
      <c r="L32" s="484"/>
      <c r="N32" s="818"/>
      <c r="O32" s="827"/>
      <c r="P32" s="813"/>
      <c r="Q32" s="494"/>
    </row>
    <row r="33" spans="1:16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818"/>
      <c r="O33" s="827"/>
      <c r="P33" s="813"/>
    </row>
    <row r="34" spans="1:16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7"/>
      <c r="P34" s="813"/>
    </row>
    <row r="35" spans="1:16">
      <c r="A35" s="655" t="s">
        <v>175</v>
      </c>
      <c r="B35" s="656"/>
      <c r="C35" s="656"/>
      <c r="D35" s="599" t="s">
        <v>143</v>
      </c>
      <c r="E35" s="586">
        <f>'11'!F35</f>
        <v>629027.67000000004</v>
      </c>
      <c r="F35" s="586">
        <v>629027.67000000004</v>
      </c>
      <c r="G35" s="549">
        <f t="shared" ref="G35:G46" si="3">F35-E35</f>
        <v>0</v>
      </c>
      <c r="H35" s="536">
        <f>G35+'11'!H35</f>
        <v>0.67000000004190952</v>
      </c>
      <c r="I35" s="531"/>
      <c r="J35" s="629">
        <f>H35/DAY(B2)</f>
        <v>5.5833333336825795E-2</v>
      </c>
      <c r="K35" s="467"/>
      <c r="L35" s="408"/>
      <c r="N35" s="818"/>
      <c r="O35" s="827"/>
      <c r="P35" s="813"/>
    </row>
    <row r="36" spans="1:16">
      <c r="A36" s="655" t="s">
        <v>176</v>
      </c>
      <c r="B36" s="656"/>
      <c r="C36" s="656"/>
      <c r="D36" s="599" t="s">
        <v>143</v>
      </c>
      <c r="E36" s="586">
        <f>'11'!F36</f>
        <v>262759.07</v>
      </c>
      <c r="F36" s="586">
        <v>263376.95</v>
      </c>
      <c r="G36" s="549">
        <f t="shared" si="3"/>
        <v>617.88000000000466</v>
      </c>
      <c r="H36" s="536">
        <f>G36+'11'!H36</f>
        <v>8285.8800000000047</v>
      </c>
      <c r="I36" s="531"/>
      <c r="J36" s="629">
        <f>H36/DAY(B2)</f>
        <v>690.49000000000035</v>
      </c>
      <c r="K36" s="467"/>
      <c r="L36" s="408"/>
      <c r="N36" s="819"/>
      <c r="O36" s="827"/>
      <c r="P36" s="813"/>
    </row>
    <row r="37" spans="1:16">
      <c r="A37" s="655" t="s">
        <v>177</v>
      </c>
      <c r="B37" s="656"/>
      <c r="C37" s="656"/>
      <c r="D37" s="599" t="s">
        <v>143</v>
      </c>
      <c r="E37" s="586">
        <f>'11'!F37</f>
        <v>415066</v>
      </c>
      <c r="F37" s="586">
        <v>415066</v>
      </c>
      <c r="G37" s="549">
        <f t="shared" si="3"/>
        <v>0</v>
      </c>
      <c r="H37" s="536">
        <f>G37+'11'!H37</f>
        <v>0</v>
      </c>
      <c r="I37" s="531"/>
      <c r="J37" s="629">
        <f>H37/DAY(B2)</f>
        <v>0</v>
      </c>
      <c r="K37" s="467"/>
      <c r="L37" s="408"/>
      <c r="N37" s="819"/>
      <c r="O37" s="827"/>
      <c r="P37" s="813"/>
    </row>
    <row r="38" spans="1:16">
      <c r="A38" s="655" t="s">
        <v>178</v>
      </c>
      <c r="B38" s="656"/>
      <c r="C38" s="656"/>
      <c r="D38" s="599" t="s">
        <v>143</v>
      </c>
      <c r="E38" s="586">
        <f>'11'!F38</f>
        <v>150714</v>
      </c>
      <c r="F38" s="545">
        <v>150714</v>
      </c>
      <c r="G38" s="549">
        <f t="shared" si="3"/>
        <v>0</v>
      </c>
      <c r="H38" s="536">
        <f>G38+'11'!H38</f>
        <v>0</v>
      </c>
      <c r="I38" s="531"/>
      <c r="J38" s="629">
        <f>H38/DAY(B2)</f>
        <v>0</v>
      </c>
      <c r="K38" s="467"/>
      <c r="L38" s="408"/>
      <c r="N38" s="818"/>
      <c r="O38" s="827"/>
      <c r="P38" s="813"/>
    </row>
    <row r="39" spans="1:16">
      <c r="A39" s="655" t="s">
        <v>179</v>
      </c>
      <c r="B39" s="656"/>
      <c r="C39" s="656"/>
      <c r="D39" s="599" t="s">
        <v>143</v>
      </c>
      <c r="E39" s="586">
        <f>'11'!F39</f>
        <v>912480</v>
      </c>
      <c r="F39" s="586">
        <v>912480</v>
      </c>
      <c r="G39" s="549">
        <f t="shared" si="3"/>
        <v>0</v>
      </c>
      <c r="H39" s="536">
        <f>G39+'11'!H39</f>
        <v>0</v>
      </c>
      <c r="I39" s="531"/>
      <c r="J39" s="629">
        <f>H39/DAY(B2)</f>
        <v>0</v>
      </c>
      <c r="K39" s="467"/>
      <c r="L39" s="408"/>
      <c r="N39" s="818"/>
      <c r="O39" s="827"/>
      <c r="P39" s="813"/>
    </row>
    <row r="40" spans="1:16">
      <c r="A40" s="676" t="s">
        <v>180</v>
      </c>
      <c r="B40" s="677"/>
      <c r="C40" s="677"/>
      <c r="D40" s="599" t="s">
        <v>143</v>
      </c>
      <c r="E40" s="586">
        <f>'11'!F40</f>
        <v>0.17</v>
      </c>
      <c r="F40" s="586">
        <v>0.17</v>
      </c>
      <c r="G40" s="549">
        <f t="shared" si="3"/>
        <v>0</v>
      </c>
      <c r="H40" s="536">
        <f>G40+'11'!H40</f>
        <v>0</v>
      </c>
      <c r="I40" s="531"/>
      <c r="J40" s="629">
        <f>H40/DAY(B2)</f>
        <v>0</v>
      </c>
      <c r="K40" s="468"/>
      <c r="L40" s="408"/>
      <c r="N40" s="818"/>
      <c r="O40" s="827"/>
      <c r="P40" s="813"/>
    </row>
    <row r="41" spans="1:16">
      <c r="A41" s="655" t="s">
        <v>181</v>
      </c>
      <c r="B41" s="656"/>
      <c r="C41" s="656"/>
      <c r="D41" s="599" t="s">
        <v>143</v>
      </c>
      <c r="E41" s="586">
        <f>'11'!F41</f>
        <v>300127.90000000002</v>
      </c>
      <c r="F41" s="586">
        <v>300127.90000000002</v>
      </c>
      <c r="G41" s="549">
        <f>F41-E41</f>
        <v>0</v>
      </c>
      <c r="H41" s="536">
        <f>G41+'11'!H41</f>
        <v>-4.9999999988358468E-2</v>
      </c>
      <c r="I41" s="531"/>
      <c r="J41" s="629">
        <f>H41/DAY(B2)</f>
        <v>-4.166666665696539E-3</v>
      </c>
      <c r="K41" s="467"/>
      <c r="L41" s="408"/>
      <c r="N41" s="818"/>
      <c r="O41" s="827"/>
      <c r="P41" s="813"/>
    </row>
    <row r="42" spans="1:16">
      <c r="A42" s="655" t="s">
        <v>182</v>
      </c>
      <c r="B42" s="656"/>
      <c r="C42" s="656"/>
      <c r="D42" s="599" t="s">
        <v>143</v>
      </c>
      <c r="E42" s="586">
        <f>'11'!F42</f>
        <v>58926.099000000002</v>
      </c>
      <c r="F42" s="586">
        <v>58926.099000000002</v>
      </c>
      <c r="G42" s="549">
        <f t="shared" si="3"/>
        <v>0</v>
      </c>
      <c r="H42" s="536">
        <f>G42+'11'!H42</f>
        <v>9.0000000054715201E-3</v>
      </c>
      <c r="I42" s="531"/>
      <c r="J42" s="629">
        <f>H42/DAY(B2)</f>
        <v>7.5000000045596005E-4</v>
      </c>
      <c r="K42" s="467"/>
      <c r="L42" s="408"/>
      <c r="N42" s="818"/>
      <c r="O42" s="827"/>
      <c r="P42" s="813"/>
    </row>
    <row r="43" spans="1:16">
      <c r="A43" s="655" t="s">
        <v>183</v>
      </c>
      <c r="B43" s="656"/>
      <c r="C43" s="656"/>
      <c r="D43" s="599" t="s">
        <v>143</v>
      </c>
      <c r="E43" s="586">
        <f>'11'!F43</f>
        <v>720699.83</v>
      </c>
      <c r="F43" s="586">
        <v>722979.51</v>
      </c>
      <c r="G43" s="549">
        <f t="shared" si="3"/>
        <v>2279.6800000000512</v>
      </c>
      <c r="H43" s="536">
        <f>G43+'11'!H43</f>
        <v>24726.079999999958</v>
      </c>
      <c r="I43" s="531"/>
      <c r="J43" s="629">
        <f>H43/DAY(B2)</f>
        <v>2060.506666666663</v>
      </c>
      <c r="K43" s="467"/>
      <c r="L43" s="408"/>
      <c r="N43" s="818"/>
      <c r="O43" s="827"/>
      <c r="P43" s="813"/>
    </row>
    <row r="44" spans="1:16">
      <c r="A44" s="655" t="s">
        <v>184</v>
      </c>
      <c r="B44" s="656"/>
      <c r="C44" s="656"/>
      <c r="D44" s="599" t="s">
        <v>143</v>
      </c>
      <c r="E44" s="586">
        <f>'11'!F44</f>
        <v>0</v>
      </c>
      <c r="F44" s="586">
        <v>0</v>
      </c>
      <c r="G44" s="549">
        <f t="shared" si="3"/>
        <v>0</v>
      </c>
      <c r="H44" s="536">
        <f>G44+'11'!H44</f>
        <v>0</v>
      </c>
      <c r="I44" s="531"/>
      <c r="J44" s="629">
        <f>H44/DAY(B2)</f>
        <v>0</v>
      </c>
      <c r="K44" s="467"/>
      <c r="L44" s="408"/>
      <c r="N44" s="818"/>
      <c r="O44" s="827"/>
      <c r="P44" s="813"/>
    </row>
    <row r="45" spans="1:16">
      <c r="A45" s="655" t="s">
        <v>185</v>
      </c>
      <c r="B45" s="656"/>
      <c r="C45" s="656"/>
      <c r="D45" s="599" t="s">
        <v>143</v>
      </c>
      <c r="E45" s="586">
        <f>'11'!F45</f>
        <v>614</v>
      </c>
      <c r="F45" s="586">
        <v>614</v>
      </c>
      <c r="G45" s="549">
        <f t="shared" si="3"/>
        <v>0</v>
      </c>
      <c r="H45" s="536">
        <f>G45+'11'!H45</f>
        <v>-0.48000000000001819</v>
      </c>
      <c r="I45" s="531"/>
      <c r="J45" s="629">
        <f>H45/DAY(B2)</f>
        <v>-4.0000000000001514E-2</v>
      </c>
      <c r="K45" s="467"/>
      <c r="L45" s="408"/>
      <c r="N45" s="818"/>
      <c r="O45" s="827"/>
      <c r="P45" s="813"/>
    </row>
    <row r="46" spans="1:16">
      <c r="A46" s="655" t="s">
        <v>186</v>
      </c>
      <c r="B46" s="656"/>
      <c r="C46" s="656"/>
      <c r="D46" s="599" t="s">
        <v>143</v>
      </c>
      <c r="E46" s="586">
        <f>'11'!F46</f>
        <v>187.49</v>
      </c>
      <c r="F46" s="586">
        <v>187.49</v>
      </c>
      <c r="G46" s="549">
        <f t="shared" si="3"/>
        <v>0</v>
      </c>
      <c r="H46" s="536">
        <f>G46+'11'!H46</f>
        <v>0</v>
      </c>
      <c r="I46" s="531"/>
      <c r="J46" s="629">
        <f>H46/DAY(B2)</f>
        <v>0</v>
      </c>
      <c r="K46" s="467"/>
      <c r="L46" s="408"/>
      <c r="N46" s="818"/>
      <c r="O46" s="827"/>
      <c r="P46" s="8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2897.5600000000559</v>
      </c>
      <c r="H47" s="536">
        <f>G47+'11'!H47</f>
        <v>33012.109000000019</v>
      </c>
      <c r="I47" s="531"/>
      <c r="J47" s="629">
        <f>H47/DAY(B2)</f>
        <v>2751.0090833333347</v>
      </c>
      <c r="K47" s="467"/>
      <c r="L47" s="408"/>
      <c r="N47" s="818"/>
      <c r="O47" s="827"/>
      <c r="P47" s="813"/>
    </row>
    <row r="48" spans="1:16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7"/>
      <c r="P48" s="813"/>
    </row>
    <row r="49" spans="1:16">
      <c r="A49" s="655" t="s">
        <v>175</v>
      </c>
      <c r="B49" s="678"/>
      <c r="C49" s="678"/>
      <c r="D49" s="599" t="s">
        <v>143</v>
      </c>
      <c r="E49" s="586">
        <f>'11'!F49</f>
        <v>180742.63</v>
      </c>
      <c r="F49" s="586">
        <v>184037.35</v>
      </c>
      <c r="G49" s="549">
        <f t="shared" ref="G49:G58" si="4">F49-E49</f>
        <v>3294.7200000000012</v>
      </c>
      <c r="H49" s="536">
        <f>G49+'11'!H49</f>
        <v>31632.350000000006</v>
      </c>
      <c r="I49" s="531"/>
      <c r="J49" s="629">
        <f>H49/DAY(B2)</f>
        <v>2636.0291666666672</v>
      </c>
      <c r="K49" s="467"/>
      <c r="L49" s="408"/>
      <c r="N49" s="818"/>
      <c r="O49" s="827"/>
      <c r="P49" s="813"/>
    </row>
    <row r="50" spans="1:16">
      <c r="A50" s="655" t="s">
        <v>189</v>
      </c>
      <c r="B50" s="678"/>
      <c r="C50" s="678"/>
      <c r="D50" s="599" t="s">
        <v>143</v>
      </c>
      <c r="E50" s="586">
        <f>'11'!F50</f>
        <v>346490.47</v>
      </c>
      <c r="F50" s="586">
        <v>347476.43</v>
      </c>
      <c r="G50" s="549">
        <f t="shared" si="4"/>
        <v>985.96000000002095</v>
      </c>
      <c r="H50" s="536">
        <f>G50+'11'!H50</f>
        <v>11259</v>
      </c>
      <c r="I50" s="531"/>
      <c r="J50" s="629">
        <f>H50/DAY(B2)</f>
        <v>938.25</v>
      </c>
      <c r="K50" s="467"/>
      <c r="L50" s="408"/>
      <c r="N50" s="818"/>
      <c r="O50" s="827"/>
      <c r="P50" s="813"/>
    </row>
    <row r="51" spans="1:16">
      <c r="A51" s="655" t="s">
        <v>177</v>
      </c>
      <c r="B51" s="678"/>
      <c r="C51" s="678"/>
      <c r="D51" s="599" t="s">
        <v>143</v>
      </c>
      <c r="E51" s="586">
        <f>'11'!F51</f>
        <v>80367.735000000001</v>
      </c>
      <c r="F51" s="586">
        <v>81866.167000000001</v>
      </c>
      <c r="G51" s="549">
        <f t="shared" si="4"/>
        <v>1498.4320000000007</v>
      </c>
      <c r="H51" s="536">
        <f>G51+'11'!H51</f>
        <v>15708.057000000001</v>
      </c>
      <c r="I51" s="531"/>
      <c r="J51" s="629">
        <f>H51/DAY(B2)</f>
        <v>1309.0047500000001</v>
      </c>
      <c r="K51" s="467"/>
      <c r="L51" s="408"/>
      <c r="N51" s="818"/>
      <c r="O51" s="827"/>
      <c r="P51" s="813"/>
    </row>
    <row r="52" spans="1:16">
      <c r="A52" s="655" t="s">
        <v>190</v>
      </c>
      <c r="B52" s="678"/>
      <c r="C52" s="678"/>
      <c r="D52" s="599" t="s">
        <v>143</v>
      </c>
      <c r="E52" s="586">
        <f>'11'!F52</f>
        <v>455504.59</v>
      </c>
      <c r="F52" s="586">
        <v>457460.83</v>
      </c>
      <c r="G52" s="549">
        <f t="shared" si="4"/>
        <v>1956.2399999999907</v>
      </c>
      <c r="H52" s="536">
        <f>G52+'11'!H52</f>
        <v>22185.200000000012</v>
      </c>
      <c r="I52" s="531"/>
      <c r="J52" s="629">
        <f>H52/DAY(B2)</f>
        <v>1848.7666666666676</v>
      </c>
      <c r="K52" s="467"/>
      <c r="L52" s="408"/>
      <c r="N52" s="818"/>
      <c r="O52" s="827"/>
      <c r="P52" s="813"/>
    </row>
    <row r="53" spans="1:16">
      <c r="A53" s="655" t="s">
        <v>179</v>
      </c>
      <c r="B53" s="678"/>
      <c r="C53" s="678"/>
      <c r="D53" s="599" t="s">
        <v>143</v>
      </c>
      <c r="E53" s="586">
        <f>'11'!F53</f>
        <v>221133.21</v>
      </c>
      <c r="F53" s="586">
        <v>225220.43</v>
      </c>
      <c r="G53" s="549">
        <f t="shared" si="4"/>
        <v>4087.2200000000012</v>
      </c>
      <c r="H53" s="536">
        <f>G53+'11'!H53</f>
        <v>44155.459999999992</v>
      </c>
      <c r="I53" s="531"/>
      <c r="J53" s="629">
        <f>H53/DAY(B2)</f>
        <v>3679.621666666666</v>
      </c>
      <c r="K53" s="467"/>
      <c r="L53" s="408"/>
      <c r="N53" s="818"/>
      <c r="O53" s="827"/>
      <c r="P53" s="813"/>
    </row>
    <row r="54" spans="1:16">
      <c r="A54" s="655" t="s">
        <v>191</v>
      </c>
      <c r="B54" s="678"/>
      <c r="C54" s="678"/>
      <c r="D54" s="599" t="s">
        <v>143</v>
      </c>
      <c r="E54" s="586">
        <f>'11'!F54</f>
        <v>5237.5955000000004</v>
      </c>
      <c r="F54" s="586">
        <v>5295.45</v>
      </c>
      <c r="G54" s="549">
        <f t="shared" si="4"/>
        <v>57.854499999999462</v>
      </c>
      <c r="H54" s="536">
        <f>G54+'11'!H54</f>
        <v>648.90999999999985</v>
      </c>
      <c r="I54" s="531"/>
      <c r="J54" s="629">
        <f>H54/DAY(B2)</f>
        <v>54.075833333333321</v>
      </c>
      <c r="K54" s="467"/>
      <c r="L54" s="408"/>
      <c r="N54" s="818"/>
      <c r="O54" s="827"/>
      <c r="P54" s="813"/>
    </row>
    <row r="55" spans="1:16">
      <c r="A55" s="655" t="s">
        <v>192</v>
      </c>
      <c r="B55" s="678"/>
      <c r="C55" s="678"/>
      <c r="D55" s="599" t="s">
        <v>143</v>
      </c>
      <c r="E55" s="586">
        <f>'11'!F55</f>
        <v>1753.7097000000001</v>
      </c>
      <c r="F55" s="734">
        <v>6474.17</v>
      </c>
      <c r="G55" s="733">
        <f t="shared" si="4"/>
        <v>4720.4602999999997</v>
      </c>
      <c r="H55" s="805">
        <f>G55+'11'!H55</f>
        <v>6473.9000000000106</v>
      </c>
      <c r="I55" s="806"/>
      <c r="J55" s="807">
        <f>H55/DAY(B2)</f>
        <v>539.49166666666758</v>
      </c>
      <c r="K55" s="467"/>
      <c r="L55" s="408"/>
      <c r="N55" s="818"/>
      <c r="O55" s="827"/>
      <c r="P55" s="813"/>
    </row>
    <row r="56" spans="1:16">
      <c r="A56" s="655" t="s">
        <v>193</v>
      </c>
      <c r="B56" s="678"/>
      <c r="C56" s="678"/>
      <c r="D56" s="599" t="s">
        <v>194</v>
      </c>
      <c r="E56" s="586">
        <f>'11'!F56</f>
        <v>557724.23</v>
      </c>
      <c r="F56" s="734">
        <v>557724.23</v>
      </c>
      <c r="G56" s="549">
        <f t="shared" si="4"/>
        <v>0</v>
      </c>
      <c r="H56" s="536">
        <f>G56+'11'!H56</f>
        <v>39823.479999999981</v>
      </c>
      <c r="I56" s="531"/>
      <c r="J56" s="629">
        <f>H56/DAY(B2)</f>
        <v>3318.6233333333316</v>
      </c>
      <c r="K56" s="466"/>
      <c r="L56" s="408"/>
      <c r="N56" s="818"/>
      <c r="O56" s="827"/>
      <c r="P56" s="813"/>
    </row>
    <row r="57" spans="1:16">
      <c r="A57" s="655" t="s">
        <v>183</v>
      </c>
      <c r="B57" s="678"/>
      <c r="C57" s="678"/>
      <c r="D57" s="599" t="s">
        <v>143</v>
      </c>
      <c r="E57" s="586">
        <f>'11'!F57</f>
        <v>0</v>
      </c>
      <c r="F57" s="586">
        <v>0</v>
      </c>
      <c r="G57" s="549">
        <f t="shared" si="4"/>
        <v>0</v>
      </c>
      <c r="H57" s="536">
        <f>G57+'11'!H57</f>
        <v>0</v>
      </c>
      <c r="I57" s="531"/>
      <c r="J57" s="629">
        <f>H57/DAY(B2)</f>
        <v>0</v>
      </c>
      <c r="K57" s="467"/>
      <c r="L57" s="408"/>
      <c r="N57" s="818"/>
      <c r="O57" s="827"/>
      <c r="P57" s="813"/>
    </row>
    <row r="58" spans="1:16">
      <c r="A58" s="655" t="s">
        <v>195</v>
      </c>
      <c r="B58" s="678"/>
      <c r="C58" s="678"/>
      <c r="D58" s="599" t="s">
        <v>143</v>
      </c>
      <c r="E58" s="586">
        <f>'11'!F58</f>
        <v>26708.703000000001</v>
      </c>
      <c r="F58" s="734">
        <v>26965.812999999998</v>
      </c>
      <c r="G58" s="549">
        <f t="shared" si="4"/>
        <v>257.10999999999694</v>
      </c>
      <c r="H58" s="536">
        <f>G58+'11'!H58</f>
        <v>1810.4029999999984</v>
      </c>
      <c r="I58" s="531"/>
      <c r="J58" s="629">
        <f>H58/DAY(B2)</f>
        <v>150.86691666666653</v>
      </c>
      <c r="K58" s="467"/>
      <c r="L58" s="408"/>
      <c r="N58" s="818"/>
      <c r="O58" s="827"/>
      <c r="P58" s="8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16857.996800000012</v>
      </c>
      <c r="H59" s="536">
        <f>G59+'11'!H59</f>
        <v>173696.76</v>
      </c>
      <c r="I59" s="531">
        <f>G7-G60</f>
        <v>349.4431999999324</v>
      </c>
      <c r="J59" s="629">
        <f>H59/DAY(B2)</f>
        <v>14474.730000000001</v>
      </c>
      <c r="K59" s="467"/>
      <c r="L59" s="408"/>
      <c r="N59" s="818"/>
      <c r="O59" s="827"/>
      <c r="P59" s="8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19755.556800000068</v>
      </c>
      <c r="H60" s="536">
        <f>G60+'11'!H60</f>
        <v>223742.86900000004</v>
      </c>
      <c r="I60" s="531">
        <f>G13-G60</f>
        <v>-392.47679999999309</v>
      </c>
      <c r="J60" s="629">
        <f>H60/DAY(B2)</f>
        <v>18645.239083333337</v>
      </c>
      <c r="K60" s="467"/>
      <c r="L60" s="408"/>
      <c r="N60" s="818"/>
      <c r="O60" s="827"/>
      <c r="P60" s="8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7"/>
      <c r="P61" s="813"/>
    </row>
    <row r="62" spans="1:16">
      <c r="A62" s="680" t="s">
        <v>106</v>
      </c>
      <c r="B62" s="681"/>
      <c r="C62" s="681"/>
      <c r="D62" s="587" t="s">
        <v>198</v>
      </c>
      <c r="E62" s="590">
        <f>'11'!F62</f>
        <v>20419</v>
      </c>
      <c r="F62" s="590">
        <v>20419</v>
      </c>
      <c r="G62" s="549">
        <f t="shared" ref="G62:G69" si="5">F62-E62</f>
        <v>0</v>
      </c>
      <c r="H62" s="536">
        <f>G62+'11'!H62</f>
        <v>-0.18000000000029104</v>
      </c>
      <c r="I62" s="591"/>
      <c r="J62" s="629">
        <f>H62/DAY(B2)</f>
        <v>-1.5000000000024253E-2</v>
      </c>
      <c r="K62" s="467"/>
      <c r="L62" s="408"/>
      <c r="N62" s="818"/>
      <c r="O62" s="827"/>
      <c r="P62" s="813"/>
    </row>
    <row r="63" spans="1:16">
      <c r="A63" s="680" t="s">
        <v>199</v>
      </c>
      <c r="B63" s="681"/>
      <c r="C63" s="681"/>
      <c r="D63" s="587" t="s">
        <v>198</v>
      </c>
      <c r="E63" s="590">
        <f>'11'!F63</f>
        <v>1154.7852</v>
      </c>
      <c r="F63" s="590">
        <v>1159.05</v>
      </c>
      <c r="G63" s="549">
        <f t="shared" si="5"/>
        <v>4.2647999999999229</v>
      </c>
      <c r="H63" s="536">
        <f>G63+'11'!H63</f>
        <v>51.139999999999873</v>
      </c>
      <c r="I63" s="591"/>
      <c r="J63" s="629">
        <f>H63/DAY(B2)</f>
        <v>4.2616666666666561</v>
      </c>
      <c r="K63" s="467"/>
      <c r="L63" s="408"/>
      <c r="N63" s="818"/>
      <c r="O63" s="827"/>
      <c r="P63" s="813"/>
    </row>
    <row r="64" spans="1:16" ht="27.75">
      <c r="A64" s="1367" t="s">
        <v>107</v>
      </c>
      <c r="B64" s="1368"/>
      <c r="C64" s="1369"/>
      <c r="D64" s="599" t="s">
        <v>198</v>
      </c>
      <c r="E64" s="590">
        <f>'11'!F64</f>
        <v>102725.46</v>
      </c>
      <c r="F64" s="554">
        <v>103124.14</v>
      </c>
      <c r="G64" s="549">
        <f t="shared" si="5"/>
        <v>398.67999999999302</v>
      </c>
      <c r="H64" s="536">
        <f>G64+'11'!H64</f>
        <v>4700.7400000000052</v>
      </c>
      <c r="I64" s="556"/>
      <c r="J64" s="629">
        <f>H64/DAY(B2)</f>
        <v>391.72833333333375</v>
      </c>
      <c r="K64" s="467"/>
      <c r="L64" s="408"/>
      <c r="N64" s="818"/>
      <c r="O64" s="827"/>
      <c r="P64" s="813"/>
    </row>
    <row r="65" spans="1:16" ht="27.75">
      <c r="A65" s="1367" t="s">
        <v>108</v>
      </c>
      <c r="B65" s="1368"/>
      <c r="C65" s="1369"/>
      <c r="D65" s="599" t="s">
        <v>198</v>
      </c>
      <c r="E65" s="590">
        <f>'11'!F65</f>
        <v>113427.94</v>
      </c>
      <c r="F65" s="732">
        <v>113863.78</v>
      </c>
      <c r="G65" s="549">
        <f t="shared" si="5"/>
        <v>435.83999999999651</v>
      </c>
      <c r="H65" s="536">
        <f>G65+'11'!H65</f>
        <v>4819.6600000000035</v>
      </c>
      <c r="I65" s="565"/>
      <c r="J65" s="629">
        <f>H65/DAY(B2)</f>
        <v>401.63833333333361</v>
      </c>
      <c r="K65" s="467"/>
      <c r="L65" s="408"/>
      <c r="N65" s="818"/>
      <c r="O65" s="827"/>
      <c r="P65" s="813"/>
    </row>
    <row r="66" spans="1:16" ht="27.75">
      <c r="A66" s="1367" t="s">
        <v>109</v>
      </c>
      <c r="B66" s="1368"/>
      <c r="C66" s="1369"/>
      <c r="D66" s="599" t="s">
        <v>198</v>
      </c>
      <c r="E66" s="590">
        <f>'11'!F66</f>
        <v>6546.65</v>
      </c>
      <c r="F66" s="554">
        <v>6905.02</v>
      </c>
      <c r="G66" s="549">
        <f t="shared" si="5"/>
        <v>358.3700000000008</v>
      </c>
      <c r="H66" s="536">
        <f>G66+'11'!H66</f>
        <v>4482.93</v>
      </c>
      <c r="I66" s="556"/>
      <c r="J66" s="629">
        <f>H66/DAY(B2)</f>
        <v>373.57750000000004</v>
      </c>
      <c r="K66" s="467"/>
      <c r="L66" s="408"/>
      <c r="N66" s="818"/>
      <c r="O66" s="827"/>
      <c r="P66" s="813"/>
    </row>
    <row r="67" spans="1:16" ht="27.75">
      <c r="A67" s="1367" t="s">
        <v>110</v>
      </c>
      <c r="B67" s="1368"/>
      <c r="C67" s="1369"/>
      <c r="D67" s="599" t="s">
        <v>198</v>
      </c>
      <c r="E67" s="590">
        <f>'11'!F67</f>
        <v>175380.03</v>
      </c>
      <c r="F67" s="554">
        <v>176022.07</v>
      </c>
      <c r="G67" s="549">
        <f t="shared" si="5"/>
        <v>642.04000000000815</v>
      </c>
      <c r="H67" s="536">
        <f>G67+'11'!H67</f>
        <v>7780.7200000000012</v>
      </c>
      <c r="I67" s="565"/>
      <c r="J67" s="629">
        <f>H67/DAY(B2)</f>
        <v>648.39333333333343</v>
      </c>
      <c r="K67" s="468"/>
      <c r="L67" s="408"/>
      <c r="N67" s="818"/>
      <c r="O67" s="827"/>
      <c r="P67" s="813"/>
    </row>
    <row r="68" spans="1:16" ht="27.75">
      <c r="A68" s="1367" t="s">
        <v>111</v>
      </c>
      <c r="B68" s="1368"/>
      <c r="C68" s="1369"/>
      <c r="D68" s="599" t="s">
        <v>198</v>
      </c>
      <c r="E68" s="590">
        <f>'11'!F68</f>
        <v>56830.190999999999</v>
      </c>
      <c r="F68" s="554">
        <v>57162.77</v>
      </c>
      <c r="G68" s="549">
        <f t="shared" si="5"/>
        <v>332.5789999999979</v>
      </c>
      <c r="H68" s="536">
        <f>G68+'11'!H68</f>
        <v>3538.8699999999953</v>
      </c>
      <c r="I68" s="592"/>
      <c r="J68" s="629">
        <f>H68/DAY(B2)</f>
        <v>294.90583333333296</v>
      </c>
      <c r="K68" s="469"/>
      <c r="L68" s="408"/>
      <c r="N68" s="818"/>
      <c r="O68" s="827"/>
      <c r="P68" s="813"/>
    </row>
    <row r="69" spans="1:16" ht="27.75">
      <c r="A69" s="1367" t="s">
        <v>112</v>
      </c>
      <c r="B69" s="1368"/>
      <c r="C69" s="1369"/>
      <c r="D69" s="599" t="s">
        <v>198</v>
      </c>
      <c r="E69" s="590">
        <f>'11'!F69</f>
        <v>49773.355000000003</v>
      </c>
      <c r="F69" s="554">
        <v>50070.18</v>
      </c>
      <c r="G69" s="549">
        <f t="shared" si="5"/>
        <v>296.82499999999709</v>
      </c>
      <c r="H69" s="536">
        <f>G69+'11'!H69</f>
        <v>3550.75</v>
      </c>
      <c r="I69" s="592"/>
      <c r="J69" s="629">
        <f>H69/DAY(B2)</f>
        <v>295.89583333333331</v>
      </c>
      <c r="K69" s="470"/>
      <c r="L69" s="408"/>
      <c r="N69" s="818"/>
      <c r="O69" s="827"/>
      <c r="P69" s="813"/>
    </row>
    <row r="70" spans="1:16" ht="27.75">
      <c r="A70" s="1391" t="s">
        <v>200</v>
      </c>
      <c r="B70" s="1392"/>
      <c r="C70" s="1393"/>
      <c r="D70" s="599" t="s">
        <v>198</v>
      </c>
      <c r="E70" s="594"/>
      <c r="F70" s="594"/>
      <c r="G70" s="594">
        <v>0</v>
      </c>
      <c r="H70" s="536">
        <f>G70+'11'!H70</f>
        <v>0</v>
      </c>
      <c r="I70" s="594"/>
      <c r="J70" s="633">
        <f>H70/DAY(B2)</f>
        <v>0</v>
      </c>
      <c r="K70" s="470"/>
      <c r="L70" s="408"/>
      <c r="N70" s="818"/>
      <c r="O70" s="827"/>
      <c r="P70" s="813"/>
    </row>
    <row r="71" spans="1:16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818"/>
      <c r="O71" s="827"/>
      <c r="P71" s="813"/>
    </row>
    <row r="72" spans="1:16" ht="27.75">
      <c r="A72" s="1367" t="s">
        <v>202</v>
      </c>
      <c r="B72" s="1368"/>
      <c r="C72" s="1369"/>
      <c r="D72" s="599" t="s">
        <v>198</v>
      </c>
      <c r="E72" s="595">
        <f>'11'!F72</f>
        <v>847155</v>
      </c>
      <c r="F72" s="735">
        <v>847235</v>
      </c>
      <c r="G72" s="549">
        <f t="shared" ref="G72:G84" si="6">F72-E72</f>
        <v>80</v>
      </c>
      <c r="H72" s="536">
        <f>G72+'11'!H72</f>
        <v>835</v>
      </c>
      <c r="I72" s="556"/>
      <c r="J72" s="629">
        <f>H72/DAY(B2)</f>
        <v>69.583333333333329</v>
      </c>
      <c r="K72" s="470"/>
      <c r="L72" s="408"/>
      <c r="N72" s="818"/>
      <c r="O72" s="827"/>
      <c r="P72" s="813"/>
    </row>
    <row r="73" spans="1:16" ht="27.75">
      <c r="A73" s="1367" t="s">
        <v>203</v>
      </c>
      <c r="B73" s="1368"/>
      <c r="C73" s="1369"/>
      <c r="D73" s="599" t="s">
        <v>198</v>
      </c>
      <c r="E73" s="595">
        <f>'11'!F73</f>
        <v>885681</v>
      </c>
      <c r="F73" s="736">
        <v>885682</v>
      </c>
      <c r="G73" s="733">
        <f t="shared" si="6"/>
        <v>1</v>
      </c>
      <c r="H73" s="536">
        <f>G73+'11'!H73</f>
        <v>9</v>
      </c>
      <c r="I73" s="556"/>
      <c r="J73" s="629">
        <f>H73/DAY(B2)</f>
        <v>0.75</v>
      </c>
      <c r="K73" s="469"/>
      <c r="L73" s="408"/>
      <c r="N73" s="818"/>
      <c r="O73" s="827"/>
      <c r="P73" s="813"/>
    </row>
    <row r="74" spans="1:16" ht="27.75">
      <c r="A74" s="1367" t="s">
        <v>204</v>
      </c>
      <c r="B74" s="1368"/>
      <c r="C74" s="1369"/>
      <c r="D74" s="599" t="s">
        <v>198</v>
      </c>
      <c r="E74" s="595">
        <f>'11'!F74</f>
        <v>881696</v>
      </c>
      <c r="F74" s="736">
        <v>881733</v>
      </c>
      <c r="G74" s="549">
        <f t="shared" si="6"/>
        <v>37</v>
      </c>
      <c r="H74" s="536">
        <f>G74+'11'!H74</f>
        <v>418</v>
      </c>
      <c r="I74" s="556"/>
      <c r="J74" s="629">
        <f>H74/DAY(B2)</f>
        <v>34.833333333333336</v>
      </c>
      <c r="K74" s="470"/>
      <c r="L74" s="408"/>
      <c r="N74" s="818"/>
      <c r="O74" s="827"/>
      <c r="P74" s="813"/>
    </row>
    <row r="75" spans="1:16" ht="27.75">
      <c r="A75" s="1364" t="s">
        <v>205</v>
      </c>
      <c r="B75" s="1365"/>
      <c r="C75" s="1366"/>
      <c r="D75" s="599" t="s">
        <v>198</v>
      </c>
      <c r="E75" s="595">
        <f>'11'!F75</f>
        <v>733643</v>
      </c>
      <c r="F75" s="736">
        <v>733822</v>
      </c>
      <c r="G75" s="549">
        <f t="shared" si="6"/>
        <v>179</v>
      </c>
      <c r="H75" s="536">
        <f>G75+'11'!H75</f>
        <v>2181</v>
      </c>
      <c r="I75" s="556"/>
      <c r="J75" s="629">
        <f>H75/DAY(B2)</f>
        <v>181.75</v>
      </c>
      <c r="K75" s="469"/>
      <c r="L75" s="408"/>
      <c r="N75" s="818"/>
      <c r="O75" s="827"/>
      <c r="P75" s="813"/>
    </row>
    <row r="76" spans="1:16" ht="27.75">
      <c r="A76" s="1364" t="s">
        <v>206</v>
      </c>
      <c r="B76" s="1365"/>
      <c r="C76" s="1366"/>
      <c r="D76" s="599" t="s">
        <v>198</v>
      </c>
      <c r="E76" s="595">
        <f>'11'!F76</f>
        <v>685252</v>
      </c>
      <c r="F76" s="736">
        <v>685348</v>
      </c>
      <c r="G76" s="549">
        <f t="shared" si="6"/>
        <v>96</v>
      </c>
      <c r="H76" s="536">
        <f>G76+'11'!H76</f>
        <v>1082</v>
      </c>
      <c r="I76" s="581"/>
      <c r="J76" s="629">
        <f>H76/DAY(B2)</f>
        <v>90.166666666666671</v>
      </c>
      <c r="K76" s="469"/>
      <c r="L76" s="408"/>
      <c r="N76" s="818"/>
      <c r="O76" s="827"/>
      <c r="P76" s="813"/>
    </row>
    <row r="77" spans="1:16" ht="27.75">
      <c r="A77" s="1367" t="s">
        <v>207</v>
      </c>
      <c r="B77" s="1368"/>
      <c r="C77" s="1369"/>
      <c r="D77" s="599" t="s">
        <v>198</v>
      </c>
      <c r="E77" s="595">
        <f>'11'!F77</f>
        <v>696003</v>
      </c>
      <c r="F77" s="736">
        <v>696055</v>
      </c>
      <c r="G77" s="733">
        <f t="shared" si="6"/>
        <v>52</v>
      </c>
      <c r="H77" s="536">
        <f>G77+'11'!H77</f>
        <v>661</v>
      </c>
      <c r="I77" s="581"/>
      <c r="J77" s="629">
        <f>H77/DAY(B2)</f>
        <v>55.083333333333336</v>
      </c>
      <c r="K77" s="469"/>
      <c r="L77" s="408"/>
      <c r="N77" s="818"/>
      <c r="O77" s="827"/>
      <c r="P77" s="813"/>
    </row>
    <row r="78" spans="1:16" ht="27.75">
      <c r="A78" s="1255" t="s">
        <v>208</v>
      </c>
      <c r="B78" s="1226"/>
      <c r="C78" s="1226"/>
      <c r="D78" s="599" t="s">
        <v>198</v>
      </c>
      <c r="E78" s="595">
        <f>'11'!F78</f>
        <v>634586</v>
      </c>
      <c r="F78" s="737">
        <v>634906</v>
      </c>
      <c r="G78" s="549">
        <f t="shared" si="6"/>
        <v>320</v>
      </c>
      <c r="H78" s="536">
        <f>G78+'11'!H78</f>
        <v>4133</v>
      </c>
      <c r="I78" s="581"/>
      <c r="J78" s="629">
        <f>H78/DAY(B2)</f>
        <v>344.41666666666669</v>
      </c>
      <c r="K78" s="469"/>
      <c r="L78" s="408"/>
      <c r="N78" s="818"/>
      <c r="O78" s="827"/>
      <c r="P78" s="813"/>
    </row>
    <row r="79" spans="1:16" ht="27.75">
      <c r="A79" s="1364" t="s">
        <v>97</v>
      </c>
      <c r="B79" s="1365"/>
      <c r="C79" s="1366"/>
      <c r="D79" s="600" t="s">
        <v>198</v>
      </c>
      <c r="E79" s="595">
        <f>'11'!F79</f>
        <v>805915</v>
      </c>
      <c r="F79" s="737">
        <v>806100</v>
      </c>
      <c r="G79" s="549">
        <f t="shared" si="6"/>
        <v>185</v>
      </c>
      <c r="H79" s="536">
        <f>G79+'11'!H79</f>
        <v>2257</v>
      </c>
      <c r="I79" s="581"/>
      <c r="J79" s="629">
        <f>H79/DAY(B2)</f>
        <v>188.08333333333334</v>
      </c>
      <c r="K79" s="469"/>
      <c r="L79" s="408"/>
      <c r="N79" s="818"/>
      <c r="O79" s="827"/>
      <c r="P79" s="813"/>
    </row>
    <row r="80" spans="1:16" ht="27.75">
      <c r="A80" s="1364" t="s">
        <v>209</v>
      </c>
      <c r="B80" s="1365"/>
      <c r="C80" s="1366"/>
      <c r="D80" s="600" t="s">
        <v>198</v>
      </c>
      <c r="E80" s="595">
        <f>'11'!F80</f>
        <v>479003.44</v>
      </c>
      <c r="F80" s="736">
        <v>479313.04</v>
      </c>
      <c r="G80" s="549">
        <f t="shared" si="6"/>
        <v>309.59999999997672</v>
      </c>
      <c r="H80" s="536">
        <f>G80+'11'!H80</f>
        <v>3782.039999999979</v>
      </c>
      <c r="I80" s="581"/>
      <c r="J80" s="629">
        <f>H80/DAY(B2)</f>
        <v>315.16999999999825</v>
      </c>
      <c r="K80" s="469"/>
      <c r="L80" s="408"/>
      <c r="N80" s="818"/>
      <c r="O80" s="827"/>
      <c r="P80" s="813"/>
    </row>
    <row r="81" spans="1:17" ht="27.75">
      <c r="A81" s="1364" t="s">
        <v>210</v>
      </c>
      <c r="B81" s="1365"/>
      <c r="C81" s="1366"/>
      <c r="D81" s="600" t="s">
        <v>198</v>
      </c>
      <c r="E81" s="595">
        <f>'11'!F81</f>
        <v>620583.80000000005</v>
      </c>
      <c r="F81" s="736">
        <v>620726.92000000004</v>
      </c>
      <c r="G81" s="549">
        <f t="shared" si="6"/>
        <v>143.11999999999534</v>
      </c>
      <c r="H81" s="536">
        <f>G81+'11'!H81</f>
        <v>1472.9200000000419</v>
      </c>
      <c r="I81" s="581"/>
      <c r="J81" s="629">
        <f>H81/DAY(B2)</f>
        <v>122.74333333333682</v>
      </c>
      <c r="K81" s="469"/>
      <c r="L81" s="408"/>
      <c r="N81" s="818"/>
      <c r="O81" s="827"/>
      <c r="P81" s="813"/>
    </row>
    <row r="82" spans="1:17" ht="27.75">
      <c r="A82" s="1364" t="s">
        <v>100</v>
      </c>
      <c r="B82" s="1365"/>
      <c r="C82" s="1366"/>
      <c r="D82" s="561" t="s">
        <v>143</v>
      </c>
      <c r="E82" s="595">
        <f>'11'!F82</f>
        <v>104684.81</v>
      </c>
      <c r="F82" s="732">
        <v>104713.95</v>
      </c>
      <c r="G82" s="549">
        <f t="shared" si="6"/>
        <v>29.139999999999418</v>
      </c>
      <c r="H82" s="536">
        <f>G82+'11'!H82</f>
        <v>275.94999999999709</v>
      </c>
      <c r="I82" s="562"/>
      <c r="J82" s="629">
        <f>H82/DAY(B2)</f>
        <v>22.995833333333092</v>
      </c>
      <c r="K82" s="469"/>
      <c r="L82" s="408"/>
      <c r="N82" s="818"/>
      <c r="O82" s="827"/>
      <c r="P82" s="813"/>
    </row>
    <row r="83" spans="1:17" ht="27.75">
      <c r="A83" s="1364" t="s">
        <v>211</v>
      </c>
      <c r="B83" s="1365"/>
      <c r="C83" s="1366"/>
      <c r="D83" s="697" t="s">
        <v>143</v>
      </c>
      <c r="E83" s="595">
        <f>'11'!F83</f>
        <v>977298</v>
      </c>
      <c r="F83" s="587">
        <v>977656</v>
      </c>
      <c r="G83" s="549">
        <f t="shared" si="6"/>
        <v>358</v>
      </c>
      <c r="H83" s="536">
        <f>G83+'11'!H83</f>
        <v>4185</v>
      </c>
      <c r="I83" s="557"/>
      <c r="J83" s="629">
        <f>H83/DAY(B2)</f>
        <v>348.75</v>
      </c>
      <c r="K83" s="468"/>
      <c r="L83" s="408"/>
      <c r="N83" s="818"/>
      <c r="O83" s="827"/>
      <c r="P83" s="813"/>
    </row>
    <row r="84" spans="1:17">
      <c r="A84" s="1256" t="s">
        <v>212</v>
      </c>
      <c r="B84" s="648"/>
      <c r="C84" s="648"/>
      <c r="D84" s="554" t="s">
        <v>143</v>
      </c>
      <c r="E84" s="595">
        <f>'11'!F84</f>
        <v>402987</v>
      </c>
      <c r="F84" s="704">
        <v>403763</v>
      </c>
      <c r="G84" s="549">
        <f t="shared" si="6"/>
        <v>776</v>
      </c>
      <c r="H84" s="536">
        <f>G84+'11'!H84</f>
        <v>6567</v>
      </c>
      <c r="I84" s="557"/>
      <c r="J84" s="629">
        <f>H84/DAY(B2)</f>
        <v>547.25</v>
      </c>
      <c r="K84" s="411"/>
      <c r="L84" s="408"/>
      <c r="N84" s="818"/>
      <c r="O84" s="827"/>
      <c r="P84" s="813"/>
    </row>
    <row r="85" spans="1:17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2565.8599999999715</v>
      </c>
      <c r="H85" s="536">
        <f>G85+'11'!H85</f>
        <v>26012.910000000018</v>
      </c>
      <c r="I85" s="557"/>
      <c r="J85" s="629">
        <f>H85/DAY(B2)</f>
        <v>2167.7425000000017</v>
      </c>
      <c r="K85" s="411"/>
      <c r="L85" s="409"/>
      <c r="N85" s="818"/>
      <c r="O85" s="827"/>
      <c r="P85" s="813"/>
      <c r="Q85" s="835"/>
    </row>
    <row r="86" spans="1:17" s="835" customFormat="1">
      <c r="A86" s="830" t="s">
        <v>102</v>
      </c>
      <c r="B86" s="831"/>
      <c r="C86" s="831"/>
      <c r="D86" s="832" t="s">
        <v>194</v>
      </c>
      <c r="E86" s="704">
        <f>'11'!F86</f>
        <v>445132.36</v>
      </c>
      <c r="F86" s="728">
        <v>445239.96</v>
      </c>
      <c r="G86" s="805">
        <f t="shared" ref="G86:G90" si="7">F86-E86</f>
        <v>107.60000000003492</v>
      </c>
      <c r="H86" s="805">
        <f t="shared" ref="H86:H88" si="8">G86</f>
        <v>107.60000000003492</v>
      </c>
      <c r="I86" s="733"/>
      <c r="J86" s="807">
        <f>H86/DAY(B2)</f>
        <v>8.9666666666695765</v>
      </c>
      <c r="K86" s="833"/>
      <c r="L86" s="834"/>
      <c r="O86" s="813"/>
    </row>
    <row r="87" spans="1:17" s="835" customFormat="1">
      <c r="A87" s="830" t="s">
        <v>103</v>
      </c>
      <c r="B87" s="831"/>
      <c r="C87" s="831"/>
      <c r="D87" s="832" t="s">
        <v>194</v>
      </c>
      <c r="E87" s="704">
        <f>'11'!F87</f>
        <v>77975.73</v>
      </c>
      <c r="F87" s="728">
        <v>78008.399999999994</v>
      </c>
      <c r="G87" s="805">
        <f t="shared" si="7"/>
        <v>32.669999999998254</v>
      </c>
      <c r="H87" s="805">
        <f t="shared" si="8"/>
        <v>32.669999999998254</v>
      </c>
      <c r="I87" s="733"/>
      <c r="J87" s="807">
        <f>H87/DAY(B2)</f>
        <v>2.7224999999998545</v>
      </c>
      <c r="K87" s="833"/>
      <c r="L87" s="834"/>
      <c r="O87" s="813"/>
    </row>
    <row r="88" spans="1:17" s="835" customFormat="1">
      <c r="A88" s="830" t="s">
        <v>104</v>
      </c>
      <c r="B88" s="831"/>
      <c r="C88" s="831"/>
      <c r="D88" s="832" t="s">
        <v>194</v>
      </c>
      <c r="E88" s="704">
        <f>'11'!F88</f>
        <v>145145.49</v>
      </c>
      <c r="F88" s="728">
        <v>145240.99</v>
      </c>
      <c r="G88" s="805">
        <f t="shared" si="7"/>
        <v>95.5</v>
      </c>
      <c r="H88" s="805">
        <f t="shared" si="8"/>
        <v>95.5</v>
      </c>
      <c r="I88" s="733"/>
      <c r="J88" s="807">
        <f>H88/DAY(B2)</f>
        <v>7.958333333333333</v>
      </c>
      <c r="K88" s="833"/>
      <c r="L88" s="834"/>
      <c r="O88" s="813"/>
    </row>
    <row r="89" spans="1:17" s="835" customFormat="1">
      <c r="A89" s="830" t="s">
        <v>215</v>
      </c>
      <c r="B89" s="831"/>
      <c r="C89" s="831"/>
      <c r="D89" s="832" t="s">
        <v>194</v>
      </c>
      <c r="E89" s="704">
        <f>'11'!F89</f>
        <v>58412.7</v>
      </c>
      <c r="F89" s="728">
        <v>58480.800000000003</v>
      </c>
      <c r="G89" s="805">
        <f t="shared" si="7"/>
        <v>68.100000000005821</v>
      </c>
      <c r="H89" s="805">
        <f>G89</f>
        <v>68.100000000005821</v>
      </c>
      <c r="I89" s="733"/>
      <c r="J89" s="807">
        <f>H89/DAY(B2)</f>
        <v>5.6750000000004848</v>
      </c>
      <c r="K89" s="833"/>
      <c r="L89" s="834"/>
      <c r="N89" s="881"/>
      <c r="O89" s="813"/>
    </row>
    <row r="90" spans="1:17" s="835" customFormat="1">
      <c r="A90" s="830" t="s">
        <v>215</v>
      </c>
      <c r="B90" s="831"/>
      <c r="C90" s="831"/>
      <c r="D90" s="832" t="s">
        <v>194</v>
      </c>
      <c r="E90" s="704">
        <f>'11'!F90</f>
        <v>3006.4</v>
      </c>
      <c r="F90" s="728">
        <v>3009.5</v>
      </c>
      <c r="G90" s="805">
        <f t="shared" si="7"/>
        <v>3.0999999999999091</v>
      </c>
      <c r="H90" s="805">
        <f>G90</f>
        <v>3.0999999999999091</v>
      </c>
      <c r="I90" s="733"/>
      <c r="J90" s="807">
        <f>H90/DAY(B2)</f>
        <v>0.25833333333332575</v>
      </c>
      <c r="K90" s="833"/>
      <c r="L90" s="834"/>
      <c r="N90" s="881"/>
      <c r="O90" s="813"/>
    </row>
    <row r="91" spans="1:17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7"/>
      <c r="P91" s="813"/>
      <c r="Q91" s="835"/>
    </row>
    <row r="92" spans="1:17" ht="27.75">
      <c r="A92" s="1388" t="s">
        <v>217</v>
      </c>
      <c r="B92" s="1389"/>
      <c r="C92" s="1390"/>
      <c r="D92" s="599" t="s">
        <v>155</v>
      </c>
      <c r="E92" s="560">
        <f>'11'!F92</f>
        <v>234740</v>
      </c>
      <c r="F92" s="554">
        <v>234813</v>
      </c>
      <c r="G92" s="549">
        <f t="shared" ref="G92:G93" si="9">F92-E92</f>
        <v>73</v>
      </c>
      <c r="H92" s="536">
        <f>G92+'11'!H92</f>
        <v>911</v>
      </c>
      <c r="I92" s="556"/>
      <c r="J92" s="629">
        <f>H92/DAY(B2)</f>
        <v>75.916666666666671</v>
      </c>
      <c r="K92" s="468"/>
      <c r="L92" s="408"/>
      <c r="N92" s="818"/>
      <c r="O92" s="827"/>
      <c r="P92" s="813"/>
    </row>
    <row r="93" spans="1:17" ht="27.75">
      <c r="A93" s="1388" t="s">
        <v>218</v>
      </c>
      <c r="B93" s="1389"/>
      <c r="C93" s="1390"/>
      <c r="D93" s="599" t="s">
        <v>155</v>
      </c>
      <c r="E93" s="560">
        <f>'11'!F93</f>
        <v>168382</v>
      </c>
      <c r="F93" s="554">
        <v>168488</v>
      </c>
      <c r="G93" s="549">
        <f t="shared" si="9"/>
        <v>106</v>
      </c>
      <c r="H93" s="536">
        <f>G93+'11'!H93</f>
        <v>1572</v>
      </c>
      <c r="I93" s="556"/>
      <c r="J93" s="629">
        <f>H93/DAY(B2)</f>
        <v>131</v>
      </c>
      <c r="K93" s="411"/>
      <c r="L93" s="408"/>
      <c r="N93" s="818"/>
      <c r="O93" s="827"/>
      <c r="P93" s="813"/>
    </row>
    <row r="94" spans="1:17">
      <c r="A94" s="1419" t="s">
        <v>219</v>
      </c>
      <c r="B94" s="1420"/>
      <c r="C94" s="1421"/>
      <c r="D94" s="599"/>
      <c r="E94" s="560">
        <f>'11'!F94</f>
        <v>0</v>
      </c>
      <c r="F94" s="554"/>
      <c r="G94" s="549">
        <f>G92+G93</f>
        <v>179</v>
      </c>
      <c r="H94" s="536">
        <f>G94+'11'!H94</f>
        <v>2209</v>
      </c>
      <c r="I94" s="556"/>
      <c r="J94" s="629">
        <f>H94/DAY(B2)</f>
        <v>184.08333333333334</v>
      </c>
      <c r="K94" s="411"/>
      <c r="L94" s="408"/>
      <c r="N94" s="818"/>
      <c r="O94" s="827"/>
      <c r="P94" s="813"/>
    </row>
    <row r="95" spans="1:17" ht="27.75">
      <c r="A95" s="1388" t="s">
        <v>220</v>
      </c>
      <c r="B95" s="1389"/>
      <c r="C95" s="1390"/>
      <c r="D95" s="599" t="s">
        <v>155</v>
      </c>
      <c r="E95" s="560">
        <f>'11'!F95</f>
        <v>404354</v>
      </c>
      <c r="F95" s="554">
        <v>404425</v>
      </c>
      <c r="G95" s="549">
        <f t="shared" ref="G95:G100" si="10">F95-E95</f>
        <v>71</v>
      </c>
      <c r="H95" s="536">
        <f>G95+'11'!H95</f>
        <v>760</v>
      </c>
      <c r="I95" s="556"/>
      <c r="J95" s="629">
        <f>H95/DAY(B2)</f>
        <v>63.333333333333336</v>
      </c>
      <c r="K95" s="411"/>
      <c r="L95" s="408"/>
      <c r="N95" s="818"/>
      <c r="O95" s="827"/>
      <c r="P95" s="813"/>
    </row>
    <row r="96" spans="1:17" ht="27.75">
      <c r="A96" s="1252" t="s">
        <v>221</v>
      </c>
      <c r="B96" s="1253"/>
      <c r="C96" s="1253"/>
      <c r="D96" s="599" t="s">
        <v>155</v>
      </c>
      <c r="E96" s="560">
        <f>'11'!F96</f>
        <v>100130</v>
      </c>
      <c r="F96" s="554">
        <v>100151</v>
      </c>
      <c r="G96" s="549">
        <f t="shared" si="10"/>
        <v>21</v>
      </c>
      <c r="H96" s="536">
        <f>G96+'11'!H96</f>
        <v>230</v>
      </c>
      <c r="I96" s="556"/>
      <c r="J96" s="629">
        <f>H96/DAY(B2)</f>
        <v>19.166666666666668</v>
      </c>
      <c r="K96" s="466"/>
      <c r="L96" s="408"/>
      <c r="N96" s="818"/>
      <c r="O96" s="827"/>
      <c r="P96" s="813"/>
    </row>
    <row r="97" spans="1:17" ht="27.75">
      <c r="A97" s="1252" t="s">
        <v>222</v>
      </c>
      <c r="B97" s="1253"/>
      <c r="C97" s="1253"/>
      <c r="D97" s="599" t="s">
        <v>155</v>
      </c>
      <c r="E97" s="560">
        <f>'11'!F97</f>
        <v>95246</v>
      </c>
      <c r="F97" s="554">
        <v>95263</v>
      </c>
      <c r="G97" s="549">
        <f t="shared" si="10"/>
        <v>17</v>
      </c>
      <c r="H97" s="536">
        <f>G97+'11'!H97</f>
        <v>236</v>
      </c>
      <c r="I97" s="556"/>
      <c r="J97" s="629">
        <f>H97/DAY(B2)</f>
        <v>19.666666666666668</v>
      </c>
      <c r="K97" s="471"/>
      <c r="L97" s="408"/>
      <c r="N97" s="818"/>
      <c r="O97" s="827"/>
      <c r="P97" s="813"/>
    </row>
    <row r="98" spans="1:17" ht="27.75">
      <c r="A98" s="1252" t="s">
        <v>223</v>
      </c>
      <c r="B98" s="1253"/>
      <c r="C98" s="1253"/>
      <c r="D98" s="599" t="s">
        <v>155</v>
      </c>
      <c r="E98" s="560">
        <f>'11'!F98</f>
        <v>144452</v>
      </c>
      <c r="F98" s="554">
        <v>144498</v>
      </c>
      <c r="G98" s="549">
        <f t="shared" si="10"/>
        <v>46</v>
      </c>
      <c r="H98" s="536">
        <f>G98+'11'!H98</f>
        <v>691</v>
      </c>
      <c r="I98" s="556"/>
      <c r="J98" s="629">
        <f>H98/DAY(B2)</f>
        <v>57.583333333333336</v>
      </c>
      <c r="K98" s="411"/>
      <c r="L98" s="408"/>
      <c r="N98" s="820"/>
      <c r="O98" s="827"/>
      <c r="P98" s="813"/>
    </row>
    <row r="99" spans="1:17" ht="27.75">
      <c r="A99" s="1252" t="s">
        <v>224</v>
      </c>
      <c r="B99" s="1253"/>
      <c r="C99" s="1253"/>
      <c r="D99" s="599" t="s">
        <v>155</v>
      </c>
      <c r="E99" s="560">
        <f>'11'!F99</f>
        <v>5646</v>
      </c>
      <c r="F99" s="554">
        <v>5653</v>
      </c>
      <c r="G99" s="549">
        <f t="shared" si="10"/>
        <v>7</v>
      </c>
      <c r="H99" s="536">
        <f>G99+'11'!H99</f>
        <v>151</v>
      </c>
      <c r="I99" s="556"/>
      <c r="J99" s="629">
        <f>H99/DAY(B2)</f>
        <v>12.583333333333334</v>
      </c>
      <c r="K99" s="411"/>
      <c r="L99" s="408"/>
      <c r="N99" s="818"/>
      <c r="O99" s="827"/>
      <c r="P99" s="813"/>
    </row>
    <row r="100" spans="1:17" ht="27.75">
      <c r="A100" s="1252" t="s">
        <v>225</v>
      </c>
      <c r="B100" s="1253"/>
      <c r="C100" s="1253"/>
      <c r="D100" s="599" t="s">
        <v>155</v>
      </c>
      <c r="E100" s="560">
        <f>'11'!F100</f>
        <v>4056</v>
      </c>
      <c r="F100" s="554">
        <v>4062</v>
      </c>
      <c r="G100" s="549">
        <f t="shared" si="10"/>
        <v>6</v>
      </c>
      <c r="H100" s="536">
        <f>G100+'11'!H100</f>
        <v>98</v>
      </c>
      <c r="I100" s="556"/>
      <c r="J100" s="629">
        <f>H100/DAY(B2)</f>
        <v>8.1666666666666661</v>
      </c>
      <c r="K100" s="411"/>
      <c r="L100" s="408"/>
      <c r="N100" s="818"/>
      <c r="O100" s="827"/>
      <c r="P100" s="813"/>
    </row>
    <row r="101" spans="1:17">
      <c r="A101" s="1419" t="s">
        <v>227</v>
      </c>
      <c r="B101" s="1420"/>
      <c r="C101" s="1421"/>
      <c r="D101" s="600"/>
      <c r="E101" s="560"/>
      <c r="F101" s="600"/>
      <c r="G101" s="601">
        <f>SUM(G95:G100)</f>
        <v>168</v>
      </c>
      <c r="H101" s="536">
        <f>G101+'11'!H101</f>
        <v>2166</v>
      </c>
      <c r="I101" s="602"/>
      <c r="J101" s="629">
        <f>H101/DAY(B2)</f>
        <v>180.5</v>
      </c>
      <c r="K101" s="411"/>
      <c r="L101" s="408"/>
      <c r="N101" s="818"/>
      <c r="O101" s="827"/>
      <c r="P101" s="813"/>
    </row>
    <row r="102" spans="1:17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7"/>
      <c r="P102" s="813"/>
      <c r="Q102" s="494"/>
    </row>
    <row r="103" spans="1:17" s="481" customFormat="1" ht="27.75">
      <c r="A103" s="1422" t="s">
        <v>229</v>
      </c>
      <c r="B103" s="1423"/>
      <c r="C103" s="650"/>
      <c r="D103" s="699"/>
      <c r="E103" s="560"/>
      <c r="F103" s="739"/>
      <c r="G103" s="608"/>
      <c r="H103" s="609"/>
      <c r="I103" s="608"/>
      <c r="J103" s="635"/>
      <c r="N103" s="818"/>
      <c r="O103" s="827"/>
      <c r="P103" s="813"/>
      <c r="Q103" s="494"/>
    </row>
    <row r="104" spans="1:17" s="481" customFormat="1" ht="27.75">
      <c r="A104" s="1380" t="s">
        <v>230</v>
      </c>
      <c r="B104" s="1381"/>
      <c r="C104" s="1251"/>
      <c r="D104" s="699" t="s">
        <v>155</v>
      </c>
      <c r="E104" s="560">
        <f>'11'!F104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8.1666666666666661</v>
      </c>
      <c r="N104" s="818"/>
      <c r="O104" s="827"/>
      <c r="P104" s="813"/>
      <c r="Q104" s="494"/>
    </row>
    <row r="105" spans="1:17" s="481" customFormat="1" ht="27.75">
      <c r="A105" s="1380" t="s">
        <v>77</v>
      </c>
      <c r="B105" s="1381"/>
      <c r="C105" s="1251"/>
      <c r="D105" s="699" t="s">
        <v>155</v>
      </c>
      <c r="E105" s="560">
        <f>'11'!F105</f>
        <v>34999</v>
      </c>
      <c r="F105" s="740">
        <v>35009</v>
      </c>
      <c r="G105" s="608">
        <f t="shared" ref="G105:G106" si="11">F105-E105</f>
        <v>10</v>
      </c>
      <c r="H105" s="609">
        <f>SUM(G105+'1'!G77)</f>
        <v>71</v>
      </c>
      <c r="I105" s="608"/>
      <c r="J105" s="635">
        <f>H105/DAY(B2)</f>
        <v>5.916666666666667</v>
      </c>
      <c r="N105" s="818"/>
      <c r="O105" s="827"/>
      <c r="P105" s="813"/>
      <c r="Q105" s="494"/>
    </row>
    <row r="106" spans="1:17" s="481" customFormat="1" ht="27.75">
      <c r="A106" s="1380" t="s">
        <v>78</v>
      </c>
      <c r="B106" s="1424"/>
      <c r="C106" s="1381"/>
      <c r="D106" s="699" t="s">
        <v>155</v>
      </c>
      <c r="E106" s="560">
        <f>'11'!F106</f>
        <v>18948</v>
      </c>
      <c r="F106" s="740">
        <v>18956</v>
      </c>
      <c r="G106" s="608">
        <f t="shared" si="11"/>
        <v>8</v>
      </c>
      <c r="H106" s="609">
        <f>SUM(G106+'1'!G78)</f>
        <v>377</v>
      </c>
      <c r="I106" s="608"/>
      <c r="J106" s="635">
        <f>H106/DAY(B2)</f>
        <v>31.416666666666668</v>
      </c>
      <c r="N106" s="818"/>
      <c r="O106" s="827"/>
      <c r="P106" s="813"/>
      <c r="Q106" s="494"/>
    </row>
    <row r="107" spans="1:17" s="481" customFormat="1" ht="27.75">
      <c r="A107" s="1382" t="s">
        <v>213</v>
      </c>
      <c r="B107" s="1383"/>
      <c r="C107" s="1251"/>
      <c r="D107" s="699"/>
      <c r="E107" s="560"/>
      <c r="F107" s="740"/>
      <c r="G107" s="608">
        <f>SUM(G104:G106)</f>
        <v>18</v>
      </c>
      <c r="H107" s="609">
        <f>SUM(G107+'1'!G79)</f>
        <v>205</v>
      </c>
      <c r="I107" s="608"/>
      <c r="J107" s="635">
        <f>H107/DAY(B2)</f>
        <v>17.083333333333332</v>
      </c>
      <c r="N107" s="818"/>
      <c r="O107" s="827"/>
      <c r="P107" s="813"/>
      <c r="Q107" s="494"/>
    </row>
    <row r="108" spans="1:17" s="481" customFormat="1" ht="27.75">
      <c r="A108" s="1386" t="s">
        <v>79</v>
      </c>
      <c r="B108" s="1387"/>
      <c r="C108" s="1251"/>
      <c r="D108" s="699" t="s">
        <v>155</v>
      </c>
      <c r="E108" s="560"/>
      <c r="F108" s="740"/>
      <c r="G108" s="608"/>
      <c r="H108" s="609"/>
      <c r="I108" s="608"/>
      <c r="J108" s="635"/>
      <c r="N108" s="818"/>
      <c r="O108" s="827"/>
      <c r="P108" s="813"/>
      <c r="Q108" s="494"/>
    </row>
    <row r="109" spans="1:17" s="481" customFormat="1" ht="27.75">
      <c r="A109" s="1380" t="s">
        <v>231</v>
      </c>
      <c r="B109" s="1381"/>
      <c r="C109" s="1251"/>
      <c r="D109" s="699" t="s">
        <v>155</v>
      </c>
      <c r="E109" s="560">
        <f>'11'!F109</f>
        <v>53620</v>
      </c>
      <c r="F109" s="740">
        <v>53680</v>
      </c>
      <c r="G109" s="608">
        <f>F109-E109</f>
        <v>60</v>
      </c>
      <c r="H109" s="609">
        <f>SUM(G109+'1'!G81)</f>
        <v>189</v>
      </c>
      <c r="I109" s="608"/>
      <c r="J109" s="635">
        <f>H109/DAY(B2)</f>
        <v>15.75</v>
      </c>
      <c r="N109" s="818"/>
      <c r="O109" s="827"/>
      <c r="P109" s="813"/>
      <c r="Q109" s="494"/>
    </row>
    <row r="110" spans="1:17" s="481" customFormat="1" ht="27.75">
      <c r="A110" s="1380" t="s">
        <v>232</v>
      </c>
      <c r="B110" s="1381"/>
      <c r="C110" s="1251"/>
      <c r="D110" s="699" t="s">
        <v>155</v>
      </c>
      <c r="E110" s="560">
        <f>'11'!F110</f>
        <v>27492</v>
      </c>
      <c r="F110" s="740">
        <v>27531</v>
      </c>
      <c r="G110" s="608">
        <f t="shared" ref="G110:G111" si="12">F110-E110</f>
        <v>39</v>
      </c>
      <c r="H110" s="609">
        <f>SUM(G110+'1'!G82)</f>
        <v>62</v>
      </c>
      <c r="I110" s="608"/>
      <c r="J110" s="635">
        <f>H110/DAY(B2)</f>
        <v>5.166666666666667</v>
      </c>
      <c r="N110" s="818"/>
      <c r="O110" s="827"/>
      <c r="P110" s="813"/>
      <c r="Q110" s="494"/>
    </row>
    <row r="111" spans="1:17" s="481" customFormat="1" ht="27.75">
      <c r="A111" s="1380" t="s">
        <v>233</v>
      </c>
      <c r="B111" s="1381"/>
      <c r="C111" s="1251"/>
      <c r="D111" s="699" t="s">
        <v>155</v>
      </c>
      <c r="E111" s="560">
        <f>'11'!F111</f>
        <v>3625</v>
      </c>
      <c r="F111" s="740">
        <v>3637</v>
      </c>
      <c r="G111" s="608">
        <f t="shared" si="12"/>
        <v>12</v>
      </c>
      <c r="H111" s="609">
        <f>SUM(G111+'1'!G83)</f>
        <v>345</v>
      </c>
      <c r="I111" s="608"/>
      <c r="J111" s="635">
        <f>H111/DAY(B2)</f>
        <v>28.75</v>
      </c>
      <c r="N111" s="818"/>
      <c r="O111" s="827"/>
      <c r="P111" s="813"/>
      <c r="Q111" s="494"/>
    </row>
    <row r="112" spans="1:17" s="481" customFormat="1" ht="27.75">
      <c r="A112" s="1382" t="s">
        <v>121</v>
      </c>
      <c r="B112" s="1383"/>
      <c r="C112" s="1251"/>
      <c r="D112" s="699"/>
      <c r="E112" s="560"/>
      <c r="F112" s="740"/>
      <c r="G112" s="608">
        <f>SUM(G109:G111)</f>
        <v>111</v>
      </c>
      <c r="H112" s="609">
        <f>SUM(G112+'1'!G84)</f>
        <v>557</v>
      </c>
      <c r="I112" s="608"/>
      <c r="J112" s="635">
        <f>H112/DAY(B2)</f>
        <v>46.416666666666664</v>
      </c>
      <c r="N112" s="818"/>
      <c r="O112" s="827"/>
      <c r="P112" s="813"/>
      <c r="Q112" s="494"/>
    </row>
    <row r="113" spans="1:17" s="481" customFormat="1" ht="27.75">
      <c r="A113" s="1386" t="s">
        <v>234</v>
      </c>
      <c r="B113" s="1387"/>
      <c r="C113" s="1251"/>
      <c r="D113" s="699"/>
      <c r="E113" s="560"/>
      <c r="F113" s="740"/>
      <c r="G113" s="608"/>
      <c r="H113" s="609"/>
      <c r="I113" s="608"/>
      <c r="J113" s="635">
        <f>H113/DAY(B2)</f>
        <v>0</v>
      </c>
      <c r="N113" s="818"/>
      <c r="O113" s="827"/>
      <c r="P113" s="813"/>
      <c r="Q113" s="494"/>
    </row>
    <row r="114" spans="1:17" s="481" customFormat="1" ht="27.75">
      <c r="A114" s="1380" t="s">
        <v>235</v>
      </c>
      <c r="B114" s="1381"/>
      <c r="C114" s="651"/>
      <c r="D114" s="699" t="s">
        <v>155</v>
      </c>
      <c r="E114" s="560">
        <f>'11'!F114</f>
        <v>9413</v>
      </c>
      <c r="F114" s="740">
        <v>9423</v>
      </c>
      <c r="G114" s="610">
        <f>F114-E114</f>
        <v>10</v>
      </c>
      <c r="H114" s="609">
        <f>SUM(G114+'1'!G91)</f>
        <v>10</v>
      </c>
      <c r="I114" s="608"/>
      <c r="J114" s="635">
        <f>H114/DAY(B2)</f>
        <v>0.83333333333333337</v>
      </c>
      <c r="N114" s="818"/>
      <c r="O114" s="827"/>
      <c r="P114" s="813"/>
      <c r="Q114" s="494"/>
    </row>
    <row r="115" spans="1:17" s="481" customFormat="1" ht="27.75">
      <c r="A115" s="1380" t="s">
        <v>236</v>
      </c>
      <c r="B115" s="1381"/>
      <c r="C115" s="651"/>
      <c r="D115" s="699" t="s">
        <v>155</v>
      </c>
      <c r="E115" s="560">
        <f>'11'!F115</f>
        <v>7271</v>
      </c>
      <c r="F115" s="740">
        <v>7276</v>
      </c>
      <c r="G115" s="610">
        <f t="shared" ref="G115:G116" si="13">F115-E115</f>
        <v>5</v>
      </c>
      <c r="H115" s="609">
        <f>SUM(G115+'1'!G92)</f>
        <v>138</v>
      </c>
      <c r="I115" s="608"/>
      <c r="J115" s="635">
        <f>H115/DAY(B2)</f>
        <v>11.5</v>
      </c>
      <c r="N115" s="818"/>
      <c r="O115" s="827"/>
      <c r="P115" s="813"/>
      <c r="Q115" s="494"/>
    </row>
    <row r="116" spans="1:17" s="481" customFormat="1" ht="27.75">
      <c r="A116" s="1380" t="s">
        <v>237</v>
      </c>
      <c r="B116" s="1381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141</v>
      </c>
      <c r="I116" s="608"/>
      <c r="J116" s="635">
        <f>H116/DAY(B2)</f>
        <v>11.75</v>
      </c>
      <c r="N116" s="818"/>
      <c r="O116" s="827"/>
      <c r="P116" s="813"/>
      <c r="Q116" s="494"/>
    </row>
    <row r="117" spans="1:17" s="494" customFormat="1" ht="27.75">
      <c r="A117" s="1382" t="s">
        <v>213</v>
      </c>
      <c r="B117" s="1383"/>
      <c r="C117" s="651"/>
      <c r="D117" s="700"/>
      <c r="E117" s="610"/>
      <c r="F117" s="740"/>
      <c r="G117" s="610">
        <f>SUM(G114:G116)</f>
        <v>15</v>
      </c>
      <c r="H117" s="609">
        <f>SUM(G117+'1'!G95)</f>
        <v>75</v>
      </c>
      <c r="I117" s="610"/>
      <c r="J117" s="635">
        <f>H117/DAY(B2)</f>
        <v>6.25</v>
      </c>
      <c r="N117" s="818"/>
      <c r="O117" s="827"/>
      <c r="P117" s="813"/>
    </row>
    <row r="118" spans="1:17" s="495" customFormat="1" ht="27.75">
      <c r="A118" s="1376" t="s">
        <v>238</v>
      </c>
      <c r="B118" s="1377"/>
      <c r="C118" s="1249"/>
      <c r="D118" s="701" t="s">
        <v>155</v>
      </c>
      <c r="E118" s="612"/>
      <c r="F118" s="741">
        <f>SUM(G19+G92)</f>
        <v>125</v>
      </c>
      <c r="G118" s="612">
        <f>SUM(G19+G92)</f>
        <v>125</v>
      </c>
      <c r="H118" s="609">
        <f>SUM(G118+'1'!G96)</f>
        <v>158</v>
      </c>
      <c r="I118" s="611"/>
      <c r="J118" s="636">
        <f>H118/DAY(B2)</f>
        <v>13.166666666666666</v>
      </c>
      <c r="N118" s="818"/>
      <c r="O118" s="827"/>
      <c r="P118" s="813"/>
    </row>
    <row r="119" spans="1:17" s="495" customFormat="1" ht="27.75">
      <c r="A119" s="1376" t="s">
        <v>239</v>
      </c>
      <c r="B119" s="1377"/>
      <c r="C119" s="1249"/>
      <c r="D119" s="701" t="s">
        <v>155</v>
      </c>
      <c r="E119" s="612"/>
      <c r="F119" s="741">
        <f>SUM(G95,G96,G97,G99,G100)</f>
        <v>122</v>
      </c>
      <c r="G119" s="612">
        <f>SUM(G95,G96,G97,G99,G100)</f>
        <v>122</v>
      </c>
      <c r="H119" s="609">
        <f>SUM(G119+'1'!G98)</f>
        <v>172</v>
      </c>
      <c r="I119" s="611"/>
      <c r="J119" s="636">
        <f>H119/DAY(B2)</f>
        <v>14.333333333333334</v>
      </c>
      <c r="N119" s="818"/>
      <c r="O119" s="827"/>
      <c r="P119" s="813"/>
    </row>
    <row r="120" spans="1:17" s="495" customFormat="1" ht="27.75">
      <c r="A120" s="1376" t="s">
        <v>240</v>
      </c>
      <c r="B120" s="1377"/>
      <c r="C120" s="1249"/>
      <c r="D120" s="701" t="s">
        <v>155</v>
      </c>
      <c r="E120" s="610"/>
      <c r="F120" s="740">
        <f>SUM(G112)</f>
        <v>111</v>
      </c>
      <c r="G120" s="610">
        <f>SUM(G112)</f>
        <v>111</v>
      </c>
      <c r="H120" s="609">
        <f>SUM(G120+'1'!G100)</f>
        <v>128</v>
      </c>
      <c r="I120" s="611"/>
      <c r="J120" s="636">
        <f>H120/DAY(B2)</f>
        <v>10.666666666666666</v>
      </c>
      <c r="N120" s="818"/>
      <c r="O120" s="827"/>
      <c r="P120" s="813"/>
    </row>
    <row r="121" spans="1:17" s="481" customFormat="1" ht="27.75">
      <c r="A121" s="1378"/>
      <c r="B121" s="1379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7"/>
      <c r="P121" s="813"/>
      <c r="Q121" s="494"/>
    </row>
    <row r="122" spans="1:17">
      <c r="A122" s="1416" t="s">
        <v>241</v>
      </c>
      <c r="B122" s="1417"/>
      <c r="C122" s="1418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7"/>
      <c r="P122" s="813"/>
    </row>
    <row r="123" spans="1:17" ht="27.75">
      <c r="A123" s="1252" t="s">
        <v>242</v>
      </c>
      <c r="B123" s="1253"/>
      <c r="C123" s="1253"/>
      <c r="D123" s="599" t="s">
        <v>152</v>
      </c>
      <c r="E123" s="554">
        <f>'11'!F123</f>
        <v>798048.85</v>
      </c>
      <c r="F123" s="554">
        <v>798309.01</v>
      </c>
      <c r="G123" s="549">
        <f t="shared" ref="G123:G127" si="14">F123-E123</f>
        <v>260.1600000000326</v>
      </c>
      <c r="H123" s="536">
        <f>G123+'11'!H123</f>
        <v>2884.9599999999627</v>
      </c>
      <c r="I123" s="602"/>
      <c r="J123" s="629">
        <f>H123/DAY(B2)</f>
        <v>240.41333333333023</v>
      </c>
      <c r="K123" s="411"/>
      <c r="L123" s="408"/>
      <c r="N123" s="818"/>
      <c r="O123" s="827"/>
      <c r="P123" s="813"/>
    </row>
    <row r="124" spans="1:17" ht="27.75">
      <c r="A124" s="1252" t="s">
        <v>243</v>
      </c>
      <c r="B124" s="1253"/>
      <c r="C124" s="1253"/>
      <c r="D124" s="599" t="s">
        <v>152</v>
      </c>
      <c r="E124" s="703">
        <f>'11'!F124</f>
        <v>73582.3</v>
      </c>
      <c r="F124" s="703">
        <v>73582.3</v>
      </c>
      <c r="G124" s="549">
        <f t="shared" si="14"/>
        <v>0</v>
      </c>
      <c r="H124" s="536">
        <f>G124+'11'!H124</f>
        <v>0.10000000000582077</v>
      </c>
      <c r="I124" s="602"/>
      <c r="J124" s="629">
        <f>H124/DAY(B2)</f>
        <v>8.3333333338183966E-3</v>
      </c>
      <c r="K124" s="411"/>
      <c r="L124" s="408"/>
      <c r="N124" s="818"/>
      <c r="O124" s="827"/>
      <c r="P124" s="813"/>
    </row>
    <row r="125" spans="1:17" ht="27.75">
      <c r="A125" s="1367" t="s">
        <v>244</v>
      </c>
      <c r="B125" s="1368"/>
      <c r="C125" s="1369"/>
      <c r="D125" s="599" t="s">
        <v>152</v>
      </c>
      <c r="E125" s="554">
        <f>'11'!F125</f>
        <v>136362.6</v>
      </c>
      <c r="F125" s="554">
        <v>136427.28</v>
      </c>
      <c r="G125" s="549">
        <f t="shared" si="14"/>
        <v>64.679999999993015</v>
      </c>
      <c r="H125" s="536">
        <f>G125+'11'!H125</f>
        <v>836.60999999998603</v>
      </c>
      <c r="I125" s="602"/>
      <c r="J125" s="629">
        <f>H125/DAY(B2)</f>
        <v>69.717499999998836</v>
      </c>
      <c r="K125" s="411"/>
      <c r="L125" s="408"/>
      <c r="N125" s="818"/>
      <c r="O125" s="827"/>
      <c r="P125" s="813"/>
    </row>
    <row r="126" spans="1:17" ht="27.75">
      <c r="A126" s="686" t="s">
        <v>245</v>
      </c>
      <c r="B126" s="1253"/>
      <c r="C126" s="1253"/>
      <c r="D126" s="599" t="s">
        <v>152</v>
      </c>
      <c r="E126" s="703">
        <f>'11'!F126</f>
        <v>57727.7</v>
      </c>
      <c r="F126" s="703">
        <v>57770.2</v>
      </c>
      <c r="G126" s="549">
        <f t="shared" si="14"/>
        <v>42.5</v>
      </c>
      <c r="H126" s="536">
        <f>G126+'11'!H126</f>
        <v>389.19999999999709</v>
      </c>
      <c r="I126" s="602"/>
      <c r="J126" s="629">
        <f>H126/DAY(B2)</f>
        <v>32.433333333333088</v>
      </c>
      <c r="K126" s="411"/>
      <c r="L126" s="408"/>
      <c r="N126" s="818"/>
      <c r="O126" s="827"/>
      <c r="P126" s="813"/>
    </row>
    <row r="127" spans="1:17" ht="27.75">
      <c r="A127" s="686" t="s">
        <v>246</v>
      </c>
      <c r="B127" s="1253"/>
      <c r="C127" s="1253"/>
      <c r="D127" s="599" t="s">
        <v>152</v>
      </c>
      <c r="E127" s="703">
        <f>'11'!F127</f>
        <v>8729.7000000000007</v>
      </c>
      <c r="F127" s="703">
        <v>8738.1</v>
      </c>
      <c r="G127" s="549">
        <f t="shared" si="14"/>
        <v>8.3999999999996362</v>
      </c>
      <c r="H127" s="536">
        <f>G127+'11'!H127</f>
        <v>32.100000000000364</v>
      </c>
      <c r="I127" s="556"/>
      <c r="J127" s="629">
        <f>H127/DAY(B2)</f>
        <v>2.6750000000000305</v>
      </c>
      <c r="K127" s="411"/>
      <c r="L127" s="408"/>
      <c r="N127" s="818"/>
      <c r="O127" s="827"/>
      <c r="P127" s="813"/>
    </row>
    <row r="128" spans="1:17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579.16400000007161</v>
      </c>
      <c r="H128" s="536">
        <f>H15-SUM(H123:H127)</f>
        <v>4949.8859999999604</v>
      </c>
      <c r="I128" s="556"/>
      <c r="J128" s="629"/>
      <c r="K128" s="391"/>
      <c r="L128" s="293"/>
      <c r="N128" s="818"/>
      <c r="O128" s="827"/>
      <c r="P128" s="813"/>
      <c r="Q128" s="810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7"/>
      <c r="P129" s="813"/>
    </row>
    <row r="130" spans="1:16" ht="27.75">
      <c r="A130" s="1252" t="s">
        <v>249</v>
      </c>
      <c r="B130" s="1253"/>
      <c r="C130" s="1253"/>
      <c r="D130" s="599" t="s">
        <v>250</v>
      </c>
      <c r="E130" s="560">
        <f>'11'!F130</f>
        <v>0</v>
      </c>
      <c r="F130" s="554">
        <v>0</v>
      </c>
      <c r="G130" s="549">
        <f t="shared" ref="G130:G140" si="15">F130-E130</f>
        <v>0</v>
      </c>
      <c r="H130" s="536">
        <f>G130+'11'!H130</f>
        <v>0</v>
      </c>
      <c r="I130" s="556"/>
      <c r="J130" s="629">
        <f>H130/DAY(B2)</f>
        <v>0</v>
      </c>
      <c r="N130" s="818"/>
      <c r="O130" s="827"/>
      <c r="P130" s="813"/>
    </row>
    <row r="131" spans="1:16" ht="27.75">
      <c r="A131" s="1252" t="s">
        <v>251</v>
      </c>
      <c r="B131" s="1253"/>
      <c r="C131" s="1253"/>
      <c r="D131" s="599" t="s">
        <v>250</v>
      </c>
      <c r="E131" s="560">
        <f>'11'!F131</f>
        <v>0</v>
      </c>
      <c r="F131" s="554">
        <v>0</v>
      </c>
      <c r="G131" s="549">
        <f t="shared" si="15"/>
        <v>0</v>
      </c>
      <c r="H131" s="536">
        <f>G131+'11'!H131</f>
        <v>0</v>
      </c>
      <c r="I131" s="556"/>
      <c r="J131" s="629">
        <f>H131/DAY(B2)</f>
        <v>0</v>
      </c>
      <c r="N131" s="818"/>
      <c r="O131" s="827"/>
      <c r="P131" s="813"/>
    </row>
    <row r="132" spans="1:16" ht="27.75">
      <c r="A132" s="1252" t="s">
        <v>252</v>
      </c>
      <c r="B132" s="1253"/>
      <c r="C132" s="1253"/>
      <c r="D132" s="599" t="s">
        <v>250</v>
      </c>
      <c r="E132" s="618">
        <f>'11'!F132</f>
        <v>38901</v>
      </c>
      <c r="F132" s="732">
        <v>38901</v>
      </c>
      <c r="G132" s="549">
        <f t="shared" si="15"/>
        <v>0</v>
      </c>
      <c r="H132" s="536">
        <f>G132+'11'!H132</f>
        <v>0</v>
      </c>
      <c r="I132" s="556"/>
      <c r="J132" s="629">
        <f>H132/DAY(B2)</f>
        <v>0</v>
      </c>
      <c r="N132" s="818"/>
      <c r="O132" s="827"/>
      <c r="P132" s="813"/>
    </row>
    <row r="133" spans="1:16" ht="27.75">
      <c r="A133" s="1252" t="s">
        <v>253</v>
      </c>
      <c r="B133" s="1253"/>
      <c r="C133" s="1253"/>
      <c r="D133" s="599" t="s">
        <v>250</v>
      </c>
      <c r="E133" s="782">
        <f>'11'!F133</f>
        <v>299</v>
      </c>
      <c r="F133" s="703">
        <v>299</v>
      </c>
      <c r="G133" s="549">
        <f t="shared" si="15"/>
        <v>0</v>
      </c>
      <c r="H133" s="536">
        <f>G133+'11'!H133</f>
        <v>0</v>
      </c>
      <c r="I133" s="556">
        <f>G130+G131+G132+G133</f>
        <v>0</v>
      </c>
      <c r="J133" s="629">
        <f>H133/DAY(B2)</f>
        <v>0</v>
      </c>
      <c r="N133" s="818"/>
      <c r="O133" s="827"/>
      <c r="P133" s="813"/>
    </row>
    <row r="134" spans="1:16" ht="27.75">
      <c r="A134" s="1252" t="s">
        <v>254</v>
      </c>
      <c r="B134" s="1253"/>
      <c r="C134" s="1253"/>
      <c r="D134" s="599" t="s">
        <v>250</v>
      </c>
      <c r="E134" s="782">
        <f>'11'!F134</f>
        <v>39744.269999999997</v>
      </c>
      <c r="F134" s="703">
        <v>39768.39</v>
      </c>
      <c r="G134" s="549">
        <f t="shared" si="15"/>
        <v>24.120000000002619</v>
      </c>
      <c r="H134" s="536">
        <f>G134+'11'!H134</f>
        <v>33.389999999999418</v>
      </c>
      <c r="I134" s="556"/>
      <c r="J134" s="629">
        <f>H134/DAY(B2)</f>
        <v>2.7824999999999513</v>
      </c>
      <c r="N134" s="818"/>
      <c r="O134" s="827"/>
      <c r="P134" s="813"/>
    </row>
    <row r="135" spans="1:16" ht="27.75">
      <c r="A135" s="1252" t="s">
        <v>255</v>
      </c>
      <c r="B135" s="1253"/>
      <c r="C135" s="1253"/>
      <c r="D135" s="599" t="s">
        <v>250</v>
      </c>
      <c r="E135" s="598">
        <f>'11'!F135</f>
        <v>32423</v>
      </c>
      <c r="F135" s="732">
        <v>32423</v>
      </c>
      <c r="G135" s="549">
        <f t="shared" si="15"/>
        <v>0</v>
      </c>
      <c r="H135" s="536">
        <f>G135+'11'!H135</f>
        <v>255.61000000000058</v>
      </c>
      <c r="I135" s="556"/>
      <c r="J135" s="629">
        <f>H135/DAY(B2)</f>
        <v>21.300833333333383</v>
      </c>
      <c r="N135" s="818"/>
      <c r="O135" s="827"/>
      <c r="P135" s="813"/>
    </row>
    <row r="136" spans="1:16" ht="27.75">
      <c r="A136" s="1252" t="s">
        <v>256</v>
      </c>
      <c r="B136" s="1253"/>
      <c r="C136" s="1253"/>
      <c r="D136" s="599" t="s">
        <v>250</v>
      </c>
      <c r="E136" s="618">
        <f>'11'!F136</f>
        <v>21855.96</v>
      </c>
      <c r="F136" s="732">
        <v>21865.91</v>
      </c>
      <c r="G136" s="549">
        <f t="shared" si="15"/>
        <v>9.9500000000007276</v>
      </c>
      <c r="H136" s="536">
        <f>G136+'11'!H136</f>
        <v>64.209999999999127</v>
      </c>
      <c r="I136" s="556">
        <f>G134+G135+G136</f>
        <v>34.070000000003347</v>
      </c>
      <c r="J136" s="629">
        <f>H136/DAY(B2)</f>
        <v>5.3508333333332603</v>
      </c>
      <c r="N136" s="818"/>
      <c r="O136" s="827"/>
      <c r="P136" s="813"/>
    </row>
    <row r="137" spans="1:16" ht="27.75">
      <c r="A137" s="1252" t="s">
        <v>257</v>
      </c>
      <c r="B137" s="1253"/>
      <c r="C137" s="1253"/>
      <c r="D137" s="599" t="s">
        <v>250</v>
      </c>
      <c r="E137" s="618">
        <f>'11'!F137</f>
        <v>25000.5</v>
      </c>
      <c r="F137" s="732">
        <v>25000.560000000001</v>
      </c>
      <c r="G137" s="549">
        <f t="shared" si="15"/>
        <v>6.0000000001309672E-2</v>
      </c>
      <c r="H137" s="536">
        <f>G137+'11'!H137</f>
        <v>9.9500000000007276</v>
      </c>
      <c r="I137" s="556"/>
      <c r="J137" s="629">
        <f>H137/DAY(B2)</f>
        <v>0.82916666666672734</v>
      </c>
      <c r="N137" s="818"/>
      <c r="O137" s="827"/>
      <c r="P137" s="813"/>
    </row>
    <row r="138" spans="1:16" ht="27.75">
      <c r="A138" s="1252" t="s">
        <v>258</v>
      </c>
      <c r="B138" s="1253"/>
      <c r="C138" s="1253"/>
      <c r="D138" s="599" t="s">
        <v>250</v>
      </c>
      <c r="E138" s="618">
        <f>'11'!F138</f>
        <v>70032.31</v>
      </c>
      <c r="F138" s="732">
        <v>70033.5</v>
      </c>
      <c r="G138" s="549">
        <f t="shared" si="15"/>
        <v>1.1900000000023283</v>
      </c>
      <c r="H138" s="536">
        <f>G138+'11'!H138</f>
        <v>27.130000000004657</v>
      </c>
      <c r="I138" s="556">
        <f>G137+G138</f>
        <v>1.250000000003638</v>
      </c>
      <c r="J138" s="629">
        <f>H138/DAY(B2)</f>
        <v>2.2608333333337214</v>
      </c>
      <c r="N138" s="818"/>
      <c r="O138" s="827"/>
      <c r="P138" s="813"/>
    </row>
    <row r="139" spans="1:16" ht="27.75">
      <c r="A139" s="1252" t="s">
        <v>259</v>
      </c>
      <c r="B139" s="1253"/>
      <c r="C139" s="1253"/>
      <c r="D139" s="599" t="s">
        <v>250</v>
      </c>
      <c r="E139" s="782">
        <f>'11'!F139</f>
        <v>1062.6300000000001</v>
      </c>
      <c r="F139" s="703">
        <v>1062.6300000000001</v>
      </c>
      <c r="G139" s="549">
        <f t="shared" si="15"/>
        <v>0</v>
      </c>
      <c r="H139" s="536">
        <f>G139+'11'!H139</f>
        <v>-0.36999999999989086</v>
      </c>
      <c r="I139" s="619"/>
      <c r="J139" s="629">
        <f>H139/DAY(B2)</f>
        <v>-3.0833333333324237E-2</v>
      </c>
      <c r="N139" s="818"/>
      <c r="O139" s="827"/>
      <c r="P139" s="813"/>
    </row>
    <row r="140" spans="1:16" ht="27.75">
      <c r="A140" s="1252" t="s">
        <v>260</v>
      </c>
      <c r="B140" s="1253"/>
      <c r="C140" s="1253"/>
      <c r="D140" s="599" t="s">
        <v>250</v>
      </c>
      <c r="E140" s="560">
        <f>'11'!F140</f>
        <v>4318.92</v>
      </c>
      <c r="F140" s="554">
        <v>4327.43</v>
      </c>
      <c r="G140" s="549">
        <f t="shared" si="15"/>
        <v>8.5100000000002183</v>
      </c>
      <c r="H140" s="536">
        <f>G140+'11'!H140</f>
        <v>95.020000000000437</v>
      </c>
      <c r="I140" s="619"/>
      <c r="J140" s="629">
        <f>H140/DAY(B2)</f>
        <v>7.9183333333333694</v>
      </c>
      <c r="N140" s="818"/>
      <c r="O140" s="827"/>
      <c r="P140" s="813"/>
    </row>
    <row r="141" spans="1:16">
      <c r="A141" s="1397" t="s">
        <v>261</v>
      </c>
      <c r="B141" s="1398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7"/>
      <c r="P141" s="813"/>
    </row>
    <row r="142" spans="1:16" ht="27.75">
      <c r="A142" s="1388" t="s">
        <v>262</v>
      </c>
      <c r="B142" s="1389"/>
      <c r="C142" s="1390"/>
      <c r="D142" s="599" t="s">
        <v>143</v>
      </c>
      <c r="E142" s="599"/>
      <c r="F142" s="599"/>
      <c r="G142" s="536">
        <f>G35+G43+G49+G57</f>
        <v>5574.4000000000524</v>
      </c>
      <c r="H142" s="536">
        <f>G142+'11'!H142</f>
        <v>59205.100000000006</v>
      </c>
      <c r="I142" s="556"/>
      <c r="J142" s="629">
        <f>H142/DAY(B2)</f>
        <v>4933.7583333333341</v>
      </c>
      <c r="K142" s="411"/>
      <c r="L142" s="408"/>
      <c r="N142" s="818"/>
      <c r="O142" s="827"/>
      <c r="P142" s="813"/>
    </row>
    <row r="143" spans="1:16" ht="27.75">
      <c r="A143" s="1388" t="s">
        <v>263</v>
      </c>
      <c r="B143" s="1389"/>
      <c r="C143" s="1390"/>
      <c r="D143" s="599" t="s">
        <v>24</v>
      </c>
      <c r="E143" s="587"/>
      <c r="F143" s="587"/>
      <c r="G143" s="620">
        <f>G142/G7</f>
        <v>0.27726436209898297</v>
      </c>
      <c r="H143" s="536">
        <f>G143+'11'!H143</f>
        <v>2.9299463896806826</v>
      </c>
      <c r="I143" s="621"/>
      <c r="J143" s="629">
        <f>H143/DAY(B2)</f>
        <v>0.24416219914005688</v>
      </c>
      <c r="K143" s="411"/>
      <c r="L143" s="408"/>
      <c r="N143" s="818"/>
      <c r="O143" s="827"/>
      <c r="P143" s="813"/>
    </row>
    <row r="144" spans="1:16" ht="27.75">
      <c r="A144" s="1388" t="s">
        <v>264</v>
      </c>
      <c r="B144" s="1389"/>
      <c r="C144" s="1390"/>
      <c r="D144" s="599" t="s">
        <v>143</v>
      </c>
      <c r="E144" s="531"/>
      <c r="F144" s="531"/>
      <c r="G144" s="536">
        <f>G41+G42+G55+G56</f>
        <v>4720.4602999999997</v>
      </c>
      <c r="H144" s="536">
        <f>G144+'11'!H144</f>
        <v>50986.339000000007</v>
      </c>
      <c r="I144" s="556"/>
      <c r="J144" s="629">
        <f>H144/DAY(B2)</f>
        <v>4248.8615833333342</v>
      </c>
      <c r="K144" s="411"/>
      <c r="L144" s="408"/>
      <c r="N144" s="818"/>
      <c r="O144" s="827"/>
      <c r="P144" s="813"/>
    </row>
    <row r="145" spans="1:16" ht="27.75">
      <c r="A145" s="1388" t="s">
        <v>265</v>
      </c>
      <c r="B145" s="1389"/>
      <c r="C145" s="1390"/>
      <c r="D145" s="599" t="s">
        <v>24</v>
      </c>
      <c r="E145" s="531"/>
      <c r="F145" s="531"/>
      <c r="G145" s="620">
        <f>G144/G7</f>
        <v>0.23479036558070129</v>
      </c>
      <c r="H145" s="536">
        <f>G145+'11'!H145</f>
        <v>2.6560464108792763</v>
      </c>
      <c r="I145" s="621"/>
      <c r="J145" s="629">
        <f>H145/DAY(B2)</f>
        <v>0.22133720090660636</v>
      </c>
      <c r="K145" s="411"/>
      <c r="L145" s="408"/>
      <c r="N145" s="818"/>
      <c r="O145" s="827"/>
      <c r="P145" s="813"/>
    </row>
    <row r="146" spans="1:16" ht="27.75">
      <c r="A146" s="1388" t="s">
        <v>266</v>
      </c>
      <c r="B146" s="1389"/>
      <c r="C146" s="1390"/>
      <c r="D146" s="599" t="s">
        <v>143</v>
      </c>
      <c r="E146" s="531"/>
      <c r="F146" s="531"/>
      <c r="G146" s="536">
        <f>G39+G53</f>
        <v>4087.2200000000012</v>
      </c>
      <c r="H146" s="536">
        <f>G146+'11'!H146</f>
        <v>48618.459999999992</v>
      </c>
      <c r="I146" s="622"/>
      <c r="J146" s="629">
        <f>H146/DAY(B2)</f>
        <v>4051.5383333333325</v>
      </c>
      <c r="K146" s="411"/>
      <c r="L146" s="408"/>
      <c r="N146" s="818"/>
      <c r="O146" s="827"/>
      <c r="P146" s="813"/>
    </row>
    <row r="147" spans="1:16" ht="27.75">
      <c r="A147" s="1388" t="s">
        <v>267</v>
      </c>
      <c r="B147" s="1389"/>
      <c r="C147" s="1390"/>
      <c r="D147" s="599" t="s">
        <v>24</v>
      </c>
      <c r="E147" s="531"/>
      <c r="F147" s="531"/>
      <c r="G147" s="620">
        <f>G146/G7</f>
        <v>0.2032937080328277</v>
      </c>
      <c r="H147" s="536">
        <f>G147+'11'!H147</f>
        <v>2.5432836615821688</v>
      </c>
      <c r="I147" s="622"/>
      <c r="J147" s="629">
        <f>H147/DAY(B2)</f>
        <v>0.21194030513184739</v>
      </c>
      <c r="N147" s="818"/>
      <c r="O147" s="827"/>
      <c r="P147" s="813"/>
    </row>
    <row r="148" spans="1:16" ht="27.75">
      <c r="A148" s="1388" t="s">
        <v>268</v>
      </c>
      <c r="B148" s="1389"/>
      <c r="C148" s="1390"/>
      <c r="D148" s="599" t="s">
        <v>194</v>
      </c>
      <c r="E148" s="531"/>
      <c r="F148" s="531"/>
      <c r="G148" s="536">
        <f>G38+G52</f>
        <v>1956.2399999999907</v>
      </c>
      <c r="H148" s="536">
        <f>G148+'11'!H148</f>
        <v>24281.200000000012</v>
      </c>
      <c r="I148" s="556"/>
      <c r="J148" s="629">
        <f>H148/DAY(B2)</f>
        <v>2023.4333333333343</v>
      </c>
      <c r="K148" s="412"/>
      <c r="N148" s="818"/>
      <c r="O148" s="827"/>
      <c r="P148" s="813"/>
    </row>
    <row r="149" spans="1:16" ht="27.75">
      <c r="A149" s="1388" t="s">
        <v>269</v>
      </c>
      <c r="B149" s="1389"/>
      <c r="C149" s="1390"/>
      <c r="D149" s="599" t="s">
        <v>24</v>
      </c>
      <c r="E149" s="531"/>
      <c r="F149" s="531"/>
      <c r="G149" s="620">
        <f>G148/G7</f>
        <v>9.7301168863466334E-2</v>
      </c>
      <c r="H149" s="536">
        <f>G149+'11'!H149</f>
        <v>1.2704728180918317</v>
      </c>
      <c r="I149" s="622"/>
      <c r="J149" s="629">
        <f>H149/DAY(B2)</f>
        <v>0.10587273484098597</v>
      </c>
      <c r="N149" s="818"/>
      <c r="O149" s="827"/>
      <c r="P149" s="813"/>
    </row>
    <row r="150" spans="1:16" ht="27.75">
      <c r="A150" s="1388" t="s">
        <v>270</v>
      </c>
      <c r="B150" s="1389"/>
      <c r="C150" s="1390"/>
      <c r="D150" s="599" t="s">
        <v>194</v>
      </c>
      <c r="E150" s="531"/>
      <c r="F150" s="531"/>
      <c r="G150" s="536">
        <f>G36+G50</f>
        <v>1603.8400000000256</v>
      </c>
      <c r="H150" s="536">
        <f>G150+'11'!H150</f>
        <v>20861.880000000005</v>
      </c>
      <c r="I150" s="622"/>
      <c r="J150" s="629">
        <f>H150/DAY(B2)</f>
        <v>1738.4900000000005</v>
      </c>
      <c r="N150" s="818"/>
      <c r="O150" s="827"/>
      <c r="P150" s="813"/>
    </row>
    <row r="151" spans="1:16" ht="27.75">
      <c r="A151" s="1388" t="s">
        <v>271</v>
      </c>
      <c r="B151" s="1389"/>
      <c r="C151" s="1390"/>
      <c r="D151" s="599" t="s">
        <v>24</v>
      </c>
      <c r="E151" s="531"/>
      <c r="F151" s="531"/>
      <c r="G151" s="620">
        <f>G150/G7</f>
        <v>7.9773190748571282E-2</v>
      </c>
      <c r="H151" s="536">
        <f>G151+'11'!H151</f>
        <v>1.0930779392998995</v>
      </c>
      <c r="I151" s="556"/>
      <c r="J151" s="629">
        <f>H151/DAY(B2)</f>
        <v>9.1089828274991624E-2</v>
      </c>
      <c r="N151" s="818"/>
      <c r="O151" s="827"/>
      <c r="P151" s="813"/>
    </row>
    <row r="152" spans="1:16" ht="27.75">
      <c r="A152" s="1388" t="s">
        <v>272</v>
      </c>
      <c r="B152" s="1389"/>
      <c r="C152" s="1390"/>
      <c r="D152" s="599" t="s">
        <v>194</v>
      </c>
      <c r="E152" s="531"/>
      <c r="F152" s="531"/>
      <c r="G152" s="536">
        <f>G37+G51</f>
        <v>1498.4320000000007</v>
      </c>
      <c r="H152" s="536">
        <f>G152+'11'!H152</f>
        <v>17159.057000000001</v>
      </c>
      <c r="I152" s="556"/>
      <c r="J152" s="629">
        <f>H152/DAY(B2)</f>
        <v>1429.9214166666668</v>
      </c>
      <c r="N152" s="818"/>
      <c r="O152" s="827"/>
      <c r="P152" s="813"/>
    </row>
    <row r="153" spans="1:16" ht="28.5" thickBot="1">
      <c r="A153" s="1394" t="s">
        <v>273</v>
      </c>
      <c r="B153" s="1395"/>
      <c r="C153" s="1396"/>
      <c r="D153" s="702" t="s">
        <v>24</v>
      </c>
      <c r="E153" s="642"/>
      <c r="F153" s="642"/>
      <c r="G153" s="643">
        <f>G152/G7</f>
        <v>7.4530315841830425E-2</v>
      </c>
      <c r="H153" s="536">
        <f>G153+'11'!H153</f>
        <v>0.89853912924488166</v>
      </c>
      <c r="I153" s="645"/>
      <c r="J153" s="646">
        <f>H153/DAY(B2)</f>
        <v>7.487826077040681E-2</v>
      </c>
      <c r="N153" s="818"/>
      <c r="O153" s="827"/>
      <c r="P153" s="8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89" t="s">
        <v>274</v>
      </c>
      <c r="B160" s="890"/>
      <c r="C160" s="890"/>
      <c r="D160" s="587" t="s">
        <v>198</v>
      </c>
      <c r="E160" s="618">
        <f>'11'!F160</f>
        <v>26858</v>
      </c>
      <c r="F160" s="739">
        <v>26930.76</v>
      </c>
      <c r="G160" s="549">
        <f t="shared" ref="G160:G163" si="16">F160-E160</f>
        <v>72.759999999998399</v>
      </c>
      <c r="N160" s="818"/>
    </row>
    <row r="161" spans="1:14">
      <c r="A161" s="889" t="s">
        <v>275</v>
      </c>
      <c r="B161" s="890"/>
      <c r="C161" s="890"/>
      <c r="D161" s="587" t="s">
        <v>198</v>
      </c>
      <c r="E161" s="618">
        <f>'11'!F161</f>
        <v>33472.97</v>
      </c>
      <c r="F161" s="739">
        <v>33934.9</v>
      </c>
      <c r="G161" s="549">
        <f t="shared" si="16"/>
        <v>461.93000000000029</v>
      </c>
      <c r="N161" s="818"/>
    </row>
    <row r="162" spans="1:14">
      <c r="A162" s="889" t="s">
        <v>276</v>
      </c>
      <c r="B162" s="890"/>
      <c r="C162" s="890"/>
      <c r="D162" s="587" t="s">
        <v>198</v>
      </c>
      <c r="E162" s="618">
        <f>'11'!F162</f>
        <v>7835.67</v>
      </c>
      <c r="F162" s="739">
        <v>9086.1200000000008</v>
      </c>
      <c r="G162" s="549">
        <f t="shared" si="16"/>
        <v>1250.4500000000007</v>
      </c>
      <c r="N162" s="818"/>
    </row>
    <row r="163" spans="1:14">
      <c r="A163" s="889" t="s">
        <v>277</v>
      </c>
      <c r="B163" s="890"/>
      <c r="C163" s="890"/>
      <c r="D163" s="587" t="s">
        <v>198</v>
      </c>
      <c r="E163" s="618">
        <f>'11'!F163</f>
        <v>4584.5200000000004</v>
      </c>
      <c r="F163" s="739">
        <v>4607.09</v>
      </c>
      <c r="G163" s="549">
        <f t="shared" si="16"/>
        <v>22.569999999999709</v>
      </c>
      <c r="N163" s="818"/>
    </row>
    <row r="164" spans="1:14">
      <c r="A164" s="891" t="s">
        <v>106</v>
      </c>
      <c r="B164" s="681"/>
      <c r="C164" s="681"/>
      <c r="D164" s="587" t="s">
        <v>198</v>
      </c>
      <c r="E164" s="590">
        <f>E62</f>
        <v>20419</v>
      </c>
      <c r="F164" s="590">
        <f>F62</f>
        <v>20419</v>
      </c>
      <c r="G164" s="549">
        <f t="shared" ref="G164:G171" si="17">F164-E164</f>
        <v>0</v>
      </c>
      <c r="N164" s="818"/>
    </row>
    <row r="165" spans="1:14">
      <c r="A165" s="891" t="s">
        <v>199</v>
      </c>
      <c r="B165" s="681"/>
      <c r="C165" s="681"/>
      <c r="D165" s="587" t="s">
        <v>198</v>
      </c>
      <c r="E165" s="590">
        <f t="shared" ref="E165:E171" si="18">E63</f>
        <v>1154.7852</v>
      </c>
      <c r="F165" s="590">
        <f t="shared" ref="F165:F171" si="19">F63</f>
        <v>1159.05</v>
      </c>
      <c r="G165" s="549">
        <f t="shared" si="17"/>
        <v>4.2647999999999229</v>
      </c>
      <c r="N165" s="818"/>
    </row>
    <row r="166" spans="1:14" ht="33" customHeight="1">
      <c r="A166" s="1363" t="s">
        <v>107</v>
      </c>
      <c r="B166" s="1363"/>
      <c r="C166" s="1363"/>
      <c r="D166" s="599" t="s">
        <v>198</v>
      </c>
      <c r="E166" s="590">
        <f t="shared" si="18"/>
        <v>102725.46</v>
      </c>
      <c r="F166" s="590">
        <f t="shared" si="19"/>
        <v>103124.14</v>
      </c>
      <c r="G166" s="549">
        <f t="shared" si="17"/>
        <v>398.67999999999302</v>
      </c>
      <c r="N166" s="818"/>
    </row>
    <row r="167" spans="1:14" ht="33" customHeight="1">
      <c r="A167" s="1363" t="s">
        <v>108</v>
      </c>
      <c r="B167" s="1363"/>
      <c r="C167" s="1363"/>
      <c r="D167" s="599" t="s">
        <v>198</v>
      </c>
      <c r="E167" s="590">
        <f t="shared" si="18"/>
        <v>113427.94</v>
      </c>
      <c r="F167" s="590">
        <f t="shared" si="19"/>
        <v>113863.78</v>
      </c>
      <c r="G167" s="549">
        <f t="shared" si="17"/>
        <v>435.83999999999651</v>
      </c>
      <c r="N167" s="818"/>
    </row>
    <row r="168" spans="1:14" ht="41.25" customHeight="1">
      <c r="A168" s="1363" t="s">
        <v>109</v>
      </c>
      <c r="B168" s="1363"/>
      <c r="C168" s="1363"/>
      <c r="D168" s="599" t="s">
        <v>198</v>
      </c>
      <c r="E168" s="590">
        <f t="shared" si="18"/>
        <v>6546.65</v>
      </c>
      <c r="F168" s="590">
        <f t="shared" si="19"/>
        <v>6905.02</v>
      </c>
      <c r="G168" s="549">
        <f t="shared" si="17"/>
        <v>358.3700000000008</v>
      </c>
      <c r="N168" s="818"/>
    </row>
    <row r="169" spans="1:14" ht="26.25" customHeight="1">
      <c r="A169" s="1363" t="s">
        <v>110</v>
      </c>
      <c r="B169" s="1363"/>
      <c r="C169" s="1363"/>
      <c r="D169" s="599" t="s">
        <v>198</v>
      </c>
      <c r="E169" s="590">
        <f t="shared" si="18"/>
        <v>175380.03</v>
      </c>
      <c r="F169" s="590">
        <f t="shared" si="19"/>
        <v>176022.07</v>
      </c>
      <c r="G169" s="549">
        <f t="shared" si="17"/>
        <v>642.04000000000815</v>
      </c>
      <c r="N169" s="818"/>
    </row>
    <row r="170" spans="1:14" ht="24" customHeight="1">
      <c r="A170" s="1363" t="s">
        <v>111</v>
      </c>
      <c r="B170" s="1363"/>
      <c r="C170" s="1363"/>
      <c r="D170" s="599" t="s">
        <v>198</v>
      </c>
      <c r="E170" s="590">
        <f t="shared" si="18"/>
        <v>56830.190999999999</v>
      </c>
      <c r="F170" s="590">
        <f t="shared" si="19"/>
        <v>57162.77</v>
      </c>
      <c r="G170" s="549">
        <f t="shared" si="17"/>
        <v>332.5789999999979</v>
      </c>
      <c r="N170" s="818"/>
    </row>
    <row r="171" spans="1:14" ht="27.75">
      <c r="A171" s="1363" t="s">
        <v>112</v>
      </c>
      <c r="B171" s="1363"/>
      <c r="C171" s="1363"/>
      <c r="D171" s="599" t="s">
        <v>198</v>
      </c>
      <c r="E171" s="590">
        <f t="shared" si="18"/>
        <v>49773.355000000003</v>
      </c>
      <c r="F171" s="590">
        <f t="shared" si="19"/>
        <v>50070.18</v>
      </c>
      <c r="G171" s="549">
        <f t="shared" si="17"/>
        <v>296.82499999999709</v>
      </c>
      <c r="N171" s="818"/>
    </row>
    <row r="172" spans="1:14">
      <c r="G172" s="616">
        <f>SUM(G160:G171)</f>
        <v>4276.3087999999925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18.75" customHeight="1">
      <c r="N177" s="818"/>
    </row>
    <row r="178" spans="14:14" ht="18.75" customHeight="1">
      <c r="N178" s="818"/>
    </row>
    <row r="179" spans="14:14" ht="18" customHeight="1">
      <c r="N179" s="818"/>
    </row>
    <row r="180" spans="14:14" ht="18.75" customHeight="1">
      <c r="N180" s="818"/>
    </row>
    <row r="181" spans="14:14" ht="18.75" customHeight="1">
      <c r="N181" s="818"/>
    </row>
    <row r="182" spans="14:14" ht="18" customHeight="1">
      <c r="N182" s="818"/>
    </row>
    <row r="183" spans="14:14" ht="18" customHeight="1">
      <c r="N183" s="818"/>
    </row>
    <row r="184" spans="14:14" ht="18" customHeight="1">
      <c r="N184" s="818"/>
    </row>
    <row r="185" spans="14:14" ht="18" customHeight="1">
      <c r="N185" s="818"/>
    </row>
    <row r="186" spans="14:14" ht="18" customHeight="1">
      <c r="N186" s="818"/>
    </row>
    <row r="187" spans="14:14" ht="18" customHeight="1">
      <c r="N187" s="818"/>
    </row>
    <row r="188" spans="14:14" ht="18" customHeight="1">
      <c r="N188" s="818"/>
    </row>
    <row r="189" spans="14:14" ht="18.75" customHeight="1">
      <c r="N189" s="818"/>
    </row>
    <row r="190" spans="14:14" ht="18.75" customHeight="1">
      <c r="N190" s="818"/>
    </row>
    <row r="191" spans="14:14" ht="18.75" customHeight="1">
      <c r="N191" s="818"/>
    </row>
    <row r="192" spans="14:14" ht="18.75" customHeight="1">
      <c r="N192" s="818"/>
    </row>
    <row r="193" spans="14:14" ht="18.75" customHeight="1">
      <c r="N193" s="818"/>
    </row>
    <row r="194" spans="14:14" ht="18.75" customHeight="1">
      <c r="N194" s="818"/>
    </row>
    <row r="195" spans="14:14" ht="18.75" customHeight="1">
      <c r="N195" s="818"/>
    </row>
    <row r="196" spans="14:14" ht="18.75" customHeight="1">
      <c r="N196" s="818"/>
    </row>
    <row r="197" spans="14:14" ht="18.75" customHeight="1">
      <c r="N197" s="818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6:C146"/>
    <mergeCell ref="A142:C142"/>
    <mergeCell ref="A143:C143"/>
    <mergeCell ref="A144:C144"/>
    <mergeCell ref="A145:C145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9:C79"/>
    <mergeCell ref="A80:C80"/>
    <mergeCell ref="A81:C81"/>
    <mergeCell ref="A82:C82"/>
    <mergeCell ref="A83:C83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151" zoomScale="55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823"/>
    <col min="16" max="16384" width="22.33203125" style="407"/>
  </cols>
  <sheetData>
    <row r="1" spans="1:16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6" s="281" customFormat="1" ht="27">
      <c r="A2" s="652" t="s">
        <v>287</v>
      </c>
      <c r="B2" s="1139">
        <v>44209</v>
      </c>
      <c r="C2" s="1254" t="s">
        <v>69</v>
      </c>
      <c r="D2" s="688">
        <v>0.71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824"/>
    </row>
    <row r="3" spans="1:16" s="281" customFormat="1" ht="27">
      <c r="A3" s="647"/>
      <c r="B3" s="691"/>
      <c r="C3" s="1254" t="s">
        <v>131</v>
      </c>
      <c r="D3" s="689">
        <v>26</v>
      </c>
      <c r="E3" s="1408" t="s">
        <v>132</v>
      </c>
      <c r="F3" s="1409"/>
      <c r="G3" s="538"/>
      <c r="H3" s="539"/>
      <c r="I3" s="539"/>
      <c r="J3" s="692"/>
      <c r="K3" s="402"/>
      <c r="L3" s="293"/>
      <c r="N3" s="817"/>
      <c r="O3" s="824"/>
    </row>
    <row r="4" spans="1:16" s="281" customFormat="1" ht="27">
      <c r="A4" s="653"/>
      <c r="B4" s="693"/>
      <c r="C4" s="1254" t="s">
        <v>133</v>
      </c>
      <c r="D4" s="688">
        <v>0.74</v>
      </c>
      <c r="E4" s="540"/>
      <c r="F4" s="540"/>
      <c r="G4" s="540"/>
      <c r="H4" s="540"/>
      <c r="I4" s="541"/>
      <c r="J4" s="692"/>
      <c r="K4" s="403"/>
      <c r="L4" s="293"/>
      <c r="N4" s="817"/>
      <c r="O4" s="824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2" t="s">
        <v>141</v>
      </c>
      <c r="B6" s="1403"/>
      <c r="C6" s="1404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'12'!F7</f>
        <v>3515943</v>
      </c>
      <c r="F7" s="531">
        <v>3536793</v>
      </c>
      <c r="G7" s="759">
        <f>F7-E7</f>
        <v>20850</v>
      </c>
      <c r="H7" s="760">
        <f>G7+'12'!H7</f>
        <v>250353</v>
      </c>
      <c r="I7" s="761">
        <f>'1'!I7</f>
        <v>12000</v>
      </c>
      <c r="J7" s="762">
        <f>H7/DAY(B2)</f>
        <v>19257.923076923078</v>
      </c>
      <c r="K7" s="626"/>
      <c r="L7" s="408"/>
      <c r="N7" s="829">
        <f>G7/G8</f>
        <v>0.99679686379499932</v>
      </c>
      <c r="O7" s="825">
        <f>F7+200</f>
        <v>3536993</v>
      </c>
      <c r="P7" s="828"/>
    </row>
    <row r="8" spans="1:16" ht="27.75" thickBot="1">
      <c r="A8" s="763" t="s">
        <v>144</v>
      </c>
      <c r="B8" s="764"/>
      <c r="C8" s="765"/>
      <c r="D8" s="766" t="s">
        <v>25</v>
      </c>
      <c r="E8" s="710">
        <f>'12'!F8</f>
        <v>3538080</v>
      </c>
      <c r="F8" s="551">
        <v>3558997</v>
      </c>
      <c r="G8" s="770">
        <f>F8-E8</f>
        <v>20917</v>
      </c>
      <c r="H8" s="760">
        <f>G8+'12'!H8</f>
        <v>252625</v>
      </c>
      <c r="I8" s="767">
        <f>'1'!I8</f>
        <v>12000</v>
      </c>
      <c r="J8" s="762">
        <f>H8/DAY(B2)</f>
        <v>19432.692307692309</v>
      </c>
      <c r="K8" s="626"/>
      <c r="L8" s="464"/>
      <c r="M8" s="479"/>
      <c r="N8" s="818"/>
      <c r="O8" s="825">
        <f>F8+200</f>
        <v>3559197</v>
      </c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'12'!F9</f>
        <v>2436909.5</v>
      </c>
      <c r="F9" s="554">
        <v>2439931.7000000002</v>
      </c>
      <c r="G9" s="783">
        <f t="shared" ref="G9:G12" si="0">F9-E9</f>
        <v>3022.2000000001863</v>
      </c>
      <c r="H9" s="760">
        <f>G9+'12'!H9</f>
        <v>34716.700000000186</v>
      </c>
      <c r="I9" s="771">
        <f>I7-J7</f>
        <v>-7257.923076923078</v>
      </c>
      <c r="J9" s="762">
        <f>H9/DAY(B2)</f>
        <v>2670.5153846153989</v>
      </c>
      <c r="K9" s="467"/>
      <c r="L9" s="408"/>
      <c r="N9" s="818"/>
      <c r="O9" s="825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'12'!F10</f>
        <v>939812.79</v>
      </c>
      <c r="F10" s="554">
        <v>956878.07</v>
      </c>
      <c r="G10" s="770">
        <f t="shared" si="0"/>
        <v>17065.279999999912</v>
      </c>
      <c r="H10" s="760">
        <f>G10+'12'!H10</f>
        <v>206356.15999999992</v>
      </c>
      <c r="I10" s="772"/>
      <c r="J10" s="762">
        <f>H10/DAY(B2)</f>
        <v>15873.550769230762</v>
      </c>
      <c r="K10" s="467"/>
      <c r="L10" s="408"/>
      <c r="N10" s="818"/>
      <c r="O10" s="825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'12'!F11</f>
        <v>35390</v>
      </c>
      <c r="F11" s="531">
        <v>35390</v>
      </c>
      <c r="G11" s="770">
        <f t="shared" si="0"/>
        <v>0</v>
      </c>
      <c r="H11" s="760">
        <f>G11+'12'!H11</f>
        <v>0</v>
      </c>
      <c r="I11" s="772"/>
      <c r="J11" s="762">
        <f>H11/DAY(B2)</f>
        <v>0</v>
      </c>
      <c r="K11" s="467"/>
      <c r="L11" s="408"/>
      <c r="N11" s="818"/>
      <c r="O11" s="825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'12'!F12</f>
        <v>37630</v>
      </c>
      <c r="F12" s="554">
        <v>37630</v>
      </c>
      <c r="G12" s="770">
        <f t="shared" si="0"/>
        <v>0</v>
      </c>
      <c r="H12" s="760">
        <f>G12+'12'!H12</f>
        <v>0</v>
      </c>
      <c r="I12" s="772"/>
      <c r="J12" s="762">
        <f>H12/DAY(B2)</f>
        <v>0</v>
      </c>
      <c r="K12" s="467"/>
      <c r="L12" s="408"/>
      <c r="N12" s="818"/>
      <c r="O12" s="825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20087.480000000098</v>
      </c>
      <c r="H13" s="760">
        <f>G13+'12'!H13</f>
        <v>221551.8600000001</v>
      </c>
      <c r="I13" s="776">
        <f>G7-G13</f>
        <v>762.51999999990221</v>
      </c>
      <c r="J13" s="762">
        <f>H13/DAY(B2)</f>
        <v>17042.450769230778</v>
      </c>
      <c r="K13" s="467"/>
      <c r="L13" s="408"/>
      <c r="N13" s="818"/>
      <c r="O13" s="825"/>
      <c r="P13" s="413"/>
    </row>
    <row r="14" spans="1:16">
      <c r="A14" s="1405" t="s">
        <v>150</v>
      </c>
      <c r="B14" s="1406"/>
      <c r="C14" s="1407"/>
      <c r="D14" s="548"/>
      <c r="E14" s="548"/>
      <c r="F14" s="548"/>
      <c r="G14" s="559"/>
      <c r="H14" s="548"/>
      <c r="I14" s="548"/>
      <c r="J14" s="628"/>
      <c r="K14" s="468"/>
      <c r="L14" s="408"/>
      <c r="N14" s="818"/>
      <c r="O14" s="825"/>
      <c r="P14" s="413"/>
    </row>
    <row r="15" spans="1:16">
      <c r="A15" s="897" t="s">
        <v>151</v>
      </c>
      <c r="B15" s="898"/>
      <c r="C15" s="898"/>
      <c r="D15" s="600" t="s">
        <v>152</v>
      </c>
      <c r="E15" s="561">
        <f>'12'!F15</f>
        <v>1578006.956</v>
      </c>
      <c r="F15" s="561">
        <v>1578909.4790000001</v>
      </c>
      <c r="G15" s="745">
        <f>(F15-E15)</f>
        <v>902.5230000000447</v>
      </c>
      <c r="H15" s="562">
        <f>G15+'12'!H15</f>
        <v>9995.3789999999572</v>
      </c>
      <c r="I15" s="550">
        <v>800</v>
      </c>
      <c r="J15" s="630">
        <f>H15/DAY(B2)</f>
        <v>768.87530769230443</v>
      </c>
      <c r="K15" s="467"/>
      <c r="L15" s="408"/>
      <c r="N15" s="818"/>
      <c r="O15" s="825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31.124692307695568</v>
      </c>
      <c r="J16" s="630"/>
      <c r="K16" s="467"/>
      <c r="L16" s="408"/>
      <c r="N16" s="818"/>
      <c r="O16" s="825"/>
      <c r="P16" s="413"/>
    </row>
    <row r="17" spans="1:16">
      <c r="A17" s="1405" t="s">
        <v>153</v>
      </c>
      <c r="B17" s="1406"/>
      <c r="C17" s="1407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5"/>
      <c r="P17" s="413"/>
    </row>
    <row r="18" spans="1:16" ht="27.75">
      <c r="A18" s="1431" t="s">
        <v>154</v>
      </c>
      <c r="B18" s="1432"/>
      <c r="C18" s="1433"/>
      <c r="D18" s="715" t="s">
        <v>155</v>
      </c>
      <c r="E18" s="712">
        <f>'12'!F18</f>
        <v>10</v>
      </c>
      <c r="F18" s="554">
        <v>12</v>
      </c>
      <c r="G18" s="775">
        <f>F18*10</f>
        <v>120</v>
      </c>
      <c r="H18" s="760">
        <f>G18+'12'!H18</f>
        <v>1370</v>
      </c>
      <c r="I18" s="761">
        <f>'1'!I18</f>
        <v>65</v>
      </c>
      <c r="J18" s="762">
        <f>H18/DAY(B2)</f>
        <v>105.38461538461539</v>
      </c>
      <c r="K18" s="467"/>
      <c r="L18" s="408"/>
      <c r="N18" s="818"/>
      <c r="O18" s="825"/>
      <c r="P18" s="413"/>
    </row>
    <row r="19" spans="1:16" ht="27.75">
      <c r="A19" s="1431" t="s">
        <v>71</v>
      </c>
      <c r="B19" s="1432"/>
      <c r="C19" s="1433"/>
      <c r="D19" s="715" t="s">
        <v>155</v>
      </c>
      <c r="E19" s="712">
        <f>'12'!F19</f>
        <v>132079</v>
      </c>
      <c r="F19" s="554">
        <v>132133</v>
      </c>
      <c r="G19" s="770">
        <f t="shared" ref="G19" si="1">F19-E19</f>
        <v>54</v>
      </c>
      <c r="H19" s="760">
        <f>G19+'12'!H19</f>
        <v>640</v>
      </c>
      <c r="I19" s="777"/>
      <c r="J19" s="762">
        <f>H19/DAY(B2)</f>
        <v>49.230769230769234</v>
      </c>
      <c r="K19" s="467"/>
      <c r="L19" s="408"/>
      <c r="N19" s="818"/>
      <c r="O19" s="825"/>
      <c r="P19" s="413"/>
    </row>
    <row r="20" spans="1:16">
      <c r="A20" s="773" t="s">
        <v>156</v>
      </c>
      <c r="B20" s="774"/>
      <c r="C20" s="774"/>
      <c r="D20" s="715"/>
      <c r="E20" s="715"/>
      <c r="F20" s="809"/>
      <c r="G20" s="778">
        <f>G18+G19</f>
        <v>174</v>
      </c>
      <c r="H20" s="760">
        <f>G20+'12'!H20</f>
        <v>2010</v>
      </c>
      <c r="I20" s="779">
        <f>I18-J20</f>
        <v>-89.615384615384613</v>
      </c>
      <c r="J20" s="762">
        <f>H20/DAY(B2)</f>
        <v>154.61538461538461</v>
      </c>
      <c r="K20" s="467"/>
      <c r="L20" s="408"/>
      <c r="N20" s="818"/>
      <c r="O20" s="825"/>
      <c r="P20" s="413"/>
    </row>
    <row r="21" spans="1:16">
      <c r="A21" s="1405" t="s">
        <v>157</v>
      </c>
      <c r="B21" s="1406"/>
      <c r="C21" s="1407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5"/>
      <c r="P21" s="413"/>
    </row>
    <row r="22" spans="1:16">
      <c r="A22" s="1252" t="s">
        <v>158</v>
      </c>
      <c r="B22" s="666"/>
      <c r="C22" s="666"/>
      <c r="D22" s="599" t="s">
        <v>159</v>
      </c>
      <c r="E22" s="712">
        <f>'7'!F22</f>
        <v>2250</v>
      </c>
      <c r="F22" s="554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818"/>
      <c r="O22" s="825"/>
      <c r="P22" s="413"/>
    </row>
    <row r="23" spans="1:16">
      <c r="A23" s="1252" t="s">
        <v>160</v>
      </c>
      <c r="B23" s="666"/>
      <c r="C23" s="666"/>
      <c r="D23" s="599" t="s">
        <v>159</v>
      </c>
      <c r="E23" s="712">
        <f>'7'!F23</f>
        <v>2000</v>
      </c>
      <c r="F23" s="554">
        <v>2000</v>
      </c>
      <c r="G23" s="557">
        <v>0</v>
      </c>
      <c r="H23" s="536">
        <f>G23+'12'!H23</f>
        <v>0</v>
      </c>
      <c r="I23" s="556"/>
      <c r="J23" s="629">
        <f>H23/DAY(B2)</f>
        <v>0</v>
      </c>
      <c r="K23" s="467"/>
      <c r="L23" s="408"/>
      <c r="N23" s="818"/>
      <c r="O23" s="825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'7'!F24</f>
        <v>4250</v>
      </c>
      <c r="F24" s="561">
        <v>4250</v>
      </c>
      <c r="G24" s="557">
        <v>0</v>
      </c>
      <c r="H24" s="536">
        <f>G24+'12'!H24</f>
        <v>0</v>
      </c>
      <c r="I24" s="556"/>
      <c r="J24" s="629">
        <f>H24/DAY(B2)</f>
        <v>0</v>
      </c>
      <c r="K24" s="467"/>
      <c r="L24" s="408"/>
      <c r="N24" s="818"/>
      <c r="O24" s="825"/>
      <c r="P24" s="413"/>
    </row>
    <row r="25" spans="1:16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5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5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20917</v>
      </c>
      <c r="F27" s="577">
        <v>9</v>
      </c>
      <c r="G27" s="578">
        <f>E27*F27</f>
        <v>188253</v>
      </c>
      <c r="H27" s="536">
        <f>G27+'12'!H27</f>
        <v>2291700</v>
      </c>
      <c r="I27" s="579"/>
      <c r="J27" s="629">
        <f>H27/DAY(B2)</f>
        <v>176284.61538461538</v>
      </c>
      <c r="K27" s="404"/>
      <c r="L27" s="484"/>
      <c r="N27" s="818"/>
      <c r="O27" s="825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902.5230000000447</v>
      </c>
      <c r="F28" s="577">
        <v>41</v>
      </c>
      <c r="G28" s="578">
        <f>E28*F28</f>
        <v>37003.443000001833</v>
      </c>
      <c r="H28" s="536">
        <f>G28+'12'!H28</f>
        <v>408569.17899999826</v>
      </c>
      <c r="I28" s="581"/>
      <c r="J28" s="629">
        <f>H28/DAY(B2)</f>
        <v>31428.398384615251</v>
      </c>
      <c r="K28" s="404"/>
      <c r="L28" s="484"/>
      <c r="N28" s="818"/>
      <c r="O28" s="825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G29+'12'!H29</f>
        <v>0</v>
      </c>
      <c r="I29" s="581"/>
      <c r="J29" s="629">
        <f>H29/DAY(B2)</f>
        <v>0</v>
      </c>
      <c r="K29" s="404"/>
      <c r="L29" s="484"/>
      <c r="N29" s="818"/>
      <c r="O29" s="825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54</v>
      </c>
      <c r="F30" s="577">
        <v>134</v>
      </c>
      <c r="G30" s="578">
        <f>E30*F30</f>
        <v>7236</v>
      </c>
      <c r="H30" s="536">
        <f>G30+'12'!H30</f>
        <v>85760</v>
      </c>
      <c r="I30" s="581"/>
      <c r="J30" s="629">
        <f>H30/DAY(B2)</f>
        <v>6596.9230769230771</v>
      </c>
      <c r="K30" s="404"/>
      <c r="L30" s="484"/>
      <c r="N30" s="818"/>
      <c r="O30" s="825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G31+'12'!H31</f>
        <v>109600</v>
      </c>
      <c r="I31" s="581"/>
      <c r="J31" s="629"/>
      <c r="K31" s="404"/>
      <c r="L31" s="484"/>
      <c r="N31" s="818"/>
      <c r="O31" s="825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242092.44300000183</v>
      </c>
      <c r="H32" s="536">
        <f>G32+'12'!H32</f>
        <v>2895629.1789999986</v>
      </c>
      <c r="I32" s="585"/>
      <c r="J32" s="629">
        <f>H32/DAY(B2)</f>
        <v>222740.70607692297</v>
      </c>
      <c r="K32" s="404"/>
      <c r="L32" s="484"/>
      <c r="N32" s="818"/>
      <c r="O32" s="825"/>
      <c r="P32" s="413"/>
    </row>
    <row r="33" spans="1:16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818"/>
      <c r="O33" s="825"/>
      <c r="P33" s="413"/>
    </row>
    <row r="34" spans="1:16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5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'12'!F35</f>
        <v>629027.67000000004</v>
      </c>
      <c r="F35" s="586">
        <v>629027.67000000004</v>
      </c>
      <c r="G35" s="549">
        <f t="shared" ref="G35:G46" si="3">F35-E35</f>
        <v>0</v>
      </c>
      <c r="H35" s="536">
        <f>G35+'12'!H35</f>
        <v>0.67000000004190952</v>
      </c>
      <c r="I35" s="531"/>
      <c r="J35" s="629">
        <f>H35/DAY(B2)</f>
        <v>5.153846154168535E-2</v>
      </c>
      <c r="K35" s="467"/>
      <c r="L35" s="408"/>
      <c r="N35" s="818"/>
      <c r="O35" s="826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'12'!F36</f>
        <v>263376.95</v>
      </c>
      <c r="F36" s="586">
        <v>264074.90999999997</v>
      </c>
      <c r="G36" s="549">
        <f t="shared" si="3"/>
        <v>697.95999999996275</v>
      </c>
      <c r="H36" s="536">
        <f>G36+'12'!H36</f>
        <v>8983.8399999999674</v>
      </c>
      <c r="I36" s="531"/>
      <c r="J36" s="629">
        <f>H36/DAY(B2)</f>
        <v>691.06461538461292</v>
      </c>
      <c r="K36" s="467"/>
      <c r="L36" s="408"/>
      <c r="N36" s="819"/>
      <c r="O36" s="826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'12'!F37</f>
        <v>415066</v>
      </c>
      <c r="F37" s="586">
        <v>415066</v>
      </c>
      <c r="G37" s="549">
        <f t="shared" si="3"/>
        <v>0</v>
      </c>
      <c r="H37" s="536">
        <f>G37+'12'!H37</f>
        <v>0</v>
      </c>
      <c r="I37" s="531"/>
      <c r="J37" s="629">
        <f>H37/DAY(B2)</f>
        <v>0</v>
      </c>
      <c r="K37" s="467"/>
      <c r="L37" s="408"/>
      <c r="N37" s="819"/>
      <c r="O37" s="826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'12'!F38</f>
        <v>150714</v>
      </c>
      <c r="F38" s="545">
        <v>150714</v>
      </c>
      <c r="G38" s="549">
        <f t="shared" si="3"/>
        <v>0</v>
      </c>
      <c r="H38" s="536">
        <f>G38+'12'!H38</f>
        <v>0</v>
      </c>
      <c r="I38" s="531"/>
      <c r="J38" s="629">
        <f>H38/DAY(B2)</f>
        <v>0</v>
      </c>
      <c r="K38" s="467"/>
      <c r="L38" s="408"/>
      <c r="N38" s="818"/>
      <c r="O38" s="825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'12'!F39</f>
        <v>912480</v>
      </c>
      <c r="F39" s="586">
        <v>912480</v>
      </c>
      <c r="G39" s="549">
        <f t="shared" si="3"/>
        <v>0</v>
      </c>
      <c r="H39" s="536">
        <f>G39+'12'!H39</f>
        <v>0</v>
      </c>
      <c r="I39" s="531"/>
      <c r="J39" s="629">
        <f>H39/DAY(B2)</f>
        <v>0</v>
      </c>
      <c r="K39" s="467"/>
      <c r="L39" s="408"/>
      <c r="N39" s="818"/>
      <c r="O39" s="826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'12'!F40</f>
        <v>0.17</v>
      </c>
      <c r="F40" s="586">
        <v>0.17</v>
      </c>
      <c r="G40" s="549">
        <f t="shared" si="3"/>
        <v>0</v>
      </c>
      <c r="H40" s="536">
        <f>G40+'12'!H40</f>
        <v>0</v>
      </c>
      <c r="I40" s="531"/>
      <c r="J40" s="629">
        <f>H40/DAY(B2)</f>
        <v>0</v>
      </c>
      <c r="K40" s="468"/>
      <c r="L40" s="408"/>
      <c r="N40" s="818"/>
      <c r="O40" s="825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'12'!F41</f>
        <v>300127.90000000002</v>
      </c>
      <c r="F41" s="586">
        <v>300127.95</v>
      </c>
      <c r="G41" s="549">
        <f t="shared" si="3"/>
        <v>4.9999999988358468E-2</v>
      </c>
      <c r="H41" s="536">
        <f>G41+'12'!H41</f>
        <v>0</v>
      </c>
      <c r="I41" s="531"/>
      <c r="J41" s="629">
        <f>H41/DAY(B2)</f>
        <v>0</v>
      </c>
      <c r="K41" s="467"/>
      <c r="L41" s="408"/>
      <c r="N41" s="818"/>
      <c r="O41" s="827"/>
      <c r="P41" s="821"/>
    </row>
    <row r="42" spans="1:16">
      <c r="A42" s="655" t="s">
        <v>182</v>
      </c>
      <c r="B42" s="656"/>
      <c r="C42" s="656"/>
      <c r="D42" s="599" t="s">
        <v>143</v>
      </c>
      <c r="E42" s="586">
        <f>'12'!F42</f>
        <v>58926.099000000002</v>
      </c>
      <c r="F42" s="586">
        <v>58926.099000000002</v>
      </c>
      <c r="G42" s="549">
        <f t="shared" si="3"/>
        <v>0</v>
      </c>
      <c r="H42" s="536">
        <f>G42+'12'!H42</f>
        <v>9.0000000054715201E-3</v>
      </c>
      <c r="I42" s="531"/>
      <c r="J42" s="629">
        <f>H42/DAY(B2)</f>
        <v>6.9230769272857846E-4</v>
      </c>
      <c r="K42" s="467"/>
      <c r="L42" s="408"/>
      <c r="N42" s="818"/>
      <c r="O42" s="825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'12'!F43</f>
        <v>722979.51</v>
      </c>
      <c r="F43" s="586">
        <v>725433.83</v>
      </c>
      <c r="G43" s="549">
        <f t="shared" si="3"/>
        <v>2454.3199999999488</v>
      </c>
      <c r="H43" s="536">
        <f>G43+'12'!H43</f>
        <v>27180.399999999907</v>
      </c>
      <c r="I43" s="531"/>
      <c r="J43" s="629">
        <f>H43/DAY(B2)</f>
        <v>2090.7999999999929</v>
      </c>
      <c r="K43" s="467"/>
      <c r="L43" s="408"/>
      <c r="N43" s="818"/>
      <c r="O43" s="826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'12'!F44</f>
        <v>0</v>
      </c>
      <c r="F44" s="586">
        <v>0</v>
      </c>
      <c r="G44" s="549">
        <f t="shared" si="3"/>
        <v>0</v>
      </c>
      <c r="H44" s="536">
        <f>G44+'12'!H44</f>
        <v>0</v>
      </c>
      <c r="I44" s="531"/>
      <c r="J44" s="629">
        <f>H44/DAY(B2)</f>
        <v>0</v>
      </c>
      <c r="K44" s="467"/>
      <c r="L44" s="408"/>
      <c r="N44" s="818"/>
      <c r="O44" s="825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'12'!F45</f>
        <v>614</v>
      </c>
      <c r="F45" s="586">
        <v>614</v>
      </c>
      <c r="G45" s="549">
        <f t="shared" si="3"/>
        <v>0</v>
      </c>
      <c r="H45" s="536">
        <f>G45+'12'!H45</f>
        <v>-0.48000000000001819</v>
      </c>
      <c r="I45" s="531"/>
      <c r="J45" s="629">
        <f>H45/DAY(B2)</f>
        <v>-3.6923076923078321E-2</v>
      </c>
      <c r="K45" s="467"/>
      <c r="L45" s="408"/>
      <c r="N45" s="822"/>
      <c r="O45" s="825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'12'!F46</f>
        <v>187.49</v>
      </c>
      <c r="F46" s="586">
        <v>187.49</v>
      </c>
      <c r="G46" s="549">
        <f t="shared" si="3"/>
        <v>0</v>
      </c>
      <c r="H46" s="536">
        <f>G46+'12'!H46</f>
        <v>0</v>
      </c>
      <c r="I46" s="531"/>
      <c r="J46" s="629">
        <f>H46/DAY(B2)</f>
        <v>0</v>
      </c>
      <c r="K46" s="467"/>
      <c r="L46" s="408"/>
      <c r="N46" s="818"/>
      <c r="O46" s="825"/>
      <c r="P46" s="413"/>
    </row>
    <row r="47" spans="1:16">
      <c r="A47" s="662" t="s">
        <v>187</v>
      </c>
      <c r="B47" s="663"/>
      <c r="C47" s="663"/>
      <c r="D47" s="546"/>
      <c r="E47" s="587"/>
      <c r="F47" s="587" t="s">
        <v>280</v>
      </c>
      <c r="G47" s="557">
        <f>G35+G36+G37+G38+G39+G40+G41+G42+G43+G44+G45+G46</f>
        <v>3152.3299999998999</v>
      </c>
      <c r="H47" s="536">
        <f>G47+'12'!H47</f>
        <v>36164.438999999918</v>
      </c>
      <c r="I47" s="531"/>
      <c r="J47" s="629">
        <f>H47/DAY(B2)</f>
        <v>2781.8799230769168</v>
      </c>
      <c r="K47" s="467"/>
      <c r="L47" s="408"/>
      <c r="N47" s="818"/>
      <c r="O47" s="825"/>
      <c r="P47" s="413"/>
    </row>
    <row r="48" spans="1:16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5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'12'!F49</f>
        <v>184037.35</v>
      </c>
      <c r="F49" s="586">
        <v>187649.59</v>
      </c>
      <c r="G49" s="549">
        <f t="shared" ref="G49:G58" si="4">F49-E49</f>
        <v>3612.2399999999907</v>
      </c>
      <c r="H49" s="536">
        <f>G49+'12'!H49</f>
        <v>35244.589999999997</v>
      </c>
      <c r="I49" s="531"/>
      <c r="J49" s="629">
        <f>H49/DAY(B2)</f>
        <v>2711.1223076923075</v>
      </c>
      <c r="K49" s="467"/>
      <c r="L49" s="408"/>
      <c r="N49" s="818"/>
      <c r="O49" s="825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'12'!F50</f>
        <v>347476.43</v>
      </c>
      <c r="F50" s="586">
        <v>348549.67</v>
      </c>
      <c r="G50" s="549">
        <f t="shared" si="4"/>
        <v>1073.2399999999907</v>
      </c>
      <c r="H50" s="536">
        <f>G50+'12'!H50</f>
        <v>12332.239999999991</v>
      </c>
      <c r="I50" s="531"/>
      <c r="J50" s="629">
        <f>H50/DAY(B2)</f>
        <v>948.63384615384541</v>
      </c>
      <c r="K50" s="467"/>
      <c r="L50" s="408"/>
      <c r="N50" s="818"/>
      <c r="O50" s="826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'12'!F51</f>
        <v>81866.167000000001</v>
      </c>
      <c r="F51" s="586">
        <v>83358.75</v>
      </c>
      <c r="G51" s="549">
        <f t="shared" si="4"/>
        <v>1492.5829999999987</v>
      </c>
      <c r="H51" s="536">
        <f>G51+'12'!H51</f>
        <v>17200.64</v>
      </c>
      <c r="I51" s="531"/>
      <c r="J51" s="629">
        <f>H51/DAY(B2)</f>
        <v>1323.1261538461538</v>
      </c>
      <c r="K51" s="467"/>
      <c r="L51" s="408"/>
      <c r="N51" s="818"/>
      <c r="O51" s="825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'12'!F52</f>
        <v>457460.83</v>
      </c>
      <c r="F52" s="586">
        <v>459430.63</v>
      </c>
      <c r="G52" s="549">
        <f t="shared" si="4"/>
        <v>1969.7999999999884</v>
      </c>
      <c r="H52" s="536">
        <f>G52+'12'!H52</f>
        <v>24155</v>
      </c>
      <c r="I52" s="531"/>
      <c r="J52" s="629">
        <f>H52/DAY(B2)</f>
        <v>1858.0769230769231</v>
      </c>
      <c r="K52" s="467"/>
      <c r="L52" s="408"/>
      <c r="N52" s="818"/>
      <c r="O52" s="825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'12'!F53</f>
        <v>225220.43</v>
      </c>
      <c r="F53" s="586">
        <v>229311.25</v>
      </c>
      <c r="G53" s="549">
        <f t="shared" si="4"/>
        <v>4090.820000000007</v>
      </c>
      <c r="H53" s="536">
        <f>G53+'12'!H53</f>
        <v>48246.28</v>
      </c>
      <c r="I53" s="531"/>
      <c r="J53" s="629">
        <f>H53/DAY(B2)</f>
        <v>3711.2523076923076</v>
      </c>
      <c r="K53" s="467"/>
      <c r="L53" s="408"/>
      <c r="N53" s="818"/>
      <c r="O53" s="825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'12'!F54</f>
        <v>5295.45</v>
      </c>
      <c r="F54" s="586">
        <v>5346.1</v>
      </c>
      <c r="G54" s="549">
        <f t="shared" si="4"/>
        <v>50.650000000000546</v>
      </c>
      <c r="H54" s="536">
        <f>G54+'12'!H54</f>
        <v>699.5600000000004</v>
      </c>
      <c r="I54" s="531"/>
      <c r="J54" s="629">
        <f>H54/DAY(B2)</f>
        <v>53.812307692307726</v>
      </c>
      <c r="K54" s="467"/>
      <c r="L54" s="408"/>
      <c r="N54" s="818"/>
      <c r="O54" s="825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'12'!F55</f>
        <v>6474.17</v>
      </c>
      <c r="F55" s="734">
        <v>11362.162</v>
      </c>
      <c r="G55" s="733">
        <f t="shared" si="4"/>
        <v>4887.9920000000002</v>
      </c>
      <c r="H55" s="805">
        <f>G55+'12'!H55</f>
        <v>11361.892000000011</v>
      </c>
      <c r="I55" s="806"/>
      <c r="J55" s="807">
        <f>H55/DAY(B2)</f>
        <v>873.99169230769314</v>
      </c>
      <c r="K55" s="467"/>
      <c r="L55" s="408"/>
      <c r="N55" s="818"/>
      <c r="O55" s="825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'12'!F56</f>
        <v>557724.23</v>
      </c>
      <c r="F56" s="734">
        <v>557724.23</v>
      </c>
      <c r="G56" s="549">
        <f t="shared" si="4"/>
        <v>0</v>
      </c>
      <c r="H56" s="536">
        <f>G56+'12'!H56</f>
        <v>39823.479999999981</v>
      </c>
      <c r="I56" s="531"/>
      <c r="J56" s="629">
        <f>H56/DAY(B2)</f>
        <v>3063.3446153846139</v>
      </c>
      <c r="K56" s="466"/>
      <c r="L56" s="408"/>
      <c r="N56" s="818"/>
      <c r="O56" s="827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'12'!F57</f>
        <v>0</v>
      </c>
      <c r="F57" s="586">
        <v>0</v>
      </c>
      <c r="G57" s="549">
        <f t="shared" si="4"/>
        <v>0</v>
      </c>
      <c r="H57" s="536">
        <f>G57+'12'!H57</f>
        <v>0</v>
      </c>
      <c r="I57" s="531"/>
      <c r="J57" s="629">
        <f>H57/DAY(B2)</f>
        <v>0</v>
      </c>
      <c r="K57" s="467"/>
      <c r="L57" s="408"/>
      <c r="N57" s="818"/>
      <c r="O57" s="825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'12'!F58</f>
        <v>26965.812999999998</v>
      </c>
      <c r="F58" s="734">
        <v>27141.093000000001</v>
      </c>
      <c r="G58" s="549">
        <f t="shared" si="4"/>
        <v>175.28000000000247</v>
      </c>
      <c r="H58" s="536">
        <f>G58+'12'!H58</f>
        <v>1985.6830000000009</v>
      </c>
      <c r="I58" s="531"/>
      <c r="J58" s="629">
        <f>H58/DAY(B2)</f>
        <v>152.74484615384623</v>
      </c>
      <c r="K58" s="467"/>
      <c r="L58" s="408"/>
      <c r="N58" s="818"/>
      <c r="O58" s="825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17352.604999999978</v>
      </c>
      <c r="H59" s="536">
        <f>G59+'12'!H59</f>
        <v>191049.36499999999</v>
      </c>
      <c r="I59" s="531">
        <f>G7-G60</f>
        <v>345.06500000012238</v>
      </c>
      <c r="J59" s="629">
        <f>H59/DAY(B2)</f>
        <v>14696.105</v>
      </c>
      <c r="K59" s="467"/>
      <c r="L59" s="408"/>
      <c r="N59" s="818"/>
      <c r="O59" s="825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20504.934999999878</v>
      </c>
      <c r="H60" s="536">
        <f>G60+'12'!H60</f>
        <v>244247.80399999992</v>
      </c>
      <c r="I60" s="531">
        <f>G13-G60</f>
        <v>-417.45499999977983</v>
      </c>
      <c r="J60" s="629">
        <f>H60/DAY(B2)</f>
        <v>18788.292615384609</v>
      </c>
      <c r="K60" s="467"/>
      <c r="L60" s="408"/>
      <c r="N60" s="818"/>
      <c r="O60" s="825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5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'12'!F62</f>
        <v>20419</v>
      </c>
      <c r="F62" s="590">
        <v>20419.18</v>
      </c>
      <c r="G62" s="549">
        <f t="shared" ref="G62:G70" si="5">F62-E62</f>
        <v>0.18000000000029104</v>
      </c>
      <c r="H62" s="536">
        <f>G62+'12'!H62</f>
        <v>0</v>
      </c>
      <c r="I62" s="591"/>
      <c r="J62" s="629">
        <f>H62/DAY(B2)</f>
        <v>0</v>
      </c>
      <c r="K62" s="467"/>
      <c r="L62" s="408"/>
      <c r="N62" s="818"/>
      <c r="O62" s="825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'12'!F63</f>
        <v>1159.05</v>
      </c>
      <c r="F63" s="590">
        <v>1163.4000000000001</v>
      </c>
      <c r="G63" s="549">
        <f t="shared" si="5"/>
        <v>4.3500000000001364</v>
      </c>
      <c r="H63" s="536">
        <f>G63+'12'!H63</f>
        <v>55.490000000000009</v>
      </c>
      <c r="I63" s="591"/>
      <c r="J63" s="629">
        <f>H63/DAY(B2)</f>
        <v>4.2684615384615388</v>
      </c>
      <c r="K63" s="467"/>
      <c r="L63" s="408"/>
      <c r="N63" s="818"/>
      <c r="O63" s="825"/>
      <c r="P63" s="413"/>
    </row>
    <row r="64" spans="1:16" ht="27.75">
      <c r="A64" s="1367" t="s">
        <v>107</v>
      </c>
      <c r="B64" s="1368"/>
      <c r="C64" s="1369"/>
      <c r="D64" s="599" t="s">
        <v>198</v>
      </c>
      <c r="E64" s="590">
        <f>'12'!F64</f>
        <v>103124.14</v>
      </c>
      <c r="F64" s="554">
        <v>103534.41</v>
      </c>
      <c r="G64" s="549">
        <f t="shared" si="5"/>
        <v>410.27000000000407</v>
      </c>
      <c r="H64" s="536">
        <f>G64+'12'!H64</f>
        <v>5111.0100000000093</v>
      </c>
      <c r="I64" s="556"/>
      <c r="J64" s="629">
        <f>H64/DAY(B2)</f>
        <v>393.15461538461608</v>
      </c>
      <c r="K64" s="467"/>
      <c r="L64" s="408"/>
      <c r="N64" s="818"/>
      <c r="O64" s="825"/>
      <c r="P64" s="413"/>
    </row>
    <row r="65" spans="1:16" ht="27.75">
      <c r="A65" s="1367" t="s">
        <v>108</v>
      </c>
      <c r="B65" s="1368"/>
      <c r="C65" s="1369"/>
      <c r="D65" s="599" t="s">
        <v>198</v>
      </c>
      <c r="E65" s="590">
        <f>'12'!F65</f>
        <v>113863.78</v>
      </c>
      <c r="F65" s="732">
        <v>114295.34</v>
      </c>
      <c r="G65" s="549">
        <f t="shared" si="5"/>
        <v>431.55999999999767</v>
      </c>
      <c r="H65" s="536">
        <f>G65+'12'!H65</f>
        <v>5251.2200000000012</v>
      </c>
      <c r="I65" s="565"/>
      <c r="J65" s="629">
        <f>H65/DAY(B2)</f>
        <v>403.94000000000011</v>
      </c>
      <c r="K65" s="467"/>
      <c r="L65" s="408"/>
      <c r="N65" s="818"/>
      <c r="O65" s="826"/>
      <c r="P65" s="413"/>
    </row>
    <row r="66" spans="1:16" ht="27.75">
      <c r="A66" s="1367" t="s">
        <v>109</v>
      </c>
      <c r="B66" s="1368"/>
      <c r="C66" s="1369"/>
      <c r="D66" s="599" t="s">
        <v>198</v>
      </c>
      <c r="E66" s="590">
        <f>'12'!F66</f>
        <v>6905.02</v>
      </c>
      <c r="F66" s="554">
        <v>7273.22</v>
      </c>
      <c r="G66" s="549">
        <f t="shared" si="5"/>
        <v>368.19999999999982</v>
      </c>
      <c r="H66" s="536">
        <f>G66+'12'!H66</f>
        <v>4851.13</v>
      </c>
      <c r="I66" s="556"/>
      <c r="J66" s="629">
        <f>H66/DAY(B2)</f>
        <v>373.16384615384618</v>
      </c>
      <c r="K66" s="467"/>
      <c r="L66" s="408"/>
      <c r="N66" s="818"/>
      <c r="O66" s="825"/>
      <c r="P66" s="413"/>
    </row>
    <row r="67" spans="1:16" ht="27.75">
      <c r="A67" s="1367" t="s">
        <v>110</v>
      </c>
      <c r="B67" s="1368"/>
      <c r="C67" s="1369"/>
      <c r="D67" s="599" t="s">
        <v>198</v>
      </c>
      <c r="E67" s="590">
        <f>'12'!F67</f>
        <v>176022.07</v>
      </c>
      <c r="F67" s="554">
        <v>176677.11</v>
      </c>
      <c r="G67" s="549">
        <f t="shared" si="5"/>
        <v>655.03999999997905</v>
      </c>
      <c r="H67" s="536">
        <f>G67+'12'!H67</f>
        <v>8435.7599999999802</v>
      </c>
      <c r="I67" s="565"/>
      <c r="J67" s="629">
        <f>H67/DAY(B2)</f>
        <v>648.90461538461386</v>
      </c>
      <c r="K67" s="468"/>
      <c r="L67" s="408"/>
      <c r="N67" s="818"/>
      <c r="O67" s="825"/>
      <c r="P67" s="413"/>
    </row>
    <row r="68" spans="1:16" ht="27.75">
      <c r="A68" s="1367" t="s">
        <v>111</v>
      </c>
      <c r="B68" s="1368"/>
      <c r="C68" s="1369"/>
      <c r="D68" s="599" t="s">
        <v>198</v>
      </c>
      <c r="E68" s="590">
        <f>'12'!F68</f>
        <v>57162.77</v>
      </c>
      <c r="F68" s="554">
        <v>57498.44</v>
      </c>
      <c r="G68" s="549">
        <f t="shared" si="5"/>
        <v>335.67000000000553</v>
      </c>
      <c r="H68" s="536">
        <f>G68+'12'!H68</f>
        <v>3874.5400000000009</v>
      </c>
      <c r="I68" s="592"/>
      <c r="J68" s="629">
        <f>H68/DAY(B2)</f>
        <v>298.04153846153855</v>
      </c>
      <c r="K68" s="469"/>
      <c r="L68" s="408"/>
      <c r="N68" s="818"/>
      <c r="O68" s="825"/>
      <c r="P68" s="413"/>
    </row>
    <row r="69" spans="1:16" ht="27.75">
      <c r="A69" s="1367" t="s">
        <v>112</v>
      </c>
      <c r="B69" s="1368"/>
      <c r="C69" s="1369"/>
      <c r="D69" s="599" t="s">
        <v>198</v>
      </c>
      <c r="E69" s="590">
        <f>'12'!F69</f>
        <v>50070.18</v>
      </c>
      <c r="F69" s="554">
        <v>50367.02</v>
      </c>
      <c r="G69" s="549">
        <f t="shared" si="5"/>
        <v>296.83999999999651</v>
      </c>
      <c r="H69" s="536">
        <f>G69+'12'!H69</f>
        <v>3847.5899999999965</v>
      </c>
      <c r="I69" s="592"/>
      <c r="J69" s="629">
        <f>H69/DAY(B2)</f>
        <v>295.96846153846127</v>
      </c>
      <c r="K69" s="470"/>
      <c r="L69" s="408"/>
      <c r="N69" s="818"/>
      <c r="O69" s="825"/>
      <c r="P69" s="413"/>
    </row>
    <row r="70" spans="1:16" ht="27.75">
      <c r="A70" s="1391" t="s">
        <v>200</v>
      </c>
      <c r="B70" s="1392"/>
      <c r="C70" s="1393"/>
      <c r="D70" s="599" t="s">
        <v>198</v>
      </c>
      <c r="E70" s="594">
        <f>'12'!F70</f>
        <v>0</v>
      </c>
      <c r="F70" s="594">
        <v>0</v>
      </c>
      <c r="G70" s="594">
        <f t="shared" si="5"/>
        <v>0</v>
      </c>
      <c r="H70" s="536">
        <f>G70+'12'!H70</f>
        <v>0</v>
      </c>
      <c r="I70" s="594"/>
      <c r="J70" s="633">
        <f>H70/DAY(B2)</f>
        <v>0</v>
      </c>
      <c r="K70" s="470"/>
      <c r="L70" s="408"/>
      <c r="N70" s="818"/>
      <c r="O70" s="825"/>
      <c r="P70" s="413"/>
    </row>
    <row r="71" spans="1:16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818"/>
      <c r="O71" s="825"/>
      <c r="P71" s="413"/>
    </row>
    <row r="72" spans="1:16" ht="27.75">
      <c r="A72" s="1367" t="s">
        <v>202</v>
      </c>
      <c r="B72" s="1368"/>
      <c r="C72" s="1369"/>
      <c r="D72" s="599" t="s">
        <v>198</v>
      </c>
      <c r="E72" s="595">
        <f>'12'!F72</f>
        <v>847235</v>
      </c>
      <c r="F72" s="735">
        <v>847301</v>
      </c>
      <c r="G72" s="549">
        <f t="shared" ref="G72:G84" si="6">F72-E72</f>
        <v>66</v>
      </c>
      <c r="H72" s="536">
        <f>G72+'12'!H72</f>
        <v>901</v>
      </c>
      <c r="I72" s="556"/>
      <c r="J72" s="629">
        <f>H72/DAY(B2)</f>
        <v>69.307692307692307</v>
      </c>
      <c r="K72" s="470"/>
      <c r="L72" s="408"/>
      <c r="N72" s="818"/>
      <c r="O72" s="825"/>
      <c r="P72" s="413"/>
    </row>
    <row r="73" spans="1:16" ht="27.75">
      <c r="A73" s="1367" t="s">
        <v>203</v>
      </c>
      <c r="B73" s="1368"/>
      <c r="C73" s="1369"/>
      <c r="D73" s="599" t="s">
        <v>198</v>
      </c>
      <c r="E73" s="595">
        <f>'12'!F73</f>
        <v>885682</v>
      </c>
      <c r="F73" s="736">
        <v>885682</v>
      </c>
      <c r="G73" s="733">
        <f t="shared" si="6"/>
        <v>0</v>
      </c>
      <c r="H73" s="536">
        <f>G73+'12'!H73</f>
        <v>9</v>
      </c>
      <c r="I73" s="556"/>
      <c r="J73" s="629">
        <f>H73/DAY(B2)</f>
        <v>0.69230769230769229</v>
      </c>
      <c r="K73" s="469"/>
      <c r="L73" s="408"/>
      <c r="N73" s="818"/>
      <c r="O73" s="825"/>
      <c r="P73" s="413"/>
    </row>
    <row r="74" spans="1:16" ht="27.75">
      <c r="A74" s="1367" t="s">
        <v>204</v>
      </c>
      <c r="B74" s="1368"/>
      <c r="C74" s="1369"/>
      <c r="D74" s="599" t="s">
        <v>198</v>
      </c>
      <c r="E74" s="595">
        <f>'12'!F74</f>
        <v>881733</v>
      </c>
      <c r="F74" s="736">
        <v>881770</v>
      </c>
      <c r="G74" s="549">
        <f t="shared" si="6"/>
        <v>37</v>
      </c>
      <c r="H74" s="536">
        <f>G74+'12'!H74</f>
        <v>455</v>
      </c>
      <c r="I74" s="556"/>
      <c r="J74" s="629">
        <f>H74/DAY(B2)</f>
        <v>35</v>
      </c>
      <c r="K74" s="470"/>
      <c r="L74" s="408"/>
      <c r="N74" s="818"/>
      <c r="O74" s="825"/>
      <c r="P74" s="413"/>
    </row>
    <row r="75" spans="1:16" ht="27.75">
      <c r="A75" s="1364" t="s">
        <v>205</v>
      </c>
      <c r="B75" s="1365"/>
      <c r="C75" s="1366"/>
      <c r="D75" s="599" t="s">
        <v>198</v>
      </c>
      <c r="E75" s="595">
        <f>'12'!F75</f>
        <v>733822</v>
      </c>
      <c r="F75" s="736">
        <v>733997</v>
      </c>
      <c r="G75" s="549">
        <f t="shared" si="6"/>
        <v>175</v>
      </c>
      <c r="H75" s="536">
        <f>G75+'12'!H75</f>
        <v>2356</v>
      </c>
      <c r="I75" s="556"/>
      <c r="J75" s="629">
        <f>H75/DAY(B2)</f>
        <v>181.23076923076923</v>
      </c>
      <c r="K75" s="469"/>
      <c r="L75" s="408"/>
      <c r="N75" s="818"/>
      <c r="O75" s="825"/>
      <c r="P75" s="413"/>
    </row>
    <row r="76" spans="1:16" ht="27.75">
      <c r="A76" s="1364" t="s">
        <v>206</v>
      </c>
      <c r="B76" s="1365"/>
      <c r="C76" s="1366"/>
      <c r="D76" s="599" t="s">
        <v>198</v>
      </c>
      <c r="E76" s="595">
        <f>'12'!F76</f>
        <v>685348</v>
      </c>
      <c r="F76" s="736">
        <v>685455</v>
      </c>
      <c r="G76" s="549">
        <f t="shared" si="6"/>
        <v>107</v>
      </c>
      <c r="H76" s="536">
        <f>G76+'12'!H76</f>
        <v>1189</v>
      </c>
      <c r="I76" s="581"/>
      <c r="J76" s="629">
        <f>H76/DAY(B2)</f>
        <v>91.461538461538467</v>
      </c>
      <c r="K76" s="469"/>
      <c r="L76" s="408"/>
      <c r="N76" s="818"/>
      <c r="O76" s="825"/>
      <c r="P76" s="413"/>
    </row>
    <row r="77" spans="1:16" ht="27.75">
      <c r="A77" s="1367" t="s">
        <v>207</v>
      </c>
      <c r="B77" s="1368"/>
      <c r="C77" s="1369"/>
      <c r="D77" s="599" t="s">
        <v>198</v>
      </c>
      <c r="E77" s="595">
        <f>'12'!F77</f>
        <v>696055</v>
      </c>
      <c r="F77" s="736">
        <v>696119</v>
      </c>
      <c r="G77" s="733">
        <f t="shared" si="6"/>
        <v>64</v>
      </c>
      <c r="H77" s="536">
        <f>G77+'12'!H77</f>
        <v>725</v>
      </c>
      <c r="I77" s="581"/>
      <c r="J77" s="629">
        <f>H77/DAY(B2)</f>
        <v>55.769230769230766</v>
      </c>
      <c r="K77" s="469"/>
      <c r="L77" s="408"/>
      <c r="N77" s="818"/>
      <c r="O77" s="825"/>
      <c r="P77" s="413"/>
    </row>
    <row r="78" spans="1:16" ht="27.75">
      <c r="A78" s="1255" t="s">
        <v>208</v>
      </c>
      <c r="B78" s="1226"/>
      <c r="C78" s="1226"/>
      <c r="D78" s="599" t="s">
        <v>198</v>
      </c>
      <c r="E78" s="595">
        <f>'12'!F78</f>
        <v>634906</v>
      </c>
      <c r="F78" s="737">
        <v>635286</v>
      </c>
      <c r="G78" s="549">
        <f t="shared" si="6"/>
        <v>380</v>
      </c>
      <c r="H78" s="536">
        <f>G78+'12'!H78</f>
        <v>4513</v>
      </c>
      <c r="I78" s="581"/>
      <c r="J78" s="629">
        <f>H78/DAY(B2)</f>
        <v>347.15384615384613</v>
      </c>
      <c r="K78" s="469"/>
      <c r="L78" s="408"/>
      <c r="N78" s="818"/>
      <c r="O78" s="825"/>
      <c r="P78" s="413"/>
    </row>
    <row r="79" spans="1:16" ht="27.75">
      <c r="A79" s="1364" t="s">
        <v>97</v>
      </c>
      <c r="B79" s="1365"/>
      <c r="C79" s="1366"/>
      <c r="D79" s="600" t="s">
        <v>198</v>
      </c>
      <c r="E79" s="595">
        <f>'12'!F79</f>
        <v>806100</v>
      </c>
      <c r="F79" s="737">
        <v>806284</v>
      </c>
      <c r="G79" s="549">
        <f t="shared" si="6"/>
        <v>184</v>
      </c>
      <c r="H79" s="536">
        <f>G79+'12'!H79</f>
        <v>2441</v>
      </c>
      <c r="I79" s="581"/>
      <c r="J79" s="629">
        <f>H79/DAY(B2)</f>
        <v>187.76923076923077</v>
      </c>
      <c r="K79" s="469"/>
      <c r="L79" s="408"/>
      <c r="N79" s="818"/>
      <c r="O79" s="825"/>
      <c r="P79" s="413"/>
    </row>
    <row r="80" spans="1:16" ht="27.75">
      <c r="A80" s="1364" t="s">
        <v>209</v>
      </c>
      <c r="B80" s="1365"/>
      <c r="C80" s="1366"/>
      <c r="D80" s="600" t="s">
        <v>198</v>
      </c>
      <c r="E80" s="595">
        <f>'12'!F80</f>
        <v>479313.04</v>
      </c>
      <c r="F80" s="736">
        <v>479652.84</v>
      </c>
      <c r="G80" s="549">
        <f t="shared" si="6"/>
        <v>339.80000000004657</v>
      </c>
      <c r="H80" s="536">
        <f>G80+'12'!H80</f>
        <v>4121.8400000000256</v>
      </c>
      <c r="I80" s="581"/>
      <c r="J80" s="629">
        <f>H80/DAY(B2)</f>
        <v>317.06461538461735</v>
      </c>
      <c r="K80" s="469"/>
      <c r="L80" s="408"/>
      <c r="N80" s="818"/>
      <c r="O80" s="825"/>
      <c r="P80" s="413"/>
    </row>
    <row r="81" spans="1:16" ht="27.75">
      <c r="A81" s="1364" t="s">
        <v>210</v>
      </c>
      <c r="B81" s="1365"/>
      <c r="C81" s="1366"/>
      <c r="D81" s="600" t="s">
        <v>198</v>
      </c>
      <c r="E81" s="595">
        <f>'12'!F81</f>
        <v>620726.92000000004</v>
      </c>
      <c r="F81" s="736">
        <v>620854.52</v>
      </c>
      <c r="G81" s="549">
        <f t="shared" si="6"/>
        <v>127.59999999997672</v>
      </c>
      <c r="H81" s="536">
        <f>G81+'12'!H81</f>
        <v>1600.5200000000186</v>
      </c>
      <c r="I81" s="581"/>
      <c r="J81" s="629">
        <f>H81/DAY(B2)</f>
        <v>123.11692307692451</v>
      </c>
      <c r="K81" s="469"/>
      <c r="L81" s="408"/>
      <c r="N81" s="818"/>
      <c r="O81" s="825"/>
      <c r="P81" s="413"/>
    </row>
    <row r="82" spans="1:16" ht="27.75">
      <c r="A82" s="1364" t="s">
        <v>100</v>
      </c>
      <c r="B82" s="1365"/>
      <c r="C82" s="1366"/>
      <c r="D82" s="561" t="s">
        <v>143</v>
      </c>
      <c r="E82" s="595">
        <f>'12'!F82</f>
        <v>104713.95</v>
      </c>
      <c r="F82" s="732">
        <v>104741.89</v>
      </c>
      <c r="G82" s="549">
        <f t="shared" si="6"/>
        <v>27.940000000002328</v>
      </c>
      <c r="H82" s="536">
        <f>G82+'12'!H82</f>
        <v>303.88999999999942</v>
      </c>
      <c r="I82" s="562"/>
      <c r="J82" s="629">
        <f>H82/DAY(B2)</f>
        <v>23.376153846153802</v>
      </c>
      <c r="K82" s="469"/>
      <c r="L82" s="408"/>
      <c r="N82" s="818"/>
      <c r="O82" s="825"/>
      <c r="P82" s="413"/>
    </row>
    <row r="83" spans="1:16" ht="27.75">
      <c r="A83" s="1364" t="s">
        <v>211</v>
      </c>
      <c r="B83" s="1365"/>
      <c r="C83" s="1366"/>
      <c r="D83" s="697" t="s">
        <v>143</v>
      </c>
      <c r="E83" s="595">
        <f>'12'!F83</f>
        <v>977656</v>
      </c>
      <c r="F83" s="587">
        <v>978035</v>
      </c>
      <c r="G83" s="549">
        <f t="shared" si="6"/>
        <v>379</v>
      </c>
      <c r="H83" s="536">
        <f>G83+'12'!H83</f>
        <v>4564</v>
      </c>
      <c r="I83" s="557"/>
      <c r="J83" s="629">
        <f>H83/DAY(B2)</f>
        <v>351.07692307692309</v>
      </c>
      <c r="K83" s="468"/>
      <c r="L83" s="408"/>
      <c r="N83" s="818"/>
      <c r="O83" s="825"/>
      <c r="P83" s="413"/>
    </row>
    <row r="84" spans="1:16">
      <c r="A84" s="1256" t="s">
        <v>212</v>
      </c>
      <c r="B84" s="648"/>
      <c r="C84" s="648"/>
      <c r="D84" s="554" t="s">
        <v>143</v>
      </c>
      <c r="E84" s="595">
        <f>'12'!F84</f>
        <v>403763</v>
      </c>
      <c r="F84" s="704">
        <v>404635</v>
      </c>
      <c r="G84" s="549">
        <f t="shared" si="6"/>
        <v>872</v>
      </c>
      <c r="H84" s="536">
        <f>G84+'12'!H84</f>
        <v>7439</v>
      </c>
      <c r="I84" s="557"/>
      <c r="J84" s="629">
        <f>H84/DAY(B2)</f>
        <v>572.23076923076928</v>
      </c>
      <c r="K84" s="411"/>
      <c r="L84" s="408"/>
      <c r="N84" s="818"/>
      <c r="O84" s="825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SUM(G71:G84)</f>
        <v>2759.3400000000256</v>
      </c>
      <c r="H85" s="536">
        <f>G85+'12'!H85</f>
        <v>28772.250000000044</v>
      </c>
      <c r="I85" s="557"/>
      <c r="J85" s="629">
        <f>H85/DAY(B2)</f>
        <v>2213.2500000000032</v>
      </c>
      <c r="K85" s="411"/>
      <c r="L85" s="409"/>
      <c r="N85" s="818"/>
      <c r="O85" s="825"/>
      <c r="P85" s="413"/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'12'!F86</f>
        <v>445239.96</v>
      </c>
      <c r="F86" s="728">
        <v>445367.64</v>
      </c>
      <c r="G86" s="805">
        <f t="shared" ref="G86:G90" si="7">F86-E86</f>
        <v>127.67999999999302</v>
      </c>
      <c r="H86" s="805">
        <f t="shared" ref="H86:H88" si="8">G86</f>
        <v>127.67999999999302</v>
      </c>
      <c r="I86" s="733"/>
      <c r="J86" s="807">
        <f>H86/DAY(B2)</f>
        <v>9.8215384615379246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'12'!F87</f>
        <v>78008.399999999994</v>
      </c>
      <c r="F87" s="728">
        <v>78040.800000000003</v>
      </c>
      <c r="G87" s="805">
        <f t="shared" si="7"/>
        <v>32.400000000008731</v>
      </c>
      <c r="H87" s="805">
        <f t="shared" si="8"/>
        <v>32.400000000008731</v>
      </c>
      <c r="I87" s="733"/>
      <c r="J87" s="807">
        <f>H87/DAY(B2)</f>
        <v>2.4923076923083638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'12'!F88</f>
        <v>145240.99</v>
      </c>
      <c r="F88" s="728">
        <v>145367.63</v>
      </c>
      <c r="G88" s="805">
        <f t="shared" si="7"/>
        <v>126.64000000001397</v>
      </c>
      <c r="H88" s="805">
        <f t="shared" si="8"/>
        <v>126.64000000001397</v>
      </c>
      <c r="I88" s="733"/>
      <c r="J88" s="807">
        <f>H88/DAY(B2)</f>
        <v>9.7415384615395357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'12'!F89</f>
        <v>58480.800000000003</v>
      </c>
      <c r="F89" s="728">
        <v>58547.8</v>
      </c>
      <c r="G89" s="805">
        <f t="shared" si="7"/>
        <v>67</v>
      </c>
      <c r="H89" s="805">
        <f>G89</f>
        <v>67</v>
      </c>
      <c r="I89" s="733"/>
      <c r="J89" s="807">
        <f>H89/DAY(B2)</f>
        <v>5.1538461538461542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'12'!F90</f>
        <v>3009.5</v>
      </c>
      <c r="F90" s="728">
        <v>3012.5</v>
      </c>
      <c r="G90" s="805">
        <f t="shared" si="7"/>
        <v>3</v>
      </c>
      <c r="H90" s="805">
        <f>G90</f>
        <v>3</v>
      </c>
      <c r="I90" s="733"/>
      <c r="J90" s="807">
        <f>H90/DAY(B2)</f>
        <v>0.23076923076923078</v>
      </c>
      <c r="K90" s="833"/>
      <c r="L90" s="834"/>
      <c r="N90" s="881"/>
      <c r="O90" s="413"/>
    </row>
    <row r="91" spans="1:16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5"/>
      <c r="P91" s="413"/>
    </row>
    <row r="92" spans="1:16" ht="27.75">
      <c r="A92" s="1388" t="s">
        <v>217</v>
      </c>
      <c r="B92" s="1389"/>
      <c r="C92" s="1390"/>
      <c r="D92" s="599" t="s">
        <v>155</v>
      </c>
      <c r="E92" s="560">
        <f>'12'!F92</f>
        <v>234813</v>
      </c>
      <c r="F92" s="554">
        <v>234885</v>
      </c>
      <c r="G92" s="549">
        <f t="shared" ref="G92:G93" si="9">F92-E92</f>
        <v>72</v>
      </c>
      <c r="H92" s="536">
        <f>G92+'12'!H92</f>
        <v>983</v>
      </c>
      <c r="I92" s="556"/>
      <c r="J92" s="629">
        <f>H92/DAY(B2)</f>
        <v>75.615384615384613</v>
      </c>
      <c r="K92" s="468"/>
      <c r="L92" s="408"/>
      <c r="N92" s="818"/>
      <c r="O92" s="825"/>
      <c r="P92" s="413"/>
    </row>
    <row r="93" spans="1:16" ht="27.75">
      <c r="A93" s="1388" t="s">
        <v>218</v>
      </c>
      <c r="B93" s="1389"/>
      <c r="C93" s="1390"/>
      <c r="D93" s="599" t="s">
        <v>155</v>
      </c>
      <c r="E93" s="560">
        <f>'12'!F93</f>
        <v>168488</v>
      </c>
      <c r="F93" s="554">
        <v>168658</v>
      </c>
      <c r="G93" s="549">
        <f t="shared" si="9"/>
        <v>170</v>
      </c>
      <c r="H93" s="536">
        <f>G93+'12'!H93</f>
        <v>1742</v>
      </c>
      <c r="I93" s="556"/>
      <c r="J93" s="629">
        <f>H93/DAY(B2)</f>
        <v>134</v>
      </c>
      <c r="K93" s="411"/>
      <c r="L93" s="408"/>
      <c r="N93" s="818"/>
      <c r="O93" s="825"/>
      <c r="P93" s="413"/>
    </row>
    <row r="94" spans="1:16">
      <c r="A94" s="1419" t="s">
        <v>219</v>
      </c>
      <c r="B94" s="1420"/>
      <c r="C94" s="1421"/>
      <c r="D94" s="599"/>
      <c r="E94" s="560">
        <f>'12'!F94</f>
        <v>0</v>
      </c>
      <c r="F94" s="554"/>
      <c r="G94" s="549">
        <f>G92+G93</f>
        <v>242</v>
      </c>
      <c r="H94" s="536">
        <f>G94+'12'!H94</f>
        <v>2451</v>
      </c>
      <c r="I94" s="556"/>
      <c r="J94" s="629">
        <f>H94/DAY(B2)</f>
        <v>188.53846153846155</v>
      </c>
      <c r="K94" s="411"/>
      <c r="L94" s="408"/>
      <c r="N94" s="818"/>
      <c r="O94" s="825"/>
      <c r="P94" s="413"/>
    </row>
    <row r="95" spans="1:16" ht="27.75">
      <c r="A95" s="1388" t="s">
        <v>220</v>
      </c>
      <c r="B95" s="1389"/>
      <c r="C95" s="1390"/>
      <c r="D95" s="599" t="s">
        <v>155</v>
      </c>
      <c r="E95" s="560">
        <f>'12'!F95</f>
        <v>404425</v>
      </c>
      <c r="F95" s="554">
        <v>404492</v>
      </c>
      <c r="G95" s="549">
        <f t="shared" ref="G95:G100" si="10">F95-E95</f>
        <v>67</v>
      </c>
      <c r="H95" s="536">
        <f>G95+'12'!H95</f>
        <v>827</v>
      </c>
      <c r="I95" s="556"/>
      <c r="J95" s="629">
        <f>H95/DAY(B2)</f>
        <v>63.615384615384613</v>
      </c>
      <c r="K95" s="411"/>
      <c r="L95" s="408"/>
      <c r="N95" s="818"/>
      <c r="O95" s="825"/>
      <c r="P95" s="413"/>
    </row>
    <row r="96" spans="1:16" ht="27.75">
      <c r="A96" s="1252" t="s">
        <v>221</v>
      </c>
      <c r="B96" s="1253"/>
      <c r="C96" s="1253"/>
      <c r="D96" s="599" t="s">
        <v>155</v>
      </c>
      <c r="E96" s="560">
        <f>'12'!F96</f>
        <v>100151</v>
      </c>
      <c r="F96" s="554">
        <v>100167</v>
      </c>
      <c r="G96" s="549">
        <f t="shared" si="10"/>
        <v>16</v>
      </c>
      <c r="H96" s="536">
        <f>G96+'12'!H96</f>
        <v>246</v>
      </c>
      <c r="I96" s="556"/>
      <c r="J96" s="629">
        <f>H96/DAY(B2)</f>
        <v>18.923076923076923</v>
      </c>
      <c r="K96" s="466"/>
      <c r="L96" s="408"/>
      <c r="N96" s="818"/>
      <c r="O96" s="825"/>
      <c r="P96" s="413"/>
    </row>
    <row r="97" spans="1:16" ht="27.75">
      <c r="A97" s="1252" t="s">
        <v>222</v>
      </c>
      <c r="B97" s="1253"/>
      <c r="C97" s="1253"/>
      <c r="D97" s="599" t="s">
        <v>155</v>
      </c>
      <c r="E97" s="560">
        <f>'12'!F97</f>
        <v>95263</v>
      </c>
      <c r="F97" s="554">
        <v>95280</v>
      </c>
      <c r="G97" s="549">
        <f t="shared" si="10"/>
        <v>17</v>
      </c>
      <c r="H97" s="536">
        <f>G97+'12'!H97</f>
        <v>253</v>
      </c>
      <c r="I97" s="556"/>
      <c r="J97" s="629">
        <f>H97/DAY(B2)</f>
        <v>19.46153846153846</v>
      </c>
      <c r="K97" s="471"/>
      <c r="L97" s="408"/>
      <c r="N97" s="818"/>
      <c r="O97" s="825"/>
      <c r="P97" s="413"/>
    </row>
    <row r="98" spans="1:16" ht="27.75">
      <c r="A98" s="1252" t="s">
        <v>223</v>
      </c>
      <c r="B98" s="1253"/>
      <c r="C98" s="1253"/>
      <c r="D98" s="599" t="s">
        <v>155</v>
      </c>
      <c r="E98" s="560">
        <f>'12'!F98</f>
        <v>144498</v>
      </c>
      <c r="F98" s="554">
        <v>144554</v>
      </c>
      <c r="G98" s="549">
        <f t="shared" si="10"/>
        <v>56</v>
      </c>
      <c r="H98" s="536">
        <f>G98+'12'!H98</f>
        <v>747</v>
      </c>
      <c r="I98" s="556"/>
      <c r="J98" s="629">
        <f>H98/DAY(B2)</f>
        <v>57.46153846153846</v>
      </c>
      <c r="K98" s="411"/>
      <c r="L98" s="408"/>
      <c r="N98" s="820"/>
      <c r="O98" s="825"/>
      <c r="P98" s="413"/>
    </row>
    <row r="99" spans="1:16" ht="27.75">
      <c r="A99" s="1252" t="s">
        <v>224</v>
      </c>
      <c r="B99" s="1253"/>
      <c r="C99" s="1253"/>
      <c r="D99" s="599" t="s">
        <v>155</v>
      </c>
      <c r="E99" s="560">
        <f>'12'!F99</f>
        <v>5653</v>
      </c>
      <c r="F99" s="554">
        <v>5662</v>
      </c>
      <c r="G99" s="549">
        <f t="shared" si="10"/>
        <v>9</v>
      </c>
      <c r="H99" s="536">
        <f>G99+'12'!H99</f>
        <v>160</v>
      </c>
      <c r="I99" s="556"/>
      <c r="J99" s="629">
        <f>H99/DAY(B2)</f>
        <v>12.307692307692308</v>
      </c>
      <c r="K99" s="411"/>
      <c r="L99" s="408"/>
      <c r="N99" s="818"/>
      <c r="O99" s="825"/>
      <c r="P99" s="413"/>
    </row>
    <row r="100" spans="1:16" ht="27.75">
      <c r="A100" s="1252" t="s">
        <v>225</v>
      </c>
      <c r="B100" s="1253"/>
      <c r="C100" s="1253"/>
      <c r="D100" s="599" t="s">
        <v>155</v>
      </c>
      <c r="E100" s="560">
        <f>'12'!F100</f>
        <v>4062</v>
      </c>
      <c r="F100" s="554">
        <v>4068</v>
      </c>
      <c r="G100" s="549">
        <f t="shared" si="10"/>
        <v>6</v>
      </c>
      <c r="H100" s="536">
        <f>G100+'12'!H100</f>
        <v>104</v>
      </c>
      <c r="I100" s="556"/>
      <c r="J100" s="629">
        <f>H100/DAY(B2)</f>
        <v>8</v>
      </c>
      <c r="K100" s="411"/>
      <c r="L100" s="408"/>
      <c r="N100" s="818"/>
      <c r="O100" s="825"/>
      <c r="P100" s="413"/>
    </row>
    <row r="101" spans="1:16">
      <c r="A101" s="1419" t="s">
        <v>227</v>
      </c>
      <c r="B101" s="1420"/>
      <c r="C101" s="1421"/>
      <c r="D101" s="600"/>
      <c r="E101" s="560"/>
      <c r="F101" s="600"/>
      <c r="G101" s="601">
        <f>SUM(G95:G100)</f>
        <v>171</v>
      </c>
      <c r="H101" s="536">
        <f>G101+'12'!H101</f>
        <v>2337</v>
      </c>
      <c r="I101" s="602"/>
      <c r="J101" s="629">
        <f>H101/DAY(B2)</f>
        <v>179.76923076923077</v>
      </c>
      <c r="K101" s="411"/>
      <c r="L101" s="408"/>
      <c r="N101" s="818"/>
      <c r="O101" s="825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5"/>
      <c r="P102" s="413"/>
    </row>
    <row r="103" spans="1:16" s="481" customFormat="1" ht="27.75">
      <c r="A103" s="1422" t="s">
        <v>229</v>
      </c>
      <c r="B103" s="1423"/>
      <c r="C103" s="650"/>
      <c r="D103" s="699"/>
      <c r="E103" s="560"/>
      <c r="F103" s="739"/>
      <c r="G103" s="608"/>
      <c r="H103" s="609"/>
      <c r="I103" s="608"/>
      <c r="J103" s="635"/>
      <c r="N103" s="818"/>
      <c r="O103" s="825"/>
      <c r="P103" s="413"/>
    </row>
    <row r="104" spans="1:16" s="481" customFormat="1" ht="27.75">
      <c r="A104" s="1380" t="s">
        <v>230</v>
      </c>
      <c r="B104" s="1381"/>
      <c r="C104" s="1251"/>
      <c r="D104" s="699" t="s">
        <v>155</v>
      </c>
      <c r="E104" s="560">
        <f>'12'!F104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7.5384615384615383</v>
      </c>
      <c r="N104" s="818"/>
      <c r="O104" s="825"/>
      <c r="P104" s="413"/>
    </row>
    <row r="105" spans="1:16" s="481" customFormat="1" ht="27.75">
      <c r="A105" s="1380" t="s">
        <v>77</v>
      </c>
      <c r="B105" s="1381"/>
      <c r="C105" s="1251"/>
      <c r="D105" s="699" t="s">
        <v>155</v>
      </c>
      <c r="E105" s="560">
        <f>'12'!F105</f>
        <v>35009</v>
      </c>
      <c r="F105" s="740">
        <v>35016</v>
      </c>
      <c r="G105" s="608">
        <f t="shared" ref="G105:G106" si="11">F105-E105</f>
        <v>7</v>
      </c>
      <c r="H105" s="609">
        <f>SUM(G105+'1'!G77)</f>
        <v>68</v>
      </c>
      <c r="I105" s="608"/>
      <c r="J105" s="635">
        <f>H105/DAY(B2)</f>
        <v>5.2307692307692308</v>
      </c>
      <c r="N105" s="818"/>
      <c r="O105" s="825"/>
      <c r="P105" s="413"/>
    </row>
    <row r="106" spans="1:16" s="481" customFormat="1" ht="27.75">
      <c r="A106" s="1380" t="s">
        <v>78</v>
      </c>
      <c r="B106" s="1424"/>
      <c r="C106" s="1381"/>
      <c r="D106" s="699" t="s">
        <v>155</v>
      </c>
      <c r="E106" s="560">
        <f>'12'!F106</f>
        <v>18956</v>
      </c>
      <c r="F106" s="740">
        <v>18964</v>
      </c>
      <c r="G106" s="608">
        <f t="shared" si="11"/>
        <v>8</v>
      </c>
      <c r="H106" s="609">
        <f>SUM(G106+'1'!G78)</f>
        <v>377</v>
      </c>
      <c r="I106" s="608"/>
      <c r="J106" s="635">
        <f>H106/DAY(B2)</f>
        <v>29</v>
      </c>
      <c r="N106" s="818"/>
      <c r="O106" s="825"/>
      <c r="P106" s="413"/>
    </row>
    <row r="107" spans="1:16" s="481" customFormat="1" ht="27.75">
      <c r="A107" s="1382" t="s">
        <v>213</v>
      </c>
      <c r="B107" s="1383"/>
      <c r="C107" s="1251"/>
      <c r="D107" s="699"/>
      <c r="E107" s="560"/>
      <c r="F107" s="740"/>
      <c r="G107" s="608">
        <f>SUM(G104:G106)</f>
        <v>15</v>
      </c>
      <c r="H107" s="609">
        <f>SUM(G107+'1'!G79)</f>
        <v>202</v>
      </c>
      <c r="I107" s="608"/>
      <c r="J107" s="635">
        <f>H107/DAY(B2)</f>
        <v>15.538461538461538</v>
      </c>
      <c r="N107" s="818"/>
      <c r="O107" s="825"/>
      <c r="P107" s="413"/>
    </row>
    <row r="108" spans="1:16" s="481" customFormat="1" ht="27.75">
      <c r="A108" s="1386" t="s">
        <v>79</v>
      </c>
      <c r="B108" s="1387"/>
      <c r="C108" s="1251"/>
      <c r="D108" s="699" t="s">
        <v>155</v>
      </c>
      <c r="E108" s="560"/>
      <c r="F108" s="740"/>
      <c r="G108" s="608"/>
      <c r="H108" s="609"/>
      <c r="I108" s="608"/>
      <c r="J108" s="635"/>
      <c r="N108" s="818"/>
      <c r="O108" s="825"/>
      <c r="P108" s="413"/>
    </row>
    <row r="109" spans="1:16" s="481" customFormat="1" ht="27.75">
      <c r="A109" s="1380" t="s">
        <v>231</v>
      </c>
      <c r="B109" s="1381"/>
      <c r="C109" s="1251"/>
      <c r="D109" s="699" t="s">
        <v>155</v>
      </c>
      <c r="E109" s="560">
        <f>'12'!F109</f>
        <v>53680</v>
      </c>
      <c r="F109" s="740">
        <v>53740</v>
      </c>
      <c r="G109" s="608">
        <f>F109-E109</f>
        <v>60</v>
      </c>
      <c r="H109" s="609">
        <f>SUM(G109+'1'!G81)</f>
        <v>189</v>
      </c>
      <c r="I109" s="608"/>
      <c r="J109" s="635">
        <f>H109/DAY(B2)</f>
        <v>14.538461538461538</v>
      </c>
      <c r="N109" s="818"/>
      <c r="O109" s="825"/>
      <c r="P109" s="413"/>
    </row>
    <row r="110" spans="1:16" s="481" customFormat="1" ht="27.75">
      <c r="A110" s="1380" t="s">
        <v>232</v>
      </c>
      <c r="B110" s="1381"/>
      <c r="C110" s="1251"/>
      <c r="D110" s="699" t="s">
        <v>155</v>
      </c>
      <c r="E110" s="560">
        <f>'12'!F110</f>
        <v>27531</v>
      </c>
      <c r="F110" s="740">
        <v>27560</v>
      </c>
      <c r="G110" s="608">
        <f t="shared" ref="G110:G111" si="12">F110-E110</f>
        <v>29</v>
      </c>
      <c r="H110" s="609">
        <f>SUM(G110+'1'!G82)</f>
        <v>52</v>
      </c>
      <c r="I110" s="608"/>
      <c r="J110" s="635">
        <f>H110/DAY(B2)</f>
        <v>4</v>
      </c>
      <c r="N110" s="818"/>
      <c r="O110" s="825"/>
      <c r="P110" s="413"/>
    </row>
    <row r="111" spans="1:16" s="481" customFormat="1" ht="27.75">
      <c r="A111" s="1380" t="s">
        <v>233</v>
      </c>
      <c r="B111" s="1381"/>
      <c r="C111" s="1251"/>
      <c r="D111" s="699" t="s">
        <v>155</v>
      </c>
      <c r="E111" s="560">
        <f>'12'!F111</f>
        <v>3637</v>
      </c>
      <c r="F111" s="740">
        <v>3637</v>
      </c>
      <c r="G111" s="608">
        <f t="shared" si="12"/>
        <v>0</v>
      </c>
      <c r="H111" s="609">
        <f>SUM(G111+'1'!G83)</f>
        <v>333</v>
      </c>
      <c r="I111" s="608"/>
      <c r="J111" s="635">
        <f>H111/DAY(B2)</f>
        <v>25.615384615384617</v>
      </c>
      <c r="N111" s="818"/>
      <c r="O111" s="825"/>
      <c r="P111" s="413"/>
    </row>
    <row r="112" spans="1:16" s="481" customFormat="1" ht="27.75">
      <c r="A112" s="1382" t="s">
        <v>121</v>
      </c>
      <c r="B112" s="1383"/>
      <c r="C112" s="1251"/>
      <c r="D112" s="699"/>
      <c r="E112" s="560"/>
      <c r="F112" s="740"/>
      <c r="G112" s="608">
        <f>SUM(G109:G111)</f>
        <v>89</v>
      </c>
      <c r="H112" s="609">
        <f>SUM(G112+'1'!G84)</f>
        <v>535</v>
      </c>
      <c r="I112" s="608"/>
      <c r="J112" s="635">
        <f>H112/DAY(B2)</f>
        <v>41.153846153846153</v>
      </c>
      <c r="N112" s="818"/>
      <c r="O112" s="825"/>
      <c r="P112" s="413"/>
    </row>
    <row r="113" spans="1:16" s="481" customFormat="1" ht="27.75">
      <c r="A113" s="1386" t="s">
        <v>234</v>
      </c>
      <c r="B113" s="1387"/>
      <c r="C113" s="1251"/>
      <c r="D113" s="699"/>
      <c r="E113" s="560"/>
      <c r="F113" s="740"/>
      <c r="G113" s="608"/>
      <c r="H113" s="609"/>
      <c r="I113" s="608"/>
      <c r="J113" s="635">
        <f>H113/DAY(B2)</f>
        <v>0</v>
      </c>
      <c r="N113" s="818"/>
      <c r="O113" s="825"/>
      <c r="P113" s="413"/>
    </row>
    <row r="114" spans="1:16" s="481" customFormat="1" ht="27.75">
      <c r="A114" s="1380" t="s">
        <v>235</v>
      </c>
      <c r="B114" s="1381"/>
      <c r="C114" s="651"/>
      <c r="D114" s="699" t="s">
        <v>155</v>
      </c>
      <c r="E114" s="560">
        <f>'12'!F114</f>
        <v>9423</v>
      </c>
      <c r="F114" s="740">
        <v>9434</v>
      </c>
      <c r="G114" s="610">
        <f>F114-E114</f>
        <v>11</v>
      </c>
      <c r="H114" s="609">
        <f>SUM(G114+'1'!G91)</f>
        <v>11</v>
      </c>
      <c r="I114" s="608"/>
      <c r="J114" s="635">
        <f>H114/DAY(B2)</f>
        <v>0.84615384615384615</v>
      </c>
      <c r="N114" s="818"/>
      <c r="O114" s="825"/>
      <c r="P114" s="413"/>
    </row>
    <row r="115" spans="1:16" s="481" customFormat="1" ht="27.75">
      <c r="A115" s="1380" t="s">
        <v>236</v>
      </c>
      <c r="B115" s="1381"/>
      <c r="C115" s="651"/>
      <c r="D115" s="699" t="s">
        <v>155</v>
      </c>
      <c r="E115" s="560">
        <f>'12'!F115</f>
        <v>7276</v>
      </c>
      <c r="F115" s="740">
        <v>7283</v>
      </c>
      <c r="G115" s="610">
        <f t="shared" ref="G115:G116" si="13">F115-E115</f>
        <v>7</v>
      </c>
      <c r="H115" s="609">
        <f>SUM(G115+'1'!G92)</f>
        <v>140</v>
      </c>
      <c r="I115" s="608"/>
      <c r="J115" s="635">
        <f>H115/DAY(B2)</f>
        <v>10.76923076923077</v>
      </c>
      <c r="N115" s="818"/>
      <c r="O115" s="825"/>
      <c r="P115" s="413"/>
    </row>
    <row r="116" spans="1:16" s="481" customFormat="1" ht="27.75">
      <c r="A116" s="1380" t="s">
        <v>237</v>
      </c>
      <c r="B116" s="1381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141</v>
      </c>
      <c r="I116" s="608"/>
      <c r="J116" s="635">
        <f>H116/DAY(B2)</f>
        <v>10.846153846153847</v>
      </c>
      <c r="N116" s="818"/>
      <c r="O116" s="825"/>
      <c r="P116" s="413"/>
    </row>
    <row r="117" spans="1:16" s="494" customFormat="1" ht="27.75">
      <c r="A117" s="1382" t="s">
        <v>213</v>
      </c>
      <c r="B117" s="1383"/>
      <c r="C117" s="651"/>
      <c r="D117" s="700"/>
      <c r="E117" s="610"/>
      <c r="F117" s="740"/>
      <c r="G117" s="610">
        <f>SUM(G114:G116)</f>
        <v>18</v>
      </c>
      <c r="H117" s="609">
        <f>SUM(G117+'1'!G95)</f>
        <v>78</v>
      </c>
      <c r="I117" s="610"/>
      <c r="J117" s="635">
        <f>H117/DAY(B2)</f>
        <v>6</v>
      </c>
      <c r="N117" s="818"/>
      <c r="O117" s="825"/>
      <c r="P117" s="413"/>
    </row>
    <row r="118" spans="1:16" s="495" customFormat="1" ht="27.75">
      <c r="A118" s="1376" t="s">
        <v>238</v>
      </c>
      <c r="B118" s="1377"/>
      <c r="C118" s="1249"/>
      <c r="D118" s="701" t="s">
        <v>155</v>
      </c>
      <c r="E118" s="612"/>
      <c r="F118" s="741">
        <f>SUM(G19+G92)</f>
        <v>126</v>
      </c>
      <c r="G118" s="612">
        <f>SUM(G19+G92)</f>
        <v>126</v>
      </c>
      <c r="H118" s="609">
        <f>SUM(G118+'1'!G96)</f>
        <v>159</v>
      </c>
      <c r="I118" s="611"/>
      <c r="J118" s="636">
        <f>H118/DAY(B2)</f>
        <v>12.23076923076923</v>
      </c>
      <c r="N118" s="818"/>
      <c r="O118" s="825"/>
      <c r="P118" s="413"/>
    </row>
    <row r="119" spans="1:16" s="495" customFormat="1" ht="27.75">
      <c r="A119" s="1376" t="s">
        <v>239</v>
      </c>
      <c r="B119" s="1377"/>
      <c r="C119" s="1249"/>
      <c r="D119" s="701" t="s">
        <v>155</v>
      </c>
      <c r="E119" s="612"/>
      <c r="F119" s="741">
        <f>SUM(G95,G96,G97,G99,G100)</f>
        <v>115</v>
      </c>
      <c r="G119" s="612">
        <f>SUM(G95,G96,G97,G99,G100)</f>
        <v>115</v>
      </c>
      <c r="H119" s="609">
        <f>SUM(G119+'1'!G98)</f>
        <v>165</v>
      </c>
      <c r="I119" s="611"/>
      <c r="J119" s="636">
        <f>H119/DAY(B2)</f>
        <v>12.692307692307692</v>
      </c>
      <c r="N119" s="818"/>
      <c r="O119" s="825"/>
      <c r="P119" s="413"/>
    </row>
    <row r="120" spans="1:16" s="495" customFormat="1" ht="27.75">
      <c r="A120" s="1376" t="s">
        <v>240</v>
      </c>
      <c r="B120" s="1377"/>
      <c r="C120" s="1249"/>
      <c r="D120" s="701" t="s">
        <v>155</v>
      </c>
      <c r="E120" s="610"/>
      <c r="F120" s="740">
        <f>SUM(G112)</f>
        <v>89</v>
      </c>
      <c r="G120" s="610">
        <f>SUM(G112)</f>
        <v>89</v>
      </c>
      <c r="H120" s="609">
        <f>SUM(G120+'1'!G100)</f>
        <v>106</v>
      </c>
      <c r="I120" s="611"/>
      <c r="J120" s="636">
        <f>H120/DAY(B2)</f>
        <v>8.1538461538461533</v>
      </c>
      <c r="N120" s="818"/>
      <c r="O120" s="825"/>
      <c r="P120" s="413"/>
    </row>
    <row r="121" spans="1:16" s="481" customFormat="1" ht="27.75">
      <c r="A121" s="1378"/>
      <c r="B121" s="1379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5"/>
      <c r="P121" s="413"/>
    </row>
    <row r="122" spans="1:16">
      <c r="A122" s="1416" t="s">
        <v>241</v>
      </c>
      <c r="B122" s="1417"/>
      <c r="C122" s="1418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5"/>
      <c r="P122" s="413"/>
    </row>
    <row r="123" spans="1:16" ht="27.75">
      <c r="A123" s="1252" t="s">
        <v>242</v>
      </c>
      <c r="B123" s="1253"/>
      <c r="C123" s="1253"/>
      <c r="D123" s="599" t="s">
        <v>152</v>
      </c>
      <c r="E123" s="554">
        <f>'12'!F123</f>
        <v>798309.01</v>
      </c>
      <c r="F123" s="554">
        <v>798584.93</v>
      </c>
      <c r="G123" s="549">
        <f t="shared" ref="G123:G127" si="14">F123-E123</f>
        <v>275.92000000004191</v>
      </c>
      <c r="H123" s="536">
        <f>G123+'12'!H123</f>
        <v>3160.8800000000047</v>
      </c>
      <c r="I123" s="602"/>
      <c r="J123" s="629">
        <f>H123/DAY(B2)</f>
        <v>243.14461538461575</v>
      </c>
      <c r="K123" s="411"/>
      <c r="L123" s="408"/>
      <c r="N123" s="818"/>
      <c r="O123" s="825"/>
      <c r="P123" s="413"/>
    </row>
    <row r="124" spans="1:16" ht="27.75">
      <c r="A124" s="1252" t="s">
        <v>243</v>
      </c>
      <c r="B124" s="1253"/>
      <c r="C124" s="1253"/>
      <c r="D124" s="599" t="s">
        <v>152</v>
      </c>
      <c r="E124" s="703">
        <f>'12'!F124</f>
        <v>73582.3</v>
      </c>
      <c r="F124" s="703">
        <v>73582.3</v>
      </c>
      <c r="G124" s="549">
        <f t="shared" si="14"/>
        <v>0</v>
      </c>
      <c r="H124" s="536">
        <f>G124+'12'!H124</f>
        <v>0.10000000000582077</v>
      </c>
      <c r="I124" s="602"/>
      <c r="J124" s="629">
        <f>H124/DAY(B2)</f>
        <v>7.6923076927554439E-3</v>
      </c>
      <c r="K124" s="411"/>
      <c r="L124" s="408"/>
      <c r="N124" s="818"/>
      <c r="O124" s="825"/>
      <c r="P124" s="413"/>
    </row>
    <row r="125" spans="1:16" ht="27.75">
      <c r="A125" s="1367" t="s">
        <v>244</v>
      </c>
      <c r="B125" s="1368"/>
      <c r="C125" s="1369"/>
      <c r="D125" s="599" t="s">
        <v>152</v>
      </c>
      <c r="E125" s="554">
        <f>'12'!F125</f>
        <v>136427.28</v>
      </c>
      <c r="F125" s="554">
        <v>136513.92000000001</v>
      </c>
      <c r="G125" s="549">
        <f t="shared" si="14"/>
        <v>86.64000000001397</v>
      </c>
      <c r="H125" s="536">
        <f>G125+'12'!H125</f>
        <v>923.25</v>
      </c>
      <c r="I125" s="602"/>
      <c r="J125" s="629">
        <f>H125/DAY(B2)</f>
        <v>71.019230769230774</v>
      </c>
      <c r="K125" s="411"/>
      <c r="L125" s="408"/>
      <c r="N125" s="818"/>
      <c r="O125" s="825"/>
      <c r="P125" s="413"/>
    </row>
    <row r="126" spans="1:16" ht="27.75">
      <c r="A126" s="686" t="s">
        <v>245</v>
      </c>
      <c r="B126" s="1253"/>
      <c r="C126" s="1253"/>
      <c r="D126" s="599" t="s">
        <v>152</v>
      </c>
      <c r="E126" s="703">
        <f>'12'!F126</f>
        <v>57770.2</v>
      </c>
      <c r="F126" s="703">
        <v>57790</v>
      </c>
      <c r="G126" s="549">
        <f t="shared" si="14"/>
        <v>19.80000000000291</v>
      </c>
      <c r="H126" s="536">
        <f>G126+'12'!H126</f>
        <v>409</v>
      </c>
      <c r="I126" s="602"/>
      <c r="J126" s="629">
        <f>H126/DAY(B2)</f>
        <v>31.46153846153846</v>
      </c>
      <c r="K126" s="411"/>
      <c r="L126" s="408"/>
      <c r="N126" s="818"/>
      <c r="O126" s="825"/>
      <c r="P126" s="413"/>
    </row>
    <row r="127" spans="1:16" ht="27.75">
      <c r="A127" s="686" t="s">
        <v>246</v>
      </c>
      <c r="B127" s="1253"/>
      <c r="C127" s="1253"/>
      <c r="D127" s="599" t="s">
        <v>152</v>
      </c>
      <c r="E127" s="703">
        <f>'12'!F127</f>
        <v>8738.1</v>
      </c>
      <c r="F127" s="703">
        <v>8748.2000000000007</v>
      </c>
      <c r="G127" s="549">
        <f t="shared" si="14"/>
        <v>10.100000000000364</v>
      </c>
      <c r="H127" s="536">
        <f>G127+'12'!H127</f>
        <v>42.200000000000728</v>
      </c>
      <c r="I127" s="556"/>
      <c r="J127" s="629">
        <f>H127/DAY(B2)</f>
        <v>3.2461538461539021</v>
      </c>
      <c r="K127" s="411"/>
      <c r="L127" s="408"/>
      <c r="N127" s="818"/>
      <c r="O127" s="825"/>
      <c r="P127" s="413"/>
    </row>
    <row r="128" spans="1:16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510.06299999998555</v>
      </c>
      <c r="H128" s="536"/>
      <c r="I128" s="556"/>
      <c r="J128" s="629"/>
      <c r="K128" s="391"/>
      <c r="L128" s="293"/>
      <c r="N128" s="818"/>
      <c r="O128" s="825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5"/>
      <c r="P129" s="413"/>
    </row>
    <row r="130" spans="1:16" ht="27.75">
      <c r="A130" s="1252" t="s">
        <v>249</v>
      </c>
      <c r="B130" s="1253"/>
      <c r="C130" s="1253"/>
      <c r="D130" s="599" t="s">
        <v>250</v>
      </c>
      <c r="E130" s="560">
        <f>'12'!F130</f>
        <v>0</v>
      </c>
      <c r="F130" s="554">
        <v>0</v>
      </c>
      <c r="G130" s="549">
        <f t="shared" ref="G130:G140" si="15">F130-E130</f>
        <v>0</v>
      </c>
      <c r="H130" s="536">
        <f>G130+'12'!H130</f>
        <v>0</v>
      </c>
      <c r="I130" s="556"/>
      <c r="J130" s="629">
        <f>H130/DAY(B2)</f>
        <v>0</v>
      </c>
      <c r="N130" s="818"/>
      <c r="O130" s="825"/>
      <c r="P130" s="413"/>
    </row>
    <row r="131" spans="1:16" ht="27.75">
      <c r="A131" s="1252" t="s">
        <v>251</v>
      </c>
      <c r="B131" s="1253"/>
      <c r="C131" s="1253"/>
      <c r="D131" s="599" t="s">
        <v>250</v>
      </c>
      <c r="E131" s="560">
        <f>'12'!F131</f>
        <v>0</v>
      </c>
      <c r="F131" s="554">
        <v>0</v>
      </c>
      <c r="G131" s="549">
        <f t="shared" si="15"/>
        <v>0</v>
      </c>
      <c r="H131" s="536">
        <f>G131+'12'!H131</f>
        <v>0</v>
      </c>
      <c r="I131" s="556"/>
      <c r="J131" s="629">
        <f>H131/DAY(B2)</f>
        <v>0</v>
      </c>
      <c r="N131" s="818"/>
      <c r="O131" s="825"/>
      <c r="P131" s="413"/>
    </row>
    <row r="132" spans="1:16" ht="27.75">
      <c r="A132" s="1252" t="s">
        <v>252</v>
      </c>
      <c r="B132" s="1253"/>
      <c r="C132" s="1253"/>
      <c r="D132" s="599" t="s">
        <v>250</v>
      </c>
      <c r="E132" s="618">
        <f>'12'!F132</f>
        <v>38901</v>
      </c>
      <c r="F132" s="732">
        <v>38901</v>
      </c>
      <c r="G132" s="549">
        <f t="shared" si="15"/>
        <v>0</v>
      </c>
      <c r="H132" s="536">
        <f>G132+'12'!H132</f>
        <v>0</v>
      </c>
      <c r="I132" s="556"/>
      <c r="J132" s="629">
        <f>H132/DAY(B2)</f>
        <v>0</v>
      </c>
      <c r="N132" s="818"/>
      <c r="O132" s="825"/>
      <c r="P132" s="413"/>
    </row>
    <row r="133" spans="1:16" ht="27.75">
      <c r="A133" s="1252" t="s">
        <v>253</v>
      </c>
      <c r="B133" s="1253"/>
      <c r="C133" s="1253"/>
      <c r="D133" s="599" t="s">
        <v>250</v>
      </c>
      <c r="E133" s="782">
        <f>'12'!F133</f>
        <v>299</v>
      </c>
      <c r="F133" s="703">
        <v>299</v>
      </c>
      <c r="G133" s="549">
        <f t="shared" si="15"/>
        <v>0</v>
      </c>
      <c r="H133" s="536">
        <f>G133+'12'!H133</f>
        <v>0</v>
      </c>
      <c r="I133" s="556">
        <f>G130+G131+G132+G133</f>
        <v>0</v>
      </c>
      <c r="J133" s="629">
        <f>H133/DAY(B2)</f>
        <v>0</v>
      </c>
      <c r="N133" s="818"/>
      <c r="O133" s="825"/>
      <c r="P133" s="413"/>
    </row>
    <row r="134" spans="1:16" ht="27.75">
      <c r="A134" s="1252" t="s">
        <v>254</v>
      </c>
      <c r="B134" s="1253"/>
      <c r="C134" s="1253"/>
      <c r="D134" s="599" t="s">
        <v>250</v>
      </c>
      <c r="E134" s="782">
        <f>'12'!F134</f>
        <v>39768.39</v>
      </c>
      <c r="F134" s="703">
        <v>39792</v>
      </c>
      <c r="G134" s="549">
        <f t="shared" si="15"/>
        <v>23.610000000000582</v>
      </c>
      <c r="H134" s="536">
        <f>G134+'12'!H134</f>
        <v>57</v>
      </c>
      <c r="I134" s="556"/>
      <c r="J134" s="629">
        <f>H134/DAY(B2)</f>
        <v>4.384615384615385</v>
      </c>
      <c r="N134" s="818"/>
      <c r="O134" s="825"/>
      <c r="P134" s="413"/>
    </row>
    <row r="135" spans="1:16" ht="27.75">
      <c r="A135" s="1252" t="s">
        <v>255</v>
      </c>
      <c r="B135" s="1253"/>
      <c r="C135" s="1253"/>
      <c r="D135" s="599" t="s">
        <v>250</v>
      </c>
      <c r="E135" s="618">
        <f>'12'!F135</f>
        <v>32423</v>
      </c>
      <c r="F135" s="732">
        <v>32423</v>
      </c>
      <c r="G135" s="549">
        <f t="shared" si="15"/>
        <v>0</v>
      </c>
      <c r="H135" s="536">
        <f>G135+'12'!H135</f>
        <v>255.61000000000058</v>
      </c>
      <c r="I135" s="556"/>
      <c r="J135" s="629">
        <f>H135/DAY(B2)</f>
        <v>19.662307692307738</v>
      </c>
      <c r="N135" s="818"/>
      <c r="O135" s="825"/>
      <c r="P135" s="413"/>
    </row>
    <row r="136" spans="1:16" ht="27.75">
      <c r="A136" s="1252" t="s">
        <v>256</v>
      </c>
      <c r="B136" s="1253"/>
      <c r="C136" s="1253"/>
      <c r="D136" s="599" t="s">
        <v>250</v>
      </c>
      <c r="E136" s="618">
        <f>'12'!F136</f>
        <v>21865.91</v>
      </c>
      <c r="F136" s="732">
        <v>21873.27</v>
      </c>
      <c r="G136" s="549">
        <f t="shared" si="15"/>
        <v>7.3600000000005821</v>
      </c>
      <c r="H136" s="536">
        <f>G136+'12'!H136</f>
        <v>71.569999999999709</v>
      </c>
      <c r="I136" s="556">
        <f>G134+G135+G136</f>
        <v>30.970000000001164</v>
      </c>
      <c r="J136" s="629">
        <f>H136/DAY(B2)</f>
        <v>5.5053846153845933</v>
      </c>
      <c r="N136" s="818"/>
      <c r="O136" s="825"/>
      <c r="P136" s="413"/>
    </row>
    <row r="137" spans="1:16" ht="27.75">
      <c r="A137" s="1252" t="s">
        <v>257</v>
      </c>
      <c r="B137" s="1253"/>
      <c r="C137" s="1253"/>
      <c r="D137" s="599" t="s">
        <v>250</v>
      </c>
      <c r="E137" s="618">
        <f>'12'!F137</f>
        <v>25000.560000000001</v>
      </c>
      <c r="F137" s="732">
        <v>25000.560000000001</v>
      </c>
      <c r="G137" s="549">
        <f t="shared" si="15"/>
        <v>0</v>
      </c>
      <c r="H137" s="536">
        <f>G137+'12'!H137</f>
        <v>9.9500000000007276</v>
      </c>
      <c r="I137" s="556"/>
      <c r="J137" s="629">
        <f>H137/DAY(B2)</f>
        <v>0.7653846153846714</v>
      </c>
      <c r="N137" s="818"/>
      <c r="O137" s="825"/>
      <c r="P137" s="413"/>
    </row>
    <row r="138" spans="1:16" ht="27.75">
      <c r="A138" s="1252" t="s">
        <v>258</v>
      </c>
      <c r="B138" s="1253"/>
      <c r="C138" s="1253"/>
      <c r="D138" s="599" t="s">
        <v>250</v>
      </c>
      <c r="E138" s="618">
        <f>'12'!F138</f>
        <v>70033.5</v>
      </c>
      <c r="F138" s="732">
        <v>70038.350000000006</v>
      </c>
      <c r="G138" s="549">
        <f t="shared" si="15"/>
        <v>4.8500000000058208</v>
      </c>
      <c r="H138" s="536">
        <f>G138+'12'!H138</f>
        <v>31.980000000010477</v>
      </c>
      <c r="I138" s="556">
        <f>G137+G138</f>
        <v>4.8500000000058208</v>
      </c>
      <c r="J138" s="629">
        <f>H138/DAY(B2)</f>
        <v>2.460000000000806</v>
      </c>
      <c r="N138" s="818"/>
      <c r="O138" s="825"/>
      <c r="P138" s="413"/>
    </row>
    <row r="139" spans="1:16" ht="27.75">
      <c r="A139" s="1252" t="s">
        <v>259</v>
      </c>
      <c r="B139" s="1253"/>
      <c r="C139" s="1253"/>
      <c r="D139" s="599" t="s">
        <v>250</v>
      </c>
      <c r="E139" s="782">
        <f>'12'!F139</f>
        <v>1062.6300000000001</v>
      </c>
      <c r="F139" s="703">
        <v>1065.1300000000001</v>
      </c>
      <c r="G139" s="549">
        <f t="shared" si="15"/>
        <v>2.5</v>
      </c>
      <c r="H139" s="536">
        <f>G139+'12'!H139</f>
        <v>2.1300000000001091</v>
      </c>
      <c r="I139" s="619"/>
      <c r="J139" s="629">
        <f>H139/DAY(B2)</f>
        <v>0.16384615384616225</v>
      </c>
      <c r="N139" s="818"/>
      <c r="O139" s="825"/>
      <c r="P139" s="413"/>
    </row>
    <row r="140" spans="1:16" ht="27.75">
      <c r="A140" s="1252" t="s">
        <v>260</v>
      </c>
      <c r="B140" s="1253"/>
      <c r="C140" s="1253"/>
      <c r="D140" s="599" t="s">
        <v>250</v>
      </c>
      <c r="E140" s="560">
        <f>'12'!F140</f>
        <v>4327.43</v>
      </c>
      <c r="F140" s="554">
        <v>4333.53</v>
      </c>
      <c r="G140" s="549">
        <f t="shared" si="15"/>
        <v>6.0999999999994543</v>
      </c>
      <c r="H140" s="536">
        <f>G140+'12'!H140</f>
        <v>101.11999999999989</v>
      </c>
      <c r="I140" s="619"/>
      <c r="J140" s="629">
        <f>H140/DAY(B2)</f>
        <v>7.7784615384615297</v>
      </c>
      <c r="N140" s="818"/>
      <c r="O140" s="825"/>
      <c r="P140" s="413"/>
    </row>
    <row r="141" spans="1:16">
      <c r="A141" s="1397" t="s">
        <v>261</v>
      </c>
      <c r="B141" s="1398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5"/>
      <c r="P141" s="413"/>
    </row>
    <row r="142" spans="1:16" ht="27.75">
      <c r="A142" s="1388" t="s">
        <v>262</v>
      </c>
      <c r="B142" s="1389"/>
      <c r="C142" s="1390"/>
      <c r="D142" s="599" t="s">
        <v>143</v>
      </c>
      <c r="E142" s="599"/>
      <c r="F142" s="599"/>
      <c r="G142" s="536">
        <f>G35+G43+G49+G57</f>
        <v>6066.5599999999395</v>
      </c>
      <c r="H142" s="536">
        <f>G142+'12'!H142</f>
        <v>65271.659999999945</v>
      </c>
      <c r="I142" s="556"/>
      <c r="J142" s="629">
        <f>H142/DAY(B2)</f>
        <v>5020.8969230769189</v>
      </c>
      <c r="K142" s="411"/>
      <c r="L142" s="408"/>
      <c r="N142" s="818"/>
      <c r="O142" s="825"/>
      <c r="P142" s="413"/>
    </row>
    <row r="143" spans="1:16" ht="27.75">
      <c r="A143" s="1388" t="s">
        <v>263</v>
      </c>
      <c r="B143" s="1389"/>
      <c r="C143" s="1390"/>
      <c r="D143" s="599" t="s">
        <v>24</v>
      </c>
      <c r="E143" s="587"/>
      <c r="F143" s="587"/>
      <c r="G143" s="620">
        <f>G142/G7</f>
        <v>0.29096211031174768</v>
      </c>
      <c r="H143" s="536">
        <f>G143+'12'!H143</f>
        <v>3.2209084999924302</v>
      </c>
      <c r="I143" s="621"/>
      <c r="J143" s="629">
        <f>H143/DAY(B2)</f>
        <v>0.24776219230711002</v>
      </c>
      <c r="K143" s="411"/>
      <c r="L143" s="408"/>
      <c r="N143" s="818"/>
      <c r="O143" s="825"/>
      <c r="P143" s="413"/>
    </row>
    <row r="144" spans="1:16" ht="27.75">
      <c r="A144" s="1388" t="s">
        <v>264</v>
      </c>
      <c r="B144" s="1389"/>
      <c r="C144" s="1390"/>
      <c r="D144" s="599" t="s">
        <v>143</v>
      </c>
      <c r="E144" s="531"/>
      <c r="F144" s="531"/>
      <c r="G144" s="536">
        <f>G41+G42+G55+G56</f>
        <v>4888.0419999999885</v>
      </c>
      <c r="H144" s="536">
        <f>G144+'12'!H144</f>
        <v>55874.380999999994</v>
      </c>
      <c r="I144" s="556"/>
      <c r="J144" s="629">
        <f>H144/DAY(B2)</f>
        <v>4298.0293076923072</v>
      </c>
      <c r="K144" s="411"/>
      <c r="L144" s="408"/>
      <c r="N144" s="818"/>
      <c r="O144" s="825"/>
      <c r="P144" s="413"/>
    </row>
    <row r="145" spans="1:16" ht="27.75">
      <c r="A145" s="1388" t="s">
        <v>265</v>
      </c>
      <c r="B145" s="1389"/>
      <c r="C145" s="1390"/>
      <c r="D145" s="599" t="s">
        <v>24</v>
      </c>
      <c r="E145" s="531"/>
      <c r="F145" s="531"/>
      <c r="G145" s="620">
        <f>G144/G7</f>
        <v>0.23443846522781719</v>
      </c>
      <c r="H145" s="536">
        <f>G145+'12'!H145</f>
        <v>2.8904848761070934</v>
      </c>
      <c r="I145" s="621"/>
      <c r="J145" s="629">
        <f>H145/DAY(B2)</f>
        <v>0.2223449904697764</v>
      </c>
      <c r="K145" s="411"/>
      <c r="L145" s="408"/>
      <c r="N145" s="818"/>
      <c r="O145" s="825"/>
      <c r="P145" s="413"/>
    </row>
    <row r="146" spans="1:16" ht="27.75">
      <c r="A146" s="1388" t="s">
        <v>266</v>
      </c>
      <c r="B146" s="1389"/>
      <c r="C146" s="1390"/>
      <c r="D146" s="599" t="s">
        <v>143</v>
      </c>
      <c r="E146" s="531"/>
      <c r="F146" s="531"/>
      <c r="G146" s="536">
        <f>G39+G53</f>
        <v>4090.820000000007</v>
      </c>
      <c r="H146" s="536">
        <f>G146+'12'!H146</f>
        <v>52709.279999999999</v>
      </c>
      <c r="I146" s="622"/>
      <c r="J146" s="629">
        <f>H146/DAY(B2)</f>
        <v>4054.56</v>
      </c>
      <c r="K146" s="411"/>
      <c r="L146" s="408"/>
      <c r="N146" s="818"/>
      <c r="O146" s="825"/>
      <c r="P146" s="413"/>
    </row>
    <row r="147" spans="1:16" ht="27.75">
      <c r="A147" s="1388" t="s">
        <v>267</v>
      </c>
      <c r="B147" s="1389"/>
      <c r="C147" s="1390"/>
      <c r="D147" s="599" t="s">
        <v>24</v>
      </c>
      <c r="E147" s="531"/>
      <c r="F147" s="531"/>
      <c r="G147" s="620">
        <f>G146/G7</f>
        <v>0.19620239808153511</v>
      </c>
      <c r="H147" s="536">
        <f>G147+'12'!H147</f>
        <v>2.7394860596637041</v>
      </c>
      <c r="I147" s="622"/>
      <c r="J147" s="629">
        <f>H147/DAY(B2)</f>
        <v>0.210729696897208</v>
      </c>
      <c r="N147" s="818"/>
      <c r="O147" s="825"/>
      <c r="P147" s="413"/>
    </row>
    <row r="148" spans="1:16" ht="27.75">
      <c r="A148" s="1388" t="s">
        <v>268</v>
      </c>
      <c r="B148" s="1389"/>
      <c r="C148" s="1390"/>
      <c r="D148" s="599" t="s">
        <v>194</v>
      </c>
      <c r="E148" s="531"/>
      <c r="F148" s="531"/>
      <c r="G148" s="536">
        <f>G38+G52</f>
        <v>1969.7999999999884</v>
      </c>
      <c r="H148" s="536">
        <f>G148+'12'!H148</f>
        <v>26251</v>
      </c>
      <c r="I148" s="556"/>
      <c r="J148" s="629">
        <f>H148/DAY(B2)</f>
        <v>2019.3076923076924</v>
      </c>
      <c r="K148" s="412"/>
      <c r="N148" s="818"/>
      <c r="O148" s="825"/>
      <c r="P148" s="413"/>
    </row>
    <row r="149" spans="1:16" ht="27.75">
      <c r="A149" s="1388" t="s">
        <v>269</v>
      </c>
      <c r="B149" s="1389"/>
      <c r="C149" s="1390"/>
      <c r="D149" s="599" t="s">
        <v>24</v>
      </c>
      <c r="E149" s="531"/>
      <c r="F149" s="531"/>
      <c r="G149" s="620">
        <f>G148/G7</f>
        <v>9.4474820143884336E-2</v>
      </c>
      <c r="H149" s="536">
        <f>G149+'12'!H149</f>
        <v>1.364947638235716</v>
      </c>
      <c r="I149" s="622"/>
      <c r="J149" s="629">
        <f>H149/DAY(B2)</f>
        <v>0.10499597217197815</v>
      </c>
      <c r="N149" s="818"/>
      <c r="O149" s="825"/>
      <c r="P149" s="413"/>
    </row>
    <row r="150" spans="1:16" ht="27.75">
      <c r="A150" s="1388" t="s">
        <v>270</v>
      </c>
      <c r="B150" s="1389"/>
      <c r="C150" s="1390"/>
      <c r="D150" s="599" t="s">
        <v>194</v>
      </c>
      <c r="E150" s="531"/>
      <c r="F150" s="531"/>
      <c r="G150" s="536">
        <f>G36+G50</f>
        <v>1771.1999999999534</v>
      </c>
      <c r="H150" s="536">
        <f>G150+'12'!H150</f>
        <v>22633.079999999958</v>
      </c>
      <c r="I150" s="622"/>
      <c r="J150" s="629">
        <f>H150/DAY(B2)</f>
        <v>1741.0061538461507</v>
      </c>
      <c r="N150" s="818"/>
      <c r="O150" s="825"/>
      <c r="P150" s="413"/>
    </row>
    <row r="151" spans="1:16" ht="27.75">
      <c r="A151" s="1388" t="s">
        <v>271</v>
      </c>
      <c r="B151" s="1389"/>
      <c r="C151" s="1390"/>
      <c r="D151" s="599" t="s">
        <v>24</v>
      </c>
      <c r="E151" s="531"/>
      <c r="F151" s="531"/>
      <c r="G151" s="620">
        <f>G150/G7</f>
        <v>8.4949640287767553E-2</v>
      </c>
      <c r="H151" s="536">
        <f>G151+'12'!H151</f>
        <v>1.1780275795876671</v>
      </c>
      <c r="I151" s="556"/>
      <c r="J151" s="629">
        <f>H151/DAY(B2)</f>
        <v>9.0617506122128239E-2</v>
      </c>
      <c r="N151" s="818"/>
      <c r="O151" s="825"/>
      <c r="P151" s="413"/>
    </row>
    <row r="152" spans="1:16" ht="27.75">
      <c r="A152" s="1388" t="s">
        <v>272</v>
      </c>
      <c r="B152" s="1389"/>
      <c r="C152" s="1390"/>
      <c r="D152" s="599" t="s">
        <v>194</v>
      </c>
      <c r="E152" s="531"/>
      <c r="F152" s="531"/>
      <c r="G152" s="536">
        <f>G37+G51</f>
        <v>1492.5829999999987</v>
      </c>
      <c r="H152" s="536">
        <f>G152+'12'!H152</f>
        <v>18651.64</v>
      </c>
      <c r="I152" s="556"/>
      <c r="J152" s="629">
        <f>H152/DAY(B2)</f>
        <v>1434.7415384615383</v>
      </c>
      <c r="N152" s="818"/>
      <c r="O152" s="825"/>
      <c r="P152" s="413"/>
    </row>
    <row r="153" spans="1:16" ht="28.5" thickBot="1">
      <c r="A153" s="1394" t="s">
        <v>273</v>
      </c>
      <c r="B153" s="1395"/>
      <c r="C153" s="1396"/>
      <c r="D153" s="702" t="s">
        <v>24</v>
      </c>
      <c r="E153" s="642"/>
      <c r="F153" s="642"/>
      <c r="G153" s="643">
        <f>G152/G7</f>
        <v>7.1586714628297299E-2</v>
      </c>
      <c r="H153" s="536">
        <f>G153+'12'!H153</f>
        <v>0.97012584387317902</v>
      </c>
      <c r="I153" s="645"/>
      <c r="J153" s="646">
        <f>H153/DAY(B2)</f>
        <v>7.4625064913321465E-2</v>
      </c>
      <c r="N153" s="818"/>
      <c r="O153" s="825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99" t="s">
        <v>274</v>
      </c>
      <c r="B160" s="900"/>
      <c r="C160" s="900"/>
      <c r="D160" s="697" t="s">
        <v>198</v>
      </c>
      <c r="E160" s="598">
        <f>'12'!F160</f>
        <v>26930.76</v>
      </c>
      <c r="F160" s="908">
        <v>27004.609</v>
      </c>
      <c r="G160" s="549">
        <f t="shared" ref="G160:G163" si="16">F160-E160</f>
        <v>73.849000000001979</v>
      </c>
      <c r="N160" s="818"/>
    </row>
    <row r="161" spans="1:14">
      <c r="A161" s="899" t="s">
        <v>275</v>
      </c>
      <c r="B161" s="900"/>
      <c r="C161" s="900"/>
      <c r="D161" s="697" t="s">
        <v>198</v>
      </c>
      <c r="E161" s="598">
        <f>'12'!F161</f>
        <v>33934.9</v>
      </c>
      <c r="F161" s="908">
        <v>34403.29</v>
      </c>
      <c r="G161" s="549">
        <f t="shared" si="16"/>
        <v>468.38999999999942</v>
      </c>
      <c r="N161" s="818"/>
    </row>
    <row r="162" spans="1:14">
      <c r="A162" s="899" t="s">
        <v>276</v>
      </c>
      <c r="B162" s="900"/>
      <c r="C162" s="900"/>
      <c r="D162" s="697" t="s">
        <v>198</v>
      </c>
      <c r="E162" s="598">
        <f>'12'!F162</f>
        <v>9086.1200000000008</v>
      </c>
      <c r="F162" s="908">
        <v>9291.6</v>
      </c>
      <c r="G162" s="549">
        <f t="shared" si="16"/>
        <v>205.47999999999956</v>
      </c>
      <c r="N162" s="818"/>
    </row>
    <row r="163" spans="1:14">
      <c r="A163" s="899" t="s">
        <v>277</v>
      </c>
      <c r="B163" s="900"/>
      <c r="C163" s="900"/>
      <c r="D163" s="697" t="s">
        <v>198</v>
      </c>
      <c r="E163" s="598">
        <f>'12'!F163</f>
        <v>4607.09</v>
      </c>
      <c r="F163" s="908">
        <v>4630.74</v>
      </c>
      <c r="G163" s="549">
        <f t="shared" si="16"/>
        <v>23.649999999999636</v>
      </c>
      <c r="N163" s="818"/>
    </row>
    <row r="164" spans="1:14">
      <c r="A164" s="901" t="s">
        <v>106</v>
      </c>
      <c r="B164" s="902"/>
      <c r="C164" s="902"/>
      <c r="D164" s="697" t="s">
        <v>198</v>
      </c>
      <c r="E164" s="590">
        <f>E62</f>
        <v>20419</v>
      </c>
      <c r="F164" s="590">
        <f>F62</f>
        <v>20419.18</v>
      </c>
      <c r="G164" s="549">
        <f t="shared" ref="G164:G171" si="17">F164-E164</f>
        <v>0.18000000000029104</v>
      </c>
      <c r="N164" s="818"/>
    </row>
    <row r="165" spans="1:14">
      <c r="A165" s="901" t="s">
        <v>199</v>
      </c>
      <c r="B165" s="902"/>
      <c r="C165" s="902"/>
      <c r="D165" s="697" t="s">
        <v>198</v>
      </c>
      <c r="E165" s="590">
        <f t="shared" ref="E165:E171" si="18">E63</f>
        <v>1159.05</v>
      </c>
      <c r="F165" s="590">
        <f t="shared" ref="F165:F171" si="19">F63</f>
        <v>1163.4000000000001</v>
      </c>
      <c r="G165" s="549">
        <f t="shared" si="17"/>
        <v>4.3500000000001364</v>
      </c>
      <c r="N165" s="818"/>
    </row>
    <row r="166" spans="1:14" ht="21.75" customHeight="1">
      <c r="A166" s="1434" t="s">
        <v>107</v>
      </c>
      <c r="B166" s="1434"/>
      <c r="C166" s="1434"/>
      <c r="D166" s="600" t="s">
        <v>198</v>
      </c>
      <c r="E166" s="590">
        <f t="shared" si="18"/>
        <v>103124.14</v>
      </c>
      <c r="F166" s="590">
        <f t="shared" si="19"/>
        <v>103534.41</v>
      </c>
      <c r="G166" s="549">
        <f t="shared" si="17"/>
        <v>410.27000000000407</v>
      </c>
      <c r="N166" s="818"/>
    </row>
    <row r="167" spans="1:14" ht="21.75" customHeight="1">
      <c r="A167" s="1434" t="s">
        <v>108</v>
      </c>
      <c r="B167" s="1434"/>
      <c r="C167" s="1434"/>
      <c r="D167" s="600" t="s">
        <v>198</v>
      </c>
      <c r="E167" s="590">
        <f t="shared" si="18"/>
        <v>113863.78</v>
      </c>
      <c r="F167" s="590">
        <f t="shared" si="19"/>
        <v>114295.34</v>
      </c>
      <c r="G167" s="549">
        <f t="shared" si="17"/>
        <v>431.55999999999767</v>
      </c>
      <c r="N167" s="818"/>
    </row>
    <row r="168" spans="1:14" ht="21.75" customHeight="1">
      <c r="A168" s="1434" t="s">
        <v>109</v>
      </c>
      <c r="B168" s="1434"/>
      <c r="C168" s="1434"/>
      <c r="D168" s="600" t="s">
        <v>198</v>
      </c>
      <c r="E168" s="590">
        <f t="shared" si="18"/>
        <v>6905.02</v>
      </c>
      <c r="F168" s="590">
        <f t="shared" si="19"/>
        <v>7273.22</v>
      </c>
      <c r="G168" s="549">
        <f t="shared" si="17"/>
        <v>368.19999999999982</v>
      </c>
      <c r="N168" s="818"/>
    </row>
    <row r="169" spans="1:14" ht="26.25" customHeight="1">
      <c r="A169" s="1434" t="s">
        <v>110</v>
      </c>
      <c r="B169" s="1434"/>
      <c r="C169" s="1434"/>
      <c r="D169" s="600" t="s">
        <v>198</v>
      </c>
      <c r="E169" s="590">
        <f t="shared" si="18"/>
        <v>176022.07</v>
      </c>
      <c r="F169" s="590">
        <f t="shared" si="19"/>
        <v>176677.11</v>
      </c>
      <c r="G169" s="549">
        <f t="shared" si="17"/>
        <v>655.03999999997905</v>
      </c>
      <c r="N169" s="818"/>
    </row>
    <row r="170" spans="1:14" ht="24" customHeight="1">
      <c r="A170" s="1434" t="s">
        <v>111</v>
      </c>
      <c r="B170" s="1434"/>
      <c r="C170" s="1434"/>
      <c r="D170" s="600" t="s">
        <v>198</v>
      </c>
      <c r="E170" s="590">
        <f t="shared" si="18"/>
        <v>57162.77</v>
      </c>
      <c r="F170" s="590">
        <f t="shared" si="19"/>
        <v>57498.44</v>
      </c>
      <c r="G170" s="549">
        <f t="shared" si="17"/>
        <v>335.67000000000553</v>
      </c>
      <c r="N170" s="818"/>
    </row>
    <row r="171" spans="1:14" ht="27.75">
      <c r="A171" s="1434" t="s">
        <v>112</v>
      </c>
      <c r="B171" s="1434"/>
      <c r="C171" s="1434"/>
      <c r="D171" s="600" t="s">
        <v>198</v>
      </c>
      <c r="E171" s="590">
        <f t="shared" si="18"/>
        <v>50070.18</v>
      </c>
      <c r="F171" s="590">
        <f t="shared" si="19"/>
        <v>50367.02</v>
      </c>
      <c r="G171" s="549">
        <f t="shared" si="17"/>
        <v>296.83999999999651</v>
      </c>
      <c r="N171" s="818"/>
    </row>
    <row r="172" spans="1:14">
      <c r="A172" s="903"/>
      <c r="B172" s="904"/>
      <c r="C172" s="904"/>
      <c r="D172" s="905"/>
      <c r="E172" s="905"/>
      <c r="F172" s="906"/>
      <c r="G172" s="907">
        <f>SUM(G160:G171)</f>
        <v>3273.4789999999839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18.75" customHeight="1">
      <c r="N177" s="818"/>
    </row>
    <row r="178" spans="14:14" ht="18.75" customHeight="1">
      <c r="N178" s="818"/>
    </row>
    <row r="179" spans="14:14" ht="18" customHeight="1">
      <c r="N179" s="818"/>
    </row>
    <row r="180" spans="14:14" ht="18.75" customHeight="1">
      <c r="N180" s="818"/>
    </row>
    <row r="181" spans="14:14" ht="18.75" customHeight="1">
      <c r="N181" s="818"/>
    </row>
    <row r="182" spans="14:14" ht="18" customHeight="1">
      <c r="N182" s="818"/>
    </row>
    <row r="183" spans="14:14" ht="18" customHeight="1">
      <c r="N183" s="818"/>
    </row>
    <row r="184" spans="14:14" ht="18" customHeight="1">
      <c r="N184" s="818"/>
    </row>
    <row r="185" spans="14:14" ht="18" customHeight="1">
      <c r="N185" s="818"/>
    </row>
    <row r="186" spans="14:14" ht="18" customHeight="1">
      <c r="N186" s="818"/>
    </row>
    <row r="187" spans="14:14" ht="18" customHeight="1">
      <c r="N187" s="818"/>
    </row>
    <row r="188" spans="14:14" ht="18" customHeight="1">
      <c r="N188" s="818"/>
    </row>
    <row r="189" spans="14:14" ht="18.75" customHeight="1">
      <c r="N189" s="818"/>
    </row>
    <row r="190" spans="14:14" ht="18.75" customHeight="1">
      <c r="N190" s="818"/>
    </row>
    <row r="191" spans="14:14" ht="18.75" customHeight="1">
      <c r="N191" s="818"/>
    </row>
    <row r="192" spans="14:14" ht="18.75" customHeight="1">
      <c r="N192" s="818"/>
    </row>
    <row r="193" spans="14:14" ht="18.75" customHeight="1">
      <c r="N193" s="818"/>
    </row>
    <row r="194" spans="14:14" ht="18.75" customHeight="1">
      <c r="N194" s="818"/>
    </row>
    <row r="195" spans="14:14" ht="18.75" customHeight="1">
      <c r="N195" s="818"/>
    </row>
    <row r="196" spans="14:14" ht="18.75" customHeight="1">
      <c r="N196" s="818"/>
    </row>
    <row r="197" spans="14:14" ht="18.75" customHeight="1">
      <c r="N197" s="818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zoomScale="55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823"/>
    <col min="16" max="16384" width="22.33203125" style="407"/>
  </cols>
  <sheetData>
    <row r="1" spans="1:16" ht="33.75">
      <c r="A1" s="1399" t="s">
        <v>283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6" s="281" customFormat="1" ht="27">
      <c r="A2" s="652" t="s">
        <v>290</v>
      </c>
      <c r="B2" s="1139">
        <v>44210</v>
      </c>
      <c r="C2" s="1304" t="s">
        <v>69</v>
      </c>
      <c r="D2" s="688">
        <v>0.66830000000000001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824"/>
    </row>
    <row r="3" spans="1:16" s="281" customFormat="1" ht="27">
      <c r="A3" s="647"/>
      <c r="B3" s="691"/>
      <c r="C3" s="1304" t="s">
        <v>131</v>
      </c>
      <c r="D3" s="689">
        <v>24</v>
      </c>
      <c r="E3" s="1408" t="s">
        <v>132</v>
      </c>
      <c r="F3" s="1409"/>
      <c r="G3" s="538"/>
      <c r="H3" s="539"/>
      <c r="I3" s="539"/>
      <c r="J3" s="692"/>
      <c r="K3" s="402"/>
      <c r="L3" s="293"/>
      <c r="N3" s="817"/>
      <c r="O3" s="824"/>
    </row>
    <row r="4" spans="1:16" s="281" customFormat="1" ht="27">
      <c r="A4" s="653"/>
      <c r="B4" s="693"/>
      <c r="C4" s="1304" t="s">
        <v>133</v>
      </c>
      <c r="D4" s="688">
        <v>0.64</v>
      </c>
      <c r="E4" s="540"/>
      <c r="F4" s="540"/>
      <c r="G4" s="540"/>
      <c r="H4" s="540"/>
      <c r="I4" s="541"/>
      <c r="J4" s="692" t="s">
        <v>226</v>
      </c>
      <c r="K4" s="403"/>
      <c r="L4" s="293"/>
      <c r="N4" s="817"/>
      <c r="O4" s="824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2" t="s">
        <v>141</v>
      </c>
      <c r="B6" s="1403"/>
      <c r="C6" s="1404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'13'!F7</f>
        <v>3536793</v>
      </c>
      <c r="F7" s="531">
        <v>3556135</v>
      </c>
      <c r="G7" s="759">
        <f>F7-E7</f>
        <v>19342</v>
      </c>
      <c r="H7" s="760">
        <f>G7+'13'!H7</f>
        <v>269695</v>
      </c>
      <c r="I7" s="761">
        <f>'1'!I7</f>
        <v>12000</v>
      </c>
      <c r="J7" s="762">
        <f>H7/DAY(B2)</f>
        <v>19263.928571428572</v>
      </c>
      <c r="K7" s="626"/>
      <c r="L7" s="408"/>
      <c r="N7" s="829"/>
      <c r="O7" s="825"/>
      <c r="P7" s="828"/>
    </row>
    <row r="8" spans="1:16" ht="27.75" thickBot="1">
      <c r="A8" s="763" t="s">
        <v>144</v>
      </c>
      <c r="B8" s="764"/>
      <c r="C8" s="765"/>
      <c r="D8" s="766" t="s">
        <v>25</v>
      </c>
      <c r="E8" s="710">
        <f>'13'!F8</f>
        <v>3558997</v>
      </c>
      <c r="F8" s="551">
        <v>3578408</v>
      </c>
      <c r="G8" s="770">
        <f>F8-E8</f>
        <v>19411</v>
      </c>
      <c r="H8" s="760">
        <f>G8+'13'!H8</f>
        <v>272036</v>
      </c>
      <c r="I8" s="767">
        <f>'1'!I8</f>
        <v>12000</v>
      </c>
      <c r="J8" s="762">
        <f>H8/DAY(B2)</f>
        <v>19431.142857142859</v>
      </c>
      <c r="K8" s="626"/>
      <c r="L8" s="464"/>
      <c r="M8" s="479"/>
      <c r="N8" s="818"/>
      <c r="O8" s="825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'13'!F9</f>
        <v>2439931.7000000002</v>
      </c>
      <c r="F9" s="554">
        <v>2442807.7000000002</v>
      </c>
      <c r="G9" s="783">
        <f t="shared" ref="G9:G12" si="0">F9-E9</f>
        <v>2876</v>
      </c>
      <c r="H9" s="760">
        <f>G9+'13'!H9</f>
        <v>37592.700000000186</v>
      </c>
      <c r="I9" s="771">
        <f>I7-J7</f>
        <v>-7263.9285714285725</v>
      </c>
      <c r="J9" s="762">
        <f>H9/DAY(B2)</f>
        <v>2685.1928571428703</v>
      </c>
      <c r="K9" s="467"/>
      <c r="L9" s="408"/>
      <c r="N9" s="818"/>
      <c r="O9" s="825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'13'!F10</f>
        <v>956878.07</v>
      </c>
      <c r="F10" s="554">
        <v>972631.43</v>
      </c>
      <c r="G10" s="770">
        <f t="shared" si="0"/>
        <v>15753.360000000102</v>
      </c>
      <c r="H10" s="760">
        <f>G10+'13'!H10</f>
        <v>222109.52000000002</v>
      </c>
      <c r="I10" s="772"/>
      <c r="J10" s="762">
        <f>H10/DAY(B2)</f>
        <v>15864.965714285716</v>
      </c>
      <c r="K10" s="467"/>
      <c r="L10" s="408"/>
      <c r="N10" s="818"/>
      <c r="O10" s="825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'13'!F11</f>
        <v>35390</v>
      </c>
      <c r="F11" s="531">
        <v>35390</v>
      </c>
      <c r="G11" s="770">
        <f t="shared" si="0"/>
        <v>0</v>
      </c>
      <c r="H11" s="760">
        <f>G11+'13'!H11</f>
        <v>0</v>
      </c>
      <c r="I11" s="772"/>
      <c r="J11" s="762">
        <f>H11/DAY(B2)</f>
        <v>0</v>
      </c>
      <c r="K11" s="467"/>
      <c r="L11" s="408"/>
      <c r="N11" s="818"/>
      <c r="O11" s="825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'13'!F12</f>
        <v>37630</v>
      </c>
      <c r="F12" s="554">
        <v>37630</v>
      </c>
      <c r="G12" s="770">
        <f t="shared" si="0"/>
        <v>0</v>
      </c>
      <c r="H12" s="760">
        <f>G12+'13'!H12</f>
        <v>0</v>
      </c>
      <c r="I12" s="772"/>
      <c r="J12" s="762">
        <f>H12/DAY(B2)</f>
        <v>0</v>
      </c>
      <c r="K12" s="467"/>
      <c r="L12" s="408" t="s">
        <v>280</v>
      </c>
      <c r="N12" s="818"/>
      <c r="O12" s="825">
        <v>0</v>
      </c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18629.360000000102</v>
      </c>
      <c r="H13" s="760">
        <f>G13+'13'!H13</f>
        <v>240181.2200000002</v>
      </c>
      <c r="I13" s="776">
        <f>G7-G13</f>
        <v>712.63999999989755</v>
      </c>
      <c r="J13" s="762">
        <f>H13/DAY(B2)</f>
        <v>17155.801428571442</v>
      </c>
      <c r="K13" s="467"/>
      <c r="L13" s="408"/>
      <c r="N13" s="818"/>
      <c r="O13" s="825"/>
      <c r="P13" s="413"/>
    </row>
    <row r="14" spans="1:16">
      <c r="A14" s="1405" t="s">
        <v>150</v>
      </c>
      <c r="B14" s="1406"/>
      <c r="C14" s="1407"/>
      <c r="D14" s="548"/>
      <c r="E14" s="548"/>
      <c r="F14" s="548"/>
      <c r="G14" s="559"/>
      <c r="H14" s="548"/>
      <c r="I14" s="548"/>
      <c r="J14" s="628"/>
      <c r="K14" s="468"/>
      <c r="L14" s="408"/>
      <c r="N14" s="818"/>
      <c r="O14" s="825"/>
      <c r="P14" s="413"/>
    </row>
    <row r="15" spans="1:16">
      <c r="A15" s="897" t="s">
        <v>151</v>
      </c>
      <c r="B15" s="898"/>
      <c r="C15" s="898"/>
      <c r="D15" s="600" t="s">
        <v>152</v>
      </c>
      <c r="E15" s="561">
        <f>'13'!F15</f>
        <v>1578909.4790000001</v>
      </c>
      <c r="F15" s="561">
        <v>1579763.882</v>
      </c>
      <c r="G15" s="745">
        <f>(F15-E15)</f>
        <v>854.40299999993294</v>
      </c>
      <c r="H15" s="562">
        <f>G15+'13'!H15</f>
        <v>10849.78199999989</v>
      </c>
      <c r="I15" s="550">
        <v>800</v>
      </c>
      <c r="J15" s="630">
        <f>H15/DAY(B2)</f>
        <v>774.98442857142072</v>
      </c>
      <c r="K15" s="467"/>
      <c r="L15" s="408"/>
      <c r="N15" s="818"/>
      <c r="O15" s="825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25.015571428579278</v>
      </c>
      <c r="J16" s="630"/>
      <c r="K16" s="467"/>
      <c r="L16" s="408"/>
      <c r="N16" s="818"/>
      <c r="O16" s="825"/>
      <c r="P16" s="413"/>
    </row>
    <row r="17" spans="1:16">
      <c r="A17" s="1405" t="s">
        <v>153</v>
      </c>
      <c r="B17" s="1406"/>
      <c r="C17" s="1407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5"/>
      <c r="P17" s="413"/>
    </row>
    <row r="18" spans="1:16" ht="27.75">
      <c r="A18" s="1431" t="s">
        <v>154</v>
      </c>
      <c r="B18" s="1432"/>
      <c r="C18" s="1433"/>
      <c r="D18" s="715" t="s">
        <v>155</v>
      </c>
      <c r="E18" s="712">
        <f>'13'!F18</f>
        <v>12</v>
      </c>
      <c r="F18" s="554">
        <v>10</v>
      </c>
      <c r="G18" s="775">
        <f>F18*10</f>
        <v>100</v>
      </c>
      <c r="H18" s="760">
        <f>G18+'13'!H18</f>
        <v>1470</v>
      </c>
      <c r="I18" s="761">
        <f>'1'!I18</f>
        <v>65</v>
      </c>
      <c r="J18" s="762">
        <f>H18/DAY(B2)</f>
        <v>105</v>
      </c>
      <c r="K18" s="467"/>
      <c r="L18" s="408"/>
      <c r="N18" s="818"/>
      <c r="O18" s="825"/>
      <c r="P18" s="413"/>
    </row>
    <row r="19" spans="1:16" ht="27.75">
      <c r="A19" s="1431" t="s">
        <v>71</v>
      </c>
      <c r="B19" s="1432"/>
      <c r="C19" s="1433"/>
      <c r="D19" s="715" t="s">
        <v>155</v>
      </c>
      <c r="E19" s="712">
        <f>'13'!F19</f>
        <v>132133</v>
      </c>
      <c r="F19" s="554">
        <v>132184</v>
      </c>
      <c r="G19" s="770">
        <f t="shared" ref="G19" si="1">F19-E19</f>
        <v>51</v>
      </c>
      <c r="H19" s="760">
        <f>G19+'13'!H19</f>
        <v>691</v>
      </c>
      <c r="I19" s="777"/>
      <c r="J19" s="762">
        <f>H19/DAY(B2)</f>
        <v>49.357142857142854</v>
      </c>
      <c r="K19" s="467"/>
      <c r="L19" s="408"/>
      <c r="N19" s="818"/>
      <c r="O19" s="825"/>
      <c r="P19" s="413"/>
    </row>
    <row r="20" spans="1:16">
      <c r="A20" s="773" t="s">
        <v>156</v>
      </c>
      <c r="B20" s="774"/>
      <c r="C20" s="774"/>
      <c r="D20" s="715"/>
      <c r="E20" s="715"/>
      <c r="F20" s="809"/>
      <c r="G20" s="778">
        <f>G18+G19</f>
        <v>151</v>
      </c>
      <c r="H20" s="760">
        <f>G20+'13'!H20</f>
        <v>2161</v>
      </c>
      <c r="I20" s="779">
        <f>I18-J20</f>
        <v>-89.357142857142861</v>
      </c>
      <c r="J20" s="762">
        <f>H20/DAY(B2)</f>
        <v>154.35714285714286</v>
      </c>
      <c r="K20" s="467"/>
      <c r="L20" s="408"/>
      <c r="N20" s="818"/>
      <c r="O20" s="825"/>
      <c r="P20" s="413"/>
    </row>
    <row r="21" spans="1:16">
      <c r="A21" s="1405" t="s">
        <v>157</v>
      </c>
      <c r="B21" s="1406"/>
      <c r="C21" s="1407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5"/>
      <c r="P21" s="413"/>
    </row>
    <row r="22" spans="1:16">
      <c r="A22" s="1297" t="s">
        <v>158</v>
      </c>
      <c r="B22" s="666"/>
      <c r="C22" s="666"/>
      <c r="D22" s="599" t="s">
        <v>159</v>
      </c>
      <c r="E22" s="712">
        <f>'13'!F22</f>
        <v>2250</v>
      </c>
      <c r="F22" s="554">
        <v>2250</v>
      </c>
      <c r="G22" s="557">
        <f t="shared" ref="G22" si="2">(F22-E22)</f>
        <v>0</v>
      </c>
      <c r="H22" s="536">
        <f>G22+'13'!H22</f>
        <v>0</v>
      </c>
      <c r="I22" s="556"/>
      <c r="J22" s="629">
        <f>H22/DAY(B2)</f>
        <v>0</v>
      </c>
      <c r="K22" s="467"/>
      <c r="L22" s="408"/>
      <c r="N22" s="818"/>
      <c r="O22" s="825"/>
      <c r="P22" s="413"/>
    </row>
    <row r="23" spans="1:16">
      <c r="A23" s="1297" t="s">
        <v>160</v>
      </c>
      <c r="B23" s="666"/>
      <c r="C23" s="666"/>
      <c r="D23" s="599" t="s">
        <v>159</v>
      </c>
      <c r="E23" s="712">
        <f>'13'!F23</f>
        <v>2000</v>
      </c>
      <c r="F23" s="554">
        <v>2000</v>
      </c>
      <c r="G23" s="557">
        <v>0</v>
      </c>
      <c r="H23" s="536">
        <f>G23+'13'!H23</f>
        <v>0</v>
      </c>
      <c r="I23" s="556"/>
      <c r="J23" s="629">
        <f>H23/DAY(B2)</f>
        <v>0</v>
      </c>
      <c r="K23" s="467"/>
      <c r="L23" s="408"/>
      <c r="N23" s="818"/>
      <c r="O23" s="825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'13'!F24</f>
        <v>4250</v>
      </c>
      <c r="F24" s="561">
        <v>4250</v>
      </c>
      <c r="G24" s="557">
        <v>0</v>
      </c>
      <c r="H24" s="536">
        <f>G24+'13'!H24</f>
        <v>0</v>
      </c>
      <c r="I24" s="556"/>
      <c r="J24" s="629">
        <f>H24/DAY(B2)</f>
        <v>0</v>
      </c>
      <c r="K24" s="467"/>
      <c r="L24" s="408"/>
      <c r="N24" s="818"/>
      <c r="O24" s="825"/>
      <c r="P24" s="413"/>
    </row>
    <row r="25" spans="1:16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5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5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19411</v>
      </c>
      <c r="F27" s="577">
        <v>9</v>
      </c>
      <c r="G27" s="578">
        <f>E27*F27</f>
        <v>174699</v>
      </c>
      <c r="H27" s="536">
        <f>G27+'13'!H27</f>
        <v>2466399</v>
      </c>
      <c r="I27" s="579"/>
      <c r="J27" s="629">
        <f>H27/DAY(B2)</f>
        <v>176171.35714285713</v>
      </c>
      <c r="K27" s="404"/>
      <c r="L27" s="484"/>
      <c r="N27" s="818"/>
      <c r="O27" s="825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854.40299999993294</v>
      </c>
      <c r="F28" s="577">
        <v>41</v>
      </c>
      <c r="G28" s="578">
        <f>E28*F28</f>
        <v>35030.522999997251</v>
      </c>
      <c r="H28" s="536">
        <f>G28+'13'!H28</f>
        <v>443599.70199999551</v>
      </c>
      <c r="I28" s="581"/>
      <c r="J28" s="629">
        <f>H28/DAY(B2)</f>
        <v>31685.692999999679</v>
      </c>
      <c r="K28" s="404"/>
      <c r="L28" s="484"/>
      <c r="N28" s="818"/>
      <c r="O28" s="825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G29+'13'!H29</f>
        <v>0</v>
      </c>
      <c r="I29" s="581"/>
      <c r="J29" s="629">
        <f>H29/DAY(B2)</f>
        <v>0</v>
      </c>
      <c r="K29" s="404"/>
      <c r="L29" s="484"/>
      <c r="N29" s="818"/>
      <c r="O29" s="825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51</v>
      </c>
      <c r="F30" s="577">
        <v>134</v>
      </c>
      <c r="G30" s="578">
        <f>E30*F30</f>
        <v>6834</v>
      </c>
      <c r="H30" s="536">
        <f>G30+'13'!H30</f>
        <v>92594</v>
      </c>
      <c r="I30" s="581"/>
      <c r="J30" s="629">
        <f>H30/DAY(B2)</f>
        <v>6613.8571428571431</v>
      </c>
      <c r="K30" s="404"/>
      <c r="L30" s="484"/>
      <c r="N30" s="818"/>
      <c r="O30" s="825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100</v>
      </c>
      <c r="F31" s="577">
        <v>80</v>
      </c>
      <c r="G31" s="578">
        <f>E31*F31</f>
        <v>8000</v>
      </c>
      <c r="H31" s="536">
        <f>G31+'13'!H31</f>
        <v>117600</v>
      </c>
      <c r="I31" s="581"/>
      <c r="J31" s="629"/>
      <c r="K31" s="404"/>
      <c r="L31" s="484"/>
      <c r="N31" s="818"/>
      <c r="O31" s="825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224563.52299999725</v>
      </c>
      <c r="H32" s="536">
        <f>G32+'13'!H32</f>
        <v>3120192.7019999959</v>
      </c>
      <c r="I32" s="585"/>
      <c r="J32" s="629">
        <f>H32/DAY(B2)</f>
        <v>222870.907285714</v>
      </c>
      <c r="K32" s="404"/>
      <c r="L32" s="484"/>
      <c r="N32" s="818"/>
      <c r="O32" s="825"/>
      <c r="P32" s="413"/>
    </row>
    <row r="33" spans="1:16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818"/>
      <c r="O33" s="825"/>
      <c r="P33" s="413"/>
    </row>
    <row r="34" spans="1:16">
      <c r="A34" s="675" t="s">
        <v>174</v>
      </c>
      <c r="B34" s="1299"/>
      <c r="C34" s="1299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5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'13'!F35</f>
        <v>629027.67000000004</v>
      </c>
      <c r="F35" s="586">
        <v>629027.67000000004</v>
      </c>
      <c r="G35" s="549">
        <f t="shared" ref="G35:G46" si="3">F35-E35</f>
        <v>0</v>
      </c>
      <c r="H35" s="536">
        <f>G35+'13'!H35</f>
        <v>0.67000000004190952</v>
      </c>
      <c r="I35" s="531"/>
      <c r="J35" s="629">
        <f>H35/DAY(B2)</f>
        <v>4.7857142860136391E-2</v>
      </c>
      <c r="K35" s="467"/>
      <c r="L35" s="408"/>
      <c r="N35" s="818"/>
      <c r="O35" s="826" t="s">
        <v>280</v>
      </c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'13'!F36</f>
        <v>264074.90999999997</v>
      </c>
      <c r="F36" s="586">
        <v>264764.19</v>
      </c>
      <c r="G36" s="549">
        <f t="shared" si="3"/>
        <v>689.28000000002794</v>
      </c>
      <c r="H36" s="536">
        <f>G36+'13'!H36</f>
        <v>9673.1199999999953</v>
      </c>
      <c r="I36" s="531"/>
      <c r="J36" s="629">
        <f>H36/DAY(B2)</f>
        <v>690.93714285714248</v>
      </c>
      <c r="K36" s="467"/>
      <c r="L36" s="408"/>
      <c r="N36" s="819"/>
      <c r="O36" s="826" t="s">
        <v>285</v>
      </c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'13'!F37</f>
        <v>415066</v>
      </c>
      <c r="F37" s="586">
        <v>415066</v>
      </c>
      <c r="G37" s="549">
        <f t="shared" si="3"/>
        <v>0</v>
      </c>
      <c r="H37" s="536">
        <f>G37+'13'!H37</f>
        <v>0</v>
      </c>
      <c r="I37" s="531"/>
      <c r="J37" s="629">
        <f>H37/DAY(B2)</f>
        <v>0</v>
      </c>
      <c r="K37" s="467"/>
      <c r="L37" s="408"/>
      <c r="N37" s="819"/>
      <c r="O37" s="826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'13'!F38</f>
        <v>150714</v>
      </c>
      <c r="F38" s="545">
        <v>150714</v>
      </c>
      <c r="G38" s="549">
        <f t="shared" si="3"/>
        <v>0</v>
      </c>
      <c r="H38" s="536">
        <f>G38+'13'!H38</f>
        <v>0</v>
      </c>
      <c r="I38" s="531"/>
      <c r="J38" s="629">
        <f>H38/DAY(B2)</f>
        <v>0</v>
      </c>
      <c r="K38" s="467"/>
      <c r="L38" s="408"/>
      <c r="N38" s="818"/>
      <c r="O38" s="825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'13'!F39</f>
        <v>912480</v>
      </c>
      <c r="F39" s="586">
        <v>912480</v>
      </c>
      <c r="G39" s="549">
        <f t="shared" si="3"/>
        <v>0</v>
      </c>
      <c r="H39" s="536">
        <f>G39+'13'!H39</f>
        <v>0</v>
      </c>
      <c r="I39" s="531"/>
      <c r="J39" s="629">
        <f>H39/DAY(B2)</f>
        <v>0</v>
      </c>
      <c r="K39" s="467"/>
      <c r="L39" s="408"/>
      <c r="N39" s="818"/>
      <c r="O39" s="826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'13'!F40</f>
        <v>0.17</v>
      </c>
      <c r="F40" s="586">
        <v>0.17</v>
      </c>
      <c r="G40" s="549">
        <f t="shared" si="3"/>
        <v>0</v>
      </c>
      <c r="H40" s="536">
        <f>G40+'13'!H40</f>
        <v>0</v>
      </c>
      <c r="I40" s="531"/>
      <c r="J40" s="629">
        <f>H40/DAY(B2)</f>
        <v>0</v>
      </c>
      <c r="K40" s="468"/>
      <c r="L40" s="408"/>
      <c r="N40" s="818"/>
      <c r="O40" s="825"/>
      <c r="P40" s="413"/>
    </row>
    <row r="41" spans="1:16">
      <c r="A41" s="655" t="s">
        <v>181</v>
      </c>
      <c r="B41" s="656"/>
      <c r="C41" s="656" t="s">
        <v>226</v>
      </c>
      <c r="D41" s="599" t="s">
        <v>143</v>
      </c>
      <c r="E41" s="586">
        <f>'13'!F41</f>
        <v>300127.95</v>
      </c>
      <c r="F41" s="586">
        <v>300127.95</v>
      </c>
      <c r="G41" s="549">
        <f t="shared" si="3"/>
        <v>0</v>
      </c>
      <c r="H41" s="536">
        <f>G41+'13'!H41</f>
        <v>0</v>
      </c>
      <c r="I41" s="531"/>
      <c r="J41" s="629">
        <f>H41/DAY(B2)</f>
        <v>0</v>
      </c>
      <c r="K41" s="467"/>
      <c r="L41" s="408"/>
      <c r="N41" s="818"/>
      <c r="O41" s="827"/>
      <c r="P41" s="821"/>
    </row>
    <row r="42" spans="1:16">
      <c r="A42" s="655" t="s">
        <v>182</v>
      </c>
      <c r="B42" s="656"/>
      <c r="C42" s="656"/>
      <c r="D42" s="599" t="s">
        <v>143</v>
      </c>
      <c r="E42" s="586">
        <f>'13'!F42</f>
        <v>58926.099000000002</v>
      </c>
      <c r="F42" s="586">
        <v>58926.099000000002</v>
      </c>
      <c r="G42" s="549">
        <f t="shared" si="3"/>
        <v>0</v>
      </c>
      <c r="H42" s="536">
        <f>G42+'13'!H42</f>
        <v>9.0000000054715201E-3</v>
      </c>
      <c r="I42" s="531"/>
      <c r="J42" s="629">
        <f>H42/DAY(B2)</f>
        <v>6.4285714324796572E-4</v>
      </c>
      <c r="K42" s="467"/>
      <c r="L42" s="408"/>
      <c r="N42" s="818"/>
      <c r="O42" s="825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'13'!F43</f>
        <v>725433.83</v>
      </c>
      <c r="F43" s="586">
        <v>727744.55</v>
      </c>
      <c r="G43" s="549">
        <f t="shared" si="3"/>
        <v>2310.7200000000885</v>
      </c>
      <c r="H43" s="536">
        <f>G43+'13'!H43</f>
        <v>29491.119999999995</v>
      </c>
      <c r="I43" s="531"/>
      <c r="J43" s="629">
        <f>H43/DAY(B2)</f>
        <v>2106.508571428571</v>
      </c>
      <c r="K43" s="467"/>
      <c r="L43" s="408"/>
      <c r="N43" s="818"/>
      <c r="O43" s="826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'13'!F44</f>
        <v>0</v>
      </c>
      <c r="F44" s="586">
        <v>0</v>
      </c>
      <c r="G44" s="549">
        <f t="shared" si="3"/>
        <v>0</v>
      </c>
      <c r="H44" s="536">
        <f>G44+'13'!H44</f>
        <v>0</v>
      </c>
      <c r="I44" s="531"/>
      <c r="J44" s="629">
        <f>H44/DAY(B2)</f>
        <v>0</v>
      </c>
      <c r="K44" s="467"/>
      <c r="L44" s="408"/>
      <c r="N44" s="818"/>
      <c r="O44" s="825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'13'!F45</f>
        <v>614</v>
      </c>
      <c r="F45" s="586">
        <v>614</v>
      </c>
      <c r="G45" s="549">
        <f t="shared" si="3"/>
        <v>0</v>
      </c>
      <c r="H45" s="536">
        <f>G45+'13'!H45</f>
        <v>-0.48000000000001819</v>
      </c>
      <c r="I45" s="531"/>
      <c r="J45" s="629">
        <f>H45/DAY(B2)</f>
        <v>-3.4285714285715585E-2</v>
      </c>
      <c r="K45" s="467"/>
      <c r="L45" s="408"/>
      <c r="N45" s="822"/>
      <c r="O45" s="825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'13'!F46</f>
        <v>187.49</v>
      </c>
      <c r="F46" s="586">
        <v>187.49</v>
      </c>
      <c r="G46" s="549">
        <f t="shared" si="3"/>
        <v>0</v>
      </c>
      <c r="H46" s="536">
        <f>G46+'13'!H46</f>
        <v>0</v>
      </c>
      <c r="I46" s="531"/>
      <c r="J46" s="629">
        <f>H46/DAY(B2)</f>
        <v>0</v>
      </c>
      <c r="K46" s="467"/>
      <c r="L46" s="408"/>
      <c r="N46" s="818"/>
      <c r="O46" s="825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3000.0000000001164</v>
      </c>
      <c r="H47" s="536">
        <f>G47+'13'!H47</f>
        <v>39164.439000000035</v>
      </c>
      <c r="I47" s="531"/>
      <c r="J47" s="629">
        <f>H47/DAY(B2)</f>
        <v>2797.4599285714312</v>
      </c>
      <c r="K47" s="467"/>
      <c r="L47" s="408"/>
      <c r="N47" s="818"/>
      <c r="O47" s="825"/>
      <c r="P47" s="413"/>
    </row>
    <row r="48" spans="1:16">
      <c r="A48" s="675" t="s">
        <v>188</v>
      </c>
      <c r="B48" s="1299"/>
      <c r="C48" s="1299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5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'13'!F49</f>
        <v>187649.59</v>
      </c>
      <c r="F49" s="586">
        <v>190998.51</v>
      </c>
      <c r="G49" s="549">
        <f t="shared" ref="G49:G58" si="4">F49-E49</f>
        <v>3348.9200000000128</v>
      </c>
      <c r="H49" s="536">
        <f>G49+'13'!H49</f>
        <v>38593.510000000009</v>
      </c>
      <c r="I49" s="531"/>
      <c r="J49" s="629">
        <f>H49/DAY(B2)</f>
        <v>2756.6792857142864</v>
      </c>
      <c r="K49" s="467"/>
      <c r="L49" s="408"/>
      <c r="N49" s="818"/>
      <c r="O49" s="825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'13'!F50</f>
        <v>348549.67</v>
      </c>
      <c r="F50" s="586">
        <v>349528.99</v>
      </c>
      <c r="G50" s="549">
        <f t="shared" si="4"/>
        <v>979.32000000000698</v>
      </c>
      <c r="H50" s="536">
        <f>G50+'13'!H50</f>
        <v>13311.559999999998</v>
      </c>
      <c r="I50" s="531"/>
      <c r="J50" s="629">
        <f>H50/DAY(B2)</f>
        <v>950.82571428571407</v>
      </c>
      <c r="K50" s="467"/>
      <c r="L50" s="408"/>
      <c r="N50" s="818"/>
      <c r="O50" s="826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'13'!F51</f>
        <v>83358.75</v>
      </c>
      <c r="F51" s="586">
        <v>84763.551000000007</v>
      </c>
      <c r="G51" s="549">
        <f t="shared" si="4"/>
        <v>1404.8010000000068</v>
      </c>
      <c r="H51" s="536">
        <f>G51+'13'!H51</f>
        <v>18605.441000000006</v>
      </c>
      <c r="I51" s="531"/>
      <c r="J51" s="629">
        <f>H51/DAY(B2)</f>
        <v>1328.9600714285718</v>
      </c>
      <c r="K51" s="467"/>
      <c r="L51" s="408"/>
      <c r="N51" s="818"/>
      <c r="O51" s="825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'13'!F52</f>
        <v>459430.63</v>
      </c>
      <c r="F52" s="586">
        <v>461308.87</v>
      </c>
      <c r="G52" s="549">
        <f t="shared" si="4"/>
        <v>1878.2399999999907</v>
      </c>
      <c r="H52" s="536">
        <f>G52+'13'!H52</f>
        <v>26033.239999999991</v>
      </c>
      <c r="I52" s="531"/>
      <c r="J52" s="629">
        <f>H52/DAY(B2)</f>
        <v>1859.5171428571423</v>
      </c>
      <c r="K52" s="467"/>
      <c r="L52" s="408"/>
      <c r="N52" s="818"/>
      <c r="O52" s="825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'13'!F53</f>
        <v>229311.25</v>
      </c>
      <c r="F53" s="586">
        <v>233168.98</v>
      </c>
      <c r="G53" s="549">
        <f t="shared" si="4"/>
        <v>3857.7300000000105</v>
      </c>
      <c r="H53" s="536">
        <f>G53+'13'!H53</f>
        <v>52104.010000000009</v>
      </c>
      <c r="I53" s="531"/>
      <c r="J53" s="629">
        <f>H53/DAY(B2)</f>
        <v>3721.7150000000006</v>
      </c>
      <c r="K53" s="467"/>
      <c r="L53" s="408"/>
      <c r="N53" s="818"/>
      <c r="O53" s="825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'13'!F54</f>
        <v>5346.1</v>
      </c>
      <c r="F54" s="586">
        <v>5408.03</v>
      </c>
      <c r="G54" s="549">
        <f t="shared" si="4"/>
        <v>61.929999999999382</v>
      </c>
      <c r="H54" s="536">
        <f>G54+'13'!H54</f>
        <v>761.48999999999978</v>
      </c>
      <c r="I54" s="531"/>
      <c r="J54" s="629">
        <f>H54/DAY(B2)</f>
        <v>54.392142857142844</v>
      </c>
      <c r="K54" s="467"/>
      <c r="L54" s="408"/>
      <c r="N54" s="818"/>
      <c r="O54" s="825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'13'!F55</f>
        <v>11362.162</v>
      </c>
      <c r="F55" s="734">
        <v>15709.66</v>
      </c>
      <c r="G55" s="733">
        <f t="shared" si="4"/>
        <v>4347.4979999999996</v>
      </c>
      <c r="H55" s="805">
        <f>G55+'13'!H55</f>
        <v>15709.39000000001</v>
      </c>
      <c r="I55" s="806"/>
      <c r="J55" s="807">
        <f>H55/DAY(B2)</f>
        <v>1122.0992857142865</v>
      </c>
      <c r="K55" s="467"/>
      <c r="L55" s="408"/>
      <c r="N55" s="818"/>
      <c r="O55" s="825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'13'!F56</f>
        <v>557724.23</v>
      </c>
      <c r="F56" s="734">
        <v>557724.27</v>
      </c>
      <c r="G56" s="549">
        <f t="shared" si="4"/>
        <v>4.0000000037252903E-2</v>
      </c>
      <c r="H56" s="536">
        <f>G56+'13'!H56</f>
        <v>39823.520000000019</v>
      </c>
      <c r="I56" s="531"/>
      <c r="J56" s="629">
        <f>H56/DAY(B2)</f>
        <v>2844.5371428571443</v>
      </c>
      <c r="K56" s="466"/>
      <c r="L56" s="408"/>
      <c r="N56" s="818"/>
      <c r="O56" s="827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'13'!F57</f>
        <v>0</v>
      </c>
      <c r="F57" s="586">
        <v>0</v>
      </c>
      <c r="G57" s="549">
        <f t="shared" si="4"/>
        <v>0</v>
      </c>
      <c r="H57" s="536">
        <f>G57+'13'!H57</f>
        <v>0</v>
      </c>
      <c r="I57" s="531"/>
      <c r="J57" s="629">
        <f>H57/DAY(B2)</f>
        <v>0</v>
      </c>
      <c r="K57" s="467"/>
      <c r="L57" s="408"/>
      <c r="N57" s="818"/>
      <c r="O57" s="825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'13'!F58</f>
        <v>27141.093000000001</v>
      </c>
      <c r="F58" s="734">
        <v>27291.5</v>
      </c>
      <c r="G58" s="549">
        <f t="shared" si="4"/>
        <v>150.40699999999924</v>
      </c>
      <c r="H58" s="536">
        <f>G58+'13'!H58</f>
        <v>2136.09</v>
      </c>
      <c r="I58" s="531"/>
      <c r="J58" s="629">
        <f>H58/DAY(B2)</f>
        <v>152.57785714285714</v>
      </c>
      <c r="K58" s="467"/>
      <c r="L58" s="408"/>
      <c r="N58" s="818"/>
      <c r="O58" s="825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16028.886000000064</v>
      </c>
      <c r="H59" s="536">
        <f>G59+'13'!H59</f>
        <v>207078.25100000005</v>
      </c>
      <c r="I59" s="531">
        <f>G7-G60</f>
        <v>313.1139999998195</v>
      </c>
      <c r="J59" s="629">
        <f>H59/DAY(B2)</f>
        <v>14791.303642857147</v>
      </c>
      <c r="K59" s="467"/>
      <c r="L59" s="408"/>
      <c r="N59" s="818"/>
      <c r="O59" s="825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19028.886000000181</v>
      </c>
      <c r="H60" s="536">
        <f>G60+'13'!H60</f>
        <v>263276.69000000012</v>
      </c>
      <c r="I60" s="531">
        <f>G13-G60</f>
        <v>-399.52600000007806</v>
      </c>
      <c r="J60" s="629">
        <f>H60/DAY(B2)</f>
        <v>18805.477857142865</v>
      </c>
      <c r="K60" s="467"/>
      <c r="L60" s="408"/>
      <c r="N60" s="818"/>
      <c r="O60" s="825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5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'13'!F62</f>
        <v>20419.18</v>
      </c>
      <c r="F62" s="590">
        <v>20419.18</v>
      </c>
      <c r="G62" s="549">
        <f t="shared" ref="G62:G69" si="5">F62-E62</f>
        <v>0</v>
      </c>
      <c r="H62" s="536">
        <f>G62+'13'!H62</f>
        <v>0</v>
      </c>
      <c r="I62" s="591"/>
      <c r="J62" s="629">
        <f>H62/DAY(B2)</f>
        <v>0</v>
      </c>
      <c r="K62" s="467"/>
      <c r="L62" s="408"/>
      <c r="N62" s="818"/>
      <c r="O62" s="825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'13'!F63</f>
        <v>1163.4000000000001</v>
      </c>
      <c r="F63" s="590">
        <v>1167.5</v>
      </c>
      <c r="G63" s="549">
        <f t="shared" si="5"/>
        <v>4.0999999999999091</v>
      </c>
      <c r="H63" s="536">
        <f>G63+'13'!H63</f>
        <v>59.589999999999918</v>
      </c>
      <c r="I63" s="591"/>
      <c r="J63" s="629">
        <f>H63/DAY(B2)</f>
        <v>4.2564285714285655</v>
      </c>
      <c r="K63" s="467"/>
      <c r="L63" s="408"/>
      <c r="N63" s="818"/>
      <c r="O63" s="825"/>
      <c r="P63" s="413"/>
    </row>
    <row r="64" spans="1:16" ht="27.75">
      <c r="A64" s="1367" t="s">
        <v>107</v>
      </c>
      <c r="B64" s="1368"/>
      <c r="C64" s="1369"/>
      <c r="D64" s="599" t="s">
        <v>198</v>
      </c>
      <c r="E64" s="590">
        <f>'13'!F64</f>
        <v>103534.41</v>
      </c>
      <c r="F64" s="554">
        <v>103928.24</v>
      </c>
      <c r="G64" s="549">
        <f t="shared" si="5"/>
        <v>393.83000000000175</v>
      </c>
      <c r="H64" s="536">
        <f>G64+'13'!H64</f>
        <v>5504.8400000000111</v>
      </c>
      <c r="I64" s="556"/>
      <c r="J64" s="629">
        <f>H64/DAY(B2)</f>
        <v>393.20285714285791</v>
      </c>
      <c r="K64" s="467"/>
      <c r="L64" s="408"/>
      <c r="N64" s="818"/>
      <c r="O64" s="825"/>
      <c r="P64" s="413"/>
    </row>
    <row r="65" spans="1:16" ht="27.75">
      <c r="A65" s="1367" t="s">
        <v>108</v>
      </c>
      <c r="B65" s="1368"/>
      <c r="C65" s="1369"/>
      <c r="D65" s="599" t="s">
        <v>198</v>
      </c>
      <c r="E65" s="590">
        <f>'13'!F65</f>
        <v>114295.34</v>
      </c>
      <c r="F65" s="732">
        <v>114690.87</v>
      </c>
      <c r="G65" s="549">
        <f t="shared" si="5"/>
        <v>395.52999999999884</v>
      </c>
      <c r="H65" s="536">
        <f>G65+'13'!H65</f>
        <v>5646.75</v>
      </c>
      <c r="I65" s="565"/>
      <c r="J65" s="629">
        <f>H65/DAY(B2)</f>
        <v>403.33928571428572</v>
      </c>
      <c r="K65" s="467"/>
      <c r="L65" s="408"/>
      <c r="N65" s="818"/>
      <c r="O65" s="826"/>
      <c r="P65" s="413"/>
    </row>
    <row r="66" spans="1:16" ht="27.75">
      <c r="A66" s="1367" t="s">
        <v>109</v>
      </c>
      <c r="B66" s="1368"/>
      <c r="C66" s="1369"/>
      <c r="D66" s="599" t="s">
        <v>198</v>
      </c>
      <c r="E66" s="590">
        <f>'13'!F66</f>
        <v>7273.22</v>
      </c>
      <c r="F66" s="554">
        <v>7617.09</v>
      </c>
      <c r="G66" s="549">
        <f t="shared" si="5"/>
        <v>343.86999999999989</v>
      </c>
      <c r="H66" s="536">
        <f>G66+'13'!H66</f>
        <v>5195</v>
      </c>
      <c r="I66" s="556"/>
      <c r="J66" s="629">
        <f>H66/DAY(B2)</f>
        <v>371.07142857142856</v>
      </c>
      <c r="K66" s="467"/>
      <c r="L66" s="408"/>
      <c r="N66" s="818"/>
      <c r="O66" s="825"/>
      <c r="P66" s="413"/>
    </row>
    <row r="67" spans="1:16" ht="27.75">
      <c r="A67" s="1367" t="s">
        <v>110</v>
      </c>
      <c r="B67" s="1368"/>
      <c r="C67" s="1369"/>
      <c r="D67" s="599" t="s">
        <v>198</v>
      </c>
      <c r="E67" s="590">
        <f>'13'!F67</f>
        <v>176677.11</v>
      </c>
      <c r="F67" s="554">
        <v>177299.03</v>
      </c>
      <c r="G67" s="549">
        <f t="shared" si="5"/>
        <v>621.92000000001281</v>
      </c>
      <c r="H67" s="536">
        <f>G67+'13'!H67</f>
        <v>9057.679999999993</v>
      </c>
      <c r="I67" s="565"/>
      <c r="J67" s="629">
        <f>H67/DAY(B2)</f>
        <v>646.97714285714233</v>
      </c>
      <c r="K67" s="468"/>
      <c r="L67" s="408"/>
      <c r="N67" s="818"/>
      <c r="O67" s="825"/>
      <c r="P67" s="413"/>
    </row>
    <row r="68" spans="1:16" ht="27.75">
      <c r="A68" s="1367" t="s">
        <v>111</v>
      </c>
      <c r="B68" s="1368"/>
      <c r="C68" s="1369"/>
      <c r="D68" s="599" t="s">
        <v>198</v>
      </c>
      <c r="E68" s="590">
        <f>'13'!F68</f>
        <v>57498.44</v>
      </c>
      <c r="F68" s="554">
        <v>57814.77</v>
      </c>
      <c r="G68" s="549">
        <f t="shared" si="5"/>
        <v>316.32999999999447</v>
      </c>
      <c r="H68" s="536">
        <f>G68+'13'!H68</f>
        <v>4190.8699999999953</v>
      </c>
      <c r="I68" s="592"/>
      <c r="J68" s="629">
        <f>H68/DAY(B2)</f>
        <v>299.34785714285681</v>
      </c>
      <c r="K68" s="469"/>
      <c r="L68" s="408"/>
      <c r="N68" s="818"/>
      <c r="O68" s="825"/>
      <c r="P68" s="413"/>
    </row>
    <row r="69" spans="1:16" ht="27.75">
      <c r="A69" s="1367" t="s">
        <v>112</v>
      </c>
      <c r="B69" s="1368"/>
      <c r="C69" s="1369"/>
      <c r="D69" s="599" t="s">
        <v>198</v>
      </c>
      <c r="E69" s="590">
        <f>'13'!F69</f>
        <v>50367.02</v>
      </c>
      <c r="F69" s="554">
        <v>50643.591</v>
      </c>
      <c r="G69" s="549">
        <f t="shared" si="5"/>
        <v>276.57100000000355</v>
      </c>
      <c r="H69" s="536">
        <f>G69+'13'!H69</f>
        <v>4124.1610000000001</v>
      </c>
      <c r="I69" s="592"/>
      <c r="J69" s="629">
        <f>H69/DAY(B2)</f>
        <v>294.58292857142857</v>
      </c>
      <c r="K69" s="470"/>
      <c r="L69" s="408"/>
      <c r="N69" s="818"/>
      <c r="O69" s="825"/>
      <c r="P69" s="413"/>
    </row>
    <row r="70" spans="1:16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18"/>
      <c r="O70" s="825"/>
      <c r="P70" s="413"/>
    </row>
    <row r="71" spans="1:16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818"/>
      <c r="O71" s="825"/>
      <c r="P71" s="413"/>
    </row>
    <row r="72" spans="1:16" ht="27.75">
      <c r="A72" s="1367" t="s">
        <v>202</v>
      </c>
      <c r="B72" s="1368"/>
      <c r="C72" s="1369"/>
      <c r="D72" s="599" t="s">
        <v>198</v>
      </c>
      <c r="E72" s="595">
        <f>'13'!F72</f>
        <v>847301</v>
      </c>
      <c r="F72" s="735">
        <v>847364</v>
      </c>
      <c r="G72" s="549">
        <f t="shared" ref="G72" si="6">F72-E72</f>
        <v>63</v>
      </c>
      <c r="H72" s="536">
        <f>G72+'12'!H72</f>
        <v>898</v>
      </c>
      <c r="I72" s="556"/>
      <c r="J72" s="629">
        <f>H72/DAY(B2)</f>
        <v>64.142857142857139</v>
      </c>
      <c r="K72" s="470"/>
      <c r="L72" s="408"/>
      <c r="N72" s="818"/>
      <c r="O72" s="825"/>
      <c r="P72" s="413"/>
    </row>
    <row r="73" spans="1:16" ht="27.75">
      <c r="A73" s="1367" t="s">
        <v>203</v>
      </c>
      <c r="B73" s="1368"/>
      <c r="C73" s="1369"/>
      <c r="D73" s="599" t="s">
        <v>198</v>
      </c>
      <c r="E73" s="595">
        <f>'13'!F73</f>
        <v>885682</v>
      </c>
      <c r="F73" s="736">
        <v>885683</v>
      </c>
      <c r="G73" s="733">
        <f t="shared" ref="G73:G84" si="7">F73-E73</f>
        <v>1</v>
      </c>
      <c r="H73" s="536">
        <f>G73+'13'!H72</f>
        <v>902</v>
      </c>
      <c r="I73" s="556"/>
      <c r="J73" s="629">
        <f>H73/DAY(B2)</f>
        <v>64.428571428571431</v>
      </c>
      <c r="K73" s="469"/>
      <c r="L73" s="408"/>
      <c r="N73" s="818"/>
      <c r="O73" s="825"/>
      <c r="P73" s="413"/>
    </row>
    <row r="74" spans="1:16" ht="27.75">
      <c r="A74" s="1367" t="s">
        <v>204</v>
      </c>
      <c r="B74" s="1368"/>
      <c r="C74" s="1369"/>
      <c r="D74" s="599" t="s">
        <v>198</v>
      </c>
      <c r="E74" s="595">
        <f>'13'!F74</f>
        <v>881770</v>
      </c>
      <c r="F74" s="736">
        <v>881799</v>
      </c>
      <c r="G74" s="549">
        <f t="shared" si="7"/>
        <v>29</v>
      </c>
      <c r="H74" s="536">
        <f>G74+'13'!H74</f>
        <v>484</v>
      </c>
      <c r="I74" s="556"/>
      <c r="J74" s="629">
        <f>H74/DAY(B2)</f>
        <v>34.571428571428569</v>
      </c>
      <c r="K74" s="470"/>
      <c r="L74" s="408"/>
      <c r="N74" s="818"/>
      <c r="O74" s="825"/>
      <c r="P74" s="413"/>
    </row>
    <row r="75" spans="1:16" ht="27.75">
      <c r="A75" s="1364" t="s">
        <v>205</v>
      </c>
      <c r="B75" s="1365"/>
      <c r="C75" s="1366"/>
      <c r="D75" s="599" t="s">
        <v>198</v>
      </c>
      <c r="E75" s="595">
        <f>'13'!F75</f>
        <v>733997</v>
      </c>
      <c r="F75" s="736">
        <v>734182</v>
      </c>
      <c r="G75" s="549">
        <f t="shared" si="7"/>
        <v>185</v>
      </c>
      <c r="H75" s="536">
        <f>G75+'13'!H75</f>
        <v>2541</v>
      </c>
      <c r="I75" s="556"/>
      <c r="J75" s="629">
        <f>H75/DAY(B2)</f>
        <v>181.5</v>
      </c>
      <c r="K75" s="469"/>
      <c r="L75" s="408"/>
      <c r="N75" s="818"/>
      <c r="O75" s="825"/>
      <c r="P75" s="413"/>
    </row>
    <row r="76" spans="1:16" ht="27.75">
      <c r="A76" s="1364" t="s">
        <v>206</v>
      </c>
      <c r="B76" s="1365"/>
      <c r="C76" s="1366"/>
      <c r="D76" s="599" t="s">
        <v>198</v>
      </c>
      <c r="E76" s="595">
        <f>'13'!F76</f>
        <v>685455</v>
      </c>
      <c r="F76" s="736">
        <v>685556</v>
      </c>
      <c r="G76" s="549">
        <f t="shared" si="7"/>
        <v>101</v>
      </c>
      <c r="H76" s="536">
        <f>G76+'13'!H75</f>
        <v>2457</v>
      </c>
      <c r="I76" s="581"/>
      <c r="J76" s="629">
        <f>H76/DAY(B2)</f>
        <v>175.5</v>
      </c>
      <c r="K76" s="469"/>
      <c r="L76" s="408"/>
      <c r="N76" s="818"/>
      <c r="O76" s="825"/>
      <c r="P76" s="413"/>
    </row>
    <row r="77" spans="1:16" ht="27.75">
      <c r="A77" s="1367" t="s">
        <v>207</v>
      </c>
      <c r="B77" s="1368"/>
      <c r="C77" s="1369"/>
      <c r="D77" s="599" t="s">
        <v>198</v>
      </c>
      <c r="E77" s="595">
        <f>'13'!F77</f>
        <v>696119</v>
      </c>
      <c r="F77" s="736">
        <v>696172</v>
      </c>
      <c r="G77" s="733">
        <f t="shared" si="7"/>
        <v>53</v>
      </c>
      <c r="H77" s="536">
        <f>G77+'13'!H77</f>
        <v>778</v>
      </c>
      <c r="I77" s="581"/>
      <c r="J77" s="629">
        <f>H77/DAY(B2)</f>
        <v>55.571428571428569</v>
      </c>
      <c r="K77" s="469"/>
      <c r="L77" s="408"/>
      <c r="N77" s="818"/>
      <c r="O77" s="825"/>
      <c r="P77" s="413"/>
    </row>
    <row r="78" spans="1:16" ht="27.75">
      <c r="A78" s="1300" t="s">
        <v>208</v>
      </c>
      <c r="B78" s="1296"/>
      <c r="C78" s="1296"/>
      <c r="D78" s="599" t="s">
        <v>198</v>
      </c>
      <c r="E78" s="595">
        <f>'13'!F78</f>
        <v>635286</v>
      </c>
      <c r="F78" s="737">
        <v>635606</v>
      </c>
      <c r="G78" s="549">
        <f t="shared" si="7"/>
        <v>320</v>
      </c>
      <c r="H78" s="536">
        <f>G78+'13'!H78</f>
        <v>4833</v>
      </c>
      <c r="I78" s="581"/>
      <c r="J78" s="629">
        <f>H78/DAY(B2)</f>
        <v>345.21428571428572</v>
      </c>
      <c r="K78" s="469"/>
      <c r="L78" s="408"/>
      <c r="N78" s="818"/>
      <c r="O78" s="825"/>
      <c r="P78" s="413"/>
    </row>
    <row r="79" spans="1:16" ht="27.75">
      <c r="A79" s="1364" t="s">
        <v>97</v>
      </c>
      <c r="B79" s="1365"/>
      <c r="C79" s="1366"/>
      <c r="D79" s="600" t="s">
        <v>198</v>
      </c>
      <c r="E79" s="595">
        <f>'13'!F79</f>
        <v>806284</v>
      </c>
      <c r="F79" s="737">
        <v>806472</v>
      </c>
      <c r="G79" s="549">
        <f t="shared" si="7"/>
        <v>188</v>
      </c>
      <c r="H79" s="536">
        <f>G79+'13'!H78</f>
        <v>4701</v>
      </c>
      <c r="I79" s="581"/>
      <c r="J79" s="629">
        <f>H79/DAY(B2)</f>
        <v>335.78571428571428</v>
      </c>
      <c r="K79" s="469"/>
      <c r="L79" s="408"/>
      <c r="N79" s="818"/>
      <c r="O79" s="825"/>
      <c r="P79" s="413"/>
    </row>
    <row r="80" spans="1:16" ht="27.75">
      <c r="A80" s="1364" t="s">
        <v>209</v>
      </c>
      <c r="B80" s="1365"/>
      <c r="C80" s="1366"/>
      <c r="D80" s="600" t="s">
        <v>198</v>
      </c>
      <c r="E80" s="595">
        <f>'13'!F80</f>
        <v>479652.84</v>
      </c>
      <c r="F80" s="736">
        <v>479937.96</v>
      </c>
      <c r="G80" s="549">
        <f t="shared" si="7"/>
        <v>285.11999999999534</v>
      </c>
      <c r="H80" s="536">
        <f>G80+'13'!H79</f>
        <v>2726.1199999999953</v>
      </c>
      <c r="I80" s="581"/>
      <c r="J80" s="629">
        <f>H80/DAY(B2)</f>
        <v>194.72285714285681</v>
      </c>
      <c r="K80" s="469"/>
      <c r="L80" s="408"/>
      <c r="N80" s="818"/>
      <c r="O80" s="825"/>
      <c r="P80" s="413"/>
    </row>
    <row r="81" spans="1:16" ht="27.75">
      <c r="A81" s="1364" t="s">
        <v>210</v>
      </c>
      <c r="B81" s="1365"/>
      <c r="C81" s="1366"/>
      <c r="D81" s="600" t="s">
        <v>198</v>
      </c>
      <c r="E81" s="595">
        <f>'13'!F81</f>
        <v>620854.52</v>
      </c>
      <c r="F81" s="736">
        <v>620949.31999999995</v>
      </c>
      <c r="G81" s="549">
        <f t="shared" si="7"/>
        <v>94.799999999930151</v>
      </c>
      <c r="H81" s="536">
        <f>G81+'13'!H81</f>
        <v>1695.3199999999488</v>
      </c>
      <c r="I81" s="581"/>
      <c r="J81" s="629">
        <f>H81/DAY(B2)</f>
        <v>121.09428571428205</v>
      </c>
      <c r="K81" s="469"/>
      <c r="L81" s="408"/>
      <c r="N81" s="818"/>
      <c r="O81" s="825"/>
      <c r="P81" s="413"/>
    </row>
    <row r="82" spans="1:16" ht="27.75">
      <c r="A82" s="1364" t="s">
        <v>100</v>
      </c>
      <c r="B82" s="1365"/>
      <c r="C82" s="1366"/>
      <c r="D82" s="561" t="s">
        <v>143</v>
      </c>
      <c r="E82" s="595">
        <f>'13'!F82</f>
        <v>104741.89</v>
      </c>
      <c r="F82" s="732">
        <v>104771.17</v>
      </c>
      <c r="G82" s="549">
        <f t="shared" si="7"/>
        <v>29.279999999998836</v>
      </c>
      <c r="H82" s="536">
        <f>G82+'13'!H82</f>
        <v>333.16999999999825</v>
      </c>
      <c r="I82" s="562"/>
      <c r="J82" s="629">
        <f>H82/DAY(B2)</f>
        <v>23.797857142857019</v>
      </c>
      <c r="K82" s="469"/>
      <c r="L82" s="408"/>
      <c r="N82" s="818"/>
      <c r="O82" s="825"/>
      <c r="P82" s="413"/>
    </row>
    <row r="83" spans="1:16" ht="27.75">
      <c r="A83" s="1364" t="s">
        <v>211</v>
      </c>
      <c r="B83" s="1365"/>
      <c r="C83" s="1366"/>
      <c r="D83" s="697" t="s">
        <v>143</v>
      </c>
      <c r="E83" s="595">
        <f>'13'!F83</f>
        <v>978035</v>
      </c>
      <c r="F83" s="587">
        <v>978414</v>
      </c>
      <c r="G83" s="549">
        <f t="shared" si="7"/>
        <v>379</v>
      </c>
      <c r="H83" s="536">
        <f>G83+'13'!H83</f>
        <v>4943</v>
      </c>
      <c r="I83" s="557"/>
      <c r="J83" s="629">
        <f>H83/DAY(B2)</f>
        <v>353.07142857142856</v>
      </c>
      <c r="K83" s="468"/>
      <c r="L83" s="408"/>
      <c r="N83" s="818"/>
      <c r="O83" s="825"/>
      <c r="P83" s="413"/>
    </row>
    <row r="84" spans="1:16">
      <c r="A84" s="1303" t="s">
        <v>212</v>
      </c>
      <c r="B84" s="648"/>
      <c r="C84" s="648"/>
      <c r="D84" s="554" t="s">
        <v>143</v>
      </c>
      <c r="E84" s="595">
        <f>'13'!F84</f>
        <v>404635</v>
      </c>
      <c r="F84" s="704">
        <v>405426</v>
      </c>
      <c r="G84" s="549">
        <f t="shared" si="7"/>
        <v>791</v>
      </c>
      <c r="H84" s="536">
        <f>G84+'13'!H84</f>
        <v>8230</v>
      </c>
      <c r="I84" s="557"/>
      <c r="J84" s="629">
        <f>H84/DAY(B2)</f>
        <v>587.85714285714289</v>
      </c>
      <c r="K84" s="411"/>
      <c r="L84" s="408"/>
      <c r="N84" s="818"/>
      <c r="O84" s="825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2519.1999999999243</v>
      </c>
      <c r="H85" s="536">
        <f>G85+'13'!H85</f>
        <v>31291.449999999968</v>
      </c>
      <c r="I85" s="557"/>
      <c r="J85" s="629">
        <f>H85/DAY(B2)</f>
        <v>2235.103571428569</v>
      </c>
      <c r="K85" s="411"/>
      <c r="L85" s="409"/>
      <c r="N85" s="818"/>
      <c r="O85" s="825"/>
      <c r="P85" s="413"/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'13'!F86</f>
        <v>445367.64</v>
      </c>
      <c r="F86" s="728">
        <v>445472.12</v>
      </c>
      <c r="G86" s="805">
        <f t="shared" ref="G86:G90" si="8">F86-E86</f>
        <v>104.47999999998137</v>
      </c>
      <c r="H86" s="805">
        <f t="shared" ref="H86:H88" si="9">G86</f>
        <v>104.47999999998137</v>
      </c>
      <c r="I86" s="733"/>
      <c r="J86" s="807">
        <f>H86/DAY(B2)</f>
        <v>7.4628571428558121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'13'!F87</f>
        <v>78040.800000000003</v>
      </c>
      <c r="F87" s="728">
        <v>78071.100000000006</v>
      </c>
      <c r="G87" s="805">
        <f t="shared" si="8"/>
        <v>30.30000000000291</v>
      </c>
      <c r="H87" s="805">
        <f t="shared" si="9"/>
        <v>30.30000000000291</v>
      </c>
      <c r="I87" s="733"/>
      <c r="J87" s="807">
        <f>H87/DAY(B2)</f>
        <v>2.164285714285922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'13'!F88</f>
        <v>145367.63</v>
      </c>
      <c r="F88" s="728">
        <v>145471.13</v>
      </c>
      <c r="G88" s="805">
        <f t="shared" si="8"/>
        <v>103.5</v>
      </c>
      <c r="H88" s="805">
        <f t="shared" si="9"/>
        <v>103.5</v>
      </c>
      <c r="I88" s="733"/>
      <c r="J88" s="807">
        <f>H88/DAY(B2)</f>
        <v>7.3928571428571432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'13'!F89</f>
        <v>58547.8</v>
      </c>
      <c r="F89" s="728">
        <v>58597.3</v>
      </c>
      <c r="G89" s="805">
        <f t="shared" si="8"/>
        <v>49.5</v>
      </c>
      <c r="H89" s="805">
        <f>G89</f>
        <v>49.5</v>
      </c>
      <c r="I89" s="733"/>
      <c r="J89" s="807">
        <f>H89/DAY(B2)</f>
        <v>3.5357142857142856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'13'!F90</f>
        <v>3012.5</v>
      </c>
      <c r="F90" s="728">
        <v>3014.5</v>
      </c>
      <c r="G90" s="805">
        <f t="shared" si="8"/>
        <v>2</v>
      </c>
      <c r="H90" s="805">
        <f>G90</f>
        <v>2</v>
      </c>
      <c r="I90" s="733"/>
      <c r="J90" s="807">
        <f>H90/DAY(B2)</f>
        <v>0.14285714285714285</v>
      </c>
      <c r="K90" s="833"/>
      <c r="L90" s="834"/>
      <c r="N90" s="881"/>
      <c r="O90" s="413"/>
    </row>
    <row r="91" spans="1:16" s="410" customFormat="1">
      <c r="A91" s="683" t="s">
        <v>216</v>
      </c>
      <c r="B91" s="1301"/>
      <c r="C91" s="1301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5"/>
      <c r="P91" s="413"/>
    </row>
    <row r="92" spans="1:16" ht="27.75">
      <c r="A92" s="1388" t="s">
        <v>217</v>
      </c>
      <c r="B92" s="1389"/>
      <c r="C92" s="1390"/>
      <c r="D92" s="599" t="s">
        <v>155</v>
      </c>
      <c r="E92" s="560">
        <f>'13'!F92</f>
        <v>234885</v>
      </c>
      <c r="F92" s="554">
        <v>234940</v>
      </c>
      <c r="G92" s="549">
        <f t="shared" ref="G92:G93" si="10">F92-E92</f>
        <v>55</v>
      </c>
      <c r="H92" s="536">
        <f>G92+'13'!H92</f>
        <v>1038</v>
      </c>
      <c r="I92" s="556"/>
      <c r="J92" s="629">
        <f>H92/DAY(B2)</f>
        <v>74.142857142857139</v>
      </c>
      <c r="K92" s="468"/>
      <c r="L92" s="408"/>
      <c r="N92" s="818"/>
      <c r="O92" s="825"/>
      <c r="P92" s="413"/>
    </row>
    <row r="93" spans="1:16" ht="27.75">
      <c r="A93" s="1388" t="s">
        <v>218</v>
      </c>
      <c r="B93" s="1389"/>
      <c r="C93" s="1390"/>
      <c r="D93" s="599" t="s">
        <v>155</v>
      </c>
      <c r="E93" s="560">
        <f>'13'!F93</f>
        <v>168658</v>
      </c>
      <c r="F93" s="554">
        <v>168788</v>
      </c>
      <c r="G93" s="549">
        <f t="shared" si="10"/>
        <v>130</v>
      </c>
      <c r="H93" s="536">
        <f>G93+'13'!H93</f>
        <v>1872</v>
      </c>
      <c r="I93" s="556"/>
      <c r="J93" s="629">
        <f>H93/DAY(B2)</f>
        <v>133.71428571428572</v>
      </c>
      <c r="K93" s="411"/>
      <c r="L93" s="408"/>
      <c r="N93" s="818"/>
      <c r="O93" s="825"/>
      <c r="P93" s="413"/>
    </row>
    <row r="94" spans="1:16">
      <c r="A94" s="1419" t="s">
        <v>219</v>
      </c>
      <c r="B94" s="1420"/>
      <c r="C94" s="1421"/>
      <c r="D94" s="599"/>
      <c r="E94" s="560">
        <f>'13'!F94</f>
        <v>0</v>
      </c>
      <c r="F94" s="554"/>
      <c r="G94" s="549">
        <f>G92+G93</f>
        <v>185</v>
      </c>
      <c r="H94" s="536">
        <f>G94+'13'!H94</f>
        <v>2636</v>
      </c>
      <c r="I94" s="556"/>
      <c r="J94" s="629">
        <f>H94/DAY(B2)</f>
        <v>188.28571428571428</v>
      </c>
      <c r="K94" s="411"/>
      <c r="L94" s="408"/>
      <c r="N94" s="818"/>
      <c r="O94" s="825"/>
      <c r="P94" s="413"/>
    </row>
    <row r="95" spans="1:16" ht="27.75">
      <c r="A95" s="1388" t="s">
        <v>220</v>
      </c>
      <c r="B95" s="1389"/>
      <c r="C95" s="1390"/>
      <c r="D95" s="599" t="s">
        <v>155</v>
      </c>
      <c r="E95" s="560">
        <f>'13'!F95</f>
        <v>404492</v>
      </c>
      <c r="F95" s="554">
        <v>404560</v>
      </c>
      <c r="G95" s="549">
        <f t="shared" ref="G95:G100" si="11">F95-E95</f>
        <v>68</v>
      </c>
      <c r="H95" s="536">
        <f>G95+'13'!H95</f>
        <v>895</v>
      </c>
      <c r="I95" s="556"/>
      <c r="J95" s="629">
        <f>H95/DAY(B2)</f>
        <v>63.928571428571431</v>
      </c>
      <c r="K95" s="411"/>
      <c r="L95" s="408"/>
      <c r="N95" s="818"/>
      <c r="O95" s="825"/>
      <c r="P95" s="413"/>
    </row>
    <row r="96" spans="1:16" ht="27.75">
      <c r="A96" s="1297" t="s">
        <v>221</v>
      </c>
      <c r="B96" s="1298"/>
      <c r="C96" s="1298"/>
      <c r="D96" s="599" t="s">
        <v>155</v>
      </c>
      <c r="E96" s="560">
        <f>'13'!F96</f>
        <v>100167</v>
      </c>
      <c r="F96" s="554">
        <v>100177</v>
      </c>
      <c r="G96" s="549">
        <f t="shared" si="11"/>
        <v>10</v>
      </c>
      <c r="H96" s="536">
        <f>G96+'13'!H96</f>
        <v>256</v>
      </c>
      <c r="I96" s="556"/>
      <c r="J96" s="629">
        <f>H96/DAY(B2)</f>
        <v>18.285714285714285</v>
      </c>
      <c r="K96" s="466"/>
      <c r="L96" s="408"/>
      <c r="N96" s="818"/>
      <c r="O96" s="825"/>
      <c r="P96" s="413"/>
    </row>
    <row r="97" spans="1:16" ht="27.75">
      <c r="A97" s="1297" t="s">
        <v>222</v>
      </c>
      <c r="B97" s="1298"/>
      <c r="C97" s="1298"/>
      <c r="D97" s="599" t="s">
        <v>155</v>
      </c>
      <c r="E97" s="560">
        <f>'13'!F97</f>
        <v>95280</v>
      </c>
      <c r="F97" s="554">
        <v>95295</v>
      </c>
      <c r="G97" s="549">
        <f t="shared" si="11"/>
        <v>15</v>
      </c>
      <c r="H97" s="536">
        <f>G97+'13'!H97</f>
        <v>268</v>
      </c>
      <c r="I97" s="556"/>
      <c r="J97" s="629">
        <f>H97/DAY(B2)</f>
        <v>19.142857142857142</v>
      </c>
      <c r="K97" s="471"/>
      <c r="L97" s="408"/>
      <c r="N97" s="818"/>
      <c r="O97" s="825"/>
      <c r="P97" s="413"/>
    </row>
    <row r="98" spans="1:16" ht="27.75">
      <c r="A98" s="1297" t="s">
        <v>223</v>
      </c>
      <c r="B98" s="1298"/>
      <c r="C98" s="1298"/>
      <c r="D98" s="599" t="s">
        <v>155</v>
      </c>
      <c r="E98" s="560">
        <f>'13'!F98</f>
        <v>144554</v>
      </c>
      <c r="F98" s="554">
        <v>144626</v>
      </c>
      <c r="G98" s="549">
        <f t="shared" si="11"/>
        <v>72</v>
      </c>
      <c r="H98" s="536">
        <f>G98+'13'!H98</f>
        <v>819</v>
      </c>
      <c r="I98" s="556"/>
      <c r="J98" s="629">
        <f>H98/DAY(B2)</f>
        <v>58.5</v>
      </c>
      <c r="K98" s="411"/>
      <c r="L98" s="408"/>
      <c r="N98" s="820"/>
      <c r="O98" s="825"/>
      <c r="P98" s="413"/>
    </row>
    <row r="99" spans="1:16" ht="27.75">
      <c r="A99" s="1297" t="s">
        <v>224</v>
      </c>
      <c r="B99" s="1298"/>
      <c r="C99" s="1298"/>
      <c r="D99" s="599" t="s">
        <v>155</v>
      </c>
      <c r="E99" s="560">
        <f>'13'!F99</f>
        <v>5662</v>
      </c>
      <c r="F99" s="554">
        <v>5668</v>
      </c>
      <c r="G99" s="549">
        <f t="shared" si="11"/>
        <v>6</v>
      </c>
      <c r="H99" s="536">
        <f>G99+'13'!H99</f>
        <v>166</v>
      </c>
      <c r="I99" s="556"/>
      <c r="J99" s="629">
        <f>H99/DAY(B2)</f>
        <v>11.857142857142858</v>
      </c>
      <c r="K99" s="411"/>
      <c r="L99" s="408"/>
      <c r="N99" s="818"/>
      <c r="O99" s="825"/>
      <c r="P99" s="413"/>
    </row>
    <row r="100" spans="1:16" ht="27.75">
      <c r="A100" s="1297" t="s">
        <v>225</v>
      </c>
      <c r="B100" s="1298"/>
      <c r="C100" s="1298"/>
      <c r="D100" s="599" t="s">
        <v>155</v>
      </c>
      <c r="E100" s="560">
        <f>'13'!F100</f>
        <v>4068</v>
      </c>
      <c r="F100" s="554">
        <v>4081</v>
      </c>
      <c r="G100" s="549">
        <f t="shared" si="11"/>
        <v>13</v>
      </c>
      <c r="H100" s="536">
        <f>G100+'13'!H100</f>
        <v>117</v>
      </c>
      <c r="I100" s="556"/>
      <c r="J100" s="629">
        <f>H100/DAY(B2)</f>
        <v>8.3571428571428577</v>
      </c>
      <c r="K100" s="411"/>
      <c r="L100" s="408"/>
      <c r="N100" s="818"/>
      <c r="O100" s="825"/>
      <c r="P100" s="413"/>
    </row>
    <row r="101" spans="1:16">
      <c r="A101" s="1419" t="s">
        <v>227</v>
      </c>
      <c r="B101" s="1420"/>
      <c r="C101" s="1421"/>
      <c r="D101" s="600"/>
      <c r="E101" s="560"/>
      <c r="F101" s="600"/>
      <c r="G101" s="601">
        <f>SUM(G95:G100)</f>
        <v>184</v>
      </c>
      <c r="H101" s="536">
        <f>G101+'13'!H101</f>
        <v>2521</v>
      </c>
      <c r="I101" s="602"/>
      <c r="J101" s="629">
        <f>H101/DAY(B2)</f>
        <v>180.07142857142858</v>
      </c>
      <c r="K101" s="411"/>
      <c r="L101" s="408"/>
      <c r="N101" s="818"/>
      <c r="O101" s="825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5"/>
      <c r="P102" s="413"/>
    </row>
    <row r="103" spans="1:16" s="481" customFormat="1" ht="27.75">
      <c r="A103" s="1422" t="s">
        <v>229</v>
      </c>
      <c r="B103" s="1423"/>
      <c r="C103" s="650"/>
      <c r="D103" s="699"/>
      <c r="E103" s="560"/>
      <c r="F103" s="739"/>
      <c r="G103" s="608"/>
      <c r="H103" s="609"/>
      <c r="I103" s="608"/>
      <c r="J103" s="635"/>
      <c r="N103" s="818"/>
      <c r="O103" s="825"/>
      <c r="P103" s="413"/>
    </row>
    <row r="104" spans="1:16" s="481" customFormat="1" ht="27.75">
      <c r="A104" s="1380" t="s">
        <v>230</v>
      </c>
      <c r="B104" s="1381"/>
      <c r="C104" s="1302"/>
      <c r="D104" s="699" t="s">
        <v>155</v>
      </c>
      <c r="E104" s="560">
        <f>'13'!F104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7</v>
      </c>
      <c r="N104" s="818"/>
      <c r="O104" s="825"/>
      <c r="P104" s="413"/>
    </row>
    <row r="105" spans="1:16" s="481" customFormat="1" ht="27.75">
      <c r="A105" s="1380" t="s">
        <v>77</v>
      </c>
      <c r="B105" s="1381"/>
      <c r="C105" s="1302"/>
      <c r="D105" s="699" t="s">
        <v>155</v>
      </c>
      <c r="E105" s="560">
        <f>'13'!F105</f>
        <v>35016</v>
      </c>
      <c r="F105" s="740">
        <v>35022</v>
      </c>
      <c r="G105" s="608">
        <f t="shared" ref="G105:G106" si="12">F105-E105</f>
        <v>6</v>
      </c>
      <c r="H105" s="609">
        <f>SUM(G105+'1'!G77)</f>
        <v>67</v>
      </c>
      <c r="I105" s="608"/>
      <c r="J105" s="635">
        <f>H105/DAY(B2)</f>
        <v>4.7857142857142856</v>
      </c>
      <c r="N105" s="818"/>
      <c r="O105" s="825"/>
      <c r="P105" s="413"/>
    </row>
    <row r="106" spans="1:16" s="481" customFormat="1" ht="27.75">
      <c r="A106" s="1380" t="s">
        <v>78</v>
      </c>
      <c r="B106" s="1424"/>
      <c r="C106" s="1381"/>
      <c r="D106" s="699" t="s">
        <v>155</v>
      </c>
      <c r="E106" s="560">
        <f>'13'!F106</f>
        <v>18964</v>
      </c>
      <c r="F106" s="740">
        <v>18973</v>
      </c>
      <c r="G106" s="608">
        <f t="shared" si="12"/>
        <v>9</v>
      </c>
      <c r="H106" s="609">
        <f>SUM(G106+'1'!G78)</f>
        <v>378</v>
      </c>
      <c r="I106" s="608"/>
      <c r="J106" s="635">
        <f>H106/DAY(B2)</f>
        <v>27</v>
      </c>
      <c r="N106" s="818"/>
      <c r="O106" s="825"/>
      <c r="P106" s="413"/>
    </row>
    <row r="107" spans="1:16" s="481" customFormat="1" ht="27.75">
      <c r="A107" s="1382" t="s">
        <v>213</v>
      </c>
      <c r="B107" s="1383"/>
      <c r="C107" s="1302"/>
      <c r="D107" s="699"/>
      <c r="E107" s="560">
        <f>'13'!F107</f>
        <v>0</v>
      </c>
      <c r="F107" s="740"/>
      <c r="G107" s="608">
        <f>SUM(G104:G106)</f>
        <v>15</v>
      </c>
      <c r="H107" s="609">
        <f>SUM(G107+'1'!G79)</f>
        <v>202</v>
      </c>
      <c r="I107" s="608"/>
      <c r="J107" s="635">
        <f>H107/DAY(B2)</f>
        <v>14.428571428571429</v>
      </c>
      <c r="N107" s="818"/>
      <c r="O107" s="825"/>
      <c r="P107" s="413"/>
    </row>
    <row r="108" spans="1:16" s="481" customFormat="1" ht="27.75">
      <c r="A108" s="1386" t="s">
        <v>79</v>
      </c>
      <c r="B108" s="1387"/>
      <c r="C108" s="1302"/>
      <c r="D108" s="699" t="s">
        <v>155</v>
      </c>
      <c r="E108" s="560">
        <f>'13'!F108</f>
        <v>0</v>
      </c>
      <c r="F108" s="740"/>
      <c r="G108" s="608"/>
      <c r="H108" s="609"/>
      <c r="I108" s="608"/>
      <c r="J108" s="635"/>
      <c r="N108" s="818"/>
      <c r="O108" s="825"/>
      <c r="P108" s="413"/>
    </row>
    <row r="109" spans="1:16" s="481" customFormat="1" ht="27.75">
      <c r="A109" s="1380" t="s">
        <v>231</v>
      </c>
      <c r="B109" s="1381"/>
      <c r="C109" s="1302"/>
      <c r="D109" s="699" t="s">
        <v>155</v>
      </c>
      <c r="E109" s="560">
        <f>'13'!F109</f>
        <v>53740</v>
      </c>
      <c r="F109" s="740">
        <v>53780</v>
      </c>
      <c r="G109" s="608">
        <f>F109-E109</f>
        <v>40</v>
      </c>
      <c r="H109" s="609">
        <f>SUM(G109+'1'!G81)</f>
        <v>169</v>
      </c>
      <c r="I109" s="608"/>
      <c r="J109" s="635">
        <f>H109/DAY(B2)</f>
        <v>12.071428571428571</v>
      </c>
      <c r="N109" s="818"/>
      <c r="O109" s="825"/>
      <c r="P109" s="413"/>
    </row>
    <row r="110" spans="1:16" s="481" customFormat="1" ht="27.75">
      <c r="A110" s="1380" t="s">
        <v>232</v>
      </c>
      <c r="B110" s="1381"/>
      <c r="C110" s="1302"/>
      <c r="D110" s="699" t="s">
        <v>155</v>
      </c>
      <c r="E110" s="560">
        <f>'13'!F110</f>
        <v>27560</v>
      </c>
      <c r="F110" s="740">
        <v>27653</v>
      </c>
      <c r="G110" s="608">
        <f t="shared" ref="G110:G111" si="13">F110-E110</f>
        <v>93</v>
      </c>
      <c r="H110" s="609">
        <f>SUM(G110+'1'!G82)</f>
        <v>116</v>
      </c>
      <c r="I110" s="608"/>
      <c r="J110" s="635">
        <f>H110/DAY(B2)</f>
        <v>8.2857142857142865</v>
      </c>
      <c r="N110" s="818"/>
      <c r="O110" s="825"/>
      <c r="P110" s="413"/>
    </row>
    <row r="111" spans="1:16" s="481" customFormat="1" ht="27.75">
      <c r="A111" s="1380" t="s">
        <v>233</v>
      </c>
      <c r="B111" s="1381"/>
      <c r="C111" s="1302"/>
      <c r="D111" s="699" t="s">
        <v>155</v>
      </c>
      <c r="E111" s="560">
        <f>'13'!F111</f>
        <v>3637</v>
      </c>
      <c r="F111" s="740">
        <v>3652</v>
      </c>
      <c r="G111" s="608">
        <f t="shared" si="13"/>
        <v>15</v>
      </c>
      <c r="H111" s="609">
        <f>SUM(G111+'1'!G83)</f>
        <v>348</v>
      </c>
      <c r="I111" s="608"/>
      <c r="J111" s="635">
        <f>H111/DAY(B2)</f>
        <v>24.857142857142858</v>
      </c>
      <c r="N111" s="818"/>
      <c r="O111" s="825"/>
      <c r="P111" s="413"/>
    </row>
    <row r="112" spans="1:16" s="481" customFormat="1" ht="27.75">
      <c r="A112" s="1382" t="s">
        <v>121</v>
      </c>
      <c r="B112" s="1383"/>
      <c r="C112" s="1302"/>
      <c r="D112" s="699"/>
      <c r="E112" s="560">
        <f>'13'!F112</f>
        <v>0</v>
      </c>
      <c r="F112" s="740"/>
      <c r="G112" s="608">
        <f>SUM(G109:G111)</f>
        <v>148</v>
      </c>
      <c r="H112" s="609">
        <f>SUM(G112+'1'!G84)</f>
        <v>594</v>
      </c>
      <c r="I112" s="608"/>
      <c r="J112" s="635">
        <f>H112/DAY(B2)</f>
        <v>42.428571428571431</v>
      </c>
      <c r="N112" s="818"/>
      <c r="O112" s="825"/>
      <c r="P112" s="413"/>
    </row>
    <row r="113" spans="1:16" s="481" customFormat="1" ht="27.75">
      <c r="A113" s="1386" t="s">
        <v>234</v>
      </c>
      <c r="B113" s="1387"/>
      <c r="C113" s="1302"/>
      <c r="D113" s="699"/>
      <c r="E113" s="560">
        <f>'13'!F113</f>
        <v>0</v>
      </c>
      <c r="F113" s="740"/>
      <c r="G113" s="608"/>
      <c r="H113" s="609"/>
      <c r="I113" s="608"/>
      <c r="J113" s="635">
        <f>H113/DAY(B2)</f>
        <v>0</v>
      </c>
      <c r="N113" s="818"/>
      <c r="O113" s="825"/>
      <c r="P113" s="413"/>
    </row>
    <row r="114" spans="1:16" s="481" customFormat="1" ht="27.75">
      <c r="A114" s="1380" t="s">
        <v>235</v>
      </c>
      <c r="B114" s="1381"/>
      <c r="C114" s="651"/>
      <c r="D114" s="699" t="s">
        <v>155</v>
      </c>
      <c r="E114" s="560">
        <f>'13'!F114</f>
        <v>9434</v>
      </c>
      <c r="F114" s="740">
        <v>9443</v>
      </c>
      <c r="G114" s="610">
        <f>F114-E114</f>
        <v>9</v>
      </c>
      <c r="H114" s="609">
        <f>SUM(G114+'1'!G91)</f>
        <v>9</v>
      </c>
      <c r="I114" s="608"/>
      <c r="J114" s="635">
        <f>H114/DAY(B2)</f>
        <v>0.6428571428571429</v>
      </c>
      <c r="N114" s="818"/>
      <c r="O114" s="825"/>
      <c r="P114" s="413"/>
    </row>
    <row r="115" spans="1:16" s="481" customFormat="1" ht="27.75">
      <c r="A115" s="1380" t="s">
        <v>236</v>
      </c>
      <c r="B115" s="1381"/>
      <c r="C115" s="651"/>
      <c r="D115" s="699" t="s">
        <v>155</v>
      </c>
      <c r="E115" s="560">
        <f>'13'!F115</f>
        <v>7283</v>
      </c>
      <c r="F115" s="740">
        <v>7291</v>
      </c>
      <c r="G115" s="610">
        <f t="shared" ref="G115:G116" si="14">F115-E115</f>
        <v>8</v>
      </c>
      <c r="H115" s="609">
        <f>SUM(G115+'1'!G92)</f>
        <v>141</v>
      </c>
      <c r="I115" s="608"/>
      <c r="J115" s="635">
        <f>H115/DAY(B2)</f>
        <v>10.071428571428571</v>
      </c>
      <c r="N115" s="818"/>
      <c r="O115" s="825"/>
      <c r="P115" s="413"/>
    </row>
    <row r="116" spans="1:16" s="481" customFormat="1" ht="27.75">
      <c r="A116" s="1380" t="s">
        <v>237</v>
      </c>
      <c r="B116" s="1381"/>
      <c r="C116" s="651"/>
      <c r="D116" s="699" t="s">
        <v>155</v>
      </c>
      <c r="E116" s="610"/>
      <c r="F116" s="740"/>
      <c r="G116" s="610">
        <f t="shared" si="14"/>
        <v>0</v>
      </c>
      <c r="H116" s="609">
        <f>SUM(G116+'1'!G93)</f>
        <v>141</v>
      </c>
      <c r="I116" s="608"/>
      <c r="J116" s="635">
        <f>H116/DAY(B2)</f>
        <v>10.071428571428571</v>
      </c>
      <c r="N116" s="818"/>
      <c r="O116" s="825"/>
      <c r="P116" s="413"/>
    </row>
    <row r="117" spans="1:16" s="494" customFormat="1" ht="27.75">
      <c r="A117" s="1382" t="s">
        <v>213</v>
      </c>
      <c r="B117" s="1383"/>
      <c r="C117" s="651"/>
      <c r="D117" s="700"/>
      <c r="E117" s="610"/>
      <c r="F117" s="740"/>
      <c r="G117" s="610">
        <f>SUM(G114:G116)</f>
        <v>17</v>
      </c>
      <c r="H117" s="609">
        <f>SUM(G117+'1'!G95)</f>
        <v>77</v>
      </c>
      <c r="I117" s="610"/>
      <c r="J117" s="635">
        <f>H117/DAY(B2)</f>
        <v>5.5</v>
      </c>
      <c r="N117" s="818"/>
      <c r="O117" s="825"/>
      <c r="P117" s="413"/>
    </row>
    <row r="118" spans="1:16" s="495" customFormat="1" ht="27.75">
      <c r="A118" s="1376" t="s">
        <v>238</v>
      </c>
      <c r="B118" s="1377"/>
      <c r="C118" s="1305"/>
      <c r="D118" s="701" t="s">
        <v>155</v>
      </c>
      <c r="E118" s="612"/>
      <c r="F118" s="741"/>
      <c r="G118" s="612">
        <f>SUM(G19+G92)</f>
        <v>106</v>
      </c>
      <c r="H118" s="609">
        <f>SUM(G118+'1'!G96)</f>
        <v>139</v>
      </c>
      <c r="I118" s="611"/>
      <c r="J118" s="636">
        <f>H118/DAY(B2)</f>
        <v>9.9285714285714288</v>
      </c>
      <c r="N118" s="818"/>
      <c r="O118" s="825"/>
      <c r="P118" s="413"/>
    </row>
    <row r="119" spans="1:16" s="495" customFormat="1" ht="27.75">
      <c r="A119" s="1376" t="s">
        <v>239</v>
      </c>
      <c r="B119" s="1377"/>
      <c r="C119" s="1305"/>
      <c r="D119" s="701" t="s">
        <v>155</v>
      </c>
      <c r="E119" s="612"/>
      <c r="F119" s="741">
        <f>SUM(G95,G96,G97,G99,G100)</f>
        <v>112</v>
      </c>
      <c r="G119" s="612">
        <f>SUM(G95,G96,G97,G99,G100)</f>
        <v>112</v>
      </c>
      <c r="H119" s="609">
        <f>SUM(G119+'1'!G98)</f>
        <v>162</v>
      </c>
      <c r="I119" s="611"/>
      <c r="J119" s="636">
        <f>H119/DAY(B2)</f>
        <v>11.571428571428571</v>
      </c>
      <c r="N119" s="818"/>
      <c r="O119" s="825"/>
      <c r="P119" s="413"/>
    </row>
    <row r="120" spans="1:16" s="495" customFormat="1" ht="27.75">
      <c r="A120" s="1376" t="s">
        <v>240</v>
      </c>
      <c r="B120" s="1377"/>
      <c r="C120" s="1305"/>
      <c r="D120" s="701" t="s">
        <v>155</v>
      </c>
      <c r="E120" s="610"/>
      <c r="F120" s="740">
        <f>SUM(G112)</f>
        <v>148</v>
      </c>
      <c r="G120" s="610">
        <f>SUM(G112)</f>
        <v>148</v>
      </c>
      <c r="H120" s="609">
        <f>SUM(G120+'1'!G100)</f>
        <v>165</v>
      </c>
      <c r="I120" s="611"/>
      <c r="J120" s="636">
        <f>H120/DAY(B2)</f>
        <v>11.785714285714286</v>
      </c>
      <c r="N120" s="818"/>
      <c r="O120" s="825"/>
      <c r="P120" s="413"/>
    </row>
    <row r="121" spans="1:16" s="481" customFormat="1" ht="27.75">
      <c r="A121" s="1378"/>
      <c r="B121" s="1379"/>
      <c r="C121" s="1306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5"/>
      <c r="P121" s="413"/>
    </row>
    <row r="122" spans="1:16">
      <c r="A122" s="1416" t="s">
        <v>241</v>
      </c>
      <c r="B122" s="1417"/>
      <c r="C122" s="1418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5"/>
      <c r="P122" s="413"/>
    </row>
    <row r="123" spans="1:16" ht="27.75">
      <c r="A123" s="1297" t="s">
        <v>242</v>
      </c>
      <c r="B123" s="1298"/>
      <c r="C123" s="1298"/>
      <c r="D123" s="599" t="s">
        <v>152</v>
      </c>
      <c r="E123" s="554">
        <f>'13'!F123</f>
        <v>798584.93</v>
      </c>
      <c r="F123" s="554">
        <v>798826.59299999999</v>
      </c>
      <c r="G123" s="549">
        <f t="shared" ref="G123:G127" si="15">F123-E123</f>
        <v>241.66299999994226</v>
      </c>
      <c r="H123" s="536">
        <f>G123+'13'!H123</f>
        <v>3402.5429999999469</v>
      </c>
      <c r="I123" s="602"/>
      <c r="J123" s="629">
        <f>H123/DAY(B2)</f>
        <v>243.03878571428191</v>
      </c>
      <c r="K123" s="411"/>
      <c r="L123" s="408"/>
      <c r="N123" s="818"/>
      <c r="O123" s="825"/>
      <c r="P123" s="413"/>
    </row>
    <row r="124" spans="1:16" ht="27.75">
      <c r="A124" s="1297" t="s">
        <v>243</v>
      </c>
      <c r="B124" s="1298"/>
      <c r="C124" s="1298"/>
      <c r="D124" s="599" t="s">
        <v>152</v>
      </c>
      <c r="E124" s="703">
        <f>'13'!F124</f>
        <v>73582.3</v>
      </c>
      <c r="F124" s="703">
        <v>73582.3</v>
      </c>
      <c r="G124" s="549">
        <f t="shared" si="15"/>
        <v>0</v>
      </c>
      <c r="H124" s="536">
        <f>G124+'13'!H124</f>
        <v>0.10000000000582077</v>
      </c>
      <c r="I124" s="602"/>
      <c r="J124" s="629">
        <f>H124/DAY(B2)</f>
        <v>7.1428571432729116E-3</v>
      </c>
      <c r="K124" s="411"/>
      <c r="L124" s="408"/>
      <c r="N124" s="818"/>
      <c r="O124" s="825"/>
      <c r="P124" s="413"/>
    </row>
    <row r="125" spans="1:16" ht="27.75">
      <c r="A125" s="1367" t="s">
        <v>244</v>
      </c>
      <c r="B125" s="1368"/>
      <c r="C125" s="1369"/>
      <c r="D125" s="599" t="s">
        <v>152</v>
      </c>
      <c r="E125" s="554">
        <f>'13'!F125</f>
        <v>136513.92000000001</v>
      </c>
      <c r="F125" s="554">
        <v>136578.34</v>
      </c>
      <c r="G125" s="549">
        <f t="shared" si="15"/>
        <v>64.419999999983702</v>
      </c>
      <c r="H125" s="536">
        <f>G125+'13'!H125</f>
        <v>987.6699999999837</v>
      </c>
      <c r="I125" s="602"/>
      <c r="J125" s="629">
        <f>H125/DAY(B2)</f>
        <v>70.547857142855975</v>
      </c>
      <c r="K125" s="411"/>
      <c r="L125" s="408"/>
      <c r="N125" s="818"/>
      <c r="O125" s="825"/>
      <c r="P125" s="413"/>
    </row>
    <row r="126" spans="1:16" ht="27.75">
      <c r="A126" s="686" t="s">
        <v>245</v>
      </c>
      <c r="B126" s="1298"/>
      <c r="C126" s="1298"/>
      <c r="D126" s="599" t="s">
        <v>152</v>
      </c>
      <c r="E126" s="703">
        <f>'13'!F126</f>
        <v>57790</v>
      </c>
      <c r="F126" s="703">
        <v>57826</v>
      </c>
      <c r="G126" s="549">
        <f t="shared" si="15"/>
        <v>36</v>
      </c>
      <c r="H126" s="536">
        <f>G126+'13'!H126</f>
        <v>445</v>
      </c>
      <c r="I126" s="602"/>
      <c r="J126" s="629">
        <f>H126/DAY(B2)</f>
        <v>31.785714285714285</v>
      </c>
      <c r="K126" s="411"/>
      <c r="L126" s="408"/>
      <c r="N126" s="818"/>
      <c r="O126" s="825"/>
      <c r="P126" s="413"/>
    </row>
    <row r="127" spans="1:16" ht="27.75">
      <c r="A127" s="686" t="s">
        <v>246</v>
      </c>
      <c r="B127" s="1298"/>
      <c r="C127" s="1298"/>
      <c r="D127" s="599" t="s">
        <v>152</v>
      </c>
      <c r="E127" s="703">
        <f>'13'!F127</f>
        <v>8748.2000000000007</v>
      </c>
      <c r="F127" s="703">
        <v>8752.2000000000007</v>
      </c>
      <c r="G127" s="549">
        <f t="shared" si="15"/>
        <v>4</v>
      </c>
      <c r="H127" s="536">
        <f>G127+'13'!H127</f>
        <v>46.200000000000728</v>
      </c>
      <c r="I127" s="556"/>
      <c r="J127" s="629">
        <f>H127/DAY(B2)</f>
        <v>3.3000000000000518</v>
      </c>
      <c r="K127" s="411"/>
      <c r="L127" s="408"/>
      <c r="N127" s="818"/>
      <c r="O127" s="825"/>
      <c r="P127" s="413"/>
    </row>
    <row r="128" spans="1:16" s="281" customFormat="1" ht="27.75">
      <c r="A128" s="686" t="s">
        <v>247</v>
      </c>
      <c r="B128" s="1298"/>
      <c r="C128" s="1298"/>
      <c r="D128" s="599"/>
      <c r="E128" s="554"/>
      <c r="F128" s="554"/>
      <c r="G128" s="549">
        <f>G15-SUM(G123:G127)</f>
        <v>508.32000000000698</v>
      </c>
      <c r="H128" s="536"/>
      <c r="I128" s="556"/>
      <c r="J128" s="629"/>
      <c r="K128" s="391"/>
      <c r="L128" s="293"/>
      <c r="N128" s="818"/>
      <c r="O128" s="825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5"/>
      <c r="P129" s="413"/>
    </row>
    <row r="130" spans="1:16" ht="27.75">
      <c r="A130" s="1297" t="s">
        <v>249</v>
      </c>
      <c r="B130" s="1298"/>
      <c r="C130" s="1298"/>
      <c r="D130" s="599" t="s">
        <v>250</v>
      </c>
      <c r="E130" s="560">
        <f>'13'!F130</f>
        <v>0</v>
      </c>
      <c r="F130" s="554">
        <v>0</v>
      </c>
      <c r="G130" s="549">
        <f t="shared" ref="G130:G140" si="16">F130-E130</f>
        <v>0</v>
      </c>
      <c r="H130" s="536">
        <f>G130+'13'!H130</f>
        <v>0</v>
      </c>
      <c r="I130" s="556"/>
      <c r="J130" s="629">
        <f>H130/DAY(B2)</f>
        <v>0</v>
      </c>
      <c r="N130" s="818"/>
      <c r="O130" s="825"/>
      <c r="P130" s="413"/>
    </row>
    <row r="131" spans="1:16" ht="27.75">
      <c r="A131" s="1297" t="s">
        <v>251</v>
      </c>
      <c r="B131" s="1298"/>
      <c r="C131" s="1298"/>
      <c r="D131" s="599" t="s">
        <v>250</v>
      </c>
      <c r="E131" s="560">
        <f>'13'!F131</f>
        <v>0</v>
      </c>
      <c r="F131" s="554">
        <v>0</v>
      </c>
      <c r="G131" s="549">
        <f t="shared" si="16"/>
        <v>0</v>
      </c>
      <c r="H131" s="536">
        <f>G131+'13'!H131</f>
        <v>0</v>
      </c>
      <c r="I131" s="556"/>
      <c r="J131" s="629">
        <f>H131/DAY(B2)</f>
        <v>0</v>
      </c>
      <c r="N131" s="818"/>
      <c r="O131" s="825"/>
      <c r="P131" s="413"/>
    </row>
    <row r="132" spans="1:16" ht="27.75">
      <c r="A132" s="1297" t="s">
        <v>252</v>
      </c>
      <c r="B132" s="1298"/>
      <c r="C132" s="1298"/>
      <c r="D132" s="599" t="s">
        <v>250</v>
      </c>
      <c r="E132" s="618">
        <f>'13'!F132</f>
        <v>38901</v>
      </c>
      <c r="F132" s="732">
        <v>38901</v>
      </c>
      <c r="G132" s="549">
        <f t="shared" si="16"/>
        <v>0</v>
      </c>
      <c r="H132" s="536">
        <f>G132+'13'!H132</f>
        <v>0</v>
      </c>
      <c r="I132" s="556"/>
      <c r="J132" s="629">
        <f>H132/DAY(B2)</f>
        <v>0</v>
      </c>
      <c r="N132" s="818"/>
      <c r="O132" s="825"/>
      <c r="P132" s="413"/>
    </row>
    <row r="133" spans="1:16" ht="27.75">
      <c r="A133" s="1297" t="s">
        <v>253</v>
      </c>
      <c r="B133" s="1298"/>
      <c r="C133" s="1298"/>
      <c r="D133" s="599" t="s">
        <v>250</v>
      </c>
      <c r="E133" s="782">
        <f>'13'!F133</f>
        <v>299</v>
      </c>
      <c r="F133" s="703">
        <v>299</v>
      </c>
      <c r="G133" s="549">
        <f t="shared" si="16"/>
        <v>0</v>
      </c>
      <c r="H133" s="536">
        <f>G133+'13'!H133</f>
        <v>0</v>
      </c>
      <c r="I133" s="556">
        <f>G130+G131+G132+G133</f>
        <v>0</v>
      </c>
      <c r="J133" s="629">
        <f>H133/DAY(B2)</f>
        <v>0</v>
      </c>
      <c r="N133" s="818"/>
      <c r="O133" s="825"/>
      <c r="P133" s="413"/>
    </row>
    <row r="134" spans="1:16" ht="27.75">
      <c r="A134" s="1297" t="s">
        <v>254</v>
      </c>
      <c r="B134" s="1298"/>
      <c r="C134" s="1298"/>
      <c r="D134" s="599" t="s">
        <v>250</v>
      </c>
      <c r="E134" s="782">
        <f>'13'!F134</f>
        <v>39792</v>
      </c>
      <c r="F134" s="703">
        <v>39816.400000000001</v>
      </c>
      <c r="G134" s="549">
        <f t="shared" si="16"/>
        <v>24.400000000001455</v>
      </c>
      <c r="H134" s="536">
        <f>G134+'13'!H134</f>
        <v>81.400000000001455</v>
      </c>
      <c r="I134" s="556"/>
      <c r="J134" s="629">
        <f>H134/DAY(B2)</f>
        <v>5.814285714285818</v>
      </c>
      <c r="N134" s="818"/>
      <c r="O134" s="825"/>
      <c r="P134" s="413"/>
    </row>
    <row r="135" spans="1:16" ht="27.75">
      <c r="A135" s="1297" t="s">
        <v>255</v>
      </c>
      <c r="B135" s="1298"/>
      <c r="C135" s="1298"/>
      <c r="D135" s="599" t="s">
        <v>250</v>
      </c>
      <c r="E135" s="618">
        <f>'13'!F135</f>
        <v>32423</v>
      </c>
      <c r="F135" s="732">
        <v>32423</v>
      </c>
      <c r="G135" s="549">
        <f t="shared" si="16"/>
        <v>0</v>
      </c>
      <c r="H135" s="536">
        <f>G135+'13'!H135</f>
        <v>255.61000000000058</v>
      </c>
      <c r="I135" s="556"/>
      <c r="J135" s="629">
        <f>H135/DAY(B2)</f>
        <v>18.257857142857183</v>
      </c>
      <c r="N135" s="818"/>
      <c r="O135" s="825"/>
      <c r="P135" s="413"/>
    </row>
    <row r="136" spans="1:16" ht="27.75">
      <c r="A136" s="1297" t="s">
        <v>256</v>
      </c>
      <c r="B136" s="1298"/>
      <c r="C136" s="1298"/>
      <c r="D136" s="599" t="s">
        <v>250</v>
      </c>
      <c r="E136" s="618">
        <f>'13'!F136</f>
        <v>21873.27</v>
      </c>
      <c r="F136" s="732">
        <v>21881.32</v>
      </c>
      <c r="G136" s="549">
        <f t="shared" si="16"/>
        <v>8.0499999999992724</v>
      </c>
      <c r="H136" s="536">
        <f>G136+'13'!H136</f>
        <v>79.619999999998981</v>
      </c>
      <c r="I136" s="556">
        <f>G134+G135+G136</f>
        <v>32.450000000000728</v>
      </c>
      <c r="J136" s="629">
        <f>H136/DAY(B2)</f>
        <v>5.687142857142784</v>
      </c>
      <c r="N136" s="818"/>
      <c r="O136" s="825"/>
      <c r="P136" s="413"/>
    </row>
    <row r="137" spans="1:16" ht="27.75">
      <c r="A137" s="1297" t="s">
        <v>257</v>
      </c>
      <c r="B137" s="1298"/>
      <c r="C137" s="1298"/>
      <c r="D137" s="599" t="s">
        <v>250</v>
      </c>
      <c r="E137" s="618">
        <f>'13'!F137</f>
        <v>25000.560000000001</v>
      </c>
      <c r="F137" s="732">
        <v>25000.560000000001</v>
      </c>
      <c r="G137" s="549">
        <f t="shared" si="16"/>
        <v>0</v>
      </c>
      <c r="H137" s="536">
        <f>G137+'13'!H137</f>
        <v>9.9500000000007276</v>
      </c>
      <c r="I137" s="556"/>
      <c r="J137" s="629">
        <f>H137/DAY(B2)</f>
        <v>0.7107142857143377</v>
      </c>
      <c r="N137" s="818"/>
      <c r="O137" s="825"/>
      <c r="P137" s="413"/>
    </row>
    <row r="138" spans="1:16" ht="27.75">
      <c r="A138" s="1297" t="s">
        <v>258</v>
      </c>
      <c r="B138" s="1298"/>
      <c r="C138" s="1298"/>
      <c r="D138" s="599" t="s">
        <v>250</v>
      </c>
      <c r="E138" s="618">
        <f>'13'!F138</f>
        <v>70038.350000000006</v>
      </c>
      <c r="F138" s="732">
        <v>70040.77</v>
      </c>
      <c r="G138" s="549">
        <f t="shared" si="16"/>
        <v>2.4199999999982538</v>
      </c>
      <c r="H138" s="536">
        <f>G138+'13'!H138</f>
        <v>34.400000000008731</v>
      </c>
      <c r="I138" s="556">
        <f>G137+G138</f>
        <v>2.4199999999982538</v>
      </c>
      <c r="J138" s="629">
        <f>H138/DAY(B2)</f>
        <v>2.4571428571434808</v>
      </c>
      <c r="N138" s="818"/>
      <c r="O138" s="825"/>
      <c r="P138" s="413"/>
    </row>
    <row r="139" spans="1:16" ht="27.75">
      <c r="A139" s="1297" t="s">
        <v>259</v>
      </c>
      <c r="B139" s="1298"/>
      <c r="C139" s="1298"/>
      <c r="D139" s="599" t="s">
        <v>250</v>
      </c>
      <c r="E139" s="782">
        <f>'13'!F139</f>
        <v>1065.1300000000001</v>
      </c>
      <c r="F139" s="703">
        <v>1071.83</v>
      </c>
      <c r="G139" s="549">
        <f t="shared" si="16"/>
        <v>6.6999999999998181</v>
      </c>
      <c r="H139" s="536">
        <f>G139+'13'!H139</f>
        <v>8.8299999999999272</v>
      </c>
      <c r="I139" s="619"/>
      <c r="J139" s="629">
        <f>H139/DAY(B2)</f>
        <v>0.63071428571428056</v>
      </c>
      <c r="N139" s="818"/>
      <c r="O139" s="825"/>
      <c r="P139" s="413"/>
    </row>
    <row r="140" spans="1:16" ht="27.75">
      <c r="A140" s="1297" t="s">
        <v>260</v>
      </c>
      <c r="B140" s="1298"/>
      <c r="C140" s="1298"/>
      <c r="D140" s="599" t="s">
        <v>250</v>
      </c>
      <c r="E140" s="560">
        <f>'13'!F140</f>
        <v>4333.53</v>
      </c>
      <c r="F140" s="554">
        <v>4333.53</v>
      </c>
      <c r="G140" s="549">
        <f t="shared" si="16"/>
        <v>0</v>
      </c>
      <c r="H140" s="536">
        <f>G140+'13'!H140</f>
        <v>101.11999999999989</v>
      </c>
      <c r="I140" s="619"/>
      <c r="J140" s="629">
        <f>H140/DAY(B2)</f>
        <v>7.2228571428571353</v>
      </c>
      <c r="N140" s="818"/>
      <c r="O140" s="825"/>
      <c r="P140" s="413"/>
    </row>
    <row r="141" spans="1:16">
      <c r="A141" s="1397" t="s">
        <v>261</v>
      </c>
      <c r="B141" s="1398"/>
      <c r="C141" s="1301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5"/>
      <c r="P141" s="413"/>
    </row>
    <row r="142" spans="1:16" ht="27.75">
      <c r="A142" s="1388" t="s">
        <v>262</v>
      </c>
      <c r="B142" s="1389"/>
      <c r="C142" s="1390"/>
      <c r="D142" s="599" t="s">
        <v>143</v>
      </c>
      <c r="E142" s="599"/>
      <c r="F142" s="599"/>
      <c r="G142" s="536">
        <f>G35+G43+G49+G57</f>
        <v>5659.6400000001013</v>
      </c>
      <c r="H142" s="536">
        <f>G142+'13'!H142</f>
        <v>70931.300000000047</v>
      </c>
      <c r="I142" s="556"/>
      <c r="J142" s="629">
        <f>H142/DAY(B2)</f>
        <v>5066.5214285714319</v>
      </c>
      <c r="K142" s="411"/>
      <c r="L142" s="408"/>
      <c r="N142" s="818"/>
      <c r="O142" s="825"/>
      <c r="P142" s="413"/>
    </row>
    <row r="143" spans="1:16" ht="27.75">
      <c r="A143" s="1388" t="s">
        <v>263</v>
      </c>
      <c r="B143" s="1389"/>
      <c r="C143" s="1390"/>
      <c r="D143" s="599" t="s">
        <v>24</v>
      </c>
      <c r="E143" s="587"/>
      <c r="F143" s="587"/>
      <c r="G143" s="620">
        <f>G142/G7</f>
        <v>0.29260883052425296</v>
      </c>
      <c r="H143" s="536">
        <f>G143+'13'!H143</f>
        <v>3.5135173305166831</v>
      </c>
      <c r="I143" s="621"/>
      <c r="J143" s="629">
        <f>H143/DAY(B2)</f>
        <v>0.25096552360833452</v>
      </c>
      <c r="K143" s="411"/>
      <c r="L143" s="408"/>
      <c r="N143" s="818"/>
      <c r="O143" s="825"/>
      <c r="P143" s="413"/>
    </row>
    <row r="144" spans="1:16" ht="27.75">
      <c r="A144" s="1388" t="s">
        <v>264</v>
      </c>
      <c r="B144" s="1389"/>
      <c r="C144" s="1390"/>
      <c r="D144" s="599" t="s">
        <v>143</v>
      </c>
      <c r="E144" s="531"/>
      <c r="F144" s="531"/>
      <c r="G144" s="536">
        <f>G41+G42+G55+G56</f>
        <v>4347.5380000000368</v>
      </c>
      <c r="H144" s="536">
        <f>G144+'13'!H144</f>
        <v>60221.919000000031</v>
      </c>
      <c r="I144" s="556"/>
      <c r="J144" s="629">
        <f>H144/DAY(B2)</f>
        <v>4301.5656428571447</v>
      </c>
      <c r="K144" s="411"/>
      <c r="L144" s="408"/>
      <c r="N144" s="818"/>
      <c r="O144" s="825"/>
      <c r="P144" s="413"/>
    </row>
    <row r="145" spans="1:16" ht="27.75">
      <c r="A145" s="1388" t="s">
        <v>265</v>
      </c>
      <c r="B145" s="1389"/>
      <c r="C145" s="1390"/>
      <c r="D145" s="599" t="s">
        <v>24</v>
      </c>
      <c r="E145" s="531"/>
      <c r="F145" s="531"/>
      <c r="G145" s="620">
        <f>G144/G7</f>
        <v>0.22477189535725556</v>
      </c>
      <c r="H145" s="536">
        <f>G145+'13'!H145</f>
        <v>3.1152567714643489</v>
      </c>
      <c r="I145" s="621"/>
      <c r="J145" s="629">
        <f>H145/DAY(B2)</f>
        <v>0.22251834081888205</v>
      </c>
      <c r="K145" s="411"/>
      <c r="L145" s="408"/>
      <c r="N145" s="818"/>
      <c r="O145" s="825"/>
      <c r="P145" s="413"/>
    </row>
    <row r="146" spans="1:16" ht="27.75">
      <c r="A146" s="1388" t="s">
        <v>266</v>
      </c>
      <c r="B146" s="1389"/>
      <c r="C146" s="1390"/>
      <c r="D146" s="599" t="s">
        <v>143</v>
      </c>
      <c r="E146" s="531"/>
      <c r="F146" s="531"/>
      <c r="G146" s="536">
        <f>G39+G53</f>
        <v>3857.7300000000105</v>
      </c>
      <c r="H146" s="536">
        <f>G146+'13'!H146</f>
        <v>56567.010000000009</v>
      </c>
      <c r="I146" s="622"/>
      <c r="J146" s="629">
        <f>H146/DAY(B2)</f>
        <v>4040.5007142857148</v>
      </c>
      <c r="K146" s="411"/>
      <c r="L146" s="408"/>
      <c r="N146" s="818"/>
      <c r="O146" s="825"/>
      <c r="P146" s="413"/>
    </row>
    <row r="147" spans="1:16" ht="27.75">
      <c r="A147" s="1388" t="s">
        <v>267</v>
      </c>
      <c r="B147" s="1389"/>
      <c r="C147" s="1390"/>
      <c r="D147" s="599" t="s">
        <v>24</v>
      </c>
      <c r="E147" s="531"/>
      <c r="F147" s="531"/>
      <c r="G147" s="620">
        <f>G146/G7</f>
        <v>0.19944835073932429</v>
      </c>
      <c r="H147" s="536">
        <f>G147+'13'!H147</f>
        <v>2.9389344104030282</v>
      </c>
      <c r="I147" s="622"/>
      <c r="J147" s="629">
        <f>H147/DAY(B2)</f>
        <v>0.20992388645735915</v>
      </c>
      <c r="N147" s="818"/>
      <c r="O147" s="825"/>
      <c r="P147" s="413"/>
    </row>
    <row r="148" spans="1:16" ht="27.75">
      <c r="A148" s="1388" t="s">
        <v>268</v>
      </c>
      <c r="B148" s="1389"/>
      <c r="C148" s="1390"/>
      <c r="D148" s="599" t="s">
        <v>194</v>
      </c>
      <c r="E148" s="531"/>
      <c r="F148" s="531"/>
      <c r="G148" s="536">
        <f>G38+G52</f>
        <v>1878.2399999999907</v>
      </c>
      <c r="H148" s="536">
        <f>G148+'13'!H148</f>
        <v>28129.239999999991</v>
      </c>
      <c r="I148" s="556"/>
      <c r="J148" s="629">
        <f>H148/DAY(B2)</f>
        <v>2009.2314285714278</v>
      </c>
      <c r="K148" s="412"/>
      <c r="N148" s="818"/>
      <c r="O148" s="825"/>
      <c r="P148" s="413"/>
    </row>
    <row r="149" spans="1:16" ht="27.75">
      <c r="A149" s="1388" t="s">
        <v>269</v>
      </c>
      <c r="B149" s="1389"/>
      <c r="C149" s="1390"/>
      <c r="D149" s="599" t="s">
        <v>24</v>
      </c>
      <c r="E149" s="531"/>
      <c r="F149" s="531"/>
      <c r="G149" s="620">
        <f>G148/G7</f>
        <v>9.7106814186743398E-2</v>
      </c>
      <c r="H149" s="536">
        <f>G149+'13'!H149</f>
        <v>1.4620544524224595</v>
      </c>
      <c r="I149" s="622"/>
      <c r="J149" s="629">
        <f>H149/DAY(B2)</f>
        <v>0.10443246088731853</v>
      </c>
      <c r="N149" s="818"/>
      <c r="O149" s="825"/>
      <c r="P149" s="413"/>
    </row>
    <row r="150" spans="1:16" ht="27.75">
      <c r="A150" s="1388" t="s">
        <v>270</v>
      </c>
      <c r="B150" s="1389"/>
      <c r="C150" s="1390"/>
      <c r="D150" s="599" t="s">
        <v>194</v>
      </c>
      <c r="E150" s="531"/>
      <c r="F150" s="531"/>
      <c r="G150" s="536">
        <f>G36+G50</f>
        <v>1668.6000000000349</v>
      </c>
      <c r="H150" s="536">
        <f>G150+'13'!H150</f>
        <v>24301.679999999993</v>
      </c>
      <c r="I150" s="622"/>
      <c r="J150" s="629">
        <f>H150/DAY(B2)</f>
        <v>1735.8342857142852</v>
      </c>
      <c r="N150" s="818"/>
      <c r="O150" s="825"/>
      <c r="P150" s="413"/>
    </row>
    <row r="151" spans="1:16" ht="27.75">
      <c r="A151" s="1388" t="s">
        <v>271</v>
      </c>
      <c r="B151" s="1389"/>
      <c r="C151" s="1390"/>
      <c r="D151" s="599" t="s">
        <v>24</v>
      </c>
      <c r="E151" s="531"/>
      <c r="F151" s="531"/>
      <c r="G151" s="620">
        <f>G150/G7</f>
        <v>8.6268224588979162E-2</v>
      </c>
      <c r="H151" s="536">
        <f>G151+'13'!H151</f>
        <v>1.2642958041766463</v>
      </c>
      <c r="I151" s="556"/>
      <c r="J151" s="629">
        <f>H151/DAY(B2)</f>
        <v>9.0306843155474742E-2</v>
      </c>
      <c r="N151" s="818"/>
      <c r="O151" s="825"/>
      <c r="P151" s="413"/>
    </row>
    <row r="152" spans="1:16" ht="27.75">
      <c r="A152" s="1388" t="s">
        <v>272</v>
      </c>
      <c r="B152" s="1389"/>
      <c r="C152" s="1390"/>
      <c r="D152" s="599" t="s">
        <v>194</v>
      </c>
      <c r="E152" s="531"/>
      <c r="F152" s="531"/>
      <c r="G152" s="536">
        <f>G37+G51</f>
        <v>1404.8010000000068</v>
      </c>
      <c r="H152" s="536">
        <f>G152+'13'!H152</f>
        <v>20056.441000000006</v>
      </c>
      <c r="I152" s="556"/>
      <c r="J152" s="629">
        <f>H152/DAY(B2)</f>
        <v>1432.6029285714289</v>
      </c>
      <c r="N152" s="818"/>
      <c r="O152" s="825"/>
      <c r="P152" s="413"/>
    </row>
    <row r="153" spans="1:16" ht="28.5" thickBot="1">
      <c r="A153" s="1394" t="s">
        <v>273</v>
      </c>
      <c r="B153" s="1395"/>
      <c r="C153" s="1396"/>
      <c r="D153" s="702" t="s">
        <v>24</v>
      </c>
      <c r="E153" s="642"/>
      <c r="F153" s="642"/>
      <c r="G153" s="643">
        <f>G152/G7</f>
        <v>7.2629562609864889E-2</v>
      </c>
      <c r="H153" s="536">
        <f>G153+'13'!H153</f>
        <v>1.042755406483044</v>
      </c>
      <c r="I153" s="645"/>
      <c r="J153" s="646">
        <f>H153/DAY(B2)</f>
        <v>7.4482529034503142E-2</v>
      </c>
      <c r="N153" s="818"/>
      <c r="O153" s="825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99" t="s">
        <v>274</v>
      </c>
      <c r="B160" s="900"/>
      <c r="C160" s="900"/>
      <c r="D160" s="697" t="s">
        <v>198</v>
      </c>
      <c r="E160" s="598">
        <f>'13'!F160</f>
        <v>27004.609</v>
      </c>
      <c r="F160" s="908">
        <v>27077.25</v>
      </c>
      <c r="G160" s="549">
        <f t="shared" ref="G160:G163" si="17">F160-E160</f>
        <v>72.640999999999622</v>
      </c>
      <c r="N160" s="818"/>
    </row>
    <row r="161" spans="1:14" ht="21.75" customHeight="1">
      <c r="A161" s="899" t="s">
        <v>275</v>
      </c>
      <c r="B161" s="900"/>
      <c r="C161" s="900"/>
      <c r="D161" s="697" t="s">
        <v>198</v>
      </c>
      <c r="E161" s="598">
        <f>'13'!F161</f>
        <v>34403.29</v>
      </c>
      <c r="F161" s="908">
        <v>34832.519999999997</v>
      </c>
      <c r="G161" s="549">
        <f t="shared" si="17"/>
        <v>429.22999999999593</v>
      </c>
      <c r="N161" s="818"/>
    </row>
    <row r="162" spans="1:14" ht="21.75" customHeight="1">
      <c r="A162" s="899" t="s">
        <v>276</v>
      </c>
      <c r="B162" s="900"/>
      <c r="C162" s="900"/>
      <c r="D162" s="697" t="s">
        <v>198</v>
      </c>
      <c r="E162" s="598">
        <f>'13'!F162</f>
        <v>9291.6</v>
      </c>
      <c r="F162" s="908">
        <v>9490.41</v>
      </c>
      <c r="G162" s="549">
        <f t="shared" si="17"/>
        <v>198.80999999999949</v>
      </c>
      <c r="N162" s="818"/>
    </row>
    <row r="163" spans="1:14" ht="21.75" customHeight="1">
      <c r="A163" s="899" t="s">
        <v>277</v>
      </c>
      <c r="B163" s="900"/>
      <c r="C163" s="900"/>
      <c r="D163" s="697" t="s">
        <v>198</v>
      </c>
      <c r="E163" s="598">
        <f>'13'!F163</f>
        <v>4630.74</v>
      </c>
      <c r="F163" s="908">
        <v>4654.3100000000004</v>
      </c>
      <c r="G163" s="549">
        <f t="shared" si="17"/>
        <v>23.570000000000618</v>
      </c>
      <c r="N163" s="818"/>
    </row>
    <row r="164" spans="1:14" ht="21.75" customHeight="1">
      <c r="A164" s="901" t="s">
        <v>106</v>
      </c>
      <c r="B164" s="902"/>
      <c r="C164" s="902"/>
      <c r="D164" s="697" t="s">
        <v>198</v>
      </c>
      <c r="E164" s="590">
        <f>E62</f>
        <v>20419.18</v>
      </c>
      <c r="F164" s="590">
        <f>F62</f>
        <v>20419.18</v>
      </c>
      <c r="G164" s="549">
        <f t="shared" ref="G164:G171" si="18">F164-E164</f>
        <v>0</v>
      </c>
      <c r="N164" s="818"/>
    </row>
    <row r="165" spans="1:14" ht="21.75" customHeight="1">
      <c r="A165" s="901" t="s">
        <v>199</v>
      </c>
      <c r="B165" s="902"/>
      <c r="C165" s="902"/>
      <c r="D165" s="697" t="s">
        <v>198</v>
      </c>
      <c r="E165" s="590">
        <f t="shared" ref="E165:E171" si="19">E63</f>
        <v>1163.4000000000001</v>
      </c>
      <c r="F165" s="590">
        <f t="shared" ref="F165:F171" si="20">F63</f>
        <v>1167.5</v>
      </c>
      <c r="G165" s="549">
        <f t="shared" si="18"/>
        <v>4.0999999999999091</v>
      </c>
      <c r="N165" s="818"/>
    </row>
    <row r="166" spans="1:14" ht="21.75" customHeight="1">
      <c r="A166" s="1434" t="s">
        <v>107</v>
      </c>
      <c r="B166" s="1434"/>
      <c r="C166" s="1434"/>
      <c r="D166" s="600" t="s">
        <v>198</v>
      </c>
      <c r="E166" s="590">
        <f t="shared" si="19"/>
        <v>103534.41</v>
      </c>
      <c r="F166" s="590">
        <f t="shared" si="20"/>
        <v>103928.24</v>
      </c>
      <c r="G166" s="549">
        <f t="shared" si="18"/>
        <v>393.83000000000175</v>
      </c>
      <c r="N166" s="818"/>
    </row>
    <row r="167" spans="1:14" ht="21.75" customHeight="1">
      <c r="A167" s="1434" t="s">
        <v>108</v>
      </c>
      <c r="B167" s="1434"/>
      <c r="C167" s="1434"/>
      <c r="D167" s="600" t="s">
        <v>198</v>
      </c>
      <c r="E167" s="590">
        <f t="shared" si="19"/>
        <v>114295.34</v>
      </c>
      <c r="F167" s="590">
        <f t="shared" si="20"/>
        <v>114690.87</v>
      </c>
      <c r="G167" s="549">
        <f t="shared" si="18"/>
        <v>395.52999999999884</v>
      </c>
      <c r="N167" s="818"/>
    </row>
    <row r="168" spans="1:14" ht="21.75" customHeight="1">
      <c r="A168" s="1434" t="s">
        <v>109</v>
      </c>
      <c r="B168" s="1434"/>
      <c r="C168" s="1434"/>
      <c r="D168" s="600" t="s">
        <v>198</v>
      </c>
      <c r="E168" s="590">
        <f t="shared" si="19"/>
        <v>7273.22</v>
      </c>
      <c r="F168" s="590">
        <f t="shared" si="20"/>
        <v>7617.09</v>
      </c>
      <c r="G168" s="549">
        <f t="shared" si="18"/>
        <v>343.86999999999989</v>
      </c>
      <c r="N168" s="818"/>
    </row>
    <row r="169" spans="1:14" ht="21.75" customHeight="1">
      <c r="A169" s="1434" t="s">
        <v>110</v>
      </c>
      <c r="B169" s="1434"/>
      <c r="C169" s="1434"/>
      <c r="D169" s="600" t="s">
        <v>198</v>
      </c>
      <c r="E169" s="590">
        <f t="shared" si="19"/>
        <v>176677.11</v>
      </c>
      <c r="F169" s="590">
        <f t="shared" si="20"/>
        <v>177299.03</v>
      </c>
      <c r="G169" s="549">
        <f t="shared" si="18"/>
        <v>621.92000000001281</v>
      </c>
      <c r="N169" s="818"/>
    </row>
    <row r="170" spans="1:14" ht="24" customHeight="1">
      <c r="A170" s="1434" t="s">
        <v>111</v>
      </c>
      <c r="B170" s="1434"/>
      <c r="C170" s="1434"/>
      <c r="D170" s="600" t="s">
        <v>198</v>
      </c>
      <c r="E170" s="590">
        <f t="shared" si="19"/>
        <v>57498.44</v>
      </c>
      <c r="F170" s="590">
        <f t="shared" si="20"/>
        <v>57814.77</v>
      </c>
      <c r="G170" s="549">
        <f t="shared" si="18"/>
        <v>316.32999999999447</v>
      </c>
      <c r="N170" s="818"/>
    </row>
    <row r="171" spans="1:14" ht="27.75">
      <c r="A171" s="1434" t="s">
        <v>112</v>
      </c>
      <c r="B171" s="1434"/>
      <c r="C171" s="1434"/>
      <c r="D171" s="600" t="s">
        <v>198</v>
      </c>
      <c r="E171" s="590">
        <f t="shared" si="19"/>
        <v>50367.02</v>
      </c>
      <c r="F171" s="590">
        <f t="shared" si="20"/>
        <v>50643.591</v>
      </c>
      <c r="G171" s="549">
        <f t="shared" si="18"/>
        <v>276.57100000000355</v>
      </c>
      <c r="N171" s="818"/>
    </row>
    <row r="172" spans="1:14">
      <c r="A172" s="903"/>
      <c r="B172" s="904"/>
      <c r="C172" s="904"/>
      <c r="D172" s="905"/>
      <c r="E172" s="905"/>
      <c r="F172" s="906"/>
      <c r="G172" s="907">
        <f>SUM(G160:G171)</f>
        <v>3076.4020000000069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22.5" customHeight="1">
      <c r="N177" s="818"/>
    </row>
    <row r="178" spans="14:14" ht="22.5" customHeight="1">
      <c r="N178" s="818"/>
    </row>
    <row r="179" spans="14:14" ht="22.5" customHeight="1">
      <c r="N179" s="818"/>
    </row>
    <row r="180" spans="14:14" ht="22.5" customHeight="1">
      <c r="N180" s="818"/>
    </row>
    <row r="181" spans="14:14" ht="22.5" customHeight="1">
      <c r="N181" s="818"/>
    </row>
    <row r="182" spans="14:14" ht="22.5" customHeight="1">
      <c r="N182" s="818"/>
    </row>
    <row r="183" spans="14:14" ht="22.5" customHeight="1">
      <c r="N183" s="818"/>
    </row>
    <row r="184" spans="14:14" ht="22.5" customHeight="1">
      <c r="N184" s="818"/>
    </row>
    <row r="185" spans="14:14" ht="22.5" customHeight="1">
      <c r="N185" s="818"/>
    </row>
    <row r="186" spans="14:14" ht="22.5" customHeight="1">
      <c r="N186" s="818"/>
    </row>
    <row r="187" spans="14:14" ht="22.5" customHeight="1">
      <c r="N187" s="818"/>
    </row>
    <row r="188" spans="14:14" ht="22.5" customHeight="1">
      <c r="N188" s="818"/>
    </row>
    <row r="189" spans="14:14" ht="22.5" customHeight="1">
      <c r="N189" s="818"/>
    </row>
    <row r="190" spans="14:14" ht="22.5" customHeight="1">
      <c r="N190" s="818"/>
    </row>
    <row r="191" spans="14:14" ht="22.5" customHeight="1">
      <c r="N191" s="818"/>
    </row>
    <row r="192" spans="14:14" ht="22.5" customHeight="1">
      <c r="N192" s="818"/>
    </row>
    <row r="193" spans="14:14" ht="22.5" customHeight="1">
      <c r="N193" s="818"/>
    </row>
    <row r="194" spans="14:14" ht="22.5" customHeight="1">
      <c r="N194" s="818"/>
    </row>
    <row r="195" spans="14:14" ht="22.5" customHeight="1">
      <c r="N195" s="818"/>
    </row>
    <row r="196" spans="14:14" ht="22.5" customHeight="1">
      <c r="N196" s="818"/>
    </row>
    <row r="197" spans="14:14" ht="22.5" customHeight="1">
      <c r="N197" s="818"/>
    </row>
    <row r="198" spans="14:14" ht="22.5" customHeight="1"/>
    <row r="199" spans="14:14" ht="22.5" customHeight="1"/>
    <row r="200" spans="14:14" ht="22.5" customHeight="1"/>
    <row r="201" spans="14:14" ht="22.5" customHeight="1"/>
    <row r="202" spans="14:14" ht="22.5" customHeight="1"/>
    <row r="203" spans="14:14" ht="22.5" customHeight="1"/>
    <row r="204" spans="14:14" ht="22.5" customHeight="1"/>
    <row r="205" spans="14:14" ht="22.5" customHeight="1"/>
    <row r="206" spans="14:14" ht="22.5" customHeight="1"/>
    <row r="207" spans="14:14" ht="22.5" customHeight="1"/>
    <row r="208" spans="14:14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1:C101"/>
    <mergeCell ref="A94:C94"/>
    <mergeCell ref="A95:C95"/>
    <mergeCell ref="A82:C82"/>
    <mergeCell ref="A83:C83"/>
    <mergeCell ref="A92:C92"/>
    <mergeCell ref="A93:C93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22" zoomScale="55" zoomScaleNormal="80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823"/>
    <col min="16" max="16384" width="22.33203125" style="407"/>
  </cols>
  <sheetData>
    <row r="1" spans="1:16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6" s="281" customFormat="1" ht="27">
      <c r="A2" s="652" t="s">
        <v>290</v>
      </c>
      <c r="B2" s="1139">
        <v>44211</v>
      </c>
      <c r="C2" s="1313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824"/>
    </row>
    <row r="3" spans="1:16" s="281" customFormat="1" ht="27">
      <c r="A3" s="647"/>
      <c r="B3" s="691"/>
      <c r="C3" s="1313" t="s">
        <v>131</v>
      </c>
      <c r="D3" s="689">
        <v>29</v>
      </c>
      <c r="E3" s="1408" t="s">
        <v>132</v>
      </c>
      <c r="F3" s="1409"/>
      <c r="G3" s="538"/>
      <c r="H3" s="539"/>
      <c r="I3" s="539"/>
      <c r="J3" s="692"/>
      <c r="K3" s="402"/>
      <c r="L3" s="293"/>
      <c r="N3" s="817"/>
      <c r="O3" s="824"/>
    </row>
    <row r="4" spans="1:16" s="281" customFormat="1" ht="27">
      <c r="A4" s="653"/>
      <c r="B4" s="693"/>
      <c r="C4" s="1313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817"/>
      <c r="O4" s="824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2" t="s">
        <v>141</v>
      </c>
      <c r="B6" s="1403"/>
      <c r="C6" s="1404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'14'!F7</f>
        <v>3556135</v>
      </c>
      <c r="F7" s="531">
        <v>3576950</v>
      </c>
      <c r="G7" s="759">
        <f t="shared" ref="G7:G12" si="0">F7-E7</f>
        <v>20815</v>
      </c>
      <c r="H7" s="760">
        <f>G7+'14'!H7</f>
        <v>290510</v>
      </c>
      <c r="I7" s="761">
        <f>'1'!I7</f>
        <v>12000</v>
      </c>
      <c r="J7" s="762">
        <f>H7/DAY(B2)</f>
        <v>19367.333333333332</v>
      </c>
      <c r="K7" s="626"/>
      <c r="L7" s="408"/>
      <c r="N7" s="829"/>
      <c r="O7" s="825"/>
      <c r="P7" s="828"/>
    </row>
    <row r="8" spans="1:16" ht="27.75" thickBot="1">
      <c r="A8" s="763" t="s">
        <v>144</v>
      </c>
      <c r="B8" s="764"/>
      <c r="C8" s="765"/>
      <c r="D8" s="766" t="s">
        <v>25</v>
      </c>
      <c r="E8" s="710">
        <f>'14'!F8</f>
        <v>3578408</v>
      </c>
      <c r="F8" s="551">
        <v>3599308</v>
      </c>
      <c r="G8" s="770">
        <f t="shared" si="0"/>
        <v>20900</v>
      </c>
      <c r="H8" s="760">
        <f>G8+'14'!H8</f>
        <v>292936</v>
      </c>
      <c r="I8" s="767">
        <f>'1'!I8</f>
        <v>12000</v>
      </c>
      <c r="J8" s="762">
        <f>H8/DAY(B2)</f>
        <v>19529.066666666666</v>
      </c>
      <c r="K8" s="626"/>
      <c r="L8" s="464"/>
      <c r="M8" s="479"/>
      <c r="N8" s="818"/>
      <c r="O8" s="825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'14'!F9</f>
        <v>2442807.7000000002</v>
      </c>
      <c r="F9" s="554">
        <v>2445876.9</v>
      </c>
      <c r="G9" s="783">
        <f t="shared" si="0"/>
        <v>3069.1999999997206</v>
      </c>
      <c r="H9" s="760">
        <f>G9+'14'!H9</f>
        <v>40661.899999999907</v>
      </c>
      <c r="I9" s="771">
        <f>I7-J7</f>
        <v>-7367.3333333333321</v>
      </c>
      <c r="J9" s="762">
        <f>H9/DAY(B2)</f>
        <v>2710.7933333333272</v>
      </c>
      <c r="K9" s="467"/>
      <c r="L9" s="408"/>
      <c r="N9" s="818"/>
      <c r="O9" s="825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'14'!F10</f>
        <v>972631.43</v>
      </c>
      <c r="F10" s="554">
        <v>989623.7</v>
      </c>
      <c r="G10" s="770">
        <f t="shared" si="0"/>
        <v>16992.269999999902</v>
      </c>
      <c r="H10" s="760">
        <f>G10+'14'!H10</f>
        <v>239101.78999999992</v>
      </c>
      <c r="I10" s="772"/>
      <c r="J10" s="762">
        <f>H10/DAY(B2)</f>
        <v>15940.119333333329</v>
      </c>
      <c r="K10" s="467"/>
      <c r="L10" s="408"/>
      <c r="N10" s="818"/>
      <c r="O10" s="825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'14'!F11</f>
        <v>35390</v>
      </c>
      <c r="F11" s="531">
        <v>35390</v>
      </c>
      <c r="G11" s="770">
        <f t="shared" si="0"/>
        <v>0</v>
      </c>
      <c r="H11" s="760">
        <f>G11+'14'!H11</f>
        <v>0</v>
      </c>
      <c r="I11" s="772"/>
      <c r="J11" s="762">
        <f>H11/DAY(B2)</f>
        <v>0</v>
      </c>
      <c r="K11" s="467"/>
      <c r="L11" s="408"/>
      <c r="N11" s="818"/>
      <c r="O11" s="825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'14'!F12</f>
        <v>37630</v>
      </c>
      <c r="F12" s="554">
        <v>37630</v>
      </c>
      <c r="G12" s="770">
        <f t="shared" si="0"/>
        <v>0</v>
      </c>
      <c r="H12" s="760">
        <f>G12+'14'!H12</f>
        <v>0</v>
      </c>
      <c r="I12" s="772"/>
      <c r="J12" s="762">
        <f>H12/DAY(B2)</f>
        <v>0</v>
      </c>
      <c r="K12" s="467"/>
      <c r="L12" s="408"/>
      <c r="N12" s="818"/>
      <c r="O12" s="825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20061.469999999623</v>
      </c>
      <c r="H13" s="760">
        <f>G13+'14'!H13</f>
        <v>260242.68999999983</v>
      </c>
      <c r="I13" s="776">
        <f>G7-G13</f>
        <v>753.53000000037719</v>
      </c>
      <c r="J13" s="762">
        <f>H13/DAY(B2)</f>
        <v>17349.512666666655</v>
      </c>
      <c r="K13" s="467"/>
      <c r="L13" s="408"/>
      <c r="N13" s="818"/>
      <c r="O13" s="825"/>
      <c r="P13" s="413"/>
    </row>
    <row r="14" spans="1:16">
      <c r="A14" s="1405" t="s">
        <v>150</v>
      </c>
      <c r="B14" s="1406"/>
      <c r="C14" s="1407"/>
      <c r="D14" s="548"/>
      <c r="E14" s="548"/>
      <c r="F14" s="548"/>
      <c r="G14" s="559"/>
      <c r="H14" s="548"/>
      <c r="I14" s="548"/>
      <c r="J14" s="1331"/>
      <c r="K14" s="468"/>
      <c r="L14" s="408"/>
      <c r="N14" s="818"/>
      <c r="O14" s="825"/>
      <c r="P14" s="413"/>
    </row>
    <row r="15" spans="1:16">
      <c r="A15" s="897" t="s">
        <v>151</v>
      </c>
      <c r="B15" s="898"/>
      <c r="C15" s="898"/>
      <c r="D15" s="600" t="s">
        <v>152</v>
      </c>
      <c r="E15" s="561">
        <f>'14'!F15</f>
        <v>1579763.882</v>
      </c>
      <c r="F15" s="561">
        <v>1580683.95</v>
      </c>
      <c r="G15" s="745">
        <f>(F15-E15)</f>
        <v>920.0679999999702</v>
      </c>
      <c r="H15" s="562">
        <f>G15+'14'!H15</f>
        <v>11769.84999999986</v>
      </c>
      <c r="I15" s="550">
        <v>800</v>
      </c>
      <c r="J15" s="630">
        <f>H15/DAY(B2)</f>
        <v>784.65666666665732</v>
      </c>
      <c r="K15" s="467"/>
      <c r="L15" s="408"/>
      <c r="N15" s="818"/>
      <c r="O15" s="825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15.343333333342684</v>
      </c>
      <c r="J16" s="630"/>
      <c r="K16" s="467"/>
      <c r="L16" s="408"/>
      <c r="N16" s="818"/>
      <c r="O16" s="825"/>
      <c r="P16" s="413"/>
    </row>
    <row r="17" spans="1:16">
      <c r="A17" s="1405" t="s">
        <v>153</v>
      </c>
      <c r="B17" s="1406"/>
      <c r="C17" s="1407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5"/>
      <c r="P17" s="413"/>
    </row>
    <row r="18" spans="1:16" ht="27.75">
      <c r="A18" s="1431" t="s">
        <v>154</v>
      </c>
      <c r="B18" s="1432"/>
      <c r="C18" s="1433"/>
      <c r="D18" s="715" t="s">
        <v>155</v>
      </c>
      <c r="E18" s="712">
        <f>'14'!F18</f>
        <v>10</v>
      </c>
      <c r="F18" s="554">
        <v>12</v>
      </c>
      <c r="G18" s="775">
        <f>F18*10</f>
        <v>120</v>
      </c>
      <c r="H18" s="760">
        <f>G18+'14'!H18</f>
        <v>1590</v>
      </c>
      <c r="I18" s="761">
        <f>'1'!I18</f>
        <v>65</v>
      </c>
      <c r="J18" s="762">
        <f>H18/DAY(B2)</f>
        <v>106</v>
      </c>
      <c r="K18" s="467"/>
      <c r="L18" s="408"/>
      <c r="N18" s="818"/>
      <c r="O18" s="825"/>
      <c r="P18" s="413"/>
    </row>
    <row r="19" spans="1:16" ht="27.75">
      <c r="A19" s="1431" t="s">
        <v>71</v>
      </c>
      <c r="B19" s="1432"/>
      <c r="C19" s="1433"/>
      <c r="D19" s="715" t="s">
        <v>155</v>
      </c>
      <c r="E19" s="712">
        <f>'14'!F19</f>
        <v>132184</v>
      </c>
      <c r="F19" s="554">
        <v>132237</v>
      </c>
      <c r="G19" s="770">
        <f t="shared" ref="G19" si="1">F19-E19</f>
        <v>53</v>
      </c>
      <c r="H19" s="760">
        <f>G19+'14'!H19</f>
        <v>744</v>
      </c>
      <c r="I19" s="777"/>
      <c r="J19" s="762">
        <f>H19/DAY(B2)</f>
        <v>49.6</v>
      </c>
      <c r="K19" s="467"/>
      <c r="L19" s="408"/>
      <c r="N19" s="818"/>
      <c r="O19" s="825"/>
      <c r="P19" s="413"/>
    </row>
    <row r="20" spans="1:16">
      <c r="A20" s="773" t="s">
        <v>156</v>
      </c>
      <c r="B20" s="774"/>
      <c r="C20" s="774"/>
      <c r="D20" s="715"/>
      <c r="E20" s="715"/>
      <c r="F20" s="809"/>
      <c r="G20" s="778">
        <f>G18+G19</f>
        <v>173</v>
      </c>
      <c r="H20" s="760">
        <f>G20+'14'!H20</f>
        <v>2334</v>
      </c>
      <c r="I20" s="779">
        <f>I18-J20</f>
        <v>-90.6</v>
      </c>
      <c r="J20" s="762">
        <f>H20/DAY(B2)</f>
        <v>155.6</v>
      </c>
      <c r="K20" s="467"/>
      <c r="L20" s="408"/>
      <c r="N20" s="818"/>
      <c r="O20" s="825"/>
      <c r="P20" s="413"/>
    </row>
    <row r="21" spans="1:16">
      <c r="A21" s="1405" t="s">
        <v>157</v>
      </c>
      <c r="B21" s="1406"/>
      <c r="C21" s="1407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5"/>
      <c r="P21" s="413"/>
    </row>
    <row r="22" spans="1:16">
      <c r="A22" s="1311" t="s">
        <v>158</v>
      </c>
      <c r="B22" s="666"/>
      <c r="C22" s="666"/>
      <c r="D22" s="599" t="s">
        <v>159</v>
      </c>
      <c r="E22" s="712">
        <f>'14'!F22</f>
        <v>2250</v>
      </c>
      <c r="F22" s="554">
        <v>2250</v>
      </c>
      <c r="G22" s="557">
        <f t="shared" ref="G22" si="2">(F22-E22)</f>
        <v>0</v>
      </c>
      <c r="H22" s="536">
        <f>G22+'14'!H22</f>
        <v>0</v>
      </c>
      <c r="I22" s="556"/>
      <c r="J22" s="629">
        <f>H22/DAY(B2)</f>
        <v>0</v>
      </c>
      <c r="K22" s="467"/>
      <c r="L22" s="408"/>
      <c r="N22" s="818"/>
      <c r="O22" s="825"/>
      <c r="P22" s="413"/>
    </row>
    <row r="23" spans="1:16">
      <c r="A23" s="1311" t="s">
        <v>160</v>
      </c>
      <c r="B23" s="666"/>
      <c r="C23" s="666"/>
      <c r="D23" s="599" t="s">
        <v>159</v>
      </c>
      <c r="E23" s="712">
        <f>'14'!F23</f>
        <v>2000</v>
      </c>
      <c r="F23" s="554">
        <v>2000</v>
      </c>
      <c r="G23" s="557">
        <v>0</v>
      </c>
      <c r="H23" s="536">
        <f>G23+'14'!H23</f>
        <v>0</v>
      </c>
      <c r="I23" s="556"/>
      <c r="J23" s="629">
        <f>H23/DAY(B2)</f>
        <v>0</v>
      </c>
      <c r="K23" s="467"/>
      <c r="L23" s="408"/>
      <c r="N23" s="818"/>
      <c r="O23" s="825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'14'!F24</f>
        <v>4250</v>
      </c>
      <c r="F24" s="561">
        <v>4250</v>
      </c>
      <c r="G24" s="557">
        <v>0</v>
      </c>
      <c r="H24" s="536">
        <f>G24+'14'!H24</f>
        <v>0</v>
      </c>
      <c r="I24" s="556"/>
      <c r="J24" s="629">
        <f>H24/DAY(B2)</f>
        <v>0</v>
      </c>
      <c r="K24" s="467"/>
      <c r="L24" s="408"/>
      <c r="N24" s="818"/>
      <c r="O24" s="825"/>
      <c r="P24" s="413"/>
    </row>
    <row r="25" spans="1:16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5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5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20900</v>
      </c>
      <c r="F27" s="577">
        <v>9</v>
      </c>
      <c r="G27" s="578">
        <f>E27*F27</f>
        <v>188100</v>
      </c>
      <c r="H27" s="536">
        <f>G27+'14'!H27</f>
        <v>2654499</v>
      </c>
      <c r="I27" s="579"/>
      <c r="J27" s="629">
        <f>H27/DAY(B2)</f>
        <v>176966.6</v>
      </c>
      <c r="K27" s="404"/>
      <c r="L27" s="484"/>
      <c r="N27" s="818"/>
      <c r="O27" s="825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920.0679999999702</v>
      </c>
      <c r="F28" s="577">
        <v>41</v>
      </c>
      <c r="G28" s="578">
        <f>E28*F28</f>
        <v>37722.787999998778</v>
      </c>
      <c r="H28" s="536">
        <f>G28+'14'!H28</f>
        <v>481322.48999999429</v>
      </c>
      <c r="I28" s="581"/>
      <c r="J28" s="629">
        <f>H28/DAY(B2)</f>
        <v>32088.165999999619</v>
      </c>
      <c r="K28" s="404"/>
      <c r="L28" s="484"/>
      <c r="N28" s="818"/>
      <c r="O28" s="825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G29+'14'!H29</f>
        <v>0</v>
      </c>
      <c r="I29" s="581"/>
      <c r="J29" s="629">
        <f>H29/DAY(B2)</f>
        <v>0</v>
      </c>
      <c r="K29" s="404"/>
      <c r="L29" s="484"/>
      <c r="N29" s="818"/>
      <c r="O29" s="825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53</v>
      </c>
      <c r="F30" s="577">
        <v>134</v>
      </c>
      <c r="G30" s="578">
        <f>E30*F30</f>
        <v>7102</v>
      </c>
      <c r="H30" s="536">
        <f>G30+'14'!H30</f>
        <v>99696</v>
      </c>
      <c r="I30" s="581"/>
      <c r="J30" s="629">
        <f>H30/DAY(B2)</f>
        <v>6646.4</v>
      </c>
      <c r="K30" s="404"/>
      <c r="L30" s="484"/>
      <c r="N30" s="818"/>
      <c r="O30" s="825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G31+'14'!H31</f>
        <v>127200</v>
      </c>
      <c r="I31" s="581"/>
      <c r="J31" s="629"/>
      <c r="K31" s="404"/>
      <c r="L31" s="484"/>
      <c r="N31" s="818"/>
      <c r="O31" s="825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242524.78799999878</v>
      </c>
      <c r="H32" s="536">
        <f>G32+'14'!H32</f>
        <v>3362717.4899999946</v>
      </c>
      <c r="I32" s="585"/>
      <c r="J32" s="629">
        <f>H32/DAY(B2)</f>
        <v>224181.16599999965</v>
      </c>
      <c r="K32" s="404"/>
      <c r="L32" s="484"/>
      <c r="N32" s="818"/>
      <c r="O32" s="825"/>
      <c r="P32" s="413"/>
    </row>
    <row r="33" spans="1:16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818"/>
      <c r="O33" s="825"/>
      <c r="P33" s="413"/>
    </row>
    <row r="34" spans="1:16">
      <c r="A34" s="675" t="s">
        <v>174</v>
      </c>
      <c r="B34" s="1316"/>
      <c r="C34" s="1316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5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'14'!F35</f>
        <v>629027.67000000004</v>
      </c>
      <c r="F35" s="586">
        <v>629027.67000000004</v>
      </c>
      <c r="G35" s="549">
        <f t="shared" ref="G35:G46" si="3">F35-E35</f>
        <v>0</v>
      </c>
      <c r="H35" s="536">
        <f>G35+'14'!H35</f>
        <v>0.67000000004190952</v>
      </c>
      <c r="I35" s="531"/>
      <c r="J35" s="629">
        <f>H35/DAY(B2)</f>
        <v>4.4666666669460633E-2</v>
      </c>
      <c r="K35" s="467"/>
      <c r="L35" s="408"/>
      <c r="N35" s="818"/>
      <c r="O35" s="826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'14'!F36</f>
        <v>264764.19</v>
      </c>
      <c r="F36" s="586">
        <v>265511.78999999998</v>
      </c>
      <c r="G36" s="549">
        <f t="shared" si="3"/>
        <v>747.59999999997672</v>
      </c>
      <c r="H36" s="536">
        <f>G36+'14'!H36</f>
        <v>10420.719999999972</v>
      </c>
      <c r="I36" s="531"/>
      <c r="J36" s="629">
        <f>H36/DAY(B2)</f>
        <v>694.71466666666481</v>
      </c>
      <c r="K36" s="467"/>
      <c r="L36" s="408"/>
      <c r="N36" s="819"/>
      <c r="O36" s="826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'14'!F37</f>
        <v>415066</v>
      </c>
      <c r="F37" s="586">
        <v>415066</v>
      </c>
      <c r="G37" s="549">
        <f t="shared" si="3"/>
        <v>0</v>
      </c>
      <c r="H37" s="536">
        <f>G37+'14'!H37</f>
        <v>0</v>
      </c>
      <c r="I37" s="531"/>
      <c r="J37" s="629">
        <f>H37/DAY(B2)</f>
        <v>0</v>
      </c>
      <c r="K37" s="467"/>
      <c r="L37" s="408"/>
      <c r="N37" s="819"/>
      <c r="O37" s="826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'14'!F38</f>
        <v>150714</v>
      </c>
      <c r="F38" s="545">
        <v>150714</v>
      </c>
      <c r="G38" s="549">
        <f t="shared" si="3"/>
        <v>0</v>
      </c>
      <c r="H38" s="536">
        <f>G38+'14'!H38</f>
        <v>0</v>
      </c>
      <c r="I38" s="531"/>
      <c r="J38" s="629">
        <f>H38/DAY(B2)</f>
        <v>0</v>
      </c>
      <c r="K38" s="467"/>
      <c r="L38" s="408"/>
      <c r="N38" s="818"/>
      <c r="O38" s="825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'14'!F39</f>
        <v>912480</v>
      </c>
      <c r="F39" s="586">
        <v>912480</v>
      </c>
      <c r="G39" s="549">
        <f t="shared" si="3"/>
        <v>0</v>
      </c>
      <c r="H39" s="536">
        <f>G39+'14'!H39</f>
        <v>0</v>
      </c>
      <c r="I39" s="531"/>
      <c r="J39" s="629">
        <f>H39/DAY(B2)</f>
        <v>0</v>
      </c>
      <c r="K39" s="467"/>
      <c r="L39" s="408"/>
      <c r="N39" s="818"/>
      <c r="O39" s="826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'14'!F40</f>
        <v>0.17</v>
      </c>
      <c r="F40" s="586">
        <v>0.17</v>
      </c>
      <c r="G40" s="549">
        <f t="shared" si="3"/>
        <v>0</v>
      </c>
      <c r="H40" s="536">
        <f>G40+'14'!H40</f>
        <v>0</v>
      </c>
      <c r="I40" s="531"/>
      <c r="J40" s="629">
        <f>H40/DAY(B2)</f>
        <v>0</v>
      </c>
      <c r="K40" s="468"/>
      <c r="L40" s="408"/>
      <c r="N40" s="818"/>
      <c r="O40" s="825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'14'!F41</f>
        <v>300127.95</v>
      </c>
      <c r="F41" s="586">
        <v>300127.95</v>
      </c>
      <c r="G41" s="549">
        <f t="shared" si="3"/>
        <v>0</v>
      </c>
      <c r="H41" s="536">
        <f>G41+'14'!H41</f>
        <v>0</v>
      </c>
      <c r="I41" s="531"/>
      <c r="J41" s="629">
        <f>H41/DAY(B2)</f>
        <v>0</v>
      </c>
      <c r="K41" s="467"/>
      <c r="L41" s="408"/>
      <c r="N41" s="818"/>
      <c r="O41" s="827"/>
      <c r="P41" s="821"/>
    </row>
    <row r="42" spans="1:16">
      <c r="A42" s="655" t="s">
        <v>182</v>
      </c>
      <c r="B42" s="656"/>
      <c r="C42" s="656"/>
      <c r="D42" s="599" t="s">
        <v>143</v>
      </c>
      <c r="E42" s="586">
        <f>'14'!F42</f>
        <v>58926.099000000002</v>
      </c>
      <c r="F42" s="586">
        <v>58926.099000000002</v>
      </c>
      <c r="G42" s="549">
        <f t="shared" si="3"/>
        <v>0</v>
      </c>
      <c r="H42" s="536">
        <f>G42+'14'!H42</f>
        <v>9.0000000054715201E-3</v>
      </c>
      <c r="I42" s="531"/>
      <c r="J42" s="629">
        <f>H42/DAY(B2)</f>
        <v>6.0000000036476806E-4</v>
      </c>
      <c r="K42" s="467"/>
      <c r="L42" s="408"/>
      <c r="N42" s="818"/>
      <c r="O42" s="825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'14'!F43</f>
        <v>727744.55</v>
      </c>
      <c r="F43" s="586">
        <v>730194</v>
      </c>
      <c r="G43" s="549">
        <f t="shared" si="3"/>
        <v>2449.4499999999534</v>
      </c>
      <c r="H43" s="536">
        <f>G43+'14'!H43</f>
        <v>31940.569999999949</v>
      </c>
      <c r="I43" s="531"/>
      <c r="J43" s="629">
        <f>H43/DAY(B2)</f>
        <v>2129.3713333333299</v>
      </c>
      <c r="K43" s="467"/>
      <c r="L43" s="408"/>
      <c r="N43" s="818"/>
      <c r="O43" s="826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'14'!F44</f>
        <v>0</v>
      </c>
      <c r="F44" s="586">
        <v>0</v>
      </c>
      <c r="G44" s="549">
        <f t="shared" si="3"/>
        <v>0</v>
      </c>
      <c r="H44" s="536">
        <f>G44+'14'!H44</f>
        <v>0</v>
      </c>
      <c r="I44" s="531"/>
      <c r="J44" s="629">
        <f>H44/DAY(B2)</f>
        <v>0</v>
      </c>
      <c r="K44" s="467"/>
      <c r="L44" s="408"/>
      <c r="N44" s="818"/>
      <c r="O44" s="825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'14'!F45</f>
        <v>614</v>
      </c>
      <c r="F45" s="586">
        <v>614</v>
      </c>
      <c r="G45" s="549">
        <f t="shared" si="3"/>
        <v>0</v>
      </c>
      <c r="H45" s="536">
        <f>G45+'14'!H45</f>
        <v>-0.48000000000001819</v>
      </c>
      <c r="I45" s="531"/>
      <c r="J45" s="629">
        <f>H45/DAY(B2)</f>
        <v>-3.2000000000001215E-2</v>
      </c>
      <c r="K45" s="467"/>
      <c r="L45" s="408"/>
      <c r="N45" s="822"/>
      <c r="O45" s="825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'14'!F46</f>
        <v>187.49</v>
      </c>
      <c r="F46" s="586">
        <v>187.49</v>
      </c>
      <c r="G46" s="549">
        <f t="shared" si="3"/>
        <v>0</v>
      </c>
      <c r="H46" s="536">
        <f>G46+'14'!H46</f>
        <v>0</v>
      </c>
      <c r="I46" s="531"/>
      <c r="J46" s="629">
        <f>H46/DAY(B2)</f>
        <v>0</v>
      </c>
      <c r="K46" s="467"/>
      <c r="L46" s="408"/>
      <c r="N46" s="818"/>
      <c r="O46" s="825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3197.0499999999302</v>
      </c>
      <c r="H47" s="536">
        <f>G47+'14'!H47</f>
        <v>42361.488999999965</v>
      </c>
      <c r="I47" s="531"/>
      <c r="J47" s="629">
        <f>H47/DAY(B2)</f>
        <v>2824.0992666666643</v>
      </c>
      <c r="K47" s="467"/>
      <c r="L47" s="408"/>
      <c r="N47" s="818"/>
      <c r="O47" s="825"/>
      <c r="P47" s="413"/>
    </row>
    <row r="48" spans="1:16">
      <c r="A48" s="675" t="s">
        <v>188</v>
      </c>
      <c r="B48" s="1316"/>
      <c r="C48" s="1316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5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'14'!F49</f>
        <v>190998.51</v>
      </c>
      <c r="F49" s="586">
        <v>194587.65</v>
      </c>
      <c r="G49" s="549">
        <f t="shared" ref="G49:G58" si="4">F49-E49</f>
        <v>3589.1399999999849</v>
      </c>
      <c r="H49" s="536">
        <f>G49+'14'!H49</f>
        <v>42182.649999999994</v>
      </c>
      <c r="I49" s="531"/>
      <c r="J49" s="629">
        <f>H49/DAY(B2)</f>
        <v>2812.1766666666663</v>
      </c>
      <c r="K49" s="467">
        <f>E49+242</f>
        <v>191240.51</v>
      </c>
      <c r="L49" s="408"/>
      <c r="N49" s="818"/>
      <c r="O49" s="825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'14'!F50</f>
        <v>349528.99</v>
      </c>
      <c r="F50" s="586">
        <v>350670.39</v>
      </c>
      <c r="G50" s="549">
        <f t="shared" si="4"/>
        <v>1141.4000000000233</v>
      </c>
      <c r="H50" s="536">
        <f>G50+'14'!H50</f>
        <v>14452.960000000021</v>
      </c>
      <c r="I50" s="531"/>
      <c r="J50" s="629">
        <f>H50/DAY(B2)</f>
        <v>963.53066666666803</v>
      </c>
      <c r="K50" s="467"/>
      <c r="L50" s="408"/>
      <c r="N50" s="818"/>
      <c r="O50" s="826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'14'!F51</f>
        <v>84763.551000000007</v>
      </c>
      <c r="F51" s="586">
        <v>86314.39</v>
      </c>
      <c r="G51" s="549">
        <f t="shared" si="4"/>
        <v>1550.8389999999927</v>
      </c>
      <c r="H51" s="536">
        <f>G51+'14'!H51</f>
        <v>20156.28</v>
      </c>
      <c r="I51" s="531"/>
      <c r="J51" s="629">
        <f>H51/DAY(B2)</f>
        <v>1343.752</v>
      </c>
      <c r="K51" s="467"/>
      <c r="L51" s="408"/>
      <c r="N51" s="818"/>
      <c r="O51" s="825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'14'!F52</f>
        <v>461308.87</v>
      </c>
      <c r="F52" s="586">
        <v>463364.75</v>
      </c>
      <c r="G52" s="549">
        <f t="shared" si="4"/>
        <v>2055.8800000000047</v>
      </c>
      <c r="H52" s="536">
        <f>G52+'14'!H52</f>
        <v>28089.119999999995</v>
      </c>
      <c r="I52" s="531"/>
      <c r="J52" s="629">
        <f>H52/DAY(B2)</f>
        <v>1872.6079999999997</v>
      </c>
      <c r="K52" s="467"/>
      <c r="L52" s="408"/>
      <c r="N52" s="818"/>
      <c r="O52" s="825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'14'!F53</f>
        <v>233168.98</v>
      </c>
      <c r="F53" s="586">
        <v>237358.95</v>
      </c>
      <c r="G53" s="549">
        <f t="shared" si="4"/>
        <v>4189.9700000000012</v>
      </c>
      <c r="H53" s="536">
        <f>G53+'14'!H53</f>
        <v>56293.98000000001</v>
      </c>
      <c r="I53" s="531"/>
      <c r="J53" s="629">
        <f>H53/DAY(B2)</f>
        <v>3752.9320000000007</v>
      </c>
      <c r="K53" s="467"/>
      <c r="L53" s="408"/>
      <c r="N53" s="818"/>
      <c r="O53" s="825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'14'!F54</f>
        <v>5408.03</v>
      </c>
      <c r="F54" s="586">
        <v>5471.74</v>
      </c>
      <c r="G54" s="549">
        <f t="shared" si="4"/>
        <v>63.710000000000036</v>
      </c>
      <c r="H54" s="536">
        <f>G54+'14'!H54</f>
        <v>825.19999999999982</v>
      </c>
      <c r="I54" s="531"/>
      <c r="J54" s="629">
        <f>H54/DAY(B2)</f>
        <v>55.013333333333321</v>
      </c>
      <c r="K54" s="467"/>
      <c r="L54" s="408"/>
      <c r="N54" s="818"/>
      <c r="O54" s="825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'14'!F55</f>
        <v>15709.66</v>
      </c>
      <c r="F55" s="734">
        <v>20163.172999999999</v>
      </c>
      <c r="G55" s="733">
        <f t="shared" si="4"/>
        <v>4453.512999999999</v>
      </c>
      <c r="H55" s="805">
        <f>G55+'14'!H55</f>
        <v>20162.903000000009</v>
      </c>
      <c r="I55" s="806"/>
      <c r="J55" s="807">
        <f>H55/DAY(B2)</f>
        <v>1344.193533333334</v>
      </c>
      <c r="K55" s="467"/>
      <c r="L55" s="408"/>
      <c r="N55" s="818"/>
      <c r="O55" s="825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'14'!F56</f>
        <v>557724.27</v>
      </c>
      <c r="F56" s="734">
        <v>557724.47</v>
      </c>
      <c r="G56" s="549">
        <f t="shared" si="4"/>
        <v>0.19999999995343387</v>
      </c>
      <c r="H56" s="536">
        <f>G56+'14'!H56</f>
        <v>39823.719999999972</v>
      </c>
      <c r="I56" s="531"/>
      <c r="J56" s="629">
        <f>H56/DAY(B2)</f>
        <v>2654.9146666666647</v>
      </c>
      <c r="K56" s="466"/>
      <c r="L56" s="408"/>
      <c r="N56" s="818"/>
      <c r="O56" s="827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'14'!F57</f>
        <v>0</v>
      </c>
      <c r="F57" s="586">
        <v>0</v>
      </c>
      <c r="G57" s="549">
        <f t="shared" si="4"/>
        <v>0</v>
      </c>
      <c r="H57" s="536">
        <f>G57+'14'!H57</f>
        <v>0</v>
      </c>
      <c r="I57" s="531"/>
      <c r="J57" s="629">
        <f>H57/DAY(B2)</f>
        <v>0</v>
      </c>
      <c r="K57" s="467"/>
      <c r="L57" s="408"/>
      <c r="N57" s="818"/>
      <c r="O57" s="825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'14'!F58</f>
        <v>27291.5</v>
      </c>
      <c r="F58" s="734">
        <v>27523.814999999999</v>
      </c>
      <c r="G58" s="549">
        <f t="shared" si="4"/>
        <v>232.31499999999869</v>
      </c>
      <c r="H58" s="536">
        <f>G58+'14'!H58</f>
        <v>2368.4049999999988</v>
      </c>
      <c r="I58" s="531"/>
      <c r="J58" s="629">
        <f>H58/DAY(B2)</f>
        <v>157.89366666666658</v>
      </c>
      <c r="K58" s="467"/>
      <c r="L58" s="408"/>
      <c r="N58" s="818"/>
      <c r="O58" s="825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17276.966999999957</v>
      </c>
      <c r="H59" s="536">
        <f>G59+'14'!H59</f>
        <v>224355.21799999999</v>
      </c>
      <c r="I59" s="531">
        <f>G7-G60</f>
        <v>340.98300000011295</v>
      </c>
      <c r="J59" s="629">
        <f>H59/DAY(B2)</f>
        <v>14957.014533333333</v>
      </c>
      <c r="K59" s="467"/>
      <c r="L59" s="408"/>
      <c r="N59" s="818"/>
      <c r="O59" s="825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20474.016999999887</v>
      </c>
      <c r="H60" s="536">
        <f>G60+'14'!H60</f>
        <v>283750.70699999999</v>
      </c>
      <c r="I60" s="531">
        <f>G13-G60</f>
        <v>-412.54700000026423</v>
      </c>
      <c r="J60" s="629">
        <f>H60/DAY(B2)</f>
        <v>18916.713800000001</v>
      </c>
      <c r="K60" s="467"/>
      <c r="L60" s="408"/>
      <c r="N60" s="818"/>
      <c r="O60" s="825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5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'14'!F62</f>
        <v>20419.18</v>
      </c>
      <c r="F62" s="590">
        <v>20419.18</v>
      </c>
      <c r="G62" s="549">
        <f t="shared" ref="G62:G69" si="5">F62-E62</f>
        <v>0</v>
      </c>
      <c r="H62" s="536">
        <f>G62+'14'!H62</f>
        <v>0</v>
      </c>
      <c r="I62" s="591"/>
      <c r="J62" s="629">
        <f>H62/DAY(B2)</f>
        <v>0</v>
      </c>
      <c r="K62" s="467"/>
      <c r="L62" s="408"/>
      <c r="N62" s="818"/>
      <c r="O62" s="825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'14'!F63</f>
        <v>1167.5</v>
      </c>
      <c r="F63" s="590">
        <v>1171.8499999999999</v>
      </c>
      <c r="G63" s="549">
        <f t="shared" si="5"/>
        <v>4.3499999999999091</v>
      </c>
      <c r="H63" s="536">
        <f>G63+'14'!H63</f>
        <v>63.939999999999827</v>
      </c>
      <c r="I63" s="591"/>
      <c r="J63" s="629">
        <f>H63/DAY(B2)</f>
        <v>4.2626666666666555</v>
      </c>
      <c r="K63" s="467"/>
      <c r="L63" s="408"/>
      <c r="N63" s="818"/>
      <c r="O63" s="825"/>
      <c r="P63" s="413"/>
    </row>
    <row r="64" spans="1:16" ht="27.75">
      <c r="A64" s="1367" t="s">
        <v>107</v>
      </c>
      <c r="B64" s="1368"/>
      <c r="C64" s="1369"/>
      <c r="D64" s="599" t="s">
        <v>198</v>
      </c>
      <c r="E64" s="590">
        <f>'14'!F64</f>
        <v>103928.24</v>
      </c>
      <c r="F64" s="554">
        <v>104412.06</v>
      </c>
      <c r="G64" s="549">
        <f t="shared" si="5"/>
        <v>483.81999999999243</v>
      </c>
      <c r="H64" s="536">
        <f>G64+'14'!H64</f>
        <v>5988.6600000000035</v>
      </c>
      <c r="I64" s="556"/>
      <c r="J64" s="629">
        <f>H64/DAY(B2)</f>
        <v>399.24400000000026</v>
      </c>
      <c r="K64" s="467"/>
      <c r="L64" s="408"/>
      <c r="N64" s="818"/>
      <c r="O64" s="825"/>
      <c r="P64" s="413"/>
    </row>
    <row r="65" spans="1:16" ht="27.75">
      <c r="A65" s="1367" t="s">
        <v>108</v>
      </c>
      <c r="B65" s="1368"/>
      <c r="C65" s="1369"/>
      <c r="D65" s="599" t="s">
        <v>198</v>
      </c>
      <c r="E65" s="590">
        <f>'14'!F65</f>
        <v>114690.87</v>
      </c>
      <c r="F65" s="732">
        <v>115115.39</v>
      </c>
      <c r="G65" s="549">
        <f t="shared" si="5"/>
        <v>424.52000000000407</v>
      </c>
      <c r="H65" s="536">
        <f>G65+'14'!H65</f>
        <v>6071.2700000000041</v>
      </c>
      <c r="I65" s="565"/>
      <c r="J65" s="629">
        <f>H65/DAY(B2)</f>
        <v>404.7513333333336</v>
      </c>
      <c r="K65" s="467"/>
      <c r="L65" s="408"/>
      <c r="N65" s="818"/>
      <c r="O65" s="826"/>
      <c r="P65" s="413"/>
    </row>
    <row r="66" spans="1:16" ht="27.75">
      <c r="A66" s="1367" t="s">
        <v>109</v>
      </c>
      <c r="B66" s="1368"/>
      <c r="C66" s="1369"/>
      <c r="D66" s="599" t="s">
        <v>198</v>
      </c>
      <c r="E66" s="590">
        <f>'14'!F66</f>
        <v>7617.09</v>
      </c>
      <c r="F66" s="554">
        <v>7976.21</v>
      </c>
      <c r="G66" s="549">
        <f t="shared" si="5"/>
        <v>359.11999999999989</v>
      </c>
      <c r="H66" s="536">
        <f>G66+'14'!H66</f>
        <v>5554.12</v>
      </c>
      <c r="I66" s="556"/>
      <c r="J66" s="629">
        <f>H66/DAY(B2)</f>
        <v>370.27466666666663</v>
      </c>
      <c r="K66" s="467"/>
      <c r="L66" s="408"/>
      <c r="N66" s="818"/>
      <c r="O66" s="825"/>
      <c r="P66" s="413"/>
    </row>
    <row r="67" spans="1:16" ht="27.75">
      <c r="A67" s="1367" t="s">
        <v>110</v>
      </c>
      <c r="B67" s="1368"/>
      <c r="C67" s="1369"/>
      <c r="D67" s="599" t="s">
        <v>198</v>
      </c>
      <c r="E67" s="590">
        <f>'14'!F67</f>
        <v>177299.03</v>
      </c>
      <c r="F67" s="554">
        <v>177972.81</v>
      </c>
      <c r="G67" s="549">
        <f t="shared" si="5"/>
        <v>673.77999999999884</v>
      </c>
      <c r="H67" s="536">
        <f>G67+'14'!H67</f>
        <v>9731.4599999999919</v>
      </c>
      <c r="I67" s="565"/>
      <c r="J67" s="629">
        <f>H67/DAY(B2)</f>
        <v>648.76399999999944</v>
      </c>
      <c r="K67" s="468"/>
      <c r="L67" s="408"/>
      <c r="N67" s="818"/>
      <c r="O67" s="825"/>
      <c r="P67" s="413"/>
    </row>
    <row r="68" spans="1:16" ht="27.75">
      <c r="A68" s="1367" t="s">
        <v>111</v>
      </c>
      <c r="B68" s="1368"/>
      <c r="C68" s="1369"/>
      <c r="D68" s="599" t="s">
        <v>198</v>
      </c>
      <c r="E68" s="590">
        <f>'14'!F68</f>
        <v>57814.77</v>
      </c>
      <c r="F68" s="554">
        <v>58159.290999999997</v>
      </c>
      <c r="G68" s="549">
        <f t="shared" si="5"/>
        <v>344.52100000000064</v>
      </c>
      <c r="H68" s="536">
        <f>G68+'14'!H68</f>
        <v>4535.390999999996</v>
      </c>
      <c r="I68" s="592"/>
      <c r="J68" s="629">
        <f>H68/DAY(B2)</f>
        <v>302.35939999999971</v>
      </c>
      <c r="K68" s="469"/>
      <c r="L68" s="408"/>
      <c r="N68" s="818"/>
      <c r="O68" s="825"/>
      <c r="P68" s="413"/>
    </row>
    <row r="69" spans="1:16" ht="27.75">
      <c r="A69" s="1367" t="s">
        <v>112</v>
      </c>
      <c r="B69" s="1368"/>
      <c r="C69" s="1369"/>
      <c r="D69" s="599" t="s">
        <v>198</v>
      </c>
      <c r="E69" s="590">
        <f>'14'!F69</f>
        <v>50643.591</v>
      </c>
      <c r="F69" s="554">
        <v>50930.39</v>
      </c>
      <c r="G69" s="549">
        <f t="shared" si="5"/>
        <v>286.79899999999907</v>
      </c>
      <c r="H69" s="536">
        <f>G69+'14'!H69</f>
        <v>4410.9599999999991</v>
      </c>
      <c r="I69" s="592"/>
      <c r="J69" s="629">
        <f>H69/DAY(B2)</f>
        <v>294.06399999999996</v>
      </c>
      <c r="K69" s="470"/>
      <c r="L69" s="408"/>
      <c r="N69" s="818"/>
      <c r="O69" s="825"/>
      <c r="P69" s="413"/>
    </row>
    <row r="70" spans="1:16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818"/>
      <c r="O70" s="825"/>
      <c r="P70" s="413"/>
    </row>
    <row r="71" spans="1:16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818"/>
      <c r="O71" s="825"/>
      <c r="P71" s="413"/>
    </row>
    <row r="72" spans="1:16" ht="27.75">
      <c r="A72" s="1367" t="s">
        <v>202</v>
      </c>
      <c r="B72" s="1368"/>
      <c r="C72" s="1369"/>
      <c r="D72" s="599" t="s">
        <v>198</v>
      </c>
      <c r="E72" s="595">
        <f>'14'!F72</f>
        <v>847364</v>
      </c>
      <c r="F72" s="735">
        <v>847425</v>
      </c>
      <c r="G72" s="549">
        <f t="shared" ref="G72:G84" si="6">F72-E72</f>
        <v>61</v>
      </c>
      <c r="H72" s="536">
        <f>G72+'14'!H72</f>
        <v>959</v>
      </c>
      <c r="I72" s="556"/>
      <c r="J72" s="629">
        <f>H72/DAY(B2)</f>
        <v>63.93333333333333</v>
      </c>
      <c r="K72" s="470"/>
      <c r="L72" s="408"/>
      <c r="N72" s="818"/>
      <c r="O72" s="825"/>
      <c r="P72" s="413"/>
    </row>
    <row r="73" spans="1:16" ht="27.75">
      <c r="A73" s="1367" t="s">
        <v>203</v>
      </c>
      <c r="B73" s="1368"/>
      <c r="C73" s="1369"/>
      <c r="D73" s="599" t="s">
        <v>198</v>
      </c>
      <c r="E73" s="595">
        <f>'14'!F73</f>
        <v>885683</v>
      </c>
      <c r="F73" s="736">
        <v>885684</v>
      </c>
      <c r="G73" s="733">
        <f t="shared" si="6"/>
        <v>1</v>
      </c>
      <c r="H73" s="536">
        <f>G73+'14'!H73</f>
        <v>903</v>
      </c>
      <c r="I73" s="556"/>
      <c r="J73" s="629">
        <f>H73/DAY(B2)</f>
        <v>60.2</v>
      </c>
      <c r="K73" s="469"/>
      <c r="L73" s="408"/>
      <c r="N73" s="818"/>
      <c r="O73" s="825"/>
      <c r="P73" s="413"/>
    </row>
    <row r="74" spans="1:16" ht="27.75">
      <c r="A74" s="1367" t="s">
        <v>204</v>
      </c>
      <c r="B74" s="1368"/>
      <c r="C74" s="1369"/>
      <c r="D74" s="599" t="s">
        <v>198</v>
      </c>
      <c r="E74" s="595">
        <f>'14'!F74</f>
        <v>881799</v>
      </c>
      <c r="F74" s="736">
        <v>881838</v>
      </c>
      <c r="G74" s="549">
        <f t="shared" si="6"/>
        <v>39</v>
      </c>
      <c r="H74" s="536">
        <f>G74+'14'!H74</f>
        <v>523</v>
      </c>
      <c r="I74" s="556"/>
      <c r="J74" s="629">
        <f>H74/DAY(B2)</f>
        <v>34.866666666666667</v>
      </c>
      <c r="K74" s="470"/>
      <c r="L74" s="408"/>
      <c r="N74" s="818"/>
      <c r="O74" s="825"/>
      <c r="P74" s="413"/>
    </row>
    <row r="75" spans="1:16" ht="27.75">
      <c r="A75" s="1364" t="s">
        <v>205</v>
      </c>
      <c r="B75" s="1365"/>
      <c r="C75" s="1366"/>
      <c r="D75" s="599" t="s">
        <v>198</v>
      </c>
      <c r="E75" s="595">
        <f>'14'!F75</f>
        <v>734182</v>
      </c>
      <c r="F75" s="736">
        <v>734374</v>
      </c>
      <c r="G75" s="549">
        <f t="shared" si="6"/>
        <v>192</v>
      </c>
      <c r="H75" s="536">
        <f>G75+'14'!H75</f>
        <v>2733</v>
      </c>
      <c r="I75" s="556"/>
      <c r="J75" s="629">
        <f>H75/DAY(B2)</f>
        <v>182.2</v>
      </c>
      <c r="K75" s="469"/>
      <c r="L75" s="408"/>
      <c r="N75" s="818"/>
      <c r="O75" s="825"/>
      <c r="P75" s="413"/>
    </row>
    <row r="76" spans="1:16" ht="27.75">
      <c r="A76" s="1364" t="s">
        <v>206</v>
      </c>
      <c r="B76" s="1365"/>
      <c r="C76" s="1366"/>
      <c r="D76" s="599" t="s">
        <v>198</v>
      </c>
      <c r="E76" s="595">
        <f>'14'!F76</f>
        <v>685556</v>
      </c>
      <c r="F76" s="736">
        <v>685662</v>
      </c>
      <c r="G76" s="549">
        <f t="shared" si="6"/>
        <v>106</v>
      </c>
      <c r="H76" s="536">
        <f>G76+'14'!H76</f>
        <v>2563</v>
      </c>
      <c r="I76" s="581"/>
      <c r="J76" s="629">
        <f>H76/DAY(B2)</f>
        <v>170.86666666666667</v>
      </c>
      <c r="K76" s="469"/>
      <c r="L76" s="408"/>
      <c r="N76" s="818"/>
      <c r="O76" s="825"/>
      <c r="P76" s="413"/>
    </row>
    <row r="77" spans="1:16" ht="27.75">
      <c r="A77" s="1367" t="s">
        <v>207</v>
      </c>
      <c r="B77" s="1368"/>
      <c r="C77" s="1369"/>
      <c r="D77" s="599" t="s">
        <v>198</v>
      </c>
      <c r="E77" s="595">
        <f>'14'!F77</f>
        <v>696172</v>
      </c>
      <c r="F77" s="736">
        <v>696229</v>
      </c>
      <c r="G77" s="733">
        <f t="shared" si="6"/>
        <v>57</v>
      </c>
      <c r="H77" s="536">
        <f>G77+'14'!H77</f>
        <v>835</v>
      </c>
      <c r="I77" s="581"/>
      <c r="J77" s="629">
        <f>H77/DAY(B2)</f>
        <v>55.666666666666664</v>
      </c>
      <c r="K77" s="469"/>
      <c r="L77" s="408"/>
      <c r="N77" s="818"/>
      <c r="O77" s="825"/>
      <c r="P77" s="413"/>
    </row>
    <row r="78" spans="1:16" ht="27.75">
      <c r="A78" s="1314" t="s">
        <v>208</v>
      </c>
      <c r="B78" s="1307"/>
      <c r="C78" s="1307"/>
      <c r="D78" s="599" t="s">
        <v>198</v>
      </c>
      <c r="E78" s="595">
        <f>'14'!F78</f>
        <v>635606</v>
      </c>
      <c r="F78" s="737">
        <v>635972</v>
      </c>
      <c r="G78" s="549">
        <f t="shared" si="6"/>
        <v>366</v>
      </c>
      <c r="H78" s="536">
        <f>G78+'14'!H78</f>
        <v>5199</v>
      </c>
      <c r="I78" s="581"/>
      <c r="J78" s="629">
        <f>H78/DAY(B2)</f>
        <v>346.6</v>
      </c>
      <c r="K78" s="469"/>
      <c r="L78" s="408"/>
      <c r="N78" s="818"/>
      <c r="O78" s="825"/>
      <c r="P78" s="413"/>
    </row>
    <row r="79" spans="1:16" ht="27.75">
      <c r="A79" s="1364" t="s">
        <v>97</v>
      </c>
      <c r="B79" s="1365"/>
      <c r="C79" s="1366"/>
      <c r="D79" s="600" t="s">
        <v>198</v>
      </c>
      <c r="E79" s="595">
        <f>'14'!F79</f>
        <v>806472</v>
      </c>
      <c r="F79" s="737">
        <v>806665</v>
      </c>
      <c r="G79" s="549">
        <f t="shared" si="6"/>
        <v>193</v>
      </c>
      <c r="H79" s="536">
        <f>G79+'14'!H79</f>
        <v>4894</v>
      </c>
      <c r="I79" s="581"/>
      <c r="J79" s="629">
        <f>H79/DAY(B2)</f>
        <v>326.26666666666665</v>
      </c>
      <c r="K79" s="469"/>
      <c r="L79" s="408"/>
      <c r="N79" s="818"/>
      <c r="O79" s="825"/>
      <c r="P79" s="413"/>
    </row>
    <row r="80" spans="1:16" ht="27.75">
      <c r="A80" s="1364" t="s">
        <v>209</v>
      </c>
      <c r="B80" s="1365"/>
      <c r="C80" s="1366"/>
      <c r="D80" s="600" t="s">
        <v>198</v>
      </c>
      <c r="E80" s="595">
        <f>'14'!F80</f>
        <v>479937.96</v>
      </c>
      <c r="F80" s="736">
        <v>480243.16</v>
      </c>
      <c r="G80" s="549">
        <f t="shared" si="6"/>
        <v>305.19999999995343</v>
      </c>
      <c r="H80" s="536">
        <f>G80+'14'!H80</f>
        <v>3031.3199999999488</v>
      </c>
      <c r="I80" s="581"/>
      <c r="J80" s="629">
        <f>H80/DAY(B2)</f>
        <v>202.08799999999658</v>
      </c>
      <c r="K80" s="469"/>
      <c r="L80" s="408"/>
      <c r="N80" s="818"/>
      <c r="O80" s="825"/>
      <c r="P80" s="413"/>
    </row>
    <row r="81" spans="1:16" ht="27.75">
      <c r="A81" s="1364" t="s">
        <v>210</v>
      </c>
      <c r="B81" s="1365"/>
      <c r="C81" s="1366"/>
      <c r="D81" s="600" t="s">
        <v>198</v>
      </c>
      <c r="E81" s="595">
        <f>'14'!F81</f>
        <v>620949.31999999995</v>
      </c>
      <c r="F81" s="736">
        <v>621062.52</v>
      </c>
      <c r="G81" s="549">
        <f t="shared" si="6"/>
        <v>113.20000000006985</v>
      </c>
      <c r="H81" s="536">
        <f>G81+'14'!H81</f>
        <v>1808.5200000000186</v>
      </c>
      <c r="I81" s="581"/>
      <c r="J81" s="629">
        <f>H81/DAY(B2)</f>
        <v>120.56800000000125</v>
      </c>
      <c r="K81" s="469"/>
      <c r="L81" s="408"/>
      <c r="N81" s="818"/>
      <c r="O81" s="825"/>
      <c r="P81" s="413"/>
    </row>
    <row r="82" spans="1:16" s="876" customFormat="1" ht="27.75">
      <c r="A82" s="1435" t="s">
        <v>100</v>
      </c>
      <c r="B82" s="1436"/>
      <c r="C82" s="1437"/>
      <c r="D82" s="703" t="s">
        <v>143</v>
      </c>
      <c r="E82" s="886">
        <f>'14'!F82</f>
        <v>104771.17</v>
      </c>
      <c r="F82" s="703">
        <v>104800.4</v>
      </c>
      <c r="G82" s="874">
        <f t="shared" si="6"/>
        <v>29.229999999995925</v>
      </c>
      <c r="H82" s="555">
        <f>G82+'14'!H82</f>
        <v>362.39999999999418</v>
      </c>
      <c r="I82" s="555"/>
      <c r="J82" s="875">
        <f>H82/DAY(B2)</f>
        <v>24.159999999999613</v>
      </c>
      <c r="K82" s="1329"/>
      <c r="L82" s="1330"/>
      <c r="N82" s="822"/>
      <c r="O82" s="826"/>
      <c r="P82" s="821"/>
    </row>
    <row r="83" spans="1:16" ht="27.75">
      <c r="A83" s="1364" t="s">
        <v>211</v>
      </c>
      <c r="B83" s="1365"/>
      <c r="C83" s="1366"/>
      <c r="D83" s="697" t="s">
        <v>143</v>
      </c>
      <c r="E83" s="595">
        <f>'14'!F83</f>
        <v>978414</v>
      </c>
      <c r="F83" s="587">
        <v>978745</v>
      </c>
      <c r="G83" s="549">
        <f t="shared" si="6"/>
        <v>331</v>
      </c>
      <c r="H83" s="536">
        <f>G83+'14'!H83</f>
        <v>5274</v>
      </c>
      <c r="I83" s="557"/>
      <c r="J83" s="629">
        <f>H83/DAY(B2)</f>
        <v>351.6</v>
      </c>
      <c r="K83" s="468"/>
      <c r="L83" s="408"/>
      <c r="N83" s="818"/>
      <c r="O83" s="825"/>
      <c r="P83" s="413"/>
    </row>
    <row r="84" spans="1:16">
      <c r="A84" s="1315" t="s">
        <v>212</v>
      </c>
      <c r="B84" s="648"/>
      <c r="C84" s="648"/>
      <c r="D84" s="554" t="s">
        <v>143</v>
      </c>
      <c r="E84" s="595">
        <f>'14'!F84</f>
        <v>405426</v>
      </c>
      <c r="F84" s="704">
        <v>406262</v>
      </c>
      <c r="G84" s="549">
        <f t="shared" si="6"/>
        <v>836</v>
      </c>
      <c r="H84" s="536">
        <f>G84+'14'!H84</f>
        <v>9066</v>
      </c>
      <c r="I84" s="557"/>
      <c r="J84" s="629">
        <f>H84/DAY(B2)</f>
        <v>604.4</v>
      </c>
      <c r="K84" s="411"/>
      <c r="L84" s="408"/>
      <c r="N84" s="818"/>
      <c r="O84" s="825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2629.6300000000192</v>
      </c>
      <c r="H85" s="536">
        <f>G85+'14'!H85</f>
        <v>33921.079999999987</v>
      </c>
      <c r="I85" s="557"/>
      <c r="J85" s="629">
        <f>H85/DAY(B2)</f>
        <v>2261.4053333333327</v>
      </c>
      <c r="K85" s="411"/>
      <c r="L85" s="409"/>
      <c r="N85" s="818"/>
      <c r="O85" s="825"/>
      <c r="P85" s="413"/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'14'!F86</f>
        <v>445472.12</v>
      </c>
      <c r="F86" s="728">
        <v>445611.8</v>
      </c>
      <c r="G86" s="805">
        <f t="shared" ref="G86:G90" si="7">F86-E86</f>
        <v>139.67999999999302</v>
      </c>
      <c r="H86" s="805">
        <f t="shared" ref="H86:H88" si="8">G86</f>
        <v>139.67999999999302</v>
      </c>
      <c r="I86" s="733"/>
      <c r="J86" s="807">
        <f>H86/DAY(B2)</f>
        <v>9.311999999999534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'14'!F87</f>
        <v>78071.100000000006</v>
      </c>
      <c r="F87" s="728">
        <v>78098.7</v>
      </c>
      <c r="G87" s="805">
        <f t="shared" si="7"/>
        <v>27.599999999991269</v>
      </c>
      <c r="H87" s="805">
        <f t="shared" si="8"/>
        <v>27.599999999991269</v>
      </c>
      <c r="I87" s="733"/>
      <c r="J87" s="807">
        <f>H87/DAY(B2)</f>
        <v>1.8399999999994179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'14'!F88</f>
        <v>145471.13</v>
      </c>
      <c r="F88" s="728">
        <v>145547.73000000001</v>
      </c>
      <c r="G88" s="805">
        <f t="shared" si="7"/>
        <v>76.600000000005821</v>
      </c>
      <c r="H88" s="805">
        <f t="shared" si="8"/>
        <v>76.600000000005821</v>
      </c>
      <c r="I88" s="733"/>
      <c r="J88" s="807">
        <f>H88/DAY(B2)</f>
        <v>5.1066666666670546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'14'!F89</f>
        <v>58597.3</v>
      </c>
      <c r="F89" s="728">
        <v>58697.7</v>
      </c>
      <c r="G89" s="805">
        <f t="shared" si="7"/>
        <v>100.39999999999418</v>
      </c>
      <c r="H89" s="805">
        <f>G89</f>
        <v>100.39999999999418</v>
      </c>
      <c r="I89" s="733"/>
      <c r="J89" s="807">
        <f>H89/DAY(B2)</f>
        <v>6.6933333333329452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'14'!F90</f>
        <v>3014.5</v>
      </c>
      <c r="F90" s="728">
        <v>3019.3</v>
      </c>
      <c r="G90" s="805">
        <f t="shared" si="7"/>
        <v>4.8000000000001819</v>
      </c>
      <c r="H90" s="805">
        <f>G90</f>
        <v>4.8000000000001819</v>
      </c>
      <c r="I90" s="733"/>
      <c r="J90" s="807">
        <f>H90/DAY(B2)</f>
        <v>0.32000000000001211</v>
      </c>
      <c r="K90" s="833"/>
      <c r="L90" s="834"/>
      <c r="N90" s="881"/>
      <c r="O90" s="413"/>
    </row>
    <row r="91" spans="1:16" s="410" customFormat="1">
      <c r="A91" s="683" t="s">
        <v>216</v>
      </c>
      <c r="B91" s="1317"/>
      <c r="C91" s="1317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5"/>
      <c r="P91" s="413"/>
    </row>
    <row r="92" spans="1:16" ht="27.75">
      <c r="A92" s="1388" t="s">
        <v>217</v>
      </c>
      <c r="B92" s="1389"/>
      <c r="C92" s="1390"/>
      <c r="D92" s="599" t="s">
        <v>155</v>
      </c>
      <c r="E92" s="560">
        <f>'14'!F92</f>
        <v>234940</v>
      </c>
      <c r="F92" s="554">
        <v>235054</v>
      </c>
      <c r="G92" s="549">
        <f t="shared" ref="G92:G93" si="9">F92-E92</f>
        <v>114</v>
      </c>
      <c r="H92" s="536">
        <f>G92+'14'!H92</f>
        <v>1152</v>
      </c>
      <c r="I92" s="556"/>
      <c r="J92" s="629">
        <f>H92/DAY(B2)</f>
        <v>76.8</v>
      </c>
      <c r="K92" s="468"/>
      <c r="L92" s="408"/>
      <c r="N92" s="818"/>
      <c r="O92" s="825"/>
      <c r="P92" s="413"/>
    </row>
    <row r="93" spans="1:16" ht="27.75">
      <c r="A93" s="1388" t="s">
        <v>218</v>
      </c>
      <c r="B93" s="1389"/>
      <c r="C93" s="1390"/>
      <c r="D93" s="599" t="s">
        <v>155</v>
      </c>
      <c r="E93" s="560">
        <f>'14'!F93</f>
        <v>168788</v>
      </c>
      <c r="F93" s="554">
        <v>168913</v>
      </c>
      <c r="G93" s="549">
        <f t="shared" si="9"/>
        <v>125</v>
      </c>
      <c r="H93" s="536">
        <f>G93+'14'!H93</f>
        <v>1997</v>
      </c>
      <c r="I93" s="556"/>
      <c r="J93" s="629">
        <f>H93/DAY(B2)</f>
        <v>133.13333333333333</v>
      </c>
      <c r="K93" s="411"/>
      <c r="L93" s="408"/>
      <c r="N93" s="818"/>
      <c r="O93" s="825"/>
      <c r="P93" s="413"/>
    </row>
    <row r="94" spans="1:16">
      <c r="A94" s="1419" t="s">
        <v>219</v>
      </c>
      <c r="B94" s="1420"/>
      <c r="C94" s="1421"/>
      <c r="D94" s="599"/>
      <c r="E94" s="560"/>
      <c r="F94" s="554"/>
      <c r="G94" s="549">
        <f>G92+G93</f>
        <v>239</v>
      </c>
      <c r="H94" s="536">
        <f>G94+'14'!H94</f>
        <v>2875</v>
      </c>
      <c r="I94" s="556"/>
      <c r="J94" s="629">
        <f>H94/DAY(B2)</f>
        <v>191.66666666666666</v>
      </c>
      <c r="K94" s="411"/>
      <c r="L94" s="408"/>
      <c r="N94" s="818"/>
      <c r="O94" s="825"/>
      <c r="P94" s="413"/>
    </row>
    <row r="95" spans="1:16" ht="27.75">
      <c r="A95" s="1388" t="s">
        <v>220</v>
      </c>
      <c r="B95" s="1389"/>
      <c r="C95" s="1390"/>
      <c r="D95" s="599" t="s">
        <v>155</v>
      </c>
      <c r="E95" s="560">
        <f>'14'!F95</f>
        <v>404560</v>
      </c>
      <c r="F95" s="554">
        <v>404675</v>
      </c>
      <c r="G95" s="549">
        <f t="shared" ref="G95:G100" si="10">F95-E95</f>
        <v>115</v>
      </c>
      <c r="H95" s="536">
        <f>G95+'14'!H95</f>
        <v>1010</v>
      </c>
      <c r="I95" s="556"/>
      <c r="J95" s="629">
        <f>H95/DAY(B2)</f>
        <v>67.333333333333329</v>
      </c>
      <c r="K95" s="411"/>
      <c r="L95" s="408"/>
      <c r="N95" s="818"/>
      <c r="O95" s="825"/>
      <c r="P95" s="413"/>
    </row>
    <row r="96" spans="1:16" ht="27.75">
      <c r="A96" s="1311" t="s">
        <v>221</v>
      </c>
      <c r="B96" s="1312"/>
      <c r="C96" s="1312"/>
      <c r="D96" s="599" t="s">
        <v>155</v>
      </c>
      <c r="E96" s="560">
        <f>'14'!F96</f>
        <v>100177</v>
      </c>
      <c r="F96" s="554">
        <v>100189</v>
      </c>
      <c r="G96" s="549">
        <f t="shared" si="10"/>
        <v>12</v>
      </c>
      <c r="H96" s="536">
        <f>G96+'14'!H96</f>
        <v>268</v>
      </c>
      <c r="I96" s="556"/>
      <c r="J96" s="629">
        <f>H96/DAY(B2)</f>
        <v>17.866666666666667</v>
      </c>
      <c r="K96" s="466"/>
      <c r="L96" s="408"/>
      <c r="N96" s="818"/>
      <c r="O96" s="825"/>
      <c r="P96" s="413"/>
    </row>
    <row r="97" spans="1:16" ht="27.75">
      <c r="A97" s="1311" t="s">
        <v>222</v>
      </c>
      <c r="B97" s="1312"/>
      <c r="C97" s="1312"/>
      <c r="D97" s="599" t="s">
        <v>155</v>
      </c>
      <c r="E97" s="560">
        <f>'14'!F97</f>
        <v>95295</v>
      </c>
      <c r="F97" s="554">
        <v>95317</v>
      </c>
      <c r="G97" s="549">
        <f t="shared" si="10"/>
        <v>22</v>
      </c>
      <c r="H97" s="536">
        <f>G97+'14'!H97</f>
        <v>290</v>
      </c>
      <c r="I97" s="556"/>
      <c r="J97" s="629">
        <f>H97/DAY(B2)</f>
        <v>19.333333333333332</v>
      </c>
      <c r="K97" s="471"/>
      <c r="L97" s="408"/>
      <c r="N97" s="818"/>
      <c r="O97" s="825"/>
      <c r="P97" s="413"/>
    </row>
    <row r="98" spans="1:16" ht="27.75">
      <c r="A98" s="1311" t="s">
        <v>223</v>
      </c>
      <c r="B98" s="1312"/>
      <c r="C98" s="1312"/>
      <c r="D98" s="599" t="s">
        <v>155</v>
      </c>
      <c r="E98" s="560">
        <f>'14'!F98</f>
        <v>144626</v>
      </c>
      <c r="F98" s="554">
        <v>144678</v>
      </c>
      <c r="G98" s="549">
        <f t="shared" si="10"/>
        <v>52</v>
      </c>
      <c r="H98" s="536">
        <f>G98+'14'!H98</f>
        <v>871</v>
      </c>
      <c r="I98" s="556"/>
      <c r="J98" s="629">
        <f>H98/DAY(B2)</f>
        <v>58.06666666666667</v>
      </c>
      <c r="K98" s="411"/>
      <c r="L98" s="408"/>
      <c r="N98" s="820"/>
      <c r="O98" s="825"/>
      <c r="P98" s="413"/>
    </row>
    <row r="99" spans="1:16" ht="27.75">
      <c r="A99" s="1311" t="s">
        <v>224</v>
      </c>
      <c r="B99" s="1312"/>
      <c r="C99" s="1312"/>
      <c r="D99" s="599" t="s">
        <v>155</v>
      </c>
      <c r="E99" s="560">
        <f>'14'!F99</f>
        <v>5668</v>
      </c>
      <c r="F99" s="554">
        <v>5675</v>
      </c>
      <c r="G99" s="549">
        <f t="shared" si="10"/>
        <v>7</v>
      </c>
      <c r="H99" s="536">
        <f>G99+'14'!H99</f>
        <v>173</v>
      </c>
      <c r="I99" s="556"/>
      <c r="J99" s="629">
        <f>H99/DAY(B2)</f>
        <v>11.533333333333333</v>
      </c>
      <c r="K99" s="411"/>
      <c r="L99" s="408"/>
      <c r="N99" s="818"/>
      <c r="O99" s="825"/>
      <c r="P99" s="413"/>
    </row>
    <row r="100" spans="1:16" ht="27.75">
      <c r="A100" s="1311" t="s">
        <v>225</v>
      </c>
      <c r="B100" s="1312"/>
      <c r="C100" s="1312"/>
      <c r="D100" s="599" t="s">
        <v>155</v>
      </c>
      <c r="E100" s="560">
        <f>'14'!F100</f>
        <v>4081</v>
      </c>
      <c r="F100" s="554">
        <v>4095</v>
      </c>
      <c r="G100" s="549">
        <f t="shared" si="10"/>
        <v>14</v>
      </c>
      <c r="H100" s="536">
        <f>G100+'14'!H100</f>
        <v>131</v>
      </c>
      <c r="I100" s="556"/>
      <c r="J100" s="629">
        <f>H100/DAY(B2)</f>
        <v>8.7333333333333325</v>
      </c>
      <c r="K100" s="411"/>
      <c r="L100" s="408"/>
      <c r="N100" s="818"/>
      <c r="O100" s="825"/>
      <c r="P100" s="413"/>
    </row>
    <row r="101" spans="1:16">
      <c r="A101" s="1419" t="s">
        <v>227</v>
      </c>
      <c r="B101" s="1420"/>
      <c r="C101" s="1421"/>
      <c r="D101" s="600"/>
      <c r="E101" s="560"/>
      <c r="F101" s="600"/>
      <c r="G101" s="601">
        <f>SUM(G95:G100)</f>
        <v>222</v>
      </c>
      <c r="H101" s="536">
        <f>G101+'14'!H101</f>
        <v>2743</v>
      </c>
      <c r="I101" s="602"/>
      <c r="J101" s="629">
        <f>H101/DAY(B2)</f>
        <v>182.86666666666667</v>
      </c>
      <c r="K101" s="411"/>
      <c r="L101" s="408"/>
      <c r="N101" s="818"/>
      <c r="O101" s="825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5"/>
      <c r="P102" s="413"/>
    </row>
    <row r="103" spans="1:16" s="481" customFormat="1" ht="27.75">
      <c r="A103" s="1422" t="s">
        <v>229</v>
      </c>
      <c r="B103" s="1423"/>
      <c r="C103" s="650"/>
      <c r="D103" s="699"/>
      <c r="E103" s="560"/>
      <c r="F103" s="739"/>
      <c r="G103" s="608"/>
      <c r="H103" s="609"/>
      <c r="I103" s="608"/>
      <c r="J103" s="635"/>
      <c r="N103" s="818"/>
      <c r="O103" s="825"/>
      <c r="P103" s="413"/>
    </row>
    <row r="104" spans="1:16" s="481" customFormat="1" ht="27.75">
      <c r="A104" s="1380" t="s">
        <v>230</v>
      </c>
      <c r="B104" s="1381"/>
      <c r="C104" s="1310"/>
      <c r="D104" s="699" t="s">
        <v>155</v>
      </c>
      <c r="E104" s="560">
        <f>'14'!F104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6.5333333333333332</v>
      </c>
      <c r="N104" s="818"/>
      <c r="O104" s="825"/>
      <c r="P104" s="413"/>
    </row>
    <row r="105" spans="1:16" s="481" customFormat="1" ht="27.75">
      <c r="A105" s="1380" t="s">
        <v>77</v>
      </c>
      <c r="B105" s="1381"/>
      <c r="C105" s="1310"/>
      <c r="D105" s="699" t="s">
        <v>155</v>
      </c>
      <c r="E105" s="560">
        <f>'14'!F105</f>
        <v>35022</v>
      </c>
      <c r="F105" s="740">
        <v>35030</v>
      </c>
      <c r="G105" s="608">
        <f t="shared" ref="G105:G106" si="11">F105-E105</f>
        <v>8</v>
      </c>
      <c r="H105" s="609">
        <f>SUM(G105+'1'!G77)</f>
        <v>69</v>
      </c>
      <c r="I105" s="608"/>
      <c r="J105" s="635">
        <f>H105/DAY(B2)</f>
        <v>4.5999999999999996</v>
      </c>
      <c r="N105" s="818"/>
      <c r="O105" s="825"/>
      <c r="P105" s="413"/>
    </row>
    <row r="106" spans="1:16" s="481" customFormat="1" ht="27.75">
      <c r="A106" s="1380" t="s">
        <v>78</v>
      </c>
      <c r="B106" s="1424"/>
      <c r="C106" s="1381"/>
      <c r="D106" s="699" t="s">
        <v>155</v>
      </c>
      <c r="E106" s="560">
        <f>'14'!F106</f>
        <v>18973</v>
      </c>
      <c r="F106" s="740">
        <v>18981</v>
      </c>
      <c r="G106" s="608">
        <f t="shared" si="11"/>
        <v>8</v>
      </c>
      <c r="H106" s="609">
        <f>SUM(G106+'1'!G78)</f>
        <v>377</v>
      </c>
      <c r="I106" s="608"/>
      <c r="J106" s="635">
        <f>H106/DAY(B2)</f>
        <v>25.133333333333333</v>
      </c>
      <c r="N106" s="818"/>
      <c r="O106" s="825"/>
      <c r="P106" s="413"/>
    </row>
    <row r="107" spans="1:16" s="481" customFormat="1" ht="27.75">
      <c r="A107" s="1382" t="s">
        <v>213</v>
      </c>
      <c r="B107" s="1383"/>
      <c r="C107" s="1310"/>
      <c r="D107" s="699"/>
      <c r="E107" s="560">
        <f>'14'!F107</f>
        <v>0</v>
      </c>
      <c r="F107" s="740"/>
      <c r="G107" s="608">
        <f>SUM(G104:G106)</f>
        <v>16</v>
      </c>
      <c r="H107" s="609">
        <f>SUM(G107+'1'!G79)</f>
        <v>203</v>
      </c>
      <c r="I107" s="608"/>
      <c r="J107" s="635">
        <f>H107/DAY(B2)</f>
        <v>13.533333333333333</v>
      </c>
      <c r="N107" s="818"/>
      <c r="O107" s="825"/>
      <c r="P107" s="413"/>
    </row>
    <row r="108" spans="1:16" s="481" customFormat="1" ht="27.75">
      <c r="A108" s="1386" t="s">
        <v>79</v>
      </c>
      <c r="B108" s="1387"/>
      <c r="C108" s="1310"/>
      <c r="D108" s="699" t="s">
        <v>155</v>
      </c>
      <c r="E108" s="560">
        <f>'14'!F108</f>
        <v>0</v>
      </c>
      <c r="F108" s="740"/>
      <c r="G108" s="608"/>
      <c r="H108" s="609"/>
      <c r="I108" s="608"/>
      <c r="J108" s="635"/>
      <c r="N108" s="818"/>
      <c r="O108" s="825"/>
      <c r="P108" s="413"/>
    </row>
    <row r="109" spans="1:16" s="481" customFormat="1" ht="27.75">
      <c r="A109" s="1380" t="s">
        <v>231</v>
      </c>
      <c r="B109" s="1381"/>
      <c r="C109" s="1310"/>
      <c r="D109" s="699" t="s">
        <v>155</v>
      </c>
      <c r="E109" s="560">
        <f>'14'!F109</f>
        <v>53780</v>
      </c>
      <c r="F109" s="740">
        <v>53841</v>
      </c>
      <c r="G109" s="608">
        <f>F109-E109</f>
        <v>61</v>
      </c>
      <c r="H109" s="609">
        <f>SUM(G109+'1'!G81)</f>
        <v>190</v>
      </c>
      <c r="I109" s="608"/>
      <c r="J109" s="635">
        <f>H109/DAY(B2)</f>
        <v>12.666666666666666</v>
      </c>
      <c r="N109" s="818"/>
      <c r="O109" s="825"/>
      <c r="P109" s="413"/>
    </row>
    <row r="110" spans="1:16" s="481" customFormat="1" ht="27.75">
      <c r="A110" s="1380" t="s">
        <v>232</v>
      </c>
      <c r="B110" s="1381"/>
      <c r="C110" s="1310"/>
      <c r="D110" s="699" t="s">
        <v>155</v>
      </c>
      <c r="E110" s="560">
        <f>'14'!F110</f>
        <v>27653</v>
      </c>
      <c r="F110" s="740">
        <v>27692</v>
      </c>
      <c r="G110" s="608">
        <f t="shared" ref="G110:G111" si="12">F110-E110</f>
        <v>39</v>
      </c>
      <c r="H110" s="609">
        <f>SUM(G110+'1'!G82)</f>
        <v>62</v>
      </c>
      <c r="I110" s="608"/>
      <c r="J110" s="635">
        <f>H110/DAY(B2)</f>
        <v>4.1333333333333337</v>
      </c>
      <c r="N110" s="818"/>
      <c r="O110" s="825"/>
      <c r="P110" s="413"/>
    </row>
    <row r="111" spans="1:16" s="481" customFormat="1" ht="27.75">
      <c r="A111" s="1380" t="s">
        <v>233</v>
      </c>
      <c r="B111" s="1381"/>
      <c r="C111" s="1310"/>
      <c r="D111" s="699" t="s">
        <v>155</v>
      </c>
      <c r="E111" s="560">
        <f>'14'!F111</f>
        <v>3652</v>
      </c>
      <c r="F111" s="740">
        <v>3652</v>
      </c>
      <c r="G111" s="608">
        <f t="shared" si="12"/>
        <v>0</v>
      </c>
      <c r="H111" s="609">
        <f>SUM(G111+'1'!G83)</f>
        <v>333</v>
      </c>
      <c r="I111" s="608"/>
      <c r="J111" s="635">
        <f>H111/DAY(B2)</f>
        <v>22.2</v>
      </c>
      <c r="N111" s="818"/>
      <c r="O111" s="825"/>
      <c r="P111" s="413"/>
    </row>
    <row r="112" spans="1:16" s="481" customFormat="1" ht="27.75">
      <c r="A112" s="1382" t="s">
        <v>121</v>
      </c>
      <c r="B112" s="1383"/>
      <c r="C112" s="1310"/>
      <c r="D112" s="699"/>
      <c r="E112" s="560">
        <f>'14'!F112</f>
        <v>0</v>
      </c>
      <c r="F112" s="740"/>
      <c r="G112" s="608">
        <f>SUM(G109:G111)</f>
        <v>100</v>
      </c>
      <c r="H112" s="609">
        <f>SUM(G112+'1'!G84)</f>
        <v>546</v>
      </c>
      <c r="I112" s="608"/>
      <c r="J112" s="635">
        <f>H112/DAY(B2)</f>
        <v>36.4</v>
      </c>
      <c r="N112" s="818"/>
      <c r="O112" s="825"/>
      <c r="P112" s="413"/>
    </row>
    <row r="113" spans="1:16" s="481" customFormat="1" ht="27.75">
      <c r="A113" s="1386" t="s">
        <v>234</v>
      </c>
      <c r="B113" s="1387"/>
      <c r="C113" s="1310"/>
      <c r="D113" s="699"/>
      <c r="E113" s="560">
        <f>'14'!F113</f>
        <v>0</v>
      </c>
      <c r="F113" s="740"/>
      <c r="G113" s="608"/>
      <c r="H113" s="609"/>
      <c r="I113" s="608"/>
      <c r="J113" s="635">
        <f>H113/DAY(B2)</f>
        <v>0</v>
      </c>
      <c r="N113" s="818"/>
      <c r="O113" s="825"/>
      <c r="P113" s="413"/>
    </row>
    <row r="114" spans="1:16" s="481" customFormat="1" ht="27.75">
      <c r="A114" s="1380" t="s">
        <v>235</v>
      </c>
      <c r="B114" s="1381"/>
      <c r="C114" s="651"/>
      <c r="D114" s="699" t="s">
        <v>155</v>
      </c>
      <c r="E114" s="560">
        <f>'14'!F114</f>
        <v>9443</v>
      </c>
      <c r="F114" s="740">
        <v>9451</v>
      </c>
      <c r="G114" s="610">
        <f>F114-E114</f>
        <v>8</v>
      </c>
      <c r="H114" s="609">
        <f>SUM(G114+'1'!G91)</f>
        <v>8</v>
      </c>
      <c r="I114" s="608"/>
      <c r="J114" s="635">
        <f>H114/DAY(B2)</f>
        <v>0.53333333333333333</v>
      </c>
      <c r="N114" s="818"/>
      <c r="O114" s="825"/>
      <c r="P114" s="413"/>
    </row>
    <row r="115" spans="1:16" s="481" customFormat="1" ht="27.75">
      <c r="A115" s="1380" t="s">
        <v>236</v>
      </c>
      <c r="B115" s="1381"/>
      <c r="C115" s="651"/>
      <c r="D115" s="699" t="s">
        <v>155</v>
      </c>
      <c r="E115" s="560">
        <f>'14'!F115</f>
        <v>7291</v>
      </c>
      <c r="F115" s="740">
        <v>7304</v>
      </c>
      <c r="G115" s="610">
        <f t="shared" ref="G115:G116" si="13">F115-E115</f>
        <v>13</v>
      </c>
      <c r="H115" s="609">
        <f>SUM(G115+'1'!G92)</f>
        <v>146</v>
      </c>
      <c r="I115" s="608"/>
      <c r="J115" s="635">
        <f>H115/DAY(B2)</f>
        <v>9.7333333333333325</v>
      </c>
      <c r="N115" s="818"/>
      <c r="O115" s="825"/>
      <c r="P115" s="413"/>
    </row>
    <row r="116" spans="1:16" s="481" customFormat="1" ht="27.75">
      <c r="A116" s="1380" t="s">
        <v>237</v>
      </c>
      <c r="B116" s="1381"/>
      <c r="C116" s="651"/>
      <c r="D116" s="699" t="s">
        <v>155</v>
      </c>
      <c r="E116" s="610">
        <f>'14'!F116</f>
        <v>0</v>
      </c>
      <c r="F116" s="740">
        <v>0</v>
      </c>
      <c r="G116" s="610">
        <f t="shared" si="13"/>
        <v>0</v>
      </c>
      <c r="H116" s="609">
        <f>SUM(G116+'1'!G93)</f>
        <v>141</v>
      </c>
      <c r="I116" s="608"/>
      <c r="J116" s="635">
        <f>H116/DAY(B2)</f>
        <v>9.4</v>
      </c>
      <c r="N116" s="818"/>
      <c r="O116" s="825"/>
      <c r="P116" s="413"/>
    </row>
    <row r="117" spans="1:16" s="494" customFormat="1" ht="27.75">
      <c r="A117" s="1382" t="s">
        <v>213</v>
      </c>
      <c r="B117" s="1383"/>
      <c r="C117" s="651"/>
      <c r="D117" s="700"/>
      <c r="E117" s="610"/>
      <c r="F117" s="740"/>
      <c r="G117" s="610">
        <f>SUM(G114:G116)</f>
        <v>21</v>
      </c>
      <c r="H117" s="609">
        <f>SUM(G117+'1'!G95)</f>
        <v>81</v>
      </c>
      <c r="I117" s="610"/>
      <c r="J117" s="635">
        <f>H117/DAY(B2)</f>
        <v>5.4</v>
      </c>
      <c r="N117" s="818"/>
      <c r="O117" s="825"/>
      <c r="P117" s="413"/>
    </row>
    <row r="118" spans="1:16" s="495" customFormat="1" ht="27.75">
      <c r="A118" s="1376" t="s">
        <v>238</v>
      </c>
      <c r="B118" s="1377"/>
      <c r="C118" s="1308"/>
      <c r="D118" s="701" t="s">
        <v>155</v>
      </c>
      <c r="E118" s="612"/>
      <c r="F118" s="741">
        <f>SUM(G19+G92)</f>
        <v>167</v>
      </c>
      <c r="G118" s="612">
        <f>SUM(G19+G92)</f>
        <v>167</v>
      </c>
      <c r="H118" s="609">
        <f>SUM(G118+'1'!G96)</f>
        <v>200</v>
      </c>
      <c r="I118" s="611"/>
      <c r="J118" s="636">
        <f>H118/DAY(B2)</f>
        <v>13.333333333333334</v>
      </c>
      <c r="N118" s="818"/>
      <c r="O118" s="825"/>
      <c r="P118" s="413"/>
    </row>
    <row r="119" spans="1:16" s="495" customFormat="1" ht="27.75">
      <c r="A119" s="1376" t="s">
        <v>239</v>
      </c>
      <c r="B119" s="1377"/>
      <c r="C119" s="1308"/>
      <c r="D119" s="701" t="s">
        <v>155</v>
      </c>
      <c r="E119" s="612"/>
      <c r="F119" s="741">
        <f>SUM(G95,G96,G97,G99,G100)</f>
        <v>170</v>
      </c>
      <c r="G119" s="612">
        <f>SUM(G95,G96,G97,G99,G100)</f>
        <v>170</v>
      </c>
      <c r="H119" s="609">
        <f>SUM(G119+'1'!G98)</f>
        <v>220</v>
      </c>
      <c r="I119" s="611"/>
      <c r="J119" s="636">
        <f>H119/DAY(B2)</f>
        <v>14.666666666666666</v>
      </c>
      <c r="N119" s="818"/>
      <c r="O119" s="825"/>
      <c r="P119" s="413"/>
    </row>
    <row r="120" spans="1:16" s="495" customFormat="1" ht="27.75">
      <c r="A120" s="1376" t="s">
        <v>240</v>
      </c>
      <c r="B120" s="1377"/>
      <c r="C120" s="1308"/>
      <c r="D120" s="701" t="s">
        <v>155</v>
      </c>
      <c r="E120" s="610"/>
      <c r="F120" s="740">
        <f>SUM(G112)</f>
        <v>100</v>
      </c>
      <c r="G120" s="610">
        <f>SUM(G112)</f>
        <v>100</v>
      </c>
      <c r="H120" s="609">
        <f>SUM(G120+'1'!G100)</f>
        <v>117</v>
      </c>
      <c r="I120" s="611"/>
      <c r="J120" s="636">
        <f>H120/DAY(B2)</f>
        <v>7.8</v>
      </c>
      <c r="N120" s="818"/>
      <c r="O120" s="825"/>
      <c r="P120" s="413"/>
    </row>
    <row r="121" spans="1:16" s="481" customFormat="1" ht="27.75">
      <c r="A121" s="1378"/>
      <c r="B121" s="1379"/>
      <c r="C121" s="1309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5"/>
      <c r="P121" s="413"/>
    </row>
    <row r="122" spans="1:16">
      <c r="A122" s="1416" t="s">
        <v>241</v>
      </c>
      <c r="B122" s="1417"/>
      <c r="C122" s="1418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5"/>
      <c r="P122" s="413"/>
    </row>
    <row r="123" spans="1:16" ht="27.75">
      <c r="A123" s="1311" t="s">
        <v>242</v>
      </c>
      <c r="B123" s="1312"/>
      <c r="C123" s="1312"/>
      <c r="D123" s="599" t="s">
        <v>152</v>
      </c>
      <c r="E123" s="554">
        <f>'14'!F123</f>
        <v>798826.59299999999</v>
      </c>
      <c r="F123" s="554">
        <v>799097.05</v>
      </c>
      <c r="G123" s="549">
        <f>F123-E123</f>
        <v>270.45700000005309</v>
      </c>
      <c r="H123" s="536">
        <f>G123+'14'!H123</f>
        <v>3673</v>
      </c>
      <c r="I123" s="602"/>
      <c r="J123" s="629">
        <f>H123/DAY(B2)</f>
        <v>244.86666666666667</v>
      </c>
      <c r="K123" s="411"/>
      <c r="L123" s="408"/>
      <c r="N123" s="818"/>
      <c r="O123" s="825"/>
      <c r="P123" s="413"/>
    </row>
    <row r="124" spans="1:16" ht="27.75">
      <c r="A124" s="1311" t="s">
        <v>243</v>
      </c>
      <c r="B124" s="1312"/>
      <c r="C124" s="1312"/>
      <c r="D124" s="599" t="s">
        <v>152</v>
      </c>
      <c r="E124" s="703">
        <f>'14'!F124</f>
        <v>73582.3</v>
      </c>
      <c r="F124" s="703">
        <v>73582.3</v>
      </c>
      <c r="G124" s="549">
        <f t="shared" ref="G124:G127" si="14">F124-E124</f>
        <v>0</v>
      </c>
      <c r="H124" s="536">
        <f>G124+'14'!H124</f>
        <v>0.10000000000582077</v>
      </c>
      <c r="I124" s="602"/>
      <c r="J124" s="629">
        <f>H124/DAY(B2)</f>
        <v>6.6666666670547178E-3</v>
      </c>
      <c r="K124" s="411"/>
      <c r="L124" s="408"/>
      <c r="N124" s="818"/>
      <c r="O124" s="825"/>
      <c r="P124" s="413"/>
    </row>
    <row r="125" spans="1:16" ht="27.75">
      <c r="A125" s="1367" t="s">
        <v>244</v>
      </c>
      <c r="B125" s="1368"/>
      <c r="C125" s="1369"/>
      <c r="D125" s="599" t="s">
        <v>152</v>
      </c>
      <c r="E125" s="554">
        <f>'14'!F125</f>
        <v>136578.34</v>
      </c>
      <c r="F125" s="554">
        <v>136666.85999999999</v>
      </c>
      <c r="G125" s="549">
        <f t="shared" si="14"/>
        <v>88.519999999989523</v>
      </c>
      <c r="H125" s="536">
        <f>G125+'14'!H125</f>
        <v>1076.1899999999732</v>
      </c>
      <c r="I125" s="602"/>
      <c r="J125" s="629">
        <f>H125/DAY(B2)</f>
        <v>71.745999999998219</v>
      </c>
      <c r="K125" s="411"/>
      <c r="L125" s="408"/>
      <c r="N125" s="818"/>
      <c r="O125" s="825"/>
      <c r="P125" s="413"/>
    </row>
    <row r="126" spans="1:16" ht="27.75">
      <c r="A126" s="686" t="s">
        <v>245</v>
      </c>
      <c r="B126" s="1312"/>
      <c r="C126" s="1312"/>
      <c r="D126" s="599" t="s">
        <v>152</v>
      </c>
      <c r="E126" s="703">
        <f>'14'!F126</f>
        <v>57826</v>
      </c>
      <c r="F126" s="703">
        <v>57857.3</v>
      </c>
      <c r="G126" s="549">
        <f t="shared" si="14"/>
        <v>31.30000000000291</v>
      </c>
      <c r="H126" s="536">
        <f>G126+'14'!H126</f>
        <v>476.30000000000291</v>
      </c>
      <c r="I126" s="602"/>
      <c r="J126" s="629">
        <f>H126/DAY(B2)</f>
        <v>31.753333333333526</v>
      </c>
      <c r="K126" s="411"/>
      <c r="L126" s="408"/>
      <c r="N126" s="818"/>
      <c r="O126" s="825"/>
      <c r="P126" s="413"/>
    </row>
    <row r="127" spans="1:16" ht="27.75">
      <c r="A127" s="686" t="s">
        <v>246</v>
      </c>
      <c r="B127" s="1312"/>
      <c r="C127" s="1312"/>
      <c r="D127" s="599" t="s">
        <v>152</v>
      </c>
      <c r="E127" s="703">
        <f>'14'!F127</f>
        <v>8752.2000000000007</v>
      </c>
      <c r="F127" s="703">
        <v>8755.6</v>
      </c>
      <c r="G127" s="549">
        <f t="shared" si="14"/>
        <v>3.3999999999996362</v>
      </c>
      <c r="H127" s="536">
        <f>G127+'14'!H127</f>
        <v>49.600000000000364</v>
      </c>
      <c r="I127" s="556"/>
      <c r="J127" s="629">
        <f>H127/DAY(B2)</f>
        <v>3.3066666666666911</v>
      </c>
      <c r="K127" s="411"/>
      <c r="L127" s="408"/>
      <c r="N127" s="818"/>
      <c r="O127" s="825"/>
      <c r="P127" s="413"/>
    </row>
    <row r="128" spans="1:16" s="281" customFormat="1" ht="27.75">
      <c r="A128" s="686" t="s">
        <v>247</v>
      </c>
      <c r="B128" s="1312"/>
      <c r="C128" s="1312"/>
      <c r="D128" s="599"/>
      <c r="E128" s="554"/>
      <c r="F128" s="554"/>
      <c r="G128" s="549">
        <f>G15-SUM(G123:G127)</f>
        <v>526.39099999992504</v>
      </c>
      <c r="H128" s="536"/>
      <c r="I128" s="556"/>
      <c r="J128" s="629"/>
      <c r="K128" s="391"/>
      <c r="L128" s="293"/>
      <c r="N128" s="818"/>
      <c r="O128" s="825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5"/>
      <c r="P129" s="413"/>
    </row>
    <row r="130" spans="1:16" ht="27.75">
      <c r="A130" s="1311" t="s">
        <v>249</v>
      </c>
      <c r="B130" s="1312"/>
      <c r="C130" s="1312"/>
      <c r="D130" s="599" t="s">
        <v>250</v>
      </c>
      <c r="E130" s="560">
        <f>'14'!F130</f>
        <v>0</v>
      </c>
      <c r="F130" s="554">
        <v>0</v>
      </c>
      <c r="G130" s="549">
        <f t="shared" ref="G130:G140" si="15">F130-E130</f>
        <v>0</v>
      </c>
      <c r="H130" s="536">
        <f>G130+'14'!H130</f>
        <v>0</v>
      </c>
      <c r="I130" s="556"/>
      <c r="J130" s="629">
        <f>H130/DAY(B2)</f>
        <v>0</v>
      </c>
      <c r="N130" s="818"/>
      <c r="O130" s="825"/>
      <c r="P130" s="413"/>
    </row>
    <row r="131" spans="1:16" ht="27.75">
      <c r="A131" s="1311" t="s">
        <v>251</v>
      </c>
      <c r="B131" s="1312"/>
      <c r="C131" s="1312"/>
      <c r="D131" s="599" t="s">
        <v>250</v>
      </c>
      <c r="E131" s="560">
        <f>'14'!F131</f>
        <v>0</v>
      </c>
      <c r="F131" s="554">
        <v>0</v>
      </c>
      <c r="G131" s="549">
        <f t="shared" si="15"/>
        <v>0</v>
      </c>
      <c r="H131" s="536">
        <f>G131+'14'!H131</f>
        <v>0</v>
      </c>
      <c r="I131" s="556"/>
      <c r="J131" s="629">
        <f>H131/DAY(B2)</f>
        <v>0</v>
      </c>
      <c r="N131" s="818"/>
      <c r="O131" s="825"/>
      <c r="P131" s="413"/>
    </row>
    <row r="132" spans="1:16" ht="27.75">
      <c r="A132" s="1311" t="s">
        <v>252</v>
      </c>
      <c r="B132" s="1312"/>
      <c r="C132" s="1312"/>
      <c r="D132" s="599" t="s">
        <v>250</v>
      </c>
      <c r="E132" s="618">
        <f>'14'!F132</f>
        <v>38901</v>
      </c>
      <c r="F132" s="732">
        <v>38901</v>
      </c>
      <c r="G132" s="549">
        <f t="shared" si="15"/>
        <v>0</v>
      </c>
      <c r="H132" s="536">
        <f>G132+'14'!H132</f>
        <v>0</v>
      </c>
      <c r="I132" s="556"/>
      <c r="J132" s="629">
        <f>H132/DAY(B2)</f>
        <v>0</v>
      </c>
      <c r="N132" s="818"/>
      <c r="O132" s="825"/>
      <c r="P132" s="413"/>
    </row>
    <row r="133" spans="1:16" ht="27.75">
      <c r="A133" s="1311" t="s">
        <v>253</v>
      </c>
      <c r="B133" s="1312"/>
      <c r="C133" s="1312"/>
      <c r="D133" s="599" t="s">
        <v>250</v>
      </c>
      <c r="E133" s="782">
        <f>'14'!F133</f>
        <v>299</v>
      </c>
      <c r="F133" s="703">
        <v>299</v>
      </c>
      <c r="G133" s="549">
        <f t="shared" si="15"/>
        <v>0</v>
      </c>
      <c r="H133" s="536">
        <f>G133+'14'!H133</f>
        <v>0</v>
      </c>
      <c r="I133" s="556">
        <f>G130+G131+G132+G133</f>
        <v>0</v>
      </c>
      <c r="J133" s="629">
        <f>H133/DAY(B2)</f>
        <v>0</v>
      </c>
      <c r="N133" s="818"/>
      <c r="O133" s="825"/>
      <c r="P133" s="413"/>
    </row>
    <row r="134" spans="1:16" ht="27.75">
      <c r="A134" s="1311" t="s">
        <v>254</v>
      </c>
      <c r="B134" s="1312"/>
      <c r="C134" s="1312"/>
      <c r="D134" s="599" t="s">
        <v>250</v>
      </c>
      <c r="E134" s="782">
        <f>'14'!F134</f>
        <v>39816.400000000001</v>
      </c>
      <c r="F134" s="703">
        <v>39840</v>
      </c>
      <c r="G134" s="549">
        <f t="shared" si="15"/>
        <v>23.599999999998545</v>
      </c>
      <c r="H134" s="536">
        <f>G134+'14'!H134</f>
        <v>105</v>
      </c>
      <c r="I134" s="556"/>
      <c r="J134" s="629">
        <f>H134/DAY(B2)</f>
        <v>7</v>
      </c>
      <c r="N134" s="818"/>
      <c r="O134" s="825"/>
      <c r="P134" s="413"/>
    </row>
    <row r="135" spans="1:16" ht="27.75">
      <c r="A135" s="1311" t="s">
        <v>255</v>
      </c>
      <c r="B135" s="1312"/>
      <c r="C135" s="1312"/>
      <c r="D135" s="599" t="s">
        <v>250</v>
      </c>
      <c r="E135" s="618">
        <f>'14'!F135</f>
        <v>32423</v>
      </c>
      <c r="F135" s="732">
        <v>32423</v>
      </c>
      <c r="G135" s="549">
        <f t="shared" si="15"/>
        <v>0</v>
      </c>
      <c r="H135" s="536">
        <f>G135+'14'!H135</f>
        <v>255.61000000000058</v>
      </c>
      <c r="I135" s="556"/>
      <c r="J135" s="629">
        <f>H135/DAY(B2)</f>
        <v>17.040666666666706</v>
      </c>
      <c r="N135" s="818"/>
      <c r="O135" s="825"/>
      <c r="P135" s="413"/>
    </row>
    <row r="136" spans="1:16" ht="27.75">
      <c r="A136" s="1311" t="s">
        <v>256</v>
      </c>
      <c r="B136" s="1312"/>
      <c r="C136" s="1312"/>
      <c r="D136" s="599" t="s">
        <v>250</v>
      </c>
      <c r="E136" s="618">
        <f>'14'!F136</f>
        <v>21881.32</v>
      </c>
      <c r="F136" s="732">
        <v>21889.54</v>
      </c>
      <c r="G136" s="549">
        <f t="shared" si="15"/>
        <v>8.2200000000011642</v>
      </c>
      <c r="H136" s="536">
        <f>G136+'14'!H136</f>
        <v>87.840000000000146</v>
      </c>
      <c r="I136" s="556">
        <f>G134+G135+G136</f>
        <v>31.819999999999709</v>
      </c>
      <c r="J136" s="629">
        <f>H136/DAY(B2)</f>
        <v>5.8560000000000096</v>
      </c>
      <c r="N136" s="818"/>
      <c r="O136" s="825"/>
      <c r="P136" s="413"/>
    </row>
    <row r="137" spans="1:16" ht="27.75">
      <c r="A137" s="1311" t="s">
        <v>257</v>
      </c>
      <c r="B137" s="1312"/>
      <c r="C137" s="1312"/>
      <c r="D137" s="599" t="s">
        <v>250</v>
      </c>
      <c r="E137" s="618">
        <f>'14'!F137</f>
        <v>25000.560000000001</v>
      </c>
      <c r="F137" s="732">
        <v>25000.560000000001</v>
      </c>
      <c r="G137" s="549">
        <f t="shared" si="15"/>
        <v>0</v>
      </c>
      <c r="H137" s="536">
        <f>G137+'14'!H137</f>
        <v>9.9500000000007276</v>
      </c>
      <c r="I137" s="556"/>
      <c r="J137" s="629">
        <f>H137/DAY(B2)</f>
        <v>0.66333333333338185</v>
      </c>
      <c r="N137" s="818"/>
      <c r="O137" s="825"/>
      <c r="P137" s="413"/>
    </row>
    <row r="138" spans="1:16" ht="27.75">
      <c r="A138" s="1311" t="s">
        <v>258</v>
      </c>
      <c r="B138" s="1312"/>
      <c r="C138" s="1312"/>
      <c r="D138" s="599" t="s">
        <v>250</v>
      </c>
      <c r="E138" s="618">
        <f>'14'!F138</f>
        <v>70040.77</v>
      </c>
      <c r="F138" s="732">
        <v>70043.77</v>
      </c>
      <c r="G138" s="549">
        <f t="shared" si="15"/>
        <v>3</v>
      </c>
      <c r="H138" s="536">
        <f>G138+'14'!H138</f>
        <v>37.400000000008731</v>
      </c>
      <c r="I138" s="556">
        <f>G137+G138</f>
        <v>3</v>
      </c>
      <c r="J138" s="629">
        <f>H138/DAY(B2)</f>
        <v>2.4933333333339154</v>
      </c>
      <c r="N138" s="818"/>
      <c r="O138" s="825"/>
      <c r="P138" s="413"/>
    </row>
    <row r="139" spans="1:16" ht="27.75">
      <c r="A139" s="1311" t="s">
        <v>259</v>
      </c>
      <c r="B139" s="1312"/>
      <c r="C139" s="1312"/>
      <c r="D139" s="599" t="s">
        <v>250</v>
      </c>
      <c r="E139" s="782">
        <f>'14'!F139</f>
        <v>1071.83</v>
      </c>
      <c r="F139" s="703">
        <v>1079.3599999999999</v>
      </c>
      <c r="G139" s="549">
        <f t="shared" si="15"/>
        <v>7.5299999999999727</v>
      </c>
      <c r="H139" s="536">
        <f>G139+'14'!H139</f>
        <v>16.3599999999999</v>
      </c>
      <c r="I139" s="619"/>
      <c r="J139" s="629">
        <f>H139/DAY(B2)</f>
        <v>1.09066666666666</v>
      </c>
      <c r="N139" s="818"/>
      <c r="O139" s="825"/>
      <c r="P139" s="413"/>
    </row>
    <row r="140" spans="1:16" ht="27.75">
      <c r="A140" s="1311" t="s">
        <v>260</v>
      </c>
      <c r="B140" s="1312"/>
      <c r="C140" s="1312"/>
      <c r="D140" s="599" t="s">
        <v>250</v>
      </c>
      <c r="E140" s="560">
        <f>'14'!F140</f>
        <v>4333.53</v>
      </c>
      <c r="F140" s="554">
        <v>4333.53</v>
      </c>
      <c r="G140" s="549">
        <f t="shared" si="15"/>
        <v>0</v>
      </c>
      <c r="H140" s="536">
        <f>G140+'14'!H140</f>
        <v>101.11999999999989</v>
      </c>
      <c r="I140" s="619"/>
      <c r="J140" s="629">
        <f>H140/DAY(B2)</f>
        <v>6.7413333333333263</v>
      </c>
      <c r="N140" s="818"/>
      <c r="O140" s="825"/>
      <c r="P140" s="413"/>
    </row>
    <row r="141" spans="1:16">
      <c r="A141" s="1397" t="s">
        <v>261</v>
      </c>
      <c r="B141" s="1398"/>
      <c r="C141" s="1317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5"/>
      <c r="P141" s="413"/>
    </row>
    <row r="142" spans="1:16" ht="27.75">
      <c r="A142" s="1388" t="s">
        <v>262</v>
      </c>
      <c r="B142" s="1389"/>
      <c r="C142" s="1390"/>
      <c r="D142" s="599" t="s">
        <v>143</v>
      </c>
      <c r="E142" s="599"/>
      <c r="F142" s="599"/>
      <c r="G142" s="536">
        <f>G35+G43+G49+G57</f>
        <v>6038.5899999999383</v>
      </c>
      <c r="H142" s="536">
        <f>G142+'14'!H142</f>
        <v>76969.889999999985</v>
      </c>
      <c r="I142" s="556"/>
      <c r="J142" s="629">
        <f>H142/DAY(B2)</f>
        <v>5131.3259999999991</v>
      </c>
      <c r="K142" s="411"/>
      <c r="L142" s="408"/>
      <c r="N142" s="818"/>
      <c r="O142" s="825"/>
      <c r="P142" s="413"/>
    </row>
    <row r="143" spans="1:16" ht="27.75">
      <c r="A143" s="1388" t="s">
        <v>263</v>
      </c>
      <c r="B143" s="1389"/>
      <c r="C143" s="1390"/>
      <c r="D143" s="599" t="s">
        <v>24</v>
      </c>
      <c r="E143" s="587"/>
      <c r="F143" s="587"/>
      <c r="G143" s="620">
        <f>G142/G7</f>
        <v>0.29010761470093388</v>
      </c>
      <c r="H143" s="536">
        <f>G143+'14'!H143</f>
        <v>3.8036249452176172</v>
      </c>
      <c r="I143" s="621"/>
      <c r="J143" s="629">
        <f>H143/DAY(B2)</f>
        <v>0.25357499634784114</v>
      </c>
      <c r="K143" s="411"/>
      <c r="L143" s="408"/>
      <c r="N143" s="818"/>
      <c r="O143" s="825"/>
      <c r="P143" s="413"/>
    </row>
    <row r="144" spans="1:16" ht="27.75">
      <c r="A144" s="1388" t="s">
        <v>264</v>
      </c>
      <c r="B144" s="1389"/>
      <c r="C144" s="1390"/>
      <c r="D144" s="599" t="s">
        <v>143</v>
      </c>
      <c r="E144" s="531"/>
      <c r="F144" s="531"/>
      <c r="G144" s="536">
        <f>G41+G42+G55+G56</f>
        <v>4453.7129999999524</v>
      </c>
      <c r="H144" s="536">
        <f>G144+'14'!H144</f>
        <v>64675.631999999983</v>
      </c>
      <c r="I144" s="556"/>
      <c r="J144" s="629">
        <f>H144/DAY(B2)</f>
        <v>4311.7087999999985</v>
      </c>
      <c r="K144" s="411"/>
      <c r="L144" s="408"/>
      <c r="N144" s="818"/>
      <c r="O144" s="825"/>
      <c r="P144" s="413"/>
    </row>
    <row r="145" spans="1:16" ht="27.75">
      <c r="A145" s="1388" t="s">
        <v>265</v>
      </c>
      <c r="B145" s="1389"/>
      <c r="C145" s="1390"/>
      <c r="D145" s="599" t="s">
        <v>24</v>
      </c>
      <c r="E145" s="531"/>
      <c r="F145" s="531"/>
      <c r="G145" s="620">
        <f>G144/G7</f>
        <v>0.21396651453278656</v>
      </c>
      <c r="H145" s="536">
        <f>G145+'14'!H145</f>
        <v>3.3292232859971356</v>
      </c>
      <c r="I145" s="621"/>
      <c r="J145" s="629">
        <f>H145/DAY(B2)</f>
        <v>0.22194821906647572</v>
      </c>
      <c r="K145" s="411"/>
      <c r="L145" s="408"/>
      <c r="N145" s="818"/>
      <c r="O145" s="825"/>
      <c r="P145" s="413"/>
    </row>
    <row r="146" spans="1:16" ht="27.75">
      <c r="A146" s="1388" t="s">
        <v>266</v>
      </c>
      <c r="B146" s="1389"/>
      <c r="C146" s="1390"/>
      <c r="D146" s="599" t="s">
        <v>143</v>
      </c>
      <c r="E146" s="531"/>
      <c r="F146" s="531"/>
      <c r="G146" s="536">
        <f>G39+G53</f>
        <v>4189.9700000000012</v>
      </c>
      <c r="H146" s="536">
        <f>G146+'14'!H146</f>
        <v>60756.98000000001</v>
      </c>
      <c r="I146" s="622"/>
      <c r="J146" s="629">
        <f>H146/DAY(B2)</f>
        <v>4050.465333333334</v>
      </c>
      <c r="K146" s="411"/>
      <c r="L146" s="408"/>
      <c r="N146" s="818"/>
      <c r="O146" s="825"/>
      <c r="P146" s="413"/>
    </row>
    <row r="147" spans="1:16" ht="27.75">
      <c r="A147" s="1388" t="s">
        <v>267</v>
      </c>
      <c r="B147" s="1389"/>
      <c r="C147" s="1390"/>
      <c r="D147" s="599" t="s">
        <v>24</v>
      </c>
      <c r="E147" s="531"/>
      <c r="F147" s="531"/>
      <c r="G147" s="620">
        <f>G146/G7</f>
        <v>0.20129570021619031</v>
      </c>
      <c r="H147" s="536">
        <f>G147+'14'!H147</f>
        <v>3.1402301106192185</v>
      </c>
      <c r="I147" s="622"/>
      <c r="J147" s="629">
        <f>H147/DAY(B2)</f>
        <v>0.20934867404128124</v>
      </c>
      <c r="N147" s="818"/>
      <c r="O147" s="825"/>
      <c r="P147" s="413"/>
    </row>
    <row r="148" spans="1:16" ht="27.75">
      <c r="A148" s="1388" t="s">
        <v>268</v>
      </c>
      <c r="B148" s="1389"/>
      <c r="C148" s="1390"/>
      <c r="D148" s="599" t="s">
        <v>194</v>
      </c>
      <c r="E148" s="531"/>
      <c r="F148" s="531"/>
      <c r="G148" s="536">
        <f>G38+G52</f>
        <v>2055.8800000000047</v>
      </c>
      <c r="H148" s="536">
        <f>G148+'14'!H148</f>
        <v>30185.119999999995</v>
      </c>
      <c r="I148" s="556"/>
      <c r="J148" s="629">
        <f>H148/DAY(B2)</f>
        <v>2012.3413333333331</v>
      </c>
      <c r="K148" s="412"/>
      <c r="N148" s="818"/>
      <c r="O148" s="825"/>
      <c r="P148" s="413"/>
    </row>
    <row r="149" spans="1:16" ht="27.75">
      <c r="A149" s="1388" t="s">
        <v>269</v>
      </c>
      <c r="B149" s="1389"/>
      <c r="C149" s="1390"/>
      <c r="D149" s="599" t="s">
        <v>24</v>
      </c>
      <c r="E149" s="531"/>
      <c r="F149" s="531"/>
      <c r="G149" s="620">
        <f>G148/G7</f>
        <v>9.8769156858035292E-2</v>
      </c>
      <c r="H149" s="536">
        <f>G149+'14'!H149</f>
        <v>1.5608236092804948</v>
      </c>
      <c r="I149" s="622"/>
      <c r="J149" s="629">
        <f>H149/DAY(B2)</f>
        <v>0.10405490728536632</v>
      </c>
      <c r="N149" s="818"/>
      <c r="O149" s="825"/>
      <c r="P149" s="413"/>
    </row>
    <row r="150" spans="1:16" ht="27.75">
      <c r="A150" s="1388" t="s">
        <v>270</v>
      </c>
      <c r="B150" s="1389"/>
      <c r="C150" s="1390"/>
      <c r="D150" s="599" t="s">
        <v>194</v>
      </c>
      <c r="E150" s="531"/>
      <c r="F150" s="531"/>
      <c r="G150" s="536">
        <f>G36+G50</f>
        <v>1889</v>
      </c>
      <c r="H150" s="536">
        <f>G150+'14'!H150</f>
        <v>26190.679999999993</v>
      </c>
      <c r="I150" s="622"/>
      <c r="J150" s="629">
        <f>H150/DAY(B2)</f>
        <v>1746.0453333333328</v>
      </c>
      <c r="N150" s="818"/>
      <c r="O150" s="825"/>
      <c r="P150" s="413"/>
    </row>
    <row r="151" spans="1:16" ht="27.75">
      <c r="A151" s="1388" t="s">
        <v>271</v>
      </c>
      <c r="B151" s="1389"/>
      <c r="C151" s="1390"/>
      <c r="D151" s="599" t="s">
        <v>24</v>
      </c>
      <c r="E151" s="531"/>
      <c r="F151" s="531"/>
      <c r="G151" s="620">
        <f>G150/G7</f>
        <v>9.0751861638241657E-2</v>
      </c>
      <c r="H151" s="536">
        <f>G151+'14'!H151</f>
        <v>1.355047665814888</v>
      </c>
      <c r="I151" s="556"/>
      <c r="J151" s="629">
        <f>H151/DAY(B2)</f>
        <v>9.0336511054325871E-2</v>
      </c>
      <c r="N151" s="818"/>
      <c r="O151" s="825"/>
      <c r="P151" s="413"/>
    </row>
    <row r="152" spans="1:16" ht="27.75">
      <c r="A152" s="1388" t="s">
        <v>272</v>
      </c>
      <c r="B152" s="1389"/>
      <c r="C152" s="1390"/>
      <c r="D152" s="599" t="s">
        <v>194</v>
      </c>
      <c r="E152" s="531"/>
      <c r="F152" s="531"/>
      <c r="G152" s="536">
        <f>G37+G51</f>
        <v>1550.8389999999927</v>
      </c>
      <c r="H152" s="536">
        <f>G152+'14'!H152</f>
        <v>21607.279999999999</v>
      </c>
      <c r="I152" s="556"/>
      <c r="J152" s="629">
        <f>H152/DAY(B2)</f>
        <v>1440.4853333333333</v>
      </c>
      <c r="N152" s="818"/>
      <c r="O152" s="825"/>
      <c r="P152" s="413"/>
    </row>
    <row r="153" spans="1:16" ht="28.5" thickBot="1">
      <c r="A153" s="1394" t="s">
        <v>273</v>
      </c>
      <c r="B153" s="1395"/>
      <c r="C153" s="1396"/>
      <c r="D153" s="702" t="s">
        <v>24</v>
      </c>
      <c r="E153" s="642"/>
      <c r="F153" s="642"/>
      <c r="G153" s="643">
        <f>G152/G7</f>
        <v>7.4505837136679923E-2</v>
      </c>
      <c r="H153" s="536">
        <f>G153+'14'!H153</f>
        <v>1.117261243619724</v>
      </c>
      <c r="I153" s="645"/>
      <c r="J153" s="646">
        <f>H153/DAY(B2)</f>
        <v>7.44840829079816E-2</v>
      </c>
      <c r="N153" s="818"/>
      <c r="O153" s="825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99" t="s">
        <v>274</v>
      </c>
      <c r="B160" s="900"/>
      <c r="C160" s="900"/>
      <c r="D160" s="697" t="s">
        <v>198</v>
      </c>
      <c r="E160" s="598">
        <f>'14'!F160</f>
        <v>27077.25</v>
      </c>
      <c r="F160" s="908">
        <v>27154.197</v>
      </c>
      <c r="G160" s="549">
        <f t="shared" ref="G160:G163" si="16">F160-E160</f>
        <v>76.947000000000116</v>
      </c>
      <c r="N160" s="818"/>
    </row>
    <row r="161" spans="1:14" ht="21.75" customHeight="1">
      <c r="A161" s="899" t="s">
        <v>275</v>
      </c>
      <c r="B161" s="900"/>
      <c r="C161" s="900"/>
      <c r="D161" s="697" t="s">
        <v>198</v>
      </c>
      <c r="E161" s="598">
        <f>'14'!F161</f>
        <v>34832.519999999997</v>
      </c>
      <c r="F161" s="908">
        <v>35306.06</v>
      </c>
      <c r="G161" s="549">
        <f t="shared" si="16"/>
        <v>473.54000000000087</v>
      </c>
      <c r="N161" s="818"/>
    </row>
    <row r="162" spans="1:14" ht="21.75" customHeight="1">
      <c r="A162" s="899" t="s">
        <v>276</v>
      </c>
      <c r="B162" s="900"/>
      <c r="C162" s="900"/>
      <c r="D162" s="697" t="s">
        <v>198</v>
      </c>
      <c r="E162" s="598">
        <f>'14'!F162</f>
        <v>9490.41</v>
      </c>
      <c r="F162" s="908">
        <v>9697.1299999999992</v>
      </c>
      <c r="G162" s="549">
        <f t="shared" si="16"/>
        <v>206.71999999999935</v>
      </c>
      <c r="N162" s="818"/>
    </row>
    <row r="163" spans="1:14" ht="21.75" customHeight="1">
      <c r="A163" s="899" t="s">
        <v>277</v>
      </c>
      <c r="B163" s="900"/>
      <c r="C163" s="900"/>
      <c r="D163" s="697" t="s">
        <v>198</v>
      </c>
      <c r="E163" s="598">
        <f>'14'!F163</f>
        <v>4654.3100000000004</v>
      </c>
      <c r="F163" s="908">
        <v>4678.25</v>
      </c>
      <c r="G163" s="549">
        <f t="shared" si="16"/>
        <v>23.9399999999996</v>
      </c>
      <c r="N163" s="818"/>
    </row>
    <row r="164" spans="1:14" ht="21.75" customHeight="1">
      <c r="A164" s="901" t="s">
        <v>106</v>
      </c>
      <c r="B164" s="902"/>
      <c r="C164" s="902"/>
      <c r="D164" s="69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  <c r="N164" s="818"/>
    </row>
    <row r="165" spans="1:14" ht="21.75" customHeight="1">
      <c r="A165" s="901" t="s">
        <v>199</v>
      </c>
      <c r="B165" s="902"/>
      <c r="C165" s="902"/>
      <c r="D165" s="697" t="s">
        <v>198</v>
      </c>
      <c r="E165" s="590">
        <f t="shared" ref="E165:E171" si="18">E63</f>
        <v>1167.5</v>
      </c>
      <c r="F165" s="590">
        <f t="shared" ref="F165:F171" si="19">F63</f>
        <v>1171.8499999999999</v>
      </c>
      <c r="G165" s="549">
        <f t="shared" si="17"/>
        <v>4.3499999999999091</v>
      </c>
      <c r="N165" s="818"/>
    </row>
    <row r="166" spans="1:14" ht="21.75" customHeight="1">
      <c r="A166" s="1434" t="s">
        <v>107</v>
      </c>
      <c r="B166" s="1434"/>
      <c r="C166" s="1434"/>
      <c r="D166" s="600" t="s">
        <v>198</v>
      </c>
      <c r="E166" s="590">
        <f t="shared" si="18"/>
        <v>103928.24</v>
      </c>
      <c r="F166" s="590">
        <f t="shared" si="19"/>
        <v>104412.06</v>
      </c>
      <c r="G166" s="549">
        <f t="shared" si="17"/>
        <v>483.81999999999243</v>
      </c>
      <c r="N166" s="818"/>
    </row>
    <row r="167" spans="1:14" ht="21.75" customHeight="1">
      <c r="A167" s="1434" t="s">
        <v>108</v>
      </c>
      <c r="B167" s="1434"/>
      <c r="C167" s="1434"/>
      <c r="D167" s="600" t="s">
        <v>198</v>
      </c>
      <c r="E167" s="590">
        <f t="shared" si="18"/>
        <v>114690.87</v>
      </c>
      <c r="F167" s="590">
        <f t="shared" si="19"/>
        <v>115115.39</v>
      </c>
      <c r="G167" s="549">
        <f t="shared" si="17"/>
        <v>424.52000000000407</v>
      </c>
      <c r="N167" s="818"/>
    </row>
    <row r="168" spans="1:14" ht="21.75" customHeight="1">
      <c r="A168" s="1434" t="s">
        <v>109</v>
      </c>
      <c r="B168" s="1434"/>
      <c r="C168" s="1434"/>
      <c r="D168" s="600" t="s">
        <v>198</v>
      </c>
      <c r="E168" s="590">
        <f t="shared" si="18"/>
        <v>7617.09</v>
      </c>
      <c r="F168" s="590">
        <f t="shared" si="19"/>
        <v>7976.21</v>
      </c>
      <c r="G168" s="549">
        <f t="shared" si="17"/>
        <v>359.11999999999989</v>
      </c>
      <c r="N168" s="818"/>
    </row>
    <row r="169" spans="1:14" ht="23.25" customHeight="1">
      <c r="A169" s="1434" t="s">
        <v>110</v>
      </c>
      <c r="B169" s="1434"/>
      <c r="C169" s="1434"/>
      <c r="D169" s="600" t="s">
        <v>198</v>
      </c>
      <c r="E169" s="590">
        <f t="shared" si="18"/>
        <v>177299.03</v>
      </c>
      <c r="F169" s="590">
        <f t="shared" si="19"/>
        <v>177972.81</v>
      </c>
      <c r="G169" s="549">
        <f t="shared" si="17"/>
        <v>673.77999999999884</v>
      </c>
      <c r="N169" s="818"/>
    </row>
    <row r="170" spans="1:14" ht="24" customHeight="1">
      <c r="A170" s="1434" t="s">
        <v>111</v>
      </c>
      <c r="B170" s="1434"/>
      <c r="C170" s="1434"/>
      <c r="D170" s="600" t="s">
        <v>198</v>
      </c>
      <c r="E170" s="590">
        <f t="shared" si="18"/>
        <v>57814.77</v>
      </c>
      <c r="F170" s="590">
        <f t="shared" si="19"/>
        <v>58159.290999999997</v>
      </c>
      <c r="G170" s="549">
        <f t="shared" si="17"/>
        <v>344.52100000000064</v>
      </c>
      <c r="N170" s="818"/>
    </row>
    <row r="171" spans="1:14" ht="27.75">
      <c r="A171" s="1434" t="s">
        <v>112</v>
      </c>
      <c r="B171" s="1434"/>
      <c r="C171" s="1434"/>
      <c r="D171" s="600" t="s">
        <v>198</v>
      </c>
      <c r="E171" s="590">
        <f t="shared" si="18"/>
        <v>50643.591</v>
      </c>
      <c r="F171" s="590">
        <f t="shared" si="19"/>
        <v>50930.39</v>
      </c>
      <c r="G171" s="549">
        <f t="shared" si="17"/>
        <v>286.79899999999907</v>
      </c>
      <c r="N171" s="818"/>
    </row>
    <row r="172" spans="1:14">
      <c r="A172" s="903"/>
      <c r="B172" s="904"/>
      <c r="C172" s="904"/>
      <c r="D172" s="905"/>
      <c r="E172" s="905"/>
      <c r="F172" s="906"/>
      <c r="G172" s="907">
        <f>SUM(G160:G171)</f>
        <v>3358.0569999999948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27" customHeight="1">
      <c r="N177" s="818"/>
    </row>
    <row r="178" spans="14:14" ht="27" customHeight="1">
      <c r="N178" s="818"/>
    </row>
    <row r="179" spans="14:14" ht="27" customHeight="1">
      <c r="N179" s="818"/>
    </row>
    <row r="180" spans="14:14" ht="27" customHeight="1">
      <c r="N180" s="818"/>
    </row>
    <row r="181" spans="14:14" ht="27" customHeight="1">
      <c r="N181" s="818"/>
    </row>
    <row r="182" spans="14:14" ht="27" customHeight="1">
      <c r="N182" s="818"/>
    </row>
    <row r="183" spans="14:14" ht="27" customHeight="1">
      <c r="N183" s="818"/>
    </row>
    <row r="184" spans="14:14" ht="27" customHeight="1">
      <c r="N184" s="818"/>
    </row>
    <row r="185" spans="14:14" ht="27" customHeight="1">
      <c r="N185" s="818"/>
    </row>
    <row r="186" spans="14:14" ht="27" customHeight="1">
      <c r="N186" s="818"/>
    </row>
    <row r="187" spans="14:14" ht="27" customHeight="1">
      <c r="N187" s="818"/>
    </row>
    <row r="188" spans="14:14" ht="27" customHeight="1">
      <c r="N188" s="818"/>
    </row>
    <row r="189" spans="14:14" ht="27" customHeight="1">
      <c r="N189" s="818"/>
    </row>
    <row r="190" spans="14:14" ht="27" customHeight="1">
      <c r="N190" s="818"/>
    </row>
    <row r="191" spans="14:14" ht="27" customHeight="1">
      <c r="N191" s="818"/>
    </row>
    <row r="192" spans="14:14" ht="27" customHeight="1">
      <c r="N192" s="818"/>
    </row>
    <row r="193" spans="14:14" ht="27" customHeight="1">
      <c r="N193" s="818"/>
    </row>
    <row r="194" spans="14:14" ht="27" customHeight="1">
      <c r="N194" s="818"/>
    </row>
    <row r="195" spans="14:14" ht="27" customHeight="1">
      <c r="N195" s="818"/>
    </row>
    <row r="196" spans="14:14" ht="27" customHeight="1">
      <c r="N196" s="818"/>
    </row>
    <row r="197" spans="14:14" ht="27" customHeight="1">
      <c r="N197" s="818"/>
    </row>
    <row r="198" spans="14:14" ht="27" customHeight="1"/>
    <row r="199" spans="14:14" ht="27" customHeight="1"/>
    <row r="200" spans="14:14" ht="27" customHeight="1"/>
    <row r="201" spans="14:14" ht="27" customHeight="1"/>
    <row r="202" spans="14:14" ht="27" customHeight="1"/>
    <row r="203" spans="14:14" ht="27" customHeight="1"/>
    <row r="204" spans="14:14" ht="27" customHeight="1"/>
    <row r="205" spans="14:14" ht="27" customHeight="1"/>
    <row r="206" spans="14:14" ht="27" customHeight="1"/>
    <row r="207" spans="14:14" ht="27" customHeight="1"/>
    <row r="208" spans="14:14" ht="27" customHeight="1"/>
    <row r="209" ht="27" customHeight="1"/>
    <row r="210" ht="27" customHeight="1"/>
    <row r="211" ht="27" customHeight="1"/>
    <row r="212" ht="27" customHeight="1"/>
    <row r="213" ht="27" customHeight="1"/>
    <row r="214" ht="27" customHeight="1"/>
    <row r="215" ht="27" customHeight="1"/>
    <row r="216" ht="27" customHeight="1"/>
    <row r="217" ht="27" customHeight="1"/>
    <row r="218" ht="27" customHeight="1"/>
    <row r="219" ht="27" customHeight="1"/>
    <row r="220" ht="27" customHeight="1"/>
    <row r="221" ht="27" customHeight="1"/>
    <row r="222" ht="27" customHeight="1"/>
    <row r="223" ht="27" customHeight="1"/>
    <row r="224" ht="27" customHeight="1"/>
    <row r="225" ht="27" customHeight="1"/>
    <row r="226" ht="27" customHeight="1"/>
    <row r="227" ht="27" customHeight="1"/>
    <row r="228" ht="27" customHeight="1"/>
    <row r="229" ht="27" customHeight="1"/>
    <row r="230" ht="27" customHeight="1"/>
    <row r="231" ht="27" customHeight="1"/>
    <row r="232" ht="27" customHeight="1"/>
    <row r="233" ht="27" customHeight="1"/>
    <row r="234" ht="27" customHeight="1"/>
    <row r="235" ht="27" customHeight="1"/>
    <row r="236" ht="27" customHeight="1"/>
    <row r="237" ht="27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2:C142"/>
    <mergeCell ref="A143:C143"/>
    <mergeCell ref="A144:C144"/>
    <mergeCell ref="A145:C145"/>
    <mergeCell ref="A146:C146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76" zoomScale="55" zoomScaleNormal="90" zoomScaleSheetLayoutView="55" workbookViewId="0">
      <selection activeCell="F28" sqref="F28"/>
    </sheetView>
  </sheetViews>
  <sheetFormatPr defaultColWidth="22.33203125" defaultRowHeight="29.2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3.886718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823"/>
    <col min="16" max="16384" width="22.33203125" style="407"/>
  </cols>
  <sheetData>
    <row r="1" spans="1:16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6" s="281" customFormat="1" ht="27">
      <c r="A2" s="652" t="s">
        <v>335</v>
      </c>
      <c r="B2" s="1139">
        <v>44212</v>
      </c>
      <c r="C2" s="1326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824"/>
    </row>
    <row r="3" spans="1:16" s="281" customFormat="1" ht="27">
      <c r="A3" s="647"/>
      <c r="B3" s="691"/>
      <c r="C3" s="1326" t="s">
        <v>131</v>
      </c>
      <c r="D3" s="689">
        <v>29</v>
      </c>
      <c r="E3" s="1408" t="s">
        <v>132</v>
      </c>
      <c r="F3" s="1409"/>
      <c r="G3" s="538"/>
      <c r="H3" s="539"/>
      <c r="I3" s="539"/>
      <c r="J3" s="692"/>
      <c r="K3" s="402"/>
      <c r="L3" s="293"/>
      <c r="N3" s="817"/>
      <c r="O3" s="824"/>
    </row>
    <row r="4" spans="1:16" s="281" customFormat="1" ht="27">
      <c r="A4" s="653"/>
      <c r="B4" s="693"/>
      <c r="C4" s="1326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817"/>
      <c r="O4" s="824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2" t="s">
        <v>141</v>
      </c>
      <c r="B6" s="1403"/>
      <c r="C6" s="1404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'15'!F7</f>
        <v>3576950</v>
      </c>
      <c r="F7" s="531">
        <v>3596925</v>
      </c>
      <c r="G7" s="759">
        <f>F7-E7</f>
        <v>19975</v>
      </c>
      <c r="H7" s="760">
        <f>G7+'15'!H7</f>
        <v>310485</v>
      </c>
      <c r="I7" s="761">
        <f>'1'!I7</f>
        <v>12000</v>
      </c>
      <c r="J7" s="762">
        <f>H7/DAY(B2)</f>
        <v>19405.3125</v>
      </c>
      <c r="K7" s="626">
        <f>'1'!E7-'16'!F7</f>
        <v>-310485</v>
      </c>
      <c r="L7" s="408"/>
      <c r="N7" s="829"/>
      <c r="O7" s="825"/>
      <c r="P7" s="828"/>
    </row>
    <row r="8" spans="1:16" ht="27.75" thickBot="1">
      <c r="A8" s="763" t="s">
        <v>144</v>
      </c>
      <c r="B8" s="764"/>
      <c r="C8" s="765"/>
      <c r="D8" s="766" t="s">
        <v>25</v>
      </c>
      <c r="E8" s="710">
        <f>'15'!F8</f>
        <v>3599308</v>
      </c>
      <c r="F8" s="551">
        <v>3619356</v>
      </c>
      <c r="G8" s="770">
        <f>F8-E8</f>
        <v>20048</v>
      </c>
      <c r="H8" s="760">
        <f>G8+'15'!H8</f>
        <v>312984</v>
      </c>
      <c r="I8" s="767">
        <f>'1'!I8</f>
        <v>12000</v>
      </c>
      <c r="J8" s="762">
        <f>H8/DAY(B2)</f>
        <v>19561.5</v>
      </c>
      <c r="K8" s="626">
        <f>'1'!E8-'16'!F8</f>
        <v>-312984</v>
      </c>
      <c r="L8" s="464"/>
      <c r="M8" s="479"/>
      <c r="N8" s="818"/>
      <c r="O8" s="825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'15'!F9</f>
        <v>2445876.9</v>
      </c>
      <c r="F9" s="554">
        <v>2448729.2999999998</v>
      </c>
      <c r="G9" s="783">
        <f t="shared" ref="G9:G12" si="0">F9-E9</f>
        <v>2852.3999999999069</v>
      </c>
      <c r="H9" s="760">
        <f>G9+'15'!H9</f>
        <v>43514.299999999814</v>
      </c>
      <c r="I9" s="771">
        <f>I7-J7</f>
        <v>-7405.3125</v>
      </c>
      <c r="J9" s="762">
        <f>H9/DAY(B2)</f>
        <v>2719.6437499999884</v>
      </c>
      <c r="K9" s="467">
        <f>'1'!E9-'16'!F9</f>
        <v>-43514.299999999814</v>
      </c>
      <c r="L9" s="408"/>
      <c r="N9" s="818"/>
      <c r="O9" s="825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'15'!F10</f>
        <v>989623.7</v>
      </c>
      <c r="F10" s="554">
        <v>1006037</v>
      </c>
      <c r="G10" s="770">
        <f t="shared" si="0"/>
        <v>16413.300000000047</v>
      </c>
      <c r="H10" s="760">
        <f>G10+'15'!H10</f>
        <v>255515.08999999997</v>
      </c>
      <c r="I10" s="772"/>
      <c r="J10" s="762">
        <f>H10/DAY(B2)</f>
        <v>15969.693124999998</v>
      </c>
      <c r="K10" s="467"/>
      <c r="L10" s="408"/>
      <c r="N10" s="818"/>
      <c r="O10" s="825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'15'!F11</f>
        <v>35390</v>
      </c>
      <c r="F11" s="531">
        <v>35390</v>
      </c>
      <c r="G11" s="770">
        <f t="shared" si="0"/>
        <v>0</v>
      </c>
      <c r="H11" s="760">
        <f>G11+'15'!H11</f>
        <v>0</v>
      </c>
      <c r="I11" s="772"/>
      <c r="J11" s="762">
        <f>H11/DAY(B2)</f>
        <v>0</v>
      </c>
      <c r="K11" s="467"/>
      <c r="L11" s="408"/>
      <c r="N11" s="818"/>
      <c r="O11" s="825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'15'!F12</f>
        <v>37630</v>
      </c>
      <c r="F12" s="554">
        <v>37630</v>
      </c>
      <c r="G12" s="770">
        <f t="shared" si="0"/>
        <v>0</v>
      </c>
      <c r="H12" s="760">
        <f>G12+'15'!H12</f>
        <v>0</v>
      </c>
      <c r="I12" s="772"/>
      <c r="J12" s="762">
        <f>H12/DAY(B2)</f>
        <v>0</v>
      </c>
      <c r="K12" s="467"/>
      <c r="L12" s="408"/>
      <c r="N12" s="818"/>
      <c r="O12" s="825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19265.699999999953</v>
      </c>
      <c r="H13" s="760">
        <f>G13+'15'!H13</f>
        <v>279508.38999999978</v>
      </c>
      <c r="I13" s="776">
        <f>G7-G13</f>
        <v>709.30000000004657</v>
      </c>
      <c r="J13" s="762">
        <f>H13/DAY(B2)</f>
        <v>17469.274374999986</v>
      </c>
      <c r="K13" s="467"/>
      <c r="L13" s="408"/>
      <c r="N13" s="818"/>
      <c r="O13" s="825"/>
      <c r="P13" s="413"/>
    </row>
    <row r="14" spans="1:16">
      <c r="A14" s="1405" t="s">
        <v>150</v>
      </c>
      <c r="B14" s="1406"/>
      <c r="C14" s="1407"/>
      <c r="D14" s="548"/>
      <c r="E14" s="548"/>
      <c r="F14" s="548"/>
      <c r="G14" s="559"/>
      <c r="H14" s="548"/>
      <c r="I14" s="548"/>
      <c r="J14" s="1331"/>
      <c r="K14" s="468"/>
      <c r="L14" s="408"/>
      <c r="N14" s="818"/>
      <c r="O14" s="825"/>
      <c r="P14" s="413"/>
    </row>
    <row r="15" spans="1:16">
      <c r="A15" s="897" t="s">
        <v>151</v>
      </c>
      <c r="B15" s="898"/>
      <c r="C15" s="898"/>
      <c r="D15" s="600" t="s">
        <v>152</v>
      </c>
      <c r="E15" s="561">
        <f>'15'!F15</f>
        <v>1580683.95</v>
      </c>
      <c r="F15" s="561">
        <v>1581754.3289999999</v>
      </c>
      <c r="G15" s="745">
        <f>(F15-E15)</f>
        <v>1070.3789999999572</v>
      </c>
      <c r="H15" s="562">
        <f>G15+'15'!H15</f>
        <v>12840.228999999817</v>
      </c>
      <c r="I15" s="550">
        <f>'1'!I15</f>
        <v>800</v>
      </c>
      <c r="J15" s="630">
        <f>H15/DAY(B2)</f>
        <v>802.51431249998859</v>
      </c>
      <c r="K15" s="467"/>
      <c r="L15" s="408"/>
      <c r="N15" s="818"/>
      <c r="O15" s="825"/>
      <c r="P15" s="413"/>
    </row>
    <row r="16" spans="1:16">
      <c r="A16" s="664"/>
      <c r="B16" s="665"/>
      <c r="C16" s="665"/>
      <c r="D16" s="600"/>
      <c r="E16" s="561"/>
      <c r="F16" s="561" t="s">
        <v>286</v>
      </c>
      <c r="G16" s="750"/>
      <c r="H16" s="562"/>
      <c r="I16" s="558">
        <f>I15-J15</f>
        <v>-2.5143124999885913</v>
      </c>
      <c r="J16" s="630"/>
      <c r="K16" s="467"/>
      <c r="L16" s="408"/>
      <c r="N16" s="818"/>
      <c r="O16" s="825"/>
      <c r="P16" s="413"/>
    </row>
    <row r="17" spans="1:16">
      <c r="A17" s="1405" t="s">
        <v>153</v>
      </c>
      <c r="B17" s="1406"/>
      <c r="C17" s="1407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5"/>
      <c r="P17" s="413"/>
    </row>
    <row r="18" spans="1:16" ht="27.75">
      <c r="A18" s="1431" t="s">
        <v>154</v>
      </c>
      <c r="B18" s="1432"/>
      <c r="C18" s="1433"/>
      <c r="D18" s="715" t="s">
        <v>155</v>
      </c>
      <c r="E18" s="712">
        <f>'15'!F18</f>
        <v>12</v>
      </c>
      <c r="F18" s="554">
        <v>20</v>
      </c>
      <c r="G18" s="775">
        <f>F18*10</f>
        <v>200</v>
      </c>
      <c r="H18" s="760">
        <f>G18+'15'!H18</f>
        <v>1790</v>
      </c>
      <c r="I18" s="761">
        <f>'1'!I18</f>
        <v>65</v>
      </c>
      <c r="J18" s="762">
        <f>H18/DAY(B2)</f>
        <v>111.875</v>
      </c>
      <c r="K18" s="467"/>
      <c r="L18" s="408"/>
      <c r="N18" s="818"/>
      <c r="O18" s="825"/>
      <c r="P18" s="413"/>
    </row>
    <row r="19" spans="1:16" ht="27.75">
      <c r="A19" s="1431" t="s">
        <v>71</v>
      </c>
      <c r="B19" s="1432"/>
      <c r="C19" s="1433"/>
      <c r="D19" s="715" t="s">
        <v>155</v>
      </c>
      <c r="E19" s="712">
        <f>'15'!F19</f>
        <v>132237</v>
      </c>
      <c r="F19" s="554">
        <v>132291</v>
      </c>
      <c r="G19" s="770">
        <f t="shared" ref="G19" si="1">F19-E19</f>
        <v>54</v>
      </c>
      <c r="H19" s="760">
        <f>G19+'15'!H19</f>
        <v>798</v>
      </c>
      <c r="I19" s="777"/>
      <c r="J19" s="762">
        <f>H19/DAY(B2)</f>
        <v>49.875</v>
      </c>
      <c r="K19" s="467"/>
      <c r="L19" s="408"/>
      <c r="N19" s="818"/>
      <c r="O19" s="825"/>
      <c r="P19" s="413"/>
    </row>
    <row r="20" spans="1:16">
      <c r="A20" s="773" t="s">
        <v>156</v>
      </c>
      <c r="B20" s="774"/>
      <c r="C20" s="774"/>
      <c r="D20" s="715"/>
      <c r="E20" s="715"/>
      <c r="F20" s="809"/>
      <c r="G20" s="778">
        <f>G18+G19</f>
        <v>254</v>
      </c>
      <c r="H20" s="760">
        <f>G20+'15'!H20</f>
        <v>2588</v>
      </c>
      <c r="I20" s="779">
        <f>I18-J20</f>
        <v>-96.75</v>
      </c>
      <c r="J20" s="762">
        <f>H20/DAY(B2)</f>
        <v>161.75</v>
      </c>
      <c r="K20" s="467"/>
      <c r="L20" s="408"/>
      <c r="N20" s="818"/>
      <c r="O20" s="825"/>
      <c r="P20" s="413"/>
    </row>
    <row r="21" spans="1:16">
      <c r="A21" s="1405" t="s">
        <v>157</v>
      </c>
      <c r="B21" s="1406"/>
      <c r="C21" s="1407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5"/>
      <c r="P21" s="413"/>
    </row>
    <row r="22" spans="1:16">
      <c r="A22" s="1319" t="s">
        <v>158</v>
      </c>
      <c r="B22" s="666"/>
      <c r="C22" s="666"/>
      <c r="D22" s="599" t="s">
        <v>159</v>
      </c>
      <c r="E22" s="712">
        <f>'15'!F22</f>
        <v>2250</v>
      </c>
      <c r="F22" s="554">
        <v>2250</v>
      </c>
      <c r="G22" s="557">
        <f t="shared" ref="G22" si="2">(F22-E22)</f>
        <v>0</v>
      </c>
      <c r="H22" s="536">
        <f>G22+'15'!H22</f>
        <v>0</v>
      </c>
      <c r="I22" s="556"/>
      <c r="J22" s="629">
        <f>H22/DAY(B2)</f>
        <v>0</v>
      </c>
      <c r="K22" s="467"/>
      <c r="L22" s="408"/>
      <c r="N22" s="818"/>
      <c r="O22" s="825"/>
      <c r="P22" s="413"/>
    </row>
    <row r="23" spans="1:16">
      <c r="A23" s="1319" t="s">
        <v>160</v>
      </c>
      <c r="B23" s="666"/>
      <c r="C23" s="666"/>
      <c r="D23" s="599" t="s">
        <v>159</v>
      </c>
      <c r="E23" s="712">
        <f>'15'!F23</f>
        <v>2000</v>
      </c>
      <c r="F23" s="554">
        <v>2000</v>
      </c>
      <c r="G23" s="557">
        <v>0</v>
      </c>
      <c r="H23" s="536">
        <f>G23+'15'!H23</f>
        <v>0</v>
      </c>
      <c r="I23" s="556"/>
      <c r="J23" s="629">
        <f>H23/DAY(B2)</f>
        <v>0</v>
      </c>
      <c r="K23" s="467"/>
      <c r="L23" s="408"/>
      <c r="N23" s="818"/>
      <c r="O23" s="825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'15'!F24</f>
        <v>4250</v>
      </c>
      <c r="F24" s="561">
        <v>4250</v>
      </c>
      <c r="G24" s="557">
        <v>0</v>
      </c>
      <c r="H24" s="536">
        <f>G24+'15'!H24</f>
        <v>0</v>
      </c>
      <c r="I24" s="556"/>
      <c r="J24" s="629">
        <f>H24/DAY(B2)</f>
        <v>0</v>
      </c>
      <c r="K24" s="467"/>
      <c r="L24" s="408"/>
      <c r="N24" s="818"/>
      <c r="O24" s="825"/>
      <c r="P24" s="413"/>
    </row>
    <row r="25" spans="1:16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5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5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20048</v>
      </c>
      <c r="F27" s="577">
        <v>9</v>
      </c>
      <c r="G27" s="578">
        <f>E27*F27</f>
        <v>180432</v>
      </c>
      <c r="H27" s="536">
        <f>G27+'15'!H27</f>
        <v>2834931</v>
      </c>
      <c r="I27" s="579"/>
      <c r="J27" s="629">
        <f>H27/DAY(B2)</f>
        <v>177183.1875</v>
      </c>
      <c r="K27" s="404"/>
      <c r="L27" s="484"/>
      <c r="N27" s="818"/>
      <c r="O27" s="825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1070.3789999999572</v>
      </c>
      <c r="F28" s="577">
        <v>41</v>
      </c>
      <c r="G28" s="578">
        <f>E28*F28</f>
        <v>43885.538999998244</v>
      </c>
      <c r="H28" s="536">
        <f>G28+'15'!H28</f>
        <v>525208.02899999253</v>
      </c>
      <c r="I28" s="581"/>
      <c r="J28" s="629">
        <f>H28/DAY(B2)</f>
        <v>32825.501812499533</v>
      </c>
      <c r="K28" s="404"/>
      <c r="L28" s="484"/>
      <c r="N28" s="818"/>
      <c r="O28" s="825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G29+'15'!H29</f>
        <v>0</v>
      </c>
      <c r="I29" s="581"/>
      <c r="J29" s="629">
        <f>H29/DAY(B2)</f>
        <v>0</v>
      </c>
      <c r="K29" s="404"/>
      <c r="L29" s="484"/>
      <c r="N29" s="818"/>
      <c r="O29" s="825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54</v>
      </c>
      <c r="F30" s="577">
        <v>134</v>
      </c>
      <c r="G30" s="578">
        <f>E30*F30</f>
        <v>7236</v>
      </c>
      <c r="H30" s="536">
        <f>G30+'15'!H30</f>
        <v>106932</v>
      </c>
      <c r="I30" s="581"/>
      <c r="J30" s="629">
        <f>H30/DAY(B2)</f>
        <v>6683.25</v>
      </c>
      <c r="K30" s="404"/>
      <c r="L30" s="484"/>
      <c r="N30" s="818"/>
      <c r="O30" s="825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200</v>
      </c>
      <c r="F31" s="577">
        <v>80</v>
      </c>
      <c r="G31" s="578">
        <f>E31*F31</f>
        <v>16000</v>
      </c>
      <c r="H31" s="536">
        <f>G31+'15'!H31</f>
        <v>143200</v>
      </c>
      <c r="I31" s="581"/>
      <c r="J31" s="629"/>
      <c r="K31" s="404"/>
      <c r="L31" s="484"/>
      <c r="N31" s="818"/>
      <c r="O31" s="825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247553.53899999824</v>
      </c>
      <c r="H32" s="536">
        <f>G32+'15'!H32</f>
        <v>3610271.0289999926</v>
      </c>
      <c r="I32" s="585"/>
      <c r="J32" s="629">
        <f>H32/DAY(B2)</f>
        <v>225641.93931249954</v>
      </c>
      <c r="K32" s="404"/>
      <c r="L32" s="484"/>
      <c r="N32" s="818"/>
      <c r="O32" s="825"/>
      <c r="P32" s="413"/>
    </row>
    <row r="33" spans="1:16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818"/>
      <c r="O33" s="825"/>
      <c r="P33" s="413"/>
    </row>
    <row r="34" spans="1:16">
      <c r="A34" s="675" t="s">
        <v>174</v>
      </c>
      <c r="B34" s="1321"/>
      <c r="C34" s="1321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5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'15'!F35</f>
        <v>629027.67000000004</v>
      </c>
      <c r="F35" s="586">
        <v>629027.67000000004</v>
      </c>
      <c r="G35" s="549">
        <f t="shared" ref="G35:G46" si="3">F35-E35</f>
        <v>0</v>
      </c>
      <c r="H35" s="536">
        <f>G35+'15'!H35</f>
        <v>0.67000000004190952</v>
      </c>
      <c r="I35" s="531"/>
      <c r="J35" s="629">
        <f>H35/DAY(B2)</f>
        <v>4.1875000002619345E-2</v>
      </c>
      <c r="K35" s="467"/>
      <c r="L35" s="408"/>
      <c r="N35" s="818"/>
      <c r="O35" s="826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'15'!F36</f>
        <v>265511.78999999998</v>
      </c>
      <c r="F36" s="586">
        <v>266160.61</v>
      </c>
      <c r="G36" s="549">
        <f t="shared" si="3"/>
        <v>648.82000000000698</v>
      </c>
      <c r="H36" s="536">
        <f>G36+'15'!H36</f>
        <v>11069.539999999979</v>
      </c>
      <c r="I36" s="531"/>
      <c r="J36" s="629">
        <f>H36/DAY(B2)</f>
        <v>691.84624999999869</v>
      </c>
      <c r="K36" s="467"/>
      <c r="L36" s="408"/>
      <c r="N36" s="819"/>
      <c r="O36" s="826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'15'!F37</f>
        <v>415066</v>
      </c>
      <c r="F37" s="586">
        <v>415066</v>
      </c>
      <c r="G37" s="549">
        <f t="shared" si="3"/>
        <v>0</v>
      </c>
      <c r="H37" s="536">
        <f>G37+'15'!H37</f>
        <v>0</v>
      </c>
      <c r="I37" s="531"/>
      <c r="J37" s="629">
        <f>H37/DAY(B2)</f>
        <v>0</v>
      </c>
      <c r="K37" s="467"/>
      <c r="L37" s="408"/>
      <c r="N37" s="819"/>
      <c r="O37" s="826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'15'!F38</f>
        <v>150714</v>
      </c>
      <c r="F38" s="545">
        <v>150714</v>
      </c>
      <c r="G38" s="549">
        <f t="shared" si="3"/>
        <v>0</v>
      </c>
      <c r="H38" s="536">
        <f>G38+'15'!H38</f>
        <v>0</v>
      </c>
      <c r="I38" s="531"/>
      <c r="J38" s="629">
        <f>H38/DAY(B2)</f>
        <v>0</v>
      </c>
      <c r="K38" s="467"/>
      <c r="L38" s="408"/>
      <c r="N38" s="818"/>
      <c r="O38" s="825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'15'!F39</f>
        <v>912480</v>
      </c>
      <c r="F39" s="586">
        <v>912480</v>
      </c>
      <c r="G39" s="549">
        <f t="shared" si="3"/>
        <v>0</v>
      </c>
      <c r="H39" s="536">
        <f>G39+'15'!H39</f>
        <v>0</v>
      </c>
      <c r="I39" s="531"/>
      <c r="J39" s="629">
        <f>H39/DAY(B2)</f>
        <v>0</v>
      </c>
      <c r="K39" s="467"/>
      <c r="L39" s="408"/>
      <c r="N39" s="818"/>
      <c r="O39" s="826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'15'!F40</f>
        <v>0.17</v>
      </c>
      <c r="F40" s="586">
        <v>0.17</v>
      </c>
      <c r="G40" s="549">
        <f t="shared" si="3"/>
        <v>0</v>
      </c>
      <c r="H40" s="536">
        <f>G40+'15'!H40</f>
        <v>0</v>
      </c>
      <c r="I40" s="531"/>
      <c r="J40" s="629">
        <f>H40/DAY(B2)</f>
        <v>0</v>
      </c>
      <c r="K40" s="468"/>
      <c r="L40" s="408"/>
      <c r="N40" s="818"/>
      <c r="O40" s="825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'15'!F41</f>
        <v>300127.95</v>
      </c>
      <c r="F41" s="586">
        <v>300127.95</v>
      </c>
      <c r="G41" s="549">
        <f t="shared" si="3"/>
        <v>0</v>
      </c>
      <c r="H41" s="536">
        <f>G41+'15'!H41</f>
        <v>0</v>
      </c>
      <c r="I41" s="531"/>
      <c r="J41" s="629">
        <f>H41/DAY(B2)</f>
        <v>0</v>
      </c>
      <c r="K41" s="467"/>
      <c r="L41" s="408"/>
      <c r="N41" s="818"/>
      <c r="O41" s="827"/>
      <c r="P41" s="821"/>
    </row>
    <row r="42" spans="1:16">
      <c r="A42" s="655" t="s">
        <v>182</v>
      </c>
      <c r="B42" s="656"/>
      <c r="C42" s="656"/>
      <c r="D42" s="599" t="s">
        <v>143</v>
      </c>
      <c r="E42" s="586">
        <f>'15'!F42</f>
        <v>58926.099000000002</v>
      </c>
      <c r="F42" s="586">
        <v>58926</v>
      </c>
      <c r="G42" s="549">
        <f>F42-E42</f>
        <v>-9.900000000197906E-2</v>
      </c>
      <c r="H42" s="536">
        <f>G42+'15'!H42</f>
        <v>-8.999999999650754E-2</v>
      </c>
      <c r="I42" s="531"/>
      <c r="J42" s="629">
        <f>H42/DAY(B2)</f>
        <v>-5.6249999997817213E-3</v>
      </c>
      <c r="K42" s="467"/>
      <c r="L42" s="408"/>
      <c r="N42" s="818"/>
      <c r="O42" s="825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'15'!F43</f>
        <v>730194</v>
      </c>
      <c r="F43" s="586">
        <v>732505.51</v>
      </c>
      <c r="G43" s="549">
        <f t="shared" si="3"/>
        <v>2311.5100000000093</v>
      </c>
      <c r="H43" s="536">
        <f>G43+'15'!H43</f>
        <v>34252.079999999958</v>
      </c>
      <c r="I43" s="531"/>
      <c r="J43" s="629">
        <f>H43/DAY(B2)</f>
        <v>2140.7549999999974</v>
      </c>
      <c r="K43" s="467"/>
      <c r="L43" s="408"/>
      <c r="N43" s="818"/>
      <c r="O43" s="826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'15'!F44</f>
        <v>0</v>
      </c>
      <c r="F44" s="586">
        <v>0</v>
      </c>
      <c r="G44" s="549">
        <f t="shared" si="3"/>
        <v>0</v>
      </c>
      <c r="H44" s="536">
        <f>G44+'15'!H44</f>
        <v>0</v>
      </c>
      <c r="I44" s="531"/>
      <c r="J44" s="629">
        <f>H44/DAY(B2)</f>
        <v>0</v>
      </c>
      <c r="K44" s="467"/>
      <c r="L44" s="408"/>
      <c r="N44" s="818"/>
      <c r="O44" s="825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'15'!F45</f>
        <v>614</v>
      </c>
      <c r="F45" s="586">
        <v>614</v>
      </c>
      <c r="G45" s="549">
        <f t="shared" si="3"/>
        <v>0</v>
      </c>
      <c r="H45" s="536">
        <f>G45+'15'!H45</f>
        <v>-0.48000000000001819</v>
      </c>
      <c r="I45" s="531"/>
      <c r="J45" s="629">
        <f>H45/DAY(B2)</f>
        <v>-3.0000000000001137E-2</v>
      </c>
      <c r="K45" s="467"/>
      <c r="L45" s="408"/>
      <c r="N45" s="822"/>
      <c r="O45" s="825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'15'!F46</f>
        <v>187.49</v>
      </c>
      <c r="F46" s="586">
        <v>187.49</v>
      </c>
      <c r="G46" s="549">
        <f t="shared" si="3"/>
        <v>0</v>
      </c>
      <c r="H46" s="536">
        <f>G46+'15'!H46</f>
        <v>0</v>
      </c>
      <c r="I46" s="531"/>
      <c r="J46" s="629">
        <f>H46/DAY(B2)</f>
        <v>0</v>
      </c>
      <c r="K46" s="467"/>
      <c r="L46" s="408"/>
      <c r="N46" s="818"/>
      <c r="O46" s="825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2960.2310000000143</v>
      </c>
      <c r="H47" s="536">
        <f>G47+'15'!H47</f>
        <v>45321.719999999979</v>
      </c>
      <c r="I47" s="531"/>
      <c r="J47" s="629">
        <f>H47/DAY(B2)</f>
        <v>2832.6074999999987</v>
      </c>
      <c r="K47" s="467"/>
      <c r="L47" s="408"/>
      <c r="N47" s="818"/>
      <c r="O47" s="825"/>
      <c r="P47" s="413"/>
    </row>
    <row r="48" spans="1:16">
      <c r="A48" s="675" t="s">
        <v>188</v>
      </c>
      <c r="B48" s="1321"/>
      <c r="C48" s="1321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5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'15'!F49</f>
        <v>194587.65</v>
      </c>
      <c r="F49" s="586">
        <v>197995.57</v>
      </c>
      <c r="G49" s="549">
        <f t="shared" ref="G49:G58" si="4">F49-E49</f>
        <v>3407.9200000000128</v>
      </c>
      <c r="H49" s="536">
        <f>G49+'15'!H49</f>
        <v>45590.570000000007</v>
      </c>
      <c r="I49" s="531"/>
      <c r="J49" s="629">
        <f>H49/DAY(B2)</f>
        <v>2849.4106250000004</v>
      </c>
      <c r="K49" s="467">
        <f>E49+244</f>
        <v>194831.65</v>
      </c>
      <c r="L49" s="408"/>
      <c r="N49" s="818"/>
      <c r="O49" s="825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'15'!F50</f>
        <v>350670.39</v>
      </c>
      <c r="F50" s="586">
        <v>352034.71</v>
      </c>
      <c r="G50" s="549">
        <f t="shared" si="4"/>
        <v>1364.320000000007</v>
      </c>
      <c r="H50" s="536">
        <f>G50+'15'!H50</f>
        <v>15817.280000000028</v>
      </c>
      <c r="I50" s="531"/>
      <c r="J50" s="629">
        <f>H50/DAY(B2)</f>
        <v>988.58000000000175</v>
      </c>
      <c r="K50" s="467"/>
      <c r="L50" s="408"/>
      <c r="N50" s="818"/>
      <c r="O50" s="826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'15'!F51</f>
        <v>86314.39</v>
      </c>
      <c r="F51" s="586">
        <v>87803.31</v>
      </c>
      <c r="G51" s="549">
        <f t="shared" si="4"/>
        <v>1488.9199999999983</v>
      </c>
      <c r="H51" s="536">
        <f>G51+'15'!H51</f>
        <v>21645.199999999997</v>
      </c>
      <c r="I51" s="531"/>
      <c r="J51" s="629">
        <f>H51/DAY(B2)</f>
        <v>1352.8249999999998</v>
      </c>
      <c r="K51" s="467"/>
      <c r="L51" s="408"/>
      <c r="N51" s="818"/>
      <c r="O51" s="825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'15'!F52</f>
        <v>463364.75</v>
      </c>
      <c r="F52" s="586">
        <v>465526.03</v>
      </c>
      <c r="G52" s="549">
        <f t="shared" si="4"/>
        <v>2161.2800000000279</v>
      </c>
      <c r="H52" s="536">
        <f>G52+'15'!H52</f>
        <v>30250.400000000023</v>
      </c>
      <c r="I52" s="531"/>
      <c r="J52" s="629">
        <f>H52/DAY(B2)</f>
        <v>1890.6500000000015</v>
      </c>
      <c r="K52" s="467"/>
      <c r="L52" s="408"/>
      <c r="N52" s="818"/>
      <c r="O52" s="825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'15'!F53</f>
        <v>237358.95</v>
      </c>
      <c r="F53" s="586">
        <v>241494.85</v>
      </c>
      <c r="G53" s="549">
        <f t="shared" si="4"/>
        <v>4135.8999999999942</v>
      </c>
      <c r="H53" s="536">
        <f>G53+'15'!H53</f>
        <v>60429.880000000005</v>
      </c>
      <c r="I53" s="531"/>
      <c r="J53" s="629">
        <f>H53/DAY(B2)</f>
        <v>3776.8675000000003</v>
      </c>
      <c r="K53" s="467"/>
      <c r="L53" s="408"/>
      <c r="N53" s="818"/>
      <c r="O53" s="825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'15'!F54</f>
        <v>5471.74</v>
      </c>
      <c r="F54" s="586">
        <v>5533.18</v>
      </c>
      <c r="G54" s="549">
        <f t="shared" si="4"/>
        <v>61.440000000000509</v>
      </c>
      <c r="H54" s="536">
        <f>G54+'15'!H54</f>
        <v>886.64000000000033</v>
      </c>
      <c r="I54" s="531"/>
      <c r="J54" s="629">
        <f>H54/DAY(B2)</f>
        <v>55.41500000000002</v>
      </c>
      <c r="K54" s="467"/>
      <c r="L54" s="408"/>
      <c r="N54" s="818"/>
      <c r="O54" s="825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'15'!F55</f>
        <v>20163.172999999999</v>
      </c>
      <c r="F55" s="734">
        <v>23985.78</v>
      </c>
      <c r="G55" s="733">
        <f t="shared" si="4"/>
        <v>3822.607</v>
      </c>
      <c r="H55" s="805">
        <f>G55+'15'!H55</f>
        <v>23985.510000000009</v>
      </c>
      <c r="I55" s="806"/>
      <c r="J55" s="807">
        <f>H55/DAY(B2)</f>
        <v>1499.0943750000006</v>
      </c>
      <c r="K55" s="467"/>
      <c r="L55" s="408"/>
      <c r="N55" s="818"/>
      <c r="O55" s="825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'15'!F56</f>
        <v>557724.47</v>
      </c>
      <c r="F56" s="734">
        <v>557724.47</v>
      </c>
      <c r="G56" s="549">
        <f t="shared" si="4"/>
        <v>0</v>
      </c>
      <c r="H56" s="536">
        <f>G56+'15'!H56</f>
        <v>39823.719999999972</v>
      </c>
      <c r="I56" s="531"/>
      <c r="J56" s="629">
        <f>H56/DAY(B2)</f>
        <v>2488.9824999999983</v>
      </c>
      <c r="K56" s="466"/>
      <c r="L56" s="408"/>
      <c r="N56" s="818"/>
      <c r="O56" s="827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'15'!F57</f>
        <v>0</v>
      </c>
      <c r="F57" s="586">
        <v>0</v>
      </c>
      <c r="G57" s="549">
        <f t="shared" si="4"/>
        <v>0</v>
      </c>
      <c r="H57" s="536">
        <f>G57+'15'!H57</f>
        <v>0</v>
      </c>
      <c r="I57" s="531"/>
      <c r="J57" s="629">
        <f>H57/DAY(B2)</f>
        <v>0</v>
      </c>
      <c r="K57" s="467"/>
      <c r="L57" s="408"/>
      <c r="N57" s="818"/>
      <c r="O57" s="825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'15'!F58</f>
        <v>27523.814999999999</v>
      </c>
      <c r="F58" s="734">
        <v>27748.75</v>
      </c>
      <c r="G58" s="549">
        <f t="shared" si="4"/>
        <v>224.93500000000131</v>
      </c>
      <c r="H58" s="536">
        <f>G58+'15'!H58</f>
        <v>2593.34</v>
      </c>
      <c r="I58" s="531"/>
      <c r="J58" s="629">
        <f>H58/DAY(B2)</f>
        <v>162.08375000000001</v>
      </c>
      <c r="K58" s="467"/>
      <c r="L58" s="408"/>
      <c r="N58" s="818"/>
      <c r="O58" s="825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16667.32200000004</v>
      </c>
      <c r="H59" s="536">
        <f>G59+'15'!H59</f>
        <v>241022.54000000004</v>
      </c>
      <c r="I59" s="531">
        <f>G7-G60</f>
        <v>347.44699999994555</v>
      </c>
      <c r="J59" s="629">
        <f>H59/DAY(B2)</f>
        <v>15063.908750000002</v>
      </c>
      <c r="K59" s="467"/>
      <c r="L59" s="408"/>
      <c r="N59" s="818"/>
      <c r="O59" s="825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19627.553000000054</v>
      </c>
      <c r="H60" s="536">
        <f>G60+'15'!H60</f>
        <v>303378.26000000007</v>
      </c>
      <c r="I60" s="531">
        <f>G13-G60</f>
        <v>-361.85300000010102</v>
      </c>
      <c r="J60" s="629">
        <f>H60/DAY(B2)</f>
        <v>18961.141250000004</v>
      </c>
      <c r="K60" s="467"/>
      <c r="L60" s="408"/>
      <c r="N60" s="818"/>
      <c r="O60" s="825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5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'15'!F62</f>
        <v>20419.18</v>
      </c>
      <c r="F62" s="590">
        <v>20419.18</v>
      </c>
      <c r="G62" s="549">
        <f t="shared" ref="G62:G69" si="5">F62-E62</f>
        <v>0</v>
      </c>
      <c r="H62" s="536">
        <f>G62+'15'!H62</f>
        <v>0</v>
      </c>
      <c r="I62" s="591"/>
      <c r="J62" s="629">
        <f>H62/DAY(B2)</f>
        <v>0</v>
      </c>
      <c r="K62" s="467"/>
      <c r="L62" s="408"/>
      <c r="N62" s="818"/>
      <c r="O62" s="825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'15'!F63</f>
        <v>1171.8499999999999</v>
      </c>
      <c r="F63" s="590">
        <v>1178.1600000000001</v>
      </c>
      <c r="G63" s="549">
        <f t="shared" si="5"/>
        <v>6.3100000000001728</v>
      </c>
      <c r="H63" s="536">
        <f>G63+'15'!H63</f>
        <v>70.25</v>
      </c>
      <c r="I63" s="591"/>
      <c r="J63" s="629">
        <f>H63/DAY(B2)</f>
        <v>4.390625</v>
      </c>
      <c r="K63" s="467"/>
      <c r="L63" s="408"/>
      <c r="N63" s="818"/>
      <c r="O63" s="825"/>
      <c r="P63" s="413"/>
    </row>
    <row r="64" spans="1:16" ht="27.75">
      <c r="A64" s="1367" t="s">
        <v>107</v>
      </c>
      <c r="B64" s="1368"/>
      <c r="C64" s="1369"/>
      <c r="D64" s="599" t="s">
        <v>198</v>
      </c>
      <c r="E64" s="1343">
        <f>'15'!F64</f>
        <v>104412.06</v>
      </c>
      <c r="F64" s="703">
        <v>104830.59</v>
      </c>
      <c r="G64" s="874">
        <f t="shared" si="5"/>
        <v>418.52999999999884</v>
      </c>
      <c r="H64" s="536">
        <f>G64+'15'!H64</f>
        <v>6407.1900000000023</v>
      </c>
      <c r="I64" s="556"/>
      <c r="J64" s="629">
        <f>H64/DAY(B2)</f>
        <v>400.44937500000015</v>
      </c>
      <c r="K64" s="467"/>
      <c r="L64" s="408"/>
      <c r="N64" s="818"/>
      <c r="O64" s="825"/>
      <c r="P64" s="413"/>
    </row>
    <row r="65" spans="1:16" ht="27.75">
      <c r="A65" s="1367" t="s">
        <v>108</v>
      </c>
      <c r="B65" s="1368"/>
      <c r="C65" s="1369"/>
      <c r="D65" s="599" t="s">
        <v>198</v>
      </c>
      <c r="E65" s="590">
        <f>'15'!F65</f>
        <v>115115.39</v>
      </c>
      <c r="F65" s="732">
        <v>115524.74</v>
      </c>
      <c r="G65" s="549">
        <f t="shared" si="5"/>
        <v>409.35000000000582</v>
      </c>
      <c r="H65" s="536">
        <f>G65+'15'!H65</f>
        <v>6480.6200000000099</v>
      </c>
      <c r="I65" s="565"/>
      <c r="J65" s="629">
        <f>H65/DAY(B2)</f>
        <v>405.03875000000062</v>
      </c>
      <c r="K65" s="467"/>
      <c r="L65" s="408"/>
      <c r="N65" s="818"/>
      <c r="O65" s="826"/>
      <c r="P65" s="413"/>
    </row>
    <row r="66" spans="1:16" ht="27.75">
      <c r="A66" s="1367" t="s">
        <v>109</v>
      </c>
      <c r="B66" s="1368"/>
      <c r="C66" s="1369"/>
      <c r="D66" s="599" t="s">
        <v>198</v>
      </c>
      <c r="E66" s="590">
        <f>'15'!F66</f>
        <v>7976.21</v>
      </c>
      <c r="F66" s="554">
        <v>8307.6299999999992</v>
      </c>
      <c r="G66" s="549">
        <f t="shared" si="5"/>
        <v>331.41999999999916</v>
      </c>
      <c r="H66" s="536">
        <f>G66+'15'!H66</f>
        <v>5885.5399999999991</v>
      </c>
      <c r="I66" s="556"/>
      <c r="J66" s="629">
        <f>H66/DAY(B2)</f>
        <v>367.84624999999994</v>
      </c>
      <c r="K66" s="467"/>
      <c r="L66" s="408"/>
      <c r="N66" s="818"/>
      <c r="O66" s="825"/>
      <c r="P66" s="413"/>
    </row>
    <row r="67" spans="1:16" ht="27.75">
      <c r="A67" s="1367" t="s">
        <v>110</v>
      </c>
      <c r="B67" s="1368"/>
      <c r="C67" s="1369"/>
      <c r="D67" s="599" t="s">
        <v>198</v>
      </c>
      <c r="E67" s="590">
        <f>'15'!F67</f>
        <v>177972.81</v>
      </c>
      <c r="F67" s="554">
        <v>178627.61</v>
      </c>
      <c r="G67" s="549">
        <f t="shared" si="5"/>
        <v>654.79999999998836</v>
      </c>
      <c r="H67" s="536">
        <f>G67+'15'!H67</f>
        <v>10386.25999999998</v>
      </c>
      <c r="I67" s="565"/>
      <c r="J67" s="629">
        <f>H67/DAY(B2)</f>
        <v>649.14124999999876</v>
      </c>
      <c r="K67" s="468"/>
      <c r="L67" s="408"/>
      <c r="N67" s="818"/>
      <c r="O67" s="825"/>
      <c r="P67" s="413"/>
    </row>
    <row r="68" spans="1:16" ht="27.75">
      <c r="A68" s="1367" t="s">
        <v>111</v>
      </c>
      <c r="B68" s="1368"/>
      <c r="C68" s="1369"/>
      <c r="D68" s="599" t="s">
        <v>198</v>
      </c>
      <c r="E68" s="590">
        <f>'15'!F68</f>
        <v>58159.290999999997</v>
      </c>
      <c r="F68" s="554">
        <v>58495.8</v>
      </c>
      <c r="G68" s="549">
        <f t="shared" si="5"/>
        <v>336.50900000000547</v>
      </c>
      <c r="H68" s="536">
        <f>G68+'15'!H68</f>
        <v>4871.9000000000015</v>
      </c>
      <c r="I68" s="592"/>
      <c r="J68" s="629">
        <f>H68/DAY(B2)</f>
        <v>304.49375000000009</v>
      </c>
      <c r="K68" s="469"/>
      <c r="L68" s="408"/>
      <c r="N68" s="818"/>
      <c r="O68" s="825"/>
      <c r="P68" s="413"/>
    </row>
    <row r="69" spans="1:16" ht="27.75">
      <c r="A69" s="1367" t="s">
        <v>112</v>
      </c>
      <c r="B69" s="1368"/>
      <c r="C69" s="1369"/>
      <c r="D69" s="599" t="s">
        <v>198</v>
      </c>
      <c r="E69" s="590">
        <f>'15'!F69</f>
        <v>50930.39</v>
      </c>
      <c r="F69" s="554">
        <v>51203.29</v>
      </c>
      <c r="G69" s="549">
        <f t="shared" si="5"/>
        <v>272.90000000000146</v>
      </c>
      <c r="H69" s="536">
        <f>G69+'15'!H69</f>
        <v>4683.8600000000006</v>
      </c>
      <c r="I69" s="592"/>
      <c r="J69" s="629">
        <f>H69/DAY(B2)</f>
        <v>292.74125000000004</v>
      </c>
      <c r="K69" s="470"/>
      <c r="L69" s="408"/>
      <c r="N69" s="818"/>
      <c r="O69" s="825"/>
      <c r="P69" s="413"/>
    </row>
    <row r="70" spans="1:16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/>
      <c r="I70" s="594"/>
      <c r="J70" s="633"/>
      <c r="K70" s="470"/>
      <c r="L70" s="408"/>
      <c r="N70" s="818"/>
      <c r="O70" s="825"/>
      <c r="P70" s="413"/>
    </row>
    <row r="71" spans="1:16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818"/>
      <c r="O71" s="825"/>
      <c r="P71" s="413"/>
    </row>
    <row r="72" spans="1:16" ht="27.75">
      <c r="A72" s="1367" t="s">
        <v>202</v>
      </c>
      <c r="B72" s="1368"/>
      <c r="C72" s="1369"/>
      <c r="D72" s="599" t="s">
        <v>198</v>
      </c>
      <c r="E72" s="595">
        <f>'15'!F72</f>
        <v>847425</v>
      </c>
      <c r="F72" s="735">
        <v>847494</v>
      </c>
      <c r="G72" s="549">
        <f t="shared" ref="G72:G84" si="6">F72-E72</f>
        <v>69</v>
      </c>
      <c r="H72" s="536">
        <f>G72+'15'!H72</f>
        <v>1028</v>
      </c>
      <c r="I72" s="556"/>
      <c r="J72" s="629">
        <f>H72/DAY(B2)</f>
        <v>64.25</v>
      </c>
      <c r="K72" s="470"/>
      <c r="L72" s="408"/>
      <c r="N72" s="818"/>
      <c r="O72" s="825"/>
      <c r="P72" s="413"/>
    </row>
    <row r="73" spans="1:16" ht="27.75">
      <c r="A73" s="1367" t="s">
        <v>203</v>
      </c>
      <c r="B73" s="1368"/>
      <c r="C73" s="1369"/>
      <c r="D73" s="599" t="s">
        <v>198</v>
      </c>
      <c r="E73" s="595">
        <f>'15'!F73</f>
        <v>885684</v>
      </c>
      <c r="F73" s="736">
        <v>885701</v>
      </c>
      <c r="G73" s="733">
        <f t="shared" si="6"/>
        <v>17</v>
      </c>
      <c r="H73" s="536">
        <f>G73+'15'!H73</f>
        <v>920</v>
      </c>
      <c r="I73" s="556"/>
      <c r="J73" s="629">
        <f>H73/DAY(B2)</f>
        <v>57.5</v>
      </c>
      <c r="K73" s="469"/>
      <c r="L73" s="408"/>
      <c r="N73" s="818"/>
      <c r="O73" s="825"/>
      <c r="P73" s="413"/>
    </row>
    <row r="74" spans="1:16" ht="27.75">
      <c r="A74" s="1367" t="s">
        <v>204</v>
      </c>
      <c r="B74" s="1368"/>
      <c r="C74" s="1369"/>
      <c r="D74" s="599" t="s">
        <v>198</v>
      </c>
      <c r="E74" s="595">
        <f>'15'!F74</f>
        <v>881838</v>
      </c>
      <c r="F74" s="736">
        <v>881870</v>
      </c>
      <c r="G74" s="549">
        <f t="shared" si="6"/>
        <v>32</v>
      </c>
      <c r="H74" s="536">
        <f>G74+'15'!H74</f>
        <v>555</v>
      </c>
      <c r="I74" s="556"/>
      <c r="J74" s="629">
        <f>H74/DAY(B2)</f>
        <v>34.6875</v>
      </c>
      <c r="K74" s="470"/>
      <c r="L74" s="408"/>
      <c r="N74" s="818"/>
      <c r="O74" s="825"/>
      <c r="P74" s="413"/>
    </row>
    <row r="75" spans="1:16" ht="27.75">
      <c r="A75" s="1364" t="s">
        <v>205</v>
      </c>
      <c r="B75" s="1365"/>
      <c r="C75" s="1366"/>
      <c r="D75" s="599" t="s">
        <v>198</v>
      </c>
      <c r="E75" s="595">
        <f>'15'!F75</f>
        <v>734374</v>
      </c>
      <c r="F75" s="736">
        <v>734589</v>
      </c>
      <c r="G75" s="549">
        <f t="shared" si="6"/>
        <v>215</v>
      </c>
      <c r="H75" s="536">
        <f>G75+'15'!H75</f>
        <v>2948</v>
      </c>
      <c r="I75" s="556"/>
      <c r="J75" s="629">
        <f>H75/DAY(B2)</f>
        <v>184.25</v>
      </c>
      <c r="K75" s="469"/>
      <c r="L75" s="408"/>
      <c r="N75" s="818"/>
      <c r="O75" s="825"/>
      <c r="P75" s="413"/>
    </row>
    <row r="76" spans="1:16" ht="27.75">
      <c r="A76" s="1364" t="s">
        <v>206</v>
      </c>
      <c r="B76" s="1365"/>
      <c r="C76" s="1366"/>
      <c r="D76" s="599" t="s">
        <v>198</v>
      </c>
      <c r="E76" s="595">
        <f>'15'!F76</f>
        <v>685662</v>
      </c>
      <c r="F76" s="736">
        <v>685755</v>
      </c>
      <c r="G76" s="549">
        <f t="shared" si="6"/>
        <v>93</v>
      </c>
      <c r="H76" s="536">
        <f>G76+'15'!H76</f>
        <v>2656</v>
      </c>
      <c r="I76" s="581"/>
      <c r="J76" s="629">
        <f>H76/DAY(B2)</f>
        <v>166</v>
      </c>
      <c r="K76" s="469"/>
      <c r="L76" s="408"/>
      <c r="N76" s="818"/>
      <c r="O76" s="825"/>
      <c r="P76" s="413"/>
    </row>
    <row r="77" spans="1:16" ht="27.75">
      <c r="A77" s="1367" t="s">
        <v>207</v>
      </c>
      <c r="B77" s="1368"/>
      <c r="C77" s="1369"/>
      <c r="D77" s="599" t="s">
        <v>198</v>
      </c>
      <c r="E77" s="595">
        <f>'15'!F77</f>
        <v>696229</v>
      </c>
      <c r="F77" s="736">
        <v>696282</v>
      </c>
      <c r="G77" s="733">
        <f t="shared" si="6"/>
        <v>53</v>
      </c>
      <c r="H77" s="536">
        <f>G77+'15'!H77</f>
        <v>888</v>
      </c>
      <c r="I77" s="581"/>
      <c r="J77" s="629">
        <f>H77/DAY(B2)</f>
        <v>55.5</v>
      </c>
      <c r="K77" s="469"/>
      <c r="L77" s="408"/>
      <c r="N77" s="818"/>
      <c r="O77" s="825"/>
      <c r="P77" s="413"/>
    </row>
    <row r="78" spans="1:16" ht="27.75">
      <c r="A78" s="1322" t="s">
        <v>208</v>
      </c>
      <c r="B78" s="1318"/>
      <c r="C78" s="1318"/>
      <c r="D78" s="599" t="s">
        <v>198</v>
      </c>
      <c r="E78" s="595">
        <f>'15'!F78</f>
        <v>635972</v>
      </c>
      <c r="F78" s="737">
        <v>636361</v>
      </c>
      <c r="G78" s="549">
        <f t="shared" si="6"/>
        <v>389</v>
      </c>
      <c r="H78" s="536">
        <f>G78+'15'!H78</f>
        <v>5588</v>
      </c>
      <c r="I78" s="581"/>
      <c r="J78" s="629">
        <f>H78/DAY(B2)</f>
        <v>349.25</v>
      </c>
      <c r="K78" s="469"/>
      <c r="L78" s="408"/>
      <c r="N78" s="818"/>
      <c r="O78" s="825"/>
      <c r="P78" s="413"/>
    </row>
    <row r="79" spans="1:16" ht="27.75">
      <c r="A79" s="1364" t="s">
        <v>97</v>
      </c>
      <c r="B79" s="1365"/>
      <c r="C79" s="1366"/>
      <c r="D79" s="600" t="s">
        <v>198</v>
      </c>
      <c r="E79" s="595">
        <f>'15'!F79</f>
        <v>806665</v>
      </c>
      <c r="F79" s="737">
        <v>806869</v>
      </c>
      <c r="G79" s="549">
        <f t="shared" si="6"/>
        <v>204</v>
      </c>
      <c r="H79" s="536">
        <f>G79+'15'!H79</f>
        <v>5098</v>
      </c>
      <c r="I79" s="581"/>
      <c r="J79" s="629">
        <f>H79/DAY(B2)</f>
        <v>318.625</v>
      </c>
      <c r="K79" s="469"/>
      <c r="L79" s="408"/>
      <c r="N79" s="818"/>
      <c r="O79" s="825"/>
      <c r="P79" s="413"/>
    </row>
    <row r="80" spans="1:16" ht="27.75">
      <c r="A80" s="1364" t="s">
        <v>209</v>
      </c>
      <c r="B80" s="1365"/>
      <c r="C80" s="1366"/>
      <c r="D80" s="600" t="s">
        <v>198</v>
      </c>
      <c r="E80" s="595">
        <f>'15'!F80</f>
        <v>480243.16</v>
      </c>
      <c r="F80" s="736">
        <v>480560</v>
      </c>
      <c r="G80" s="549">
        <f t="shared" si="6"/>
        <v>316.84000000002561</v>
      </c>
      <c r="H80" s="536">
        <f>G80+'15'!H80</f>
        <v>3348.1599999999744</v>
      </c>
      <c r="I80" s="581"/>
      <c r="J80" s="629">
        <f>H80/DAY(B2)</f>
        <v>209.2599999999984</v>
      </c>
      <c r="K80" s="469"/>
      <c r="L80" s="408"/>
      <c r="N80" s="818"/>
      <c r="O80" s="825"/>
      <c r="P80" s="413"/>
    </row>
    <row r="81" spans="1:16" ht="27.75">
      <c r="A81" s="1364" t="s">
        <v>210</v>
      </c>
      <c r="B81" s="1365"/>
      <c r="C81" s="1366"/>
      <c r="D81" s="600" t="s">
        <v>198</v>
      </c>
      <c r="E81" s="595">
        <f>'15'!F81</f>
        <v>621062.52</v>
      </c>
      <c r="F81" s="736">
        <v>621169.31999999995</v>
      </c>
      <c r="G81" s="549">
        <f t="shared" si="6"/>
        <v>106.79999999993015</v>
      </c>
      <c r="H81" s="536">
        <f>G81+'15'!H81</f>
        <v>1915.3199999999488</v>
      </c>
      <c r="I81" s="581"/>
      <c r="J81" s="629">
        <f>H81/DAY(B2)</f>
        <v>119.7074999999968</v>
      </c>
      <c r="K81" s="469"/>
      <c r="L81" s="408"/>
      <c r="N81" s="818"/>
      <c r="O81" s="825"/>
      <c r="P81" s="413"/>
    </row>
    <row r="82" spans="1:16" s="876" customFormat="1" ht="27.75">
      <c r="A82" s="1435" t="s">
        <v>100</v>
      </c>
      <c r="B82" s="1436"/>
      <c r="C82" s="1437"/>
      <c r="D82" s="703" t="s">
        <v>143</v>
      </c>
      <c r="E82" s="886">
        <f>'15'!F82</f>
        <v>104800.4</v>
      </c>
      <c r="F82" s="703">
        <v>104839.66</v>
      </c>
      <c r="G82" s="874">
        <f t="shared" si="6"/>
        <v>39.260000000009313</v>
      </c>
      <c r="H82" s="555">
        <f>G82+'15'!H82</f>
        <v>401.66000000000349</v>
      </c>
      <c r="I82" s="555"/>
      <c r="J82" s="875">
        <f>H82/DAY(B2)</f>
        <v>25.103750000000218</v>
      </c>
      <c r="K82" s="1329"/>
      <c r="L82" s="1330"/>
      <c r="N82" s="822"/>
      <c r="O82" s="826"/>
      <c r="P82" s="821"/>
    </row>
    <row r="83" spans="1:16" ht="27.75">
      <c r="A83" s="1364" t="s">
        <v>211</v>
      </c>
      <c r="B83" s="1365"/>
      <c r="C83" s="1366"/>
      <c r="D83" s="697" t="s">
        <v>143</v>
      </c>
      <c r="E83" s="595">
        <f>'15'!F83</f>
        <v>978745</v>
      </c>
      <c r="F83" s="587">
        <v>979203</v>
      </c>
      <c r="G83" s="549">
        <f t="shared" si="6"/>
        <v>458</v>
      </c>
      <c r="H83" s="536">
        <f>G83+'15'!H83</f>
        <v>5732</v>
      </c>
      <c r="I83" s="557"/>
      <c r="J83" s="629">
        <f>H83/DAY(B2)</f>
        <v>358.25</v>
      </c>
      <c r="K83" s="468"/>
      <c r="L83" s="408"/>
      <c r="N83" s="818"/>
      <c r="O83" s="825"/>
      <c r="P83" s="413"/>
    </row>
    <row r="84" spans="1:16">
      <c r="A84" s="1325" t="s">
        <v>212</v>
      </c>
      <c r="B84" s="648"/>
      <c r="C84" s="648"/>
      <c r="D84" s="554" t="s">
        <v>143</v>
      </c>
      <c r="E84" s="595">
        <f>'15'!F84</f>
        <v>406262</v>
      </c>
      <c r="F84" s="704">
        <v>407077</v>
      </c>
      <c r="G84" s="549">
        <f t="shared" si="6"/>
        <v>815</v>
      </c>
      <c r="H84" s="536">
        <f>G84+'15'!H84</f>
        <v>9881</v>
      </c>
      <c r="I84" s="557"/>
      <c r="J84" s="629">
        <f>H84/DAY(B2)</f>
        <v>617.5625</v>
      </c>
      <c r="K84" s="411"/>
      <c r="L84" s="408"/>
      <c r="N84" s="818"/>
      <c r="O84" s="825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2807.8999999999651</v>
      </c>
      <c r="H85" s="536">
        <f>G85+'15'!H85</f>
        <v>36728.979999999952</v>
      </c>
      <c r="I85" s="557"/>
      <c r="J85" s="629">
        <f>H85/DAY(B2)</f>
        <v>2295.561249999997</v>
      </c>
      <c r="K85" s="411"/>
      <c r="L85" s="409"/>
      <c r="N85" s="818"/>
      <c r="O85" s="825"/>
      <c r="P85" s="413"/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'15'!F86</f>
        <v>445611.8</v>
      </c>
      <c r="F86" s="728">
        <v>445723.22</v>
      </c>
      <c r="G86" s="805">
        <f t="shared" ref="G86:G90" si="7">F86-E86</f>
        <v>111.4199999999837</v>
      </c>
      <c r="H86" s="805">
        <f t="shared" ref="H86:H88" si="8">G86</f>
        <v>111.4199999999837</v>
      </c>
      <c r="I86" s="733"/>
      <c r="J86" s="807">
        <f>H86/DAY(B2)</f>
        <v>6.9637499999989814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'15'!F87</f>
        <v>78098.7</v>
      </c>
      <c r="F87" s="728">
        <v>78107.100000000006</v>
      </c>
      <c r="G87" s="805">
        <f t="shared" si="7"/>
        <v>8.4000000000087311</v>
      </c>
      <c r="H87" s="805">
        <f t="shared" si="8"/>
        <v>8.4000000000087311</v>
      </c>
      <c r="I87" s="733"/>
      <c r="J87" s="807">
        <f>H87/DAY(B2)</f>
        <v>0.5250000000005457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'15'!F88</f>
        <v>145547.73000000001</v>
      </c>
      <c r="F88" s="728">
        <v>145606.66</v>
      </c>
      <c r="G88" s="805">
        <f t="shared" si="7"/>
        <v>58.929999999993015</v>
      </c>
      <c r="H88" s="805">
        <f t="shared" si="8"/>
        <v>58.929999999993015</v>
      </c>
      <c r="I88" s="733"/>
      <c r="J88" s="807">
        <f>H88/DAY(B2)</f>
        <v>3.6831249999995634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'15'!F89</f>
        <v>58697.7</v>
      </c>
      <c r="F89" s="728">
        <v>58751</v>
      </c>
      <c r="G89" s="805">
        <f t="shared" si="7"/>
        <v>53.30000000000291</v>
      </c>
      <c r="H89" s="805">
        <f>G89</f>
        <v>53.30000000000291</v>
      </c>
      <c r="I89" s="733"/>
      <c r="J89" s="807">
        <f>H89/DAY(B2)</f>
        <v>3.3312500000001819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'15'!F90</f>
        <v>3019.3</v>
      </c>
      <c r="F90" s="728">
        <v>3020.4</v>
      </c>
      <c r="G90" s="805">
        <f t="shared" si="7"/>
        <v>1.0999999999999091</v>
      </c>
      <c r="H90" s="805">
        <f>G90</f>
        <v>1.0999999999999091</v>
      </c>
      <c r="I90" s="733"/>
      <c r="J90" s="807">
        <f>H90/DAY(B2)</f>
        <v>6.8749999999994316E-2</v>
      </c>
      <c r="K90" s="833"/>
      <c r="L90" s="834"/>
      <c r="N90" s="881"/>
      <c r="O90" s="413"/>
    </row>
    <row r="91" spans="1:16" s="410" customFormat="1">
      <c r="A91" s="683" t="s">
        <v>216</v>
      </c>
      <c r="B91" s="1323"/>
      <c r="C91" s="1323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5"/>
      <c r="P91" s="413"/>
    </row>
    <row r="92" spans="1:16" ht="27.75">
      <c r="A92" s="1388" t="s">
        <v>217</v>
      </c>
      <c r="B92" s="1389"/>
      <c r="C92" s="1390"/>
      <c r="D92" s="599" t="s">
        <v>155</v>
      </c>
      <c r="E92" s="560">
        <f>'15'!F92</f>
        <v>235054</v>
      </c>
      <c r="F92" s="554">
        <v>235202</v>
      </c>
      <c r="G92" s="549">
        <f t="shared" ref="G92:G93" si="9">F92-E92</f>
        <v>148</v>
      </c>
      <c r="H92" s="536">
        <f>G92+'15'!H92</f>
        <v>1300</v>
      </c>
      <c r="I92" s="556"/>
      <c r="J92" s="629">
        <f>H92/DAY(B2)</f>
        <v>81.25</v>
      </c>
      <c r="K92" s="468"/>
      <c r="L92" s="408"/>
      <c r="N92" s="818"/>
      <c r="O92" s="825"/>
      <c r="P92" s="413"/>
    </row>
    <row r="93" spans="1:16" ht="27.75">
      <c r="A93" s="1388" t="s">
        <v>218</v>
      </c>
      <c r="B93" s="1389"/>
      <c r="C93" s="1390"/>
      <c r="D93" s="599" t="s">
        <v>155</v>
      </c>
      <c r="E93" s="560">
        <f>'15'!F93</f>
        <v>168913</v>
      </c>
      <c r="F93" s="554">
        <v>169114</v>
      </c>
      <c r="G93" s="549">
        <f t="shared" si="9"/>
        <v>201</v>
      </c>
      <c r="H93" s="536">
        <f>G93+'15'!H93</f>
        <v>2198</v>
      </c>
      <c r="I93" s="556"/>
      <c r="J93" s="629">
        <f>H93/DAY(B2)</f>
        <v>137.375</v>
      </c>
      <c r="K93" s="411"/>
      <c r="L93" s="408"/>
      <c r="N93" s="818"/>
      <c r="O93" s="825"/>
      <c r="P93" s="413"/>
    </row>
    <row r="94" spans="1:16">
      <c r="A94" s="1419" t="s">
        <v>219</v>
      </c>
      <c r="B94" s="1420"/>
      <c r="C94" s="1421"/>
      <c r="D94" s="599"/>
      <c r="E94" s="560">
        <f>'15'!F94</f>
        <v>0</v>
      </c>
      <c r="F94" s="554">
        <v>0</v>
      </c>
      <c r="G94" s="549">
        <f>G92+G93</f>
        <v>349</v>
      </c>
      <c r="H94" s="536">
        <f>G94+'15'!H94</f>
        <v>3224</v>
      </c>
      <c r="I94" s="556"/>
      <c r="J94" s="629">
        <f>H94/DAY(B2)</f>
        <v>201.5</v>
      </c>
      <c r="K94" s="411"/>
      <c r="L94" s="408"/>
      <c r="N94" s="818"/>
      <c r="O94" s="825"/>
      <c r="P94" s="413"/>
    </row>
    <row r="95" spans="1:16" ht="27.75">
      <c r="A95" s="1388" t="s">
        <v>220</v>
      </c>
      <c r="B95" s="1389"/>
      <c r="C95" s="1390"/>
      <c r="D95" s="599" t="s">
        <v>155</v>
      </c>
      <c r="E95" s="560">
        <f>'15'!F95</f>
        <v>404675</v>
      </c>
      <c r="F95" s="554">
        <v>404788</v>
      </c>
      <c r="G95" s="549">
        <f t="shared" ref="G95:G100" si="10">F95-E95</f>
        <v>113</v>
      </c>
      <c r="H95" s="536">
        <f>G95+'15'!H95</f>
        <v>1123</v>
      </c>
      <c r="I95" s="556"/>
      <c r="J95" s="629">
        <f>H95/DAY(B2)</f>
        <v>70.1875</v>
      </c>
      <c r="K95" s="411"/>
      <c r="L95" s="408"/>
      <c r="N95" s="818"/>
      <c r="O95" s="825"/>
      <c r="P95" s="413"/>
    </row>
    <row r="96" spans="1:16" ht="27.75">
      <c r="A96" s="1319" t="s">
        <v>221</v>
      </c>
      <c r="B96" s="1320"/>
      <c r="C96" s="1320"/>
      <c r="D96" s="599" t="s">
        <v>155</v>
      </c>
      <c r="E96" s="560">
        <f>'15'!F96</f>
        <v>100189</v>
      </c>
      <c r="F96" s="554">
        <v>100210</v>
      </c>
      <c r="G96" s="549">
        <f t="shared" si="10"/>
        <v>21</v>
      </c>
      <c r="H96" s="536">
        <f>G96+'15'!H96</f>
        <v>289</v>
      </c>
      <c r="I96" s="556"/>
      <c r="J96" s="629">
        <f>H96/DAY(B2)</f>
        <v>18.0625</v>
      </c>
      <c r="K96" s="466"/>
      <c r="L96" s="408"/>
      <c r="N96" s="818"/>
      <c r="O96" s="825"/>
      <c r="P96" s="413"/>
    </row>
    <row r="97" spans="1:16" ht="27.75">
      <c r="A97" s="1319" t="s">
        <v>222</v>
      </c>
      <c r="B97" s="1320"/>
      <c r="C97" s="1320"/>
      <c r="D97" s="599" t="s">
        <v>155</v>
      </c>
      <c r="E97" s="560">
        <f>'15'!F97</f>
        <v>95317</v>
      </c>
      <c r="F97" s="554">
        <v>95343</v>
      </c>
      <c r="G97" s="549">
        <f t="shared" si="10"/>
        <v>26</v>
      </c>
      <c r="H97" s="536">
        <f>G97+'15'!H97</f>
        <v>316</v>
      </c>
      <c r="I97" s="556"/>
      <c r="J97" s="629">
        <f>H97/DAY(B2)</f>
        <v>19.75</v>
      </c>
      <c r="K97" s="471"/>
      <c r="L97" s="408"/>
      <c r="N97" s="818"/>
      <c r="O97" s="825"/>
      <c r="P97" s="413"/>
    </row>
    <row r="98" spans="1:16" ht="27.75">
      <c r="A98" s="1319" t="s">
        <v>223</v>
      </c>
      <c r="B98" s="1320"/>
      <c r="C98" s="1320"/>
      <c r="D98" s="599" t="s">
        <v>155</v>
      </c>
      <c r="E98" s="560">
        <f>'15'!F98</f>
        <v>144678</v>
      </c>
      <c r="F98" s="554">
        <v>144775</v>
      </c>
      <c r="G98" s="549">
        <f t="shared" si="10"/>
        <v>97</v>
      </c>
      <c r="H98" s="536">
        <f>G98+'15'!H98</f>
        <v>968</v>
      </c>
      <c r="I98" s="556"/>
      <c r="J98" s="629">
        <f>H98/DAY(B2)</f>
        <v>60.5</v>
      </c>
      <c r="K98" s="411"/>
      <c r="L98" s="408"/>
      <c r="N98" s="820"/>
      <c r="O98" s="825"/>
      <c r="P98" s="413"/>
    </row>
    <row r="99" spans="1:16" ht="27.75">
      <c r="A99" s="1319" t="s">
        <v>224</v>
      </c>
      <c r="B99" s="1320"/>
      <c r="C99" s="1320"/>
      <c r="D99" s="599" t="s">
        <v>155</v>
      </c>
      <c r="E99" s="560">
        <f>'15'!F99</f>
        <v>5675</v>
      </c>
      <c r="F99" s="554">
        <v>5698</v>
      </c>
      <c r="G99" s="549">
        <f t="shared" si="10"/>
        <v>23</v>
      </c>
      <c r="H99" s="536">
        <f>G99+'15'!H99</f>
        <v>196</v>
      </c>
      <c r="I99" s="556"/>
      <c r="J99" s="629">
        <f>H99/DAY(B2)</f>
        <v>12.25</v>
      </c>
      <c r="K99" s="411"/>
      <c r="L99" s="408"/>
      <c r="N99" s="818"/>
      <c r="O99" s="825"/>
      <c r="P99" s="413"/>
    </row>
    <row r="100" spans="1:16" ht="27.75">
      <c r="A100" s="1319" t="s">
        <v>225</v>
      </c>
      <c r="B100" s="1320"/>
      <c r="C100" s="1320"/>
      <c r="D100" s="599" t="s">
        <v>155</v>
      </c>
      <c r="E100" s="560">
        <f>'15'!F100</f>
        <v>4095</v>
      </c>
      <c r="F100" s="554">
        <v>4110</v>
      </c>
      <c r="G100" s="549">
        <f t="shared" si="10"/>
        <v>15</v>
      </c>
      <c r="H100" s="536">
        <f>G100+'15'!H100</f>
        <v>146</v>
      </c>
      <c r="I100" s="556"/>
      <c r="J100" s="629">
        <f>H100/DAY(B2)</f>
        <v>9.125</v>
      </c>
      <c r="K100" s="411"/>
      <c r="L100" s="408"/>
      <c r="N100" s="818"/>
      <c r="O100" s="825"/>
      <c r="P100" s="413"/>
    </row>
    <row r="101" spans="1:16">
      <c r="A101" s="1419" t="s">
        <v>227</v>
      </c>
      <c r="B101" s="1420"/>
      <c r="C101" s="1421"/>
      <c r="D101" s="600"/>
      <c r="E101" s="560"/>
      <c r="F101" s="600"/>
      <c r="G101" s="601">
        <f>SUM(G95:G100)</f>
        <v>295</v>
      </c>
      <c r="H101" s="536">
        <f>G101+'15'!H101</f>
        <v>3038</v>
      </c>
      <c r="I101" s="602"/>
      <c r="J101" s="629">
        <f>H101/DAY(B2)</f>
        <v>189.875</v>
      </c>
      <c r="K101" s="411"/>
      <c r="L101" s="408"/>
      <c r="N101" s="818"/>
      <c r="O101" s="825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5"/>
      <c r="P102" s="413"/>
    </row>
    <row r="103" spans="1:16" s="481" customFormat="1" ht="27.75">
      <c r="A103" s="1422" t="s">
        <v>229</v>
      </c>
      <c r="B103" s="1423"/>
      <c r="C103" s="650"/>
      <c r="D103" s="699"/>
      <c r="E103" s="560"/>
      <c r="F103" s="739"/>
      <c r="G103" s="608"/>
      <c r="H103" s="609"/>
      <c r="I103" s="608"/>
      <c r="J103" s="635"/>
      <c r="N103" s="818"/>
      <c r="O103" s="825"/>
      <c r="P103" s="413"/>
    </row>
    <row r="104" spans="1:16" s="481" customFormat="1" ht="27.75">
      <c r="A104" s="1380" t="s">
        <v>230</v>
      </c>
      <c r="B104" s="1381"/>
      <c r="C104" s="1324"/>
      <c r="D104" s="699" t="s">
        <v>155</v>
      </c>
      <c r="E104" s="560">
        <f>'15'!F104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6.125</v>
      </c>
      <c r="N104" s="818"/>
      <c r="O104" s="825"/>
      <c r="P104" s="413"/>
    </row>
    <row r="105" spans="1:16" s="481" customFormat="1" ht="27.75">
      <c r="A105" s="1380" t="s">
        <v>77</v>
      </c>
      <c r="B105" s="1381"/>
      <c r="C105" s="1324"/>
      <c r="D105" s="699" t="s">
        <v>155</v>
      </c>
      <c r="E105" s="560">
        <f>'15'!F105</f>
        <v>35030</v>
      </c>
      <c r="F105" s="740">
        <v>35038</v>
      </c>
      <c r="G105" s="608">
        <f t="shared" ref="G105:G106" si="11">F105-E105</f>
        <v>8</v>
      </c>
      <c r="H105" s="609">
        <f>SUM(G105+'1'!G77)</f>
        <v>69</v>
      </c>
      <c r="I105" s="608"/>
      <c r="J105" s="635">
        <f>H105/DAY(B2)</f>
        <v>4.3125</v>
      </c>
      <c r="N105" s="818"/>
      <c r="O105" s="825"/>
      <c r="P105" s="413"/>
    </row>
    <row r="106" spans="1:16" s="481" customFormat="1" ht="27.75">
      <c r="A106" s="1380" t="s">
        <v>78</v>
      </c>
      <c r="B106" s="1424"/>
      <c r="C106" s="1381"/>
      <c r="D106" s="699" t="s">
        <v>155</v>
      </c>
      <c r="E106" s="560">
        <f>'15'!F106</f>
        <v>18981</v>
      </c>
      <c r="F106" s="740">
        <v>18989</v>
      </c>
      <c r="G106" s="608">
        <f t="shared" si="11"/>
        <v>8</v>
      </c>
      <c r="H106" s="609">
        <f>SUM(G106+'1'!G78)</f>
        <v>377</v>
      </c>
      <c r="I106" s="608"/>
      <c r="J106" s="635">
        <f>H106/DAY(B2)</f>
        <v>23.5625</v>
      </c>
      <c r="N106" s="818"/>
      <c r="O106" s="825"/>
      <c r="P106" s="413"/>
    </row>
    <row r="107" spans="1:16" s="481" customFormat="1" ht="27.75">
      <c r="A107" s="1382" t="s">
        <v>213</v>
      </c>
      <c r="B107" s="1383"/>
      <c r="C107" s="1324"/>
      <c r="D107" s="699"/>
      <c r="E107" s="560">
        <f>'15'!F107</f>
        <v>0</v>
      </c>
      <c r="F107" s="740"/>
      <c r="G107" s="608">
        <f>SUM(G104:G106)</f>
        <v>16</v>
      </c>
      <c r="H107" s="609">
        <f>SUM(G107+'1'!G79)</f>
        <v>203</v>
      </c>
      <c r="I107" s="608"/>
      <c r="J107" s="635">
        <f>H107/DAY(B2)</f>
        <v>12.6875</v>
      </c>
      <c r="N107" s="818"/>
      <c r="O107" s="825"/>
      <c r="P107" s="413"/>
    </row>
    <row r="108" spans="1:16" s="481" customFormat="1" ht="27.75">
      <c r="A108" s="1386" t="s">
        <v>79</v>
      </c>
      <c r="B108" s="1387"/>
      <c r="C108" s="1324"/>
      <c r="D108" s="699" t="s">
        <v>155</v>
      </c>
      <c r="E108" s="560">
        <f>'15'!F108</f>
        <v>0</v>
      </c>
      <c r="F108" s="740"/>
      <c r="G108" s="608"/>
      <c r="H108" s="609"/>
      <c r="I108" s="608"/>
      <c r="J108" s="635"/>
      <c r="N108" s="818"/>
      <c r="O108" s="825"/>
      <c r="P108" s="413"/>
    </row>
    <row r="109" spans="1:16" s="481" customFormat="1" ht="27.75">
      <c r="A109" s="1380" t="s">
        <v>231</v>
      </c>
      <c r="B109" s="1381"/>
      <c r="C109" s="1324"/>
      <c r="D109" s="699" t="s">
        <v>155</v>
      </c>
      <c r="E109" s="560">
        <f>'15'!F109</f>
        <v>53841</v>
      </c>
      <c r="F109" s="740">
        <v>53881</v>
      </c>
      <c r="G109" s="608">
        <f>F109-E109</f>
        <v>40</v>
      </c>
      <c r="H109" s="609">
        <f>SUM(G109+'1'!G81)</f>
        <v>169</v>
      </c>
      <c r="I109" s="608"/>
      <c r="J109" s="635">
        <f>H109/DAY(B2)</f>
        <v>10.5625</v>
      </c>
      <c r="N109" s="818"/>
      <c r="O109" s="825"/>
      <c r="P109" s="413"/>
    </row>
    <row r="110" spans="1:16" s="481" customFormat="1" ht="27.75">
      <c r="A110" s="1380" t="s">
        <v>232</v>
      </c>
      <c r="B110" s="1381"/>
      <c r="C110" s="1324"/>
      <c r="D110" s="699" t="s">
        <v>155</v>
      </c>
      <c r="E110" s="560">
        <f>'15'!F110</f>
        <v>27692</v>
      </c>
      <c r="F110" s="740">
        <v>27806</v>
      </c>
      <c r="G110" s="608">
        <f t="shared" ref="G110:G111" si="12">F110-E110</f>
        <v>114</v>
      </c>
      <c r="H110" s="609">
        <f>SUM(G110+'1'!G82)</f>
        <v>137</v>
      </c>
      <c r="I110" s="608"/>
      <c r="J110" s="635">
        <f>H110/DAY(B2)</f>
        <v>8.5625</v>
      </c>
      <c r="N110" s="818"/>
      <c r="O110" s="825"/>
      <c r="P110" s="413"/>
    </row>
    <row r="111" spans="1:16" s="481" customFormat="1" ht="27.75">
      <c r="A111" s="1380" t="s">
        <v>233</v>
      </c>
      <c r="B111" s="1381"/>
      <c r="C111" s="1324"/>
      <c r="D111" s="699" t="s">
        <v>155</v>
      </c>
      <c r="E111" s="560">
        <f>'15'!F111</f>
        <v>3652</v>
      </c>
      <c r="F111" s="740">
        <v>3665</v>
      </c>
      <c r="G111" s="608">
        <f t="shared" si="12"/>
        <v>13</v>
      </c>
      <c r="H111" s="609">
        <f>SUM(G111+'1'!G83)</f>
        <v>346</v>
      </c>
      <c r="I111" s="608"/>
      <c r="J111" s="635">
        <f>H111/DAY(B2)</f>
        <v>21.625</v>
      </c>
      <c r="N111" s="818"/>
      <c r="O111" s="825"/>
      <c r="P111" s="413"/>
    </row>
    <row r="112" spans="1:16" s="481" customFormat="1" ht="27.75">
      <c r="A112" s="1382" t="s">
        <v>121</v>
      </c>
      <c r="B112" s="1383"/>
      <c r="C112" s="1324"/>
      <c r="D112" s="699"/>
      <c r="E112" s="560">
        <f>'15'!F112</f>
        <v>0</v>
      </c>
      <c r="F112" s="740"/>
      <c r="G112" s="608">
        <f>SUM(G109:G111)</f>
        <v>167</v>
      </c>
      <c r="H112" s="609">
        <f>SUM(G112+'1'!G84)</f>
        <v>613</v>
      </c>
      <c r="I112" s="608"/>
      <c r="J112" s="635">
        <f>H112/DAY(B2)</f>
        <v>38.3125</v>
      </c>
      <c r="N112" s="818"/>
      <c r="O112" s="825"/>
      <c r="P112" s="413"/>
    </row>
    <row r="113" spans="1:16" s="481" customFormat="1" ht="27.75">
      <c r="A113" s="1386" t="s">
        <v>234</v>
      </c>
      <c r="B113" s="1387"/>
      <c r="C113" s="1324"/>
      <c r="D113" s="699"/>
      <c r="E113" s="560">
        <f>'15'!F113</f>
        <v>0</v>
      </c>
      <c r="F113" s="740"/>
      <c r="G113" s="608"/>
      <c r="H113" s="609"/>
      <c r="I113" s="608"/>
      <c r="J113" s="635">
        <f>H113/DAY(B2)</f>
        <v>0</v>
      </c>
      <c r="N113" s="818"/>
      <c r="O113" s="825"/>
      <c r="P113" s="413"/>
    </row>
    <row r="114" spans="1:16" s="481" customFormat="1" ht="27.75">
      <c r="A114" s="1380" t="s">
        <v>235</v>
      </c>
      <c r="B114" s="1381"/>
      <c r="C114" s="651"/>
      <c r="D114" s="699" t="s">
        <v>155</v>
      </c>
      <c r="E114" s="560">
        <f>'15'!F114</f>
        <v>9451</v>
      </c>
      <c r="F114" s="740">
        <v>9479</v>
      </c>
      <c r="G114" s="610">
        <f>F114-E114</f>
        <v>28</v>
      </c>
      <c r="H114" s="609">
        <f>SUM(G114+'1'!G91)</f>
        <v>28</v>
      </c>
      <c r="I114" s="608"/>
      <c r="J114" s="635">
        <f>H114/DAY(B2)</f>
        <v>1.75</v>
      </c>
      <c r="N114" s="818"/>
      <c r="O114" s="825"/>
      <c r="P114" s="413"/>
    </row>
    <row r="115" spans="1:16" s="481" customFormat="1" ht="27.75">
      <c r="A115" s="1380" t="s">
        <v>236</v>
      </c>
      <c r="B115" s="1381"/>
      <c r="C115" s="651"/>
      <c r="D115" s="699" t="s">
        <v>155</v>
      </c>
      <c r="E115" s="560">
        <f>'15'!F115</f>
        <v>7304</v>
      </c>
      <c r="F115" s="740">
        <v>7317</v>
      </c>
      <c r="G115" s="610">
        <f t="shared" ref="G115:G116" si="13">F115-E115</f>
        <v>13</v>
      </c>
      <c r="H115" s="609">
        <f>SUM(G115+'1'!G92)</f>
        <v>146</v>
      </c>
      <c r="I115" s="608"/>
      <c r="J115" s="635">
        <f>H115/DAY(B2)</f>
        <v>9.125</v>
      </c>
      <c r="N115" s="818"/>
      <c r="O115" s="825"/>
      <c r="P115" s="413"/>
    </row>
    <row r="116" spans="1:16" s="481" customFormat="1" ht="27.75">
      <c r="A116" s="1380" t="s">
        <v>237</v>
      </c>
      <c r="B116" s="1381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141</v>
      </c>
      <c r="I116" s="608"/>
      <c r="J116" s="635">
        <f>H116/DAY(B2)</f>
        <v>8.8125</v>
      </c>
      <c r="N116" s="818"/>
      <c r="O116" s="825"/>
      <c r="P116" s="413"/>
    </row>
    <row r="117" spans="1:16" s="494" customFormat="1" ht="27.75">
      <c r="A117" s="1382" t="s">
        <v>213</v>
      </c>
      <c r="B117" s="1383"/>
      <c r="C117" s="651"/>
      <c r="D117" s="700"/>
      <c r="E117" s="610"/>
      <c r="F117" s="740"/>
      <c r="G117" s="610">
        <f>SUM(G114:G116)</f>
        <v>41</v>
      </c>
      <c r="H117" s="609">
        <f>SUM(G117+'1'!G95)</f>
        <v>101</v>
      </c>
      <c r="I117" s="610"/>
      <c r="J117" s="635">
        <f>H117/DAY(B2)</f>
        <v>6.3125</v>
      </c>
      <c r="N117" s="818"/>
      <c r="O117" s="825"/>
      <c r="P117" s="413"/>
    </row>
    <row r="118" spans="1:16" s="495" customFormat="1" ht="27.75">
      <c r="A118" s="1376" t="s">
        <v>238</v>
      </c>
      <c r="B118" s="1377"/>
      <c r="C118" s="1327"/>
      <c r="D118" s="701" t="s">
        <v>155</v>
      </c>
      <c r="E118" s="612"/>
      <c r="F118" s="741">
        <f>SUM(G19+G92)</f>
        <v>202</v>
      </c>
      <c r="G118" s="612">
        <f>SUM(G19+G92)</f>
        <v>202</v>
      </c>
      <c r="H118" s="609">
        <f>SUM(G118+'1'!G96)</f>
        <v>235</v>
      </c>
      <c r="I118" s="611"/>
      <c r="J118" s="636">
        <f>H118/DAY(B2)</f>
        <v>14.6875</v>
      </c>
      <c r="N118" s="818"/>
      <c r="O118" s="825"/>
      <c r="P118" s="413"/>
    </row>
    <row r="119" spans="1:16" s="495" customFormat="1" ht="27.75">
      <c r="A119" s="1376" t="s">
        <v>239</v>
      </c>
      <c r="B119" s="1377"/>
      <c r="C119" s="1327"/>
      <c r="D119" s="701" t="s">
        <v>155</v>
      </c>
      <c r="E119" s="612"/>
      <c r="F119" s="741">
        <f>SUM(G95,G96,G97,G99,G100)</f>
        <v>198</v>
      </c>
      <c r="G119" s="612">
        <f>SUM(G95,G96,G97,G99,G100)</f>
        <v>198</v>
      </c>
      <c r="H119" s="609">
        <f>SUM(G119+'1'!G98)</f>
        <v>248</v>
      </c>
      <c r="I119" s="611"/>
      <c r="J119" s="636">
        <f>H119/DAY(B2)</f>
        <v>15.5</v>
      </c>
      <c r="N119" s="818"/>
      <c r="O119" s="825"/>
      <c r="P119" s="413"/>
    </row>
    <row r="120" spans="1:16" s="495" customFormat="1" ht="27.75">
      <c r="A120" s="1376" t="s">
        <v>240</v>
      </c>
      <c r="B120" s="1377"/>
      <c r="C120" s="1327"/>
      <c r="D120" s="701" t="s">
        <v>155</v>
      </c>
      <c r="E120" s="610"/>
      <c r="F120" s="740">
        <f>SUM(G112)</f>
        <v>167</v>
      </c>
      <c r="G120" s="610">
        <f>SUM(G112)</f>
        <v>167</v>
      </c>
      <c r="H120" s="609">
        <f>SUM(G120+'1'!G100)</f>
        <v>184</v>
      </c>
      <c r="I120" s="611"/>
      <c r="J120" s="636">
        <f>H120/DAY(B2)</f>
        <v>11.5</v>
      </c>
      <c r="N120" s="818"/>
      <c r="O120" s="825"/>
      <c r="P120" s="413"/>
    </row>
    <row r="121" spans="1:16" s="481" customFormat="1" ht="27.75">
      <c r="A121" s="1378"/>
      <c r="B121" s="1379"/>
      <c r="C121" s="1328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5"/>
      <c r="P121" s="413"/>
    </row>
    <row r="122" spans="1:16">
      <c r="A122" s="1416" t="s">
        <v>241</v>
      </c>
      <c r="B122" s="1417"/>
      <c r="C122" s="1418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5"/>
      <c r="P122" s="413"/>
    </row>
    <row r="123" spans="1:16" ht="27.75">
      <c r="A123" s="1319" t="s">
        <v>242</v>
      </c>
      <c r="B123" s="1320"/>
      <c r="C123" s="1320"/>
      <c r="D123" s="599" t="s">
        <v>152</v>
      </c>
      <c r="E123" s="554">
        <f>'15'!F123</f>
        <v>799097.05</v>
      </c>
      <c r="F123" s="554">
        <v>799378.86</v>
      </c>
      <c r="G123" s="549">
        <f t="shared" ref="G123:G127" si="14">F123-E123</f>
        <v>281.80999999993946</v>
      </c>
      <c r="H123" s="536">
        <f>G123+'15'!H123</f>
        <v>3954.8099999999395</v>
      </c>
      <c r="I123" s="602"/>
      <c r="J123" s="629">
        <f>H123/DAY(B2)</f>
        <v>247.17562499999622</v>
      </c>
      <c r="K123" s="411"/>
      <c r="L123" s="408"/>
      <c r="N123" s="818"/>
      <c r="O123" s="825"/>
      <c r="P123" s="413"/>
    </row>
    <row r="124" spans="1:16" ht="27.75">
      <c r="A124" s="1319" t="s">
        <v>243</v>
      </c>
      <c r="B124" s="1320"/>
      <c r="C124" s="1320"/>
      <c r="D124" s="599" t="s">
        <v>152</v>
      </c>
      <c r="E124" s="703">
        <f>'15'!F124</f>
        <v>73582.3</v>
      </c>
      <c r="F124" s="703">
        <v>73582.3</v>
      </c>
      <c r="G124" s="549">
        <f t="shared" si="14"/>
        <v>0</v>
      </c>
      <c r="H124" s="536">
        <f>G124+'15'!H124</f>
        <v>0.10000000000582077</v>
      </c>
      <c r="I124" s="602"/>
      <c r="J124" s="629">
        <f>H124/DAY(B2)</f>
        <v>6.2500000003637979E-3</v>
      </c>
      <c r="K124" s="411"/>
      <c r="L124" s="408"/>
      <c r="N124" s="818"/>
      <c r="O124" s="825"/>
      <c r="P124" s="413"/>
    </row>
    <row r="125" spans="1:16" ht="27.75">
      <c r="A125" s="1367" t="s">
        <v>244</v>
      </c>
      <c r="B125" s="1368"/>
      <c r="C125" s="1369"/>
      <c r="D125" s="599" t="s">
        <v>152</v>
      </c>
      <c r="E125" s="554">
        <f>'15'!F125</f>
        <v>136666.85999999999</v>
      </c>
      <c r="F125" s="554">
        <v>136774.5</v>
      </c>
      <c r="G125" s="549">
        <f t="shared" si="14"/>
        <v>107.64000000001397</v>
      </c>
      <c r="H125" s="536">
        <f>G125+'15'!H125</f>
        <v>1183.8299999999872</v>
      </c>
      <c r="I125" s="602"/>
      <c r="J125" s="629">
        <f>H125/DAY(B2)</f>
        <v>73.9893749999992</v>
      </c>
      <c r="K125" s="411"/>
      <c r="L125" s="408"/>
      <c r="N125" s="818"/>
      <c r="O125" s="825"/>
      <c r="P125" s="413"/>
    </row>
    <row r="126" spans="1:16" ht="27.75">
      <c r="A126" s="686" t="s">
        <v>245</v>
      </c>
      <c r="B126" s="1320"/>
      <c r="C126" s="1320"/>
      <c r="D126" s="599" t="s">
        <v>152</v>
      </c>
      <c r="E126" s="703">
        <f>'15'!F126</f>
        <v>57857.3</v>
      </c>
      <c r="F126" s="703">
        <v>57901</v>
      </c>
      <c r="G126" s="549">
        <f t="shared" si="14"/>
        <v>43.69999999999709</v>
      </c>
      <c r="H126" s="536">
        <f>G126+'15'!H126</f>
        <v>520</v>
      </c>
      <c r="I126" s="602"/>
      <c r="J126" s="629">
        <f>H126/DAY(B2)</f>
        <v>32.5</v>
      </c>
      <c r="K126" s="411"/>
      <c r="L126" s="408"/>
      <c r="N126" s="818"/>
      <c r="O126" s="825"/>
      <c r="P126" s="413"/>
    </row>
    <row r="127" spans="1:16" ht="27.75">
      <c r="A127" s="686" t="s">
        <v>246</v>
      </c>
      <c r="B127" s="1320"/>
      <c r="C127" s="1320"/>
      <c r="D127" s="599" t="s">
        <v>152</v>
      </c>
      <c r="E127" s="703">
        <f>'15'!F127</f>
        <v>8755.6</v>
      </c>
      <c r="F127" s="703">
        <v>8759.4</v>
      </c>
      <c r="G127" s="549">
        <f t="shared" si="14"/>
        <v>3.7999999999992724</v>
      </c>
      <c r="H127" s="536">
        <f>G127+'15'!H127</f>
        <v>53.399999999999636</v>
      </c>
      <c r="I127" s="556"/>
      <c r="J127" s="629">
        <f>H127/DAY(B2)</f>
        <v>3.3374999999999773</v>
      </c>
      <c r="K127" s="411"/>
      <c r="L127" s="408"/>
      <c r="N127" s="818"/>
      <c r="O127" s="825"/>
      <c r="P127" s="413"/>
    </row>
    <row r="128" spans="1:16" s="281" customFormat="1" ht="27.75">
      <c r="A128" s="686" t="s">
        <v>247</v>
      </c>
      <c r="B128" s="1320"/>
      <c r="C128" s="1320"/>
      <c r="D128" s="599"/>
      <c r="E128" s="554"/>
      <c r="F128" s="554"/>
      <c r="G128" s="549">
        <f>G15-SUM(G123:G127)</f>
        <v>633.42900000000736</v>
      </c>
      <c r="H128" s="536">
        <f>G128+'15'!H128</f>
        <v>633.42900000000736</v>
      </c>
      <c r="I128" s="556"/>
      <c r="J128" s="629">
        <f>H128/DAY(B2)</f>
        <v>39.58931250000046</v>
      </c>
      <c r="K128" s="391"/>
      <c r="L128" s="293"/>
      <c r="N128" s="818"/>
      <c r="O128" s="825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5"/>
      <c r="P129" s="413"/>
    </row>
    <row r="130" spans="1:16" ht="27.75">
      <c r="A130" s="1319" t="s">
        <v>249</v>
      </c>
      <c r="B130" s="1320"/>
      <c r="C130" s="1320"/>
      <c r="D130" s="599" t="s">
        <v>250</v>
      </c>
      <c r="E130" s="560">
        <f>'15'!F130</f>
        <v>0</v>
      </c>
      <c r="F130" s="554">
        <v>0</v>
      </c>
      <c r="G130" s="549">
        <f t="shared" ref="G130:G140" si="15">F130-E130</f>
        <v>0</v>
      </c>
      <c r="H130" s="536">
        <f>G130+'15'!H130</f>
        <v>0</v>
      </c>
      <c r="I130" s="556"/>
      <c r="J130" s="629">
        <f>H130/DAY(B2)</f>
        <v>0</v>
      </c>
      <c r="N130" s="818"/>
      <c r="O130" s="825"/>
      <c r="P130" s="413"/>
    </row>
    <row r="131" spans="1:16" ht="27.75">
      <c r="A131" s="1319" t="s">
        <v>251</v>
      </c>
      <c r="B131" s="1320"/>
      <c r="C131" s="1320"/>
      <c r="D131" s="599" t="s">
        <v>250</v>
      </c>
      <c r="E131" s="560">
        <f>'15'!F131</f>
        <v>0</v>
      </c>
      <c r="F131" s="554">
        <v>0</v>
      </c>
      <c r="G131" s="549">
        <f t="shared" si="15"/>
        <v>0</v>
      </c>
      <c r="H131" s="536">
        <f>G131+'15'!H131</f>
        <v>0</v>
      </c>
      <c r="I131" s="556"/>
      <c r="J131" s="629">
        <f>H131/DAY(B2)</f>
        <v>0</v>
      </c>
      <c r="N131" s="818"/>
      <c r="O131" s="825"/>
      <c r="P131" s="413"/>
    </row>
    <row r="132" spans="1:16" ht="27.75">
      <c r="A132" s="1319" t="s">
        <v>252</v>
      </c>
      <c r="B132" s="1320"/>
      <c r="C132" s="1320"/>
      <c r="D132" s="599" t="s">
        <v>250</v>
      </c>
      <c r="E132" s="618">
        <f>'15'!F132</f>
        <v>38901</v>
      </c>
      <c r="F132" s="732">
        <v>38901</v>
      </c>
      <c r="G132" s="549">
        <f t="shared" si="15"/>
        <v>0</v>
      </c>
      <c r="H132" s="536">
        <f>G132+'15'!H132</f>
        <v>0</v>
      </c>
      <c r="I132" s="556"/>
      <c r="J132" s="629">
        <f>H132/DAY(B2)</f>
        <v>0</v>
      </c>
      <c r="N132" s="818"/>
      <c r="O132" s="825"/>
      <c r="P132" s="413"/>
    </row>
    <row r="133" spans="1:16" ht="27.75">
      <c r="A133" s="1319" t="s">
        <v>253</v>
      </c>
      <c r="B133" s="1320"/>
      <c r="C133" s="1320"/>
      <c r="D133" s="599" t="s">
        <v>250</v>
      </c>
      <c r="E133" s="782">
        <f>'15'!F133</f>
        <v>299</v>
      </c>
      <c r="F133" s="703">
        <v>299</v>
      </c>
      <c r="G133" s="549">
        <f t="shared" si="15"/>
        <v>0</v>
      </c>
      <c r="H133" s="536">
        <f>G133+'15'!H133</f>
        <v>0</v>
      </c>
      <c r="I133" s="556">
        <f>G130+G131+G132+G133</f>
        <v>0</v>
      </c>
      <c r="J133" s="629">
        <f>H133/DAY(B2)</f>
        <v>0</v>
      </c>
      <c r="N133" s="818"/>
      <c r="O133" s="825"/>
      <c r="P133" s="413"/>
    </row>
    <row r="134" spans="1:16" ht="27.75">
      <c r="A134" s="1319" t="s">
        <v>254</v>
      </c>
      <c r="B134" s="1320"/>
      <c r="C134" s="1320"/>
      <c r="D134" s="599" t="s">
        <v>250</v>
      </c>
      <c r="E134" s="782">
        <f>'15'!F134</f>
        <v>39840</v>
      </c>
      <c r="F134" s="703">
        <v>39864</v>
      </c>
      <c r="G134" s="549">
        <f t="shared" si="15"/>
        <v>24</v>
      </c>
      <c r="H134" s="536">
        <f>G134+'15'!H134</f>
        <v>129</v>
      </c>
      <c r="I134" s="556"/>
      <c r="J134" s="629">
        <f>H134/DAY(B2)</f>
        <v>8.0625</v>
      </c>
      <c r="N134" s="818"/>
      <c r="O134" s="825"/>
      <c r="P134" s="413"/>
    </row>
    <row r="135" spans="1:16" ht="27.75">
      <c r="A135" s="1319" t="s">
        <v>255</v>
      </c>
      <c r="B135" s="1320"/>
      <c r="C135" s="1320"/>
      <c r="D135" s="599" t="s">
        <v>250</v>
      </c>
      <c r="E135" s="618">
        <f>'15'!F135</f>
        <v>32423</v>
      </c>
      <c r="F135" s="732">
        <v>32423</v>
      </c>
      <c r="G135" s="549">
        <f t="shared" si="15"/>
        <v>0</v>
      </c>
      <c r="H135" s="536">
        <f>G135+'15'!H135</f>
        <v>255.61000000000058</v>
      </c>
      <c r="I135" s="556"/>
      <c r="J135" s="629">
        <f>H135/DAY(B2)</f>
        <v>15.975625000000036</v>
      </c>
      <c r="N135" s="818"/>
      <c r="O135" s="825"/>
      <c r="P135" s="413"/>
    </row>
    <row r="136" spans="1:16" ht="27.75">
      <c r="A136" s="1319" t="s">
        <v>256</v>
      </c>
      <c r="B136" s="1320"/>
      <c r="C136" s="1320"/>
      <c r="D136" s="599" t="s">
        <v>250</v>
      </c>
      <c r="E136" s="618">
        <f>'15'!F136</f>
        <v>21889.54</v>
      </c>
      <c r="F136" s="732">
        <v>21899.55</v>
      </c>
      <c r="G136" s="549">
        <f t="shared" si="15"/>
        <v>10.009999999998399</v>
      </c>
      <c r="H136" s="536">
        <f>G136+'15'!H136</f>
        <v>97.849999999998545</v>
      </c>
      <c r="I136" s="556">
        <f>G134+G135+G136</f>
        <v>34.009999999998399</v>
      </c>
      <c r="J136" s="629">
        <f>H136/DAY(B2)</f>
        <v>6.1156249999999091</v>
      </c>
      <c r="N136" s="818"/>
      <c r="O136" s="825"/>
      <c r="P136" s="413"/>
    </row>
    <row r="137" spans="1:16" ht="27.75">
      <c r="A137" s="1319" t="s">
        <v>257</v>
      </c>
      <c r="B137" s="1320"/>
      <c r="C137" s="1320"/>
      <c r="D137" s="599" t="s">
        <v>250</v>
      </c>
      <c r="E137" s="618">
        <f>'15'!F137</f>
        <v>25000.560000000001</v>
      </c>
      <c r="F137" s="732">
        <v>25000.560000000001</v>
      </c>
      <c r="G137" s="549">
        <f t="shared" si="15"/>
        <v>0</v>
      </c>
      <c r="H137" s="536">
        <f>G137+'15'!H137</f>
        <v>9.9500000000007276</v>
      </c>
      <c r="I137" s="556"/>
      <c r="J137" s="629">
        <f>H137/DAY(B2)</f>
        <v>0.62187500000004547</v>
      </c>
      <c r="N137" s="818"/>
      <c r="O137" s="825"/>
      <c r="P137" s="413"/>
    </row>
    <row r="138" spans="1:16" ht="27.75">
      <c r="A138" s="1319" t="s">
        <v>258</v>
      </c>
      <c r="B138" s="1320"/>
      <c r="C138" s="1320"/>
      <c r="D138" s="599" t="s">
        <v>250</v>
      </c>
      <c r="E138" s="618">
        <f>'15'!F138</f>
        <v>70043.77</v>
      </c>
      <c r="F138" s="732">
        <v>70045.850000000006</v>
      </c>
      <c r="G138" s="549">
        <f t="shared" si="15"/>
        <v>2.0800000000017462</v>
      </c>
      <c r="H138" s="536">
        <f>G138+'15'!H138</f>
        <v>39.480000000010477</v>
      </c>
      <c r="I138" s="556">
        <f>G137+G138</f>
        <v>2.0800000000017462</v>
      </c>
      <c r="J138" s="629">
        <f>H138/DAY(B2)</f>
        <v>2.4675000000006548</v>
      </c>
      <c r="N138" s="818"/>
      <c r="O138" s="825"/>
      <c r="P138" s="413"/>
    </row>
    <row r="139" spans="1:16" ht="27.75">
      <c r="A139" s="1319" t="s">
        <v>259</v>
      </c>
      <c r="B139" s="1320"/>
      <c r="C139" s="1320"/>
      <c r="D139" s="599" t="s">
        <v>250</v>
      </c>
      <c r="E139" s="782">
        <f>'15'!F139</f>
        <v>1079.3599999999999</v>
      </c>
      <c r="F139" s="703">
        <v>1087.18</v>
      </c>
      <c r="G139" s="549">
        <f t="shared" si="15"/>
        <v>7.8200000000001637</v>
      </c>
      <c r="H139" s="536">
        <f>G139+'15'!H139</f>
        <v>24.180000000000064</v>
      </c>
      <c r="I139" s="619"/>
      <c r="J139" s="629">
        <f>H139/DAY(B2)</f>
        <v>1.511250000000004</v>
      </c>
      <c r="N139" s="818"/>
      <c r="O139" s="825"/>
      <c r="P139" s="413"/>
    </row>
    <row r="140" spans="1:16" ht="27.75">
      <c r="A140" s="1319" t="s">
        <v>260</v>
      </c>
      <c r="B140" s="1320"/>
      <c r="C140" s="1320"/>
      <c r="D140" s="599" t="s">
        <v>250</v>
      </c>
      <c r="E140" s="560">
        <f>'15'!F140</f>
        <v>4333.53</v>
      </c>
      <c r="F140" s="554">
        <v>4333.53</v>
      </c>
      <c r="G140" s="549">
        <f t="shared" si="15"/>
        <v>0</v>
      </c>
      <c r="H140" s="536">
        <f>G140+'15'!H140</f>
        <v>101.11999999999989</v>
      </c>
      <c r="I140" s="619"/>
      <c r="J140" s="629">
        <f>H140/DAY(B2)</f>
        <v>6.3199999999999932</v>
      </c>
      <c r="N140" s="818"/>
      <c r="O140" s="825"/>
      <c r="P140" s="413"/>
    </row>
    <row r="141" spans="1:16">
      <c r="A141" s="1397" t="s">
        <v>336</v>
      </c>
      <c r="B141" s="1398"/>
      <c r="C141" s="1323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5"/>
      <c r="P141" s="413"/>
    </row>
    <row r="142" spans="1:16" ht="27.75">
      <c r="A142" s="1388" t="s">
        <v>262</v>
      </c>
      <c r="B142" s="1389"/>
      <c r="C142" s="1390"/>
      <c r="D142" s="599" t="s">
        <v>143</v>
      </c>
      <c r="E142" s="599"/>
      <c r="F142" s="599"/>
      <c r="G142" s="536">
        <f>G35+G43+G49+G57</f>
        <v>5719.4300000000221</v>
      </c>
      <c r="H142" s="536">
        <f>G142+'15'!H142</f>
        <v>82689.320000000007</v>
      </c>
      <c r="I142" s="556"/>
      <c r="J142" s="629">
        <f>H142/DAY(B2)</f>
        <v>5168.0825000000004</v>
      </c>
      <c r="K142" s="411"/>
      <c r="L142" s="408"/>
      <c r="N142" s="818"/>
      <c r="O142" s="825"/>
      <c r="P142" s="413"/>
    </row>
    <row r="143" spans="1:16" ht="27.75">
      <c r="A143" s="1388" t="s">
        <v>263</v>
      </c>
      <c r="B143" s="1389"/>
      <c r="C143" s="1390"/>
      <c r="D143" s="599" t="s">
        <v>24</v>
      </c>
      <c r="E143" s="587"/>
      <c r="F143" s="587"/>
      <c r="G143" s="620">
        <f>G142/G7</f>
        <v>0.286329411764707</v>
      </c>
      <c r="H143" s="536">
        <f>G143+'15'!H143</f>
        <v>4.0899543569823242</v>
      </c>
      <c r="I143" s="621"/>
      <c r="J143" s="629">
        <f>H143/DAY(B2)</f>
        <v>0.25562214731139526</v>
      </c>
      <c r="K143" s="411"/>
      <c r="L143" s="408"/>
      <c r="N143" s="818"/>
      <c r="O143" s="825"/>
      <c r="P143" s="413"/>
    </row>
    <row r="144" spans="1:16" ht="27.75">
      <c r="A144" s="1388" t="s">
        <v>264</v>
      </c>
      <c r="B144" s="1389"/>
      <c r="C144" s="1390"/>
      <c r="D144" s="599" t="s">
        <v>143</v>
      </c>
      <c r="E144" s="531"/>
      <c r="F144" s="531"/>
      <c r="G144" s="536">
        <f>G41+G42+G55+G56</f>
        <v>3822.507999999998</v>
      </c>
      <c r="H144" s="536">
        <f>G144+'15'!H144</f>
        <v>68498.139999999985</v>
      </c>
      <c r="I144" s="556"/>
      <c r="J144" s="629">
        <f>H144/DAY(B2)</f>
        <v>4281.1337499999991</v>
      </c>
      <c r="K144" s="411"/>
      <c r="L144" s="408"/>
      <c r="N144" s="818"/>
      <c r="O144" s="825"/>
      <c r="P144" s="413"/>
    </row>
    <row r="145" spans="1:16" ht="27.75">
      <c r="A145" s="1388" t="s">
        <v>265</v>
      </c>
      <c r="B145" s="1389"/>
      <c r="C145" s="1390"/>
      <c r="D145" s="599" t="s">
        <v>24</v>
      </c>
      <c r="E145" s="531"/>
      <c r="F145" s="531"/>
      <c r="G145" s="620">
        <f>G144/G7</f>
        <v>0.19136460575719638</v>
      </c>
      <c r="H145" s="536">
        <f>G145+'15'!H145</f>
        <v>3.5205878917543321</v>
      </c>
      <c r="I145" s="621"/>
      <c r="J145" s="629">
        <f>H145/DAY(B2)</f>
        <v>0.22003674323464575</v>
      </c>
      <c r="K145" s="411"/>
      <c r="L145" s="408"/>
      <c r="N145" s="818"/>
      <c r="O145" s="825"/>
      <c r="P145" s="413"/>
    </row>
    <row r="146" spans="1:16" ht="27.75">
      <c r="A146" s="1388" t="s">
        <v>266</v>
      </c>
      <c r="B146" s="1389"/>
      <c r="C146" s="1390"/>
      <c r="D146" s="599" t="s">
        <v>143</v>
      </c>
      <c r="E146" s="531"/>
      <c r="F146" s="531"/>
      <c r="G146" s="536">
        <f>G39+G53</f>
        <v>4135.8999999999942</v>
      </c>
      <c r="H146" s="536">
        <f>G146+'15'!H146</f>
        <v>64892.880000000005</v>
      </c>
      <c r="I146" s="622"/>
      <c r="J146" s="629">
        <f>H146/DAY(B2)</f>
        <v>4055.8050000000003</v>
      </c>
      <c r="K146" s="411"/>
      <c r="L146" s="408"/>
      <c r="N146" s="818"/>
      <c r="O146" s="825"/>
      <c r="P146" s="413"/>
    </row>
    <row r="147" spans="1:16" ht="27.75">
      <c r="A147" s="1388" t="s">
        <v>267</v>
      </c>
      <c r="B147" s="1389"/>
      <c r="C147" s="1390"/>
      <c r="D147" s="599" t="s">
        <v>24</v>
      </c>
      <c r="E147" s="531"/>
      <c r="F147" s="531"/>
      <c r="G147" s="620">
        <f>G146/G7</f>
        <v>0.2070538172715892</v>
      </c>
      <c r="H147" s="536">
        <f>G147+'15'!H147</f>
        <v>3.3472839278908078</v>
      </c>
      <c r="I147" s="622"/>
      <c r="J147" s="629">
        <f>H147/DAY(B2)</f>
        <v>0.20920524549317548</v>
      </c>
      <c r="N147" s="818"/>
      <c r="O147" s="825"/>
      <c r="P147" s="413"/>
    </row>
    <row r="148" spans="1:16" ht="27.75">
      <c r="A148" s="1388" t="s">
        <v>268</v>
      </c>
      <c r="B148" s="1389"/>
      <c r="C148" s="1390"/>
      <c r="D148" s="599" t="s">
        <v>194</v>
      </c>
      <c r="E148" s="531"/>
      <c r="F148" s="531"/>
      <c r="G148" s="536">
        <f>G38+G52</f>
        <v>2161.2800000000279</v>
      </c>
      <c r="H148" s="536">
        <f>G148+'15'!H148</f>
        <v>32346.400000000023</v>
      </c>
      <c r="I148" s="556"/>
      <c r="J148" s="629">
        <f>H148/DAY(B2)</f>
        <v>2021.6500000000015</v>
      </c>
      <c r="K148" s="412"/>
      <c r="N148" s="818"/>
      <c r="O148" s="825"/>
      <c r="P148" s="413"/>
    </row>
    <row r="149" spans="1:16" ht="27.75">
      <c r="A149" s="1388" t="s">
        <v>269</v>
      </c>
      <c r="B149" s="1389"/>
      <c r="C149" s="1390"/>
      <c r="D149" s="599" t="s">
        <v>24</v>
      </c>
      <c r="E149" s="531"/>
      <c r="F149" s="531"/>
      <c r="G149" s="620">
        <f>G148/G7</f>
        <v>0.10819924906132805</v>
      </c>
      <c r="H149" s="536">
        <f>G149+'15'!H149</f>
        <v>1.669022858341823</v>
      </c>
      <c r="I149" s="622"/>
      <c r="J149" s="629">
        <f>H149/DAY(B2)</f>
        <v>0.10431392864636393</v>
      </c>
      <c r="N149" s="818"/>
      <c r="O149" s="825"/>
      <c r="P149" s="413"/>
    </row>
    <row r="150" spans="1:16" ht="27.75">
      <c r="A150" s="1388" t="s">
        <v>270</v>
      </c>
      <c r="B150" s="1389"/>
      <c r="C150" s="1390"/>
      <c r="D150" s="599" t="s">
        <v>194</v>
      </c>
      <c r="E150" s="531"/>
      <c r="F150" s="531"/>
      <c r="G150" s="536">
        <f>G36+G50</f>
        <v>2013.140000000014</v>
      </c>
      <c r="H150" s="536">
        <f>G150+'15'!H150</f>
        <v>28203.820000000007</v>
      </c>
      <c r="I150" s="622"/>
      <c r="J150" s="629">
        <f>H150/DAY(B2)</f>
        <v>1762.7387500000004</v>
      </c>
      <c r="N150" s="818"/>
      <c r="O150" s="825"/>
      <c r="P150" s="413"/>
    </row>
    <row r="151" spans="1:16" ht="27.75">
      <c r="A151" s="1388" t="s">
        <v>271</v>
      </c>
      <c r="B151" s="1389"/>
      <c r="C151" s="1390"/>
      <c r="D151" s="599" t="s">
        <v>24</v>
      </c>
      <c r="E151" s="531"/>
      <c r="F151" s="531"/>
      <c r="G151" s="620">
        <f>G150/G7</f>
        <v>0.10078297872340496</v>
      </c>
      <c r="H151" s="536">
        <f>G151+'15'!H151</f>
        <v>1.4558306445382929</v>
      </c>
      <c r="I151" s="556"/>
      <c r="J151" s="629">
        <f>H151/DAY(B2)</f>
        <v>9.0989415283643307E-2</v>
      </c>
      <c r="N151" s="818"/>
      <c r="O151" s="825"/>
      <c r="P151" s="413"/>
    </row>
    <row r="152" spans="1:16" ht="27.75">
      <c r="A152" s="1388" t="s">
        <v>272</v>
      </c>
      <c r="B152" s="1389"/>
      <c r="C152" s="1390"/>
      <c r="D152" s="599" t="s">
        <v>194</v>
      </c>
      <c r="E152" s="531"/>
      <c r="F152" s="531"/>
      <c r="G152" s="536">
        <f>G37+G51</f>
        <v>1488.9199999999983</v>
      </c>
      <c r="H152" s="536">
        <f>G152+'15'!H152</f>
        <v>23096.199999999997</v>
      </c>
      <c r="I152" s="556"/>
      <c r="J152" s="629">
        <f>H152/DAY(B2)</f>
        <v>1443.5124999999998</v>
      </c>
      <c r="N152" s="818"/>
      <c r="O152" s="825"/>
      <c r="P152" s="413"/>
    </row>
    <row r="153" spans="1:16" ht="28.5" thickBot="1">
      <c r="A153" s="1394" t="s">
        <v>273</v>
      </c>
      <c r="B153" s="1395"/>
      <c r="C153" s="1396"/>
      <c r="D153" s="702" t="s">
        <v>24</v>
      </c>
      <c r="E153" s="642"/>
      <c r="F153" s="642"/>
      <c r="G153" s="643">
        <f>G152/G7</f>
        <v>7.4539173967459238E-2</v>
      </c>
      <c r="H153" s="536">
        <f>G153+'15'!H153</f>
        <v>1.1918004175871832</v>
      </c>
      <c r="I153" s="645"/>
      <c r="J153" s="646">
        <f>H153/DAY(B2)</f>
        <v>7.4487526099198953E-2</v>
      </c>
      <c r="N153" s="818"/>
      <c r="O153" s="825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99" t="s">
        <v>274</v>
      </c>
      <c r="B160" s="900"/>
      <c r="C160" s="900"/>
      <c r="D160" s="697" t="s">
        <v>198</v>
      </c>
      <c r="E160" s="598">
        <f>'15'!F160</f>
        <v>27154.197</v>
      </c>
      <c r="F160" s="908">
        <v>27226.41</v>
      </c>
      <c r="G160" s="549">
        <f t="shared" ref="G160:G163" si="16">F160-E160</f>
        <v>72.212999999999738</v>
      </c>
      <c r="N160" s="818"/>
    </row>
    <row r="161" spans="1:14" ht="21.75" customHeight="1">
      <c r="A161" s="899" t="s">
        <v>275</v>
      </c>
      <c r="B161" s="900"/>
      <c r="C161" s="900"/>
      <c r="D161" s="697" t="s">
        <v>198</v>
      </c>
      <c r="E161" s="598">
        <f>'15'!F161</f>
        <v>35306.06</v>
      </c>
      <c r="F161" s="908">
        <v>35768.269999999997</v>
      </c>
      <c r="G161" s="549">
        <f t="shared" si="16"/>
        <v>462.20999999999913</v>
      </c>
      <c r="N161" s="818"/>
    </row>
    <row r="162" spans="1:14" ht="21.75" customHeight="1">
      <c r="A162" s="899" t="s">
        <v>276</v>
      </c>
      <c r="B162" s="900"/>
      <c r="C162" s="900"/>
      <c r="D162" s="697" t="s">
        <v>198</v>
      </c>
      <c r="E162" s="598">
        <v>9397.1299999999992</v>
      </c>
      <c r="F162" s="888">
        <v>9397.1299999999992</v>
      </c>
      <c r="G162" s="549">
        <f t="shared" si="16"/>
        <v>0</v>
      </c>
      <c r="N162" s="818"/>
    </row>
    <row r="163" spans="1:14" ht="21.75" customHeight="1">
      <c r="A163" s="899" t="s">
        <v>277</v>
      </c>
      <c r="B163" s="900"/>
      <c r="C163" s="900"/>
      <c r="D163" s="697" t="s">
        <v>198</v>
      </c>
      <c r="E163" s="598">
        <f>'15'!F163</f>
        <v>4678.25</v>
      </c>
      <c r="F163" s="908">
        <v>4699.71</v>
      </c>
      <c r="G163" s="549">
        <f t="shared" si="16"/>
        <v>21.460000000000036</v>
      </c>
      <c r="N163" s="818"/>
    </row>
    <row r="164" spans="1:14" ht="21.75" customHeight="1">
      <c r="A164" s="901" t="s">
        <v>106</v>
      </c>
      <c r="B164" s="902"/>
      <c r="C164" s="902"/>
      <c r="D164" s="697" t="s">
        <v>198</v>
      </c>
      <c r="E164" s="598">
        <f>'15'!F164</f>
        <v>20419.18</v>
      </c>
      <c r="F164" s="590">
        <f>F62</f>
        <v>20419.18</v>
      </c>
      <c r="G164" s="549">
        <f t="shared" ref="G164:G171" si="17">F164-E164</f>
        <v>0</v>
      </c>
      <c r="N164" s="818"/>
    </row>
    <row r="165" spans="1:14" ht="21.75" customHeight="1">
      <c r="A165" s="901" t="s">
        <v>199</v>
      </c>
      <c r="B165" s="902"/>
      <c r="C165" s="902"/>
      <c r="D165" s="697" t="s">
        <v>198</v>
      </c>
      <c r="E165" s="598">
        <f>'15'!F165</f>
        <v>1171.8499999999999</v>
      </c>
      <c r="F165" s="590">
        <f t="shared" ref="F165:F171" si="18">F63</f>
        <v>1178.1600000000001</v>
      </c>
      <c r="G165" s="549">
        <f t="shared" si="17"/>
        <v>6.3100000000001728</v>
      </c>
      <c r="N165" s="818"/>
    </row>
    <row r="166" spans="1:14" ht="21.75" customHeight="1">
      <c r="A166" s="1434" t="s">
        <v>107</v>
      </c>
      <c r="B166" s="1434"/>
      <c r="C166" s="1434"/>
      <c r="D166" s="600" t="s">
        <v>198</v>
      </c>
      <c r="E166" s="598">
        <f>'15'!F166</f>
        <v>104412.06</v>
      </c>
      <c r="F166" s="590">
        <f t="shared" si="18"/>
        <v>104830.59</v>
      </c>
      <c r="G166" s="549">
        <f t="shared" si="17"/>
        <v>418.52999999999884</v>
      </c>
      <c r="N166" s="818"/>
    </row>
    <row r="167" spans="1:14" ht="21.75" customHeight="1">
      <c r="A167" s="1434" t="s">
        <v>108</v>
      </c>
      <c r="B167" s="1434"/>
      <c r="C167" s="1434"/>
      <c r="D167" s="600" t="s">
        <v>198</v>
      </c>
      <c r="E167" s="598">
        <f>'15'!F167</f>
        <v>115115.39</v>
      </c>
      <c r="F167" s="590">
        <f t="shared" si="18"/>
        <v>115524.74</v>
      </c>
      <c r="G167" s="549">
        <f t="shared" si="17"/>
        <v>409.35000000000582</v>
      </c>
      <c r="N167" s="818"/>
    </row>
    <row r="168" spans="1:14" ht="21.75" customHeight="1">
      <c r="A168" s="1434" t="s">
        <v>109</v>
      </c>
      <c r="B168" s="1434"/>
      <c r="C168" s="1434"/>
      <c r="D168" s="600" t="s">
        <v>198</v>
      </c>
      <c r="E168" s="598">
        <f>'15'!F168</f>
        <v>7976.21</v>
      </c>
      <c r="F168" s="590">
        <f t="shared" si="18"/>
        <v>8307.6299999999992</v>
      </c>
      <c r="G168" s="549">
        <f t="shared" si="17"/>
        <v>331.41999999999916</v>
      </c>
      <c r="N168" s="818"/>
    </row>
    <row r="169" spans="1:14" ht="22.5" customHeight="1">
      <c r="A169" s="1434" t="s">
        <v>110</v>
      </c>
      <c r="B169" s="1434"/>
      <c r="C169" s="1434"/>
      <c r="D169" s="600" t="s">
        <v>198</v>
      </c>
      <c r="E169" s="598">
        <f>'15'!F169</f>
        <v>177972.81</v>
      </c>
      <c r="F169" s="590">
        <f t="shared" si="18"/>
        <v>178627.61</v>
      </c>
      <c r="G169" s="549">
        <f t="shared" si="17"/>
        <v>654.79999999998836</v>
      </c>
      <c r="N169" s="818"/>
    </row>
    <row r="170" spans="1:14" ht="24" customHeight="1">
      <c r="A170" s="1434" t="s">
        <v>111</v>
      </c>
      <c r="B170" s="1434"/>
      <c r="C170" s="1434"/>
      <c r="D170" s="600" t="s">
        <v>198</v>
      </c>
      <c r="E170" s="598">
        <f>'15'!F170</f>
        <v>58159.290999999997</v>
      </c>
      <c r="F170" s="590">
        <f t="shared" si="18"/>
        <v>58495.8</v>
      </c>
      <c r="G170" s="549">
        <f t="shared" si="17"/>
        <v>336.50900000000547</v>
      </c>
      <c r="N170" s="818"/>
    </row>
    <row r="171" spans="1:14" ht="27.75">
      <c r="A171" s="1434" t="s">
        <v>112</v>
      </c>
      <c r="B171" s="1434"/>
      <c r="C171" s="1434"/>
      <c r="D171" s="600" t="s">
        <v>198</v>
      </c>
      <c r="E171" s="598">
        <f>'15'!F171</f>
        <v>50930.39</v>
      </c>
      <c r="F171" s="590">
        <f t="shared" si="18"/>
        <v>51203.29</v>
      </c>
      <c r="G171" s="549">
        <f t="shared" si="17"/>
        <v>272.90000000000146</v>
      </c>
      <c r="N171" s="818"/>
    </row>
    <row r="172" spans="1:14">
      <c r="A172" s="903"/>
      <c r="B172" s="904"/>
      <c r="C172" s="904"/>
      <c r="D172" s="905"/>
      <c r="E172" s="905"/>
      <c r="F172" s="906"/>
      <c r="G172" s="907">
        <f>SUM(G160:G171)</f>
        <v>2985.7019999999984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23.25" customHeight="1">
      <c r="N177" s="818"/>
    </row>
    <row r="178" spans="14:14" ht="23.25" customHeight="1">
      <c r="N178" s="818"/>
    </row>
    <row r="179" spans="14:14" ht="23.25" customHeight="1">
      <c r="N179" s="818"/>
    </row>
    <row r="180" spans="14:14" ht="23.25" customHeight="1">
      <c r="N180" s="818"/>
    </row>
    <row r="181" spans="14:14" ht="23.25" customHeight="1">
      <c r="N181" s="818"/>
    </row>
    <row r="182" spans="14:14" ht="23.25" customHeight="1">
      <c r="N182" s="818"/>
    </row>
    <row r="183" spans="14:14" ht="23.25" customHeight="1">
      <c r="N183" s="818"/>
    </row>
    <row r="184" spans="14:14" ht="23.25" customHeight="1">
      <c r="N184" s="818"/>
    </row>
    <row r="185" spans="14:14" ht="23.25" customHeight="1">
      <c r="N185" s="818"/>
    </row>
    <row r="186" spans="14:14" ht="23.25" customHeight="1">
      <c r="N186" s="818"/>
    </row>
    <row r="187" spans="14:14" ht="23.25" customHeight="1">
      <c r="N187" s="818"/>
    </row>
    <row r="188" spans="14:14" ht="23.25" customHeight="1">
      <c r="N188" s="818"/>
    </row>
    <row r="189" spans="14:14" ht="23.25" customHeight="1">
      <c r="N189" s="818"/>
    </row>
    <row r="190" spans="14:14" ht="23.25" customHeight="1">
      <c r="N190" s="818"/>
    </row>
    <row r="191" spans="14:14" ht="23.25" customHeight="1">
      <c r="N191" s="818"/>
    </row>
    <row r="192" spans="14:14" ht="23.25" customHeight="1">
      <c r="N192" s="818"/>
    </row>
    <row r="193" spans="14:14" ht="23.25" customHeight="1">
      <c r="N193" s="818"/>
    </row>
    <row r="194" spans="14:14" ht="23.25" customHeight="1">
      <c r="N194" s="818"/>
    </row>
    <row r="195" spans="14:14" ht="23.25" customHeight="1">
      <c r="N195" s="818"/>
    </row>
    <row r="196" spans="14:14" ht="23.25" customHeight="1">
      <c r="N196" s="818"/>
    </row>
    <row r="197" spans="14:14" ht="23.25" customHeight="1">
      <c r="N197" s="818"/>
    </row>
    <row r="198" spans="14:14" ht="23.25" customHeight="1"/>
    <row r="199" spans="14:14" ht="23.25" customHeight="1"/>
    <row r="200" spans="14:14" ht="23.25" customHeight="1"/>
    <row r="201" spans="14:14" ht="23.25" customHeight="1"/>
    <row r="202" spans="14:14" ht="23.25" customHeight="1"/>
    <row r="203" spans="14:14" ht="23.25" customHeight="1"/>
    <row r="204" spans="14:14" ht="23.25" customHeight="1"/>
    <row r="205" spans="14:14" ht="23.25" customHeight="1"/>
    <row r="206" spans="14:14" ht="23.25" customHeight="1"/>
    <row r="207" spans="14:14" ht="23.25" customHeight="1"/>
    <row r="208" spans="14:14" ht="23.25" customHeight="1"/>
    <row r="209" ht="23.25" customHeight="1"/>
    <row r="210" ht="23.25" customHeight="1"/>
    <row r="211" ht="23.25" customHeight="1"/>
    <row r="212" ht="23.25" customHeight="1"/>
    <row r="213" ht="23.25" customHeight="1"/>
    <row r="214" ht="23.25" customHeight="1"/>
    <row r="215" ht="23.25" customHeight="1"/>
    <row r="216" ht="23.25" customHeight="1"/>
    <row r="217" ht="23.25" customHeight="1"/>
    <row r="218" ht="23.25" customHeight="1"/>
    <row r="219" ht="23.25" customHeight="1"/>
    <row r="220" ht="23.25" customHeight="1"/>
    <row r="221" ht="23.25" customHeight="1"/>
    <row r="222" ht="23.25" customHeight="1"/>
    <row r="223" ht="23.25" customHeight="1"/>
    <row r="224" ht="23.25" customHeight="1"/>
    <row r="225" ht="23.25" customHeight="1"/>
    <row r="226" ht="23.25" customHeight="1"/>
    <row r="227" ht="23.25" customHeight="1"/>
    <row r="228" ht="23.25" customHeight="1"/>
    <row r="229" ht="23.25" customHeight="1"/>
    <row r="230" ht="23.25" customHeight="1"/>
    <row r="231" ht="23.25" customHeight="1"/>
    <row r="232" ht="23.25" customHeight="1"/>
    <row r="233" ht="23.25" customHeight="1"/>
    <row r="234" ht="23.25" customHeight="1"/>
    <row r="235" ht="23.25" customHeight="1"/>
    <row r="236" ht="23.25" customHeight="1"/>
    <row r="237" ht="23.25" customHeight="1"/>
  </sheetData>
  <mergeCells count="74"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237"/>
  <sheetViews>
    <sheetView view="pageBreakPreview" topLeftCell="A55" zoomScale="55" zoomScaleSheetLayoutView="55" zoomScalePageLayoutView="60" workbookViewId="0">
      <selection activeCell="F28" sqref="F28"/>
    </sheetView>
  </sheetViews>
  <sheetFormatPr defaultColWidth="22.33203125" defaultRowHeight="29.25"/>
  <cols>
    <col min="1" max="1" width="59.6640625" style="530" bestFit="1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6.886718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816" customWidth="1"/>
    <col min="15" max="15" width="22.33203125" style="823"/>
    <col min="16" max="16384" width="22.33203125" style="407"/>
  </cols>
  <sheetData>
    <row r="1" spans="1:16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6" s="281" customFormat="1" ht="27">
      <c r="A2" s="652" t="s">
        <v>290</v>
      </c>
      <c r="B2" s="1139">
        <v>44213</v>
      </c>
      <c r="C2" s="1338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N2" s="817"/>
      <c r="O2" s="824"/>
    </row>
    <row r="3" spans="1:16" s="281" customFormat="1" ht="27">
      <c r="A3" s="647"/>
      <c r="B3" s="691"/>
      <c r="C3" s="1338" t="s">
        <v>131</v>
      </c>
      <c r="D3" s="689">
        <v>28</v>
      </c>
      <c r="E3" s="1408" t="s">
        <v>132</v>
      </c>
      <c r="F3" s="1409"/>
      <c r="G3" s="538"/>
      <c r="H3" s="539"/>
      <c r="I3" s="539"/>
      <c r="J3" s="692"/>
      <c r="K3" s="402"/>
      <c r="L3" s="293"/>
      <c r="N3" s="817"/>
      <c r="O3" s="824"/>
    </row>
    <row r="4" spans="1:16" s="281" customFormat="1" ht="27">
      <c r="A4" s="653"/>
      <c r="B4" s="693"/>
      <c r="C4" s="1338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817"/>
      <c r="O4" s="824"/>
    </row>
    <row r="5" spans="1:16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6">
      <c r="A6" s="1402" t="s">
        <v>141</v>
      </c>
      <c r="B6" s="1403"/>
      <c r="C6" s="1404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>
      <c r="A7" s="757" t="s">
        <v>142</v>
      </c>
      <c r="B7" s="758"/>
      <c r="C7" s="758"/>
      <c r="D7" s="715" t="s">
        <v>143</v>
      </c>
      <c r="E7" s="710">
        <f>'16'!F7</f>
        <v>3596925</v>
      </c>
      <c r="F7" s="531">
        <v>3617806</v>
      </c>
      <c r="G7" s="759">
        <f>F7-E7</f>
        <v>20881</v>
      </c>
      <c r="H7" s="760">
        <f>G7+'16'!H7</f>
        <v>331366</v>
      </c>
      <c r="I7" s="761">
        <f>'1'!I7</f>
        <v>12000</v>
      </c>
      <c r="J7" s="762">
        <f>H7/DAY(B2)</f>
        <v>19492.117647058825</v>
      </c>
      <c r="K7" s="626"/>
      <c r="L7" s="408"/>
      <c r="N7" s="829"/>
      <c r="O7" s="825"/>
      <c r="P7" s="828"/>
    </row>
    <row r="8" spans="1:16" ht="27.75" thickBot="1">
      <c r="A8" s="763" t="s">
        <v>144</v>
      </c>
      <c r="B8" s="764"/>
      <c r="C8" s="765"/>
      <c r="D8" s="766" t="s">
        <v>25</v>
      </c>
      <c r="E8" s="710">
        <f>'16'!F8</f>
        <v>3619356</v>
      </c>
      <c r="F8" s="551">
        <v>3640289</v>
      </c>
      <c r="G8" s="770">
        <f>F8-E8</f>
        <v>20933</v>
      </c>
      <c r="H8" s="760">
        <f>G8+'16'!H8</f>
        <v>333917</v>
      </c>
      <c r="I8" s="767">
        <f>'1'!I8</f>
        <v>12000</v>
      </c>
      <c r="J8" s="762">
        <f>H8/DAY(B2)</f>
        <v>19642.176470588234</v>
      </c>
      <c r="K8" s="626"/>
      <c r="L8" s="464"/>
      <c r="M8" s="479"/>
      <c r="N8" s="818"/>
      <c r="O8" s="825"/>
      <c r="P8" s="413"/>
    </row>
    <row r="9" spans="1:16">
      <c r="A9" s="768" t="s">
        <v>145</v>
      </c>
      <c r="B9" s="769"/>
      <c r="C9" s="769"/>
      <c r="D9" s="715" t="s">
        <v>143</v>
      </c>
      <c r="E9" s="710">
        <f>'16'!F9</f>
        <v>2448729.2999999998</v>
      </c>
      <c r="F9" s="554">
        <v>2451696.5</v>
      </c>
      <c r="G9" s="783">
        <f t="shared" ref="G9:G12" si="0">F9-E9</f>
        <v>2967.2000000001863</v>
      </c>
      <c r="H9" s="760">
        <f>G9+'16'!H9</f>
        <v>46481.5</v>
      </c>
      <c r="I9" s="771">
        <f>I7-J7</f>
        <v>-7492.1176470588252</v>
      </c>
      <c r="J9" s="762">
        <f>H9/DAY(B2)</f>
        <v>2734.205882352941</v>
      </c>
      <c r="K9" s="467"/>
      <c r="L9" s="408"/>
      <c r="N9" s="818"/>
      <c r="O9" s="825"/>
      <c r="P9" s="413"/>
    </row>
    <row r="10" spans="1:16">
      <c r="A10" s="757" t="s">
        <v>146</v>
      </c>
      <c r="B10" s="758"/>
      <c r="C10" s="758"/>
      <c r="D10" s="715" t="s">
        <v>143</v>
      </c>
      <c r="E10" s="710">
        <f>'16'!F10</f>
        <v>1006037</v>
      </c>
      <c r="F10" s="554">
        <v>1023053.9</v>
      </c>
      <c r="G10" s="770">
        <f t="shared" si="0"/>
        <v>17016.900000000023</v>
      </c>
      <c r="H10" s="760">
        <f>G10+'16'!H10</f>
        <v>272531.99</v>
      </c>
      <c r="I10" s="772"/>
      <c r="J10" s="762">
        <f>H10/DAY(B2)</f>
        <v>16031.293529411763</v>
      </c>
      <c r="K10" s="467"/>
      <c r="L10" s="408"/>
      <c r="N10" s="818"/>
      <c r="O10" s="825"/>
      <c r="P10" s="413"/>
    </row>
    <row r="11" spans="1:16">
      <c r="A11" s="757" t="s">
        <v>147</v>
      </c>
      <c r="B11" s="758"/>
      <c r="C11" s="758"/>
      <c r="D11" s="715" t="s">
        <v>143</v>
      </c>
      <c r="E11" s="710">
        <f>'16'!F11</f>
        <v>35390</v>
      </c>
      <c r="F11" s="531">
        <v>35390</v>
      </c>
      <c r="G11" s="770">
        <f t="shared" si="0"/>
        <v>0</v>
      </c>
      <c r="H11" s="760">
        <f>G11+'16'!H11</f>
        <v>0</v>
      </c>
      <c r="I11" s="772"/>
      <c r="J11" s="762">
        <f>H11/DAY(B2)</f>
        <v>0</v>
      </c>
      <c r="K11" s="467"/>
      <c r="L11" s="408"/>
      <c r="N11" s="818"/>
      <c r="O11" s="825"/>
      <c r="P11" s="413"/>
    </row>
    <row r="12" spans="1:16">
      <c r="A12" s="757" t="s">
        <v>148</v>
      </c>
      <c r="B12" s="758"/>
      <c r="C12" s="758"/>
      <c r="D12" s="715" t="s">
        <v>143</v>
      </c>
      <c r="E12" s="710">
        <f>'16'!F12</f>
        <v>37630</v>
      </c>
      <c r="F12" s="554">
        <v>37630</v>
      </c>
      <c r="G12" s="770">
        <f t="shared" si="0"/>
        <v>0</v>
      </c>
      <c r="H12" s="760">
        <f>G12+'16'!H12</f>
        <v>0</v>
      </c>
      <c r="I12" s="772"/>
      <c r="J12" s="762">
        <f>H12/DAY(B2)</f>
        <v>0</v>
      </c>
      <c r="K12" s="467"/>
      <c r="L12" s="408"/>
      <c r="N12" s="818"/>
      <c r="O12" s="825"/>
      <c r="P12" s="413"/>
    </row>
    <row r="13" spans="1:16">
      <c r="A13" s="773" t="s">
        <v>149</v>
      </c>
      <c r="B13" s="774"/>
      <c r="C13" s="774"/>
      <c r="D13" s="715"/>
      <c r="E13" s="710"/>
      <c r="F13" s="531"/>
      <c r="G13" s="775">
        <f>G9+G10+G11+G12</f>
        <v>19984.10000000021</v>
      </c>
      <c r="H13" s="760">
        <f>G13+'16'!H13</f>
        <v>299492.49</v>
      </c>
      <c r="I13" s="776">
        <f>G7-G13</f>
        <v>896.89999999979045</v>
      </c>
      <c r="J13" s="762">
        <f>H13/DAY(B2)</f>
        <v>17617.205294117648</v>
      </c>
      <c r="K13" s="467"/>
      <c r="L13" s="408"/>
      <c r="N13" s="818"/>
      <c r="O13" s="825"/>
      <c r="P13" s="413"/>
    </row>
    <row r="14" spans="1:16">
      <c r="A14" s="1405" t="s">
        <v>150</v>
      </c>
      <c r="B14" s="1406"/>
      <c r="C14" s="1407"/>
      <c r="D14" s="548"/>
      <c r="E14" s="548"/>
      <c r="F14" s="548"/>
      <c r="G14" s="559"/>
      <c r="H14" s="548"/>
      <c r="I14" s="548"/>
      <c r="J14" s="1331"/>
      <c r="K14" s="468"/>
      <c r="L14" s="408"/>
      <c r="N14" s="818"/>
      <c r="O14" s="825"/>
      <c r="P14" s="413"/>
    </row>
    <row r="15" spans="1:16">
      <c r="A15" s="897" t="s">
        <v>151</v>
      </c>
      <c r="B15" s="898"/>
      <c r="C15" s="898"/>
      <c r="D15" s="600" t="s">
        <v>152</v>
      </c>
      <c r="E15" s="561">
        <f>'16'!F15</f>
        <v>1581754.3289999999</v>
      </c>
      <c r="F15" s="561">
        <v>1582727.004</v>
      </c>
      <c r="G15" s="745">
        <f>(F15-E15)</f>
        <v>972.67500000004657</v>
      </c>
      <c r="H15" s="562">
        <f>G15+'16'!H15</f>
        <v>13812.903999999864</v>
      </c>
      <c r="I15" s="550">
        <f>'1'!I15</f>
        <v>800</v>
      </c>
      <c r="J15" s="630">
        <f>H15/DAY(B2)</f>
        <v>812.52376470587433</v>
      </c>
      <c r="K15" s="467"/>
      <c r="L15" s="408"/>
      <c r="N15" s="818"/>
      <c r="O15" s="825"/>
      <c r="P15" s="413"/>
    </row>
    <row r="16" spans="1:16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-12.523764705874328</v>
      </c>
      <c r="J16" s="630"/>
      <c r="K16" s="467"/>
      <c r="L16" s="408"/>
      <c r="N16" s="818"/>
      <c r="O16" s="825"/>
      <c r="P16" s="413"/>
    </row>
    <row r="17" spans="1:16">
      <c r="A17" s="1405" t="s">
        <v>153</v>
      </c>
      <c r="B17" s="1406"/>
      <c r="C17" s="1407"/>
      <c r="D17" s="548"/>
      <c r="E17" s="548"/>
      <c r="F17" s="548"/>
      <c r="G17" s="564"/>
      <c r="H17" s="548"/>
      <c r="I17" s="548"/>
      <c r="J17" s="628"/>
      <c r="K17" s="467"/>
      <c r="L17" s="408"/>
      <c r="N17" s="818"/>
      <c r="O17" s="825"/>
      <c r="P17" s="413"/>
    </row>
    <row r="18" spans="1:16" ht="27.75">
      <c r="A18" s="1431" t="s">
        <v>154</v>
      </c>
      <c r="B18" s="1432"/>
      <c r="C18" s="1433"/>
      <c r="D18" s="715" t="s">
        <v>155</v>
      </c>
      <c r="E18" s="712">
        <f>'16'!F18</f>
        <v>20</v>
      </c>
      <c r="F18" s="554">
        <v>14</v>
      </c>
      <c r="G18" s="775">
        <f>F18*10</f>
        <v>140</v>
      </c>
      <c r="H18" s="760">
        <f>G18+'16'!H18</f>
        <v>1930</v>
      </c>
      <c r="I18" s="761">
        <f>'1'!I18</f>
        <v>65</v>
      </c>
      <c r="J18" s="762">
        <f>H18/DAY(B2)</f>
        <v>113.52941176470588</v>
      </c>
      <c r="K18" s="467"/>
      <c r="L18" s="408"/>
      <c r="N18" s="818"/>
      <c r="O18" s="825"/>
      <c r="P18" s="413"/>
    </row>
    <row r="19" spans="1:16" ht="27.75">
      <c r="A19" s="1431" t="s">
        <v>71</v>
      </c>
      <c r="B19" s="1432"/>
      <c r="C19" s="1433"/>
      <c r="D19" s="715" t="s">
        <v>155</v>
      </c>
      <c r="E19" s="712">
        <f>'16'!F19</f>
        <v>132291</v>
      </c>
      <c r="F19" s="554">
        <v>132330</v>
      </c>
      <c r="G19" s="770">
        <f>F19-E19</f>
        <v>39</v>
      </c>
      <c r="H19" s="760">
        <f>G19+'16'!H19</f>
        <v>837</v>
      </c>
      <c r="I19" s="777"/>
      <c r="J19" s="762">
        <f>H19/DAY(B2)</f>
        <v>49.235294117647058</v>
      </c>
      <c r="K19" s="467"/>
      <c r="L19" s="408"/>
      <c r="N19" s="818"/>
      <c r="O19" s="825"/>
      <c r="P19" s="413"/>
    </row>
    <row r="20" spans="1:16">
      <c r="A20" s="773" t="s">
        <v>156</v>
      </c>
      <c r="B20" s="774"/>
      <c r="C20" s="774"/>
      <c r="D20" s="715"/>
      <c r="E20" s="715"/>
      <c r="F20" s="809"/>
      <c r="G20" s="778">
        <f>G18+G19</f>
        <v>179</v>
      </c>
      <c r="H20" s="760">
        <f>G20+'16'!H20</f>
        <v>2767</v>
      </c>
      <c r="I20" s="779">
        <f>I18-J20</f>
        <v>-97.764705882352928</v>
      </c>
      <c r="J20" s="762">
        <f>H20/DAY(B2)</f>
        <v>162.76470588235293</v>
      </c>
      <c r="K20" s="467"/>
      <c r="L20" s="408"/>
      <c r="N20" s="818"/>
      <c r="O20" s="825"/>
      <c r="P20" s="413"/>
    </row>
    <row r="21" spans="1:16">
      <c r="A21" s="1405" t="s">
        <v>157</v>
      </c>
      <c r="B21" s="1406"/>
      <c r="C21" s="1407"/>
      <c r="D21" s="548"/>
      <c r="E21" s="548"/>
      <c r="F21" s="548"/>
      <c r="G21" s="559"/>
      <c r="H21" s="548"/>
      <c r="I21" s="548"/>
      <c r="J21" s="628"/>
      <c r="K21" s="467"/>
      <c r="L21" s="408"/>
      <c r="N21" s="818"/>
      <c r="O21" s="825"/>
      <c r="P21" s="413"/>
    </row>
    <row r="22" spans="1:16">
      <c r="A22" s="1336" t="s">
        <v>158</v>
      </c>
      <c r="B22" s="666"/>
      <c r="C22" s="666"/>
      <c r="D22" s="599" t="s">
        <v>159</v>
      </c>
      <c r="E22" s="712">
        <f>'16'!F22</f>
        <v>2250</v>
      </c>
      <c r="F22" s="554">
        <v>2250</v>
      </c>
      <c r="G22" s="557">
        <v>0</v>
      </c>
      <c r="H22" s="536">
        <f>G22+'16'!H22</f>
        <v>0</v>
      </c>
      <c r="I22" s="556"/>
      <c r="J22" s="629">
        <f>H22/DAY(B2)</f>
        <v>0</v>
      </c>
      <c r="K22" s="467"/>
      <c r="L22" s="408"/>
      <c r="N22" s="818"/>
      <c r="O22" s="825"/>
      <c r="P22" s="413"/>
    </row>
    <row r="23" spans="1:16">
      <c r="A23" s="1336" t="s">
        <v>160</v>
      </c>
      <c r="B23" s="666"/>
      <c r="C23" s="666"/>
      <c r="D23" s="599" t="s">
        <v>159</v>
      </c>
      <c r="E23" s="712">
        <f>'16'!F23</f>
        <v>2000</v>
      </c>
      <c r="F23" s="554">
        <v>2000</v>
      </c>
      <c r="G23" s="557">
        <v>0</v>
      </c>
      <c r="H23" s="536">
        <f>G23+'16'!H23</f>
        <v>0</v>
      </c>
      <c r="I23" s="556"/>
      <c r="J23" s="629">
        <f>H23/DAY(B2)</f>
        <v>0</v>
      </c>
      <c r="K23" s="467"/>
      <c r="L23" s="408"/>
      <c r="N23" s="818"/>
      <c r="O23" s="825"/>
      <c r="P23" s="413"/>
    </row>
    <row r="24" spans="1:16">
      <c r="A24" s="667" t="s">
        <v>161</v>
      </c>
      <c r="B24" s="668"/>
      <c r="C24" s="668"/>
      <c r="D24" s="587" t="s">
        <v>159</v>
      </c>
      <c r="E24" s="569">
        <f>'16'!F24</f>
        <v>4250</v>
      </c>
      <c r="F24" s="561">
        <v>4250</v>
      </c>
      <c r="G24" s="557">
        <v>0</v>
      </c>
      <c r="H24" s="536">
        <v>0</v>
      </c>
      <c r="I24" s="556"/>
      <c r="J24" s="629">
        <f>H24/DAY(B2)</f>
        <v>0</v>
      </c>
      <c r="K24" s="467"/>
      <c r="L24" s="408"/>
      <c r="N24" s="818"/>
      <c r="O24" s="825"/>
      <c r="P24" s="413"/>
    </row>
    <row r="25" spans="1:16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N25" s="818"/>
      <c r="O25" s="825"/>
      <c r="P25" s="413"/>
    </row>
    <row r="26" spans="1:16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818"/>
      <c r="O26" s="825"/>
      <c r="P26" s="413"/>
    </row>
    <row r="27" spans="1:16" s="481" customFormat="1" ht="27.75">
      <c r="A27" s="669" t="s">
        <v>6</v>
      </c>
      <c r="B27" s="670"/>
      <c r="C27" s="671"/>
      <c r="D27" s="696" t="s">
        <v>25</v>
      </c>
      <c r="E27" s="780">
        <f>G8</f>
        <v>20933</v>
      </c>
      <c r="F27" s="577">
        <v>9</v>
      </c>
      <c r="G27" s="578">
        <f>E27*F27</f>
        <v>188397</v>
      </c>
      <c r="H27" s="536">
        <f>G27+'16'!H27</f>
        <v>3023328</v>
      </c>
      <c r="I27" s="579"/>
      <c r="J27" s="629">
        <f>H27/DAY(B2)</f>
        <v>177842.82352941178</v>
      </c>
      <c r="K27" s="404"/>
      <c r="L27" s="484"/>
      <c r="N27" s="818"/>
      <c r="O27" s="825"/>
      <c r="P27" s="413"/>
    </row>
    <row r="28" spans="1:16" s="481" customFormat="1" ht="27.75">
      <c r="A28" s="669" t="s">
        <v>165</v>
      </c>
      <c r="B28" s="670"/>
      <c r="C28" s="671"/>
      <c r="D28" s="696" t="s">
        <v>166</v>
      </c>
      <c r="E28" s="780">
        <f>G15</f>
        <v>972.67500000004657</v>
      </c>
      <c r="F28" s="577">
        <v>41</v>
      </c>
      <c r="G28" s="578">
        <f>E28*F28</f>
        <v>39879.675000001909</v>
      </c>
      <c r="H28" s="536">
        <f>G28+'16'!H28</f>
        <v>565087.70399999444</v>
      </c>
      <c r="I28" s="581"/>
      <c r="J28" s="629">
        <f>H28/DAY(B2)</f>
        <v>33240.453176470262</v>
      </c>
      <c r="K28" s="404"/>
      <c r="L28" s="484"/>
      <c r="N28" s="818"/>
      <c r="O28" s="825"/>
      <c r="P28" s="413"/>
    </row>
    <row r="29" spans="1:16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G29+'16'!H29</f>
        <v>0</v>
      </c>
      <c r="I29" s="581"/>
      <c r="J29" s="629">
        <f>H29/DAY(B2)</f>
        <v>0</v>
      </c>
      <c r="K29" s="404"/>
      <c r="L29" s="484"/>
      <c r="N29" s="818"/>
      <c r="O29" s="825"/>
      <c r="P29" s="413"/>
    </row>
    <row r="30" spans="1:16" s="481" customFormat="1" ht="27.75">
      <c r="A30" s="669" t="s">
        <v>169</v>
      </c>
      <c r="B30" s="670"/>
      <c r="C30" s="671"/>
      <c r="D30" s="696" t="s">
        <v>170</v>
      </c>
      <c r="E30" s="780">
        <f>G19</f>
        <v>39</v>
      </c>
      <c r="F30" s="577">
        <v>134</v>
      </c>
      <c r="G30" s="578">
        <f>E30*F30</f>
        <v>5226</v>
      </c>
      <c r="H30" s="536">
        <f>G30+'16'!H30</f>
        <v>112158</v>
      </c>
      <c r="I30" s="581"/>
      <c r="J30" s="629">
        <f>H30/DAY(B2)</f>
        <v>6597.5294117647063</v>
      </c>
      <c r="K30" s="404"/>
      <c r="L30" s="484"/>
      <c r="N30" s="818"/>
      <c r="O30" s="825"/>
      <c r="P30" s="413"/>
    </row>
    <row r="31" spans="1:16" s="481" customFormat="1" ht="27.75">
      <c r="A31" s="669" t="s">
        <v>171</v>
      </c>
      <c r="B31" s="670"/>
      <c r="C31" s="671"/>
      <c r="D31" s="696" t="s">
        <v>155</v>
      </c>
      <c r="E31" s="780">
        <f>G18</f>
        <v>140</v>
      </c>
      <c r="F31" s="577">
        <v>80</v>
      </c>
      <c r="G31" s="578">
        <f>E31*F31</f>
        <v>11200</v>
      </c>
      <c r="H31" s="536">
        <f>G31+'16'!H31</f>
        <v>154400</v>
      </c>
      <c r="I31" s="581"/>
      <c r="J31" s="629"/>
      <c r="K31" s="404">
        <f>E31*80%</f>
        <v>112</v>
      </c>
      <c r="L31" s="484"/>
      <c r="N31" s="818"/>
      <c r="O31" s="825"/>
      <c r="P31" s="413"/>
    </row>
    <row r="32" spans="1:16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244702.67500000191</v>
      </c>
      <c r="H32" s="536">
        <f>G32+'16'!H32</f>
        <v>3854973.7039999943</v>
      </c>
      <c r="I32" s="585"/>
      <c r="J32" s="629">
        <f>H32/DAY(B2)</f>
        <v>226763.15905882319</v>
      </c>
      <c r="K32" s="404"/>
      <c r="L32" s="484"/>
      <c r="N32" s="818"/>
      <c r="O32" s="825"/>
      <c r="P32" s="413"/>
    </row>
    <row r="33" spans="1:16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818"/>
      <c r="O33" s="825"/>
      <c r="P33" s="413"/>
    </row>
    <row r="34" spans="1:16">
      <c r="A34" s="675" t="s">
        <v>174</v>
      </c>
      <c r="B34" s="1341"/>
      <c r="C34" s="1341"/>
      <c r="D34" s="548"/>
      <c r="E34" s="547"/>
      <c r="F34" s="547"/>
      <c r="G34" s="548"/>
      <c r="H34" s="548"/>
      <c r="I34" s="548"/>
      <c r="J34" s="628"/>
      <c r="K34" s="467"/>
      <c r="L34" s="408"/>
      <c r="N34" s="818"/>
      <c r="O34" s="825"/>
      <c r="P34" s="413"/>
    </row>
    <row r="35" spans="1:16">
      <c r="A35" s="655" t="s">
        <v>175</v>
      </c>
      <c r="B35" s="656"/>
      <c r="C35" s="656"/>
      <c r="D35" s="599" t="s">
        <v>143</v>
      </c>
      <c r="E35" s="586">
        <f>'16'!F35</f>
        <v>629027.67000000004</v>
      </c>
      <c r="F35" s="586">
        <v>629027.67000000004</v>
      </c>
      <c r="G35" s="549">
        <f t="shared" ref="G35:G46" si="1">F35-E35</f>
        <v>0</v>
      </c>
      <c r="H35" s="536">
        <f>G35+'16'!H35</f>
        <v>0.67000000004190952</v>
      </c>
      <c r="I35" s="531"/>
      <c r="J35" s="629">
        <f>H35/DAY(B2)</f>
        <v>3.9411764708347619E-2</v>
      </c>
      <c r="K35" s="467"/>
      <c r="L35" s="408"/>
      <c r="N35" s="818"/>
      <c r="O35" s="826"/>
      <c r="P35" s="413"/>
    </row>
    <row r="36" spans="1:16">
      <c r="A36" s="655" t="s">
        <v>176</v>
      </c>
      <c r="B36" s="656"/>
      <c r="C36" s="656"/>
      <c r="D36" s="599" t="s">
        <v>143</v>
      </c>
      <c r="E36" s="586">
        <f>'16'!F36</f>
        <v>266160.61</v>
      </c>
      <c r="F36" s="586">
        <v>266803.83</v>
      </c>
      <c r="G36" s="549">
        <f t="shared" si="1"/>
        <v>643.22000000003027</v>
      </c>
      <c r="H36" s="536">
        <f>G36+'16'!H36</f>
        <v>11712.760000000009</v>
      </c>
      <c r="I36" s="531"/>
      <c r="J36" s="629">
        <f>H36/DAY(B2)</f>
        <v>688.98588235294176</v>
      </c>
      <c r="K36" s="467"/>
      <c r="L36" s="408"/>
      <c r="N36" s="819"/>
      <c r="O36" s="826"/>
      <c r="P36" s="413"/>
    </row>
    <row r="37" spans="1:16">
      <c r="A37" s="655" t="s">
        <v>177</v>
      </c>
      <c r="B37" s="656"/>
      <c r="C37" s="656"/>
      <c r="D37" s="599" t="s">
        <v>143</v>
      </c>
      <c r="E37" s="586">
        <f>'16'!F37</f>
        <v>415066</v>
      </c>
      <c r="F37" s="586">
        <v>415066</v>
      </c>
      <c r="G37" s="549">
        <f t="shared" si="1"/>
        <v>0</v>
      </c>
      <c r="H37" s="536">
        <f>G37+'16'!H37</f>
        <v>0</v>
      </c>
      <c r="I37" s="531"/>
      <c r="J37" s="629">
        <f>H37/DAY(B2)</f>
        <v>0</v>
      </c>
      <c r="K37" s="467"/>
      <c r="L37" s="408"/>
      <c r="N37" s="819"/>
      <c r="O37" s="826"/>
      <c r="P37" s="413"/>
    </row>
    <row r="38" spans="1:16">
      <c r="A38" s="655" t="s">
        <v>178</v>
      </c>
      <c r="B38" s="656"/>
      <c r="C38" s="656"/>
      <c r="D38" s="599" t="s">
        <v>143</v>
      </c>
      <c r="E38" s="586">
        <f>'16'!F38</f>
        <v>150714</v>
      </c>
      <c r="F38" s="545">
        <v>150714</v>
      </c>
      <c r="G38" s="549">
        <f t="shared" si="1"/>
        <v>0</v>
      </c>
      <c r="H38" s="536">
        <f>G38+'16'!H38</f>
        <v>0</v>
      </c>
      <c r="I38" s="531"/>
      <c r="J38" s="629">
        <f>H38/DAY(B2)</f>
        <v>0</v>
      </c>
      <c r="K38" s="467"/>
      <c r="L38" s="408"/>
      <c r="N38" s="818"/>
      <c r="O38" s="825"/>
      <c r="P38" s="413"/>
    </row>
    <row r="39" spans="1:16">
      <c r="A39" s="655" t="s">
        <v>179</v>
      </c>
      <c r="B39" s="656"/>
      <c r="C39" s="656"/>
      <c r="D39" s="599" t="s">
        <v>143</v>
      </c>
      <c r="E39" s="586">
        <f>'16'!F39</f>
        <v>912480</v>
      </c>
      <c r="F39" s="586">
        <v>912480</v>
      </c>
      <c r="G39" s="549">
        <f>F39-E39</f>
        <v>0</v>
      </c>
      <c r="H39" s="536">
        <f>G39+'16'!H39</f>
        <v>0</v>
      </c>
      <c r="I39" s="531"/>
      <c r="J39" s="629">
        <f>H39/DAY(B2)</f>
        <v>0</v>
      </c>
      <c r="K39" s="467"/>
      <c r="L39" s="408"/>
      <c r="N39" s="818"/>
      <c r="O39" s="826"/>
      <c r="P39" s="413"/>
    </row>
    <row r="40" spans="1:16">
      <c r="A40" s="676" t="s">
        <v>180</v>
      </c>
      <c r="B40" s="677"/>
      <c r="C40" s="677"/>
      <c r="D40" s="599" t="s">
        <v>143</v>
      </c>
      <c r="E40" s="586">
        <f>'16'!F40</f>
        <v>0.17</v>
      </c>
      <c r="F40" s="586">
        <v>0.17</v>
      </c>
      <c r="G40" s="549">
        <f t="shared" si="1"/>
        <v>0</v>
      </c>
      <c r="H40" s="536">
        <f>G40+'16'!H40</f>
        <v>0</v>
      </c>
      <c r="I40" s="531"/>
      <c r="J40" s="629">
        <f>H40/DAY(B2)</f>
        <v>0</v>
      </c>
      <c r="K40" s="468"/>
      <c r="L40" s="408"/>
      <c r="N40" s="818"/>
      <c r="O40" s="825"/>
      <c r="P40" s="413"/>
    </row>
    <row r="41" spans="1:16">
      <c r="A41" s="655" t="s">
        <v>181</v>
      </c>
      <c r="B41" s="656"/>
      <c r="C41" s="656"/>
      <c r="D41" s="599" t="s">
        <v>143</v>
      </c>
      <c r="E41" s="586">
        <f>'16'!F41</f>
        <v>300127.95</v>
      </c>
      <c r="F41" s="586">
        <v>300127.95</v>
      </c>
      <c r="G41" s="549">
        <f t="shared" si="1"/>
        <v>0</v>
      </c>
      <c r="H41" s="536">
        <f>G41+'16'!H41</f>
        <v>0</v>
      </c>
      <c r="I41" s="531"/>
      <c r="J41" s="629">
        <f>H41/DAY(B2)</f>
        <v>0</v>
      </c>
      <c r="K41" s="467"/>
      <c r="L41" s="408"/>
      <c r="N41" s="818"/>
      <c r="O41" s="827"/>
      <c r="P41" s="821"/>
    </row>
    <row r="42" spans="1:16">
      <c r="A42" s="655" t="s">
        <v>182</v>
      </c>
      <c r="B42" s="656"/>
      <c r="C42" s="656"/>
      <c r="D42" s="599" t="s">
        <v>143</v>
      </c>
      <c r="E42" s="586">
        <f>'16'!F42</f>
        <v>58926</v>
      </c>
      <c r="F42" s="586">
        <v>58926.099000000002</v>
      </c>
      <c r="G42" s="549">
        <f>F42-E42</f>
        <v>9.900000000197906E-2</v>
      </c>
      <c r="H42" s="536">
        <f>G42+'16'!H42</f>
        <v>9.0000000054715201E-3</v>
      </c>
      <c r="I42" s="531"/>
      <c r="J42" s="629">
        <f>H42/DAY(B2)</f>
        <v>5.294117650277365E-4</v>
      </c>
      <c r="K42" s="467"/>
      <c r="L42" s="408"/>
      <c r="N42" s="818"/>
      <c r="O42" s="825"/>
      <c r="P42" s="413"/>
    </row>
    <row r="43" spans="1:16">
      <c r="A43" s="655" t="s">
        <v>183</v>
      </c>
      <c r="B43" s="656"/>
      <c r="C43" s="656"/>
      <c r="D43" s="599" t="s">
        <v>143</v>
      </c>
      <c r="E43" s="586">
        <f>'16'!F43</f>
        <v>732505.51</v>
      </c>
      <c r="F43" s="586">
        <v>734949.43</v>
      </c>
      <c r="G43" s="549">
        <f t="shared" si="1"/>
        <v>2443.9200000000419</v>
      </c>
      <c r="H43" s="536">
        <f>G43+'16'!H43</f>
        <v>36696</v>
      </c>
      <c r="I43" s="531"/>
      <c r="J43" s="629">
        <f>H43/DAY(B2)</f>
        <v>2158.5882352941176</v>
      </c>
      <c r="K43" s="467"/>
      <c r="L43" s="408"/>
      <c r="N43" s="818"/>
      <c r="O43" s="826"/>
      <c r="P43" s="413"/>
    </row>
    <row r="44" spans="1:16">
      <c r="A44" s="655" t="s">
        <v>184</v>
      </c>
      <c r="B44" s="656"/>
      <c r="C44" s="656"/>
      <c r="D44" s="599" t="s">
        <v>143</v>
      </c>
      <c r="E44" s="586">
        <f>'16'!F44</f>
        <v>0</v>
      </c>
      <c r="F44" s="586">
        <v>0</v>
      </c>
      <c r="G44" s="549">
        <f t="shared" si="1"/>
        <v>0</v>
      </c>
      <c r="H44" s="536">
        <f>G44+'16'!H44</f>
        <v>0</v>
      </c>
      <c r="I44" s="531"/>
      <c r="J44" s="629">
        <f>H44/DAY(B2)</f>
        <v>0</v>
      </c>
      <c r="K44" s="467"/>
      <c r="L44" s="408"/>
      <c r="N44" s="818"/>
      <c r="O44" s="825"/>
      <c r="P44" s="413"/>
    </row>
    <row r="45" spans="1:16">
      <c r="A45" s="655" t="s">
        <v>185</v>
      </c>
      <c r="B45" s="656"/>
      <c r="C45" s="656"/>
      <c r="D45" s="599" t="s">
        <v>143</v>
      </c>
      <c r="E45" s="586">
        <f>'16'!F45</f>
        <v>614</v>
      </c>
      <c r="F45" s="586">
        <v>614</v>
      </c>
      <c r="G45" s="549">
        <f t="shared" si="1"/>
        <v>0</v>
      </c>
      <c r="H45" s="536">
        <f>G45+'16'!H45</f>
        <v>-0.48000000000001819</v>
      </c>
      <c r="I45" s="531"/>
      <c r="J45" s="629">
        <f>H45/DAY(B2)</f>
        <v>-2.8235294117648128E-2</v>
      </c>
      <c r="K45" s="467"/>
      <c r="L45" s="408"/>
      <c r="N45" s="822"/>
      <c r="O45" s="825"/>
      <c r="P45" s="413"/>
    </row>
    <row r="46" spans="1:16">
      <c r="A46" s="655" t="s">
        <v>186</v>
      </c>
      <c r="B46" s="656"/>
      <c r="C46" s="656"/>
      <c r="D46" s="599" t="s">
        <v>143</v>
      </c>
      <c r="E46" s="586">
        <f>'16'!F46</f>
        <v>187.49</v>
      </c>
      <c r="F46" s="586">
        <v>187.49</v>
      </c>
      <c r="G46" s="549">
        <f t="shared" si="1"/>
        <v>0</v>
      </c>
      <c r="H46" s="536">
        <f>G46+'16'!H46</f>
        <v>0</v>
      </c>
      <c r="I46" s="531"/>
      <c r="J46" s="629">
        <f>H46/DAY(B2)</f>
        <v>0</v>
      </c>
      <c r="K46" s="467"/>
      <c r="L46" s="408"/>
      <c r="N46" s="818"/>
      <c r="O46" s="825"/>
      <c r="P46" s="413"/>
    </row>
    <row r="47" spans="1:16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3087.2390000000742</v>
      </c>
      <c r="H47" s="536">
        <f>G47+'16'!H47</f>
        <v>48408.959000000053</v>
      </c>
      <c r="I47" s="531"/>
      <c r="J47" s="629">
        <f>H47/DAY(B2)</f>
        <v>2847.5858235294149</v>
      </c>
      <c r="K47" s="467"/>
      <c r="L47" s="408"/>
      <c r="N47" s="818"/>
      <c r="O47" s="825"/>
      <c r="P47" s="413"/>
    </row>
    <row r="48" spans="1:16">
      <c r="A48" s="675" t="s">
        <v>188</v>
      </c>
      <c r="B48" s="1341"/>
      <c r="C48" s="1341"/>
      <c r="D48" s="548"/>
      <c r="E48" s="547"/>
      <c r="F48" s="547"/>
      <c r="G48" s="548"/>
      <c r="H48" s="548"/>
      <c r="I48" s="548"/>
      <c r="J48" s="628"/>
      <c r="K48" s="467"/>
      <c r="L48" s="408"/>
      <c r="N48" s="818"/>
      <c r="O48" s="825"/>
      <c r="P48" s="413"/>
    </row>
    <row r="49" spans="1:16">
      <c r="A49" s="655" t="s">
        <v>175</v>
      </c>
      <c r="B49" s="678"/>
      <c r="C49" s="678"/>
      <c r="D49" s="599" t="s">
        <v>143</v>
      </c>
      <c r="E49" s="586">
        <f>'16'!F49</f>
        <v>197995.57</v>
      </c>
      <c r="F49" s="586">
        <v>201569.77</v>
      </c>
      <c r="G49" s="549">
        <f t="shared" ref="G49:G58" si="2">F49-E49</f>
        <v>3574.1999999999825</v>
      </c>
      <c r="H49" s="536">
        <f>G49+'16'!H49</f>
        <v>49164.76999999999</v>
      </c>
      <c r="I49" s="531"/>
      <c r="J49" s="629">
        <f>H49/DAY(B2)</f>
        <v>2892.0452941176463</v>
      </c>
      <c r="K49" s="467">
        <f>E49+242</f>
        <v>198237.57</v>
      </c>
      <c r="L49" s="408"/>
      <c r="N49" s="818"/>
      <c r="O49" s="825"/>
      <c r="P49" s="413"/>
    </row>
    <row r="50" spans="1:16">
      <c r="A50" s="655" t="s">
        <v>189</v>
      </c>
      <c r="B50" s="678"/>
      <c r="C50" s="678"/>
      <c r="D50" s="599" t="s">
        <v>143</v>
      </c>
      <c r="E50" s="586">
        <f>'16'!F50</f>
        <v>352034.71</v>
      </c>
      <c r="F50" s="586">
        <v>353226.47</v>
      </c>
      <c r="G50" s="549">
        <f t="shared" si="2"/>
        <v>1191.7599999999511</v>
      </c>
      <c r="H50" s="536">
        <f>G50+'16'!H50</f>
        <v>17009.039999999979</v>
      </c>
      <c r="I50" s="531"/>
      <c r="J50" s="629">
        <f>H50/DAY(B2)</f>
        <v>1000.5317647058811</v>
      </c>
      <c r="K50" s="467"/>
      <c r="L50" s="408"/>
      <c r="N50" s="818"/>
      <c r="O50" s="826"/>
      <c r="P50" s="413"/>
    </row>
    <row r="51" spans="1:16">
      <c r="A51" s="655" t="s">
        <v>177</v>
      </c>
      <c r="B51" s="678"/>
      <c r="C51" s="678"/>
      <c r="D51" s="599" t="s">
        <v>143</v>
      </c>
      <c r="E51" s="586">
        <f>'16'!F51</f>
        <v>87803.31</v>
      </c>
      <c r="F51" s="586">
        <v>89312.74</v>
      </c>
      <c r="G51" s="549">
        <f t="shared" si="2"/>
        <v>1509.4300000000076</v>
      </c>
      <c r="H51" s="536">
        <f>G51+'16'!H51</f>
        <v>23154.630000000005</v>
      </c>
      <c r="I51" s="531"/>
      <c r="J51" s="629">
        <f>H51/DAY(B2)</f>
        <v>1362.0370588235296</v>
      </c>
      <c r="K51" s="467"/>
      <c r="L51" s="408"/>
      <c r="N51" s="818"/>
      <c r="O51" s="825"/>
      <c r="P51" s="413"/>
    </row>
    <row r="52" spans="1:16">
      <c r="A52" s="655" t="s">
        <v>190</v>
      </c>
      <c r="B52" s="678"/>
      <c r="C52" s="678"/>
      <c r="D52" s="599" t="s">
        <v>143</v>
      </c>
      <c r="E52" s="586">
        <f>'16'!F52</f>
        <v>465526.03</v>
      </c>
      <c r="F52" s="586">
        <v>467611.75</v>
      </c>
      <c r="G52" s="549">
        <f t="shared" si="2"/>
        <v>2085.7199999999721</v>
      </c>
      <c r="H52" s="536">
        <f>G52+'16'!H52</f>
        <v>32336.119999999995</v>
      </c>
      <c r="I52" s="531"/>
      <c r="J52" s="629">
        <f>H52/DAY(B2)</f>
        <v>1902.1247058823526</v>
      </c>
      <c r="K52" s="467"/>
      <c r="L52" s="408"/>
      <c r="N52" s="818"/>
      <c r="O52" s="825"/>
      <c r="P52" s="413"/>
    </row>
    <row r="53" spans="1:16">
      <c r="A53" s="655" t="s">
        <v>179</v>
      </c>
      <c r="B53" s="678"/>
      <c r="C53" s="678"/>
      <c r="D53" s="599" t="s">
        <v>143</v>
      </c>
      <c r="E53" s="586">
        <f>'16'!F53</f>
        <v>241494.85</v>
      </c>
      <c r="F53" s="586">
        <v>245869.45</v>
      </c>
      <c r="G53" s="549">
        <f t="shared" si="2"/>
        <v>4374.6000000000058</v>
      </c>
      <c r="H53" s="536">
        <f>G53+'16'!H53</f>
        <v>64804.48000000001</v>
      </c>
      <c r="I53" s="531"/>
      <c r="J53" s="629">
        <f>H53/DAY(B2)</f>
        <v>3812.0282352941181</v>
      </c>
      <c r="K53" s="467"/>
      <c r="L53" s="408"/>
      <c r="N53" s="818"/>
      <c r="O53" s="825"/>
      <c r="P53" s="413"/>
    </row>
    <row r="54" spans="1:16">
      <c r="A54" s="655" t="s">
        <v>191</v>
      </c>
      <c r="B54" s="678"/>
      <c r="C54" s="678"/>
      <c r="D54" s="599" t="s">
        <v>143</v>
      </c>
      <c r="E54" s="586">
        <f>'16'!F54</f>
        <v>5533.18</v>
      </c>
      <c r="F54" s="586">
        <v>5592.02</v>
      </c>
      <c r="G54" s="549">
        <f t="shared" si="2"/>
        <v>58.840000000000146</v>
      </c>
      <c r="H54" s="536">
        <f>G54+'16'!H54</f>
        <v>945.48000000000047</v>
      </c>
      <c r="I54" s="531"/>
      <c r="J54" s="629">
        <f>H54/DAY(B2)</f>
        <v>55.616470588235323</v>
      </c>
      <c r="K54" s="467"/>
      <c r="L54" s="408"/>
      <c r="N54" s="818"/>
      <c r="O54" s="825"/>
      <c r="P54" s="413"/>
    </row>
    <row r="55" spans="1:16">
      <c r="A55" s="655" t="s">
        <v>192</v>
      </c>
      <c r="B55" s="678"/>
      <c r="C55" s="678"/>
      <c r="D55" s="599" t="s">
        <v>143</v>
      </c>
      <c r="E55" s="586">
        <f>'16'!F55</f>
        <v>23985.78</v>
      </c>
      <c r="F55" s="734">
        <v>28268.3</v>
      </c>
      <c r="G55" s="733">
        <f t="shared" si="2"/>
        <v>4282.5200000000004</v>
      </c>
      <c r="H55" s="805">
        <f>G55+'16'!H55</f>
        <v>28268.03000000001</v>
      </c>
      <c r="I55" s="806"/>
      <c r="J55" s="807">
        <f>H55/DAY(B2)</f>
        <v>1662.8252941176477</v>
      </c>
      <c r="K55" s="467"/>
      <c r="L55" s="408"/>
      <c r="N55" s="818"/>
      <c r="O55" s="825"/>
      <c r="P55" s="413"/>
    </row>
    <row r="56" spans="1:16">
      <c r="A56" s="655" t="s">
        <v>193</v>
      </c>
      <c r="B56" s="678"/>
      <c r="C56" s="678"/>
      <c r="D56" s="599" t="s">
        <v>194</v>
      </c>
      <c r="E56" s="586">
        <f>'16'!F56</f>
        <v>557724.47</v>
      </c>
      <c r="F56" s="734">
        <v>557725.39</v>
      </c>
      <c r="G56" s="549">
        <f>F56-E56</f>
        <v>0.92000000004190952</v>
      </c>
      <c r="H56" s="536">
        <f>G56+'16'!H56</f>
        <v>39824.640000000014</v>
      </c>
      <c r="I56" s="531"/>
      <c r="J56" s="629">
        <f>H56/DAY(B2)</f>
        <v>2342.625882352942</v>
      </c>
      <c r="K56" s="466"/>
      <c r="L56" s="408"/>
      <c r="N56" s="818"/>
      <c r="O56" s="827"/>
      <c r="P56" s="413"/>
    </row>
    <row r="57" spans="1:16">
      <c r="A57" s="655" t="s">
        <v>183</v>
      </c>
      <c r="B57" s="678"/>
      <c r="C57" s="678"/>
      <c r="D57" s="599" t="s">
        <v>143</v>
      </c>
      <c r="E57" s="586">
        <f>'16'!F57</f>
        <v>0</v>
      </c>
      <c r="F57" s="586">
        <v>0</v>
      </c>
      <c r="G57" s="549">
        <f>F57-E57</f>
        <v>0</v>
      </c>
      <c r="H57" s="536">
        <f>G57+'16'!H57</f>
        <v>0</v>
      </c>
      <c r="I57" s="531"/>
      <c r="J57" s="629">
        <f>H57/DAY(B2)</f>
        <v>0</v>
      </c>
      <c r="K57" s="467"/>
      <c r="L57" s="408"/>
      <c r="N57" s="818"/>
      <c r="O57" s="825"/>
      <c r="P57" s="413"/>
    </row>
    <row r="58" spans="1:16">
      <c r="A58" s="655" t="s">
        <v>195</v>
      </c>
      <c r="B58" s="678"/>
      <c r="C58" s="678"/>
      <c r="D58" s="599" t="s">
        <v>143</v>
      </c>
      <c r="E58" s="586">
        <f>'16'!F58</f>
        <v>27748.75</v>
      </c>
      <c r="F58" s="734">
        <v>27957.197</v>
      </c>
      <c r="G58" s="549">
        <f t="shared" si="2"/>
        <v>208.44700000000012</v>
      </c>
      <c r="H58" s="536">
        <f>G58+'16'!H58</f>
        <v>2801.7870000000003</v>
      </c>
      <c r="I58" s="531"/>
      <c r="J58" s="629">
        <f>H58/DAY(B2)</f>
        <v>164.81100000000001</v>
      </c>
      <c r="K58" s="467"/>
      <c r="L58" s="408"/>
      <c r="N58" s="818"/>
      <c r="O58" s="825"/>
      <c r="P58" s="413"/>
    </row>
    <row r="59" spans="1:16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17286.436999999962</v>
      </c>
      <c r="H59" s="536">
        <f>G59+'16'!H59</f>
        <v>258308.97700000001</v>
      </c>
      <c r="I59" s="531">
        <f>G7-G60</f>
        <v>507.32399999996414</v>
      </c>
      <c r="J59" s="629">
        <f>H59/DAY(B2)</f>
        <v>15194.645705882354</v>
      </c>
      <c r="K59" s="467"/>
      <c r="L59" s="408"/>
      <c r="N59" s="818"/>
      <c r="O59" s="825"/>
      <c r="P59" s="413"/>
    </row>
    <row r="60" spans="1:16">
      <c r="A60" s="655"/>
      <c r="B60" s="656"/>
      <c r="C60" s="656"/>
      <c r="D60" s="587" t="s">
        <v>196</v>
      </c>
      <c r="E60" s="587"/>
      <c r="F60" s="587"/>
      <c r="G60" s="557">
        <f>G47+G59</f>
        <v>20373.676000000036</v>
      </c>
      <c r="H60" s="536">
        <f>G60+'16'!H60</f>
        <v>323751.9360000001</v>
      </c>
      <c r="I60" s="531">
        <f>G13-G60</f>
        <v>-389.57599999982631</v>
      </c>
      <c r="J60" s="629">
        <f>H60/DAY(B2)</f>
        <v>19044.231529411772</v>
      </c>
      <c r="K60" s="467"/>
      <c r="L60" s="408"/>
      <c r="N60" s="818"/>
      <c r="O60" s="825"/>
      <c r="P60" s="413"/>
    </row>
    <row r="61" spans="1:16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18"/>
      <c r="O61" s="825"/>
      <c r="P61" s="413"/>
    </row>
    <row r="62" spans="1:16">
      <c r="A62" s="680" t="s">
        <v>106</v>
      </c>
      <c r="B62" s="681"/>
      <c r="C62" s="681"/>
      <c r="D62" s="587" t="s">
        <v>198</v>
      </c>
      <c r="E62" s="590">
        <f>'16'!F62</f>
        <v>20419.18</v>
      </c>
      <c r="F62" s="590">
        <v>20419.18</v>
      </c>
      <c r="G62" s="549">
        <f t="shared" ref="G62:G69" si="3">F62-E62</f>
        <v>0</v>
      </c>
      <c r="H62" s="536">
        <f>G62+'16'!H62</f>
        <v>0</v>
      </c>
      <c r="I62" s="591"/>
      <c r="J62" s="629">
        <f>H62/DAY(B2)</f>
        <v>0</v>
      </c>
      <c r="K62" s="467"/>
      <c r="L62" s="408"/>
      <c r="N62" s="818"/>
      <c r="O62" s="825"/>
      <c r="P62" s="413"/>
    </row>
    <row r="63" spans="1:16">
      <c r="A63" s="680" t="s">
        <v>199</v>
      </c>
      <c r="B63" s="681"/>
      <c r="C63" s="681"/>
      <c r="D63" s="587" t="s">
        <v>198</v>
      </c>
      <c r="E63" s="590">
        <f>'16'!F63</f>
        <v>1178.1600000000001</v>
      </c>
      <c r="F63" s="590">
        <v>1188.27</v>
      </c>
      <c r="G63" s="549">
        <f t="shared" si="3"/>
        <v>10.1099999999999</v>
      </c>
      <c r="H63" s="536">
        <f>G63+'16'!H63</f>
        <v>80.3599999999999</v>
      </c>
      <c r="I63" s="591"/>
      <c r="J63" s="629">
        <f>H63/DAY(B2)</f>
        <v>4.727058823529406</v>
      </c>
      <c r="K63" s="467"/>
      <c r="L63" s="408"/>
      <c r="N63" s="818"/>
      <c r="O63" s="825"/>
      <c r="P63" s="413"/>
    </row>
    <row r="64" spans="1:16" ht="27.75">
      <c r="A64" s="1367" t="s">
        <v>107</v>
      </c>
      <c r="B64" s="1368"/>
      <c r="C64" s="1369"/>
      <c r="D64" s="599" t="s">
        <v>198</v>
      </c>
      <c r="E64" s="1343">
        <f>'16'!F64</f>
        <v>104830.59</v>
      </c>
      <c r="F64" s="703">
        <v>105247</v>
      </c>
      <c r="G64" s="874">
        <f t="shared" si="3"/>
        <v>416.41000000000349</v>
      </c>
      <c r="H64" s="536">
        <f>G64+'16'!H64</f>
        <v>6823.6000000000058</v>
      </c>
      <c r="I64" s="556"/>
      <c r="J64" s="629">
        <f>H64/DAY(B2)</f>
        <v>401.38823529411798</v>
      </c>
      <c r="K64" s="467"/>
      <c r="L64" s="408"/>
      <c r="N64" s="818"/>
      <c r="O64" s="825"/>
      <c r="P64" s="413"/>
    </row>
    <row r="65" spans="1:16" ht="27.75">
      <c r="A65" s="1367" t="s">
        <v>108</v>
      </c>
      <c r="B65" s="1368"/>
      <c r="C65" s="1369"/>
      <c r="D65" s="599" t="s">
        <v>198</v>
      </c>
      <c r="E65" s="590">
        <f>'16'!F65</f>
        <v>115524.74</v>
      </c>
      <c r="F65" s="732">
        <v>115969.48</v>
      </c>
      <c r="G65" s="549">
        <f t="shared" si="3"/>
        <v>444.73999999999069</v>
      </c>
      <c r="H65" s="536">
        <f>G65+'16'!H65</f>
        <v>6925.3600000000006</v>
      </c>
      <c r="I65" s="565"/>
      <c r="J65" s="629">
        <f>H65/DAY(B2)</f>
        <v>407.37411764705888</v>
      </c>
      <c r="K65" s="467"/>
      <c r="L65" s="408"/>
      <c r="N65" s="818"/>
      <c r="O65" s="826"/>
      <c r="P65" s="413"/>
    </row>
    <row r="66" spans="1:16" ht="27.75">
      <c r="A66" s="1367" t="s">
        <v>109</v>
      </c>
      <c r="B66" s="1368"/>
      <c r="C66" s="1369"/>
      <c r="D66" s="599" t="s">
        <v>198</v>
      </c>
      <c r="E66" s="590">
        <f>'16'!F66</f>
        <v>8307.6299999999992</v>
      </c>
      <c r="F66" s="554">
        <v>8662.3799999999992</v>
      </c>
      <c r="G66" s="549">
        <f t="shared" si="3"/>
        <v>354.75</v>
      </c>
      <c r="H66" s="536">
        <f>G66+'16'!H66</f>
        <v>6240.2899999999991</v>
      </c>
      <c r="I66" s="556"/>
      <c r="J66" s="629">
        <f>H66/DAY(B2)</f>
        <v>367.07588235294111</v>
      </c>
      <c r="K66" s="467"/>
      <c r="L66" s="408"/>
      <c r="N66" s="818"/>
      <c r="O66" s="825"/>
      <c r="P66" s="413"/>
    </row>
    <row r="67" spans="1:16" ht="27.75">
      <c r="A67" s="1367" t="s">
        <v>110</v>
      </c>
      <c r="B67" s="1368"/>
      <c r="C67" s="1369"/>
      <c r="D67" s="599" t="s">
        <v>198</v>
      </c>
      <c r="E67" s="590">
        <f>'16'!F67</f>
        <v>178627.61</v>
      </c>
      <c r="F67" s="554">
        <v>179391.44</v>
      </c>
      <c r="G67" s="549">
        <f t="shared" si="3"/>
        <v>763.8300000000163</v>
      </c>
      <c r="H67" s="536">
        <f>G67+'16'!H67</f>
        <v>11150.089999999997</v>
      </c>
      <c r="I67" s="565"/>
      <c r="J67" s="629">
        <f>H67/DAY(B2)</f>
        <v>655.88764705882329</v>
      </c>
      <c r="K67" s="468"/>
      <c r="L67" s="408"/>
      <c r="N67" s="818"/>
      <c r="O67" s="825"/>
      <c r="P67" s="413"/>
    </row>
    <row r="68" spans="1:16" ht="27.75">
      <c r="A68" s="1367" t="s">
        <v>111</v>
      </c>
      <c r="B68" s="1368"/>
      <c r="C68" s="1369"/>
      <c r="D68" s="599" t="s">
        <v>198</v>
      </c>
      <c r="E68" s="590">
        <f>'16'!F68</f>
        <v>58495.8</v>
      </c>
      <c r="F68" s="554">
        <v>58824.800000000003</v>
      </c>
      <c r="G68" s="549">
        <f t="shared" si="3"/>
        <v>329</v>
      </c>
      <c r="H68" s="536">
        <f>G68+'16'!H68</f>
        <v>5200.9000000000015</v>
      </c>
      <c r="I68" s="592"/>
      <c r="J68" s="629">
        <f>H68/DAY(B2)</f>
        <v>305.93529411764712</v>
      </c>
      <c r="K68" s="469"/>
      <c r="L68" s="408"/>
      <c r="N68" s="818"/>
      <c r="O68" s="825"/>
      <c r="P68" s="413"/>
    </row>
    <row r="69" spans="1:16" ht="27.75">
      <c r="A69" s="1367" t="s">
        <v>112</v>
      </c>
      <c r="B69" s="1368"/>
      <c r="C69" s="1369"/>
      <c r="D69" s="599" t="s">
        <v>198</v>
      </c>
      <c r="E69" s="590">
        <f>'16'!F69</f>
        <v>51203.29</v>
      </c>
      <c r="F69" s="554">
        <v>51493.22</v>
      </c>
      <c r="G69" s="549">
        <f t="shared" si="3"/>
        <v>289.93000000000029</v>
      </c>
      <c r="H69" s="536">
        <f>G69+'16'!H69</f>
        <v>4973.7900000000009</v>
      </c>
      <c r="I69" s="592"/>
      <c r="J69" s="629">
        <f>H69/DAY(B2)</f>
        <v>292.57588235294122</v>
      </c>
      <c r="K69" s="470"/>
      <c r="L69" s="408"/>
      <c r="N69" s="818"/>
      <c r="O69" s="825"/>
      <c r="P69" s="413"/>
    </row>
    <row r="70" spans="1:16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18"/>
      <c r="O70" s="825"/>
      <c r="P70" s="413"/>
    </row>
    <row r="71" spans="1:16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818"/>
      <c r="O71" s="825"/>
      <c r="P71" s="413"/>
    </row>
    <row r="72" spans="1:16" ht="27.75">
      <c r="A72" s="1367" t="s">
        <v>202</v>
      </c>
      <c r="B72" s="1368"/>
      <c r="C72" s="1369"/>
      <c r="D72" s="599" t="s">
        <v>198</v>
      </c>
      <c r="E72" s="595">
        <f>'16'!F72</f>
        <v>847494</v>
      </c>
      <c r="F72" s="735">
        <v>847556</v>
      </c>
      <c r="G72" s="549">
        <f t="shared" ref="G72:G84" si="4">F72-E72</f>
        <v>62</v>
      </c>
      <c r="H72" s="536">
        <f>G72+'16'!H72</f>
        <v>1090</v>
      </c>
      <c r="I72" s="556"/>
      <c r="J72" s="629">
        <f>H72/DAY(B2)</f>
        <v>64.117647058823536</v>
      </c>
      <c r="K72" s="470"/>
      <c r="L72" s="408"/>
      <c r="N72" s="818"/>
      <c r="O72" s="825"/>
      <c r="P72" s="413"/>
    </row>
    <row r="73" spans="1:16" ht="27.75">
      <c r="A73" s="1367" t="s">
        <v>203</v>
      </c>
      <c r="B73" s="1368"/>
      <c r="C73" s="1369"/>
      <c r="D73" s="599" t="s">
        <v>198</v>
      </c>
      <c r="E73" s="595">
        <f>'16'!F73</f>
        <v>885701</v>
      </c>
      <c r="F73" s="736">
        <v>885708</v>
      </c>
      <c r="G73" s="733">
        <f t="shared" si="4"/>
        <v>7</v>
      </c>
      <c r="H73" s="536">
        <f>G73+'16'!H73</f>
        <v>927</v>
      </c>
      <c r="I73" s="556"/>
      <c r="J73" s="629">
        <f>H73/DAY(B2)</f>
        <v>54.529411764705884</v>
      </c>
      <c r="K73" s="469"/>
      <c r="L73" s="408"/>
      <c r="N73" s="818"/>
      <c r="O73" s="825"/>
      <c r="P73" s="413"/>
    </row>
    <row r="74" spans="1:16" ht="27.75">
      <c r="A74" s="1367" t="s">
        <v>204</v>
      </c>
      <c r="B74" s="1368"/>
      <c r="C74" s="1369"/>
      <c r="D74" s="599" t="s">
        <v>198</v>
      </c>
      <c r="E74" s="595">
        <f>'16'!F74</f>
        <v>881870</v>
      </c>
      <c r="F74" s="736">
        <v>881915</v>
      </c>
      <c r="G74" s="549">
        <f t="shared" si="4"/>
        <v>45</v>
      </c>
      <c r="H74" s="536">
        <f>G74+'16'!H74</f>
        <v>600</v>
      </c>
      <c r="I74" s="556"/>
      <c r="J74" s="629">
        <f>H74/DAY(B2)</f>
        <v>35.294117647058826</v>
      </c>
      <c r="K74" s="470"/>
      <c r="L74" s="408"/>
      <c r="N74" s="818"/>
      <c r="O74" s="825"/>
      <c r="P74" s="413"/>
    </row>
    <row r="75" spans="1:16" ht="27.75">
      <c r="A75" s="1364" t="s">
        <v>205</v>
      </c>
      <c r="B75" s="1365"/>
      <c r="C75" s="1366"/>
      <c r="D75" s="599" t="s">
        <v>198</v>
      </c>
      <c r="E75" s="595">
        <f>'16'!F75</f>
        <v>734589</v>
      </c>
      <c r="F75" s="736">
        <v>734797</v>
      </c>
      <c r="G75" s="549">
        <f t="shared" si="4"/>
        <v>208</v>
      </c>
      <c r="H75" s="536">
        <f>G75+'16'!H75</f>
        <v>3156</v>
      </c>
      <c r="I75" s="556"/>
      <c r="J75" s="629">
        <f>H75/DAY(B2)</f>
        <v>185.64705882352942</v>
      </c>
      <c r="K75" s="469"/>
      <c r="L75" s="408"/>
      <c r="N75" s="818"/>
      <c r="O75" s="825"/>
      <c r="P75" s="413"/>
    </row>
    <row r="76" spans="1:16" ht="27.75">
      <c r="A76" s="1364" t="s">
        <v>206</v>
      </c>
      <c r="B76" s="1365"/>
      <c r="C76" s="1366"/>
      <c r="D76" s="599" t="s">
        <v>198</v>
      </c>
      <c r="E76" s="595">
        <f>'16'!F76</f>
        <v>685755</v>
      </c>
      <c r="F76" s="736">
        <v>685850</v>
      </c>
      <c r="G76" s="549">
        <f t="shared" si="4"/>
        <v>95</v>
      </c>
      <c r="H76" s="536">
        <f>G76+'16'!H76</f>
        <v>2751</v>
      </c>
      <c r="I76" s="581"/>
      <c r="J76" s="629">
        <f>H76/DAY(B2)</f>
        <v>161.8235294117647</v>
      </c>
      <c r="K76" s="469"/>
      <c r="L76" s="408"/>
      <c r="N76" s="818"/>
      <c r="O76" s="825"/>
      <c r="P76" s="413"/>
    </row>
    <row r="77" spans="1:16" ht="27.75">
      <c r="A77" s="1367" t="s">
        <v>207</v>
      </c>
      <c r="B77" s="1368"/>
      <c r="C77" s="1369"/>
      <c r="D77" s="599" t="s">
        <v>198</v>
      </c>
      <c r="E77" s="595">
        <f>'16'!F77</f>
        <v>696282</v>
      </c>
      <c r="F77" s="736">
        <v>696341</v>
      </c>
      <c r="G77" s="733">
        <f t="shared" si="4"/>
        <v>59</v>
      </c>
      <c r="H77" s="536">
        <f>G77+'16'!H77</f>
        <v>947</v>
      </c>
      <c r="I77" s="581"/>
      <c r="J77" s="629">
        <f>H77/DAY(B2)</f>
        <v>55.705882352941174</v>
      </c>
      <c r="K77" s="469"/>
      <c r="L77" s="408"/>
      <c r="N77" s="818"/>
      <c r="O77" s="825"/>
      <c r="P77" s="413"/>
    </row>
    <row r="78" spans="1:16" ht="27.75">
      <c r="A78" s="1339" t="s">
        <v>208</v>
      </c>
      <c r="B78" s="1332"/>
      <c r="C78" s="1332"/>
      <c r="D78" s="599" t="s">
        <v>198</v>
      </c>
      <c r="E78" s="595">
        <f>'16'!F78</f>
        <v>636361</v>
      </c>
      <c r="F78" s="737">
        <v>636838</v>
      </c>
      <c r="G78" s="549">
        <f t="shared" si="4"/>
        <v>477</v>
      </c>
      <c r="H78" s="536">
        <f>G78+'16'!H78</f>
        <v>6065</v>
      </c>
      <c r="I78" s="581"/>
      <c r="J78" s="629">
        <f>H78/DAY(B2)</f>
        <v>356.76470588235293</v>
      </c>
      <c r="K78" s="469"/>
      <c r="L78" s="408"/>
      <c r="N78" s="818"/>
      <c r="O78" s="825"/>
      <c r="P78" s="413"/>
    </row>
    <row r="79" spans="1:16" ht="27.75">
      <c r="A79" s="1364" t="s">
        <v>97</v>
      </c>
      <c r="B79" s="1365"/>
      <c r="C79" s="1366"/>
      <c r="D79" s="600" t="s">
        <v>198</v>
      </c>
      <c r="E79" s="595">
        <f>'16'!F79</f>
        <v>806869</v>
      </c>
      <c r="F79" s="737">
        <v>807048</v>
      </c>
      <c r="G79" s="549">
        <f t="shared" si="4"/>
        <v>179</v>
      </c>
      <c r="H79" s="536">
        <f>G79+'16'!H79</f>
        <v>5277</v>
      </c>
      <c r="I79" s="581"/>
      <c r="J79" s="629">
        <f>H79/DAY(B2)</f>
        <v>310.41176470588238</v>
      </c>
      <c r="K79" s="469"/>
      <c r="L79" s="408"/>
      <c r="N79" s="818"/>
      <c r="O79" s="825"/>
      <c r="P79" s="413"/>
    </row>
    <row r="80" spans="1:16" ht="27.75">
      <c r="A80" s="1364" t="s">
        <v>209</v>
      </c>
      <c r="B80" s="1365"/>
      <c r="C80" s="1366"/>
      <c r="D80" s="600" t="s">
        <v>198</v>
      </c>
      <c r="E80" s="595">
        <f>'16'!F80</f>
        <v>480560</v>
      </c>
      <c r="F80" s="736">
        <v>480844.24</v>
      </c>
      <c r="G80" s="549">
        <f t="shared" si="4"/>
        <v>284.23999999999069</v>
      </c>
      <c r="H80" s="536">
        <f>G80+'16'!H80</f>
        <v>3632.3999999999651</v>
      </c>
      <c r="I80" s="581"/>
      <c r="J80" s="629">
        <f>H80/DAY(B2)</f>
        <v>213.67058823529206</v>
      </c>
      <c r="K80" s="469"/>
      <c r="L80" s="408"/>
      <c r="N80" s="818"/>
      <c r="O80" s="825"/>
      <c r="P80" s="413"/>
    </row>
    <row r="81" spans="1:16" ht="27.75">
      <c r="A81" s="1364" t="s">
        <v>210</v>
      </c>
      <c r="B81" s="1365"/>
      <c r="C81" s="1366"/>
      <c r="D81" s="600" t="s">
        <v>198</v>
      </c>
      <c r="E81" s="595">
        <f>'16'!F81</f>
        <v>621169.31999999995</v>
      </c>
      <c r="F81" s="736">
        <v>621258.52</v>
      </c>
      <c r="G81" s="549">
        <f t="shared" si="4"/>
        <v>89.200000000069849</v>
      </c>
      <c r="H81" s="536">
        <f>G81+'16'!H81</f>
        <v>2004.5200000000186</v>
      </c>
      <c r="I81" s="581"/>
      <c r="J81" s="629">
        <f>H81/DAY(B2)</f>
        <v>117.91294117647169</v>
      </c>
      <c r="K81" s="469"/>
      <c r="L81" s="408"/>
      <c r="N81" s="818"/>
      <c r="O81" s="825"/>
      <c r="P81" s="413"/>
    </row>
    <row r="82" spans="1:16" s="876" customFormat="1" ht="27.75">
      <c r="A82" s="1435" t="s">
        <v>100</v>
      </c>
      <c r="B82" s="1436"/>
      <c r="C82" s="1437"/>
      <c r="D82" s="703" t="s">
        <v>143</v>
      </c>
      <c r="E82" s="886">
        <f>'16'!F82</f>
        <v>104839.66</v>
      </c>
      <c r="F82" s="703">
        <v>104870.77</v>
      </c>
      <c r="G82" s="874">
        <f t="shared" si="4"/>
        <v>31.110000000000582</v>
      </c>
      <c r="H82" s="555">
        <f>G82+'16'!H82</f>
        <v>432.77000000000407</v>
      </c>
      <c r="I82" s="555"/>
      <c r="J82" s="875">
        <f>H82/DAY(B2)</f>
        <v>25.45705882352965</v>
      </c>
      <c r="K82" s="1329"/>
      <c r="L82" s="1330"/>
      <c r="N82" s="822"/>
      <c r="O82" s="826"/>
      <c r="P82" s="821"/>
    </row>
    <row r="83" spans="1:16" ht="27.75">
      <c r="A83" s="1364" t="s">
        <v>211</v>
      </c>
      <c r="B83" s="1365"/>
      <c r="C83" s="1366"/>
      <c r="D83" s="697" t="s">
        <v>143</v>
      </c>
      <c r="E83" s="595">
        <f>'16'!F83</f>
        <v>979203</v>
      </c>
      <c r="F83" s="587">
        <v>979617</v>
      </c>
      <c r="G83" s="549">
        <f t="shared" si="4"/>
        <v>414</v>
      </c>
      <c r="H83" s="536">
        <f>G83+'16'!H83</f>
        <v>6146</v>
      </c>
      <c r="I83" s="557"/>
      <c r="J83" s="629">
        <f>H83/DAY(B2)</f>
        <v>361.52941176470586</v>
      </c>
      <c r="K83" s="468"/>
      <c r="L83" s="408"/>
      <c r="N83" s="818"/>
      <c r="O83" s="825"/>
      <c r="P83" s="413"/>
    </row>
    <row r="84" spans="1:16">
      <c r="A84" s="1340" t="s">
        <v>212</v>
      </c>
      <c r="B84" s="648"/>
      <c r="C84" s="648"/>
      <c r="D84" s="554" t="s">
        <v>143</v>
      </c>
      <c r="E84" s="595">
        <f>'16'!F84</f>
        <v>407077</v>
      </c>
      <c r="F84" s="704">
        <v>407924</v>
      </c>
      <c r="G84" s="549">
        <f t="shared" si="4"/>
        <v>847</v>
      </c>
      <c r="H84" s="536">
        <f>G84+'16'!H84</f>
        <v>10728</v>
      </c>
      <c r="I84" s="557"/>
      <c r="J84" s="629">
        <f>H84/DAY(B2)</f>
        <v>631.05882352941171</v>
      </c>
      <c r="K84" s="411"/>
      <c r="L84" s="408"/>
      <c r="N84" s="818"/>
      <c r="O84" s="825"/>
      <c r="P84" s="413"/>
    </row>
    <row r="85" spans="1:16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2797.5500000000611</v>
      </c>
      <c r="H85" s="536">
        <f>G85+'16'!H85</f>
        <v>39526.530000000013</v>
      </c>
      <c r="I85" s="557"/>
      <c r="J85" s="629">
        <f>H85/DAY(B2)</f>
        <v>2325.0900000000006</v>
      </c>
      <c r="K85" s="411"/>
      <c r="L85" s="409"/>
      <c r="N85" s="818"/>
      <c r="O85" s="825"/>
      <c r="P85" s="413"/>
    </row>
    <row r="86" spans="1:16" s="835" customFormat="1">
      <c r="A86" s="830" t="s">
        <v>102</v>
      </c>
      <c r="B86" s="831"/>
      <c r="C86" s="831"/>
      <c r="D86" s="832" t="s">
        <v>194</v>
      </c>
      <c r="E86" s="704">
        <f>'16'!F86</f>
        <v>445723.22</v>
      </c>
      <c r="F86" s="728">
        <v>445763.4</v>
      </c>
      <c r="G86" s="805">
        <f t="shared" ref="G86:G90" si="5">F86-E86</f>
        <v>40.180000000051223</v>
      </c>
      <c r="H86" s="805">
        <f t="shared" ref="H86:H88" si="6">G86</f>
        <v>40.180000000051223</v>
      </c>
      <c r="I86" s="733"/>
      <c r="J86" s="807">
        <f>H86/DAY(B2)</f>
        <v>2.3635294117677188</v>
      </c>
      <c r="K86" s="833"/>
      <c r="L86" s="834"/>
      <c r="O86" s="813"/>
    </row>
    <row r="87" spans="1:16" s="835" customFormat="1">
      <c r="A87" s="830" t="s">
        <v>103</v>
      </c>
      <c r="B87" s="831"/>
      <c r="C87" s="831"/>
      <c r="D87" s="832" t="s">
        <v>194</v>
      </c>
      <c r="E87" s="704">
        <f>'16'!F87</f>
        <v>78107.100000000006</v>
      </c>
      <c r="F87" s="728">
        <v>78114.600000000006</v>
      </c>
      <c r="G87" s="805">
        <f t="shared" si="5"/>
        <v>7.5</v>
      </c>
      <c r="H87" s="805">
        <f t="shared" si="6"/>
        <v>7.5</v>
      </c>
      <c r="I87" s="733"/>
      <c r="J87" s="807">
        <f>H87/DAY(B2)</f>
        <v>0.44117647058823528</v>
      </c>
      <c r="K87" s="833"/>
      <c r="L87" s="834"/>
      <c r="O87" s="813"/>
    </row>
    <row r="88" spans="1:16" s="835" customFormat="1">
      <c r="A88" s="830" t="s">
        <v>104</v>
      </c>
      <c r="B88" s="831"/>
      <c r="C88" s="831"/>
      <c r="D88" s="832" t="s">
        <v>194</v>
      </c>
      <c r="E88" s="704">
        <f>'16'!F88</f>
        <v>145606.66</v>
      </c>
      <c r="F88" s="728">
        <v>145641.29</v>
      </c>
      <c r="G88" s="805">
        <f t="shared" si="5"/>
        <v>34.630000000004657</v>
      </c>
      <c r="H88" s="805">
        <f t="shared" si="6"/>
        <v>34.630000000004657</v>
      </c>
      <c r="I88" s="733"/>
      <c r="J88" s="807">
        <f>H88/DAY(B2)</f>
        <v>2.0370588235296858</v>
      </c>
      <c r="K88" s="833"/>
      <c r="L88" s="834"/>
      <c r="O88" s="813"/>
    </row>
    <row r="89" spans="1:16" s="835" customFormat="1">
      <c r="A89" s="830" t="s">
        <v>215</v>
      </c>
      <c r="B89" s="831"/>
      <c r="C89" s="831"/>
      <c r="D89" s="832" t="s">
        <v>194</v>
      </c>
      <c r="E89" s="704">
        <f>'16'!F89</f>
        <v>58751</v>
      </c>
      <c r="F89" s="728">
        <v>58802.6</v>
      </c>
      <c r="G89" s="805">
        <f t="shared" si="5"/>
        <v>51.599999999998545</v>
      </c>
      <c r="H89" s="805">
        <f>G89</f>
        <v>51.599999999998545</v>
      </c>
      <c r="I89" s="733"/>
      <c r="J89" s="807">
        <f>H89/DAY(B2)</f>
        <v>3.0352941176469734</v>
      </c>
      <c r="K89" s="833"/>
      <c r="L89" s="834"/>
      <c r="N89" s="881"/>
      <c r="O89" s="413"/>
    </row>
    <row r="90" spans="1:16" s="835" customFormat="1">
      <c r="A90" s="830" t="s">
        <v>215</v>
      </c>
      <c r="B90" s="831"/>
      <c r="C90" s="831"/>
      <c r="D90" s="832" t="s">
        <v>194</v>
      </c>
      <c r="E90" s="704">
        <f>'16'!F90</f>
        <v>3020.4</v>
      </c>
      <c r="F90" s="728">
        <v>3021.5</v>
      </c>
      <c r="G90" s="805">
        <f t="shared" si="5"/>
        <v>1.0999999999999091</v>
      </c>
      <c r="H90" s="805">
        <f>G90</f>
        <v>1.0999999999999091</v>
      </c>
      <c r="I90" s="733"/>
      <c r="J90" s="807">
        <f>H90/DAY(B2)</f>
        <v>6.4705882352935826E-2</v>
      </c>
      <c r="K90" s="833"/>
      <c r="L90" s="834"/>
      <c r="N90" s="881"/>
      <c r="O90" s="413"/>
    </row>
    <row r="91" spans="1:16" s="410" customFormat="1">
      <c r="A91" s="683" t="s">
        <v>216</v>
      </c>
      <c r="B91" s="1342"/>
      <c r="C91" s="1342"/>
      <c r="D91" s="548"/>
      <c r="E91" s="548"/>
      <c r="F91" s="548"/>
      <c r="G91" s="564"/>
      <c r="H91" s="548"/>
      <c r="I91" s="548"/>
      <c r="J91" s="628"/>
      <c r="K91" s="411"/>
      <c r="L91" s="409"/>
      <c r="N91" s="818"/>
      <c r="O91" s="825"/>
      <c r="P91" s="413"/>
    </row>
    <row r="92" spans="1:16" ht="27.75">
      <c r="A92" s="1388" t="s">
        <v>217</v>
      </c>
      <c r="B92" s="1389"/>
      <c r="C92" s="1390"/>
      <c r="D92" s="599" t="s">
        <v>155</v>
      </c>
      <c r="E92" s="560">
        <f>'16'!F92</f>
        <v>235202</v>
      </c>
      <c r="F92" s="554">
        <v>235316</v>
      </c>
      <c r="G92" s="549">
        <f t="shared" ref="G92:G93" si="7">F92-E92</f>
        <v>114</v>
      </c>
      <c r="H92" s="536">
        <f>G92+'16'!H92</f>
        <v>1414</v>
      </c>
      <c r="I92" s="556"/>
      <c r="J92" s="629">
        <f>H92/DAY(B2)</f>
        <v>83.17647058823529</v>
      </c>
      <c r="K92" s="468"/>
      <c r="L92" s="408"/>
      <c r="N92" s="818"/>
      <c r="O92" s="825"/>
      <c r="P92" s="413"/>
    </row>
    <row r="93" spans="1:16" ht="27.75">
      <c r="A93" s="1388" t="s">
        <v>218</v>
      </c>
      <c r="B93" s="1389"/>
      <c r="C93" s="1390"/>
      <c r="D93" s="599" t="s">
        <v>155</v>
      </c>
      <c r="E93" s="560">
        <f>'16'!F93</f>
        <v>169114</v>
      </c>
      <c r="F93" s="554">
        <v>169299</v>
      </c>
      <c r="G93" s="549">
        <f t="shared" si="7"/>
        <v>185</v>
      </c>
      <c r="H93" s="536">
        <f>G93+'16'!H93</f>
        <v>2383</v>
      </c>
      <c r="I93" s="556"/>
      <c r="J93" s="629">
        <f>H93/DAY(B2)</f>
        <v>140.1764705882353</v>
      </c>
      <c r="K93" s="411"/>
      <c r="L93" s="408"/>
      <c r="N93" s="818"/>
      <c r="O93" s="825"/>
      <c r="P93" s="413"/>
    </row>
    <row r="94" spans="1:16">
      <c r="A94" s="1419" t="s">
        <v>219</v>
      </c>
      <c r="B94" s="1420"/>
      <c r="C94" s="1421"/>
      <c r="D94" s="599"/>
      <c r="E94" s="560">
        <f>'16'!F94</f>
        <v>0</v>
      </c>
      <c r="F94" s="554"/>
      <c r="G94" s="549">
        <f>G92+G93</f>
        <v>299</v>
      </c>
      <c r="H94" s="536">
        <f>G94+'16'!H94</f>
        <v>3523</v>
      </c>
      <c r="I94" s="556"/>
      <c r="J94" s="629">
        <f>H94/DAY(B2)</f>
        <v>207.23529411764707</v>
      </c>
      <c r="K94" s="411"/>
      <c r="L94" s="408"/>
      <c r="N94" s="818"/>
      <c r="O94" s="825"/>
      <c r="P94" s="413"/>
    </row>
    <row r="95" spans="1:16" ht="27.75">
      <c r="A95" s="1388" t="s">
        <v>220</v>
      </c>
      <c r="B95" s="1389"/>
      <c r="C95" s="1390"/>
      <c r="D95" s="599" t="s">
        <v>155</v>
      </c>
      <c r="E95" s="560">
        <f>'16'!F95</f>
        <v>404788</v>
      </c>
      <c r="F95" s="554">
        <v>404874</v>
      </c>
      <c r="G95" s="549">
        <f t="shared" ref="G95:G100" si="8">F95-E95</f>
        <v>86</v>
      </c>
      <c r="H95" s="536">
        <f>G95+'16'!H95</f>
        <v>1209</v>
      </c>
      <c r="I95" s="556"/>
      <c r="J95" s="629">
        <f>H95/DAY(B2)</f>
        <v>71.117647058823536</v>
      </c>
      <c r="K95" s="411"/>
      <c r="L95" s="408"/>
      <c r="N95" s="818"/>
      <c r="O95" s="825"/>
      <c r="P95" s="413"/>
    </row>
    <row r="96" spans="1:16" ht="27.75">
      <c r="A96" s="1336" t="s">
        <v>221</v>
      </c>
      <c r="B96" s="1337"/>
      <c r="C96" s="1337"/>
      <c r="D96" s="599" t="s">
        <v>155</v>
      </c>
      <c r="E96" s="560">
        <f>'16'!F96</f>
        <v>100210</v>
      </c>
      <c r="F96" s="554">
        <v>100232</v>
      </c>
      <c r="G96" s="549">
        <f t="shared" si="8"/>
        <v>22</v>
      </c>
      <c r="H96" s="536">
        <f>G96+'16'!H96</f>
        <v>311</v>
      </c>
      <c r="I96" s="556"/>
      <c r="J96" s="629">
        <f>H96/DAY(B2)</f>
        <v>18.294117647058822</v>
      </c>
      <c r="K96" s="466"/>
      <c r="L96" s="408"/>
      <c r="N96" s="818"/>
      <c r="O96" s="825"/>
      <c r="P96" s="413"/>
    </row>
    <row r="97" spans="1:16" ht="27.75">
      <c r="A97" s="1336" t="s">
        <v>222</v>
      </c>
      <c r="B97" s="1337"/>
      <c r="C97" s="1337"/>
      <c r="D97" s="599" t="s">
        <v>155</v>
      </c>
      <c r="E97" s="560">
        <f>'16'!F97</f>
        <v>95343</v>
      </c>
      <c r="F97" s="554">
        <v>95373</v>
      </c>
      <c r="G97" s="549">
        <f t="shared" si="8"/>
        <v>30</v>
      </c>
      <c r="H97" s="536">
        <f>G97+'16'!H97</f>
        <v>346</v>
      </c>
      <c r="I97" s="556"/>
      <c r="J97" s="629">
        <f>H97/DAY(B2)</f>
        <v>20.352941176470587</v>
      </c>
      <c r="K97" s="471"/>
      <c r="L97" s="408"/>
      <c r="N97" s="818"/>
      <c r="O97" s="825"/>
      <c r="P97" s="413"/>
    </row>
    <row r="98" spans="1:16" ht="27.75">
      <c r="A98" s="1336" t="s">
        <v>223</v>
      </c>
      <c r="B98" s="1337"/>
      <c r="C98" s="1337"/>
      <c r="D98" s="599" t="s">
        <v>155</v>
      </c>
      <c r="E98" s="560">
        <f>'16'!F98</f>
        <v>144775</v>
      </c>
      <c r="F98" s="554">
        <v>144836</v>
      </c>
      <c r="G98" s="549">
        <f t="shared" si="8"/>
        <v>61</v>
      </c>
      <c r="H98" s="536">
        <f>G98+'16'!H98</f>
        <v>1029</v>
      </c>
      <c r="I98" s="556"/>
      <c r="J98" s="629">
        <f>H98/DAY(B2)</f>
        <v>60.529411764705884</v>
      </c>
      <c r="K98" s="411"/>
      <c r="L98" s="408"/>
      <c r="N98" s="820"/>
      <c r="O98" s="825"/>
      <c r="P98" s="413"/>
    </row>
    <row r="99" spans="1:16" ht="27.75">
      <c r="A99" s="1336" t="s">
        <v>224</v>
      </c>
      <c r="B99" s="1337"/>
      <c r="C99" s="1337"/>
      <c r="D99" s="599" t="s">
        <v>155</v>
      </c>
      <c r="E99" s="560">
        <f>'16'!F99</f>
        <v>5698</v>
      </c>
      <c r="F99" s="554">
        <v>5717</v>
      </c>
      <c r="G99" s="549">
        <f t="shared" si="8"/>
        <v>19</v>
      </c>
      <c r="H99" s="536">
        <f>G99+'16'!H99</f>
        <v>215</v>
      </c>
      <c r="I99" s="556"/>
      <c r="J99" s="629">
        <f>H99/DAY(B2)</f>
        <v>12.647058823529411</v>
      </c>
      <c r="K99" s="411"/>
      <c r="L99" s="408"/>
      <c r="N99" s="818"/>
      <c r="O99" s="825"/>
      <c r="P99" s="413"/>
    </row>
    <row r="100" spans="1:16" ht="27.75">
      <c r="A100" s="1336" t="s">
        <v>225</v>
      </c>
      <c r="B100" s="1337"/>
      <c r="C100" s="1337"/>
      <c r="D100" s="599" t="s">
        <v>155</v>
      </c>
      <c r="E100" s="560">
        <f>'16'!F100</f>
        <v>4110</v>
      </c>
      <c r="F100" s="554">
        <v>4119</v>
      </c>
      <c r="G100" s="549">
        <f t="shared" si="8"/>
        <v>9</v>
      </c>
      <c r="H100" s="536">
        <f>G100+'16'!H100</f>
        <v>155</v>
      </c>
      <c r="I100" s="556"/>
      <c r="J100" s="629">
        <f>H100/DAY(B2)</f>
        <v>9.117647058823529</v>
      </c>
      <c r="K100" s="411"/>
      <c r="L100" s="408"/>
      <c r="N100" s="818"/>
      <c r="O100" s="825"/>
      <c r="P100" s="413"/>
    </row>
    <row r="101" spans="1:16">
      <c r="A101" s="1419" t="s">
        <v>227</v>
      </c>
      <c r="B101" s="1420"/>
      <c r="C101" s="1421"/>
      <c r="D101" s="600"/>
      <c r="E101" s="560"/>
      <c r="F101" s="600"/>
      <c r="G101" s="601">
        <f>SUM(G95:G100)</f>
        <v>227</v>
      </c>
      <c r="H101" s="536">
        <f>G101+'16'!H101</f>
        <v>3265</v>
      </c>
      <c r="I101" s="602"/>
      <c r="J101" s="629">
        <f>H101/DAY(B2)</f>
        <v>192.05882352941177</v>
      </c>
      <c r="K101" s="411"/>
      <c r="L101" s="408"/>
      <c r="N101" s="818"/>
      <c r="O101" s="825"/>
      <c r="P101" s="413"/>
    </row>
    <row r="102" spans="1:16" s="481" customFormat="1" ht="27">
      <c r="A102" s="684" t="s">
        <v>228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18"/>
      <c r="O102" s="825"/>
      <c r="P102" s="413"/>
    </row>
    <row r="103" spans="1:16" s="481" customFormat="1" ht="27.75">
      <c r="A103" s="1422" t="s">
        <v>229</v>
      </c>
      <c r="B103" s="1423"/>
      <c r="C103" s="650"/>
      <c r="D103" s="699"/>
      <c r="E103" s="560"/>
      <c r="F103" s="739"/>
      <c r="G103" s="608"/>
      <c r="H103" s="609"/>
      <c r="I103" s="608"/>
      <c r="J103" s="635"/>
      <c r="N103" s="818"/>
      <c r="O103" s="825"/>
      <c r="P103" s="413"/>
    </row>
    <row r="104" spans="1:16" s="481" customFormat="1" ht="27.75">
      <c r="A104" s="1380" t="s">
        <v>230</v>
      </c>
      <c r="B104" s="1381"/>
      <c r="C104" s="1335"/>
      <c r="D104" s="699" t="s">
        <v>155</v>
      </c>
      <c r="E104" s="560">
        <f>'16'!F104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5.7647058823529411</v>
      </c>
      <c r="N104" s="818"/>
      <c r="O104" s="825"/>
      <c r="P104" s="413"/>
    </row>
    <row r="105" spans="1:16" s="481" customFormat="1" ht="27.75">
      <c r="A105" s="1380" t="s">
        <v>77</v>
      </c>
      <c r="B105" s="1381"/>
      <c r="C105" s="1335"/>
      <c r="D105" s="699" t="s">
        <v>155</v>
      </c>
      <c r="E105" s="560">
        <f>'16'!F105</f>
        <v>35038</v>
      </c>
      <c r="F105" s="740">
        <v>35045</v>
      </c>
      <c r="G105" s="608">
        <f t="shared" ref="G105:G106" si="9">F105-E105</f>
        <v>7</v>
      </c>
      <c r="H105" s="609">
        <f>SUM(G105+'1'!G77)</f>
        <v>68</v>
      </c>
      <c r="I105" s="608"/>
      <c r="J105" s="635">
        <f>H105/DAY(B2)</f>
        <v>4</v>
      </c>
      <c r="N105" s="818"/>
      <c r="O105" s="825"/>
      <c r="P105" s="413"/>
    </row>
    <row r="106" spans="1:16" s="481" customFormat="1" ht="27.75">
      <c r="A106" s="1380" t="s">
        <v>78</v>
      </c>
      <c r="B106" s="1424"/>
      <c r="C106" s="1381"/>
      <c r="D106" s="699" t="s">
        <v>155</v>
      </c>
      <c r="E106" s="560">
        <f>'16'!F106</f>
        <v>18989</v>
      </c>
      <c r="F106" s="740">
        <v>19000</v>
      </c>
      <c r="G106" s="608">
        <f t="shared" si="9"/>
        <v>11</v>
      </c>
      <c r="H106" s="609">
        <f>SUM(G106+'1'!G78)</f>
        <v>380</v>
      </c>
      <c r="I106" s="608"/>
      <c r="J106" s="635">
        <f>H106/DAY(B2)</f>
        <v>22.352941176470587</v>
      </c>
      <c r="N106" s="818"/>
      <c r="O106" s="825"/>
      <c r="P106" s="413"/>
    </row>
    <row r="107" spans="1:16" s="481" customFormat="1" ht="27.75">
      <c r="A107" s="1382" t="s">
        <v>213</v>
      </c>
      <c r="B107" s="1383"/>
      <c r="C107" s="1335"/>
      <c r="D107" s="699"/>
      <c r="E107" s="560">
        <f>'16'!F107</f>
        <v>0</v>
      </c>
      <c r="F107" s="740"/>
      <c r="G107" s="608">
        <f>SUM(G104:G106)</f>
        <v>18</v>
      </c>
      <c r="H107" s="609">
        <f>SUM(G107+'1'!G79)</f>
        <v>205</v>
      </c>
      <c r="I107" s="608"/>
      <c r="J107" s="635">
        <f>H107/DAY(B2)</f>
        <v>12.058823529411764</v>
      </c>
      <c r="N107" s="818"/>
      <c r="O107" s="825"/>
      <c r="P107" s="413"/>
    </row>
    <row r="108" spans="1:16" s="481" customFormat="1" ht="27.75">
      <c r="A108" s="1386" t="s">
        <v>79</v>
      </c>
      <c r="B108" s="1387"/>
      <c r="C108" s="1335"/>
      <c r="D108" s="699" t="s">
        <v>155</v>
      </c>
      <c r="E108" s="560">
        <f>'16'!F108</f>
        <v>0</v>
      </c>
      <c r="F108" s="740"/>
      <c r="G108" s="608"/>
      <c r="H108" s="609"/>
      <c r="I108" s="608"/>
      <c r="J108" s="635"/>
      <c r="N108" s="818"/>
      <c r="O108" s="825"/>
      <c r="P108" s="413"/>
    </row>
    <row r="109" spans="1:16" s="481" customFormat="1" ht="27.75">
      <c r="A109" s="1380" t="s">
        <v>231</v>
      </c>
      <c r="B109" s="1381"/>
      <c r="C109" s="1335"/>
      <c r="D109" s="699" t="s">
        <v>155</v>
      </c>
      <c r="E109" s="560">
        <f>'16'!F109</f>
        <v>53881</v>
      </c>
      <c r="F109" s="740">
        <v>53943</v>
      </c>
      <c r="G109" s="608">
        <f>F109-E109</f>
        <v>62</v>
      </c>
      <c r="H109" s="609">
        <f>SUM(G109+'1'!G81)</f>
        <v>191</v>
      </c>
      <c r="I109" s="608"/>
      <c r="J109" s="635">
        <f>H109/DAY(B2)</f>
        <v>11.235294117647058</v>
      </c>
      <c r="N109" s="818"/>
      <c r="O109" s="825"/>
      <c r="P109" s="413"/>
    </row>
    <row r="110" spans="1:16" s="481" customFormat="1" ht="27.75">
      <c r="A110" s="1380" t="s">
        <v>232</v>
      </c>
      <c r="B110" s="1381"/>
      <c r="C110" s="1335"/>
      <c r="D110" s="699" t="s">
        <v>155</v>
      </c>
      <c r="E110" s="560">
        <f>'16'!F110</f>
        <v>27806</v>
      </c>
      <c r="F110" s="740">
        <v>27843</v>
      </c>
      <c r="G110" s="608">
        <f t="shared" ref="G110:G111" si="10">F110-E110</f>
        <v>37</v>
      </c>
      <c r="H110" s="609">
        <f>SUM(G110+'1'!G82)</f>
        <v>60</v>
      </c>
      <c r="I110" s="608"/>
      <c r="J110" s="635">
        <f>H110/DAY(B2)</f>
        <v>3.5294117647058822</v>
      </c>
      <c r="N110" s="818"/>
      <c r="O110" s="825"/>
      <c r="P110" s="413"/>
    </row>
    <row r="111" spans="1:16" s="481" customFormat="1" ht="27.75">
      <c r="A111" s="1380" t="s">
        <v>233</v>
      </c>
      <c r="B111" s="1381"/>
      <c r="C111" s="1335"/>
      <c r="D111" s="699" t="s">
        <v>155</v>
      </c>
      <c r="E111" s="560">
        <f>'16'!F111</f>
        <v>3665</v>
      </c>
      <c r="F111" s="740">
        <v>3665</v>
      </c>
      <c r="G111" s="608">
        <f t="shared" si="10"/>
        <v>0</v>
      </c>
      <c r="H111" s="609">
        <f>SUM(G111+'1'!G83)</f>
        <v>333</v>
      </c>
      <c r="I111" s="608"/>
      <c r="J111" s="635">
        <f>H111/DAY(B2)</f>
        <v>19.588235294117649</v>
      </c>
      <c r="N111" s="818"/>
      <c r="O111" s="825"/>
      <c r="P111" s="413"/>
    </row>
    <row r="112" spans="1:16" s="481" customFormat="1" ht="27.75">
      <c r="A112" s="1382" t="s">
        <v>121</v>
      </c>
      <c r="B112" s="1383"/>
      <c r="C112" s="1335"/>
      <c r="D112" s="699"/>
      <c r="E112" s="560">
        <f>'16'!F112</f>
        <v>0</v>
      </c>
      <c r="F112" s="740"/>
      <c r="G112" s="608">
        <f>SUM(G109:G111)</f>
        <v>99</v>
      </c>
      <c r="H112" s="609">
        <f>SUM(G112+'1'!G84)</f>
        <v>545</v>
      </c>
      <c r="I112" s="608"/>
      <c r="J112" s="635">
        <f>H112/DAY(B2)</f>
        <v>32.058823529411768</v>
      </c>
      <c r="N112" s="818"/>
      <c r="O112" s="825"/>
      <c r="P112" s="413"/>
    </row>
    <row r="113" spans="1:16" s="481" customFormat="1" ht="27.75">
      <c r="A113" s="1386" t="s">
        <v>234</v>
      </c>
      <c r="B113" s="1387"/>
      <c r="C113" s="1335"/>
      <c r="D113" s="699"/>
      <c r="E113" s="560">
        <f>'16'!F113</f>
        <v>0</v>
      </c>
      <c r="F113" s="740"/>
      <c r="G113" s="608"/>
      <c r="H113" s="609"/>
      <c r="I113" s="608"/>
      <c r="J113" s="635">
        <f>H113/DAY(B2)</f>
        <v>0</v>
      </c>
      <c r="N113" s="818"/>
      <c r="O113" s="825"/>
      <c r="P113" s="413"/>
    </row>
    <row r="114" spans="1:16" s="481" customFormat="1" ht="27.75">
      <c r="A114" s="1380" t="s">
        <v>235</v>
      </c>
      <c r="B114" s="1381"/>
      <c r="C114" s="651"/>
      <c r="D114" s="699" t="s">
        <v>155</v>
      </c>
      <c r="E114" s="560">
        <f>'16'!F114</f>
        <v>9479</v>
      </c>
      <c r="F114" s="740">
        <v>9500</v>
      </c>
      <c r="G114" s="610">
        <f>F114-E114</f>
        <v>21</v>
      </c>
      <c r="H114" s="609">
        <f>SUM(G114+'1'!G91)</f>
        <v>21</v>
      </c>
      <c r="I114" s="608"/>
      <c r="J114" s="635">
        <f>H114/DAY(B2)</f>
        <v>1.2352941176470589</v>
      </c>
      <c r="N114" s="818"/>
      <c r="O114" s="825"/>
      <c r="P114" s="413"/>
    </row>
    <row r="115" spans="1:16" s="481" customFormat="1" ht="27.75">
      <c r="A115" s="1380" t="s">
        <v>236</v>
      </c>
      <c r="B115" s="1381"/>
      <c r="C115" s="651"/>
      <c r="D115" s="699" t="s">
        <v>155</v>
      </c>
      <c r="E115" s="560">
        <f>'16'!F115</f>
        <v>7317</v>
      </c>
      <c r="F115" s="740">
        <v>7323</v>
      </c>
      <c r="G115" s="610">
        <f t="shared" ref="G115:G116" si="11">F115-E115</f>
        <v>6</v>
      </c>
      <c r="H115" s="609">
        <f>SUM(G115+'1'!G92)</f>
        <v>139</v>
      </c>
      <c r="I115" s="608"/>
      <c r="J115" s="635">
        <f>H115/DAY(B2)</f>
        <v>8.1764705882352935</v>
      </c>
      <c r="N115" s="818"/>
      <c r="O115" s="825"/>
      <c r="P115" s="413"/>
    </row>
    <row r="116" spans="1:16" s="481" customFormat="1" ht="27.75">
      <c r="A116" s="1380" t="s">
        <v>237</v>
      </c>
      <c r="B116" s="1381"/>
      <c r="C116" s="651"/>
      <c r="D116" s="699" t="s">
        <v>155</v>
      </c>
      <c r="E116" s="610"/>
      <c r="F116" s="740"/>
      <c r="G116" s="610">
        <f t="shared" si="11"/>
        <v>0</v>
      </c>
      <c r="H116" s="609">
        <f>SUM(G116+'1'!G93)</f>
        <v>141</v>
      </c>
      <c r="I116" s="608"/>
      <c r="J116" s="635">
        <f>H116/DAY(B2)</f>
        <v>8.2941176470588243</v>
      </c>
      <c r="N116" s="818"/>
      <c r="O116" s="825"/>
      <c r="P116" s="413"/>
    </row>
    <row r="117" spans="1:16" s="494" customFormat="1" ht="27.75">
      <c r="A117" s="1382" t="s">
        <v>213</v>
      </c>
      <c r="B117" s="1383"/>
      <c r="C117" s="651"/>
      <c r="D117" s="700"/>
      <c r="E117" s="610"/>
      <c r="F117" s="740"/>
      <c r="G117" s="610">
        <f>SUM(G114:G116)</f>
        <v>27</v>
      </c>
      <c r="H117" s="609">
        <f>SUM(G117+'1'!G95)</f>
        <v>87</v>
      </c>
      <c r="I117" s="610"/>
      <c r="J117" s="635">
        <f>H117/DAY(B2)</f>
        <v>5.117647058823529</v>
      </c>
      <c r="N117" s="818"/>
      <c r="O117" s="825"/>
      <c r="P117" s="413"/>
    </row>
    <row r="118" spans="1:16" s="495" customFormat="1" ht="27.75">
      <c r="A118" s="1376" t="s">
        <v>238</v>
      </c>
      <c r="B118" s="1377"/>
      <c r="C118" s="1333"/>
      <c r="D118" s="701" t="s">
        <v>155</v>
      </c>
      <c r="E118" s="612"/>
      <c r="F118" s="741">
        <f>SUM(G19+G92)</f>
        <v>153</v>
      </c>
      <c r="G118" s="612">
        <f>SUM(G19+G92)</f>
        <v>153</v>
      </c>
      <c r="H118" s="609">
        <f>SUM(G118+'1'!G96)</f>
        <v>186</v>
      </c>
      <c r="I118" s="611"/>
      <c r="J118" s="636">
        <f>H118/DAY(B2)</f>
        <v>10.941176470588236</v>
      </c>
      <c r="N118" s="818"/>
      <c r="O118" s="825"/>
      <c r="P118" s="413"/>
    </row>
    <row r="119" spans="1:16" s="495" customFormat="1" ht="27.75">
      <c r="A119" s="1376" t="s">
        <v>239</v>
      </c>
      <c r="B119" s="1377"/>
      <c r="C119" s="1333"/>
      <c r="D119" s="701" t="s">
        <v>155</v>
      </c>
      <c r="E119" s="612"/>
      <c r="F119" s="741">
        <f>SUM(G95,G96,G97,G99,G100)</f>
        <v>166</v>
      </c>
      <c r="G119" s="612">
        <f>SUM(G95,G96,G97,G99,G100)</f>
        <v>166</v>
      </c>
      <c r="H119" s="609">
        <f>SUM(G119+'1'!G98)</f>
        <v>216</v>
      </c>
      <c r="I119" s="611"/>
      <c r="J119" s="636">
        <f>H119/DAY(B2)</f>
        <v>12.705882352941176</v>
      </c>
      <c r="N119" s="818"/>
      <c r="O119" s="825"/>
      <c r="P119" s="413"/>
    </row>
    <row r="120" spans="1:16" s="495" customFormat="1" ht="27.75">
      <c r="A120" s="1376" t="s">
        <v>240</v>
      </c>
      <c r="B120" s="1377"/>
      <c r="C120" s="1333"/>
      <c r="D120" s="701" t="s">
        <v>155</v>
      </c>
      <c r="E120" s="610"/>
      <c r="F120" s="740">
        <f>SUM(G112)</f>
        <v>99</v>
      </c>
      <c r="G120" s="610">
        <f>SUM(G112)</f>
        <v>99</v>
      </c>
      <c r="H120" s="609">
        <f>SUM(G120+'1'!G100)</f>
        <v>116</v>
      </c>
      <c r="I120" s="611"/>
      <c r="J120" s="636">
        <f>H120/DAY(B2)</f>
        <v>6.8235294117647056</v>
      </c>
      <c r="N120" s="818"/>
      <c r="O120" s="825"/>
      <c r="P120" s="413"/>
    </row>
    <row r="121" spans="1:16" s="481" customFormat="1" ht="27.75">
      <c r="A121" s="1378"/>
      <c r="B121" s="1379"/>
      <c r="C121" s="1334"/>
      <c r="D121" s="637"/>
      <c r="E121" s="637"/>
      <c r="F121" s="742" t="s">
        <v>226</v>
      </c>
      <c r="G121" s="637"/>
      <c r="H121" s="638"/>
      <c r="I121" s="637"/>
      <c r="J121" s="639"/>
      <c r="N121" s="818"/>
      <c r="O121" s="825"/>
      <c r="P121" s="413"/>
    </row>
    <row r="122" spans="1:16">
      <c r="A122" s="1416" t="s">
        <v>241</v>
      </c>
      <c r="B122" s="1417"/>
      <c r="C122" s="1418"/>
      <c r="D122" s="548"/>
      <c r="E122" s="548"/>
      <c r="F122" s="548"/>
      <c r="G122" s="559"/>
      <c r="H122" s="559"/>
      <c r="I122" s="559"/>
      <c r="J122" s="640"/>
      <c r="K122" s="411"/>
      <c r="L122" s="408"/>
      <c r="N122" s="818"/>
      <c r="O122" s="825"/>
      <c r="P122" s="413"/>
    </row>
    <row r="123" spans="1:16" ht="27.75">
      <c r="A123" s="1336" t="s">
        <v>242</v>
      </c>
      <c r="B123" s="1337"/>
      <c r="C123" s="1337"/>
      <c r="D123" s="599" t="s">
        <v>152</v>
      </c>
      <c r="E123" s="554">
        <f>'16'!F123</f>
        <v>799378.86</v>
      </c>
      <c r="F123" s="554">
        <v>799674.18400000001</v>
      </c>
      <c r="G123" s="549">
        <f t="shared" ref="G123:G127" si="12">F123-E123</f>
        <v>295.32400000002235</v>
      </c>
      <c r="H123" s="536">
        <f>G123+'16'!H123</f>
        <v>4250.1339999999618</v>
      </c>
      <c r="I123" s="602"/>
      <c r="J123" s="629">
        <f>H123/DAY(B2)</f>
        <v>250.00788235293894</v>
      </c>
      <c r="K123" s="411"/>
      <c r="L123" s="408"/>
      <c r="N123" s="818"/>
      <c r="O123" s="825"/>
      <c r="P123" s="413"/>
    </row>
    <row r="124" spans="1:16" ht="27.75">
      <c r="A124" s="1336" t="s">
        <v>243</v>
      </c>
      <c r="B124" s="1337"/>
      <c r="C124" s="1337"/>
      <c r="D124" s="599" t="s">
        <v>152</v>
      </c>
      <c r="E124" s="703">
        <f>'16'!F124</f>
        <v>73582.3</v>
      </c>
      <c r="F124" s="703">
        <v>73582.3</v>
      </c>
      <c r="G124" s="549">
        <f t="shared" si="12"/>
        <v>0</v>
      </c>
      <c r="H124" s="536">
        <f>G124+'16'!H124</f>
        <v>0.10000000000582077</v>
      </c>
      <c r="I124" s="602"/>
      <c r="J124" s="629">
        <f>H124/DAY(B2)</f>
        <v>5.8823529415188685E-3</v>
      </c>
      <c r="K124" s="411"/>
      <c r="L124" s="408"/>
      <c r="N124" s="818"/>
      <c r="O124" s="825"/>
      <c r="P124" s="413"/>
    </row>
    <row r="125" spans="1:16" ht="27.75">
      <c r="A125" s="1367" t="s">
        <v>244</v>
      </c>
      <c r="B125" s="1368"/>
      <c r="C125" s="1369"/>
      <c r="D125" s="599" t="s">
        <v>152</v>
      </c>
      <c r="E125" s="554">
        <f>'16'!F125</f>
        <v>136774.5</v>
      </c>
      <c r="F125" s="554">
        <v>136856.46</v>
      </c>
      <c r="G125" s="549">
        <f t="shared" si="12"/>
        <v>81.959999999991851</v>
      </c>
      <c r="H125" s="536">
        <f>G125+'16'!H125</f>
        <v>1265.789999999979</v>
      </c>
      <c r="I125" s="602"/>
      <c r="J125" s="629">
        <f>H125/DAY(B2)</f>
        <v>74.45823529411642</v>
      </c>
      <c r="K125" s="411"/>
      <c r="L125" s="408"/>
      <c r="N125" s="818"/>
      <c r="O125" s="825"/>
      <c r="P125" s="413"/>
    </row>
    <row r="126" spans="1:16" ht="27.75">
      <c r="A126" s="686" t="s">
        <v>245</v>
      </c>
      <c r="B126" s="1337"/>
      <c r="C126" s="1337"/>
      <c r="D126" s="599" t="s">
        <v>152</v>
      </c>
      <c r="E126" s="703">
        <f>'16'!F126</f>
        <v>57901</v>
      </c>
      <c r="F126" s="703">
        <v>57938.9</v>
      </c>
      <c r="G126" s="549">
        <f t="shared" si="12"/>
        <v>37.900000000001455</v>
      </c>
      <c r="H126" s="536">
        <f>G126+'16'!H126</f>
        <v>557.90000000000146</v>
      </c>
      <c r="I126" s="602"/>
      <c r="J126" s="629">
        <f>H126/DAY(B2)</f>
        <v>32.817647058823617</v>
      </c>
      <c r="K126" s="411"/>
      <c r="L126" s="408"/>
      <c r="N126" s="818"/>
      <c r="O126" s="825"/>
      <c r="P126" s="413"/>
    </row>
    <row r="127" spans="1:16" ht="27.75">
      <c r="A127" s="686" t="s">
        <v>246</v>
      </c>
      <c r="B127" s="1337"/>
      <c r="C127" s="1337"/>
      <c r="D127" s="599" t="s">
        <v>152</v>
      </c>
      <c r="E127" s="703">
        <f>'16'!F127</f>
        <v>8759.4</v>
      </c>
      <c r="F127" s="703">
        <v>8764</v>
      </c>
      <c r="G127" s="549">
        <f t="shared" si="12"/>
        <v>4.6000000000003638</v>
      </c>
      <c r="H127" s="536">
        <f>G127+'16'!H127</f>
        <v>58</v>
      </c>
      <c r="I127" s="556"/>
      <c r="J127" s="629">
        <f>H127/DAY(B2)</f>
        <v>3.4117647058823528</v>
      </c>
      <c r="K127" s="411"/>
      <c r="L127" s="408"/>
      <c r="N127" s="818"/>
      <c r="O127" s="825"/>
      <c r="P127" s="413"/>
    </row>
    <row r="128" spans="1:16" s="281" customFormat="1" ht="27.75">
      <c r="A128" s="686" t="s">
        <v>247</v>
      </c>
      <c r="B128" s="1337"/>
      <c r="C128" s="1337"/>
      <c r="D128" s="599"/>
      <c r="E128" s="554"/>
      <c r="F128" s="554"/>
      <c r="G128" s="549">
        <f>G15-SUM(G123:G127)</f>
        <v>552.89100000003054</v>
      </c>
      <c r="H128" s="536">
        <f>G128+'16'!H128</f>
        <v>1186.3200000000379</v>
      </c>
      <c r="I128" s="556"/>
      <c r="J128" s="629">
        <f>H128/DAY(B2)</f>
        <v>69.783529411766935</v>
      </c>
      <c r="K128" s="391"/>
      <c r="L128" s="293"/>
      <c r="N128" s="818"/>
      <c r="O128" s="825"/>
      <c r="P128" s="413"/>
    </row>
    <row r="129" spans="1:16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18"/>
      <c r="O129" s="825"/>
      <c r="P129" s="413"/>
    </row>
    <row r="130" spans="1:16" ht="27.75">
      <c r="A130" s="1336" t="s">
        <v>249</v>
      </c>
      <c r="B130" s="1337"/>
      <c r="C130" s="1337"/>
      <c r="D130" s="599" t="s">
        <v>250</v>
      </c>
      <c r="E130" s="560">
        <f>'16'!F130</f>
        <v>0</v>
      </c>
      <c r="F130" s="554">
        <v>0</v>
      </c>
      <c r="G130" s="549">
        <f t="shared" ref="G130:G140" si="13">F130-E130</f>
        <v>0</v>
      </c>
      <c r="H130" s="536">
        <f>G130+'16'!H130</f>
        <v>0</v>
      </c>
      <c r="I130" s="556"/>
      <c r="J130" s="629">
        <f>H130/DAY(B2)</f>
        <v>0</v>
      </c>
      <c r="N130" s="818"/>
      <c r="O130" s="825"/>
      <c r="P130" s="413"/>
    </row>
    <row r="131" spans="1:16" ht="27.75">
      <c r="A131" s="1336" t="s">
        <v>251</v>
      </c>
      <c r="B131" s="1337"/>
      <c r="C131" s="1337"/>
      <c r="D131" s="599" t="s">
        <v>250</v>
      </c>
      <c r="E131" s="560">
        <f>'16'!F131</f>
        <v>0</v>
      </c>
      <c r="F131" s="554">
        <v>0</v>
      </c>
      <c r="G131" s="549">
        <f t="shared" si="13"/>
        <v>0</v>
      </c>
      <c r="H131" s="536">
        <f>G131+'16'!H131</f>
        <v>0</v>
      </c>
      <c r="I131" s="556"/>
      <c r="J131" s="629">
        <f>H131/DAY(B2)</f>
        <v>0</v>
      </c>
      <c r="N131" s="818"/>
      <c r="O131" s="825"/>
      <c r="P131" s="413"/>
    </row>
    <row r="132" spans="1:16" ht="27.75">
      <c r="A132" s="1336" t="s">
        <v>252</v>
      </c>
      <c r="B132" s="1337"/>
      <c r="C132" s="1337"/>
      <c r="D132" s="599" t="s">
        <v>250</v>
      </c>
      <c r="E132" s="618">
        <f>'16'!F132</f>
        <v>38901</v>
      </c>
      <c r="F132" s="732">
        <v>38901</v>
      </c>
      <c r="G132" s="549">
        <f t="shared" si="13"/>
        <v>0</v>
      </c>
      <c r="H132" s="536">
        <f>G132+'16'!H132</f>
        <v>0</v>
      </c>
      <c r="I132" s="556"/>
      <c r="J132" s="629">
        <f>H132/DAY(B2)</f>
        <v>0</v>
      </c>
      <c r="N132" s="818"/>
      <c r="O132" s="825"/>
      <c r="P132" s="413"/>
    </row>
    <row r="133" spans="1:16" ht="27.75">
      <c r="A133" s="1336" t="s">
        <v>253</v>
      </c>
      <c r="B133" s="1337"/>
      <c r="C133" s="1337"/>
      <c r="D133" s="599" t="s">
        <v>250</v>
      </c>
      <c r="E133" s="782">
        <f>'16'!F133</f>
        <v>299</v>
      </c>
      <c r="F133" s="703">
        <v>299</v>
      </c>
      <c r="G133" s="549">
        <f t="shared" si="13"/>
        <v>0</v>
      </c>
      <c r="H133" s="536">
        <f>G133+'16'!H133</f>
        <v>0</v>
      </c>
      <c r="I133" s="556">
        <f>G130+G131+G132+G133</f>
        <v>0</v>
      </c>
      <c r="J133" s="629">
        <f>H133/DAY(B2)</f>
        <v>0</v>
      </c>
      <c r="N133" s="818"/>
      <c r="O133" s="825"/>
      <c r="P133" s="413"/>
    </row>
    <row r="134" spans="1:16" ht="27.75">
      <c r="A134" s="1336" t="s">
        <v>254</v>
      </c>
      <c r="B134" s="1337"/>
      <c r="C134" s="1337"/>
      <c r="D134" s="599" t="s">
        <v>250</v>
      </c>
      <c r="E134" s="782">
        <f>'16'!F134</f>
        <v>39864</v>
      </c>
      <c r="F134" s="703">
        <v>39888.47</v>
      </c>
      <c r="G134" s="549">
        <f t="shared" si="13"/>
        <v>24.470000000001164</v>
      </c>
      <c r="H134" s="536">
        <f>G134+'16'!H134</f>
        <v>153.47000000000116</v>
      </c>
      <c r="I134" s="556"/>
      <c r="J134" s="629">
        <f>H134/DAY(B2)</f>
        <v>9.0276470588235984</v>
      </c>
      <c r="N134" s="818"/>
      <c r="O134" s="825"/>
      <c r="P134" s="413"/>
    </row>
    <row r="135" spans="1:16" ht="27.75">
      <c r="A135" s="1336" t="s">
        <v>255</v>
      </c>
      <c r="B135" s="1337"/>
      <c r="C135" s="1337"/>
      <c r="D135" s="599" t="s">
        <v>250</v>
      </c>
      <c r="E135" s="618">
        <f>'16'!F135</f>
        <v>32423</v>
      </c>
      <c r="F135" s="732">
        <v>32423</v>
      </c>
      <c r="G135" s="549">
        <f t="shared" si="13"/>
        <v>0</v>
      </c>
      <c r="H135" s="536">
        <f>G135+'16'!H135</f>
        <v>255.61000000000058</v>
      </c>
      <c r="I135" s="556"/>
      <c r="J135" s="629">
        <f>H135/DAY(B2)</f>
        <v>15.035882352941211</v>
      </c>
      <c r="N135" s="818"/>
      <c r="O135" s="825"/>
      <c r="P135" s="413"/>
    </row>
    <row r="136" spans="1:16" ht="27.75">
      <c r="A136" s="1336" t="s">
        <v>256</v>
      </c>
      <c r="B136" s="1337"/>
      <c r="C136" s="1337"/>
      <c r="D136" s="599" t="s">
        <v>250</v>
      </c>
      <c r="E136" s="618">
        <f>'16'!F136</f>
        <v>21899.55</v>
      </c>
      <c r="F136" s="732">
        <v>21909.24</v>
      </c>
      <c r="G136" s="549">
        <f t="shared" si="13"/>
        <v>9.6900000000023283</v>
      </c>
      <c r="H136" s="536">
        <f>G136+'16'!H136</f>
        <v>107.54000000000087</v>
      </c>
      <c r="I136" s="556">
        <f>G134+G135+G136</f>
        <v>34.160000000003492</v>
      </c>
      <c r="J136" s="629">
        <f>H136/DAY(B2)</f>
        <v>6.3258823529412282</v>
      </c>
      <c r="N136" s="818"/>
      <c r="O136" s="825"/>
      <c r="P136" s="413"/>
    </row>
    <row r="137" spans="1:16" ht="27.75">
      <c r="A137" s="1336" t="s">
        <v>257</v>
      </c>
      <c r="B137" s="1337"/>
      <c r="C137" s="1337"/>
      <c r="D137" s="599" t="s">
        <v>250</v>
      </c>
      <c r="E137" s="618">
        <f>'16'!F137</f>
        <v>25000.560000000001</v>
      </c>
      <c r="F137" s="732">
        <v>25000.560000000001</v>
      </c>
      <c r="G137" s="549">
        <f t="shared" si="13"/>
        <v>0</v>
      </c>
      <c r="H137" s="536">
        <f>G137+'16'!H137</f>
        <v>9.9500000000007276</v>
      </c>
      <c r="I137" s="556"/>
      <c r="J137" s="629">
        <f>H137/DAY(B2)</f>
        <v>0.5852941176471016</v>
      </c>
      <c r="N137" s="818"/>
      <c r="O137" s="825"/>
      <c r="P137" s="413"/>
    </row>
    <row r="138" spans="1:16" ht="27.75">
      <c r="A138" s="1336" t="s">
        <v>258</v>
      </c>
      <c r="B138" s="1337"/>
      <c r="C138" s="1337"/>
      <c r="D138" s="599" t="s">
        <v>250</v>
      </c>
      <c r="E138" s="618">
        <f>'16'!F138</f>
        <v>70045.850000000006</v>
      </c>
      <c r="F138" s="732">
        <v>70047.12</v>
      </c>
      <c r="G138" s="549">
        <f t="shared" si="13"/>
        <v>1.2699999999895226</v>
      </c>
      <c r="H138" s="536">
        <f>G138+'16'!H138</f>
        <v>40.75</v>
      </c>
      <c r="I138" s="556">
        <f>G137+G138</f>
        <v>1.2699999999895226</v>
      </c>
      <c r="J138" s="629">
        <f>H138/DAY(B2)</f>
        <v>2.3970588235294117</v>
      </c>
      <c r="N138" s="818"/>
      <c r="O138" s="825"/>
      <c r="P138" s="413"/>
    </row>
    <row r="139" spans="1:16" ht="27.75">
      <c r="A139" s="1336" t="s">
        <v>259</v>
      </c>
      <c r="B139" s="1337"/>
      <c r="C139" s="1337"/>
      <c r="D139" s="599" t="s">
        <v>250</v>
      </c>
      <c r="E139" s="782">
        <f>'16'!F139</f>
        <v>1087.18</v>
      </c>
      <c r="F139" s="703">
        <v>1095.3900000000001</v>
      </c>
      <c r="G139" s="549">
        <f t="shared" si="13"/>
        <v>8.2100000000000364</v>
      </c>
      <c r="H139" s="536">
        <f>G139+'16'!H139</f>
        <v>32.3900000000001</v>
      </c>
      <c r="I139" s="619"/>
      <c r="J139" s="629">
        <f>H139/DAY(B2)</f>
        <v>1.9052941176470648</v>
      </c>
      <c r="N139" s="818"/>
      <c r="O139" s="825"/>
      <c r="P139" s="413"/>
    </row>
    <row r="140" spans="1:16" ht="27.75">
      <c r="A140" s="1336" t="s">
        <v>260</v>
      </c>
      <c r="B140" s="1337"/>
      <c r="C140" s="1337"/>
      <c r="D140" s="599" t="s">
        <v>250</v>
      </c>
      <c r="E140" s="560">
        <f>'16'!F140</f>
        <v>4333.53</v>
      </c>
      <c r="F140" s="554">
        <v>4333.53</v>
      </c>
      <c r="G140" s="549">
        <f t="shared" si="13"/>
        <v>0</v>
      </c>
      <c r="H140" s="536">
        <f>G140+'16'!H140</f>
        <v>101.11999999999989</v>
      </c>
      <c r="I140" s="619"/>
      <c r="J140" s="629">
        <f>H140/DAY(B2)</f>
        <v>5.9482352941176408</v>
      </c>
      <c r="N140" s="818"/>
      <c r="O140" s="825"/>
      <c r="P140" s="413"/>
    </row>
    <row r="141" spans="1:16">
      <c r="A141" s="1397" t="s">
        <v>261</v>
      </c>
      <c r="B141" s="1398"/>
      <c r="C141" s="1342"/>
      <c r="D141" s="548"/>
      <c r="E141" s="548"/>
      <c r="F141" s="548"/>
      <c r="G141" s="559"/>
      <c r="H141" s="559"/>
      <c r="I141" s="559"/>
      <c r="J141" s="640"/>
      <c r="K141" s="411"/>
      <c r="L141" s="408"/>
      <c r="N141" s="818"/>
      <c r="O141" s="825"/>
      <c r="P141" s="413"/>
    </row>
    <row r="142" spans="1:16" ht="27.75">
      <c r="A142" s="1388" t="s">
        <v>262</v>
      </c>
      <c r="B142" s="1389"/>
      <c r="C142" s="1390"/>
      <c r="D142" s="599" t="s">
        <v>143</v>
      </c>
      <c r="E142" s="599"/>
      <c r="F142" s="599"/>
      <c r="G142" s="536">
        <v>3349</v>
      </c>
      <c r="H142" s="536">
        <f>G142+'16'!H142</f>
        <v>86038.32</v>
      </c>
      <c r="I142" s="556"/>
      <c r="J142" s="629">
        <f>H142/DAY(B2)</f>
        <v>5061.0776470588244</v>
      </c>
      <c r="K142" s="411"/>
      <c r="L142" s="408"/>
      <c r="N142" s="818"/>
      <c r="O142" s="825"/>
      <c r="P142" s="413"/>
    </row>
    <row r="143" spans="1:16" ht="27.75">
      <c r="A143" s="1388" t="s">
        <v>263</v>
      </c>
      <c r="B143" s="1389"/>
      <c r="C143" s="1390"/>
      <c r="D143" s="599" t="s">
        <v>24</v>
      </c>
      <c r="E143" s="587"/>
      <c r="F143" s="587"/>
      <c r="G143" s="620">
        <f>G142/G7</f>
        <v>0.16038503903069776</v>
      </c>
      <c r="H143" s="536">
        <f>G143+'16'!H143</f>
        <v>4.2503393960130218</v>
      </c>
      <c r="I143" s="621"/>
      <c r="J143" s="629">
        <f>H143/DAY(B2)</f>
        <v>0.25001996447135422</v>
      </c>
      <c r="K143" s="411"/>
      <c r="L143" s="408"/>
      <c r="N143" s="818"/>
      <c r="O143" s="825"/>
      <c r="P143" s="413"/>
    </row>
    <row r="144" spans="1:16" ht="27.75">
      <c r="A144" s="1388" t="s">
        <v>264</v>
      </c>
      <c r="B144" s="1389"/>
      <c r="C144" s="1390"/>
      <c r="D144" s="599" t="s">
        <v>143</v>
      </c>
      <c r="E144" s="531"/>
      <c r="F144" s="531"/>
      <c r="G144" s="536">
        <f>G41+G42+G55+G56</f>
        <v>4283.5390000000443</v>
      </c>
      <c r="H144" s="536">
        <f>G144+'16'!H144</f>
        <v>72781.679000000033</v>
      </c>
      <c r="I144" s="556"/>
      <c r="J144" s="629">
        <f>H144/DAY(B2)</f>
        <v>4281.2752352941197</v>
      </c>
      <c r="K144" s="411"/>
      <c r="L144" s="408"/>
      <c r="N144" s="818"/>
      <c r="O144" s="825"/>
      <c r="P144" s="413"/>
    </row>
    <row r="145" spans="1:16" ht="27.75">
      <c r="A145" s="1388" t="s">
        <v>265</v>
      </c>
      <c r="B145" s="1389"/>
      <c r="C145" s="1390"/>
      <c r="D145" s="599" t="s">
        <v>24</v>
      </c>
      <c r="E145" s="531"/>
      <c r="F145" s="531"/>
      <c r="G145" s="620">
        <f>G144/G7</f>
        <v>0.20514051051195079</v>
      </c>
      <c r="H145" s="536">
        <f>G145+'16'!H145</f>
        <v>3.7257284022662827</v>
      </c>
      <c r="I145" s="621"/>
      <c r="J145" s="629">
        <f>H145/DAY(B2)</f>
        <v>0.21916049425095779</v>
      </c>
      <c r="K145" s="411"/>
      <c r="L145" s="408"/>
      <c r="N145" s="818"/>
      <c r="O145" s="825"/>
      <c r="P145" s="413"/>
    </row>
    <row r="146" spans="1:16" ht="27.75">
      <c r="A146" s="1388" t="s">
        <v>266</v>
      </c>
      <c r="B146" s="1389"/>
      <c r="C146" s="1390"/>
      <c r="D146" s="599" t="s">
        <v>143</v>
      </c>
      <c r="E146" s="531"/>
      <c r="F146" s="531"/>
      <c r="G146" s="536">
        <f>G39+G53</f>
        <v>4374.6000000000058</v>
      </c>
      <c r="H146" s="536">
        <f>G146+'16'!H146</f>
        <v>69267.48000000001</v>
      </c>
      <c r="I146" s="622"/>
      <c r="J146" s="629">
        <f>H146/DAY(B2)</f>
        <v>4074.5576470588239</v>
      </c>
      <c r="K146" s="411"/>
      <c r="L146" s="408"/>
      <c r="N146" s="818"/>
      <c r="O146" s="825"/>
      <c r="P146" s="413"/>
    </row>
    <row r="147" spans="1:16" ht="27.75">
      <c r="A147" s="1388" t="s">
        <v>267</v>
      </c>
      <c r="B147" s="1389"/>
      <c r="C147" s="1390"/>
      <c r="D147" s="599" t="s">
        <v>24</v>
      </c>
      <c r="E147" s="531"/>
      <c r="F147" s="531"/>
      <c r="G147" s="620">
        <f>G146/G7</f>
        <v>0.20950146065801475</v>
      </c>
      <c r="H147" s="536">
        <f>G147+'16'!H147</f>
        <v>3.5567853885488225</v>
      </c>
      <c r="I147" s="622"/>
      <c r="J147" s="629">
        <f>H147/DAY(B2)</f>
        <v>0.20922266991463662</v>
      </c>
      <c r="N147" s="818"/>
      <c r="O147" s="825"/>
      <c r="P147" s="413"/>
    </row>
    <row r="148" spans="1:16" ht="27.75">
      <c r="A148" s="1388" t="s">
        <v>268</v>
      </c>
      <c r="B148" s="1389"/>
      <c r="C148" s="1390"/>
      <c r="D148" s="599" t="s">
        <v>194</v>
      </c>
      <c r="E148" s="531"/>
      <c r="F148" s="531"/>
      <c r="G148" s="536">
        <f>G38+G52</f>
        <v>2085.7199999999721</v>
      </c>
      <c r="H148" s="536">
        <f>G148+'16'!H148</f>
        <v>34432.119999999995</v>
      </c>
      <c r="I148" s="556"/>
      <c r="J148" s="629">
        <f>H148/DAY(B2)</f>
        <v>2025.4188235294114</v>
      </c>
      <c r="K148" s="412"/>
      <c r="N148" s="818"/>
      <c r="O148" s="825"/>
      <c r="P148" s="413"/>
    </row>
    <row r="149" spans="1:16" ht="27.75">
      <c r="A149" s="1388" t="s">
        <v>269</v>
      </c>
      <c r="B149" s="1389"/>
      <c r="C149" s="1390"/>
      <c r="D149" s="599" t="s">
        <v>24</v>
      </c>
      <c r="E149" s="531"/>
      <c r="F149" s="531"/>
      <c r="G149" s="620">
        <f>G148/G7</f>
        <v>9.9886020784443849E-2</v>
      </c>
      <c r="H149" s="536">
        <f>G149+'16'!H149</f>
        <v>1.7689088791262668</v>
      </c>
      <c r="I149" s="622"/>
      <c r="J149" s="629">
        <f>H149/DAY(B2)</f>
        <v>0.1040534634780157</v>
      </c>
      <c r="N149" s="818"/>
      <c r="O149" s="825"/>
      <c r="P149" s="413"/>
    </row>
    <row r="150" spans="1:16" ht="27.75">
      <c r="A150" s="1388" t="s">
        <v>270</v>
      </c>
      <c r="B150" s="1389"/>
      <c r="C150" s="1390"/>
      <c r="D150" s="599" t="s">
        <v>194</v>
      </c>
      <c r="E150" s="531"/>
      <c r="F150" s="531"/>
      <c r="G150" s="536">
        <f>G36+G50</f>
        <v>1834.9799999999814</v>
      </c>
      <c r="H150" s="536">
        <f>G150+'16'!H150</f>
        <v>30038.799999999988</v>
      </c>
      <c r="I150" s="622"/>
      <c r="J150" s="629">
        <f>H150/DAY(B2)</f>
        <v>1766.988235294117</v>
      </c>
      <c r="N150" s="818"/>
      <c r="O150" s="825"/>
      <c r="P150" s="413"/>
    </row>
    <row r="151" spans="1:16" ht="27.75">
      <c r="A151" s="1388" t="s">
        <v>271</v>
      </c>
      <c r="B151" s="1389"/>
      <c r="C151" s="1390"/>
      <c r="D151" s="599" t="s">
        <v>24</v>
      </c>
      <c r="E151" s="531"/>
      <c r="F151" s="531"/>
      <c r="G151" s="620">
        <f>G150/G7</f>
        <v>8.787797519275807E-2</v>
      </c>
      <c r="H151" s="536">
        <f>G151+'16'!H151</f>
        <v>1.543708619731051</v>
      </c>
      <c r="I151" s="556"/>
      <c r="J151" s="629">
        <f>H151/DAY(B2)</f>
        <v>9.0806389395944181E-2</v>
      </c>
      <c r="N151" s="818"/>
      <c r="O151" s="825"/>
      <c r="P151" s="413"/>
    </row>
    <row r="152" spans="1:16" ht="27.75">
      <c r="A152" s="1388" t="s">
        <v>272</v>
      </c>
      <c r="B152" s="1389"/>
      <c r="C152" s="1390"/>
      <c r="D152" s="599" t="s">
        <v>194</v>
      </c>
      <c r="E152" s="531"/>
      <c r="F152" s="531"/>
      <c r="G152" s="536">
        <f>G37+G51</f>
        <v>1509.4300000000076</v>
      </c>
      <c r="H152" s="536">
        <f>G152+'16'!H152</f>
        <v>24605.630000000005</v>
      </c>
      <c r="I152" s="556"/>
      <c r="J152" s="629">
        <f>H152/DAY(B2)</f>
        <v>1447.3900000000003</v>
      </c>
      <c r="N152" s="818"/>
      <c r="O152" s="825"/>
      <c r="P152" s="413"/>
    </row>
    <row r="153" spans="1:16" ht="28.5" thickBot="1">
      <c r="A153" s="1394" t="s">
        <v>273</v>
      </c>
      <c r="B153" s="1395"/>
      <c r="C153" s="1396"/>
      <c r="D153" s="702" t="s">
        <v>24</v>
      </c>
      <c r="E153" s="642"/>
      <c r="F153" s="642"/>
      <c r="G153" s="643">
        <f>G152/G7</f>
        <v>7.2287246779369166E-2</v>
      </c>
      <c r="H153" s="536">
        <f>G153+'16'!H153</f>
        <v>1.2640876643665524</v>
      </c>
      <c r="I153" s="645"/>
      <c r="J153" s="646">
        <f>H153/DAY(B2)</f>
        <v>7.4358097903914844E-2</v>
      </c>
      <c r="N153" s="818"/>
      <c r="O153" s="825"/>
      <c r="P153" s="413"/>
    </row>
    <row r="154" spans="1:16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18"/>
    </row>
    <row r="155" spans="1:16">
      <c r="N155" s="818"/>
    </row>
    <row r="156" spans="1:16">
      <c r="N156" s="818"/>
    </row>
    <row r="157" spans="1:16">
      <c r="N157" s="818"/>
    </row>
    <row r="158" spans="1:16">
      <c r="N158" s="818"/>
    </row>
    <row r="159" spans="1:16">
      <c r="N159" s="818"/>
    </row>
    <row r="160" spans="1:16">
      <c r="A160" s="899" t="s">
        <v>274</v>
      </c>
      <c r="B160" s="900"/>
      <c r="C160" s="900"/>
      <c r="D160" s="697" t="s">
        <v>198</v>
      </c>
      <c r="E160" s="598">
        <f>'16'!F160</f>
        <v>27226.41</v>
      </c>
      <c r="F160" s="908">
        <v>27300.02</v>
      </c>
      <c r="G160" s="549">
        <f t="shared" ref="G160:G163" si="14">F160-E160</f>
        <v>73.610000000000582</v>
      </c>
      <c r="N160" s="818"/>
    </row>
    <row r="161" spans="1:14" ht="21.75" customHeight="1">
      <c r="A161" s="899" t="s">
        <v>275</v>
      </c>
      <c r="B161" s="900"/>
      <c r="C161" s="900"/>
      <c r="D161" s="697" t="s">
        <v>198</v>
      </c>
      <c r="E161" s="598">
        <f>'16'!F161</f>
        <v>35768.269999999997</v>
      </c>
      <c r="F161" s="908">
        <v>36243.24</v>
      </c>
      <c r="G161" s="549">
        <f t="shared" si="14"/>
        <v>474.97000000000116</v>
      </c>
      <c r="N161" s="818"/>
    </row>
    <row r="162" spans="1:14" ht="21.75" customHeight="1">
      <c r="A162" s="899" t="s">
        <v>276</v>
      </c>
      <c r="B162" s="900"/>
      <c r="C162" s="900"/>
      <c r="D162" s="697" t="s">
        <v>198</v>
      </c>
      <c r="E162" s="598">
        <v>9346.44</v>
      </c>
      <c r="F162" s="888">
        <v>9346.44</v>
      </c>
      <c r="G162" s="549">
        <f t="shared" si="14"/>
        <v>0</v>
      </c>
      <c r="N162" s="818"/>
    </row>
    <row r="163" spans="1:14" ht="21.75" customHeight="1">
      <c r="A163" s="899" t="s">
        <v>277</v>
      </c>
      <c r="B163" s="900"/>
      <c r="C163" s="900"/>
      <c r="D163" s="697" t="s">
        <v>198</v>
      </c>
      <c r="E163" s="598">
        <f>'16'!F163</f>
        <v>4699.71</v>
      </c>
      <c r="F163" s="908">
        <v>4714.33</v>
      </c>
      <c r="G163" s="549">
        <f t="shared" si="14"/>
        <v>14.619999999999891</v>
      </c>
      <c r="N163" s="818"/>
    </row>
    <row r="164" spans="1:14" ht="21.75" customHeight="1">
      <c r="A164" s="901" t="s">
        <v>106</v>
      </c>
      <c r="B164" s="902"/>
      <c r="C164" s="902"/>
      <c r="D164" s="697" t="s">
        <v>198</v>
      </c>
      <c r="E164" s="598">
        <f>E62</f>
        <v>20419.18</v>
      </c>
      <c r="F164" s="590">
        <f>F62</f>
        <v>20419.18</v>
      </c>
      <c r="G164" s="549">
        <f t="shared" ref="G164:G171" si="15">F164-E164</f>
        <v>0</v>
      </c>
      <c r="N164" s="818"/>
    </row>
    <row r="165" spans="1:14" ht="21.75" customHeight="1">
      <c r="A165" s="901" t="s">
        <v>199</v>
      </c>
      <c r="B165" s="902"/>
      <c r="C165" s="902"/>
      <c r="D165" s="697" t="s">
        <v>198</v>
      </c>
      <c r="E165" s="598">
        <f t="shared" ref="E165:E171" si="16">E63</f>
        <v>1178.1600000000001</v>
      </c>
      <c r="F165" s="590">
        <f t="shared" ref="F165:F171" si="17">F63</f>
        <v>1188.27</v>
      </c>
      <c r="G165" s="549">
        <f t="shared" si="15"/>
        <v>10.1099999999999</v>
      </c>
      <c r="N165" s="818"/>
    </row>
    <row r="166" spans="1:14" ht="21.75" customHeight="1">
      <c r="A166" s="1434" t="s">
        <v>107</v>
      </c>
      <c r="B166" s="1434"/>
      <c r="C166" s="1434"/>
      <c r="D166" s="600" t="s">
        <v>198</v>
      </c>
      <c r="E166" s="598">
        <f t="shared" si="16"/>
        <v>104830.59</v>
      </c>
      <c r="F166" s="590">
        <f t="shared" si="17"/>
        <v>105247</v>
      </c>
      <c r="G166" s="549">
        <f t="shared" si="15"/>
        <v>416.41000000000349</v>
      </c>
      <c r="N166" s="818"/>
    </row>
    <row r="167" spans="1:14" ht="21.75" customHeight="1">
      <c r="A167" s="1434" t="s">
        <v>108</v>
      </c>
      <c r="B167" s="1434"/>
      <c r="C167" s="1434"/>
      <c r="D167" s="600" t="s">
        <v>198</v>
      </c>
      <c r="E167" s="598">
        <f t="shared" si="16"/>
        <v>115524.74</v>
      </c>
      <c r="F167" s="590">
        <f t="shared" si="17"/>
        <v>115969.48</v>
      </c>
      <c r="G167" s="549">
        <f t="shared" si="15"/>
        <v>444.73999999999069</v>
      </c>
      <c r="N167" s="818"/>
    </row>
    <row r="168" spans="1:14" ht="21.75" customHeight="1">
      <c r="A168" s="1434" t="s">
        <v>109</v>
      </c>
      <c r="B168" s="1434"/>
      <c r="C168" s="1434"/>
      <c r="D168" s="600" t="s">
        <v>198</v>
      </c>
      <c r="E168" s="598">
        <f t="shared" si="16"/>
        <v>8307.6299999999992</v>
      </c>
      <c r="F168" s="590">
        <f t="shared" si="17"/>
        <v>8662.3799999999992</v>
      </c>
      <c r="G168" s="549">
        <f t="shared" si="15"/>
        <v>354.75</v>
      </c>
      <c r="N168" s="818"/>
    </row>
    <row r="169" spans="1:14" ht="24" customHeight="1">
      <c r="A169" s="1434" t="s">
        <v>110</v>
      </c>
      <c r="B169" s="1434"/>
      <c r="C169" s="1434"/>
      <c r="D169" s="600" t="s">
        <v>198</v>
      </c>
      <c r="E169" s="598">
        <f t="shared" si="16"/>
        <v>178627.61</v>
      </c>
      <c r="F169" s="590">
        <f t="shared" si="17"/>
        <v>179391.44</v>
      </c>
      <c r="G169" s="549">
        <f t="shared" si="15"/>
        <v>763.8300000000163</v>
      </c>
      <c r="N169" s="818"/>
    </row>
    <row r="170" spans="1:14" ht="24" customHeight="1">
      <c r="A170" s="1434" t="s">
        <v>111</v>
      </c>
      <c r="B170" s="1434"/>
      <c r="C170" s="1434"/>
      <c r="D170" s="600" t="s">
        <v>198</v>
      </c>
      <c r="E170" s="598">
        <f t="shared" si="16"/>
        <v>58495.8</v>
      </c>
      <c r="F170" s="590">
        <f t="shared" si="17"/>
        <v>58824.800000000003</v>
      </c>
      <c r="G170" s="549">
        <f t="shared" si="15"/>
        <v>329</v>
      </c>
      <c r="N170" s="818"/>
    </row>
    <row r="171" spans="1:14" ht="27.75">
      <c r="A171" s="1434" t="s">
        <v>112</v>
      </c>
      <c r="B171" s="1434"/>
      <c r="C171" s="1434"/>
      <c r="D171" s="600" t="s">
        <v>198</v>
      </c>
      <c r="E171" s="598">
        <f t="shared" si="16"/>
        <v>51203.29</v>
      </c>
      <c r="F171" s="590">
        <f t="shared" si="17"/>
        <v>51493.22</v>
      </c>
      <c r="G171" s="549">
        <f t="shared" si="15"/>
        <v>289.93000000000029</v>
      </c>
      <c r="N171" s="818"/>
    </row>
    <row r="172" spans="1:14">
      <c r="A172" s="903"/>
      <c r="B172" s="904"/>
      <c r="C172" s="904"/>
      <c r="D172" s="905"/>
      <c r="E172" s="905"/>
      <c r="F172" s="906"/>
      <c r="G172" s="907">
        <f>SUM(G160:G171)</f>
        <v>3171.9700000000121</v>
      </c>
      <c r="N172" s="818"/>
    </row>
    <row r="173" spans="1:14">
      <c r="N173" s="818"/>
    </row>
    <row r="174" spans="1:14">
      <c r="N174" s="818"/>
    </row>
    <row r="175" spans="1:14">
      <c r="N175" s="818"/>
    </row>
    <row r="176" spans="1:14" ht="18.75" customHeight="1">
      <c r="N176" s="818"/>
    </row>
    <row r="177" spans="14:14" ht="18.75" customHeight="1">
      <c r="N177" s="818"/>
    </row>
    <row r="178" spans="14:14" ht="17.25" customHeight="1">
      <c r="N178" s="818"/>
    </row>
    <row r="179" spans="14:14" ht="18.75" customHeight="1">
      <c r="N179" s="818"/>
    </row>
    <row r="180" spans="14:14" ht="18.75" customHeight="1">
      <c r="N180" s="818"/>
    </row>
    <row r="181" spans="14:14" ht="17.25" customHeight="1">
      <c r="N181" s="818"/>
    </row>
    <row r="182" spans="14:14" ht="18.75" customHeight="1">
      <c r="N182" s="818"/>
    </row>
    <row r="183" spans="14:14" ht="18.75" customHeight="1">
      <c r="N183" s="818"/>
    </row>
    <row r="184" spans="14:14" ht="17.25" customHeight="1">
      <c r="N184" s="818"/>
    </row>
    <row r="185" spans="14:14" ht="17.25" customHeight="1">
      <c r="N185" s="818"/>
    </row>
    <row r="186" spans="14:14" ht="17.25" customHeight="1">
      <c r="N186" s="818"/>
    </row>
    <row r="187" spans="14:14" ht="17.25" customHeight="1">
      <c r="N187" s="818"/>
    </row>
    <row r="188" spans="14:14" ht="17.25" customHeight="1">
      <c r="N188" s="818"/>
    </row>
    <row r="189" spans="14:14" ht="17.25" customHeight="1">
      <c r="N189" s="818"/>
    </row>
    <row r="190" spans="14:14" ht="17.25" customHeight="1">
      <c r="N190" s="818"/>
    </row>
    <row r="191" spans="14:14" ht="18.75" customHeight="1">
      <c r="N191" s="818"/>
    </row>
    <row r="192" spans="14:14" ht="18.75" customHeight="1">
      <c r="N192" s="818"/>
    </row>
    <row r="193" spans="14:14" ht="18.75" customHeight="1">
      <c r="N193" s="818"/>
    </row>
    <row r="194" spans="14:14" ht="18.75" customHeight="1">
      <c r="N194" s="818"/>
    </row>
    <row r="195" spans="14:14" ht="18.75" customHeight="1">
      <c r="N195" s="818"/>
    </row>
    <row r="196" spans="14:14" ht="18.75" customHeight="1">
      <c r="N196" s="818"/>
    </row>
    <row r="197" spans="14:14" ht="18.75" customHeight="1">
      <c r="N197" s="818"/>
    </row>
    <row r="198" spans="14:14" ht="18.75" customHeight="1"/>
    <row r="199" spans="14:14" ht="18.75" customHeight="1"/>
    <row r="200" spans="14:14" ht="18.75" customHeight="1"/>
    <row r="201" spans="14:14" ht="18.75" customHeight="1"/>
    <row r="202" spans="14:14" ht="18.75" customHeight="1"/>
    <row r="203" spans="14:14" ht="18.75" customHeight="1"/>
    <row r="204" spans="14:14" ht="18.75" customHeight="1"/>
    <row r="205" spans="14:14" ht="18.75" customHeight="1"/>
    <row r="206" spans="14:14" ht="18.75" customHeight="1"/>
    <row r="207" spans="14:14" ht="18.75" customHeight="1"/>
    <row r="208" spans="14:14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7"/>
  <sheetViews>
    <sheetView view="pageBreakPreview" topLeftCell="A67" zoomScale="55" zoomScaleNormal="68" zoomScaleSheetLayoutView="55" workbookViewId="0">
      <selection activeCell="F28" sqref="F28"/>
    </sheetView>
  </sheetViews>
  <sheetFormatPr defaultColWidth="22.33203125" defaultRowHeight="23.25" customHeight="1"/>
  <cols>
    <col min="1" max="1" width="51.21875" style="281" customWidth="1"/>
    <col min="2" max="2" width="24.88671875" style="281" customWidth="1"/>
    <col min="3" max="3" width="15.88671875" style="281" customWidth="1"/>
    <col min="4" max="4" width="13.6640625" style="281" customWidth="1"/>
    <col min="5" max="5" width="26.33203125" style="281" customWidth="1"/>
    <col min="6" max="6" width="27.109375" style="281" customWidth="1"/>
    <col min="7" max="7" width="31.6640625" style="281" customWidth="1"/>
    <col min="8" max="8" width="29.77734375" style="394" customWidth="1"/>
    <col min="9" max="9" width="23.77734375" style="281" customWidth="1"/>
    <col min="10" max="10" width="23.77734375" style="395" customWidth="1"/>
    <col min="11" max="16384" width="22.33203125" style="281"/>
  </cols>
  <sheetData>
    <row r="1" spans="1:12" ht="23.25" customHeight="1">
      <c r="A1" s="1482" t="s">
        <v>128</v>
      </c>
      <c r="B1" s="1482"/>
      <c r="C1" s="1482"/>
      <c r="D1" s="1482"/>
      <c r="E1" s="1482"/>
      <c r="F1" s="1482"/>
      <c r="G1" s="1482"/>
      <c r="H1" s="1482"/>
      <c r="I1" s="1482"/>
      <c r="J1" s="1482"/>
    </row>
    <row r="2" spans="1:12" ht="23.25" customHeight="1">
      <c r="A2" s="282" t="s">
        <v>337</v>
      </c>
      <c r="B2" s="1222">
        <v>44214</v>
      </c>
      <c r="C2" s="419" t="s">
        <v>69</v>
      </c>
      <c r="D2" s="284">
        <v>0.5</v>
      </c>
      <c r="E2" s="285"/>
      <c r="F2" s="285"/>
      <c r="G2" s="285" t="s">
        <v>129</v>
      </c>
      <c r="H2" s="285" t="s">
        <v>6</v>
      </c>
      <c r="I2" s="285" t="s">
        <v>8</v>
      </c>
      <c r="J2" s="286" t="s">
        <v>130</v>
      </c>
    </row>
    <row r="3" spans="1:12" ht="23.25" customHeight="1">
      <c r="A3" s="288"/>
      <c r="B3" s="289"/>
      <c r="C3" s="1242" t="s">
        <v>131</v>
      </c>
      <c r="D3" s="418">
        <v>29</v>
      </c>
      <c r="E3" s="1486" t="s">
        <v>132</v>
      </c>
      <c r="F3" s="1487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292"/>
      <c r="L3" s="293"/>
    </row>
    <row r="4" spans="1:12" ht="23.25" customHeight="1">
      <c r="A4" s="294"/>
      <c r="B4" s="288"/>
      <c r="C4" s="419" t="s">
        <v>133</v>
      </c>
      <c r="D4" s="284">
        <v>0.8</v>
      </c>
      <c r="E4" s="295"/>
      <c r="F4" s="295"/>
      <c r="G4" s="295"/>
      <c r="H4" s="295"/>
      <c r="I4" s="296"/>
      <c r="J4" s="287"/>
      <c r="K4" s="297"/>
      <c r="L4" s="293"/>
    </row>
    <row r="5" spans="1:12" ht="23.25" customHeight="1" thickBot="1">
      <c r="A5" s="298" t="s">
        <v>134</v>
      </c>
      <c r="B5" s="299"/>
      <c r="C5" s="300"/>
      <c r="D5" s="301" t="s">
        <v>135</v>
      </c>
      <c r="E5" s="302" t="s">
        <v>136</v>
      </c>
      <c r="F5" s="302" t="s">
        <v>123</v>
      </c>
      <c r="G5" s="303" t="s">
        <v>137</v>
      </c>
      <c r="H5" s="304" t="s">
        <v>138</v>
      </c>
      <c r="I5" s="305" t="s">
        <v>139</v>
      </c>
      <c r="J5" s="303" t="s">
        <v>140</v>
      </c>
      <c r="K5" s="306"/>
      <c r="L5" s="293"/>
    </row>
    <row r="6" spans="1:12" ht="23.25" customHeight="1">
      <c r="A6" s="1483" t="s">
        <v>141</v>
      </c>
      <c r="B6" s="1484"/>
      <c r="C6" s="1485"/>
      <c r="D6" s="422"/>
      <c r="E6" s="422"/>
      <c r="F6" s="422"/>
      <c r="G6" s="422"/>
      <c r="H6" s="474"/>
      <c r="I6" s="474"/>
      <c r="J6" s="474"/>
      <c r="K6" s="307"/>
      <c r="L6" s="293"/>
    </row>
    <row r="7" spans="1:12" ht="23.25" customHeight="1" thickBot="1">
      <c r="A7" s="308" t="s">
        <v>142</v>
      </c>
      <c r="B7" s="309"/>
      <c r="C7" s="310"/>
      <c r="D7" s="311" t="s">
        <v>143</v>
      </c>
      <c r="E7" s="312">
        <f>'17'!F7</f>
        <v>3617806</v>
      </c>
      <c r="F7" s="312">
        <v>3637969</v>
      </c>
      <c r="G7" s="313">
        <f>F7-E7</f>
        <v>20163</v>
      </c>
      <c r="H7" s="277">
        <f>G7+'17'!H7</f>
        <v>351529</v>
      </c>
      <c r="I7" s="276">
        <f>'1'!I7</f>
        <v>12000</v>
      </c>
      <c r="J7" s="314">
        <f>H7/DAY(B2)</f>
        <v>19529.388888888891</v>
      </c>
      <c r="K7" s="315"/>
      <c r="L7" s="293"/>
    </row>
    <row r="8" spans="1:12" ht="23.25" customHeight="1" thickBot="1">
      <c r="A8" s="316" t="s">
        <v>144</v>
      </c>
      <c r="B8" s="317"/>
      <c r="C8" s="318"/>
      <c r="D8" s="319" t="s">
        <v>25</v>
      </c>
      <c r="E8" s="320">
        <f>'17'!F8</f>
        <v>3640289</v>
      </c>
      <c r="F8" s="320">
        <v>3660534</v>
      </c>
      <c r="G8" s="313">
        <f>F8-E8</f>
        <v>20245</v>
      </c>
      <c r="H8" s="277">
        <f>G8+'17'!H8</f>
        <v>354162</v>
      </c>
      <c r="I8" s="523">
        <f>'1'!I8</f>
        <v>12000</v>
      </c>
      <c r="J8" s="314">
        <f>H8/DAY(B2)</f>
        <v>19675.666666666668</v>
      </c>
      <c r="K8" s="315"/>
      <c r="L8" s="293"/>
    </row>
    <row r="9" spans="1:12" ht="23.25" customHeight="1" thickBot="1">
      <c r="A9" s="322" t="s">
        <v>145</v>
      </c>
      <c r="B9" s="323"/>
      <c r="C9" s="324"/>
      <c r="D9" s="268" t="s">
        <v>143</v>
      </c>
      <c r="E9" s="312">
        <f>'17'!F9</f>
        <v>2451696.5</v>
      </c>
      <c r="F9" s="264">
        <v>2454670.5</v>
      </c>
      <c r="G9" s="325">
        <f t="shared" ref="G9:G12" si="0">F9-E9</f>
        <v>2974</v>
      </c>
      <c r="H9" s="277">
        <f>G9+'17'!H9</f>
        <v>49455.5</v>
      </c>
      <c r="I9" s="278">
        <f>I7-J7</f>
        <v>-7529.3888888888905</v>
      </c>
      <c r="J9" s="314">
        <f>H9/DAY(B2)</f>
        <v>2747.5277777777778</v>
      </c>
      <c r="K9" s="315"/>
      <c r="L9" s="417"/>
    </row>
    <row r="10" spans="1:12" ht="23.25" customHeight="1" thickBot="1">
      <c r="A10" s="327" t="s">
        <v>146</v>
      </c>
      <c r="B10" s="328"/>
      <c r="C10" s="329"/>
      <c r="D10" s="268" t="s">
        <v>143</v>
      </c>
      <c r="E10" s="312">
        <f>'17'!F10</f>
        <v>1023053.9</v>
      </c>
      <c r="F10" s="264">
        <v>1039662.5</v>
      </c>
      <c r="G10" s="325">
        <f t="shared" si="0"/>
        <v>16608.599999999977</v>
      </c>
      <c r="H10" s="277">
        <f>G10+'17'!H10</f>
        <v>289140.58999999997</v>
      </c>
      <c r="I10" s="326"/>
      <c r="J10" s="314">
        <f>H10/DAY(B2)</f>
        <v>16063.366111111109</v>
      </c>
      <c r="K10" s="315"/>
      <c r="L10" s="293"/>
    </row>
    <row r="11" spans="1:12" ht="23.25" customHeight="1" thickBot="1">
      <c r="A11" s="327" t="s">
        <v>147</v>
      </c>
      <c r="B11" s="328"/>
      <c r="C11" s="329"/>
      <c r="D11" s="268" t="s">
        <v>143</v>
      </c>
      <c r="E11" s="312">
        <f>'17'!F11</f>
        <v>35390</v>
      </c>
      <c r="F11" s="263">
        <v>35390</v>
      </c>
      <c r="G11" s="325">
        <f t="shared" si="0"/>
        <v>0</v>
      </c>
      <c r="H11" s="277">
        <f>G11+'17'!H11</f>
        <v>0</v>
      </c>
      <c r="I11" s="326"/>
      <c r="J11" s="314">
        <f>H11/DAY(B2)</f>
        <v>0</v>
      </c>
      <c r="K11" s="315"/>
      <c r="L11" s="293"/>
    </row>
    <row r="12" spans="1:12" ht="23.25" customHeight="1" thickBot="1">
      <c r="A12" s="327" t="s">
        <v>148</v>
      </c>
      <c r="B12" s="328"/>
      <c r="C12" s="329"/>
      <c r="D12" s="268" t="s">
        <v>143</v>
      </c>
      <c r="E12" s="312">
        <f>'17'!F12</f>
        <v>37630</v>
      </c>
      <c r="F12" s="264">
        <v>37630</v>
      </c>
      <c r="G12" s="325">
        <f t="shared" si="0"/>
        <v>0</v>
      </c>
      <c r="H12" s="277">
        <f>G12+'17'!H12</f>
        <v>0</v>
      </c>
      <c r="I12" s="326"/>
      <c r="J12" s="314">
        <f>H12/DAY(B2)</f>
        <v>0</v>
      </c>
      <c r="K12" s="315"/>
      <c r="L12" s="293"/>
    </row>
    <row r="13" spans="1:12" ht="23.25" customHeight="1">
      <c r="A13" s="437" t="s">
        <v>149</v>
      </c>
      <c r="B13" s="438"/>
      <c r="C13" s="439"/>
      <c r="D13" s="268"/>
      <c r="E13" s="265"/>
      <c r="F13" s="265"/>
      <c r="G13" s="279">
        <f>G9+G10+G11+G12</f>
        <v>19582.599999999977</v>
      </c>
      <c r="H13" s="277">
        <f>G13+'17'!H13</f>
        <v>319075.08999999997</v>
      </c>
      <c r="I13" s="462">
        <f>G7-G13</f>
        <v>580.40000000002328</v>
      </c>
      <c r="J13" s="314">
        <f>H13/DAY(B2)</f>
        <v>17726.393888888888</v>
      </c>
      <c r="K13" s="315"/>
      <c r="L13" s="293"/>
    </row>
    <row r="14" spans="1:12" ht="23.25" customHeight="1">
      <c r="A14" s="1473" t="s">
        <v>150</v>
      </c>
      <c r="B14" s="1474"/>
      <c r="C14" s="1475"/>
      <c r="D14" s="474"/>
      <c r="E14" s="474"/>
      <c r="F14" s="474"/>
      <c r="G14" s="425"/>
      <c r="H14" s="474"/>
      <c r="I14" s="474"/>
      <c r="J14" s="474"/>
      <c r="K14" s="330"/>
      <c r="L14" s="293"/>
    </row>
    <row r="15" spans="1:12" ht="23.25" customHeight="1" thickBot="1">
      <c r="A15" s="331" t="s">
        <v>151</v>
      </c>
      <c r="B15" s="332"/>
      <c r="C15" s="333"/>
      <c r="D15" s="311" t="s">
        <v>152</v>
      </c>
      <c r="E15" s="312">
        <f>'17'!F15</f>
        <v>1582727.004</v>
      </c>
      <c r="F15" s="266">
        <v>1583671.78</v>
      </c>
      <c r="G15" s="325">
        <f>(F15-E15)</f>
        <v>944.77600000007078</v>
      </c>
      <c r="H15" s="277">
        <f>G15+'17'!H15</f>
        <v>14757.679999999935</v>
      </c>
      <c r="I15" s="276">
        <f>'1'!I15</f>
        <v>800</v>
      </c>
      <c r="J15" s="314">
        <f>H15/DAY(B2)</f>
        <v>819.87111111110744</v>
      </c>
      <c r="K15" s="315"/>
      <c r="L15" s="293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338"/>
      <c r="I16" s="398">
        <f>I15-J15</f>
        <v>-19.871111111107439</v>
      </c>
      <c r="J16" s="339"/>
      <c r="K16" s="315"/>
      <c r="L16" s="293"/>
    </row>
    <row r="17" spans="1:12" ht="23.25" customHeight="1">
      <c r="A17" s="1473" t="s">
        <v>153</v>
      </c>
      <c r="B17" s="1474"/>
      <c r="C17" s="1475"/>
      <c r="D17" s="474"/>
      <c r="E17" s="474"/>
      <c r="F17" s="474"/>
      <c r="G17" s="426"/>
      <c r="H17" s="474"/>
      <c r="I17" s="474"/>
      <c r="J17" s="474"/>
      <c r="K17" s="315"/>
      <c r="L17" s="293"/>
    </row>
    <row r="18" spans="1:12" ht="23.25" customHeight="1" thickBot="1">
      <c r="A18" s="1454" t="s">
        <v>154</v>
      </c>
      <c r="B18" s="1455"/>
      <c r="C18" s="1456"/>
      <c r="D18" s="268" t="s">
        <v>155</v>
      </c>
      <c r="E18" s="312">
        <f>'17'!F18</f>
        <v>14</v>
      </c>
      <c r="F18" s="267">
        <v>14</v>
      </c>
      <c r="G18" s="421">
        <f>F18*10</f>
        <v>140</v>
      </c>
      <c r="H18" s="277">
        <f>G18+'17'!H18</f>
        <v>2070</v>
      </c>
      <c r="I18" s="276">
        <f>'1'!I18</f>
        <v>65</v>
      </c>
      <c r="J18" s="314">
        <f>H18/DAY(B2)</f>
        <v>115</v>
      </c>
      <c r="K18" s="315"/>
      <c r="L18" s="293"/>
    </row>
    <row r="19" spans="1:12" ht="23.25" customHeight="1" thickBot="1">
      <c r="A19" s="1454" t="s">
        <v>71</v>
      </c>
      <c r="B19" s="1455"/>
      <c r="C19" s="1456"/>
      <c r="D19" s="268" t="s">
        <v>155</v>
      </c>
      <c r="E19" s="312">
        <f>'17'!F19</f>
        <v>132330</v>
      </c>
      <c r="F19" s="267">
        <v>132382</v>
      </c>
      <c r="G19" s="420">
        <f t="shared" ref="G19" si="1">F19-E19</f>
        <v>52</v>
      </c>
      <c r="H19" s="277">
        <f>G19+'17'!H19</f>
        <v>889</v>
      </c>
      <c r="I19" s="340"/>
      <c r="J19" s="314">
        <f>H19/DAY(B2)</f>
        <v>49.388888888888886</v>
      </c>
      <c r="K19" s="315"/>
      <c r="L19" s="293"/>
    </row>
    <row r="20" spans="1:12" ht="23.25" customHeight="1">
      <c r="A20" s="437" t="s">
        <v>156</v>
      </c>
      <c r="B20" s="438"/>
      <c r="C20" s="439"/>
      <c r="D20" s="341"/>
      <c r="E20" s="341"/>
      <c r="F20" s="341"/>
      <c r="G20" s="342">
        <f>G18+G19</f>
        <v>192</v>
      </c>
      <c r="H20" s="277">
        <f>G20+'17'!H20</f>
        <v>2959</v>
      </c>
      <c r="I20" s="343">
        <f>I18-J20</f>
        <v>-99.388888888888886</v>
      </c>
      <c r="J20" s="314">
        <f>H20/DAY(B2)</f>
        <v>164.38888888888889</v>
      </c>
      <c r="K20" s="315"/>
      <c r="L20" s="293"/>
    </row>
    <row r="21" spans="1:12" ht="23.25" customHeight="1">
      <c r="A21" s="1473" t="s">
        <v>157</v>
      </c>
      <c r="B21" s="1474"/>
      <c r="C21" s="1475"/>
      <c r="D21" s="474"/>
      <c r="E21" s="474"/>
      <c r="F21" s="474"/>
      <c r="G21" s="425"/>
      <c r="H21" s="474"/>
      <c r="I21" s="474"/>
      <c r="J21" s="474"/>
      <c r="K21" s="315"/>
      <c r="L21" s="293"/>
    </row>
    <row r="22" spans="1:12" ht="23.25" customHeight="1" thickBot="1">
      <c r="A22" s="1234" t="s">
        <v>158</v>
      </c>
      <c r="B22" s="1235"/>
      <c r="C22" s="1236"/>
      <c r="D22" s="268" t="s">
        <v>159</v>
      </c>
      <c r="E22" s="312">
        <f>'17'!F22</f>
        <v>2250</v>
      </c>
      <c r="F22" s="267">
        <v>2250</v>
      </c>
      <c r="G22" s="420">
        <f t="shared" ref="G22" si="2">F22-E22</f>
        <v>0</v>
      </c>
      <c r="H22" s="277">
        <f>G22+'17'!H22</f>
        <v>0</v>
      </c>
      <c r="I22" s="326"/>
      <c r="J22" s="314">
        <f>H22/DAY(B2)</f>
        <v>0</v>
      </c>
      <c r="K22" s="315"/>
      <c r="L22" s="293"/>
    </row>
    <row r="23" spans="1:12" ht="23.25" customHeight="1" thickBot="1">
      <c r="A23" s="1234" t="s">
        <v>160</v>
      </c>
      <c r="B23" s="1235"/>
      <c r="C23" s="1236"/>
      <c r="D23" s="268" t="s">
        <v>159</v>
      </c>
      <c r="E23" s="312">
        <f>'17'!F23</f>
        <v>2000</v>
      </c>
      <c r="F23" s="267">
        <v>2000</v>
      </c>
      <c r="G23" s="279">
        <v>0</v>
      </c>
      <c r="H23" s="277">
        <f>G23+'17'!H23</f>
        <v>0</v>
      </c>
      <c r="I23" s="326"/>
      <c r="J23" s="314">
        <f>H23/DAY(B2)</f>
        <v>0</v>
      </c>
      <c r="K23" s="315"/>
      <c r="L23" s="293"/>
    </row>
    <row r="24" spans="1:12" ht="23.25" customHeight="1" thickBot="1">
      <c r="A24" s="440" t="s">
        <v>161</v>
      </c>
      <c r="B24" s="441"/>
      <c r="C24" s="442"/>
      <c r="D24" s="269" t="s">
        <v>159</v>
      </c>
      <c r="E24" s="312">
        <f>'17'!F24</f>
        <v>4250</v>
      </c>
      <c r="F24" s="344">
        <v>4250</v>
      </c>
      <c r="G24" s="279">
        <v>0</v>
      </c>
      <c r="H24" s="277">
        <f>G24+'17'!H24</f>
        <v>0</v>
      </c>
      <c r="I24" s="326"/>
      <c r="J24" s="314">
        <f>H24/DAY(B2)</f>
        <v>0</v>
      </c>
      <c r="K24" s="315"/>
      <c r="L24" s="293"/>
    </row>
    <row r="25" spans="1:12" s="481" customFormat="1" ht="18.75" customHeight="1">
      <c r="A25" s="1479" t="s">
        <v>162</v>
      </c>
      <c r="B25" s="1480"/>
      <c r="C25" s="1481"/>
      <c r="D25" s="422"/>
      <c r="E25" s="422"/>
      <c r="F25" s="422"/>
      <c r="G25" s="427"/>
      <c r="H25" s="423"/>
      <c r="I25" s="428"/>
      <c r="J25" s="424"/>
      <c r="K25" s="315"/>
      <c r="L25" s="484"/>
    </row>
    <row r="26" spans="1:12" s="481" customFormat="1" ht="18.75" customHeight="1">
      <c r="A26" s="345" t="s">
        <v>163</v>
      </c>
      <c r="B26" s="346"/>
      <c r="C26" s="347"/>
      <c r="D26" s="348" t="s">
        <v>164</v>
      </c>
      <c r="E26" s="349"/>
      <c r="F26" s="349"/>
      <c r="G26" s="350"/>
      <c r="H26" s="277"/>
      <c r="I26" s="351"/>
      <c r="J26" s="314"/>
      <c r="K26" s="330"/>
      <c r="L26" s="484"/>
    </row>
    <row r="27" spans="1:12" s="481" customFormat="1" ht="18.75" customHeight="1">
      <c r="A27" s="345" t="s">
        <v>6</v>
      </c>
      <c r="B27" s="346"/>
      <c r="C27" s="347"/>
      <c r="D27" s="352" t="s">
        <v>25</v>
      </c>
      <c r="E27" s="353">
        <f>G8</f>
        <v>20245</v>
      </c>
      <c r="F27" s="577">
        <v>9</v>
      </c>
      <c r="G27" s="396">
        <f>E27*F27</f>
        <v>182205</v>
      </c>
      <c r="H27" s="277">
        <f>G27+'17'!H27</f>
        <v>3205533</v>
      </c>
      <c r="I27" s="354"/>
      <c r="J27" s="314">
        <f>H27/DAY(B2)</f>
        <v>178085.16666666666</v>
      </c>
      <c r="K27" s="315"/>
      <c r="L27" s="484"/>
    </row>
    <row r="28" spans="1:12" s="481" customFormat="1" ht="18.75" customHeight="1">
      <c r="A28" s="345" t="s">
        <v>165</v>
      </c>
      <c r="B28" s="346"/>
      <c r="C28" s="347"/>
      <c r="D28" s="352" t="s">
        <v>166</v>
      </c>
      <c r="E28" s="355">
        <f>G15</f>
        <v>944.77600000007078</v>
      </c>
      <c r="F28" s="577">
        <v>41</v>
      </c>
      <c r="G28" s="396">
        <f>E28*F28</f>
        <v>38735.816000002902</v>
      </c>
      <c r="H28" s="277">
        <f>G28+'17'!H28</f>
        <v>603823.51999999734</v>
      </c>
      <c r="I28" s="356"/>
      <c r="J28" s="314">
        <f>H28/DAY(B2)</f>
        <v>33545.751111110963</v>
      </c>
      <c r="K28" s="315"/>
      <c r="L28" s="484"/>
    </row>
    <row r="29" spans="1:12" s="481" customFormat="1" ht="18.75" customHeight="1">
      <c r="A29" s="345" t="s">
        <v>167</v>
      </c>
      <c r="B29" s="346"/>
      <c r="C29" s="347"/>
      <c r="D29" s="352" t="s">
        <v>168</v>
      </c>
      <c r="E29" s="357">
        <f>G24</f>
        <v>0</v>
      </c>
      <c r="F29" s="449">
        <v>69</v>
      </c>
      <c r="G29" s="396">
        <f>E29*F29</f>
        <v>0</v>
      </c>
      <c r="H29" s="277">
        <f>G29+'17'!H29</f>
        <v>0</v>
      </c>
      <c r="I29" s="356"/>
      <c r="J29" s="314">
        <f>H29/DAY(B2)</f>
        <v>0</v>
      </c>
      <c r="K29" s="315"/>
      <c r="L29" s="484"/>
    </row>
    <row r="30" spans="1:12" s="481" customFormat="1" ht="18.75" customHeight="1">
      <c r="A30" s="345" t="s">
        <v>169</v>
      </c>
      <c r="B30" s="346"/>
      <c r="C30" s="347"/>
      <c r="D30" s="352" t="s">
        <v>170</v>
      </c>
      <c r="E30" s="357">
        <f>G19</f>
        <v>52</v>
      </c>
      <c r="F30" s="449">
        <v>134</v>
      </c>
      <c r="G30" s="396">
        <f>E30*F30</f>
        <v>6968</v>
      </c>
      <c r="H30" s="277">
        <f>G30+'17'!H30</f>
        <v>119126</v>
      </c>
      <c r="I30" s="356"/>
      <c r="J30" s="314">
        <f>H30/DAY(B2)</f>
        <v>6618.1111111111113</v>
      </c>
      <c r="K30" s="315"/>
      <c r="L30" s="484"/>
    </row>
    <row r="31" spans="1:12" s="481" customFormat="1" ht="18.75" customHeight="1">
      <c r="A31" s="345" t="s">
        <v>171</v>
      </c>
      <c r="B31" s="346"/>
      <c r="C31" s="347"/>
      <c r="D31" s="352" t="s">
        <v>155</v>
      </c>
      <c r="E31" s="357">
        <f>G18</f>
        <v>140</v>
      </c>
      <c r="F31" s="449">
        <v>80</v>
      </c>
      <c r="G31" s="396">
        <f>E31*F31</f>
        <v>11200</v>
      </c>
      <c r="H31" s="277">
        <f>G31+'17'!H31</f>
        <v>165600</v>
      </c>
      <c r="I31" s="356"/>
      <c r="J31" s="314"/>
      <c r="K31" s="315"/>
      <c r="L31" s="484"/>
    </row>
    <row r="32" spans="1:12" s="481" customFormat="1" ht="18.75" customHeight="1">
      <c r="A32" s="443" t="s">
        <v>172</v>
      </c>
      <c r="B32" s="444"/>
      <c r="C32" s="445"/>
      <c r="D32" s="358"/>
      <c r="E32" s="358"/>
      <c r="F32" s="358"/>
      <c r="G32" s="397">
        <f>G27+G28+G29+G30+G31</f>
        <v>239108.8160000029</v>
      </c>
      <c r="H32" s="277">
        <f>G32+'17'!H32</f>
        <v>4094082.5199999972</v>
      </c>
      <c r="I32" s="359"/>
      <c r="J32" s="314">
        <f>H32/DAY(B2)</f>
        <v>227449.02888888874</v>
      </c>
      <c r="K32" s="315"/>
      <c r="L32" s="484"/>
    </row>
    <row r="33" spans="1:12" ht="23.25" customHeight="1">
      <c r="A33" s="1476" t="s">
        <v>173</v>
      </c>
      <c r="B33" s="1477"/>
      <c r="C33" s="1477"/>
      <c r="D33" s="1477"/>
      <c r="E33" s="1477"/>
      <c r="F33" s="1477"/>
      <c r="G33" s="1477"/>
      <c r="H33" s="1477"/>
      <c r="I33" s="1477"/>
      <c r="J33" s="1478"/>
      <c r="K33" s="315"/>
      <c r="L33" s="293"/>
    </row>
    <row r="34" spans="1:12" ht="23.25" customHeight="1">
      <c r="A34" s="1229" t="s">
        <v>174</v>
      </c>
      <c r="B34" s="1230"/>
      <c r="C34" s="1231"/>
      <c r="D34" s="474"/>
      <c r="E34" s="422"/>
      <c r="F34" s="422"/>
      <c r="G34" s="474"/>
      <c r="H34" s="474"/>
      <c r="I34" s="474"/>
      <c r="J34" s="474"/>
      <c r="K34" s="315"/>
      <c r="L34" s="293"/>
    </row>
    <row r="35" spans="1:12" ht="23.25" customHeight="1" thickBot="1">
      <c r="A35" s="327" t="s">
        <v>175</v>
      </c>
      <c r="B35" s="328"/>
      <c r="C35" s="329"/>
      <c r="D35" s="268" t="s">
        <v>143</v>
      </c>
      <c r="E35" s="312">
        <f>'17'!F35</f>
        <v>629027.67000000004</v>
      </c>
      <c r="F35" s="360">
        <v>629027.67000000004</v>
      </c>
      <c r="G35" s="325">
        <f>F35-E35</f>
        <v>0</v>
      </c>
      <c r="H35" s="277">
        <f>G35+'17'!H35</f>
        <v>0.67000000004190952</v>
      </c>
      <c r="I35" s="263"/>
      <c r="J35" s="314">
        <f>H35/DAY(B2)</f>
        <v>3.722222222455053E-2</v>
      </c>
      <c r="K35" s="315"/>
      <c r="L35" s="293"/>
    </row>
    <row r="36" spans="1:12" ht="23.25" customHeight="1" thickBot="1">
      <c r="A36" s="327" t="s">
        <v>176</v>
      </c>
      <c r="B36" s="328"/>
      <c r="C36" s="329"/>
      <c r="D36" s="268" t="s">
        <v>143</v>
      </c>
      <c r="E36" s="312">
        <f>'17'!F36</f>
        <v>266803.83</v>
      </c>
      <c r="F36" s="360">
        <v>267509.40999999997</v>
      </c>
      <c r="G36" s="325">
        <f t="shared" ref="G36:G46" si="3">F36-E36</f>
        <v>705.57999999995809</v>
      </c>
      <c r="H36" s="277">
        <f>G36+'17'!H36</f>
        <v>12418.339999999967</v>
      </c>
      <c r="I36" s="263"/>
      <c r="J36" s="314">
        <f>H36/DAY(B2)</f>
        <v>689.907777777776</v>
      </c>
      <c r="K36" s="315"/>
      <c r="L36" s="293"/>
    </row>
    <row r="37" spans="1:12" ht="23.25" customHeight="1" thickBot="1">
      <c r="A37" s="327" t="s">
        <v>177</v>
      </c>
      <c r="B37" s="328"/>
      <c r="C37" s="329"/>
      <c r="D37" s="268" t="s">
        <v>143</v>
      </c>
      <c r="E37" s="312">
        <f>'17'!F37</f>
        <v>415066</v>
      </c>
      <c r="F37" s="360">
        <v>415066</v>
      </c>
      <c r="G37" s="325">
        <f>F37-E37</f>
        <v>0</v>
      </c>
      <c r="H37" s="277">
        <f>G37+'17'!H37</f>
        <v>0</v>
      </c>
      <c r="I37" s="263"/>
      <c r="J37" s="314">
        <f>H37/DAY(B2)</f>
        <v>0</v>
      </c>
      <c r="K37" s="315"/>
      <c r="L37" s="293"/>
    </row>
    <row r="38" spans="1:12" ht="23.25" customHeight="1" thickBot="1">
      <c r="A38" s="327" t="s">
        <v>178</v>
      </c>
      <c r="B38" s="328"/>
      <c r="C38" s="329"/>
      <c r="D38" s="268" t="s">
        <v>143</v>
      </c>
      <c r="E38" s="312">
        <f>'17'!F38</f>
        <v>150714</v>
      </c>
      <c r="F38" s="361">
        <v>150714</v>
      </c>
      <c r="G38" s="325">
        <f t="shared" si="3"/>
        <v>0</v>
      </c>
      <c r="H38" s="277">
        <f>G38+'17'!H38</f>
        <v>0</v>
      </c>
      <c r="I38" s="263"/>
      <c r="J38" s="314">
        <f>H38/DAY(B2)</f>
        <v>0</v>
      </c>
      <c r="K38" s="315"/>
      <c r="L38" s="293"/>
    </row>
    <row r="39" spans="1:12" ht="23.25" customHeight="1" thickBot="1">
      <c r="A39" s="327" t="s">
        <v>179</v>
      </c>
      <c r="B39" s="328"/>
      <c r="C39" s="329"/>
      <c r="D39" s="268" t="s">
        <v>143</v>
      </c>
      <c r="E39" s="312">
        <f>'17'!F39</f>
        <v>912480</v>
      </c>
      <c r="F39" s="360">
        <v>912480</v>
      </c>
      <c r="G39" s="325">
        <f>F39-E39</f>
        <v>0</v>
      </c>
      <c r="H39" s="277">
        <f>G39+'17'!H39</f>
        <v>0</v>
      </c>
      <c r="I39" s="263"/>
      <c r="J39" s="314">
        <f>H39/DAY(B2)</f>
        <v>0</v>
      </c>
      <c r="K39" s="315"/>
      <c r="L39" s="293"/>
    </row>
    <row r="40" spans="1:12" ht="23.25" customHeight="1" thickBot="1">
      <c r="A40" s="362" t="s">
        <v>180</v>
      </c>
      <c r="B40" s="363"/>
      <c r="C40" s="364"/>
      <c r="D40" s="268" t="s">
        <v>143</v>
      </c>
      <c r="E40" s="312">
        <v>0</v>
      </c>
      <c r="F40" s="360">
        <v>0</v>
      </c>
      <c r="G40" s="325">
        <f t="shared" si="3"/>
        <v>0</v>
      </c>
      <c r="H40" s="277">
        <f>G40+'17'!H40</f>
        <v>0</v>
      </c>
      <c r="I40" s="263"/>
      <c r="J40" s="314">
        <f>H40/DAY(B2)</f>
        <v>0</v>
      </c>
      <c r="K40" s="330"/>
      <c r="L40" s="293"/>
    </row>
    <row r="41" spans="1:12" ht="23.25" customHeight="1" thickBot="1">
      <c r="A41" s="327" t="s">
        <v>181</v>
      </c>
      <c r="B41" s="328"/>
      <c r="C41" s="329"/>
      <c r="D41" s="268" t="s">
        <v>143</v>
      </c>
      <c r="E41" s="312">
        <f>'17'!F41</f>
        <v>300127.95</v>
      </c>
      <c r="F41" s="360">
        <v>300127.95</v>
      </c>
      <c r="G41" s="325">
        <f t="shared" si="3"/>
        <v>0</v>
      </c>
      <c r="H41" s="277">
        <f>G41+'17'!H41</f>
        <v>0</v>
      </c>
      <c r="I41" s="263"/>
      <c r="J41" s="314">
        <f>H41/DAY(B2)</f>
        <v>0</v>
      </c>
      <c r="K41" s="315"/>
      <c r="L41" s="293"/>
    </row>
    <row r="42" spans="1:12" ht="23.25" customHeight="1" thickBot="1">
      <c r="A42" s="327" t="s">
        <v>182</v>
      </c>
      <c r="B42" s="328"/>
      <c r="C42" s="329"/>
      <c r="D42" s="268" t="s">
        <v>143</v>
      </c>
      <c r="E42" s="312">
        <f>'17'!F42</f>
        <v>58926.099000000002</v>
      </c>
      <c r="F42" s="360">
        <v>58926.09</v>
      </c>
      <c r="G42" s="325">
        <f t="shared" si="3"/>
        <v>-9.0000000054715201E-3</v>
      </c>
      <c r="H42" s="277">
        <f>G42+'17'!H42</f>
        <v>0</v>
      </c>
      <c r="I42" s="263"/>
      <c r="J42" s="314">
        <f>H42/DAY(B2)</f>
        <v>0</v>
      </c>
      <c r="K42" s="315"/>
      <c r="L42" s="293"/>
    </row>
    <row r="43" spans="1:12" ht="23.25" customHeight="1" thickBot="1">
      <c r="A43" s="327" t="s">
        <v>183</v>
      </c>
      <c r="B43" s="328"/>
      <c r="C43" s="329"/>
      <c r="D43" s="268" t="s">
        <v>143</v>
      </c>
      <c r="E43" s="312">
        <f>'17'!F43</f>
        <v>734949.43</v>
      </c>
      <c r="F43" s="360">
        <v>737344.31</v>
      </c>
      <c r="G43" s="325">
        <f t="shared" si="3"/>
        <v>2394.8800000000047</v>
      </c>
      <c r="H43" s="277">
        <f>G43+'17'!H43</f>
        <v>39090.880000000005</v>
      </c>
      <c r="I43" s="263"/>
      <c r="J43" s="314">
        <f>H43/DAY(B2)</f>
        <v>2171.715555555556</v>
      </c>
      <c r="K43" s="315"/>
      <c r="L43" s="293"/>
    </row>
    <row r="44" spans="1:12" ht="23.25" customHeight="1" thickBot="1">
      <c r="A44" s="327" t="s">
        <v>184</v>
      </c>
      <c r="B44" s="328"/>
      <c r="C44" s="329"/>
      <c r="D44" s="268" t="s">
        <v>143</v>
      </c>
      <c r="E44" s="312">
        <f>'17'!F44</f>
        <v>0</v>
      </c>
      <c r="F44" s="360">
        <v>0</v>
      </c>
      <c r="G44" s="325">
        <f t="shared" si="3"/>
        <v>0</v>
      </c>
      <c r="H44" s="277">
        <f>G44+'17'!H44</f>
        <v>0</v>
      </c>
      <c r="I44" s="263"/>
      <c r="J44" s="314">
        <f>H44/DAY(B2)</f>
        <v>0</v>
      </c>
      <c r="K44" s="315"/>
      <c r="L44" s="293"/>
    </row>
    <row r="45" spans="1:12" ht="23.25" customHeight="1" thickBot="1">
      <c r="A45" s="327" t="s">
        <v>185</v>
      </c>
      <c r="B45" s="328"/>
      <c r="C45" s="329"/>
      <c r="D45" s="268" t="s">
        <v>143</v>
      </c>
      <c r="E45" s="312">
        <f>'17'!F45</f>
        <v>614</v>
      </c>
      <c r="F45" s="360">
        <v>614</v>
      </c>
      <c r="G45" s="325">
        <f t="shared" si="3"/>
        <v>0</v>
      </c>
      <c r="H45" s="277">
        <f>G45+'17'!H45</f>
        <v>-0.48000000000001819</v>
      </c>
      <c r="I45" s="263"/>
      <c r="J45" s="314">
        <f>H45/DAY(B2)</f>
        <v>-2.6666666666667678E-2</v>
      </c>
      <c r="K45" s="315"/>
      <c r="L45" s="293"/>
    </row>
    <row r="46" spans="1:12" ht="23.25" customHeight="1" thickBot="1">
      <c r="A46" s="327" t="s">
        <v>186</v>
      </c>
      <c r="B46" s="328"/>
      <c r="C46" s="329"/>
      <c r="D46" s="268" t="s">
        <v>143</v>
      </c>
      <c r="E46" s="312">
        <f>'17'!F46</f>
        <v>187.49</v>
      </c>
      <c r="F46" s="360">
        <v>187.44</v>
      </c>
      <c r="G46" s="325">
        <f t="shared" si="3"/>
        <v>-5.0000000000011369E-2</v>
      </c>
      <c r="H46" s="277">
        <f>G46+'17'!H46</f>
        <v>-5.0000000000011369E-2</v>
      </c>
      <c r="I46" s="263"/>
      <c r="J46" s="314">
        <f>H46/DAY(B2)</f>
        <v>-2.7777777777784093E-3</v>
      </c>
      <c r="K46" s="315"/>
      <c r="L46" s="293"/>
    </row>
    <row r="47" spans="1:12" ht="23.25" customHeight="1">
      <c r="A47" s="437" t="s">
        <v>187</v>
      </c>
      <c r="B47" s="438"/>
      <c r="C47" s="439"/>
      <c r="D47" s="365"/>
      <c r="E47" s="269"/>
      <c r="F47" s="269"/>
      <c r="G47" s="279">
        <f>G35+G36+G37+G38+G39+G40+G41+G42+G43+G44+G45+G46</f>
        <v>3100.4009999999571</v>
      </c>
      <c r="H47" s="277">
        <f>G47+'17'!H47</f>
        <v>51509.360000000008</v>
      </c>
      <c r="I47" s="263"/>
      <c r="J47" s="314">
        <f>H47/DAY(B2)</f>
        <v>2861.6311111111117</v>
      </c>
      <c r="K47" s="315"/>
      <c r="L47" s="293"/>
    </row>
    <row r="48" spans="1:12" ht="23.25" customHeight="1">
      <c r="A48" s="1229" t="s">
        <v>188</v>
      </c>
      <c r="B48" s="1230"/>
      <c r="C48" s="1231"/>
      <c r="D48" s="474"/>
      <c r="E48" s="422"/>
      <c r="F48" s="422"/>
      <c r="G48" s="474"/>
      <c r="H48" s="474"/>
      <c r="I48" s="474"/>
      <c r="J48" s="474"/>
      <c r="K48" s="315"/>
      <c r="L48" s="293"/>
    </row>
    <row r="49" spans="1:12" ht="23.25" customHeight="1" thickBot="1">
      <c r="A49" s="327" t="s">
        <v>175</v>
      </c>
      <c r="B49" s="366"/>
      <c r="C49" s="367"/>
      <c r="D49" s="268" t="s">
        <v>143</v>
      </c>
      <c r="E49" s="312">
        <f>'17'!F49</f>
        <v>201569.77</v>
      </c>
      <c r="F49" s="360">
        <v>205070.19</v>
      </c>
      <c r="G49" s="325">
        <f t="shared" ref="G49:G58" si="4">F49-E49</f>
        <v>3500.4200000000128</v>
      </c>
      <c r="H49" s="277">
        <f>G49+'17'!H49</f>
        <v>52665.19</v>
      </c>
      <c r="I49" s="263"/>
      <c r="J49" s="314">
        <f>H49/DAY(B2)</f>
        <v>2925.8438888888891</v>
      </c>
      <c r="K49" s="315">
        <f>E49+247</f>
        <v>201816.77</v>
      </c>
      <c r="L49" s="293"/>
    </row>
    <row r="50" spans="1:12" ht="23.25" customHeight="1" thickBot="1">
      <c r="A50" s="327" t="s">
        <v>189</v>
      </c>
      <c r="B50" s="366"/>
      <c r="C50" s="367"/>
      <c r="D50" s="268" t="s">
        <v>143</v>
      </c>
      <c r="E50" s="312">
        <f>'17'!F50</f>
        <v>353226.47</v>
      </c>
      <c r="F50" s="360">
        <v>354321.71</v>
      </c>
      <c r="G50" s="325">
        <f t="shared" si="4"/>
        <v>1095.2400000000489</v>
      </c>
      <c r="H50" s="277">
        <f>G50+'17'!H50</f>
        <v>18104.280000000028</v>
      </c>
      <c r="I50" s="263"/>
      <c r="J50" s="314">
        <f>H50/DAY(B2)</f>
        <v>1005.7933333333349</v>
      </c>
      <c r="K50" s="315"/>
      <c r="L50" s="293"/>
    </row>
    <row r="51" spans="1:12" ht="23.25" customHeight="1" thickBot="1">
      <c r="A51" s="327" t="s">
        <v>177</v>
      </c>
      <c r="B51" s="366"/>
      <c r="C51" s="367"/>
      <c r="D51" s="268" t="s">
        <v>143</v>
      </c>
      <c r="E51" s="312">
        <f>'17'!F51</f>
        <v>89312.74</v>
      </c>
      <c r="F51" s="360">
        <v>90797.89</v>
      </c>
      <c r="G51" s="325">
        <f t="shared" si="4"/>
        <v>1485.1499999999942</v>
      </c>
      <c r="H51" s="277">
        <f>G51+'17'!H51</f>
        <v>24639.78</v>
      </c>
      <c r="I51" s="263"/>
      <c r="J51" s="314">
        <f>H51/DAY(B2)</f>
        <v>1368.8766666666666</v>
      </c>
      <c r="K51" s="315"/>
      <c r="L51" s="293"/>
    </row>
    <row r="52" spans="1:12" ht="23.25" customHeight="1" thickBot="1">
      <c r="A52" s="327" t="s">
        <v>190</v>
      </c>
      <c r="B52" s="366"/>
      <c r="C52" s="367"/>
      <c r="D52" s="268" t="s">
        <v>143</v>
      </c>
      <c r="E52" s="312">
        <f>'17'!F52</f>
        <v>467611.75</v>
      </c>
      <c r="F52" s="360">
        <v>469531.91</v>
      </c>
      <c r="G52" s="325">
        <f t="shared" si="4"/>
        <v>1920.1599999999744</v>
      </c>
      <c r="H52" s="277">
        <f>G52+'17'!H52</f>
        <v>34256.27999999997</v>
      </c>
      <c r="I52" s="263"/>
      <c r="J52" s="314">
        <f>H52/DAY(B2)</f>
        <v>1903.126666666665</v>
      </c>
      <c r="K52" s="315"/>
      <c r="L52" s="293"/>
    </row>
    <row r="53" spans="1:12" ht="23.25" customHeight="1" thickBot="1">
      <c r="A53" s="327" t="s">
        <v>179</v>
      </c>
      <c r="B53" s="366"/>
      <c r="C53" s="367"/>
      <c r="D53" s="268" t="s">
        <v>143</v>
      </c>
      <c r="E53" s="312">
        <f>'17'!F53</f>
        <v>245869.45</v>
      </c>
      <c r="F53" s="1344">
        <v>250051.67</v>
      </c>
      <c r="G53" s="325">
        <f t="shared" si="4"/>
        <v>4182.2200000000012</v>
      </c>
      <c r="H53" s="277">
        <f>G53+'17'!H53</f>
        <v>68986.700000000012</v>
      </c>
      <c r="I53" s="263"/>
      <c r="J53" s="314">
        <f>H53/DAY(B2)</f>
        <v>3832.5944444444449</v>
      </c>
      <c r="K53" s="315"/>
      <c r="L53" s="293"/>
    </row>
    <row r="54" spans="1:12" ht="23.25" customHeight="1" thickBot="1">
      <c r="A54" s="327" t="s">
        <v>191</v>
      </c>
      <c r="B54" s="366"/>
      <c r="C54" s="367"/>
      <c r="D54" s="268" t="s">
        <v>143</v>
      </c>
      <c r="E54" s="312">
        <f>'17'!F54</f>
        <v>5592.02</v>
      </c>
      <c r="F54" s="360">
        <v>5642.74</v>
      </c>
      <c r="G54" s="325">
        <f t="shared" si="4"/>
        <v>50.719999999999345</v>
      </c>
      <c r="H54" s="277">
        <f>G54+'17'!H54</f>
        <v>996.19999999999982</v>
      </c>
      <c r="I54" s="263"/>
      <c r="J54" s="314">
        <f>H54/DAY(B2)</f>
        <v>55.344444444444434</v>
      </c>
      <c r="K54" s="315"/>
      <c r="L54" s="293"/>
    </row>
    <row r="55" spans="1:12" ht="23.25" customHeight="1" thickBot="1">
      <c r="A55" s="327" t="s">
        <v>192</v>
      </c>
      <c r="B55" s="366"/>
      <c r="C55" s="367"/>
      <c r="D55" s="268" t="s">
        <v>143</v>
      </c>
      <c r="E55" s="312">
        <f>'17'!F55</f>
        <v>28268.3</v>
      </c>
      <c r="F55" s="360">
        <v>32704.99</v>
      </c>
      <c r="G55" s="325">
        <f t="shared" si="4"/>
        <v>4436.6900000000023</v>
      </c>
      <c r="H55" s="277">
        <f>G55+'17'!H55</f>
        <v>32704.720000000012</v>
      </c>
      <c r="I55" s="263"/>
      <c r="J55" s="314">
        <f>H55/DAY(B2)</f>
        <v>1816.9288888888896</v>
      </c>
      <c r="K55" s="315"/>
      <c r="L55" s="293"/>
    </row>
    <row r="56" spans="1:12" ht="23.25" customHeight="1" thickBot="1">
      <c r="A56" s="327" t="s">
        <v>193</v>
      </c>
      <c r="B56" s="366"/>
      <c r="C56" s="367"/>
      <c r="D56" s="268" t="s">
        <v>194</v>
      </c>
      <c r="E56" s="312">
        <f>'17'!F56</f>
        <v>557725.39</v>
      </c>
      <c r="F56" s="360">
        <v>557725.39</v>
      </c>
      <c r="G56" s="325">
        <f t="shared" si="4"/>
        <v>0</v>
      </c>
      <c r="H56" s="277">
        <f>G56+'17'!H56</f>
        <v>39824.640000000014</v>
      </c>
      <c r="I56" s="263"/>
      <c r="J56" s="314">
        <f>H56/DAY(B2)</f>
        <v>2212.4800000000009</v>
      </c>
      <c r="K56" s="307"/>
      <c r="L56" s="293"/>
    </row>
    <row r="57" spans="1:12" ht="23.25" customHeight="1" thickBot="1">
      <c r="A57" s="327" t="s">
        <v>183</v>
      </c>
      <c r="B57" s="366"/>
      <c r="C57" s="367"/>
      <c r="D57" s="268" t="s">
        <v>143</v>
      </c>
      <c r="E57" s="312">
        <f>'17'!F57</f>
        <v>0</v>
      </c>
      <c r="F57" s="360">
        <v>0</v>
      </c>
      <c r="G57" s="325">
        <f t="shared" si="4"/>
        <v>0</v>
      </c>
      <c r="H57" s="277">
        <f>G57+'17'!H57</f>
        <v>0</v>
      </c>
      <c r="I57" s="263"/>
      <c r="J57" s="314">
        <f>H57/DAY(B2)</f>
        <v>0</v>
      </c>
      <c r="K57" s="315"/>
      <c r="L57" s="293"/>
    </row>
    <row r="58" spans="1:12" ht="23.25" customHeight="1" thickBot="1">
      <c r="A58" s="327" t="s">
        <v>195</v>
      </c>
      <c r="B58" s="366"/>
      <c r="C58" s="367"/>
      <c r="D58" s="268" t="s">
        <v>143</v>
      </c>
      <c r="E58" s="312">
        <f>'17'!F58</f>
        <v>27957.197</v>
      </c>
      <c r="F58" s="360">
        <v>28180.240000000002</v>
      </c>
      <c r="G58" s="325">
        <f t="shared" si="4"/>
        <v>223.04300000000148</v>
      </c>
      <c r="H58" s="277">
        <f>G58+'17'!H58</f>
        <v>3024.8300000000017</v>
      </c>
      <c r="I58" s="263"/>
      <c r="J58" s="314">
        <f>H58/DAY(B2)</f>
        <v>168.0461111111112</v>
      </c>
      <c r="K58" s="315"/>
      <c r="L58" s="293"/>
    </row>
    <row r="59" spans="1:12" ht="23.25" customHeight="1">
      <c r="A59" s="437" t="s">
        <v>187</v>
      </c>
      <c r="B59" s="438"/>
      <c r="C59" s="439"/>
      <c r="D59" s="269"/>
      <c r="E59" s="269"/>
      <c r="F59" s="269"/>
      <c r="G59" s="279">
        <f>G49+G50+G51+G52+G53+G54+G55+G56+G57+G58</f>
        <v>16893.643000000036</v>
      </c>
      <c r="H59" s="277">
        <f>G59+'17'!H59</f>
        <v>275202.62000000005</v>
      </c>
      <c r="I59" s="263">
        <f>G7-G60</f>
        <v>168.95600000000559</v>
      </c>
      <c r="J59" s="314">
        <f>H59/DAY(B2)</f>
        <v>15289.034444444447</v>
      </c>
      <c r="K59" s="315"/>
      <c r="L59" s="293"/>
    </row>
    <row r="60" spans="1:12" ht="23.25" customHeight="1">
      <c r="A60" s="368"/>
      <c r="B60" s="368"/>
      <c r="C60" s="368"/>
      <c r="D60" s="269" t="s">
        <v>196</v>
      </c>
      <c r="E60" s="269"/>
      <c r="F60" s="269"/>
      <c r="G60" s="279">
        <f>G47+G59</f>
        <v>19994.043999999994</v>
      </c>
      <c r="H60" s="277">
        <f>G60+'17'!H60</f>
        <v>343745.9800000001</v>
      </c>
      <c r="I60" s="263">
        <f>G13-G60</f>
        <v>-411.4440000000177</v>
      </c>
      <c r="J60" s="314">
        <f>H60/DAY(B2)</f>
        <v>19096.998888888895</v>
      </c>
      <c r="K60" s="315"/>
      <c r="L60" s="293"/>
    </row>
    <row r="61" spans="1:12" ht="23.25" customHeight="1">
      <c r="A61" s="429" t="s">
        <v>197</v>
      </c>
      <c r="B61" s="430"/>
      <c r="C61" s="431"/>
      <c r="D61" s="432"/>
      <c r="E61" s="433"/>
      <c r="F61" s="433"/>
      <c r="G61" s="434"/>
      <c r="H61" s="434"/>
      <c r="I61" s="434"/>
      <c r="J61" s="434"/>
      <c r="K61" s="315"/>
      <c r="L61" s="293"/>
    </row>
    <row r="62" spans="1:12" ht="23.25" customHeight="1" thickBot="1">
      <c r="A62" s="369" t="s">
        <v>106</v>
      </c>
      <c r="B62" s="370"/>
      <c r="C62" s="371"/>
      <c r="D62" s="269" t="s">
        <v>198</v>
      </c>
      <c r="E62" s="312">
        <f>'17'!F62</f>
        <v>20419.18</v>
      </c>
      <c r="F62" s="270">
        <v>20419.18</v>
      </c>
      <c r="G62" s="325">
        <f t="shared" ref="G62:G69" si="5">F62-E62</f>
        <v>0</v>
      </c>
      <c r="H62" s="277">
        <f>G62+'17'!H62</f>
        <v>0</v>
      </c>
      <c r="I62" s="372"/>
      <c r="J62" s="314">
        <f>H62/DAY(B2)</f>
        <v>0</v>
      </c>
      <c r="K62" s="315"/>
      <c r="L62" s="293"/>
    </row>
    <row r="63" spans="1:12" ht="23.25" customHeight="1" thickBot="1">
      <c r="A63" s="369" t="s">
        <v>199</v>
      </c>
      <c r="B63" s="370"/>
      <c r="C63" s="371"/>
      <c r="D63" s="269" t="s">
        <v>198</v>
      </c>
      <c r="E63" s="312">
        <f>'17'!F63</f>
        <v>1188.27</v>
      </c>
      <c r="F63" s="270">
        <v>1198.6300000000001</v>
      </c>
      <c r="G63" s="325">
        <f t="shared" si="5"/>
        <v>10.360000000000127</v>
      </c>
      <c r="H63" s="277">
        <f>G63+'17'!H63</f>
        <v>90.720000000000027</v>
      </c>
      <c r="I63" s="372"/>
      <c r="J63" s="314">
        <f>H63/DAY(B2)</f>
        <v>5.0400000000000018</v>
      </c>
      <c r="K63" s="315"/>
      <c r="L63" s="293"/>
    </row>
    <row r="64" spans="1:12" ht="23.25" customHeight="1" thickBot="1">
      <c r="A64" s="1457" t="s">
        <v>107</v>
      </c>
      <c r="B64" s="1458"/>
      <c r="C64" s="1459"/>
      <c r="D64" s="268" t="s">
        <v>198</v>
      </c>
      <c r="E64" s="312">
        <f>'17'!F64</f>
        <v>105247</v>
      </c>
      <c r="F64" s="267">
        <v>105709.51</v>
      </c>
      <c r="G64" s="325">
        <f t="shared" si="5"/>
        <v>462.50999999999476</v>
      </c>
      <c r="H64" s="277">
        <f>G64+'17'!H64</f>
        <v>7286.1100000000006</v>
      </c>
      <c r="I64" s="326"/>
      <c r="J64" s="314">
        <f>H64/DAY(B2)</f>
        <v>404.7838888888889</v>
      </c>
      <c r="K64" s="315"/>
      <c r="L64" s="293"/>
    </row>
    <row r="65" spans="1:12" ht="23.25" customHeight="1" thickBot="1">
      <c r="A65" s="1457" t="s">
        <v>108</v>
      </c>
      <c r="B65" s="1458"/>
      <c r="C65" s="1459"/>
      <c r="D65" s="268" t="s">
        <v>198</v>
      </c>
      <c r="E65" s="312">
        <f>'17'!F65</f>
        <v>115969.48</v>
      </c>
      <c r="F65" s="267">
        <v>116387.58</v>
      </c>
      <c r="G65" s="325">
        <f t="shared" si="5"/>
        <v>418.10000000000582</v>
      </c>
      <c r="H65" s="277">
        <f>G65+'17'!H65</f>
        <v>7343.4600000000064</v>
      </c>
      <c r="I65" s="340"/>
      <c r="J65" s="314">
        <f>H65/DAY(B2)</f>
        <v>407.97000000000037</v>
      </c>
      <c r="K65" s="315"/>
      <c r="L65" s="293"/>
    </row>
    <row r="66" spans="1:12" ht="23.25" customHeight="1" thickBot="1">
      <c r="A66" s="1457" t="s">
        <v>109</v>
      </c>
      <c r="B66" s="1458"/>
      <c r="C66" s="1459"/>
      <c r="D66" s="268" t="s">
        <v>198</v>
      </c>
      <c r="E66" s="312">
        <f>'17'!F66</f>
        <v>8662.3799999999992</v>
      </c>
      <c r="F66" s="267">
        <v>9022</v>
      </c>
      <c r="G66" s="325">
        <f t="shared" si="5"/>
        <v>359.6200000000008</v>
      </c>
      <c r="H66" s="277">
        <f>G66+'17'!H66</f>
        <v>6599.91</v>
      </c>
      <c r="I66" s="326"/>
      <c r="J66" s="314">
        <f>H66/DAY(B2)</f>
        <v>366.66166666666663</v>
      </c>
      <c r="K66" s="315"/>
      <c r="L66" s="293"/>
    </row>
    <row r="67" spans="1:12" ht="23.25" customHeight="1" thickBot="1">
      <c r="A67" s="1457" t="s">
        <v>110</v>
      </c>
      <c r="B67" s="1458"/>
      <c r="C67" s="1459"/>
      <c r="D67" s="268" t="s">
        <v>198</v>
      </c>
      <c r="E67" s="312">
        <f>'17'!F67</f>
        <v>179391.44</v>
      </c>
      <c r="F67" s="267">
        <v>180096.53</v>
      </c>
      <c r="G67" s="325">
        <f t="shared" si="5"/>
        <v>705.08999999999651</v>
      </c>
      <c r="H67" s="277">
        <f>G67+'17'!H67</f>
        <v>11855.179999999993</v>
      </c>
      <c r="I67" s="340"/>
      <c r="J67" s="314">
        <f>H67/DAY(B2)</f>
        <v>658.62111111111074</v>
      </c>
      <c r="K67" s="330"/>
      <c r="L67" s="293"/>
    </row>
    <row r="68" spans="1:12" ht="23.25" customHeight="1" thickBot="1">
      <c r="A68" s="1457" t="s">
        <v>111</v>
      </c>
      <c r="B68" s="1458"/>
      <c r="C68" s="1459"/>
      <c r="D68" s="268" t="s">
        <v>198</v>
      </c>
      <c r="E68" s="312">
        <f>'17'!F68</f>
        <v>58824.800000000003</v>
      </c>
      <c r="F68" s="267">
        <v>59134.62</v>
      </c>
      <c r="G68" s="325">
        <f t="shared" si="5"/>
        <v>309.81999999999971</v>
      </c>
      <c r="H68" s="277">
        <f>G68+'17'!H68</f>
        <v>5510.7200000000012</v>
      </c>
      <c r="I68" s="373"/>
      <c r="J68" s="314">
        <f>H68/DAY(B2)</f>
        <v>306.15111111111116</v>
      </c>
      <c r="K68" s="374"/>
      <c r="L68" s="293"/>
    </row>
    <row r="69" spans="1:12" ht="23.25" customHeight="1" thickBot="1">
      <c r="A69" s="1457" t="s">
        <v>112</v>
      </c>
      <c r="B69" s="1458"/>
      <c r="C69" s="1459"/>
      <c r="D69" s="268" t="s">
        <v>198</v>
      </c>
      <c r="E69" s="312">
        <f>'17'!F69</f>
        <v>51493.22</v>
      </c>
      <c r="F69" s="267">
        <v>51777.62</v>
      </c>
      <c r="G69" s="325">
        <f t="shared" si="5"/>
        <v>284.40000000000146</v>
      </c>
      <c r="H69" s="277">
        <f>G69+'17'!H69</f>
        <v>5258.1900000000023</v>
      </c>
      <c r="I69" s="373"/>
      <c r="J69" s="314">
        <f>H69/DAY(B2)</f>
        <v>292.12166666666678</v>
      </c>
      <c r="K69" s="375"/>
      <c r="L69" s="293"/>
    </row>
    <row r="70" spans="1:12" ht="23.25" customHeight="1">
      <c r="A70" s="1470" t="s">
        <v>200</v>
      </c>
      <c r="B70" s="1471"/>
      <c r="C70" s="1472"/>
      <c r="D70" s="268" t="s">
        <v>198</v>
      </c>
      <c r="E70" s="460"/>
      <c r="F70" s="461"/>
      <c r="G70" s="461"/>
      <c r="H70" s="277">
        <f>G70+'13'!H70</f>
        <v>0</v>
      </c>
      <c r="I70" s="461"/>
      <c r="J70" s="461"/>
      <c r="K70" s="375"/>
      <c r="L70" s="293"/>
    </row>
    <row r="71" spans="1:12" ht="23.25" customHeight="1">
      <c r="A71" s="1467" t="s">
        <v>201</v>
      </c>
      <c r="B71" s="1468"/>
      <c r="C71" s="1468"/>
      <c r="D71" s="1468"/>
      <c r="E71" s="1468"/>
      <c r="F71" s="1468"/>
      <c r="G71" s="1468"/>
      <c r="H71" s="1468"/>
      <c r="I71" s="1468"/>
      <c r="J71" s="1469"/>
      <c r="K71" s="374"/>
      <c r="L71" s="293"/>
    </row>
    <row r="72" spans="1:12" ht="23.25" customHeight="1" thickBot="1">
      <c r="A72" s="1457" t="s">
        <v>202</v>
      </c>
      <c r="B72" s="1458"/>
      <c r="C72" s="1459"/>
      <c r="D72" s="268" t="s">
        <v>198</v>
      </c>
      <c r="E72" s="312">
        <f>'17'!F72</f>
        <v>847556</v>
      </c>
      <c r="F72" s="271">
        <v>847616</v>
      </c>
      <c r="G72" s="325">
        <f t="shared" ref="G72:G84" si="6">F72-E72</f>
        <v>60</v>
      </c>
      <c r="H72" s="277">
        <f>G72+'17'!H72</f>
        <v>1150</v>
      </c>
      <c r="I72" s="326"/>
      <c r="J72" s="314">
        <f>H72/DAY(B2)</f>
        <v>63.888888888888886</v>
      </c>
      <c r="K72" s="375"/>
      <c r="L72" s="293"/>
    </row>
    <row r="73" spans="1:12" ht="23.25" customHeight="1" thickBot="1">
      <c r="A73" s="1457" t="s">
        <v>203</v>
      </c>
      <c r="B73" s="1458"/>
      <c r="C73" s="1459"/>
      <c r="D73" s="268" t="s">
        <v>198</v>
      </c>
      <c r="E73" s="312">
        <f>'17'!F73</f>
        <v>885708</v>
      </c>
      <c r="F73" s="271">
        <v>885708</v>
      </c>
      <c r="G73" s="325">
        <f t="shared" si="6"/>
        <v>0</v>
      </c>
      <c r="H73" s="277">
        <f>G73+'17'!H73</f>
        <v>927</v>
      </c>
      <c r="I73" s="326"/>
      <c r="J73" s="314">
        <f>H73/DAY(B2)</f>
        <v>51.5</v>
      </c>
      <c r="K73" s="374"/>
      <c r="L73" s="293"/>
    </row>
    <row r="74" spans="1:12" ht="23.25" customHeight="1" thickBot="1">
      <c r="A74" s="1457" t="s">
        <v>204</v>
      </c>
      <c r="B74" s="1458"/>
      <c r="C74" s="1459"/>
      <c r="D74" s="268" t="s">
        <v>198</v>
      </c>
      <c r="E74" s="312">
        <f>'17'!F74</f>
        <v>881915</v>
      </c>
      <c r="F74" s="271">
        <v>881951</v>
      </c>
      <c r="G74" s="325">
        <f t="shared" si="6"/>
        <v>36</v>
      </c>
      <c r="H74" s="277">
        <f>G74+'17'!H74</f>
        <v>636</v>
      </c>
      <c r="I74" s="326"/>
      <c r="J74" s="314">
        <f>H74/DAY(B2)</f>
        <v>35.333333333333336</v>
      </c>
      <c r="K74" s="375"/>
      <c r="L74" s="293"/>
    </row>
    <row r="75" spans="1:12" ht="23.25" customHeight="1" thickBot="1">
      <c r="A75" s="1463" t="s">
        <v>205</v>
      </c>
      <c r="B75" s="1464"/>
      <c r="C75" s="1465"/>
      <c r="D75" s="268" t="s">
        <v>198</v>
      </c>
      <c r="E75" s="312">
        <f>'17'!F75</f>
        <v>734797</v>
      </c>
      <c r="F75" s="271">
        <v>735011</v>
      </c>
      <c r="G75" s="325">
        <f t="shared" si="6"/>
        <v>214</v>
      </c>
      <c r="H75" s="277">
        <f>G75+'17'!H75</f>
        <v>3370</v>
      </c>
      <c r="I75" s="326"/>
      <c r="J75" s="314">
        <f>H75/DAY(B2)</f>
        <v>187.22222222222223</v>
      </c>
      <c r="K75" s="374"/>
      <c r="L75" s="293"/>
    </row>
    <row r="76" spans="1:12" ht="23.25" customHeight="1" thickBot="1">
      <c r="A76" s="1463" t="s">
        <v>206</v>
      </c>
      <c r="B76" s="1464"/>
      <c r="C76" s="1465"/>
      <c r="D76" s="268" t="s">
        <v>198</v>
      </c>
      <c r="E76" s="312">
        <f>'17'!F76</f>
        <v>685850</v>
      </c>
      <c r="F76" s="271">
        <v>685948</v>
      </c>
      <c r="G76" s="325">
        <f t="shared" si="6"/>
        <v>98</v>
      </c>
      <c r="H76" s="277">
        <f>G76+'17'!H76</f>
        <v>2849</v>
      </c>
      <c r="I76" s="356"/>
      <c r="J76" s="314">
        <f>H76/DAY(B2)</f>
        <v>158.27777777777777</v>
      </c>
      <c r="K76" s="374"/>
      <c r="L76" s="293"/>
    </row>
    <row r="77" spans="1:12" ht="23.25" customHeight="1" thickBot="1">
      <c r="A77" s="1457" t="s">
        <v>207</v>
      </c>
      <c r="B77" s="1458"/>
      <c r="C77" s="1459"/>
      <c r="D77" s="268" t="s">
        <v>198</v>
      </c>
      <c r="E77" s="312">
        <f>'17'!F77</f>
        <v>696341</v>
      </c>
      <c r="F77" s="271">
        <v>696407</v>
      </c>
      <c r="G77" s="325">
        <f t="shared" si="6"/>
        <v>66</v>
      </c>
      <c r="H77" s="277">
        <f>G77+'17'!H77</f>
        <v>1013</v>
      </c>
      <c r="I77" s="356"/>
      <c r="J77" s="314">
        <f>H77/DAY(B2)</f>
        <v>56.277777777777779</v>
      </c>
      <c r="K77" s="374"/>
      <c r="L77" s="293"/>
    </row>
    <row r="78" spans="1:12" ht="23.25" customHeight="1" thickBot="1">
      <c r="A78" s="1237" t="s">
        <v>208</v>
      </c>
      <c r="B78" s="1238"/>
      <c r="C78" s="1239"/>
      <c r="D78" s="268" t="s">
        <v>198</v>
      </c>
      <c r="E78" s="312">
        <f>'17'!F78</f>
        <v>636838</v>
      </c>
      <c r="F78" s="271">
        <v>637222</v>
      </c>
      <c r="G78" s="325">
        <f t="shared" si="6"/>
        <v>384</v>
      </c>
      <c r="H78" s="277">
        <f>G78+'17'!H78</f>
        <v>6449</v>
      </c>
      <c r="I78" s="356"/>
      <c r="J78" s="314">
        <f>H78/DAY(B2)</f>
        <v>358.27777777777777</v>
      </c>
      <c r="K78" s="374"/>
      <c r="L78" s="293"/>
    </row>
    <row r="79" spans="1:12" ht="23.25" customHeight="1" thickBot="1">
      <c r="A79" s="1466" t="s">
        <v>97</v>
      </c>
      <c r="B79" s="1461"/>
      <c r="C79" s="1462"/>
      <c r="D79" s="376" t="s">
        <v>198</v>
      </c>
      <c r="E79" s="312">
        <f>'17'!F79</f>
        <v>807048</v>
      </c>
      <c r="F79" s="271">
        <v>807237</v>
      </c>
      <c r="G79" s="325">
        <f t="shared" si="6"/>
        <v>189</v>
      </c>
      <c r="H79" s="277">
        <f>G79+'17'!H79</f>
        <v>5466</v>
      </c>
      <c r="I79" s="356"/>
      <c r="J79" s="314">
        <f>H79/DAY(B2)</f>
        <v>303.66666666666669</v>
      </c>
      <c r="K79" s="374"/>
      <c r="L79" s="293"/>
    </row>
    <row r="80" spans="1:12" ht="23.25" customHeight="1" thickBot="1">
      <c r="A80" s="1466" t="s">
        <v>209</v>
      </c>
      <c r="B80" s="1461"/>
      <c r="C80" s="1462"/>
      <c r="D80" s="376" t="s">
        <v>198</v>
      </c>
      <c r="E80" s="312">
        <f>'17'!F80</f>
        <v>480844.24</v>
      </c>
      <c r="F80" s="271">
        <v>481138.36</v>
      </c>
      <c r="G80" s="325">
        <f t="shared" si="6"/>
        <v>294.11999999999534</v>
      </c>
      <c r="H80" s="277">
        <f>G80+'17'!H80</f>
        <v>3926.5199999999604</v>
      </c>
      <c r="I80" s="356"/>
      <c r="J80" s="314">
        <f>H80/DAY(B2)</f>
        <v>218.1399999999978</v>
      </c>
      <c r="K80" s="374"/>
      <c r="L80" s="293"/>
    </row>
    <row r="81" spans="1:15" ht="23.25" customHeight="1" thickBot="1">
      <c r="A81" s="1466" t="s">
        <v>210</v>
      </c>
      <c r="B81" s="1461"/>
      <c r="C81" s="1462"/>
      <c r="D81" s="376" t="s">
        <v>198</v>
      </c>
      <c r="E81" s="312">
        <f>'17'!F81</f>
        <v>621258.52</v>
      </c>
      <c r="F81" s="271">
        <v>621399.24</v>
      </c>
      <c r="G81" s="325">
        <f t="shared" si="6"/>
        <v>140.71999999997206</v>
      </c>
      <c r="H81" s="277">
        <f>G81+'17'!H81</f>
        <v>2145.2399999999907</v>
      </c>
      <c r="I81" s="356"/>
      <c r="J81" s="314">
        <f>H81/DAY(B2)</f>
        <v>119.17999999999948</v>
      </c>
      <c r="K81" s="374"/>
      <c r="L81" s="293"/>
    </row>
    <row r="82" spans="1:15" ht="23.25" customHeight="1" thickBot="1">
      <c r="A82" s="1460" t="s">
        <v>100</v>
      </c>
      <c r="B82" s="1461"/>
      <c r="C82" s="1462"/>
      <c r="D82" s="377" t="s">
        <v>143</v>
      </c>
      <c r="E82" s="312">
        <f>'17'!F82</f>
        <v>104870.77</v>
      </c>
      <c r="F82" s="272">
        <v>104899.83</v>
      </c>
      <c r="G82" s="325">
        <f t="shared" si="6"/>
        <v>29.059999999997672</v>
      </c>
      <c r="H82" s="277">
        <f>G82+'17'!H82</f>
        <v>461.83000000000175</v>
      </c>
      <c r="I82" s="378"/>
      <c r="J82" s="314">
        <f>H82/DAY(B2)</f>
        <v>25.65722222222232</v>
      </c>
      <c r="K82" s="374"/>
      <c r="L82" s="293"/>
    </row>
    <row r="83" spans="1:15" ht="23.25" customHeight="1" thickBot="1">
      <c r="A83" s="1460" t="s">
        <v>211</v>
      </c>
      <c r="B83" s="1461"/>
      <c r="C83" s="1462"/>
      <c r="D83" s="273" t="s">
        <v>143</v>
      </c>
      <c r="E83" s="312">
        <f>'17'!F83</f>
        <v>979617</v>
      </c>
      <c r="F83" s="269">
        <v>979972</v>
      </c>
      <c r="G83" s="325">
        <f t="shared" si="6"/>
        <v>355</v>
      </c>
      <c r="H83" s="277">
        <f>G83+'17'!H83</f>
        <v>6501</v>
      </c>
      <c r="I83" s="279"/>
      <c r="J83" s="314">
        <f>H83/DAY(B2)</f>
        <v>361.16666666666669</v>
      </c>
      <c r="K83" s="330"/>
      <c r="L83" s="293"/>
    </row>
    <row r="84" spans="1:15" ht="23.25" customHeight="1" thickBot="1">
      <c r="A84" s="1240" t="s">
        <v>212</v>
      </c>
      <c r="B84" s="1240"/>
      <c r="C84" s="1241"/>
      <c r="D84" s="379" t="s">
        <v>143</v>
      </c>
      <c r="E84" s="312">
        <f>'17'!F84</f>
        <v>407924</v>
      </c>
      <c r="F84" s="268">
        <v>408738</v>
      </c>
      <c r="G84" s="325">
        <f t="shared" si="6"/>
        <v>814</v>
      </c>
      <c r="H84" s="277">
        <f>G84+'17'!H84</f>
        <v>11542</v>
      </c>
      <c r="I84" s="279"/>
      <c r="J84" s="314">
        <f>H84/DAY(B2)</f>
        <v>641.22222222222217</v>
      </c>
      <c r="K84" s="380"/>
      <c r="L84" s="293"/>
    </row>
    <row r="85" spans="1:15" s="383" customFormat="1" ht="23.25" customHeight="1">
      <c r="A85" s="446" t="s">
        <v>213</v>
      </c>
      <c r="B85" s="447"/>
      <c r="C85" s="447"/>
      <c r="D85" s="381"/>
      <c r="E85" s="268"/>
      <c r="F85" s="268"/>
      <c r="G85" s="399">
        <f xml:space="preserve"> SUM(G72:G84)</f>
        <v>2679.8999999999651</v>
      </c>
      <c r="H85" s="277">
        <f>G85+'17'!H85</f>
        <v>42206.429999999978</v>
      </c>
      <c r="I85" s="279"/>
      <c r="J85" s="314">
        <f>H85/DAY(B2)</f>
        <v>2344.8016666666654</v>
      </c>
      <c r="K85" s="380"/>
      <c r="L85" s="382"/>
    </row>
    <row r="86" spans="1:15" s="835" customFormat="1" ht="29.25">
      <c r="A86" s="830" t="s">
        <v>102</v>
      </c>
      <c r="B86" s="831"/>
      <c r="C86" s="831"/>
      <c r="D86" s="832" t="s">
        <v>194</v>
      </c>
      <c r="E86" s="704">
        <f>'17'!F86</f>
        <v>445763.4</v>
      </c>
      <c r="F86" s="728">
        <v>445869.32</v>
      </c>
      <c r="G86" s="805">
        <f t="shared" ref="G86:G90" si="7">F86-E86</f>
        <v>105.9199999999837</v>
      </c>
      <c r="H86" s="805">
        <f t="shared" ref="H86:H88" si="8">G86</f>
        <v>105.9199999999837</v>
      </c>
      <c r="I86" s="733"/>
      <c r="J86" s="807">
        <f>H86/DAY(B2)</f>
        <v>5.8844444444435391</v>
      </c>
      <c r="K86" s="833"/>
      <c r="L86" s="834"/>
      <c r="O86" s="813"/>
    </row>
    <row r="87" spans="1:15" s="835" customFormat="1" ht="29.25">
      <c r="A87" s="830" t="s">
        <v>103</v>
      </c>
      <c r="B87" s="831"/>
      <c r="C87" s="831"/>
      <c r="D87" s="832" t="s">
        <v>194</v>
      </c>
      <c r="E87" s="704">
        <f>'17'!F87</f>
        <v>78114.600000000006</v>
      </c>
      <c r="F87" s="728">
        <v>78146.8</v>
      </c>
      <c r="G87" s="805">
        <f t="shared" si="7"/>
        <v>32.19999999999709</v>
      </c>
      <c r="H87" s="805">
        <f t="shared" si="8"/>
        <v>32.19999999999709</v>
      </c>
      <c r="I87" s="733"/>
      <c r="J87" s="807">
        <f>H87/DAY(B2)</f>
        <v>1.7888888888887271</v>
      </c>
      <c r="K87" s="833"/>
      <c r="L87" s="834"/>
      <c r="O87" s="813"/>
    </row>
    <row r="88" spans="1:15" s="835" customFormat="1" ht="29.25">
      <c r="A88" s="830" t="s">
        <v>104</v>
      </c>
      <c r="B88" s="831"/>
      <c r="C88" s="831"/>
      <c r="D88" s="832" t="s">
        <v>194</v>
      </c>
      <c r="E88" s="704">
        <f>'17'!F88</f>
        <v>145641.29</v>
      </c>
      <c r="F88" s="728">
        <v>145722</v>
      </c>
      <c r="G88" s="805">
        <f t="shared" si="7"/>
        <v>80.709999999991851</v>
      </c>
      <c r="H88" s="805">
        <f t="shared" si="8"/>
        <v>80.709999999991851</v>
      </c>
      <c r="I88" s="733"/>
      <c r="J88" s="807">
        <f>H88/DAY(B2)</f>
        <v>4.4838888888884361</v>
      </c>
      <c r="K88" s="833"/>
      <c r="L88" s="834"/>
      <c r="O88" s="813"/>
    </row>
    <row r="89" spans="1:15" s="835" customFormat="1" ht="29.25">
      <c r="A89" s="830" t="s">
        <v>215</v>
      </c>
      <c r="B89" s="831"/>
      <c r="C89" s="831"/>
      <c r="D89" s="832" t="s">
        <v>194</v>
      </c>
      <c r="E89" s="704">
        <f>'17'!F89</f>
        <v>58802.6</v>
      </c>
      <c r="F89" s="728">
        <v>58883.9</v>
      </c>
      <c r="G89" s="805">
        <f t="shared" si="7"/>
        <v>81.30000000000291</v>
      </c>
      <c r="H89" s="805">
        <f>G89</f>
        <v>81.30000000000291</v>
      </c>
      <c r="I89" s="733"/>
      <c r="J89" s="807">
        <f>H89/DAY(B2)</f>
        <v>4.5166666666668283</v>
      </c>
      <c r="K89" s="833"/>
      <c r="L89" s="834"/>
      <c r="N89" s="881"/>
      <c r="O89" s="413"/>
    </row>
    <row r="90" spans="1:15" s="835" customFormat="1" ht="29.25">
      <c r="A90" s="830" t="s">
        <v>215</v>
      </c>
      <c r="B90" s="831"/>
      <c r="C90" s="831"/>
      <c r="D90" s="832" t="s">
        <v>194</v>
      </c>
      <c r="E90" s="704">
        <f>'17'!F90</f>
        <v>3021.5</v>
      </c>
      <c r="F90" s="728">
        <v>3025.7</v>
      </c>
      <c r="G90" s="805">
        <f t="shared" si="7"/>
        <v>4.1999999999998181</v>
      </c>
      <c r="H90" s="805">
        <f>G90</f>
        <v>4.1999999999998181</v>
      </c>
      <c r="I90" s="733"/>
      <c r="J90" s="807">
        <f>H90/DAY(B2)</f>
        <v>0.23333333333332323</v>
      </c>
      <c r="K90" s="833"/>
      <c r="L90" s="834"/>
      <c r="N90" s="881"/>
      <c r="O90" s="413"/>
    </row>
    <row r="91" spans="1:15" s="383" customFormat="1" ht="23.25" customHeight="1">
      <c r="A91" s="1232" t="s">
        <v>216</v>
      </c>
      <c r="B91" s="435"/>
      <c r="C91" s="1233"/>
      <c r="D91" s="474"/>
      <c r="E91" s="474"/>
      <c r="F91" s="474"/>
      <c r="G91" s="426"/>
      <c r="H91" s="474"/>
      <c r="I91" s="474"/>
      <c r="J91" s="474"/>
      <c r="K91" s="380"/>
      <c r="L91" s="382"/>
    </row>
    <row r="92" spans="1:15" ht="23.25" customHeight="1" thickBot="1">
      <c r="A92" s="1454" t="s">
        <v>217</v>
      </c>
      <c r="B92" s="1455"/>
      <c r="C92" s="1456"/>
      <c r="D92" s="268" t="s">
        <v>155</v>
      </c>
      <c r="E92" s="312">
        <f>'17'!F92</f>
        <v>235316</v>
      </c>
      <c r="F92" s="267">
        <v>235420</v>
      </c>
      <c r="G92" s="325">
        <f t="shared" ref="G92:G93" si="9">F92-E92</f>
        <v>104</v>
      </c>
      <c r="H92" s="277">
        <f>G92+'17'!H92</f>
        <v>1518</v>
      </c>
      <c r="I92" s="326"/>
      <c r="J92" s="314">
        <f>H92/DAY(B2)</f>
        <v>84.333333333333329</v>
      </c>
      <c r="K92" s="330"/>
      <c r="L92" s="293"/>
    </row>
    <row r="93" spans="1:15" ht="23.25" customHeight="1" thickBot="1">
      <c r="A93" s="1454" t="s">
        <v>218</v>
      </c>
      <c r="B93" s="1455"/>
      <c r="C93" s="1456"/>
      <c r="D93" s="268" t="s">
        <v>155</v>
      </c>
      <c r="E93" s="312">
        <f>'17'!F93</f>
        <v>169299</v>
      </c>
      <c r="F93" s="267">
        <v>169434</v>
      </c>
      <c r="G93" s="325">
        <f t="shared" si="9"/>
        <v>135</v>
      </c>
      <c r="H93" s="277">
        <f>G93+'17'!H93</f>
        <v>2518</v>
      </c>
      <c r="I93" s="326"/>
      <c r="J93" s="314">
        <f>H93/DAY(B2)</f>
        <v>139.88888888888889</v>
      </c>
      <c r="K93" s="380"/>
      <c r="L93" s="293"/>
    </row>
    <row r="94" spans="1:15" ht="23.25" customHeight="1" thickBot="1">
      <c r="A94" s="1446" t="s">
        <v>219</v>
      </c>
      <c r="B94" s="1447"/>
      <c r="C94" s="1448"/>
      <c r="D94" s="268"/>
      <c r="E94" s="312">
        <f>'17'!F94</f>
        <v>0</v>
      </c>
      <c r="F94" s="267"/>
      <c r="G94" s="325">
        <f>G92+G93</f>
        <v>239</v>
      </c>
      <c r="H94" s="277">
        <f>G94+'17'!H94</f>
        <v>3762</v>
      </c>
      <c r="I94" s="326"/>
      <c r="J94" s="314">
        <f>H94/DAY(B2)</f>
        <v>209</v>
      </c>
      <c r="K94" s="380"/>
      <c r="L94" s="293"/>
    </row>
    <row r="95" spans="1:15" ht="23.25" customHeight="1" thickBot="1">
      <c r="A95" s="1454" t="s">
        <v>220</v>
      </c>
      <c r="B95" s="1455"/>
      <c r="C95" s="1456"/>
      <c r="D95" s="268" t="s">
        <v>155</v>
      </c>
      <c r="E95" s="312">
        <f>'17'!F95</f>
        <v>404874</v>
      </c>
      <c r="F95" s="267">
        <v>404958</v>
      </c>
      <c r="G95" s="325">
        <f t="shared" ref="G95:G100" si="10">F95-E95</f>
        <v>84</v>
      </c>
      <c r="H95" s="277">
        <f>G95+'17'!H95</f>
        <v>1293</v>
      </c>
      <c r="I95" s="326"/>
      <c r="J95" s="314">
        <f>H95/DAY(B2)</f>
        <v>71.833333333333329</v>
      </c>
      <c r="K95" s="380"/>
      <c r="L95" s="293"/>
    </row>
    <row r="96" spans="1:15" ht="23.25" customHeight="1" thickBot="1">
      <c r="A96" s="1234" t="s">
        <v>221</v>
      </c>
      <c r="B96" s="1235"/>
      <c r="C96" s="1236"/>
      <c r="D96" s="268" t="s">
        <v>155</v>
      </c>
      <c r="E96" s="312">
        <f>'17'!F96</f>
        <v>100232</v>
      </c>
      <c r="F96" s="267">
        <v>100249</v>
      </c>
      <c r="G96" s="325">
        <f t="shared" si="10"/>
        <v>17</v>
      </c>
      <c r="H96" s="277">
        <f>G96+'17'!H96</f>
        <v>328</v>
      </c>
      <c r="I96" s="326"/>
      <c r="J96" s="314">
        <f>H96/DAY(B2)</f>
        <v>18.222222222222221</v>
      </c>
      <c r="K96" s="307"/>
      <c r="L96" s="293"/>
    </row>
    <row r="97" spans="1:12" ht="23.25" customHeight="1" thickBot="1">
      <c r="A97" s="1234" t="s">
        <v>222</v>
      </c>
      <c r="B97" s="1235"/>
      <c r="C97" s="1236"/>
      <c r="D97" s="268" t="s">
        <v>155</v>
      </c>
      <c r="E97" s="312">
        <f>'17'!F97</f>
        <v>95373</v>
      </c>
      <c r="F97" s="267">
        <v>95397</v>
      </c>
      <c r="G97" s="325">
        <f t="shared" si="10"/>
        <v>24</v>
      </c>
      <c r="H97" s="277">
        <f>G97+'17'!H97</f>
        <v>370</v>
      </c>
      <c r="I97" s="326"/>
      <c r="J97" s="314">
        <f>H97/DAY(B2)</f>
        <v>20.555555555555557</v>
      </c>
      <c r="K97" s="384"/>
      <c r="L97" s="293"/>
    </row>
    <row r="98" spans="1:12" ht="23.25" customHeight="1" thickBot="1">
      <c r="A98" s="1234" t="s">
        <v>223</v>
      </c>
      <c r="B98" s="1235"/>
      <c r="C98" s="1236"/>
      <c r="D98" s="268" t="s">
        <v>155</v>
      </c>
      <c r="E98" s="312">
        <f>'17'!F98</f>
        <v>144836</v>
      </c>
      <c r="F98" s="267">
        <v>144868</v>
      </c>
      <c r="G98" s="325">
        <f t="shared" si="10"/>
        <v>32</v>
      </c>
      <c r="H98" s="277">
        <f>G98+'17'!H98</f>
        <v>1061</v>
      </c>
      <c r="I98" s="326"/>
      <c r="J98" s="314">
        <f>H98/DAY(B2)</f>
        <v>58.944444444444443</v>
      </c>
      <c r="K98" s="380"/>
      <c r="L98" s="293"/>
    </row>
    <row r="99" spans="1:12" ht="23.25" customHeight="1" thickBot="1">
      <c r="A99" s="1234" t="s">
        <v>224</v>
      </c>
      <c r="B99" s="1235"/>
      <c r="C99" s="1236"/>
      <c r="D99" s="268" t="s">
        <v>155</v>
      </c>
      <c r="E99" s="312">
        <f>'17'!F99</f>
        <v>5717</v>
      </c>
      <c r="F99" s="267">
        <v>5728</v>
      </c>
      <c r="G99" s="325">
        <f t="shared" si="10"/>
        <v>11</v>
      </c>
      <c r="H99" s="277">
        <f>G99+'17'!H99</f>
        <v>226</v>
      </c>
      <c r="I99" s="326"/>
      <c r="J99" s="314">
        <f>H99/DAY(B2)</f>
        <v>12.555555555555555</v>
      </c>
      <c r="K99" s="380"/>
      <c r="L99" s="293"/>
    </row>
    <row r="100" spans="1:12" ht="23.25" customHeight="1" thickBot="1">
      <c r="A100" s="1234" t="s">
        <v>225</v>
      </c>
      <c r="B100" s="1235"/>
      <c r="C100" s="1236"/>
      <c r="D100" s="268" t="s">
        <v>155</v>
      </c>
      <c r="E100" s="312">
        <f>'17'!F100</f>
        <v>4119</v>
      </c>
      <c r="F100" s="267">
        <v>4126</v>
      </c>
      <c r="G100" s="325">
        <f t="shared" si="10"/>
        <v>7</v>
      </c>
      <c r="H100" s="277">
        <f>G100+'17'!H100</f>
        <v>162</v>
      </c>
      <c r="I100" s="326"/>
      <c r="J100" s="314">
        <f>H100/DAY(B2)</f>
        <v>9</v>
      </c>
      <c r="K100" s="380"/>
      <c r="L100" s="293"/>
    </row>
    <row r="101" spans="1:12" ht="23.25" customHeight="1">
      <c r="A101" s="1446" t="s">
        <v>227</v>
      </c>
      <c r="B101" s="1447"/>
      <c r="C101" s="1448"/>
      <c r="D101" s="274"/>
      <c r="E101" s="274"/>
      <c r="F101" s="274"/>
      <c r="G101" s="448">
        <f>SUM(G95:G100)</f>
        <v>175</v>
      </c>
      <c r="H101" s="277">
        <f>G101+'17'!H101</f>
        <v>3440</v>
      </c>
      <c r="I101" s="388"/>
      <c r="J101" s="314">
        <f>H101/DAY(B2)</f>
        <v>191.11111111111111</v>
      </c>
      <c r="K101" s="380"/>
      <c r="L101" s="293"/>
    </row>
    <row r="102" spans="1:12" s="481" customFormat="1" ht="25.5" customHeight="1">
      <c r="A102" s="514" t="s">
        <v>228</v>
      </c>
      <c r="B102" s="518"/>
      <c r="C102" s="518"/>
      <c r="D102" s="505"/>
      <c r="E102" s="506"/>
      <c r="F102" s="507"/>
      <c r="G102" s="508"/>
      <c r="H102" s="509"/>
      <c r="I102" s="510"/>
      <c r="J102" s="511"/>
    </row>
    <row r="103" spans="1:12" s="481" customFormat="1" ht="21.75" customHeight="1">
      <c r="A103" s="1444" t="s">
        <v>229</v>
      </c>
      <c r="B103" s="1445"/>
      <c r="C103" s="484"/>
      <c r="D103" s="515"/>
      <c r="E103" s="485"/>
      <c r="F103" s="485"/>
      <c r="G103" s="485"/>
      <c r="H103" s="486"/>
      <c r="I103" s="485"/>
      <c r="J103" s="486"/>
    </row>
    <row r="104" spans="1:12" s="481" customFormat="1" ht="21.75" customHeight="1">
      <c r="A104" s="1441" t="s">
        <v>230</v>
      </c>
      <c r="B104" s="1441"/>
      <c r="C104" s="1228"/>
      <c r="D104" s="515" t="s">
        <v>155</v>
      </c>
      <c r="E104" s="485">
        <f>'17'!F104</f>
        <v>7010</v>
      </c>
      <c r="F104" s="485">
        <v>7010</v>
      </c>
      <c r="G104" s="485">
        <f>F104-E104</f>
        <v>0</v>
      </c>
      <c r="H104" s="486">
        <f>SUM(G104+'1'!G76)</f>
        <v>98</v>
      </c>
      <c r="I104" s="485"/>
      <c r="J104" s="486">
        <f>H104/DAY(B2)</f>
        <v>5.4444444444444446</v>
      </c>
    </row>
    <row r="105" spans="1:12" s="481" customFormat="1" ht="21.75" customHeight="1">
      <c r="A105" s="1441" t="s">
        <v>77</v>
      </c>
      <c r="B105" s="1441"/>
      <c r="C105" s="1228"/>
      <c r="D105" s="515" t="s">
        <v>155</v>
      </c>
      <c r="E105" s="485">
        <f>'17'!F105</f>
        <v>35045</v>
      </c>
      <c r="F105" s="487">
        <v>35060</v>
      </c>
      <c r="G105" s="485">
        <f t="shared" ref="G105:G106" si="11">F105-E105</f>
        <v>15</v>
      </c>
      <c r="H105" s="486">
        <f>SUM(G105+'1'!G77)</f>
        <v>76</v>
      </c>
      <c r="I105" s="485"/>
      <c r="J105" s="486">
        <f>H105/DAY(B2)</f>
        <v>4.2222222222222223</v>
      </c>
    </row>
    <row r="106" spans="1:12" s="481" customFormat="1" ht="21.75" customHeight="1">
      <c r="A106" s="1441" t="s">
        <v>78</v>
      </c>
      <c r="B106" s="1441"/>
      <c r="C106" s="1441"/>
      <c r="D106" s="515" t="s">
        <v>155</v>
      </c>
      <c r="E106" s="485">
        <f>'17'!F106</f>
        <v>19000</v>
      </c>
      <c r="F106" s="485">
        <v>19008</v>
      </c>
      <c r="G106" s="485">
        <f t="shared" si="11"/>
        <v>8</v>
      </c>
      <c r="H106" s="486">
        <f>SUM(G106+'1'!G78)</f>
        <v>377</v>
      </c>
      <c r="I106" s="485"/>
      <c r="J106" s="486">
        <f>H106/DAY(B2)</f>
        <v>20.944444444444443</v>
      </c>
    </row>
    <row r="107" spans="1:12" s="481" customFormat="1" ht="21.75" customHeight="1">
      <c r="A107" s="1442" t="s">
        <v>213</v>
      </c>
      <c r="B107" s="1442"/>
      <c r="C107" s="1228"/>
      <c r="D107" s="515"/>
      <c r="E107" s="485">
        <f>'17'!F107</f>
        <v>0</v>
      </c>
      <c r="F107" s="485"/>
      <c r="G107" s="485">
        <f>SUM(G104:G106)</f>
        <v>23</v>
      </c>
      <c r="H107" s="486">
        <f>SUM(G107+'1'!G79)</f>
        <v>210</v>
      </c>
      <c r="I107" s="485"/>
      <c r="J107" s="486">
        <f>H107/DAY(B2)</f>
        <v>11.666666666666666</v>
      </c>
    </row>
    <row r="108" spans="1:12" s="481" customFormat="1" ht="21.75" customHeight="1">
      <c r="A108" s="1440" t="s">
        <v>79</v>
      </c>
      <c r="B108" s="1440"/>
      <c r="C108" s="1228"/>
      <c r="D108" s="515" t="s">
        <v>155</v>
      </c>
      <c r="E108" s="485">
        <f>'17'!F108</f>
        <v>0</v>
      </c>
      <c r="F108" s="485"/>
      <c r="G108" s="485"/>
      <c r="H108" s="486"/>
      <c r="I108" s="485"/>
      <c r="J108" s="486"/>
    </row>
    <row r="109" spans="1:12" s="481" customFormat="1" ht="21.75" customHeight="1">
      <c r="A109" s="1441" t="s">
        <v>231</v>
      </c>
      <c r="B109" s="1441"/>
      <c r="C109" s="1228"/>
      <c r="D109" s="515" t="s">
        <v>155</v>
      </c>
      <c r="E109" s="485">
        <f>'17'!F109</f>
        <v>53943</v>
      </c>
      <c r="F109" s="485">
        <v>54005</v>
      </c>
      <c r="G109" s="485">
        <f>F109-E109</f>
        <v>62</v>
      </c>
      <c r="H109" s="486">
        <f>SUM(G109+'1'!G81)</f>
        <v>191</v>
      </c>
      <c r="I109" s="485"/>
      <c r="J109" s="486">
        <f>H109/DAY(B2)</f>
        <v>10.611111111111111</v>
      </c>
    </row>
    <row r="110" spans="1:12" s="481" customFormat="1" ht="21.75" customHeight="1">
      <c r="A110" s="1441" t="s">
        <v>232</v>
      </c>
      <c r="B110" s="1441"/>
      <c r="C110" s="1228"/>
      <c r="D110" s="515" t="s">
        <v>155</v>
      </c>
      <c r="E110" s="485">
        <f>'17'!F110</f>
        <v>27843</v>
      </c>
      <c r="F110" s="485">
        <v>27885</v>
      </c>
      <c r="G110" s="485">
        <f t="shared" ref="G110:G111" si="12">F110-E110</f>
        <v>42</v>
      </c>
      <c r="H110" s="486">
        <f>SUM(G110+'1'!G82)</f>
        <v>65</v>
      </c>
      <c r="I110" s="485"/>
      <c r="J110" s="486">
        <f>H110/DAY(B2)</f>
        <v>3.6111111111111112</v>
      </c>
    </row>
    <row r="111" spans="1:12" s="481" customFormat="1" ht="21.75" customHeight="1">
      <c r="A111" s="1441" t="s">
        <v>233</v>
      </c>
      <c r="B111" s="1441"/>
      <c r="C111" s="1228"/>
      <c r="D111" s="515" t="s">
        <v>155</v>
      </c>
      <c r="E111" s="485">
        <f>'17'!F111</f>
        <v>3665</v>
      </c>
      <c r="F111" s="485">
        <v>3665</v>
      </c>
      <c r="G111" s="485">
        <f t="shared" si="12"/>
        <v>0</v>
      </c>
      <c r="H111" s="486">
        <f>SUM(G111+'1'!G83)</f>
        <v>333</v>
      </c>
      <c r="I111" s="485"/>
      <c r="J111" s="486">
        <f>H111/DAY(B2)</f>
        <v>18.5</v>
      </c>
    </row>
    <row r="112" spans="1:12" s="481" customFormat="1" ht="21.75" customHeight="1">
      <c r="A112" s="1443" t="s">
        <v>121</v>
      </c>
      <c r="B112" s="1443"/>
      <c r="C112" s="1228"/>
      <c r="D112" s="515"/>
      <c r="E112" s="485">
        <f>'17'!F112</f>
        <v>0</v>
      </c>
      <c r="F112" s="485"/>
      <c r="G112" s="485">
        <f>SUM(G109:G111)</f>
        <v>104</v>
      </c>
      <c r="H112" s="486">
        <f>SUM(G112+'1'!G84)</f>
        <v>550</v>
      </c>
      <c r="I112" s="485"/>
      <c r="J112" s="486">
        <f>H112/DAY(B2)</f>
        <v>30.555555555555557</v>
      </c>
    </row>
    <row r="113" spans="1:12" s="481" customFormat="1" ht="21.75" customHeight="1">
      <c r="A113" s="1440" t="s">
        <v>234</v>
      </c>
      <c r="B113" s="1440"/>
      <c r="C113" s="1228"/>
      <c r="D113" s="515"/>
      <c r="E113" s="485">
        <f>'17'!F113</f>
        <v>0</v>
      </c>
      <c r="F113" s="485"/>
      <c r="G113" s="485"/>
      <c r="H113" s="486"/>
      <c r="I113" s="485"/>
      <c r="J113" s="486">
        <f>H113/DAY(B2)</f>
        <v>0</v>
      </c>
    </row>
    <row r="114" spans="1:12" s="481" customFormat="1" ht="21.75" customHeight="1">
      <c r="A114" s="1441" t="s">
        <v>235</v>
      </c>
      <c r="B114" s="1441"/>
      <c r="C114" s="519"/>
      <c r="D114" s="515" t="s">
        <v>155</v>
      </c>
      <c r="E114" s="485">
        <f>'17'!F114</f>
        <v>9500</v>
      </c>
      <c r="F114" s="489">
        <v>9514</v>
      </c>
      <c r="G114" s="489">
        <f>F114-E114</f>
        <v>14</v>
      </c>
      <c r="H114" s="489">
        <f>SUM(G114+'1'!G91)</f>
        <v>14</v>
      </c>
      <c r="I114" s="485"/>
      <c r="J114" s="486">
        <f>H114/DAY(B2)</f>
        <v>0.77777777777777779</v>
      </c>
    </row>
    <row r="115" spans="1:12" s="481" customFormat="1" ht="21.75" customHeight="1">
      <c r="A115" s="1441" t="s">
        <v>236</v>
      </c>
      <c r="B115" s="1441"/>
      <c r="C115" s="519"/>
      <c r="D115" s="515" t="s">
        <v>155</v>
      </c>
      <c r="E115" s="485">
        <f>'17'!F115</f>
        <v>7323</v>
      </c>
      <c r="F115" s="489">
        <v>7329</v>
      </c>
      <c r="G115" s="489">
        <f t="shared" ref="G115:G116" si="13">F115-E115</f>
        <v>6</v>
      </c>
      <c r="H115" s="489">
        <f>SUM(G115+'1'!G92)</f>
        <v>139</v>
      </c>
      <c r="I115" s="485"/>
      <c r="J115" s="486">
        <f>H115/DAY(B2)</f>
        <v>7.7222222222222223</v>
      </c>
    </row>
    <row r="116" spans="1:12" s="481" customFormat="1" ht="21.75" customHeight="1">
      <c r="A116" s="1441" t="s">
        <v>237</v>
      </c>
      <c r="B116" s="1441"/>
      <c r="C116" s="519"/>
      <c r="D116" s="515" t="s">
        <v>155</v>
      </c>
      <c r="E116" s="489"/>
      <c r="F116" s="489"/>
      <c r="G116" s="489">
        <f t="shared" si="13"/>
        <v>0</v>
      </c>
      <c r="H116" s="489">
        <f>SUM(G116+'1'!G93)</f>
        <v>141</v>
      </c>
      <c r="I116" s="485"/>
      <c r="J116" s="486">
        <f>H116/DAY(B2)</f>
        <v>7.833333333333333</v>
      </c>
    </row>
    <row r="117" spans="1:12" s="494" customFormat="1">
      <c r="A117" s="1442" t="s">
        <v>213</v>
      </c>
      <c r="B117" s="1442"/>
      <c r="C117" s="519"/>
      <c r="D117" s="516"/>
      <c r="E117" s="489"/>
      <c r="F117" s="489"/>
      <c r="G117" s="489">
        <f>SUM(G114:G116)</f>
        <v>20</v>
      </c>
      <c r="H117" s="489">
        <f>SUM(G117+'1'!G95)</f>
        <v>80</v>
      </c>
      <c r="I117" s="489"/>
      <c r="J117" s="486">
        <f>H117/DAY(B2)</f>
        <v>4.4444444444444446</v>
      </c>
    </row>
    <row r="118" spans="1:12" s="495" customFormat="1">
      <c r="A118" s="1438" t="s">
        <v>238</v>
      </c>
      <c r="B118" s="1438"/>
      <c r="C118" s="1227"/>
      <c r="D118" s="517" t="s">
        <v>155</v>
      </c>
      <c r="E118" s="513"/>
      <c r="F118" s="491">
        <f>SUM(G19+G92)</f>
        <v>156</v>
      </c>
      <c r="G118" s="491">
        <f>SUM(G19+G92)</f>
        <v>156</v>
      </c>
      <c r="H118" s="490">
        <f>SUM(G118+'1'!G96)</f>
        <v>189</v>
      </c>
      <c r="I118" s="513"/>
      <c r="J118" s="491">
        <f>H118/DAY(B2)</f>
        <v>10.5</v>
      </c>
    </row>
    <row r="119" spans="1:12" s="495" customFormat="1">
      <c r="A119" s="1438" t="s">
        <v>239</v>
      </c>
      <c r="B119" s="1438"/>
      <c r="C119" s="1227"/>
      <c r="D119" s="517" t="s">
        <v>155</v>
      </c>
      <c r="E119" s="513"/>
      <c r="F119" s="491">
        <f>SUM(G95,G96,G97,G99,G100)</f>
        <v>143</v>
      </c>
      <c r="G119" s="491">
        <f>SUM(G95,G96,G97,G99,G100)</f>
        <v>143</v>
      </c>
      <c r="H119" s="490">
        <f>SUM(G119+'1'!G98)</f>
        <v>193</v>
      </c>
      <c r="I119" s="513"/>
      <c r="J119" s="491">
        <f>H119/DAY(B2)</f>
        <v>10.722222222222221</v>
      </c>
    </row>
    <row r="120" spans="1:12" s="495" customFormat="1">
      <c r="A120" s="1438" t="s">
        <v>240</v>
      </c>
      <c r="B120" s="1438"/>
      <c r="C120" s="1227"/>
      <c r="D120" s="517" t="s">
        <v>155</v>
      </c>
      <c r="E120" s="513"/>
      <c r="F120" s="489">
        <f>SUM(G112)</f>
        <v>104</v>
      </c>
      <c r="G120" s="489">
        <f>SUM(G112)</f>
        <v>104</v>
      </c>
      <c r="H120" s="490">
        <f>SUM(G120+'1'!G100)</f>
        <v>121</v>
      </c>
      <c r="I120" s="513"/>
      <c r="J120" s="491">
        <f>H120/DAY(B2)</f>
        <v>6.7222222222222223</v>
      </c>
    </row>
    <row r="121" spans="1:12" s="481" customFormat="1" ht="18.75" customHeight="1">
      <c r="A121" s="1439"/>
      <c r="B121" s="1439"/>
      <c r="C121" s="1228"/>
      <c r="F121" s="481" t="s">
        <v>226</v>
      </c>
      <c r="H121" s="492"/>
      <c r="J121" s="493"/>
    </row>
    <row r="122" spans="1:12" ht="23.25" customHeight="1">
      <c r="A122" s="1449" t="s">
        <v>241</v>
      </c>
      <c r="B122" s="1450"/>
      <c r="C122" s="1451"/>
      <c r="D122" s="474"/>
      <c r="E122" s="474"/>
      <c r="F122" s="474"/>
      <c r="G122" s="425"/>
      <c r="H122" s="425"/>
      <c r="I122" s="425"/>
      <c r="J122" s="425"/>
      <c r="K122" s="380"/>
      <c r="L122" s="293"/>
    </row>
    <row r="123" spans="1:12" ht="23.25" customHeight="1" thickBot="1">
      <c r="A123" s="385" t="s">
        <v>242</v>
      </c>
      <c r="B123" s="386"/>
      <c r="C123" s="387"/>
      <c r="D123" s="319" t="s">
        <v>152</v>
      </c>
      <c r="E123" s="312">
        <f>'17'!F123</f>
        <v>799674.18400000001</v>
      </c>
      <c r="F123" s="275">
        <v>799946</v>
      </c>
      <c r="G123" s="325">
        <f t="shared" ref="G123:G127" si="14">F123-E123</f>
        <v>271.81599999999162</v>
      </c>
      <c r="H123" s="277">
        <f>G123+'17'!H123</f>
        <v>4521.9499999999534</v>
      </c>
      <c r="I123" s="389"/>
      <c r="J123" s="314">
        <f>H123/DAY(B2)</f>
        <v>251.21944444444185</v>
      </c>
      <c r="K123" s="380"/>
      <c r="L123" s="293"/>
    </row>
    <row r="124" spans="1:12" ht="23.25" customHeight="1" thickBot="1">
      <c r="A124" s="385" t="s">
        <v>243</v>
      </c>
      <c r="B124" s="386"/>
      <c r="C124" s="387"/>
      <c r="D124" s="319" t="s">
        <v>152</v>
      </c>
      <c r="E124" s="312">
        <f>'17'!F124</f>
        <v>73582.3</v>
      </c>
      <c r="F124" s="275">
        <v>73582.3</v>
      </c>
      <c r="G124" s="325">
        <f t="shared" si="14"/>
        <v>0</v>
      </c>
      <c r="H124" s="277">
        <f>G124+'17'!H124</f>
        <v>0.10000000000582077</v>
      </c>
      <c r="I124" s="389"/>
      <c r="J124" s="314">
        <f>H124/DAY(B2)</f>
        <v>5.5555555558789316E-3</v>
      </c>
      <c r="K124" s="380"/>
      <c r="L124" s="293"/>
    </row>
    <row r="125" spans="1:12" ht="23.25" customHeight="1" thickBot="1">
      <c r="A125" s="1457" t="s">
        <v>244</v>
      </c>
      <c r="B125" s="1458"/>
      <c r="C125" s="1459"/>
      <c r="D125" s="268" t="s">
        <v>152</v>
      </c>
      <c r="E125" s="312">
        <f>'17'!F125</f>
        <v>136856.46</v>
      </c>
      <c r="F125" s="264">
        <v>136927.23000000001</v>
      </c>
      <c r="G125" s="325">
        <f t="shared" si="14"/>
        <v>70.770000000018626</v>
      </c>
      <c r="H125" s="277">
        <f>G125+'17'!H125</f>
        <v>1336.5599999999977</v>
      </c>
      <c r="I125" s="389"/>
      <c r="J125" s="314">
        <f>H125/DAY(B2)</f>
        <v>74.253333333333202</v>
      </c>
      <c r="K125" s="380"/>
      <c r="L125" s="293"/>
    </row>
    <row r="126" spans="1:12" ht="23.25" customHeight="1" thickBot="1">
      <c r="A126" s="416" t="s">
        <v>245</v>
      </c>
      <c r="B126" s="1235"/>
      <c r="C126" s="1236"/>
      <c r="D126" s="268" t="s">
        <v>152</v>
      </c>
      <c r="E126" s="312">
        <f>'17'!F126</f>
        <v>57938.9</v>
      </c>
      <c r="F126" s="264">
        <v>57965.8</v>
      </c>
      <c r="G126" s="325">
        <f t="shared" si="14"/>
        <v>26.900000000001455</v>
      </c>
      <c r="H126" s="277">
        <f>G126+'17'!H126</f>
        <v>584.80000000000291</v>
      </c>
      <c r="I126" s="389"/>
      <c r="J126" s="314">
        <f>H126/DAY(B2)</f>
        <v>32.488888888889051</v>
      </c>
      <c r="K126" s="380"/>
      <c r="L126" s="293"/>
    </row>
    <row r="127" spans="1:12" ht="23.25" customHeight="1" thickBot="1">
      <c r="A127" s="416" t="s">
        <v>246</v>
      </c>
      <c r="B127" s="1235"/>
      <c r="C127" s="1236"/>
      <c r="D127" s="268" t="s">
        <v>152</v>
      </c>
      <c r="E127" s="312">
        <f>'17'!F127</f>
        <v>8764</v>
      </c>
      <c r="F127" s="264">
        <v>8767.7000000000007</v>
      </c>
      <c r="G127" s="325">
        <f t="shared" si="14"/>
        <v>3.7000000000007276</v>
      </c>
      <c r="H127" s="277">
        <f>G127+'17'!H127</f>
        <v>61.700000000000728</v>
      </c>
      <c r="I127" s="326"/>
      <c r="J127" s="314">
        <f>H127/DAY(B2)</f>
        <v>3.427777777777818</v>
      </c>
      <c r="K127" s="380"/>
      <c r="L127" s="293"/>
    </row>
    <row r="128" spans="1:12" ht="21.75" customHeight="1">
      <c r="A128" s="381" t="s">
        <v>247</v>
      </c>
      <c r="B128" s="475"/>
      <c r="C128" s="475"/>
      <c r="D128" s="268"/>
      <c r="E128" s="263"/>
      <c r="F128" s="264"/>
      <c r="G128" s="325">
        <f>G15-SUM(G123:G127)</f>
        <v>571.59000000005835</v>
      </c>
      <c r="H128" s="277">
        <f>G128+'17'!H128</f>
        <v>1757.9100000000963</v>
      </c>
      <c r="I128" s="326"/>
      <c r="J128" s="314">
        <f>H128/DAY(B2)</f>
        <v>97.661666666672019</v>
      </c>
      <c r="K128" s="391"/>
      <c r="L128" s="293"/>
    </row>
    <row r="129" spans="1:12" ht="23.25" customHeight="1">
      <c r="A129" s="422" t="s">
        <v>248</v>
      </c>
      <c r="B129" s="422"/>
      <c r="C129" s="422"/>
      <c r="D129" s="422"/>
      <c r="E129" s="422"/>
      <c r="F129" s="422"/>
      <c r="G129" s="436"/>
      <c r="H129" s="436"/>
      <c r="I129" s="436"/>
      <c r="J129" s="436"/>
    </row>
    <row r="130" spans="1:12" ht="23.25" customHeight="1" thickBot="1">
      <c r="A130" s="475" t="s">
        <v>249</v>
      </c>
      <c r="B130" s="475"/>
      <c r="C130" s="475"/>
      <c r="D130" s="268" t="s">
        <v>250</v>
      </c>
      <c r="E130" s="312">
        <f>'17'!F130</f>
        <v>0</v>
      </c>
      <c r="F130" s="267">
        <v>0</v>
      </c>
      <c r="G130" s="325">
        <f t="shared" ref="G130:G140" si="15">F130-E130</f>
        <v>0</v>
      </c>
      <c r="H130" s="277">
        <f>G130+'17'!H130</f>
        <v>0</v>
      </c>
      <c r="I130" s="326"/>
      <c r="J130" s="314">
        <f>H130/DAY(B2)</f>
        <v>0</v>
      </c>
    </row>
    <row r="131" spans="1:12" ht="23.25" customHeight="1" thickBot="1">
      <c r="A131" s="475" t="s">
        <v>251</v>
      </c>
      <c r="B131" s="475"/>
      <c r="C131" s="475"/>
      <c r="D131" s="268" t="s">
        <v>250</v>
      </c>
      <c r="E131" s="312">
        <f>'17'!F131</f>
        <v>0</v>
      </c>
      <c r="F131" s="267">
        <v>0</v>
      </c>
      <c r="G131" s="325">
        <f t="shared" si="15"/>
        <v>0</v>
      </c>
      <c r="H131" s="277">
        <f>G131+'17'!H131</f>
        <v>0</v>
      </c>
      <c r="I131" s="326"/>
      <c r="J131" s="314">
        <f>H131/DAY(B2)</f>
        <v>0</v>
      </c>
    </row>
    <row r="132" spans="1:12" ht="23.25" customHeight="1" thickBot="1">
      <c r="A132" s="475" t="s">
        <v>252</v>
      </c>
      <c r="B132" s="475"/>
      <c r="C132" s="475"/>
      <c r="D132" s="268" t="s">
        <v>250</v>
      </c>
      <c r="E132" s="312">
        <f>'17'!F132</f>
        <v>38901</v>
      </c>
      <c r="F132" s="267">
        <v>38901</v>
      </c>
      <c r="G132" s="325">
        <f t="shared" si="15"/>
        <v>0</v>
      </c>
      <c r="H132" s="277">
        <f>G132+'17'!H132</f>
        <v>0</v>
      </c>
      <c r="I132" s="326"/>
      <c r="J132" s="314">
        <f>H132/DAY(B2)</f>
        <v>0</v>
      </c>
    </row>
    <row r="133" spans="1:12" ht="23.25" customHeight="1" thickBot="1">
      <c r="A133" s="475" t="s">
        <v>253</v>
      </c>
      <c r="B133" s="475"/>
      <c r="C133" s="475"/>
      <c r="D133" s="268" t="s">
        <v>250</v>
      </c>
      <c r="E133" s="312">
        <f>'17'!F133</f>
        <v>299</v>
      </c>
      <c r="F133" s="267">
        <v>299</v>
      </c>
      <c r="G133" s="325">
        <f t="shared" si="15"/>
        <v>0</v>
      </c>
      <c r="H133" s="277">
        <f>G133+'17'!H133</f>
        <v>0</v>
      </c>
      <c r="I133" s="326">
        <f>G130+G131+G132+G133</f>
        <v>0</v>
      </c>
      <c r="J133" s="314">
        <f>H133/DAY(B2)</f>
        <v>0</v>
      </c>
    </row>
    <row r="134" spans="1:12" ht="23.25" customHeight="1" thickBot="1">
      <c r="A134" s="475" t="s">
        <v>254</v>
      </c>
      <c r="B134" s="475"/>
      <c r="C134" s="475"/>
      <c r="D134" s="268" t="s">
        <v>250</v>
      </c>
      <c r="E134" s="312">
        <f>'17'!F134</f>
        <v>39888.47</v>
      </c>
      <c r="F134" s="267">
        <v>39912.92</v>
      </c>
      <c r="G134" s="325">
        <f t="shared" si="15"/>
        <v>24.44999999999709</v>
      </c>
      <c r="H134" s="277">
        <f>G134+'17'!H134</f>
        <v>177.91999999999825</v>
      </c>
      <c r="I134" s="326"/>
      <c r="J134" s="314">
        <f>H134/DAY(B2)</f>
        <v>9.8844444444443482</v>
      </c>
    </row>
    <row r="135" spans="1:12" ht="23.25" customHeight="1" thickBot="1">
      <c r="A135" s="475" t="s">
        <v>255</v>
      </c>
      <c r="B135" s="475"/>
      <c r="C135" s="475"/>
      <c r="D135" s="268" t="s">
        <v>250</v>
      </c>
      <c r="E135" s="312">
        <f>'17'!F135</f>
        <v>32423</v>
      </c>
      <c r="F135" s="267">
        <v>32423</v>
      </c>
      <c r="G135" s="325">
        <f t="shared" si="15"/>
        <v>0</v>
      </c>
      <c r="H135" s="277">
        <f>G135+'17'!H135</f>
        <v>255.61000000000058</v>
      </c>
      <c r="I135" s="326"/>
      <c r="J135" s="314">
        <f>H135/DAY(B2)</f>
        <v>14.200555555555589</v>
      </c>
    </row>
    <row r="136" spans="1:12" ht="23.25" customHeight="1" thickBot="1">
      <c r="A136" s="475" t="s">
        <v>256</v>
      </c>
      <c r="B136" s="475"/>
      <c r="C136" s="475"/>
      <c r="D136" s="268" t="s">
        <v>250</v>
      </c>
      <c r="E136" s="312">
        <f>'17'!F136</f>
        <v>21909.24</v>
      </c>
      <c r="F136" s="267">
        <v>21918.34</v>
      </c>
      <c r="G136" s="325">
        <f t="shared" si="15"/>
        <v>9.0999999999985448</v>
      </c>
      <c r="H136" s="277">
        <f>G136+'17'!H136</f>
        <v>116.63999999999942</v>
      </c>
      <c r="I136" s="326">
        <f>G134+G135+G136</f>
        <v>33.549999999995634</v>
      </c>
      <c r="J136" s="314">
        <f>H136/DAY(B2)</f>
        <v>6.4799999999999676</v>
      </c>
    </row>
    <row r="137" spans="1:12" ht="23.25" customHeight="1" thickBot="1">
      <c r="A137" s="475" t="s">
        <v>257</v>
      </c>
      <c r="B137" s="475"/>
      <c r="C137" s="475"/>
      <c r="D137" s="268" t="s">
        <v>250</v>
      </c>
      <c r="E137" s="312">
        <f>'17'!F137</f>
        <v>25000.560000000001</v>
      </c>
      <c r="F137" s="267">
        <v>25000.560000000001</v>
      </c>
      <c r="G137" s="325">
        <f t="shared" si="15"/>
        <v>0</v>
      </c>
      <c r="H137" s="277">
        <f>G137+'17'!H137</f>
        <v>9.9500000000007276</v>
      </c>
      <c r="I137" s="326"/>
      <c r="J137" s="314">
        <f>H137/DAY(B2)</f>
        <v>0.55277777777781822</v>
      </c>
    </row>
    <row r="138" spans="1:12" ht="23.25" customHeight="1" thickBot="1">
      <c r="A138" s="475" t="s">
        <v>258</v>
      </c>
      <c r="B138" s="475"/>
      <c r="C138" s="475"/>
      <c r="D138" s="268" t="s">
        <v>250</v>
      </c>
      <c r="E138" s="312">
        <f>'17'!F138</f>
        <v>70047.12</v>
      </c>
      <c r="F138" s="267">
        <v>70050.47</v>
      </c>
      <c r="G138" s="325">
        <f t="shared" si="15"/>
        <v>3.3500000000058208</v>
      </c>
      <c r="H138" s="277">
        <f>G138+'17'!H138</f>
        <v>44.100000000005821</v>
      </c>
      <c r="I138" s="326">
        <f>G137+G138</f>
        <v>3.3500000000058208</v>
      </c>
      <c r="J138" s="314">
        <f>H138/DAY(B2)</f>
        <v>2.4500000000003235</v>
      </c>
    </row>
    <row r="139" spans="1:12" ht="23.25" customHeight="1" thickBot="1">
      <c r="A139" s="475" t="s">
        <v>259</v>
      </c>
      <c r="B139" s="475"/>
      <c r="C139" s="475"/>
      <c r="D139" s="268" t="s">
        <v>250</v>
      </c>
      <c r="E139" s="312">
        <f>'17'!F139</f>
        <v>1095.3900000000001</v>
      </c>
      <c r="F139" s="267">
        <v>1102.99</v>
      </c>
      <c r="G139" s="325">
        <f t="shared" si="15"/>
        <v>7.5999999999999091</v>
      </c>
      <c r="H139" s="277">
        <f>G139+'17'!H139</f>
        <v>39.990000000000009</v>
      </c>
      <c r="J139" s="314">
        <f>H139/DAY(B2)</f>
        <v>2.2216666666666671</v>
      </c>
    </row>
    <row r="140" spans="1:12" ht="23.25" customHeight="1" thickBot="1">
      <c r="A140" s="475" t="s">
        <v>260</v>
      </c>
      <c r="B140" s="475"/>
      <c r="C140" s="475"/>
      <c r="D140" s="268" t="s">
        <v>250</v>
      </c>
      <c r="E140" s="312">
        <f>'17'!F140</f>
        <v>4333.53</v>
      </c>
      <c r="F140" s="267">
        <v>4333.53</v>
      </c>
      <c r="G140" s="325">
        <f t="shared" si="15"/>
        <v>0</v>
      </c>
      <c r="H140" s="277">
        <f>G140+'17'!H140</f>
        <v>101.11999999999989</v>
      </c>
      <c r="J140" s="314">
        <f>H140/DAY(B2)</f>
        <v>5.6177777777777713</v>
      </c>
    </row>
    <row r="141" spans="1:12" ht="23.25" customHeight="1">
      <c r="A141" s="1452" t="s">
        <v>261</v>
      </c>
      <c r="B141" s="1453"/>
      <c r="C141" s="474"/>
      <c r="D141" s="474"/>
      <c r="E141" s="474"/>
      <c r="F141" s="474"/>
      <c r="G141" s="425"/>
      <c r="H141" s="425"/>
      <c r="I141" s="425"/>
      <c r="J141" s="425"/>
      <c r="K141" s="380"/>
      <c r="L141" s="293"/>
    </row>
    <row r="142" spans="1:12" ht="23.25" customHeight="1">
      <c r="A142" s="1454" t="s">
        <v>262</v>
      </c>
      <c r="B142" s="1455"/>
      <c r="C142" s="1456"/>
      <c r="D142" s="268" t="s">
        <v>143</v>
      </c>
      <c r="E142" s="268"/>
      <c r="F142" s="268"/>
      <c r="G142" s="277">
        <f>G35+G43+G49+G57</f>
        <v>5895.3000000000175</v>
      </c>
      <c r="H142" s="277">
        <f>G142+'17'!H142</f>
        <v>91933.620000000024</v>
      </c>
      <c r="I142" s="326"/>
      <c r="J142" s="314">
        <f>H142/DAY(B2)</f>
        <v>5107.423333333335</v>
      </c>
      <c r="K142" s="380"/>
      <c r="L142" s="293"/>
    </row>
    <row r="143" spans="1:12" ht="23.25" customHeight="1">
      <c r="A143" s="1454" t="s">
        <v>263</v>
      </c>
      <c r="B143" s="1455"/>
      <c r="C143" s="1456"/>
      <c r="D143" s="268" t="s">
        <v>24</v>
      </c>
      <c r="E143" s="269"/>
      <c r="F143" s="269"/>
      <c r="G143" s="280">
        <f>G142/G7</f>
        <v>0.29238208599910814</v>
      </c>
      <c r="H143" s="277">
        <f>G143+'17'!H143</f>
        <v>4.54272148201213</v>
      </c>
      <c r="I143" s="390"/>
      <c r="J143" s="314">
        <f>H143/DAY(B2)</f>
        <v>0.25237341566734056</v>
      </c>
      <c r="K143" s="391"/>
      <c r="L143" s="293"/>
    </row>
    <row r="144" spans="1:12" ht="23.25" customHeight="1">
      <c r="A144" s="1454" t="s">
        <v>264</v>
      </c>
      <c r="B144" s="1455"/>
      <c r="C144" s="1456"/>
      <c r="D144" s="268" t="s">
        <v>143</v>
      </c>
      <c r="E144" s="265"/>
      <c r="F144" s="265"/>
      <c r="G144" s="277">
        <f>G41+G42+G55+G56</f>
        <v>4436.6809999999969</v>
      </c>
      <c r="H144" s="277">
        <f>G144+'17'!H144</f>
        <v>77218.36000000003</v>
      </c>
      <c r="I144" s="326"/>
      <c r="J144" s="314">
        <f>H144/DAY(B2)</f>
        <v>4289.9088888888909</v>
      </c>
      <c r="K144" s="391"/>
      <c r="L144" s="293"/>
    </row>
    <row r="145" spans="1:12" ht="23.25" customHeight="1">
      <c r="A145" s="1454" t="s">
        <v>265</v>
      </c>
      <c r="B145" s="1455"/>
      <c r="C145" s="1456"/>
      <c r="D145" s="268" t="s">
        <v>24</v>
      </c>
      <c r="E145" s="265"/>
      <c r="F145" s="265" t="s">
        <v>288</v>
      </c>
      <c r="G145" s="280">
        <f>G144/G7</f>
        <v>0.22004071814710097</v>
      </c>
      <c r="H145" s="277">
        <f>G145+'17'!H145</f>
        <v>3.9457691204133836</v>
      </c>
      <c r="I145" s="390"/>
      <c r="J145" s="314">
        <f>H145/DAY(B2)</f>
        <v>0.21920939557852132</v>
      </c>
      <c r="K145" s="391"/>
      <c r="L145" s="293"/>
    </row>
    <row r="146" spans="1:12" ht="23.25" customHeight="1">
      <c r="A146" s="1454" t="s">
        <v>266</v>
      </c>
      <c r="B146" s="1455"/>
      <c r="C146" s="1456"/>
      <c r="D146" s="268" t="s">
        <v>143</v>
      </c>
      <c r="E146" s="265"/>
      <c r="F146" s="265"/>
      <c r="G146" s="277">
        <f>G39+G53</f>
        <v>4182.2200000000012</v>
      </c>
      <c r="H146" s="277">
        <f>G146+'17'!H146</f>
        <v>73449.700000000012</v>
      </c>
      <c r="I146" s="392"/>
      <c r="J146" s="314">
        <f>H146/DAY(B2)</f>
        <v>4080.5388888888897</v>
      </c>
      <c r="K146" s="391"/>
      <c r="L146" s="293"/>
    </row>
    <row r="147" spans="1:12" ht="23.25" customHeight="1">
      <c r="A147" s="1454" t="s">
        <v>267</v>
      </c>
      <c r="B147" s="1455"/>
      <c r="C147" s="1456"/>
      <c r="D147" s="268" t="s">
        <v>24</v>
      </c>
      <c r="E147" s="265"/>
      <c r="F147" s="265"/>
      <c r="G147" s="280">
        <f>G146/G7</f>
        <v>0.20742052273967174</v>
      </c>
      <c r="H147" s="277">
        <f>G147+'17'!H147</f>
        <v>3.7642059112884945</v>
      </c>
      <c r="I147" s="392"/>
      <c r="J147" s="314">
        <f>H147/DAY(B2)</f>
        <v>0.20912255062713858</v>
      </c>
    </row>
    <row r="148" spans="1:12" ht="23.25" customHeight="1">
      <c r="A148" s="1454" t="s">
        <v>268</v>
      </c>
      <c r="B148" s="1455"/>
      <c r="C148" s="1456"/>
      <c r="D148" s="268" t="s">
        <v>194</v>
      </c>
      <c r="E148" s="265"/>
      <c r="F148" s="265"/>
      <c r="G148" s="277">
        <f>G38+G52</f>
        <v>1920.1599999999744</v>
      </c>
      <c r="H148" s="277">
        <f>G148+'17'!H148</f>
        <v>36352.27999999997</v>
      </c>
      <c r="I148" s="326"/>
      <c r="J148" s="314">
        <f>H148/DAY(B2)</f>
        <v>2019.5711111111095</v>
      </c>
      <c r="K148" s="393"/>
    </row>
    <row r="149" spans="1:12" ht="23.25" customHeight="1">
      <c r="A149" s="1454" t="s">
        <v>269</v>
      </c>
      <c r="B149" s="1455"/>
      <c r="C149" s="1456"/>
      <c r="D149" s="268" t="s">
        <v>24</v>
      </c>
      <c r="E149" s="265"/>
      <c r="F149" s="265"/>
      <c r="G149" s="280">
        <f>G148/G7</f>
        <v>9.5231860338242047E-2</v>
      </c>
      <c r="H149" s="277">
        <f>G149+'17'!H149</f>
        <v>1.8641407394645089</v>
      </c>
      <c r="I149" s="392"/>
      <c r="J149" s="314">
        <f>H149/DAY(B2)</f>
        <v>0.10356337441469493</v>
      </c>
    </row>
    <row r="150" spans="1:12" ht="23.25" customHeight="1">
      <c r="A150" s="1454" t="s">
        <v>270</v>
      </c>
      <c r="B150" s="1455"/>
      <c r="C150" s="1456"/>
      <c r="D150" s="268" t="s">
        <v>194</v>
      </c>
      <c r="E150" s="265"/>
      <c r="F150" s="265"/>
      <c r="G150" s="277">
        <f>G36+G50</f>
        <v>1800.820000000007</v>
      </c>
      <c r="H150" s="277">
        <f>G150+'17'!H150</f>
        <v>31839.619999999995</v>
      </c>
      <c r="I150" s="392"/>
      <c r="J150" s="314">
        <f>H150/DAY(B2)</f>
        <v>1768.8677777777775</v>
      </c>
    </row>
    <row r="151" spans="1:12" ht="23.25" customHeight="1">
      <c r="A151" s="1454" t="s">
        <v>271</v>
      </c>
      <c r="B151" s="1455"/>
      <c r="C151" s="1456"/>
      <c r="D151" s="268" t="s">
        <v>24</v>
      </c>
      <c r="E151" s="265"/>
      <c r="F151" s="265"/>
      <c r="G151" s="280">
        <f>G150/G7</f>
        <v>8.9313098249268807E-2</v>
      </c>
      <c r="H151" s="277">
        <f>G151+'17'!H151</f>
        <v>1.6330217179803199</v>
      </c>
      <c r="I151" s="326"/>
      <c r="J151" s="314">
        <f>H151/DAY(B2)</f>
        <v>9.0723428776684434E-2</v>
      </c>
    </row>
    <row r="152" spans="1:12" ht="23.25" customHeight="1">
      <c r="A152" s="1454" t="s">
        <v>272</v>
      </c>
      <c r="B152" s="1455"/>
      <c r="C152" s="1456"/>
      <c r="D152" s="268" t="s">
        <v>194</v>
      </c>
      <c r="E152" s="265"/>
      <c r="F152" s="265"/>
      <c r="G152" s="277">
        <f>G37+G51</f>
        <v>1485.1499999999942</v>
      </c>
      <c r="H152" s="277">
        <f>G152+'17'!H152</f>
        <v>26090.78</v>
      </c>
      <c r="I152" s="326"/>
      <c r="J152" s="314">
        <f>H152/DAY(B2)</f>
        <v>1449.4877777777776</v>
      </c>
    </row>
    <row r="153" spans="1:12" ht="23.25" customHeight="1">
      <c r="A153" s="1454" t="s">
        <v>273</v>
      </c>
      <c r="B153" s="1455"/>
      <c r="C153" s="1456"/>
      <c r="D153" s="268" t="s">
        <v>24</v>
      </c>
      <c r="E153" s="265"/>
      <c r="F153" s="265"/>
      <c r="G153" s="280">
        <f>G152/G7</f>
        <v>7.3657193869959545E-2</v>
      </c>
      <c r="H153" s="277">
        <f>G153+'17'!H153</f>
        <v>1.3377448582365119</v>
      </c>
      <c r="I153" s="326"/>
      <c r="J153" s="314">
        <f>H153/DAY(B2)</f>
        <v>7.4319158790917328E-2</v>
      </c>
    </row>
    <row r="154" spans="1:12" s="494" customFormat="1" ht="44.25" customHeight="1">
      <c r="A154" s="497"/>
      <c r="B154" s="498"/>
      <c r="C154" s="498"/>
      <c r="D154" s="498"/>
      <c r="E154" s="499"/>
      <c r="F154" s="500"/>
      <c r="G154" s="501"/>
      <c r="H154" s="502"/>
      <c r="I154" s="503"/>
      <c r="J154" s="504"/>
    </row>
    <row r="155" spans="1:12" s="494" customFormat="1" ht="21.75" customHeight="1">
      <c r="A155" s="520"/>
      <c r="B155" s="489"/>
      <c r="C155" s="513"/>
      <c r="D155" s="489"/>
      <c r="E155" s="489"/>
      <c r="F155" s="489"/>
      <c r="G155" s="489"/>
      <c r="H155" s="491"/>
      <c r="I155" s="489"/>
      <c r="J155" s="491"/>
    </row>
    <row r="156" spans="1:12" s="494" customFormat="1" ht="21.75" customHeight="1">
      <c r="A156" s="483"/>
      <c r="B156" s="489"/>
      <c r="C156" s="513"/>
      <c r="D156" s="489"/>
      <c r="E156" s="489"/>
      <c r="F156" s="489"/>
      <c r="G156" s="489"/>
      <c r="H156" s="491"/>
      <c r="I156" s="489"/>
      <c r="J156" s="491"/>
    </row>
    <row r="157" spans="1:12" s="494" customFormat="1" ht="21.75" customHeight="1">
      <c r="A157" s="483"/>
      <c r="B157" s="489"/>
      <c r="C157" s="513"/>
      <c r="D157" s="489"/>
      <c r="E157" s="489"/>
      <c r="F157" s="489"/>
      <c r="G157" s="489"/>
      <c r="H157" s="491"/>
      <c r="I157" s="489"/>
      <c r="J157" s="491"/>
    </row>
    <row r="158" spans="1:12" s="494" customFormat="1" ht="21.75" customHeight="1">
      <c r="A158" s="483"/>
      <c r="B158" s="489"/>
      <c r="C158" s="513"/>
      <c r="D158" s="489"/>
      <c r="E158" s="489"/>
      <c r="F158" s="489"/>
      <c r="G158" s="489"/>
      <c r="H158" s="491"/>
      <c r="I158" s="489"/>
      <c r="J158" s="491"/>
    </row>
    <row r="159" spans="1:12" s="494" customFormat="1" ht="21.75" customHeight="1">
      <c r="A159" s="483"/>
      <c r="B159" s="489"/>
      <c r="C159" s="513"/>
      <c r="D159" s="489"/>
      <c r="E159" s="909"/>
      <c r="F159" s="489"/>
      <c r="G159" s="489"/>
      <c r="H159" s="491"/>
      <c r="I159" s="489"/>
      <c r="J159" s="491"/>
    </row>
    <row r="160" spans="1:12" s="494" customFormat="1" ht="21.75" customHeight="1" thickBot="1">
      <c r="A160" s="889" t="s">
        <v>274</v>
      </c>
      <c r="B160" s="890"/>
      <c r="C160" s="890"/>
      <c r="D160" s="587" t="s">
        <v>198</v>
      </c>
      <c r="E160" s="312">
        <f>'17'!F160</f>
        <v>27300.02</v>
      </c>
      <c r="F160" s="739">
        <v>27374.85</v>
      </c>
      <c r="G160" s="549">
        <f t="shared" ref="G160:G165" si="16">F160-E160</f>
        <v>74.829999999998108</v>
      </c>
      <c r="H160" s="491"/>
      <c r="I160" s="489"/>
      <c r="J160" s="491"/>
    </row>
    <row r="161" spans="1:10" s="494" customFormat="1" ht="21.75" customHeight="1" thickBot="1">
      <c r="A161" s="889" t="s">
        <v>275</v>
      </c>
      <c r="B161" s="890"/>
      <c r="C161" s="890"/>
      <c r="D161" s="587" t="s">
        <v>198</v>
      </c>
      <c r="E161" s="312">
        <f>'17'!F161</f>
        <v>36243.24</v>
      </c>
      <c r="F161" s="739">
        <v>36713.69</v>
      </c>
      <c r="G161" s="549">
        <f t="shared" si="16"/>
        <v>470.45000000000437</v>
      </c>
      <c r="H161" s="491"/>
      <c r="I161" s="489"/>
      <c r="J161" s="491"/>
    </row>
    <row r="162" spans="1:10" s="494" customFormat="1" ht="21.75" customHeight="1" thickBot="1">
      <c r="A162" s="889" t="s">
        <v>276</v>
      </c>
      <c r="B162" s="890"/>
      <c r="C162" s="890"/>
      <c r="D162" s="587" t="s">
        <v>198</v>
      </c>
      <c r="E162" s="312">
        <f>'17'!F162</f>
        <v>9346.44</v>
      </c>
      <c r="F162" s="740">
        <v>9593</v>
      </c>
      <c r="G162" s="549">
        <f t="shared" si="16"/>
        <v>246.55999999999949</v>
      </c>
      <c r="H162" s="491"/>
      <c r="I162" s="489"/>
      <c r="J162" s="491"/>
    </row>
    <row r="163" spans="1:10" s="494" customFormat="1" ht="21.75" customHeight="1" thickBot="1">
      <c r="A163" s="889" t="s">
        <v>277</v>
      </c>
      <c r="B163" s="890"/>
      <c r="C163" s="890"/>
      <c r="D163" s="587" t="s">
        <v>198</v>
      </c>
      <c r="E163" s="312">
        <f>'17'!F163</f>
        <v>4714.33</v>
      </c>
      <c r="F163" s="739">
        <v>4729.82</v>
      </c>
      <c r="G163" s="549">
        <f t="shared" si="16"/>
        <v>15.489999999999782</v>
      </c>
      <c r="H163" s="491"/>
      <c r="I163" s="489"/>
      <c r="J163" s="491"/>
    </row>
    <row r="164" spans="1:10" s="494" customFormat="1" ht="21.75" customHeight="1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v>20419</v>
      </c>
      <c r="G164" s="549">
        <f t="shared" si="16"/>
        <v>-0.18000000000029104</v>
      </c>
      <c r="H164" s="491"/>
      <c r="I164" s="489"/>
      <c r="J164" s="491"/>
    </row>
    <row r="165" spans="1:10" s="494" customFormat="1" ht="21.75" customHeight="1">
      <c r="A165" s="891" t="s">
        <v>199</v>
      </c>
      <c r="B165" s="681"/>
      <c r="C165" s="681"/>
      <c r="D165" s="587" t="s">
        <v>198</v>
      </c>
      <c r="E165" s="590">
        <f t="shared" ref="E165:E171" si="17">E63</f>
        <v>1188.27</v>
      </c>
      <c r="F165" s="590">
        <v>1199</v>
      </c>
      <c r="G165" s="549">
        <f t="shared" si="16"/>
        <v>10.730000000000018</v>
      </c>
      <c r="H165" s="491"/>
      <c r="I165" s="489"/>
      <c r="J165" s="491"/>
    </row>
    <row r="166" spans="1:10" s="494" customFormat="1" ht="21.75" customHeight="1">
      <c r="A166" s="1363" t="s">
        <v>107</v>
      </c>
      <c r="B166" s="1363"/>
      <c r="C166" s="1363"/>
      <c r="D166" s="599" t="s">
        <v>198</v>
      </c>
      <c r="E166" s="590">
        <f t="shared" si="17"/>
        <v>105247</v>
      </c>
      <c r="F166" s="590">
        <v>50768</v>
      </c>
      <c r="G166" s="549">
        <f>F64-E64</f>
        <v>462.50999999999476</v>
      </c>
      <c r="H166" s="491"/>
      <c r="I166" s="489"/>
      <c r="J166" s="491"/>
    </row>
    <row r="167" spans="1:10" s="494" customFormat="1" ht="21.75" customHeight="1">
      <c r="A167" s="1363" t="s">
        <v>108</v>
      </c>
      <c r="B167" s="1363"/>
      <c r="C167" s="1363"/>
      <c r="D167" s="599" t="s">
        <v>198</v>
      </c>
      <c r="E167" s="590">
        <f t="shared" si="17"/>
        <v>115969.48</v>
      </c>
      <c r="F167" s="590">
        <v>48316</v>
      </c>
      <c r="G167" s="549">
        <f t="shared" ref="G167:G171" si="18">F65-E65</f>
        <v>418.10000000000582</v>
      </c>
      <c r="H167" s="489"/>
      <c r="I167" s="489"/>
      <c r="J167" s="491"/>
    </row>
    <row r="168" spans="1:10" s="494" customFormat="1" ht="21.75" customHeight="1">
      <c r="A168" s="1363" t="s">
        <v>109</v>
      </c>
      <c r="B168" s="1363"/>
      <c r="C168" s="1363"/>
      <c r="D168" s="599" t="s">
        <v>198</v>
      </c>
      <c r="E168" s="590">
        <f t="shared" si="17"/>
        <v>8662.3799999999992</v>
      </c>
      <c r="F168" s="590">
        <v>43521</v>
      </c>
      <c r="G168" s="549">
        <f t="shared" si="18"/>
        <v>359.6200000000008</v>
      </c>
      <c r="H168" s="489"/>
      <c r="I168" s="489"/>
      <c r="J168" s="491"/>
    </row>
    <row r="169" spans="1:10" s="494" customFormat="1" ht="21.75" customHeight="1">
      <c r="A169" s="1363" t="s">
        <v>110</v>
      </c>
      <c r="B169" s="1363"/>
      <c r="C169" s="1363"/>
      <c r="D169" s="599" t="s">
        <v>198</v>
      </c>
      <c r="E169" s="590">
        <f t="shared" si="17"/>
        <v>179391.44</v>
      </c>
      <c r="F169" s="590">
        <v>81491</v>
      </c>
      <c r="G169" s="549">
        <f t="shared" si="18"/>
        <v>705.08999999999651</v>
      </c>
      <c r="H169" s="490"/>
      <c r="I169" s="489"/>
      <c r="J169" s="491"/>
    </row>
    <row r="170" spans="1:10" s="494" customFormat="1" ht="23.25" customHeight="1">
      <c r="A170" s="1363" t="s">
        <v>111</v>
      </c>
      <c r="B170" s="1363"/>
      <c r="C170" s="1363"/>
      <c r="D170" s="599" t="s">
        <v>198</v>
      </c>
      <c r="E170" s="590">
        <f t="shared" si="17"/>
        <v>58824.800000000003</v>
      </c>
      <c r="F170" s="590">
        <v>8925</v>
      </c>
      <c r="G170" s="549">
        <f t="shared" si="18"/>
        <v>309.81999999999971</v>
      </c>
      <c r="H170" s="490"/>
      <c r="I170" s="489"/>
      <c r="J170" s="491"/>
    </row>
    <row r="171" spans="1:10" s="494" customFormat="1" ht="24" customHeight="1">
      <c r="A171" s="1363" t="s">
        <v>112</v>
      </c>
      <c r="B171" s="1363"/>
      <c r="C171" s="1363"/>
      <c r="D171" s="599" t="s">
        <v>198</v>
      </c>
      <c r="E171" s="590">
        <f t="shared" si="17"/>
        <v>51493.22</v>
      </c>
      <c r="F171" s="590">
        <v>21492</v>
      </c>
      <c r="G171" s="549">
        <f t="shared" si="18"/>
        <v>284.40000000000146</v>
      </c>
      <c r="H171" s="490"/>
      <c r="I171" s="489"/>
      <c r="J171" s="491"/>
    </row>
    <row r="172" spans="1:10" s="495" customFormat="1">
      <c r="A172" s="483"/>
      <c r="B172" s="483"/>
      <c r="C172" s="488"/>
      <c r="D172" s="488"/>
      <c r="E172" s="483"/>
      <c r="F172" s="512"/>
      <c r="G172" s="482">
        <f>SUM(G160:G171)</f>
        <v>3357.4200000000005</v>
      </c>
      <c r="H172" s="490"/>
      <c r="I172" s="483"/>
      <c r="J172" s="483"/>
    </row>
    <row r="173" spans="1:10" s="495" customFormat="1">
      <c r="A173" s="483"/>
      <c r="B173" s="483"/>
      <c r="C173" s="488"/>
      <c r="D173" s="488"/>
      <c r="E173" s="483"/>
      <c r="F173" s="488"/>
      <c r="G173" s="483"/>
      <c r="H173" s="496"/>
      <c r="I173" s="483"/>
      <c r="J173" s="483"/>
    </row>
    <row r="174" spans="1:10" s="495" customFormat="1">
      <c r="A174" s="483"/>
      <c r="B174" s="483"/>
      <c r="C174" s="488"/>
      <c r="D174" s="488"/>
      <c r="E174" s="483"/>
      <c r="F174" s="512"/>
      <c r="G174" s="482"/>
      <c r="H174" s="490"/>
      <c r="I174" s="483"/>
      <c r="J174" s="483"/>
    </row>
    <row r="175" spans="1:10" s="495" customFormat="1">
      <c r="A175" s="483"/>
      <c r="B175" s="483"/>
      <c r="C175" s="483"/>
      <c r="D175" s="483"/>
      <c r="E175" s="483"/>
      <c r="F175" s="488"/>
      <c r="G175" s="483"/>
      <c r="H175" s="496"/>
      <c r="I175" s="483"/>
      <c r="J175" s="483"/>
    </row>
    <row r="176" spans="1:10" s="495" customFormat="1">
      <c r="A176" s="483"/>
      <c r="B176" s="483"/>
      <c r="C176" s="488"/>
      <c r="D176" s="488"/>
      <c r="E176" s="483"/>
      <c r="F176" s="488"/>
      <c r="G176" s="482"/>
      <c r="H176" s="490"/>
      <c r="I176" s="483"/>
      <c r="J176" s="483"/>
    </row>
    <row r="177" spans="8:10" s="494" customFormat="1" ht="18.75" customHeight="1">
      <c r="H177" s="521"/>
      <c r="J177" s="522"/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46" zoomScale="55" zoomScaleNormal="40" zoomScaleSheetLayoutView="55" zoomScalePageLayoutView="60" workbookViewId="0">
      <selection activeCell="F28" sqref="F28"/>
    </sheetView>
  </sheetViews>
  <sheetFormatPr defaultColWidth="22.33203125" defaultRowHeight="29.2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5" s="281" customFormat="1" ht="27">
      <c r="A2" s="652" t="s">
        <v>338</v>
      </c>
      <c r="B2" s="1139">
        <v>44215</v>
      </c>
      <c r="C2" s="1254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30</v>
      </c>
      <c r="E3" s="1408" t="s">
        <v>132</v>
      </c>
      <c r="F3" s="1409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2" t="s">
        <v>141</v>
      </c>
      <c r="B6" s="1403"/>
      <c r="C6" s="1404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'18'!F7</f>
        <v>3637969</v>
      </c>
      <c r="F7" s="531">
        <v>3657932</v>
      </c>
      <c r="G7" s="549">
        <f>F7-E7</f>
        <v>19963</v>
      </c>
      <c r="H7" s="536">
        <f>G7+'18'!H7</f>
        <v>371492</v>
      </c>
      <c r="I7" s="550">
        <f>'1'!I7</f>
        <v>12000</v>
      </c>
      <c r="J7" s="629">
        <f>H7/DAY(B2)</f>
        <v>19552.21052631579</v>
      </c>
      <c r="K7" s="626"/>
      <c r="L7" s="408"/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'18'!F8</f>
        <v>3660534</v>
      </c>
      <c r="F8" s="551">
        <v>3680569</v>
      </c>
      <c r="G8" s="552">
        <f>F8-E8</f>
        <v>20035</v>
      </c>
      <c r="H8" s="536">
        <f>G8+'18'!H8</f>
        <v>374197</v>
      </c>
      <c r="I8" s="553">
        <f>'1'!I8</f>
        <v>12000</v>
      </c>
      <c r="J8" s="629">
        <f>H8/DAY(B2)</f>
        <v>19694.57894736842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'18'!F9</f>
        <v>2454670.5</v>
      </c>
      <c r="F9" s="554">
        <v>2457639</v>
      </c>
      <c r="G9" s="549">
        <f t="shared" ref="G9:G12" si="0">F9-E9</f>
        <v>2968.5</v>
      </c>
      <c r="H9" s="536">
        <f>G9+'18'!H9</f>
        <v>52424</v>
      </c>
      <c r="I9" s="555">
        <f>I8-J8</f>
        <v>-7694.5789473684199</v>
      </c>
      <c r="J9" s="629">
        <f>H9/DAY(B2)</f>
        <v>2759.1578947368421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'18'!F10</f>
        <v>1039662.5</v>
      </c>
      <c r="F10" s="554">
        <v>1055935</v>
      </c>
      <c r="G10" s="549">
        <f t="shared" si="0"/>
        <v>16272.5</v>
      </c>
      <c r="H10" s="536">
        <f>G10+'18'!H10</f>
        <v>305413.08999999997</v>
      </c>
      <c r="I10" s="556"/>
      <c r="J10" s="629">
        <f>H10/DAY(B2)</f>
        <v>16074.373157894735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'18'!F11</f>
        <v>35390</v>
      </c>
      <c r="F11" s="531">
        <v>35390</v>
      </c>
      <c r="G11" s="549">
        <f t="shared" si="0"/>
        <v>0</v>
      </c>
      <c r="H11" s="536">
        <f>G11+'18'!H11</f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'18'!F12</f>
        <v>37630</v>
      </c>
      <c r="F12" s="554">
        <v>37630</v>
      </c>
      <c r="G12" s="549">
        <f t="shared" si="0"/>
        <v>0</v>
      </c>
      <c r="H12" s="536">
        <f>G12+'18'!H12</f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19241</v>
      </c>
      <c r="H13" s="536">
        <f>G13+'18'!H13</f>
        <v>338316.08999999997</v>
      </c>
      <c r="I13" s="558">
        <f>G7-G13</f>
        <v>722</v>
      </c>
      <c r="J13" s="629">
        <f>H13/DAY(B2)</f>
        <v>17806.109999999997</v>
      </c>
      <c r="K13" s="467"/>
      <c r="L13" s="408"/>
      <c r="N13" s="413"/>
      <c r="O13" s="413"/>
    </row>
    <row r="14" spans="1:15">
      <c r="A14" s="1405" t="s">
        <v>150</v>
      </c>
      <c r="B14" s="1406"/>
      <c r="C14" s="1407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52" t="s">
        <v>151</v>
      </c>
      <c r="B15" s="666"/>
      <c r="C15" s="666"/>
      <c r="D15" s="599" t="s">
        <v>152</v>
      </c>
      <c r="E15" s="560">
        <f>'18'!F15</f>
        <v>1583671.78</v>
      </c>
      <c r="F15" s="560">
        <v>1584585.93</v>
      </c>
      <c r="G15" s="883">
        <f>(F15-E15)</f>
        <v>914.14999999990687</v>
      </c>
      <c r="H15" s="536">
        <f>G15+'18'!H15</f>
        <v>15671.829999999842</v>
      </c>
      <c r="I15" s="550">
        <v>800</v>
      </c>
      <c r="J15" s="629">
        <f>H15/DAY(B2)</f>
        <v>824.83315789472852</v>
      </c>
      <c r="K15" s="467"/>
      <c r="L15" s="408"/>
      <c r="N15" s="413"/>
      <c r="O15" s="821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-24.833157894728515</v>
      </c>
      <c r="J16" s="630"/>
      <c r="K16" s="467"/>
      <c r="L16" s="408"/>
      <c r="N16" s="413"/>
      <c r="O16" s="413"/>
    </row>
    <row r="17" spans="1:15">
      <c r="A17" s="1405" t="s">
        <v>153</v>
      </c>
      <c r="B17" s="1406"/>
      <c r="C17" s="1407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388" t="s">
        <v>154</v>
      </c>
      <c r="B18" s="1389"/>
      <c r="C18" s="1390"/>
      <c r="D18" s="599" t="s">
        <v>155</v>
      </c>
      <c r="E18" s="560">
        <f>'18'!F18</f>
        <v>14</v>
      </c>
      <c r="F18" s="560">
        <v>12</v>
      </c>
      <c r="G18" s="557">
        <f>F18*10</f>
        <v>120</v>
      </c>
      <c r="H18" s="536">
        <f>G18+'18'!H18</f>
        <v>2190</v>
      </c>
      <c r="I18" s="550">
        <f>'1'!I18</f>
        <v>65</v>
      </c>
      <c r="J18" s="629">
        <f>H18/DAY(B2)</f>
        <v>115.26315789473684</v>
      </c>
      <c r="K18" s="467"/>
      <c r="L18" s="408"/>
      <c r="N18" s="413"/>
      <c r="O18" s="413"/>
    </row>
    <row r="19" spans="1:15" ht="27.75">
      <c r="A19" s="1388" t="s">
        <v>71</v>
      </c>
      <c r="B19" s="1389"/>
      <c r="C19" s="1390"/>
      <c r="D19" s="599" t="s">
        <v>155</v>
      </c>
      <c r="E19" s="560">
        <f>'18'!F19</f>
        <v>132382</v>
      </c>
      <c r="F19" s="560">
        <v>132434</v>
      </c>
      <c r="G19" s="549">
        <f t="shared" ref="G19" si="1">F19-E19</f>
        <v>52</v>
      </c>
      <c r="H19" s="536">
        <f>G19+'18'!H19</f>
        <v>941</v>
      </c>
      <c r="I19" s="565"/>
      <c r="J19" s="629">
        <f>H19/DAY(B2)</f>
        <v>49.526315789473685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172</v>
      </c>
      <c r="H20" s="536">
        <f>G20+'18'!H20</f>
        <v>3131</v>
      </c>
      <c r="I20" s="568">
        <f>I18-J20</f>
        <v>-99.78947368421052</v>
      </c>
      <c r="J20" s="629">
        <f>H20/DAY(B2)</f>
        <v>164.78947368421052</v>
      </c>
      <c r="K20" s="467"/>
      <c r="L20" s="408"/>
      <c r="N20" s="413"/>
      <c r="O20" s="413"/>
    </row>
    <row r="21" spans="1:15">
      <c r="A21" s="1405" t="s">
        <v>157</v>
      </c>
      <c r="B21" s="1406"/>
      <c r="C21" s="1407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52" t="s">
        <v>158</v>
      </c>
      <c r="B22" s="666"/>
      <c r="C22" s="666"/>
      <c r="D22" s="599" t="s">
        <v>159</v>
      </c>
      <c r="E22" s="560">
        <f>'7'!F22</f>
        <v>2250</v>
      </c>
      <c r="F22" s="560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52" t="s">
        <v>160</v>
      </c>
      <c r="B23" s="666"/>
      <c r="C23" s="666"/>
      <c r="D23" s="599" t="s">
        <v>159</v>
      </c>
      <c r="E23" s="560">
        <f>'7'!F23</f>
        <v>2000</v>
      </c>
      <c r="F23" s="560">
        <v>2000</v>
      </c>
      <c r="G23" s="557">
        <v>0</v>
      </c>
      <c r="H23" s="536">
        <f>G23+'18'!H23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f>'7'!F24</f>
        <v>4250</v>
      </c>
      <c r="F24" s="569">
        <v>4250</v>
      </c>
      <c r="G24" s="557">
        <v>0</v>
      </c>
      <c r="H24" s="536">
        <f>G24+'18'!H24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20035</v>
      </c>
      <c r="F27" s="577">
        <v>9</v>
      </c>
      <c r="G27" s="578">
        <f>E27*F27</f>
        <v>180315</v>
      </c>
      <c r="H27" s="536">
        <f>G27+'18'!H27</f>
        <v>3385848</v>
      </c>
      <c r="I27" s="579"/>
      <c r="J27" s="629">
        <f>H27/DAY(B2)</f>
        <v>178202.52631578947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914.14999999990687</v>
      </c>
      <c r="F28" s="577">
        <v>41</v>
      </c>
      <c r="G28" s="578">
        <f>E28*F28</f>
        <v>37480.149999996182</v>
      </c>
      <c r="H28" s="536">
        <f>G28+'18'!H28</f>
        <v>641303.66999999352</v>
      </c>
      <c r="I28" s="581"/>
      <c r="J28" s="629">
        <f>H28/DAY(B2)</f>
        <v>33752.824736841765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G29+'18'!H29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52</v>
      </c>
      <c r="F30" s="577">
        <v>134</v>
      </c>
      <c r="G30" s="578">
        <f>E30*F30</f>
        <v>6968</v>
      </c>
      <c r="H30" s="536">
        <f>G30+'18'!H30</f>
        <v>126094</v>
      </c>
      <c r="I30" s="581"/>
      <c r="J30" s="629">
        <f>H30/DAY(B2)</f>
        <v>6636.5263157894733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120</v>
      </c>
      <c r="F31" s="577">
        <v>80</v>
      </c>
      <c r="G31" s="578">
        <f>E31*F31</f>
        <v>9600</v>
      </c>
      <c r="H31" s="536">
        <f>G31+'18'!H31</f>
        <v>175200</v>
      </c>
      <c r="I31" s="581"/>
      <c r="J31" s="629"/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234363.14999999618</v>
      </c>
      <c r="H32" s="536">
        <f>G32+'18'!H32</f>
        <v>4328445.6699999934</v>
      </c>
      <c r="I32" s="585"/>
      <c r="J32" s="629">
        <f>H32/DAY(B2)</f>
        <v>227812.92999999964</v>
      </c>
      <c r="K32" s="404"/>
      <c r="L32" s="484"/>
      <c r="N32" s="493"/>
      <c r="O32" s="413"/>
    </row>
    <row r="33" spans="1:15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413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'18'!F35</f>
        <v>629027.67000000004</v>
      </c>
      <c r="F35" s="586">
        <v>629027.67000000004</v>
      </c>
      <c r="G35" s="549">
        <f t="shared" ref="G35:G46" si="3">F35-E35</f>
        <v>0</v>
      </c>
      <c r="H35" s="536">
        <f>G35+'18'!H35</f>
        <v>0.67000000004190952</v>
      </c>
      <c r="I35" s="531"/>
      <c r="J35" s="629">
        <f>H35/DAY(B2)</f>
        <v>3.5263157896942607E-2</v>
      </c>
      <c r="K35" s="467"/>
      <c r="L35" s="408"/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'18'!F36</f>
        <v>267509.40999999997</v>
      </c>
      <c r="F36" s="586">
        <v>268198.84999999998</v>
      </c>
      <c r="G36" s="549">
        <f t="shared" si="3"/>
        <v>689.44000000000233</v>
      </c>
      <c r="H36" s="536">
        <f>G36+'18'!H36</f>
        <v>13107.77999999997</v>
      </c>
      <c r="I36" s="531"/>
      <c r="J36" s="629">
        <f>H36/DAY(B2)</f>
        <v>689.88315789473529</v>
      </c>
      <c r="K36" s="467"/>
      <c r="L36" s="408"/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'18'!F37</f>
        <v>415066</v>
      </c>
      <c r="F37" s="586">
        <v>415066</v>
      </c>
      <c r="G37" s="549">
        <f t="shared" si="3"/>
        <v>0</v>
      </c>
      <c r="H37" s="536">
        <f>G37+'18'!H37</f>
        <v>0</v>
      </c>
      <c r="I37" s="531"/>
      <c r="J37" s="629">
        <f>H37/DAY(B2)</f>
        <v>0</v>
      </c>
      <c r="K37" s="467"/>
      <c r="L37" s="408"/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'18'!F38</f>
        <v>150714</v>
      </c>
      <c r="F38" s="545">
        <v>150714</v>
      </c>
      <c r="G38" s="549">
        <f t="shared" si="3"/>
        <v>0</v>
      </c>
      <c r="H38" s="536">
        <f>G38+'18'!H38</f>
        <v>0</v>
      </c>
      <c r="I38" s="531"/>
      <c r="J38" s="629">
        <f>H38/DAY(B2)</f>
        <v>0</v>
      </c>
      <c r="K38" s="467"/>
      <c r="L38" s="408"/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'18'!F39</f>
        <v>912480</v>
      </c>
      <c r="F39" s="586">
        <v>912480</v>
      </c>
      <c r="G39" s="549">
        <f t="shared" si="3"/>
        <v>0</v>
      </c>
      <c r="H39" s="536">
        <f>G39+'18'!H39</f>
        <v>0</v>
      </c>
      <c r="I39" s="531"/>
      <c r="J39" s="629">
        <f>H39/DAY(B2)</f>
        <v>0</v>
      </c>
      <c r="K39" s="467"/>
      <c r="L39" s="408"/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'18'!F40</f>
        <v>0</v>
      </c>
      <c r="F40" s="586">
        <v>0</v>
      </c>
      <c r="G40" s="549">
        <f t="shared" si="3"/>
        <v>0</v>
      </c>
      <c r="H40" s="536">
        <f>G40+'18'!H40</f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'18'!F41</f>
        <v>300127.95</v>
      </c>
      <c r="F41" s="586">
        <v>300127.95</v>
      </c>
      <c r="G41" s="549">
        <f t="shared" si="3"/>
        <v>0</v>
      </c>
      <c r="H41" s="536">
        <f>G41+'18'!H41</f>
        <v>0</v>
      </c>
      <c r="I41" s="531"/>
      <c r="J41" s="629">
        <f>H41/DAY(B2)</f>
        <v>0</v>
      </c>
      <c r="K41" s="467"/>
      <c r="L41" s="408"/>
      <c r="N41" s="413"/>
      <c r="O41" s="821"/>
    </row>
    <row r="42" spans="1:15">
      <c r="A42" s="655" t="s">
        <v>182</v>
      </c>
      <c r="B42" s="656"/>
      <c r="C42" s="656"/>
      <c r="D42" s="599" t="s">
        <v>143</v>
      </c>
      <c r="E42" s="586">
        <f>'18'!F42</f>
        <v>58926.09</v>
      </c>
      <c r="F42" s="586">
        <v>58926.09</v>
      </c>
      <c r="G42" s="549">
        <f>F42-E42</f>
        <v>0</v>
      </c>
      <c r="H42" s="536">
        <f>G42+'18'!H42</f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'18'!F43</f>
        <v>737344.31</v>
      </c>
      <c r="F43" s="586">
        <v>739749.03</v>
      </c>
      <c r="G43" s="549">
        <f t="shared" si="3"/>
        <v>2404.7199999999721</v>
      </c>
      <c r="H43" s="536">
        <f>G43+'18'!H43</f>
        <v>41495.599999999977</v>
      </c>
      <c r="I43" s="531"/>
      <c r="J43" s="629">
        <f>H43/DAY(B2)</f>
        <v>2183.97894736842</v>
      </c>
      <c r="K43" s="467"/>
      <c r="L43" s="408"/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'18'!F44</f>
        <v>0</v>
      </c>
      <c r="F44" s="586">
        <v>0</v>
      </c>
      <c r="G44" s="549">
        <f t="shared" si="3"/>
        <v>0</v>
      </c>
      <c r="H44" s="536">
        <f>G44+'18'!H44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'18'!F45</f>
        <v>614</v>
      </c>
      <c r="F45" s="586">
        <v>614</v>
      </c>
      <c r="G45" s="549">
        <f t="shared" si="3"/>
        <v>0</v>
      </c>
      <c r="H45" s="536">
        <f>G45+'18'!H45</f>
        <v>-0.48000000000001819</v>
      </c>
      <c r="I45" s="531"/>
      <c r="J45" s="629">
        <f>H45/DAY(B2)</f>
        <v>-2.5263157894737799E-2</v>
      </c>
      <c r="K45" s="467"/>
      <c r="L45" s="408"/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'18'!F46</f>
        <v>187.44</v>
      </c>
      <c r="F46" s="586">
        <v>187.44</v>
      </c>
      <c r="G46" s="549">
        <f t="shared" si="3"/>
        <v>0</v>
      </c>
      <c r="H46" s="536">
        <f>G46+'18'!H46</f>
        <v>-5.0000000000011369E-2</v>
      </c>
      <c r="I46" s="531"/>
      <c r="J46" s="629">
        <f>H46/DAY(B2)</f>
        <v>-2.6315789473690195E-3</v>
      </c>
      <c r="K46" s="467"/>
      <c r="L46" s="408"/>
      <c r="N46" s="413"/>
      <c r="O46" s="413"/>
    </row>
    <row r="47" spans="1:15">
      <c r="A47" s="662" t="s">
        <v>187</v>
      </c>
      <c r="B47" s="663"/>
      <c r="C47" s="663"/>
      <c r="D47" s="546"/>
      <c r="E47" s="587">
        <f>'18'!F47</f>
        <v>0</v>
      </c>
      <c r="F47" s="587">
        <v>0</v>
      </c>
      <c r="G47" s="557">
        <f>G35+G36+G37+G38+G39+G40+G41+G42+G43+G44+G45+G46</f>
        <v>3094.1599999999744</v>
      </c>
      <c r="H47" s="536">
        <f>G47+'18'!H47</f>
        <v>54603.519999999982</v>
      </c>
      <c r="I47" s="531"/>
      <c r="J47" s="629">
        <f>H47/DAY(B2)</f>
        <v>2873.8694736842094</v>
      </c>
      <c r="K47" s="467"/>
      <c r="L47" s="408"/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'18'!F49</f>
        <v>205070.19</v>
      </c>
      <c r="F49" s="586">
        <v>208472.27</v>
      </c>
      <c r="G49" s="549">
        <f t="shared" ref="G49:G58" si="4">F49-E49</f>
        <v>3402.0799999999872</v>
      </c>
      <c r="H49" s="536">
        <f>G49+'18'!H49</f>
        <v>56067.26999999999</v>
      </c>
      <c r="I49" s="531"/>
      <c r="J49" s="629">
        <f>H49/DAY(B2)</f>
        <v>2950.9089473684203</v>
      </c>
      <c r="K49" s="467"/>
      <c r="L49" s="408"/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'18'!F50</f>
        <v>354321.71</v>
      </c>
      <c r="F50" s="586">
        <v>355373.61</v>
      </c>
      <c r="G50" s="549">
        <f t="shared" si="4"/>
        <v>1051.8999999999651</v>
      </c>
      <c r="H50" s="536">
        <f>G50+'18'!H50</f>
        <v>19156.179999999993</v>
      </c>
      <c r="I50" s="531"/>
      <c r="J50" s="629">
        <f>H50/DAY(B2)</f>
        <v>1008.2199999999997</v>
      </c>
      <c r="K50" s="467"/>
      <c r="L50" s="408"/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'18'!F51</f>
        <v>90797.89</v>
      </c>
      <c r="F51" s="586">
        <v>92267.69</v>
      </c>
      <c r="G51" s="549">
        <f t="shared" si="4"/>
        <v>1469.8000000000029</v>
      </c>
      <c r="H51" s="536">
        <f>G51+'18'!H51</f>
        <v>26109.58</v>
      </c>
      <c r="I51" s="531"/>
      <c r="J51" s="629">
        <f>H51/DAY(B2)</f>
        <v>1374.1884210526316</v>
      </c>
      <c r="K51" s="467"/>
      <c r="L51" s="408"/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'18'!F52</f>
        <v>469531.91</v>
      </c>
      <c r="F52" s="586">
        <v>471413.67</v>
      </c>
      <c r="G52" s="549">
        <f t="shared" si="4"/>
        <v>1881.7600000000093</v>
      </c>
      <c r="H52" s="536">
        <f>G52+'18'!H52</f>
        <v>36138.039999999979</v>
      </c>
      <c r="I52" s="531"/>
      <c r="J52" s="629">
        <f>H52/DAY(B2)</f>
        <v>1902.0021052631569</v>
      </c>
      <c r="K52" s="467"/>
      <c r="L52" s="408"/>
      <c r="N52" s="413"/>
      <c r="O52" s="821"/>
    </row>
    <row r="53" spans="1:15">
      <c r="A53" s="655" t="s">
        <v>179</v>
      </c>
      <c r="B53" s="678"/>
      <c r="C53" s="678"/>
      <c r="D53" s="599" t="s">
        <v>143</v>
      </c>
      <c r="E53" s="586">
        <f>'18'!F53</f>
        <v>250051.67</v>
      </c>
      <c r="F53" s="586">
        <v>254228.37</v>
      </c>
      <c r="G53" s="549">
        <f t="shared" si="4"/>
        <v>4176.6999999999825</v>
      </c>
      <c r="H53" s="536">
        <f>G53+'18'!H53</f>
        <v>73163.399999999994</v>
      </c>
      <c r="I53" s="531"/>
      <c r="J53" s="629">
        <f>H53/DAY(B2)</f>
        <v>3850.7052631578945</v>
      </c>
      <c r="K53" s="467"/>
      <c r="L53" s="408"/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'18'!F54</f>
        <v>5642.74</v>
      </c>
      <c r="F54" s="586">
        <v>5699.52</v>
      </c>
      <c r="G54" s="549">
        <f t="shared" si="4"/>
        <v>56.780000000000655</v>
      </c>
      <c r="H54" s="536">
        <f>G54+'18'!H54</f>
        <v>1052.9800000000005</v>
      </c>
      <c r="I54" s="531"/>
      <c r="J54" s="629">
        <f>H54/DAY(B2)</f>
        <v>55.420000000000023</v>
      </c>
      <c r="K54" s="467"/>
      <c r="L54" s="408"/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'18'!F55</f>
        <v>32704.99</v>
      </c>
      <c r="F55" s="586">
        <v>37065.93</v>
      </c>
      <c r="G55" s="549">
        <f t="shared" si="4"/>
        <v>4360.9399999999987</v>
      </c>
      <c r="H55" s="536">
        <f>G55+'18'!H55</f>
        <v>37065.660000000011</v>
      </c>
      <c r="I55" s="531"/>
      <c r="J55" s="629">
        <f>H55/DAY(B2)</f>
        <v>1950.8242105263164</v>
      </c>
      <c r="K55" s="467"/>
      <c r="L55" s="408"/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'18'!F56</f>
        <v>557725.39</v>
      </c>
      <c r="F56" s="586">
        <v>557725.39</v>
      </c>
      <c r="G56" s="549">
        <f t="shared" si="4"/>
        <v>0</v>
      </c>
      <c r="H56" s="536">
        <f>G56+'18'!H56</f>
        <v>39824.640000000014</v>
      </c>
      <c r="I56" s="531"/>
      <c r="J56" s="629">
        <f>H56/DAY(B2)</f>
        <v>2096.0336842105271</v>
      </c>
      <c r="K56" s="466"/>
      <c r="L56" s="408"/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'18'!F57</f>
        <v>0</v>
      </c>
      <c r="F57" s="586">
        <v>0</v>
      </c>
      <c r="G57" s="549">
        <f t="shared" si="4"/>
        <v>0</v>
      </c>
      <c r="H57" s="536">
        <f>G57+'18'!H57</f>
        <v>0</v>
      </c>
      <c r="I57" s="531"/>
      <c r="J57" s="629">
        <f>H57/DAY(B2)</f>
        <v>0</v>
      </c>
      <c r="K57" s="467"/>
      <c r="L57" s="408"/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'18'!F58</f>
        <v>28180.240000000002</v>
      </c>
      <c r="F58" s="586">
        <v>28390.04</v>
      </c>
      <c r="G58" s="549">
        <f t="shared" si="4"/>
        <v>209.79999999999927</v>
      </c>
      <c r="H58" s="536">
        <f>G58+'18'!H58</f>
        <v>3234.630000000001</v>
      </c>
      <c r="I58" s="531"/>
      <c r="J58" s="629">
        <f>H58/DAY(B2)</f>
        <v>170.24368421052637</v>
      </c>
      <c r="K58" s="467"/>
      <c r="L58" s="408"/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16609.759999999947</v>
      </c>
      <c r="H59" s="536">
        <f>G59+'18'!H59</f>
        <v>291812.38</v>
      </c>
      <c r="I59" s="531">
        <f>G7-G60</f>
        <v>259.08000000007814</v>
      </c>
      <c r="J59" s="629">
        <f>H59/DAY(B2)</f>
        <v>15358.546315789474</v>
      </c>
      <c r="K59" s="467"/>
      <c r="L59" s="408"/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19703.919999999922</v>
      </c>
      <c r="H60" s="536">
        <f>G60+'18'!H60</f>
        <v>363449.9</v>
      </c>
      <c r="I60" s="531">
        <f>G13-G60</f>
        <v>-462.91999999992186</v>
      </c>
      <c r="J60" s="629">
        <f>H60/DAY(B2)</f>
        <v>19128.942105263159</v>
      </c>
      <c r="K60" s="467"/>
      <c r="L60" s="408"/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'18'!F62</f>
        <v>20419.18</v>
      </c>
      <c r="F62" s="590">
        <v>20419.2</v>
      </c>
      <c r="G62" s="549">
        <f t="shared" ref="G62:G69" si="5">F62-E62</f>
        <v>2.0000000000436557E-2</v>
      </c>
      <c r="H62" s="536">
        <f>G62+'18'!H62</f>
        <v>2.0000000000436557E-2</v>
      </c>
      <c r="I62" s="591"/>
      <c r="J62" s="629">
        <f>H62/DAY(B2)</f>
        <v>1.052631578970345E-3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'18'!F63</f>
        <v>1198.6300000000001</v>
      </c>
      <c r="F63" s="590">
        <v>1210.4100000000001</v>
      </c>
      <c r="G63" s="549">
        <f t="shared" si="5"/>
        <v>11.779999999999973</v>
      </c>
      <c r="H63" s="536">
        <f>G63+'18'!H63</f>
        <v>102.5</v>
      </c>
      <c r="I63" s="591"/>
      <c r="J63" s="629">
        <f>H63/DAY(B2)</f>
        <v>5.3947368421052628</v>
      </c>
      <c r="K63" s="467"/>
      <c r="L63" s="408"/>
      <c r="N63" s="413"/>
      <c r="O63" s="413"/>
    </row>
    <row r="64" spans="1:15" ht="27.75">
      <c r="A64" s="1367" t="s">
        <v>107</v>
      </c>
      <c r="B64" s="1368"/>
      <c r="C64" s="1369"/>
      <c r="D64" s="599" t="s">
        <v>198</v>
      </c>
      <c r="E64" s="560">
        <f>'18'!F64</f>
        <v>105709.51</v>
      </c>
      <c r="F64" s="560">
        <v>106166.04</v>
      </c>
      <c r="G64" s="549">
        <f t="shared" si="5"/>
        <v>456.52999999999884</v>
      </c>
      <c r="H64" s="536">
        <f>G64+'18'!H64</f>
        <v>7742.6399999999994</v>
      </c>
      <c r="I64" s="556"/>
      <c r="J64" s="629">
        <f>H64/DAY(B2)</f>
        <v>407.5073684210526</v>
      </c>
      <c r="K64" s="467"/>
      <c r="L64" s="408"/>
      <c r="N64" s="413"/>
      <c r="O64" s="413"/>
    </row>
    <row r="65" spans="1:15" ht="27.75">
      <c r="A65" s="1367" t="s">
        <v>108</v>
      </c>
      <c r="B65" s="1368"/>
      <c r="C65" s="1369"/>
      <c r="D65" s="599" t="s">
        <v>198</v>
      </c>
      <c r="E65" s="560">
        <f>'18'!F65</f>
        <v>116387.58</v>
      </c>
      <c r="F65" s="560">
        <v>116811.03</v>
      </c>
      <c r="G65" s="549">
        <f t="shared" si="5"/>
        <v>423.44999999999709</v>
      </c>
      <c r="H65" s="536">
        <f>G65+'18'!H65</f>
        <v>7766.9100000000035</v>
      </c>
      <c r="I65" s="565"/>
      <c r="J65" s="629">
        <f>H65/DAY(B2)</f>
        <v>408.78473684210547</v>
      </c>
      <c r="K65" s="467"/>
      <c r="L65" s="408"/>
      <c r="N65" s="413"/>
      <c r="O65" s="413"/>
    </row>
    <row r="66" spans="1:15" ht="27.75">
      <c r="A66" s="1367" t="s">
        <v>109</v>
      </c>
      <c r="B66" s="1368"/>
      <c r="C66" s="1369"/>
      <c r="D66" s="599" t="s">
        <v>198</v>
      </c>
      <c r="E66" s="560">
        <f>'18'!F66</f>
        <v>9022</v>
      </c>
      <c r="F66" s="560">
        <v>9380.09</v>
      </c>
      <c r="G66" s="549">
        <f t="shared" si="5"/>
        <v>358.09000000000015</v>
      </c>
      <c r="H66" s="536">
        <f>G66+'18'!H66</f>
        <v>6958</v>
      </c>
      <c r="I66" s="556"/>
      <c r="J66" s="629">
        <f>H66/DAY(B2)</f>
        <v>366.21052631578948</v>
      </c>
      <c r="K66" s="467"/>
      <c r="L66" s="408"/>
      <c r="N66" s="413"/>
      <c r="O66" s="413"/>
    </row>
    <row r="67" spans="1:15" ht="27.75">
      <c r="A67" s="1367" t="s">
        <v>110</v>
      </c>
      <c r="B67" s="1368"/>
      <c r="C67" s="1369"/>
      <c r="D67" s="599" t="s">
        <v>198</v>
      </c>
      <c r="E67" s="560">
        <f>'18'!F67</f>
        <v>180096.53</v>
      </c>
      <c r="F67" s="560">
        <v>180787.83</v>
      </c>
      <c r="G67" s="549">
        <f t="shared" si="5"/>
        <v>691.29999999998836</v>
      </c>
      <c r="H67" s="536">
        <f>G67+'18'!H67</f>
        <v>12546.479999999981</v>
      </c>
      <c r="I67" s="565"/>
      <c r="J67" s="629">
        <f>H67/DAY(B2)</f>
        <v>660.34105263157801</v>
      </c>
      <c r="K67" s="468"/>
      <c r="L67" s="408"/>
      <c r="N67" s="413"/>
      <c r="O67" s="413"/>
    </row>
    <row r="68" spans="1:15" ht="27.75">
      <c r="A68" s="1367" t="s">
        <v>111</v>
      </c>
      <c r="B68" s="1368"/>
      <c r="C68" s="1369"/>
      <c r="D68" s="599" t="s">
        <v>198</v>
      </c>
      <c r="E68" s="560">
        <f>'18'!F68</f>
        <v>59134.62</v>
      </c>
      <c r="F68" s="560">
        <v>59451.31</v>
      </c>
      <c r="G68" s="549">
        <f t="shared" si="5"/>
        <v>316.68999999999505</v>
      </c>
      <c r="H68" s="536">
        <f>G68+'18'!H68</f>
        <v>5827.4099999999962</v>
      </c>
      <c r="I68" s="592"/>
      <c r="J68" s="629">
        <f>H68/DAY(B2)</f>
        <v>306.70578947368404</v>
      </c>
      <c r="K68" s="469"/>
      <c r="L68" s="408"/>
      <c r="N68" s="413"/>
      <c r="O68" s="413"/>
    </row>
    <row r="69" spans="1:15" ht="27.75">
      <c r="A69" s="1367" t="s">
        <v>112</v>
      </c>
      <c r="B69" s="1368"/>
      <c r="C69" s="1369"/>
      <c r="D69" s="599" t="s">
        <v>198</v>
      </c>
      <c r="E69" s="560">
        <f>'18'!F69</f>
        <v>51777.62</v>
      </c>
      <c r="F69" s="560">
        <v>52064.98</v>
      </c>
      <c r="G69" s="549">
        <f t="shared" si="5"/>
        <v>287.36000000000058</v>
      </c>
      <c r="H69" s="536">
        <f>G69+'18'!H69</f>
        <v>5545.5500000000029</v>
      </c>
      <c r="I69" s="592"/>
      <c r="J69" s="629">
        <f>H69/DAY(B2)</f>
        <v>291.87105263157912</v>
      </c>
      <c r="K69" s="470"/>
      <c r="L69" s="408"/>
      <c r="N69" s="413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413"/>
      <c r="O71" s="413"/>
    </row>
    <row r="72" spans="1:15" ht="27.75">
      <c r="A72" s="1367" t="s">
        <v>202</v>
      </c>
      <c r="B72" s="1368"/>
      <c r="C72" s="1369"/>
      <c r="D72" s="599" t="s">
        <v>198</v>
      </c>
      <c r="E72" s="595">
        <f>'18'!F72</f>
        <v>847616</v>
      </c>
      <c r="F72" s="595">
        <v>847679</v>
      </c>
      <c r="G72" s="549">
        <f t="shared" ref="G72:G84" si="6">F72-E72</f>
        <v>63</v>
      </c>
      <c r="H72" s="536">
        <f>G72+'18'!H72</f>
        <v>1213</v>
      </c>
      <c r="I72" s="556"/>
      <c r="J72" s="629">
        <f>H72/DAY(B2)</f>
        <v>63.842105263157897</v>
      </c>
      <c r="K72" s="470"/>
      <c r="L72" s="408"/>
      <c r="N72" s="413"/>
      <c r="O72" s="413"/>
    </row>
    <row r="73" spans="1:15" ht="27.75">
      <c r="A73" s="1367" t="s">
        <v>203</v>
      </c>
      <c r="B73" s="1368"/>
      <c r="C73" s="1369"/>
      <c r="D73" s="599" t="s">
        <v>198</v>
      </c>
      <c r="E73" s="596">
        <f>'18'!F73</f>
        <v>885708</v>
      </c>
      <c r="F73" s="596">
        <v>885708</v>
      </c>
      <c r="G73" s="549">
        <f t="shared" si="6"/>
        <v>0</v>
      </c>
      <c r="H73" s="536">
        <f>G73+'18'!H73</f>
        <v>927</v>
      </c>
      <c r="I73" s="556"/>
      <c r="J73" s="629">
        <f>H73/DAY(B2)</f>
        <v>48.789473684210527</v>
      </c>
      <c r="K73" s="469"/>
      <c r="L73" s="408"/>
      <c r="N73" s="413"/>
      <c r="O73" s="413"/>
    </row>
    <row r="74" spans="1:15" ht="27.75">
      <c r="A74" s="1373" t="s">
        <v>204</v>
      </c>
      <c r="B74" s="1374"/>
      <c r="C74" s="1375"/>
      <c r="D74" s="599" t="s">
        <v>198</v>
      </c>
      <c r="E74" s="597">
        <f>'18'!F74</f>
        <v>881951</v>
      </c>
      <c r="F74" s="597">
        <v>881981</v>
      </c>
      <c r="G74" s="549">
        <f t="shared" si="6"/>
        <v>30</v>
      </c>
      <c r="H74" s="536">
        <f>G74+'18'!H74</f>
        <v>666</v>
      </c>
      <c r="I74" s="556"/>
      <c r="J74" s="629">
        <f>H74/DAY(B2)</f>
        <v>35.05263157894737</v>
      </c>
      <c r="K74" s="470"/>
      <c r="L74" s="408"/>
      <c r="N74" s="413"/>
      <c r="O74" s="413"/>
    </row>
    <row r="75" spans="1:15" ht="27.75">
      <c r="A75" s="1364" t="s">
        <v>205</v>
      </c>
      <c r="B75" s="1365"/>
      <c r="C75" s="1366"/>
      <c r="D75" s="599" t="s">
        <v>198</v>
      </c>
      <c r="E75" s="597">
        <f>'18'!F75</f>
        <v>735011</v>
      </c>
      <c r="F75" s="597">
        <v>735205</v>
      </c>
      <c r="G75" s="549">
        <f t="shared" si="6"/>
        <v>194</v>
      </c>
      <c r="H75" s="536">
        <f>G75+'18'!H75</f>
        <v>3564</v>
      </c>
      <c r="I75" s="556"/>
      <c r="J75" s="629">
        <f>H75/DAY(B2)</f>
        <v>187.57894736842104</v>
      </c>
      <c r="K75" s="469"/>
      <c r="L75" s="408"/>
      <c r="N75" s="413"/>
      <c r="O75" s="413"/>
    </row>
    <row r="76" spans="1:15" ht="27.75">
      <c r="A76" s="1364" t="s">
        <v>206</v>
      </c>
      <c r="B76" s="1365"/>
      <c r="C76" s="1366"/>
      <c r="D76" s="599" t="s">
        <v>198</v>
      </c>
      <c r="E76" s="596">
        <f>'18'!F76</f>
        <v>685948</v>
      </c>
      <c r="F76" s="596">
        <v>686036</v>
      </c>
      <c r="G76" s="549">
        <f t="shared" si="6"/>
        <v>88</v>
      </c>
      <c r="H76" s="536">
        <f>G76+'18'!H76</f>
        <v>2937</v>
      </c>
      <c r="I76" s="581"/>
      <c r="J76" s="629">
        <f>H76/DAY(B2)</f>
        <v>154.57894736842104</v>
      </c>
      <c r="K76" s="469"/>
      <c r="L76" s="408"/>
      <c r="N76" s="413"/>
      <c r="O76" s="413"/>
    </row>
    <row r="77" spans="1:15" ht="27.75">
      <c r="A77" s="1367" t="s">
        <v>207</v>
      </c>
      <c r="B77" s="1368"/>
      <c r="C77" s="1369"/>
      <c r="D77" s="599" t="s">
        <v>198</v>
      </c>
      <c r="E77" s="597">
        <f>'18'!F77</f>
        <v>696407</v>
      </c>
      <c r="F77" s="597">
        <v>696461</v>
      </c>
      <c r="G77" s="549">
        <f t="shared" si="6"/>
        <v>54</v>
      </c>
      <c r="H77" s="536">
        <f>G77+'18'!H77</f>
        <v>1067</v>
      </c>
      <c r="I77" s="581"/>
      <c r="J77" s="629">
        <f>H77/DAY(B2)</f>
        <v>56.157894736842103</v>
      </c>
      <c r="K77" s="469"/>
      <c r="L77" s="408"/>
      <c r="N77" s="413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'18'!F78</f>
        <v>637222</v>
      </c>
      <c r="F78" s="597">
        <v>637600</v>
      </c>
      <c r="G78" s="549">
        <f t="shared" si="6"/>
        <v>378</v>
      </c>
      <c r="H78" s="536">
        <f>G78+'18'!H78</f>
        <v>6827</v>
      </c>
      <c r="I78" s="581"/>
      <c r="J78" s="629">
        <f>H78/DAY(B2)</f>
        <v>359.31578947368422</v>
      </c>
      <c r="K78" s="469"/>
      <c r="L78" s="408"/>
      <c r="N78" s="413"/>
      <c r="O78" s="413"/>
    </row>
    <row r="79" spans="1:15" ht="27.75">
      <c r="A79" s="1364" t="s">
        <v>97</v>
      </c>
      <c r="B79" s="1365"/>
      <c r="C79" s="1366"/>
      <c r="D79" s="600" t="s">
        <v>198</v>
      </c>
      <c r="E79" s="597">
        <f>'18'!F79</f>
        <v>807237</v>
      </c>
      <c r="F79" s="597">
        <v>807429</v>
      </c>
      <c r="G79" s="549">
        <f t="shared" si="6"/>
        <v>192</v>
      </c>
      <c r="H79" s="536">
        <f>G79+'18'!H79</f>
        <v>5658</v>
      </c>
      <c r="I79" s="581"/>
      <c r="J79" s="629">
        <f>H79/DAY(B2)</f>
        <v>297.78947368421052</v>
      </c>
      <c r="K79" s="469"/>
      <c r="L79" s="408"/>
      <c r="N79" s="413"/>
      <c r="O79" s="413"/>
    </row>
    <row r="80" spans="1:15" ht="27.75">
      <c r="A80" s="1364" t="s">
        <v>209</v>
      </c>
      <c r="B80" s="1365"/>
      <c r="C80" s="1366"/>
      <c r="D80" s="600" t="s">
        <v>198</v>
      </c>
      <c r="E80" s="596">
        <f>'18'!F80</f>
        <v>481138.36</v>
      </c>
      <c r="F80" s="596">
        <v>481427.88</v>
      </c>
      <c r="G80" s="549">
        <f t="shared" si="6"/>
        <v>289.52000000001863</v>
      </c>
      <c r="H80" s="536">
        <f>G80+'18'!H80</f>
        <v>4216.039999999979</v>
      </c>
      <c r="I80" s="581"/>
      <c r="J80" s="629">
        <f>H80/DAY(B2)</f>
        <v>221.89684210526207</v>
      </c>
      <c r="K80" s="469"/>
      <c r="L80" s="408"/>
      <c r="N80" s="413"/>
      <c r="O80" s="413"/>
    </row>
    <row r="81" spans="1:15" ht="27.75">
      <c r="A81" s="1364" t="s">
        <v>210</v>
      </c>
      <c r="B81" s="1365"/>
      <c r="C81" s="1366"/>
      <c r="D81" s="600" t="s">
        <v>198</v>
      </c>
      <c r="E81" s="596">
        <f>'18'!F81</f>
        <v>621399.24</v>
      </c>
      <c r="F81" s="596">
        <v>621510.04</v>
      </c>
      <c r="G81" s="549">
        <f t="shared" si="6"/>
        <v>110.80000000004657</v>
      </c>
      <c r="H81" s="536">
        <f>G81+'18'!H81</f>
        <v>2256.0400000000373</v>
      </c>
      <c r="I81" s="581"/>
      <c r="J81" s="629">
        <f>H81/DAY(B2)</f>
        <v>118.73894736842301</v>
      </c>
      <c r="K81" s="469"/>
      <c r="L81" s="408"/>
      <c r="N81" s="413"/>
      <c r="O81" s="413"/>
    </row>
    <row r="82" spans="1:15" ht="27.75">
      <c r="A82" s="1364" t="s">
        <v>100</v>
      </c>
      <c r="B82" s="1365"/>
      <c r="C82" s="1366"/>
      <c r="D82" s="561" t="s">
        <v>143</v>
      </c>
      <c r="E82" s="598">
        <f>'18'!F82</f>
        <v>104899.83</v>
      </c>
      <c r="F82" s="598">
        <v>104927.51</v>
      </c>
      <c r="G82" s="549">
        <f t="shared" si="6"/>
        <v>27.679999999993015</v>
      </c>
      <c r="H82" s="536">
        <f>G82+'18'!H82</f>
        <v>489.50999999999476</v>
      </c>
      <c r="I82" s="562"/>
      <c r="J82" s="629">
        <f>H82/DAY(B2)</f>
        <v>25.763684210526041</v>
      </c>
      <c r="K82" s="469"/>
      <c r="L82" s="408"/>
      <c r="N82" s="413"/>
      <c r="O82" s="413"/>
    </row>
    <row r="83" spans="1:15" ht="27.75">
      <c r="A83" s="1364" t="s">
        <v>211</v>
      </c>
      <c r="B83" s="1365"/>
      <c r="C83" s="1366"/>
      <c r="D83" s="697" t="s">
        <v>143</v>
      </c>
      <c r="E83" s="587">
        <f>'18'!F83</f>
        <v>979972</v>
      </c>
      <c r="F83" s="587">
        <v>980356</v>
      </c>
      <c r="G83" s="549">
        <f t="shared" si="6"/>
        <v>384</v>
      </c>
      <c r="H83" s="536">
        <f>G83+'18'!H83</f>
        <v>6885</v>
      </c>
      <c r="I83" s="557"/>
      <c r="J83" s="629">
        <f>H83/DAY(B2)</f>
        <v>362.36842105263156</v>
      </c>
      <c r="K83" s="468"/>
      <c r="L83" s="408"/>
      <c r="N83" s="413"/>
      <c r="O83" s="821"/>
    </row>
    <row r="84" spans="1:15">
      <c r="A84" s="1256" t="s">
        <v>212</v>
      </c>
      <c r="B84" s="648"/>
      <c r="C84" s="648"/>
      <c r="D84" s="554" t="s">
        <v>143</v>
      </c>
      <c r="E84" s="704">
        <f>'18'!F84</f>
        <v>408738</v>
      </c>
      <c r="F84" s="704">
        <v>409558</v>
      </c>
      <c r="G84" s="549">
        <f t="shared" si="6"/>
        <v>820</v>
      </c>
      <c r="H84" s="536">
        <f>G84+'18'!H84</f>
        <v>12362</v>
      </c>
      <c r="I84" s="557"/>
      <c r="J84" s="629">
        <f>H84/DAY(B2)</f>
        <v>650.63157894736844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2631.0000000000582</v>
      </c>
      <c r="H85" s="536">
        <f>G85+'18'!H85</f>
        <v>44837.430000000037</v>
      </c>
      <c r="I85" s="557"/>
      <c r="J85" s="629">
        <f>H85/DAY(B2)</f>
        <v>2359.864736842107</v>
      </c>
      <c r="K85" s="411"/>
      <c r="L85" s="409"/>
      <c r="N85" s="880"/>
      <c r="O85" s="821"/>
    </row>
    <row r="86" spans="1:15" s="835" customFormat="1">
      <c r="A86" s="830" t="s">
        <v>102</v>
      </c>
      <c r="B86" s="831"/>
      <c r="C86" s="831"/>
      <c r="D86" s="832" t="s">
        <v>194</v>
      </c>
      <c r="E86" s="728">
        <f>'18'!F86</f>
        <v>445869.32</v>
      </c>
      <c r="F86" s="728">
        <v>445964.2</v>
      </c>
      <c r="G86" s="805">
        <f t="shared" ref="G86:G90" si="7">F86-E86</f>
        <v>94.880000000004657</v>
      </c>
      <c r="H86" s="805">
        <f t="shared" ref="H86:H88" si="8">G86</f>
        <v>94.880000000004657</v>
      </c>
      <c r="I86" s="733"/>
      <c r="J86" s="807">
        <f>H86/DAY(B2)</f>
        <v>4.9936842105265606</v>
      </c>
      <c r="K86" s="833">
        <v>424609</v>
      </c>
      <c r="L86" s="834">
        <f>K86-F86</f>
        <v>-21355.200000000012</v>
      </c>
      <c r="N86" s="881"/>
      <c r="O86" s="413"/>
    </row>
    <row r="87" spans="1:15" s="835" customFormat="1">
      <c r="A87" s="830" t="s">
        <v>103</v>
      </c>
      <c r="B87" s="831"/>
      <c r="C87" s="831"/>
      <c r="D87" s="832" t="s">
        <v>194</v>
      </c>
      <c r="E87" s="728">
        <f>'18'!F87</f>
        <v>78146.8</v>
      </c>
      <c r="F87" s="728">
        <v>78177.3</v>
      </c>
      <c r="G87" s="805">
        <f t="shared" si="7"/>
        <v>30.5</v>
      </c>
      <c r="H87" s="805">
        <f t="shared" si="8"/>
        <v>30.5</v>
      </c>
      <c r="I87" s="733"/>
      <c r="J87" s="807">
        <f>H87/DAY(B2)</f>
        <v>1.6052631578947369</v>
      </c>
      <c r="K87" s="833"/>
      <c r="L87" s="834"/>
      <c r="N87" s="881"/>
      <c r="O87" s="413"/>
    </row>
    <row r="88" spans="1:15" s="835" customFormat="1">
      <c r="A88" s="830" t="s">
        <v>104</v>
      </c>
      <c r="B88" s="831"/>
      <c r="C88" s="831"/>
      <c r="D88" s="832" t="s">
        <v>194</v>
      </c>
      <c r="E88" s="728">
        <f>'18'!F88</f>
        <v>145722</v>
      </c>
      <c r="F88" s="728">
        <v>145752.82999999999</v>
      </c>
      <c r="G88" s="805">
        <f t="shared" si="7"/>
        <v>30.829999999987194</v>
      </c>
      <c r="H88" s="805">
        <f t="shared" si="8"/>
        <v>30.829999999987194</v>
      </c>
      <c r="I88" s="733"/>
      <c r="J88" s="807">
        <f>H88/DAY(B2)</f>
        <v>1.6226315789466945</v>
      </c>
      <c r="K88" s="833"/>
      <c r="L88" s="834"/>
      <c r="N88" s="881"/>
      <c r="O88" s="413"/>
    </row>
    <row r="89" spans="1:15" s="835" customFormat="1">
      <c r="A89" s="830" t="s">
        <v>215</v>
      </c>
      <c r="B89" s="831"/>
      <c r="C89" s="831"/>
      <c r="D89" s="832" t="s">
        <v>194</v>
      </c>
      <c r="E89" s="728">
        <f>'18'!F89</f>
        <v>58883.9</v>
      </c>
      <c r="F89" s="728">
        <v>58972.1</v>
      </c>
      <c r="G89" s="805">
        <f t="shared" si="7"/>
        <v>88.19999999999709</v>
      </c>
      <c r="H89" s="805">
        <f>G89</f>
        <v>88.19999999999709</v>
      </c>
      <c r="I89" s="733"/>
      <c r="J89" s="807">
        <f>H89/DAY(B2)</f>
        <v>4.6421052631577417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28">
        <f>'18'!F90</f>
        <v>3025.7</v>
      </c>
      <c r="F90" s="728">
        <v>3030.2</v>
      </c>
      <c r="G90" s="805">
        <f t="shared" si="7"/>
        <v>4.5</v>
      </c>
      <c r="H90" s="805">
        <f>G90</f>
        <v>4.5</v>
      </c>
      <c r="I90" s="733"/>
      <c r="J90" s="807">
        <f>H90/DAY(B2)</f>
        <v>0.23684210526315788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80"/>
      <c r="O91" s="413"/>
    </row>
    <row r="92" spans="1:15" ht="27.75">
      <c r="A92" s="1388" t="s">
        <v>217</v>
      </c>
      <c r="B92" s="1389"/>
      <c r="C92" s="1390"/>
      <c r="D92" s="599" t="s">
        <v>155</v>
      </c>
      <c r="E92" s="560">
        <f>'18'!F92</f>
        <v>235420</v>
      </c>
      <c r="F92" s="560">
        <v>235501</v>
      </c>
      <c r="G92" s="549">
        <f t="shared" ref="G92:G93" si="9">F92-E92</f>
        <v>81</v>
      </c>
      <c r="H92" s="536">
        <f>G92+'18'!H92</f>
        <v>1599</v>
      </c>
      <c r="I92" s="556"/>
      <c r="J92" s="629">
        <f>H92/DAY(B2)</f>
        <v>84.15789473684211</v>
      </c>
      <c r="K92" s="468"/>
      <c r="L92" s="408"/>
      <c r="N92" s="413"/>
      <c r="O92" s="413"/>
    </row>
    <row r="93" spans="1:15" ht="27.75">
      <c r="A93" s="1388" t="s">
        <v>218</v>
      </c>
      <c r="B93" s="1389"/>
      <c r="C93" s="1390"/>
      <c r="D93" s="599" t="s">
        <v>155</v>
      </c>
      <c r="E93" s="560">
        <f>'18'!F93</f>
        <v>169434</v>
      </c>
      <c r="F93" s="560">
        <v>169597</v>
      </c>
      <c r="G93" s="549">
        <f t="shared" si="9"/>
        <v>163</v>
      </c>
      <c r="H93" s="536">
        <f>G93+'18'!H93</f>
        <v>2681</v>
      </c>
      <c r="I93" s="556"/>
      <c r="J93" s="629">
        <f>H93/DAY(B2)</f>
        <v>141.10526315789474</v>
      </c>
      <c r="K93" s="411"/>
      <c r="L93" s="408"/>
      <c r="N93" s="413"/>
      <c r="O93" s="413"/>
    </row>
    <row r="94" spans="1:15">
      <c r="A94" s="1419" t="s">
        <v>219</v>
      </c>
      <c r="B94" s="1420"/>
      <c r="C94" s="1421"/>
      <c r="D94" s="599"/>
      <c r="E94" s="560">
        <f>'18'!F94</f>
        <v>0</v>
      </c>
      <c r="F94" s="560"/>
      <c r="G94" s="549">
        <f>G92+G93</f>
        <v>244</v>
      </c>
      <c r="H94" s="536">
        <f>G94+'18'!H94</f>
        <v>4006</v>
      </c>
      <c r="I94" s="556"/>
      <c r="J94" s="629">
        <f>H94/DAY(B2)</f>
        <v>210.84210526315789</v>
      </c>
      <c r="K94" s="411"/>
      <c r="L94" s="408"/>
      <c r="N94" s="413"/>
      <c r="O94" s="413"/>
    </row>
    <row r="95" spans="1:15" ht="27.75">
      <c r="A95" s="1388" t="s">
        <v>220</v>
      </c>
      <c r="B95" s="1389"/>
      <c r="C95" s="1390"/>
      <c r="D95" s="599" t="s">
        <v>155</v>
      </c>
      <c r="E95" s="560">
        <f>'18'!F95</f>
        <v>404958</v>
      </c>
      <c r="F95" s="560">
        <v>405039</v>
      </c>
      <c r="G95" s="549">
        <f t="shared" ref="G95:G100" si="10">F95-E95</f>
        <v>81</v>
      </c>
      <c r="H95" s="536">
        <f>G95+'18'!H95</f>
        <v>1374</v>
      </c>
      <c r="I95" s="556"/>
      <c r="J95" s="629">
        <f>H95/DAY(B2)</f>
        <v>72.315789473684205</v>
      </c>
      <c r="K95" s="411"/>
      <c r="L95" s="408"/>
      <c r="N95" s="413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'18'!F96</f>
        <v>100249</v>
      </c>
      <c r="F96" s="560">
        <v>100262</v>
      </c>
      <c r="G96" s="549">
        <f t="shared" si="10"/>
        <v>13</v>
      </c>
      <c r="H96" s="536">
        <f>G96+'18'!H96</f>
        <v>341</v>
      </c>
      <c r="I96" s="556"/>
      <c r="J96" s="629">
        <f>H96/DAY(B2)</f>
        <v>17.94736842105263</v>
      </c>
      <c r="K96" s="466"/>
      <c r="L96" s="408"/>
      <c r="N96" s="413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'18'!F97</f>
        <v>95397</v>
      </c>
      <c r="F97" s="560">
        <v>95416</v>
      </c>
      <c r="G97" s="549">
        <f t="shared" si="10"/>
        <v>19</v>
      </c>
      <c r="H97" s="536">
        <f>G97+'18'!H97</f>
        <v>389</v>
      </c>
      <c r="I97" s="556"/>
      <c r="J97" s="629">
        <f>H97/DAY(B2)</f>
        <v>20.473684210526315</v>
      </c>
      <c r="K97" s="471"/>
      <c r="L97" s="408"/>
      <c r="N97" s="413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'18'!F98</f>
        <v>144868</v>
      </c>
      <c r="F98" s="560">
        <v>144906</v>
      </c>
      <c r="G98" s="549">
        <f t="shared" si="10"/>
        <v>38</v>
      </c>
      <c r="H98" s="536">
        <f>G98+'18'!H98</f>
        <v>1099</v>
      </c>
      <c r="I98" s="556"/>
      <c r="J98" s="629">
        <f>H98/DAY(B2)</f>
        <v>57.842105263157897</v>
      </c>
      <c r="K98" s="411"/>
      <c r="L98" s="408"/>
      <c r="N98" s="413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'18'!F99</f>
        <v>5728</v>
      </c>
      <c r="F99" s="560">
        <v>5746</v>
      </c>
      <c r="G99" s="549">
        <f t="shared" si="10"/>
        <v>18</v>
      </c>
      <c r="H99" s="536">
        <f>G99+'18'!H99</f>
        <v>244</v>
      </c>
      <c r="I99" s="556"/>
      <c r="J99" s="629">
        <f>H99/DAY(B2)</f>
        <v>12.842105263157896</v>
      </c>
      <c r="K99" s="411"/>
      <c r="L99" s="408"/>
      <c r="N99" s="413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'18'!F100</f>
        <v>4126</v>
      </c>
      <c r="F100" s="560">
        <v>4133</v>
      </c>
      <c r="G100" s="549">
        <f t="shared" si="10"/>
        <v>7</v>
      </c>
      <c r="H100" s="536">
        <f>G100+'18'!H100</f>
        <v>169</v>
      </c>
      <c r="I100" s="556"/>
      <c r="J100" s="629">
        <f>H100/DAY(B2)</f>
        <v>8.8947368421052637</v>
      </c>
      <c r="K100" s="411"/>
      <c r="L100" s="408"/>
      <c r="N100" s="413"/>
      <c r="O100" s="413"/>
    </row>
    <row r="101" spans="1:15">
      <c r="A101" s="1419" t="s">
        <v>227</v>
      </c>
      <c r="B101" s="1420"/>
      <c r="C101" s="1421"/>
      <c r="D101" s="600"/>
      <c r="E101" s="600"/>
      <c r="F101" s="600"/>
      <c r="G101" s="601">
        <f>SUM(G95:G100)</f>
        <v>176</v>
      </c>
      <c r="H101" s="536">
        <f>G101+'18'!H101</f>
        <v>3616</v>
      </c>
      <c r="I101" s="602"/>
      <c r="J101" s="629">
        <f>H101/DAY(B2)</f>
        <v>190.31578947368422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22" t="s">
        <v>229</v>
      </c>
      <c r="B103" s="1423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80" t="s">
        <v>230</v>
      </c>
      <c r="B104" s="1381"/>
      <c r="C104" s="1250"/>
      <c r="D104" s="699" t="s">
        <v>155</v>
      </c>
      <c r="E104" s="608">
        <f>'18'!F104</f>
        <v>7010</v>
      </c>
      <c r="F104" s="608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5.1578947368421053</v>
      </c>
      <c r="N104" s="493"/>
      <c r="O104" s="413"/>
    </row>
    <row r="105" spans="1:15" s="481" customFormat="1" ht="27.75">
      <c r="A105" s="1380" t="s">
        <v>77</v>
      </c>
      <c r="B105" s="1381"/>
      <c r="C105" s="1250"/>
      <c r="D105" s="699" t="s">
        <v>155</v>
      </c>
      <c r="E105" s="610">
        <f>'18'!F105</f>
        <v>35060</v>
      </c>
      <c r="F105" s="610">
        <v>35068</v>
      </c>
      <c r="G105" s="608">
        <f t="shared" ref="G105:G106" si="11">F105-E105</f>
        <v>8</v>
      </c>
      <c r="H105" s="609">
        <f>SUM(G105+'1'!G77)</f>
        <v>69</v>
      </c>
      <c r="I105" s="608"/>
      <c r="J105" s="635">
        <f>H105/DAY(B2)</f>
        <v>3.6315789473684212</v>
      </c>
      <c r="N105" s="493"/>
      <c r="O105" s="413"/>
    </row>
    <row r="106" spans="1:15" s="481" customFormat="1" ht="27.75">
      <c r="A106" s="1380" t="s">
        <v>78</v>
      </c>
      <c r="B106" s="1424"/>
      <c r="C106" s="1381"/>
      <c r="D106" s="699" t="s">
        <v>155</v>
      </c>
      <c r="E106" s="608">
        <f>'18'!F106</f>
        <v>19008</v>
      </c>
      <c r="F106" s="608">
        <v>19016</v>
      </c>
      <c r="G106" s="608">
        <f t="shared" si="11"/>
        <v>8</v>
      </c>
      <c r="H106" s="609">
        <f>SUM(G106+'1'!G78)</f>
        <v>377</v>
      </c>
      <c r="I106" s="608"/>
      <c r="J106" s="635">
        <f>H106/DAY(B2)</f>
        <v>19.842105263157894</v>
      </c>
      <c r="N106" s="493"/>
      <c r="O106" s="413"/>
    </row>
    <row r="107" spans="1:15" s="481" customFormat="1" ht="27.75">
      <c r="A107" s="1382" t="s">
        <v>213</v>
      </c>
      <c r="B107" s="1383"/>
      <c r="C107" s="1250"/>
      <c r="D107" s="699"/>
      <c r="E107" s="608">
        <f>'18'!F107</f>
        <v>0</v>
      </c>
      <c r="F107" s="608"/>
      <c r="G107" s="608">
        <f>SUM(G104:G106)</f>
        <v>16</v>
      </c>
      <c r="H107" s="609">
        <f>SUM(G107+'1'!G79)</f>
        <v>203</v>
      </c>
      <c r="I107" s="608"/>
      <c r="J107" s="635">
        <f>H107/DAY(B2)</f>
        <v>10.684210526315789</v>
      </c>
      <c r="N107" s="493"/>
      <c r="O107" s="413"/>
    </row>
    <row r="108" spans="1:15" s="481" customFormat="1" ht="27.75">
      <c r="A108" s="1386" t="s">
        <v>79</v>
      </c>
      <c r="B108" s="1387"/>
      <c r="C108" s="1250"/>
      <c r="D108" s="699" t="s">
        <v>155</v>
      </c>
      <c r="E108" s="608">
        <f>'18'!F108</f>
        <v>0</v>
      </c>
      <c r="F108" s="608"/>
      <c r="G108" s="608"/>
      <c r="H108" s="609"/>
      <c r="I108" s="608"/>
      <c r="J108" s="635"/>
      <c r="N108" s="493"/>
      <c r="O108" s="413"/>
    </row>
    <row r="109" spans="1:15" s="481" customFormat="1" ht="27.75">
      <c r="A109" s="1380" t="s">
        <v>231</v>
      </c>
      <c r="B109" s="1381"/>
      <c r="C109" s="1250"/>
      <c r="D109" s="699" t="s">
        <v>155</v>
      </c>
      <c r="E109" s="608">
        <f>'18'!F109</f>
        <v>54005</v>
      </c>
      <c r="F109" s="608">
        <v>54047</v>
      </c>
      <c r="G109" s="608">
        <f>F109-E109</f>
        <v>42</v>
      </c>
      <c r="H109" s="609">
        <f>SUM(G109+'1'!G81)</f>
        <v>171</v>
      </c>
      <c r="I109" s="608"/>
      <c r="J109" s="635">
        <f>H109/DAY(B2)</f>
        <v>9</v>
      </c>
      <c r="N109" s="493"/>
      <c r="O109" s="413"/>
    </row>
    <row r="110" spans="1:15" s="481" customFormat="1" ht="27.75">
      <c r="A110" s="1380" t="s">
        <v>232</v>
      </c>
      <c r="B110" s="1381"/>
      <c r="C110" s="1250"/>
      <c r="D110" s="699" t="s">
        <v>155</v>
      </c>
      <c r="E110" s="608">
        <f>'18'!F110</f>
        <v>27885</v>
      </c>
      <c r="F110" s="608">
        <v>27932</v>
      </c>
      <c r="G110" s="608">
        <f t="shared" ref="G110:G111" si="12">F110-E110</f>
        <v>47</v>
      </c>
      <c r="H110" s="609">
        <f>SUM(G110+'1'!G82)</f>
        <v>70</v>
      </c>
      <c r="I110" s="608"/>
      <c r="J110" s="635">
        <f>H110/DAY(B2)</f>
        <v>3.6842105263157894</v>
      </c>
      <c r="N110" s="493"/>
      <c r="O110" s="413"/>
    </row>
    <row r="111" spans="1:15" s="481" customFormat="1" ht="27.75">
      <c r="A111" s="1380" t="s">
        <v>233</v>
      </c>
      <c r="B111" s="1381"/>
      <c r="C111" s="1250"/>
      <c r="D111" s="699" t="s">
        <v>155</v>
      </c>
      <c r="E111" s="608">
        <f>'18'!F111</f>
        <v>3665</v>
      </c>
      <c r="F111" s="608">
        <v>3677</v>
      </c>
      <c r="G111" s="608">
        <f t="shared" si="12"/>
        <v>12</v>
      </c>
      <c r="H111" s="609">
        <f>SUM(G111+'1'!G83)</f>
        <v>345</v>
      </c>
      <c r="I111" s="608"/>
      <c r="J111" s="635">
        <f>H111/DAY(B2)</f>
        <v>18.157894736842106</v>
      </c>
      <c r="N111" s="493"/>
      <c r="O111" s="413"/>
    </row>
    <row r="112" spans="1:15" s="481" customFormat="1" ht="27.75">
      <c r="A112" s="1384" t="s">
        <v>121</v>
      </c>
      <c r="B112" s="1385"/>
      <c r="C112" s="1250"/>
      <c r="D112" s="699"/>
      <c r="E112" s="608">
        <f>'18'!F112</f>
        <v>0</v>
      </c>
      <c r="F112" s="608"/>
      <c r="G112" s="608">
        <f>SUM(G109:G111)</f>
        <v>101</v>
      </c>
      <c r="H112" s="609">
        <f>SUM(G112+'1'!G84)</f>
        <v>547</v>
      </c>
      <c r="I112" s="608"/>
      <c r="J112" s="635">
        <f>H112/DAY(B2)</f>
        <v>28.789473684210527</v>
      </c>
      <c r="N112" s="493"/>
      <c r="O112" s="413"/>
    </row>
    <row r="113" spans="1:15" s="481" customFormat="1" ht="27.75">
      <c r="A113" s="1386" t="s">
        <v>234</v>
      </c>
      <c r="B113" s="1387"/>
      <c r="C113" s="1250"/>
      <c r="D113" s="699"/>
      <c r="E113" s="608">
        <f>'18'!F113</f>
        <v>0</v>
      </c>
      <c r="F113" s="608"/>
      <c r="G113" s="608"/>
      <c r="H113" s="609"/>
      <c r="I113" s="608"/>
      <c r="J113" s="635">
        <f>H113/DAY(B2)</f>
        <v>0</v>
      </c>
      <c r="N113" s="493"/>
      <c r="O113" s="413"/>
    </row>
    <row r="114" spans="1:15" s="481" customFormat="1" ht="27.75">
      <c r="A114" s="1380" t="s">
        <v>235</v>
      </c>
      <c r="B114" s="1381"/>
      <c r="C114" s="651"/>
      <c r="D114" s="699" t="s">
        <v>155</v>
      </c>
      <c r="E114" s="610">
        <f>'18'!F114</f>
        <v>9514</v>
      </c>
      <c r="F114" s="610">
        <v>9534</v>
      </c>
      <c r="G114" s="610">
        <f>F114-E114</f>
        <v>20</v>
      </c>
      <c r="H114" s="609">
        <f>SUM(G114+'1'!G91)</f>
        <v>20</v>
      </c>
      <c r="I114" s="608"/>
      <c r="J114" s="635">
        <f>H114/DAY(B2)</f>
        <v>1.0526315789473684</v>
      </c>
      <c r="N114" s="493"/>
      <c r="O114" s="413"/>
    </row>
    <row r="115" spans="1:15" s="481" customFormat="1" ht="27.75">
      <c r="A115" s="1380" t="s">
        <v>236</v>
      </c>
      <c r="B115" s="1381"/>
      <c r="C115" s="651"/>
      <c r="D115" s="699" t="s">
        <v>155</v>
      </c>
      <c r="E115" s="610">
        <f>'18'!F115</f>
        <v>7329</v>
      </c>
      <c r="F115" s="610">
        <v>7336</v>
      </c>
      <c r="G115" s="610">
        <f t="shared" ref="G115:G116" si="13">F115-E115</f>
        <v>7</v>
      </c>
      <c r="H115" s="609">
        <f>SUM(G115+'1'!G92)</f>
        <v>140</v>
      </c>
      <c r="I115" s="608"/>
      <c r="J115" s="635">
        <f>H115/DAY(B2)</f>
        <v>7.3684210526315788</v>
      </c>
      <c r="N115" s="493"/>
      <c r="O115" s="413"/>
    </row>
    <row r="116" spans="1:15" s="481" customFormat="1" ht="27.75">
      <c r="A116" s="1380" t="s">
        <v>237</v>
      </c>
      <c r="B116" s="1381"/>
      <c r="C116" s="651"/>
      <c r="D116" s="699" t="s">
        <v>155</v>
      </c>
      <c r="E116" s="610"/>
      <c r="F116" s="610"/>
      <c r="G116" s="610">
        <f t="shared" si="13"/>
        <v>0</v>
      </c>
      <c r="H116" s="609">
        <f>SUM(G116+'1'!G93)</f>
        <v>141</v>
      </c>
      <c r="I116" s="608"/>
      <c r="J116" s="635">
        <f>H116/DAY(B2)</f>
        <v>7.4210526315789478</v>
      </c>
      <c r="N116" s="493"/>
      <c r="O116" s="413"/>
    </row>
    <row r="117" spans="1:15" s="494" customFormat="1" ht="27.75">
      <c r="A117" s="1382" t="s">
        <v>213</v>
      </c>
      <c r="B117" s="1383"/>
      <c r="C117" s="651"/>
      <c r="D117" s="700"/>
      <c r="E117" s="610"/>
      <c r="F117" s="610"/>
      <c r="G117" s="610">
        <f>SUM(G114:G116)</f>
        <v>27</v>
      </c>
      <c r="H117" s="609">
        <f>SUM(G117+'1'!G95)</f>
        <v>87</v>
      </c>
      <c r="I117" s="610"/>
      <c r="J117" s="635">
        <f>H117/DAY(B2)</f>
        <v>4.5789473684210522</v>
      </c>
      <c r="N117" s="522"/>
      <c r="O117" s="413"/>
    </row>
    <row r="118" spans="1:15" s="495" customFormat="1" ht="27.75">
      <c r="A118" s="1376" t="s">
        <v>238</v>
      </c>
      <c r="B118" s="1377"/>
      <c r="C118" s="1249"/>
      <c r="D118" s="701" t="s">
        <v>155</v>
      </c>
      <c r="E118" s="612"/>
      <c r="F118" s="612">
        <f>SUM(G19+G92)</f>
        <v>133</v>
      </c>
      <c r="G118" s="612">
        <f>SUM(G19+G92)</f>
        <v>133</v>
      </c>
      <c r="H118" s="609">
        <f>SUM(G118+'1'!G96)</f>
        <v>166</v>
      </c>
      <c r="I118" s="611"/>
      <c r="J118" s="636">
        <f>H118/DAY(B2)</f>
        <v>8.7368421052631575</v>
      </c>
      <c r="N118" s="882"/>
      <c r="O118" s="413"/>
    </row>
    <row r="119" spans="1:15" s="495" customFormat="1" ht="27.75">
      <c r="A119" s="1376" t="s">
        <v>239</v>
      </c>
      <c r="B119" s="1377"/>
      <c r="C119" s="1249"/>
      <c r="D119" s="701" t="s">
        <v>155</v>
      </c>
      <c r="E119" s="612"/>
      <c r="F119" s="612">
        <f>SUM(G95,G96,G97,G99,G100)</f>
        <v>138</v>
      </c>
      <c r="G119" s="612">
        <f>SUM(G95,G96,G97,G99,G100)</f>
        <v>138</v>
      </c>
      <c r="H119" s="609">
        <f>SUM(G119+'1'!G98)</f>
        <v>188</v>
      </c>
      <c r="I119" s="611"/>
      <c r="J119" s="636">
        <f>H119/DAY(B2)</f>
        <v>9.8947368421052637</v>
      </c>
      <c r="N119" s="882"/>
      <c r="O119" s="413"/>
    </row>
    <row r="120" spans="1:15" s="495" customFormat="1" ht="27.75">
      <c r="A120" s="1376" t="s">
        <v>240</v>
      </c>
      <c r="B120" s="1377"/>
      <c r="C120" s="1249"/>
      <c r="D120" s="701" t="s">
        <v>155</v>
      </c>
      <c r="E120" s="610"/>
      <c r="F120" s="610">
        <f>SUM(G112)</f>
        <v>101</v>
      </c>
      <c r="G120" s="610">
        <f>SUM(G112)</f>
        <v>101</v>
      </c>
      <c r="H120" s="609">
        <f>SUM(G120+'1'!G100)</f>
        <v>118</v>
      </c>
      <c r="I120" s="611"/>
      <c r="J120" s="636">
        <f>H120/DAY(B2)</f>
        <v>6.2105263157894735</v>
      </c>
      <c r="N120" s="882"/>
      <c r="O120" s="413"/>
    </row>
    <row r="121" spans="1:15" s="481" customFormat="1" ht="27.75">
      <c r="A121" s="1378"/>
      <c r="B121" s="1379"/>
      <c r="C121" s="1250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416" t="s">
        <v>241</v>
      </c>
      <c r="B122" s="1417"/>
      <c r="C122" s="1418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f>'18'!F123</f>
        <v>799946</v>
      </c>
      <c r="F123" s="554">
        <v>800211</v>
      </c>
      <c r="G123" s="549">
        <f t="shared" ref="G123:G127" si="14">F123-E123</f>
        <v>265</v>
      </c>
      <c r="H123" s="536">
        <f>G123+'18'!H123</f>
        <v>4786.9499999999534</v>
      </c>
      <c r="I123" s="602"/>
      <c r="J123" s="629">
        <f>H123/DAY(B2)</f>
        <v>251.9447368421028</v>
      </c>
      <c r="K123" s="411"/>
      <c r="L123" s="408"/>
      <c r="N123" s="413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703">
        <f>'18'!F124</f>
        <v>73582.3</v>
      </c>
      <c r="F124" s="703">
        <v>73582.3</v>
      </c>
      <c r="G124" s="549">
        <f t="shared" si="14"/>
        <v>0</v>
      </c>
      <c r="H124" s="536">
        <f>G124+'18'!H124</f>
        <v>0.10000000000582077</v>
      </c>
      <c r="I124" s="602"/>
      <c r="J124" s="629">
        <f>H124/DAY(B2)</f>
        <v>5.2631578950431985E-3</v>
      </c>
      <c r="K124" s="411"/>
      <c r="L124" s="408"/>
      <c r="N124" s="413"/>
      <c r="O124" s="413"/>
    </row>
    <row r="125" spans="1:15" ht="27.75">
      <c r="A125" s="1367" t="s">
        <v>244</v>
      </c>
      <c r="B125" s="1368"/>
      <c r="C125" s="1369"/>
      <c r="D125" s="599" t="s">
        <v>152</v>
      </c>
      <c r="E125" s="554">
        <f>'18'!F125</f>
        <v>136927.23000000001</v>
      </c>
      <c r="F125" s="554">
        <v>136994.22</v>
      </c>
      <c r="G125" s="549">
        <f t="shared" si="14"/>
        <v>66.989999999990687</v>
      </c>
      <c r="H125" s="536">
        <f>G125+'18'!H125</f>
        <v>1403.5499999999884</v>
      </c>
      <c r="I125" s="602"/>
      <c r="J125" s="629">
        <f>H125/DAY(B2)</f>
        <v>73.871052631578337</v>
      </c>
      <c r="K125" s="411"/>
      <c r="L125" s="408"/>
      <c r="N125" s="413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703">
        <f>'18'!F126</f>
        <v>57965.8</v>
      </c>
      <c r="F126" s="703">
        <v>57993.9</v>
      </c>
      <c r="G126" s="549">
        <f t="shared" si="14"/>
        <v>28.099999999998545</v>
      </c>
      <c r="H126" s="536">
        <f>G126+'18'!H126</f>
        <v>612.90000000000146</v>
      </c>
      <c r="I126" s="602"/>
      <c r="J126" s="629">
        <f>H126/DAY(B2)</f>
        <v>32.257894736842182</v>
      </c>
      <c r="K126" s="411"/>
      <c r="L126" s="408"/>
      <c r="N126" s="413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703">
        <f>'18'!F127</f>
        <v>8767.7000000000007</v>
      </c>
      <c r="F127" s="703">
        <v>8769.9</v>
      </c>
      <c r="G127" s="549">
        <f t="shared" si="14"/>
        <v>2.1999999999989086</v>
      </c>
      <c r="H127" s="536">
        <f>G127+'18'!H127</f>
        <v>63.899999999999636</v>
      </c>
      <c r="I127" s="556"/>
      <c r="J127" s="629">
        <f>H127/DAY(B2)</f>
        <v>3.363157894736823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551.85999999991873</v>
      </c>
      <c r="H128" s="536">
        <f>G128+'18'!H128</f>
        <v>2309.770000000015</v>
      </c>
      <c r="I128" s="556"/>
      <c r="J128" s="629">
        <f>H128/DAY(B2)</f>
        <v>121.56684210526394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f>'18'!F130</f>
        <v>0</v>
      </c>
      <c r="F130" s="560">
        <v>0</v>
      </c>
      <c r="G130" s="549">
        <f t="shared" ref="G130:G140" si="15">F130-E130</f>
        <v>0</v>
      </c>
      <c r="H130" s="536">
        <f>G130+'18'!H130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f>'18'!F131</f>
        <v>0</v>
      </c>
      <c r="F131" s="560">
        <v>0</v>
      </c>
      <c r="G131" s="549">
        <f t="shared" si="15"/>
        <v>0</v>
      </c>
      <c r="H131" s="536">
        <f>G131+'18'!H131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f>'18'!F132</f>
        <v>38901</v>
      </c>
      <c r="F132" s="618">
        <v>38901</v>
      </c>
      <c r="G132" s="549">
        <f t="shared" si="15"/>
        <v>0</v>
      </c>
      <c r="H132" s="536">
        <f>G132+'18'!H132</f>
        <v>0</v>
      </c>
      <c r="I132" s="556"/>
      <c r="J132" s="629">
        <f>H132/DAY(B2)</f>
        <v>0</v>
      </c>
      <c r="N132" s="413"/>
      <c r="O132" s="413"/>
    </row>
    <row r="133" spans="1:15" s="480" customFormat="1" ht="27.75">
      <c r="A133" s="1179" t="s">
        <v>253</v>
      </c>
      <c r="B133" s="1180"/>
      <c r="C133" s="1180"/>
      <c r="D133" s="704" t="s">
        <v>250</v>
      </c>
      <c r="E133" s="618">
        <f>'18'!F133</f>
        <v>299</v>
      </c>
      <c r="F133" s="618">
        <v>299</v>
      </c>
      <c r="G133" s="733">
        <f t="shared" si="15"/>
        <v>0</v>
      </c>
      <c r="H133" s="805">
        <f>G133+'18'!H133</f>
        <v>0</v>
      </c>
      <c r="I133" s="1181">
        <f>G130+G131+G132+G133</f>
        <v>0</v>
      </c>
      <c r="J133" s="807">
        <f>H133/DAY(B2)</f>
        <v>0</v>
      </c>
      <c r="N133" s="813"/>
      <c r="O133" s="813"/>
    </row>
    <row r="134" spans="1:15" ht="27.75">
      <c r="A134" s="1252" t="s">
        <v>254</v>
      </c>
      <c r="B134" s="1253"/>
      <c r="C134" s="1253"/>
      <c r="D134" s="599" t="s">
        <v>250</v>
      </c>
      <c r="E134" s="618">
        <f>'18'!F134</f>
        <v>39912.92</v>
      </c>
      <c r="F134" s="618">
        <v>39937.39</v>
      </c>
      <c r="G134" s="549">
        <f t="shared" si="15"/>
        <v>24.470000000001164</v>
      </c>
      <c r="H134" s="536">
        <f>G134+'18'!H134</f>
        <v>202.38999999999942</v>
      </c>
      <c r="I134" s="556"/>
      <c r="J134" s="629">
        <f>H134/DAY(B2)</f>
        <v>10.652105263157864</v>
      </c>
      <c r="N134" s="413"/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618">
        <f>'18'!F135</f>
        <v>32423</v>
      </c>
      <c r="F135" s="618">
        <v>32423</v>
      </c>
      <c r="G135" s="549">
        <f t="shared" si="15"/>
        <v>0</v>
      </c>
      <c r="H135" s="536">
        <f>G135+'18'!H135</f>
        <v>255.61000000000058</v>
      </c>
      <c r="I135" s="556"/>
      <c r="J135" s="629">
        <f>H135/DAY(B2)</f>
        <v>13.453157894736872</v>
      </c>
      <c r="N135" s="413"/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f>'18'!F136</f>
        <v>21918.34</v>
      </c>
      <c r="F136" s="618">
        <v>21927.35</v>
      </c>
      <c r="G136" s="549">
        <f t="shared" si="15"/>
        <v>9.0099999999983993</v>
      </c>
      <c r="H136" s="536">
        <f>G136+'18'!H136</f>
        <v>125.64999999999782</v>
      </c>
      <c r="I136" s="556">
        <f>G134+G135+G136</f>
        <v>33.479999999999563</v>
      </c>
      <c r="J136" s="629">
        <f>H136/DAY(B2)</f>
        <v>6.6131578947367275</v>
      </c>
      <c r="N136" s="413"/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f>'18'!F137</f>
        <v>25000.560000000001</v>
      </c>
      <c r="F137" s="618">
        <v>25000.560000000001</v>
      </c>
      <c r="G137" s="549">
        <f t="shared" si="15"/>
        <v>0</v>
      </c>
      <c r="H137" s="536">
        <f>G137+'18'!H137</f>
        <v>9.9500000000007276</v>
      </c>
      <c r="I137" s="556"/>
      <c r="J137" s="629">
        <f>H137/DAY(B2)</f>
        <v>0.52368421052635405</v>
      </c>
      <c r="N137" s="413"/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f>'18'!F138</f>
        <v>70050.47</v>
      </c>
      <c r="F138" s="618">
        <v>70054.05</v>
      </c>
      <c r="G138" s="549">
        <f t="shared" si="15"/>
        <v>3.5800000000017462</v>
      </c>
      <c r="H138" s="536">
        <f>G138+'18'!H138</f>
        <v>47.680000000007567</v>
      </c>
      <c r="I138" s="556">
        <f>G137+G138</f>
        <v>3.5800000000017462</v>
      </c>
      <c r="J138" s="629">
        <f>H138/DAY(B2)</f>
        <v>2.5094736842109246</v>
      </c>
      <c r="N138" s="413"/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60">
        <f>'18'!F139</f>
        <v>1102.99</v>
      </c>
      <c r="F139" s="560">
        <v>1110.3499999999999</v>
      </c>
      <c r="G139" s="549">
        <f t="shared" si="15"/>
        <v>7.3599999999999</v>
      </c>
      <c r="H139" s="536">
        <f>G139+'18'!H139</f>
        <v>47.349999999999909</v>
      </c>
      <c r="I139" s="619"/>
      <c r="J139" s="629">
        <f>H139/DAY(B2)</f>
        <v>2.4921052631578902</v>
      </c>
      <c r="N139" s="413"/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60">
        <f>'18'!F140</f>
        <v>4333.53</v>
      </c>
      <c r="F140" s="560">
        <v>4333.53</v>
      </c>
      <c r="G140" s="549">
        <f t="shared" si="15"/>
        <v>0</v>
      </c>
      <c r="H140" s="536">
        <f>G140+'18'!H140</f>
        <v>101.11999999999989</v>
      </c>
      <c r="I140" s="619"/>
      <c r="J140" s="629">
        <f>H140/DAY(B2)</f>
        <v>5.3221052631578889</v>
      </c>
      <c r="N140" s="413"/>
      <c r="O140" s="413"/>
    </row>
    <row r="141" spans="1:15">
      <c r="A141" s="1397" t="s">
        <v>261</v>
      </c>
      <c r="B141" s="1398"/>
      <c r="C141" s="1258"/>
      <c r="D141" s="548"/>
      <c r="E141" s="548"/>
      <c r="F141" s="548" t="s">
        <v>288</v>
      </c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388" t="s">
        <v>262</v>
      </c>
      <c r="B142" s="1389"/>
      <c r="C142" s="1390"/>
      <c r="D142" s="599" t="s">
        <v>143</v>
      </c>
      <c r="E142" s="599"/>
      <c r="F142" s="599"/>
      <c r="G142" s="536">
        <f>G35+G43+G49+G57</f>
        <v>5806.7999999999593</v>
      </c>
      <c r="H142" s="536">
        <f>G142+'18'!H142</f>
        <v>97740.419999999984</v>
      </c>
      <c r="I142" s="556"/>
      <c r="J142" s="629">
        <f>H142/DAY(B2)</f>
        <v>5144.2326315789469</v>
      </c>
      <c r="K142" s="411"/>
      <c r="L142" s="408"/>
      <c r="N142" s="413"/>
      <c r="O142" s="413"/>
    </row>
    <row r="143" spans="1:15" ht="27.75">
      <c r="A143" s="1388" t="s">
        <v>263</v>
      </c>
      <c r="B143" s="1389"/>
      <c r="C143" s="1390"/>
      <c r="D143" s="599" t="s">
        <v>24</v>
      </c>
      <c r="E143" s="587"/>
      <c r="F143" s="587"/>
      <c r="G143" s="620">
        <f>G142/G7</f>
        <v>0.29087812453037915</v>
      </c>
      <c r="H143" s="536">
        <f>G143+'18'!H143</f>
        <v>4.8335996065425091</v>
      </c>
      <c r="I143" s="621"/>
      <c r="J143" s="629">
        <f>H143/DAY(B2)</f>
        <v>0.25439997929171099</v>
      </c>
      <c r="K143" s="411"/>
      <c r="L143" s="408"/>
      <c r="N143" s="413"/>
      <c r="O143" s="413"/>
    </row>
    <row r="144" spans="1:15" ht="27.75">
      <c r="A144" s="1388" t="s">
        <v>264</v>
      </c>
      <c r="B144" s="1389"/>
      <c r="C144" s="1390"/>
      <c r="D144" s="599" t="s">
        <v>143</v>
      </c>
      <c r="E144" s="531"/>
      <c r="F144" s="531"/>
      <c r="G144" s="536">
        <f>G41+G42+G55+G56</f>
        <v>4360.9399999999987</v>
      </c>
      <c r="H144" s="536">
        <f>G144+'18'!H144</f>
        <v>81579.300000000032</v>
      </c>
      <c r="I144" s="556"/>
      <c r="J144" s="629">
        <f>H144/DAY(B2)</f>
        <v>4293.6473684210541</v>
      </c>
      <c r="K144" s="411"/>
      <c r="L144" s="408"/>
      <c r="N144" s="413"/>
      <c r="O144" s="413"/>
    </row>
    <row r="145" spans="1:15" ht="27.75">
      <c r="A145" s="1388" t="s">
        <v>265</v>
      </c>
      <c r="B145" s="1389"/>
      <c r="C145" s="1390"/>
      <c r="D145" s="599" t="s">
        <v>24</v>
      </c>
      <c r="E145" s="531"/>
      <c r="F145" s="531"/>
      <c r="G145" s="620">
        <f>G144/G7</f>
        <v>0.21845113459900811</v>
      </c>
      <c r="H145" s="536">
        <f>G145+'18'!H145</f>
        <v>4.1642202550123919</v>
      </c>
      <c r="I145" s="621"/>
      <c r="J145" s="629">
        <f>H145/DAY(B2)</f>
        <v>0.21916948710591536</v>
      </c>
      <c r="K145" s="411"/>
      <c r="L145" s="408"/>
      <c r="N145" s="413"/>
      <c r="O145" s="413"/>
    </row>
    <row r="146" spans="1:15" ht="27.75">
      <c r="A146" s="1388" t="s">
        <v>266</v>
      </c>
      <c r="B146" s="1389"/>
      <c r="C146" s="1390"/>
      <c r="D146" s="599" t="s">
        <v>143</v>
      </c>
      <c r="E146" s="531"/>
      <c r="F146" s="531"/>
      <c r="G146" s="536">
        <f>G39+G53</f>
        <v>4176.6999999999825</v>
      </c>
      <c r="H146" s="536">
        <f>G146+'18'!H146</f>
        <v>77626.399999999994</v>
      </c>
      <c r="I146" s="622"/>
      <c r="J146" s="629">
        <f>H146/DAY(B2)</f>
        <v>4085.6</v>
      </c>
      <c r="K146" s="411"/>
      <c r="L146" s="408"/>
      <c r="N146" s="413"/>
      <c r="O146" s="413"/>
    </row>
    <row r="147" spans="1:15" ht="27.75">
      <c r="A147" s="1388" t="s">
        <v>267</v>
      </c>
      <c r="B147" s="1389"/>
      <c r="C147" s="1390"/>
      <c r="D147" s="599" t="s">
        <v>24</v>
      </c>
      <c r="E147" s="531"/>
      <c r="F147" s="531"/>
      <c r="G147" s="620">
        <f>G146/G7</f>
        <v>0.20922206081250225</v>
      </c>
      <c r="H147" s="536">
        <f>G147+'18'!H147</f>
        <v>3.9734279721009966</v>
      </c>
      <c r="I147" s="622"/>
      <c r="J147" s="629">
        <f>H147/DAY(B2)</f>
        <v>0.20912778800531562</v>
      </c>
      <c r="N147" s="413"/>
      <c r="O147" s="413"/>
    </row>
    <row r="148" spans="1:15" ht="27.75">
      <c r="A148" s="1388" t="s">
        <v>268</v>
      </c>
      <c r="B148" s="1389"/>
      <c r="C148" s="1390"/>
      <c r="D148" s="599" t="s">
        <v>194</v>
      </c>
      <c r="E148" s="531"/>
      <c r="F148" s="531"/>
      <c r="G148" s="536">
        <f>G38+G52</f>
        <v>1881.7600000000093</v>
      </c>
      <c r="H148" s="536">
        <f>G148+'18'!H148</f>
        <v>38234.039999999979</v>
      </c>
      <c r="I148" s="556"/>
      <c r="J148" s="629">
        <f>H148/DAY(B2)</f>
        <v>2012.317894736841</v>
      </c>
      <c r="K148" s="412"/>
      <c r="N148" s="413"/>
      <c r="O148" s="413"/>
    </row>
    <row r="149" spans="1:15" ht="27.75">
      <c r="A149" s="1388" t="s">
        <v>269</v>
      </c>
      <c r="B149" s="1389"/>
      <c r="C149" s="1390"/>
      <c r="D149" s="599" t="s">
        <v>24</v>
      </c>
      <c r="E149" s="531"/>
      <c r="F149" s="531"/>
      <c r="G149" s="620">
        <f>G148/G7</f>
        <v>9.4262385413014543E-2</v>
      </c>
      <c r="H149" s="536">
        <f>G149+'18'!H149</f>
        <v>1.9584031248775233</v>
      </c>
      <c r="I149" s="622"/>
      <c r="J149" s="629">
        <f>H149/DAY(B2)</f>
        <v>0.10307384867776438</v>
      </c>
      <c r="N149" s="413"/>
      <c r="O149" s="413"/>
    </row>
    <row r="150" spans="1:15" ht="27.75">
      <c r="A150" s="1388" t="s">
        <v>270</v>
      </c>
      <c r="B150" s="1389"/>
      <c r="C150" s="1390"/>
      <c r="D150" s="599" t="s">
        <v>194</v>
      </c>
      <c r="E150" s="531"/>
      <c r="F150" s="531"/>
      <c r="G150" s="536">
        <f>G36+G50</f>
        <v>1741.3399999999674</v>
      </c>
      <c r="H150" s="536">
        <f>G150+'18'!H150</f>
        <v>33580.959999999963</v>
      </c>
      <c r="I150" s="622"/>
      <c r="J150" s="629">
        <f>H150/DAY(B2)</f>
        <v>1767.4189473684191</v>
      </c>
      <c r="N150" s="413"/>
      <c r="O150" s="413"/>
    </row>
    <row r="151" spans="1:15" ht="27.75">
      <c r="A151" s="1388" t="s">
        <v>271</v>
      </c>
      <c r="B151" s="1389"/>
      <c r="C151" s="1390"/>
      <c r="D151" s="599" t="s">
        <v>24</v>
      </c>
      <c r="E151" s="531"/>
      <c r="F151" s="531"/>
      <c r="G151" s="620">
        <f>G150/G7</f>
        <v>8.7228372489103215E-2</v>
      </c>
      <c r="H151" s="536">
        <f>G151+'18'!H151</f>
        <v>1.7202500904694231</v>
      </c>
      <c r="I151" s="556"/>
      <c r="J151" s="629">
        <f>H151/DAY(B2)</f>
        <v>9.0539478445759117E-2</v>
      </c>
      <c r="N151" s="413"/>
      <c r="O151" s="413"/>
    </row>
    <row r="152" spans="1:15" ht="27.75">
      <c r="A152" s="1388" t="s">
        <v>272</v>
      </c>
      <c r="B152" s="1389"/>
      <c r="C152" s="1390"/>
      <c r="D152" s="599" t="s">
        <v>194</v>
      </c>
      <c r="E152" s="531"/>
      <c r="F152" s="531"/>
      <c r="G152" s="536">
        <f>G37+G51</f>
        <v>1469.8000000000029</v>
      </c>
      <c r="H152" s="536">
        <f>G152+'18'!H152</f>
        <v>27560.58</v>
      </c>
      <c r="I152" s="556"/>
      <c r="J152" s="629">
        <f>H152/DAY(B2)</f>
        <v>1450.5568421052633</v>
      </c>
      <c r="N152" s="413"/>
      <c r="O152" s="413"/>
    </row>
    <row r="153" spans="1:15" ht="28.5" thickBot="1">
      <c r="A153" s="1394" t="s">
        <v>273</v>
      </c>
      <c r="B153" s="1395"/>
      <c r="C153" s="1396"/>
      <c r="D153" s="702" t="s">
        <v>24</v>
      </c>
      <c r="E153" s="642"/>
      <c r="F153" s="642"/>
      <c r="G153" s="643">
        <f>G152/G7</f>
        <v>7.3626208485698688E-2</v>
      </c>
      <c r="H153" s="536">
        <f>G153+'18'!H153</f>
        <v>1.4113710667222106</v>
      </c>
      <c r="I153" s="645"/>
      <c r="J153" s="646">
        <f>H153/DAY(B2)</f>
        <v>7.4282687722221616E-2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89" t="s">
        <v>274</v>
      </c>
      <c r="B160" s="890"/>
      <c r="C160" s="890"/>
      <c r="D160" s="587" t="s">
        <v>198</v>
      </c>
      <c r="E160" s="739">
        <f>'18'!F160</f>
        <v>27374.85</v>
      </c>
      <c r="F160" s="739">
        <v>27451.19</v>
      </c>
      <c r="G160" s="549">
        <f t="shared" ref="G160:G163" si="16">F160-E160</f>
        <v>76.340000000000146</v>
      </c>
    </row>
    <row r="161" spans="1:7" ht="21.75" customHeight="1">
      <c r="A161" s="889" t="s">
        <v>275</v>
      </c>
      <c r="B161" s="890"/>
      <c r="C161" s="890"/>
      <c r="D161" s="587" t="s">
        <v>198</v>
      </c>
      <c r="E161" s="739">
        <f>'18'!F161</f>
        <v>36713.69</v>
      </c>
      <c r="F161" s="739">
        <v>37184.769999999997</v>
      </c>
      <c r="G161" s="549">
        <f t="shared" si="16"/>
        <v>471.07999999999447</v>
      </c>
    </row>
    <row r="162" spans="1:7" ht="21.75" customHeight="1">
      <c r="A162" s="889" t="s">
        <v>276</v>
      </c>
      <c r="B162" s="890"/>
      <c r="C162" s="890"/>
      <c r="D162" s="587" t="s">
        <v>198</v>
      </c>
      <c r="E162" s="739">
        <f>'18'!F162</f>
        <v>9593</v>
      </c>
      <c r="F162" s="739">
        <v>9836.36</v>
      </c>
      <c r="G162" s="549">
        <f t="shared" si="16"/>
        <v>243.36000000000058</v>
      </c>
    </row>
    <row r="163" spans="1:7" ht="21.75" customHeight="1">
      <c r="A163" s="889" t="s">
        <v>277</v>
      </c>
      <c r="B163" s="890"/>
      <c r="C163" s="890"/>
      <c r="D163" s="587" t="s">
        <v>198</v>
      </c>
      <c r="E163" s="739">
        <f>'18'!F163</f>
        <v>4729.82</v>
      </c>
      <c r="F163" s="739">
        <v>4751.72</v>
      </c>
      <c r="G163" s="549">
        <f t="shared" si="16"/>
        <v>21.900000000000546</v>
      </c>
    </row>
    <row r="164" spans="1:7" ht="21.75" customHeight="1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v>20419</v>
      </c>
      <c r="G164" s="549">
        <f t="shared" ref="G164:G165" si="17">F164-E164</f>
        <v>-0.18000000000029104</v>
      </c>
    </row>
    <row r="165" spans="1:7" ht="21.75" customHeight="1">
      <c r="A165" s="891" t="s">
        <v>199</v>
      </c>
      <c r="B165" s="681"/>
      <c r="C165" s="681"/>
      <c r="D165" s="587" t="s">
        <v>198</v>
      </c>
      <c r="E165" s="590">
        <f t="shared" ref="E165:E171" si="18">E63</f>
        <v>1198.6300000000001</v>
      </c>
      <c r="F165" s="590">
        <v>1210.4100000000001</v>
      </c>
      <c r="G165" s="549">
        <f t="shared" si="17"/>
        <v>11.779999999999973</v>
      </c>
    </row>
    <row r="166" spans="1:7" ht="21.75" customHeight="1">
      <c r="A166" s="1363" t="s">
        <v>107</v>
      </c>
      <c r="B166" s="1363"/>
      <c r="C166" s="1363"/>
      <c r="D166" s="599" t="s">
        <v>198</v>
      </c>
      <c r="E166" s="590">
        <f t="shared" si="18"/>
        <v>105709.51</v>
      </c>
      <c r="F166" s="590">
        <v>106166</v>
      </c>
      <c r="G166" s="549">
        <f>F64-E64</f>
        <v>456.52999999999884</v>
      </c>
    </row>
    <row r="167" spans="1:7" ht="21.75" customHeight="1">
      <c r="A167" s="1363" t="s">
        <v>108</v>
      </c>
      <c r="B167" s="1363"/>
      <c r="C167" s="1363"/>
      <c r="D167" s="599" t="s">
        <v>198</v>
      </c>
      <c r="E167" s="590">
        <f t="shared" si="18"/>
        <v>116387.58</v>
      </c>
      <c r="F167" s="590">
        <v>116811.03</v>
      </c>
      <c r="G167" s="549">
        <f t="shared" ref="G167:G171" si="19">F65-E65</f>
        <v>423.44999999999709</v>
      </c>
    </row>
    <row r="168" spans="1:7" ht="21.75" customHeight="1">
      <c r="A168" s="1363" t="s">
        <v>109</v>
      </c>
      <c r="B168" s="1363"/>
      <c r="C168" s="1363"/>
      <c r="D168" s="599" t="s">
        <v>198</v>
      </c>
      <c r="E168" s="590">
        <f t="shared" si="18"/>
        <v>9022</v>
      </c>
      <c r="F168" s="590">
        <v>9380.09</v>
      </c>
      <c r="G168" s="549">
        <f t="shared" si="19"/>
        <v>358.09000000000015</v>
      </c>
    </row>
    <row r="169" spans="1:7" ht="24.75" customHeight="1">
      <c r="A169" s="1363" t="s">
        <v>110</v>
      </c>
      <c r="B169" s="1363"/>
      <c r="C169" s="1363"/>
      <c r="D169" s="599" t="s">
        <v>198</v>
      </c>
      <c r="E169" s="590">
        <f t="shared" si="18"/>
        <v>180096.53</v>
      </c>
      <c r="F169" s="590">
        <v>180787.83</v>
      </c>
      <c r="G169" s="549">
        <f t="shared" si="19"/>
        <v>691.29999999998836</v>
      </c>
    </row>
    <row r="170" spans="1:7" ht="24" customHeight="1">
      <c r="A170" s="1363" t="s">
        <v>111</v>
      </c>
      <c r="B170" s="1363"/>
      <c r="C170" s="1363"/>
      <c r="D170" s="599" t="s">
        <v>198</v>
      </c>
      <c r="E170" s="590">
        <f t="shared" si="18"/>
        <v>59134.62</v>
      </c>
      <c r="F170" s="590">
        <v>59451.31</v>
      </c>
      <c r="G170" s="549">
        <f t="shared" si="19"/>
        <v>316.68999999999505</v>
      </c>
    </row>
    <row r="171" spans="1:7" ht="27.75">
      <c r="A171" s="1363" t="s">
        <v>112</v>
      </c>
      <c r="B171" s="1363"/>
      <c r="C171" s="1363"/>
      <c r="D171" s="599" t="s">
        <v>198</v>
      </c>
      <c r="E171" s="590">
        <f t="shared" si="18"/>
        <v>51777.62</v>
      </c>
      <c r="F171" s="590">
        <v>52064.98</v>
      </c>
      <c r="G171" s="549">
        <f t="shared" si="19"/>
        <v>287.36000000000058</v>
      </c>
    </row>
    <row r="172" spans="1:7">
      <c r="F172" s="614">
        <v>20</v>
      </c>
      <c r="G172" s="614">
        <f>SUM(G160:G171)</f>
        <v>3357.6999999999753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82" zoomScale="55" zoomScaleSheetLayoutView="55" zoomScalePageLayoutView="78" workbookViewId="0">
      <selection activeCell="F28" sqref="F28"/>
    </sheetView>
  </sheetViews>
  <sheetFormatPr defaultColWidth="22.33203125" defaultRowHeight="29.2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5" s="281" customFormat="1" ht="27">
      <c r="A2" s="652" t="s">
        <v>339</v>
      </c>
      <c r="B2" s="1139">
        <v>44216</v>
      </c>
      <c r="C2" s="1254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30</v>
      </c>
      <c r="E3" s="1408" t="s">
        <v>132</v>
      </c>
      <c r="F3" s="1409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>
      <c r="A4" s="653"/>
      <c r="B4" s="693"/>
      <c r="C4" s="1254" t="s">
        <v>133</v>
      </c>
      <c r="D4" s="688">
        <v>0.81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2" t="s">
        <v>141</v>
      </c>
      <c r="B6" s="1403"/>
      <c r="C6" s="1404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'19'!F7</f>
        <v>3657932</v>
      </c>
      <c r="F7" s="531">
        <v>3677787</v>
      </c>
      <c r="G7" s="549">
        <f>F7-E7</f>
        <v>19855</v>
      </c>
      <c r="H7" s="536">
        <f>G7+'19'!H7</f>
        <v>391347</v>
      </c>
      <c r="I7" s="550">
        <f>'1'!I7</f>
        <v>12000</v>
      </c>
      <c r="J7" s="629">
        <f>H7/DAY(B2)</f>
        <v>19567.349999999999</v>
      </c>
      <c r="K7" s="626">
        <v>11998</v>
      </c>
      <c r="L7" s="408">
        <f>G7-K7</f>
        <v>7857</v>
      </c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'19'!F8</f>
        <v>3680569</v>
      </c>
      <c r="F8" s="551">
        <v>3700550</v>
      </c>
      <c r="G8" s="552">
        <f>F8-E8</f>
        <v>19981</v>
      </c>
      <c r="H8" s="536">
        <f>G8+'19'!H8</f>
        <v>394178</v>
      </c>
      <c r="I8" s="553">
        <f>'1'!I8</f>
        <v>12000</v>
      </c>
      <c r="J8" s="629">
        <f>H8/DAY(B2)</f>
        <v>19708.900000000001</v>
      </c>
      <c r="K8" s="626"/>
      <c r="L8" s="464"/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'19'!F9</f>
        <v>2457639</v>
      </c>
      <c r="F9" s="554">
        <v>2462678.7000000002</v>
      </c>
      <c r="G9" s="549">
        <f t="shared" ref="G9:G12" si="0">F9-E9</f>
        <v>5039.7000000001863</v>
      </c>
      <c r="H9" s="536">
        <f>G9+'19'!H9</f>
        <v>57463.700000000186</v>
      </c>
      <c r="I9" s="555">
        <f>I8-J8</f>
        <v>-7708.9000000000015</v>
      </c>
      <c r="J9" s="629">
        <f>H9/DAY(B2)</f>
        <v>2873.1850000000095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'19'!F10</f>
        <v>1055935</v>
      </c>
      <c r="F10" s="554">
        <v>1070063.2</v>
      </c>
      <c r="G10" s="549">
        <f t="shared" si="0"/>
        <v>14128.199999999953</v>
      </c>
      <c r="H10" s="536">
        <f>G10+'19'!H10</f>
        <v>319541.28999999992</v>
      </c>
      <c r="I10" s="556"/>
      <c r="J10" s="629">
        <f>H10/DAY(B2)</f>
        <v>15977.064499999997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'19'!F11</f>
        <v>35390</v>
      </c>
      <c r="F11" s="531">
        <v>35390</v>
      </c>
      <c r="G11" s="549">
        <f t="shared" si="0"/>
        <v>0</v>
      </c>
      <c r="H11" s="536">
        <f>G11+'19'!H11</f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'19'!F12</f>
        <v>37630</v>
      </c>
      <c r="F12" s="554">
        <v>37630</v>
      </c>
      <c r="G12" s="549">
        <f t="shared" si="0"/>
        <v>0</v>
      </c>
      <c r="H12" s="536">
        <f>G12+'19'!H12</f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19167.90000000014</v>
      </c>
      <c r="H13" s="536">
        <f>G13+'19'!H13</f>
        <v>357483.99000000011</v>
      </c>
      <c r="I13" s="558">
        <f>G7-G13</f>
        <v>687.0999999998603</v>
      </c>
      <c r="J13" s="629">
        <f>H13/DAY(B2)</f>
        <v>17874.199500000006</v>
      </c>
      <c r="K13" s="467"/>
      <c r="L13" s="408"/>
      <c r="N13" s="413"/>
      <c r="O13" s="413"/>
    </row>
    <row r="14" spans="1:15">
      <c r="A14" s="1405" t="s">
        <v>150</v>
      </c>
      <c r="B14" s="1406"/>
      <c r="C14" s="1407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52" t="s">
        <v>151</v>
      </c>
      <c r="B15" s="666"/>
      <c r="C15" s="666"/>
      <c r="D15" s="599" t="s">
        <v>152</v>
      </c>
      <c r="E15" s="560">
        <f>'19'!F15</f>
        <v>1584585.93</v>
      </c>
      <c r="F15" s="560">
        <v>1585516</v>
      </c>
      <c r="G15" s="883">
        <f>(F15-E15)</f>
        <v>930.07000000006519</v>
      </c>
      <c r="H15" s="536">
        <f>G15+'19'!H15</f>
        <v>16601.899999999907</v>
      </c>
      <c r="I15" s="550">
        <v>800</v>
      </c>
      <c r="J15" s="629">
        <f>H15/DAY(B2)</f>
        <v>830.09499999999537</v>
      </c>
      <c r="K15" s="467"/>
      <c r="L15" s="408"/>
      <c r="N15" s="413"/>
      <c r="O15" s="821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-30.094999999995366</v>
      </c>
      <c r="J16" s="630"/>
      <c r="K16" s="467"/>
      <c r="L16" s="408"/>
      <c r="N16" s="413"/>
      <c r="O16" s="413"/>
    </row>
    <row r="17" spans="1:15">
      <c r="A17" s="1405" t="s">
        <v>153</v>
      </c>
      <c r="B17" s="1406"/>
      <c r="C17" s="1407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388" t="s">
        <v>154</v>
      </c>
      <c r="B18" s="1389"/>
      <c r="C18" s="1390"/>
      <c r="D18" s="599" t="s">
        <v>155</v>
      </c>
      <c r="E18" s="560">
        <f>'19'!F18</f>
        <v>12</v>
      </c>
      <c r="F18" s="560">
        <v>14</v>
      </c>
      <c r="G18" s="557">
        <f>F18*10</f>
        <v>140</v>
      </c>
      <c r="H18" s="536">
        <f>G18+'19'!H18</f>
        <v>2330</v>
      </c>
      <c r="I18" s="550">
        <f>'1'!I18</f>
        <v>65</v>
      </c>
      <c r="J18" s="629">
        <f>H18/DAY(B2)</f>
        <v>116.5</v>
      </c>
      <c r="K18" s="467"/>
      <c r="L18" s="408"/>
      <c r="N18" s="413"/>
      <c r="O18" s="413"/>
    </row>
    <row r="19" spans="1:15" ht="27.75">
      <c r="A19" s="1388" t="s">
        <v>71</v>
      </c>
      <c r="B19" s="1389"/>
      <c r="C19" s="1390"/>
      <c r="D19" s="599" t="s">
        <v>155</v>
      </c>
      <c r="E19" s="560">
        <f>'19'!F19</f>
        <v>132434</v>
      </c>
      <c r="F19" s="560">
        <v>132484</v>
      </c>
      <c r="G19" s="549">
        <f t="shared" ref="G19" si="1">F19-E19</f>
        <v>50</v>
      </c>
      <c r="H19" s="536">
        <f>G19+'19'!H19</f>
        <v>991</v>
      </c>
      <c r="I19" s="565"/>
      <c r="J19" s="629">
        <f>H19/DAY(B2)</f>
        <v>49.55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190</v>
      </c>
      <c r="H20" s="536">
        <f>G20+'19'!H20</f>
        <v>3321</v>
      </c>
      <c r="I20" s="568">
        <f>I18-J20</f>
        <v>-101.05000000000001</v>
      </c>
      <c r="J20" s="629">
        <f>H20/DAY(B2)</f>
        <v>166.05</v>
      </c>
      <c r="K20" s="467"/>
      <c r="L20" s="408"/>
      <c r="N20" s="413"/>
      <c r="O20" s="413"/>
    </row>
    <row r="21" spans="1:15">
      <c r="A21" s="1405" t="s">
        <v>157</v>
      </c>
      <c r="B21" s="1406"/>
      <c r="C21" s="1407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52" t="s">
        <v>158</v>
      </c>
      <c r="B22" s="666"/>
      <c r="C22" s="666"/>
      <c r="D22" s="599" t="s">
        <v>159</v>
      </c>
      <c r="E22" s="560">
        <f>'19'!F22</f>
        <v>2250</v>
      </c>
      <c r="F22" s="560">
        <v>2250</v>
      </c>
      <c r="G22" s="557">
        <v>0</v>
      </c>
      <c r="H22" s="536">
        <f>G22+'19'!H22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52" t="s">
        <v>160</v>
      </c>
      <c r="B23" s="666"/>
      <c r="C23" s="666"/>
      <c r="D23" s="599" t="s">
        <v>159</v>
      </c>
      <c r="E23" s="560">
        <f>'19'!F23</f>
        <v>2000</v>
      </c>
      <c r="F23" s="560">
        <v>2000</v>
      </c>
      <c r="G23" s="557">
        <v>0</v>
      </c>
      <c r="H23" s="536">
        <f>G23+'19'!H23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v>4970</v>
      </c>
      <c r="F24" s="569">
        <v>4970</v>
      </c>
      <c r="G24" s="557">
        <v>0</v>
      </c>
      <c r="H24" s="536">
        <f>G24+'19'!H24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19981</v>
      </c>
      <c r="F27" s="577">
        <v>9</v>
      </c>
      <c r="G27" s="578">
        <f>E27*F27</f>
        <v>179829</v>
      </c>
      <c r="H27" s="536">
        <f>G27+'19'!H27</f>
        <v>3565677</v>
      </c>
      <c r="I27" s="579"/>
      <c r="J27" s="629">
        <f>H27/DAY(B2)</f>
        <v>178283.85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930.07000000006519</v>
      </c>
      <c r="F28" s="577">
        <v>41</v>
      </c>
      <c r="G28" s="578">
        <f>E28*F28</f>
        <v>38132.870000002673</v>
      </c>
      <c r="H28" s="536">
        <f>G28+'19'!H28</f>
        <v>679436.5399999962</v>
      </c>
      <c r="I28" s="581"/>
      <c r="J28" s="629">
        <f>H28/DAY(B2)</f>
        <v>33971.826999999808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>E29*F29</f>
        <v>0</v>
      </c>
      <c r="H29" s="536">
        <f>G29+'19'!H29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50</v>
      </c>
      <c r="F30" s="577">
        <v>134</v>
      </c>
      <c r="G30" s="578">
        <f>E30*F30</f>
        <v>6700</v>
      </c>
      <c r="H30" s="536">
        <f>G30+'19'!H30</f>
        <v>132794</v>
      </c>
      <c r="I30" s="581"/>
      <c r="J30" s="629">
        <f>H30/DAY(B2)</f>
        <v>6639.7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140</v>
      </c>
      <c r="F31" s="577">
        <v>80</v>
      </c>
      <c r="G31" s="578">
        <f>E31*F31</f>
        <v>11200</v>
      </c>
      <c r="H31" s="536">
        <f>G31+'19'!H31</f>
        <v>186400</v>
      </c>
      <c r="I31" s="581"/>
      <c r="J31" s="629"/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235861.87000000267</v>
      </c>
      <c r="H32" s="536">
        <f>G32+'19'!H32</f>
        <v>4564307.5399999963</v>
      </c>
      <c r="I32" s="585"/>
      <c r="J32" s="629">
        <f>H32/DAY(B2)</f>
        <v>228215.3769999998</v>
      </c>
      <c r="K32" s="404"/>
      <c r="L32" s="484"/>
      <c r="N32" s="493"/>
      <c r="O32" s="413"/>
    </row>
    <row r="33" spans="1:15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413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'19'!F35</f>
        <v>629027.67000000004</v>
      </c>
      <c r="F35" s="586">
        <v>629027.67000000004</v>
      </c>
      <c r="G35" s="549">
        <f t="shared" ref="G35:G46" si="2">F35-E35</f>
        <v>0</v>
      </c>
      <c r="H35" s="536">
        <f>G35+'19'!H35</f>
        <v>0.67000000004190952</v>
      </c>
      <c r="I35" s="531"/>
      <c r="J35" s="629">
        <f>H35/DAY(B2)</f>
        <v>3.3500000002095479E-2</v>
      </c>
      <c r="K35" s="467">
        <v>1457.2799999999697</v>
      </c>
      <c r="L35" s="408">
        <f>G35-K35</f>
        <v>-1457.2799999999697</v>
      </c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'19'!F36</f>
        <v>268198.84999999998</v>
      </c>
      <c r="F36" s="586">
        <v>268905.96999999997</v>
      </c>
      <c r="G36" s="549">
        <f t="shared" si="2"/>
        <v>707.11999999999534</v>
      </c>
      <c r="H36" s="536">
        <f>G36+'19'!H36</f>
        <v>13814.899999999965</v>
      </c>
      <c r="I36" s="531"/>
      <c r="J36" s="629">
        <f>H36/DAY(B2)</f>
        <v>690.7449999999983</v>
      </c>
      <c r="K36" s="467">
        <v>483.92999999999302</v>
      </c>
      <c r="L36" s="408">
        <f t="shared" ref="L36:L60" si="3">G36-K36</f>
        <v>223.19000000000233</v>
      </c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'19'!F37</f>
        <v>415066</v>
      </c>
      <c r="F37" s="586">
        <v>415066</v>
      </c>
      <c r="G37" s="549">
        <f t="shared" si="2"/>
        <v>0</v>
      </c>
      <c r="H37" s="536">
        <f>G37+'19'!H37</f>
        <v>0</v>
      </c>
      <c r="I37" s="531"/>
      <c r="J37" s="629">
        <f>H37/DAY(B2)</f>
        <v>0</v>
      </c>
      <c r="K37" s="467">
        <v>1173.9200000000128</v>
      </c>
      <c r="L37" s="408">
        <f>G37-K37</f>
        <v>-1173.9200000000128</v>
      </c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'19'!F38</f>
        <v>150714</v>
      </c>
      <c r="F38" s="545">
        <v>150714</v>
      </c>
      <c r="G38" s="549">
        <f t="shared" si="2"/>
        <v>0</v>
      </c>
      <c r="H38" s="536">
        <f>G38+'19'!H38</f>
        <v>0</v>
      </c>
      <c r="I38" s="531"/>
      <c r="J38" s="629">
        <f>H38/DAY(B2)</f>
        <v>0</v>
      </c>
      <c r="K38" s="467">
        <v>0</v>
      </c>
      <c r="L38" s="408">
        <f t="shared" si="3"/>
        <v>0</v>
      </c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'19'!F39</f>
        <v>912480</v>
      </c>
      <c r="F39" s="586">
        <v>912480</v>
      </c>
      <c r="G39" s="549">
        <f t="shared" si="2"/>
        <v>0</v>
      </c>
      <c r="H39" s="536">
        <f>G39+'19'!H39</f>
        <v>0</v>
      </c>
      <c r="I39" s="531"/>
      <c r="J39" s="629">
        <f>H39/DAY(B2)</f>
        <v>0</v>
      </c>
      <c r="K39" s="467">
        <v>1987.0400000000373</v>
      </c>
      <c r="L39" s="408">
        <f t="shared" si="3"/>
        <v>-1987.0400000000373</v>
      </c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'19'!F40</f>
        <v>0</v>
      </c>
      <c r="F40" s="586">
        <v>0</v>
      </c>
      <c r="G40" s="549">
        <f t="shared" si="2"/>
        <v>0</v>
      </c>
      <c r="H40" s="536">
        <f>G40+'19'!H40</f>
        <v>0</v>
      </c>
      <c r="I40" s="531"/>
      <c r="J40" s="629">
        <f>H40/DAY(B2)</f>
        <v>0</v>
      </c>
      <c r="K40" s="468">
        <v>0</v>
      </c>
      <c r="L40" s="408">
        <f t="shared" si="3"/>
        <v>0</v>
      </c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v>0</v>
      </c>
      <c r="F41" s="586">
        <v>2136.44</v>
      </c>
      <c r="G41" s="549">
        <f t="shared" si="2"/>
        <v>2136.44</v>
      </c>
      <c r="H41" s="536">
        <f>G41+'19'!H41</f>
        <v>2136.44</v>
      </c>
      <c r="I41" s="531"/>
      <c r="J41" s="629">
        <f>H41/DAY(B2)</f>
        <v>106.822</v>
      </c>
      <c r="K41" s="467">
        <v>0</v>
      </c>
      <c r="L41" s="408">
        <f t="shared" si="3"/>
        <v>2136.44</v>
      </c>
      <c r="N41" s="413"/>
      <c r="O41" s="821"/>
    </row>
    <row r="42" spans="1:15">
      <c r="A42" s="655" t="s">
        <v>182</v>
      </c>
      <c r="B42" s="656"/>
      <c r="C42" s="656"/>
      <c r="D42" s="599" t="s">
        <v>143</v>
      </c>
      <c r="E42" s="586">
        <f>'19'!F42</f>
        <v>58926.09</v>
      </c>
      <c r="F42" s="586">
        <v>58926.09</v>
      </c>
      <c r="G42" s="549">
        <f t="shared" si="2"/>
        <v>0</v>
      </c>
      <c r="H42" s="536">
        <f>G42+'19'!H42</f>
        <v>0</v>
      </c>
      <c r="I42" s="531"/>
      <c r="J42" s="629">
        <f>H42/DAY(B2)</f>
        <v>0</v>
      </c>
      <c r="K42" s="467">
        <v>3246.4500000000007</v>
      </c>
      <c r="L42" s="408">
        <f t="shared" si="3"/>
        <v>-3246.4500000000007</v>
      </c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'19'!F43</f>
        <v>739749.03</v>
      </c>
      <c r="F43" s="586">
        <v>742160.87</v>
      </c>
      <c r="G43" s="549">
        <f t="shared" si="2"/>
        <v>2411.8399999999674</v>
      </c>
      <c r="H43" s="536">
        <f>G43+'19'!H43</f>
        <v>43907.439999999944</v>
      </c>
      <c r="I43" s="531"/>
      <c r="J43" s="629">
        <f>H43/DAY(B2)</f>
        <v>2195.3719999999971</v>
      </c>
      <c r="K43" s="467">
        <v>1559.2000000000116</v>
      </c>
      <c r="L43" s="408">
        <f t="shared" si="3"/>
        <v>852.63999999995576</v>
      </c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'19'!F44</f>
        <v>0</v>
      </c>
      <c r="F44" s="586">
        <v>0</v>
      </c>
      <c r="G44" s="549">
        <f t="shared" si="2"/>
        <v>0</v>
      </c>
      <c r="H44" s="536">
        <f>G44+'19'!H44</f>
        <v>0</v>
      </c>
      <c r="I44" s="531"/>
      <c r="J44" s="629">
        <f>H44/DAY(B2)</f>
        <v>0</v>
      </c>
      <c r="K44" s="467">
        <v>0</v>
      </c>
      <c r="L44" s="408">
        <f t="shared" si="3"/>
        <v>0</v>
      </c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'19'!F45</f>
        <v>614</v>
      </c>
      <c r="F45" s="586">
        <v>614</v>
      </c>
      <c r="G45" s="549">
        <f t="shared" si="2"/>
        <v>0</v>
      </c>
      <c r="H45" s="536">
        <f>G45+'19'!H45</f>
        <v>-0.48000000000001819</v>
      </c>
      <c r="I45" s="531"/>
      <c r="J45" s="629">
        <f>H45/DAY(B2)</f>
        <v>-2.4000000000000909E-2</v>
      </c>
      <c r="K45" s="467">
        <v>0</v>
      </c>
      <c r="L45" s="408">
        <f t="shared" si="3"/>
        <v>0</v>
      </c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'19'!F46</f>
        <v>187.44</v>
      </c>
      <c r="F46" s="586">
        <v>187.44</v>
      </c>
      <c r="G46" s="549">
        <f t="shared" si="2"/>
        <v>0</v>
      </c>
      <c r="H46" s="536">
        <f>G46+'19'!H46</f>
        <v>-5.0000000000011369E-2</v>
      </c>
      <c r="I46" s="531"/>
      <c r="J46" s="629">
        <f>H46/DAY(B2)</f>
        <v>-2.5000000000005686E-3</v>
      </c>
      <c r="K46" s="467">
        <v>0</v>
      </c>
      <c r="L46" s="408">
        <f t="shared" si="3"/>
        <v>0</v>
      </c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5255.3999999999633</v>
      </c>
      <c r="H47" s="536">
        <f>G47+'19'!H47</f>
        <v>59858.919999999947</v>
      </c>
      <c r="I47" s="531"/>
      <c r="J47" s="629">
        <f>H47/DAY(B2)</f>
        <v>2992.9459999999972</v>
      </c>
      <c r="K47" s="467">
        <v>9907.8200000000252</v>
      </c>
      <c r="L47" s="408">
        <f t="shared" si="3"/>
        <v>-4652.4200000000619</v>
      </c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>
        <f t="shared" si="3"/>
        <v>0</v>
      </c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'19'!F49</f>
        <v>208472.27</v>
      </c>
      <c r="F49" s="586">
        <v>211685.61</v>
      </c>
      <c r="G49" s="549">
        <f t="shared" ref="G49:G58" si="4">F49-E49</f>
        <v>3213.3399999999965</v>
      </c>
      <c r="H49" s="536">
        <f>G49+'19'!H49</f>
        <v>59280.609999999986</v>
      </c>
      <c r="I49" s="531"/>
      <c r="J49" s="629">
        <f>H49/DAY(B2)</f>
        <v>2964.0304999999994</v>
      </c>
      <c r="K49" s="467">
        <v>0</v>
      </c>
      <c r="L49" s="408">
        <f t="shared" si="3"/>
        <v>3213.3399999999965</v>
      </c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'19'!F50</f>
        <v>355373.61</v>
      </c>
      <c r="F50" s="586">
        <v>356627.51</v>
      </c>
      <c r="G50" s="549">
        <f t="shared" si="4"/>
        <v>1253.9000000000233</v>
      </c>
      <c r="H50" s="536">
        <f>G50+'19'!H50</f>
        <v>20410.080000000016</v>
      </c>
      <c r="I50" s="531"/>
      <c r="J50" s="629">
        <f>H50/DAY(B2)</f>
        <v>1020.5040000000008</v>
      </c>
      <c r="K50" s="467">
        <v>631.67000000001281</v>
      </c>
      <c r="L50" s="408">
        <f t="shared" si="3"/>
        <v>622.23000000001048</v>
      </c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'19'!F51</f>
        <v>92267.69</v>
      </c>
      <c r="F51" s="586">
        <v>93773.48</v>
      </c>
      <c r="G51" s="549">
        <f t="shared" si="4"/>
        <v>1505.7899999999936</v>
      </c>
      <c r="H51" s="536">
        <f>G51+'19'!H51</f>
        <v>27615.369999999995</v>
      </c>
      <c r="I51" s="531"/>
      <c r="J51" s="629">
        <f>H51/DAY(B2)</f>
        <v>1380.7684999999997</v>
      </c>
      <c r="K51" s="467">
        <v>0</v>
      </c>
      <c r="L51" s="408">
        <f t="shared" si="3"/>
        <v>1505.7899999999936</v>
      </c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'19'!F52</f>
        <v>471413.67</v>
      </c>
      <c r="F52" s="586">
        <v>473214.79</v>
      </c>
      <c r="G52" s="549">
        <f t="shared" si="4"/>
        <v>1801.1199999999953</v>
      </c>
      <c r="H52" s="536">
        <f>G52+'19'!H52</f>
        <v>37939.159999999974</v>
      </c>
      <c r="I52" s="531"/>
      <c r="J52" s="629">
        <f>H52/DAY(B2)</f>
        <v>1896.9579999999987</v>
      </c>
      <c r="K52" s="467">
        <v>1057.5200000000186</v>
      </c>
      <c r="L52" s="408">
        <f t="shared" si="3"/>
        <v>743.59999999997672</v>
      </c>
      <c r="N52" s="413"/>
      <c r="O52" s="821"/>
    </row>
    <row r="53" spans="1:15">
      <c r="A53" s="655" t="s">
        <v>179</v>
      </c>
      <c r="B53" s="678"/>
      <c r="C53" s="678"/>
      <c r="D53" s="599" t="s">
        <v>143</v>
      </c>
      <c r="E53" s="586">
        <f>'19'!F53</f>
        <v>254228.37</v>
      </c>
      <c r="F53" s="586">
        <v>258349.83</v>
      </c>
      <c r="G53" s="549">
        <f t="shared" si="4"/>
        <v>4121.4599999999919</v>
      </c>
      <c r="H53" s="536">
        <f>G53+'19'!H53</f>
        <v>77284.859999999986</v>
      </c>
      <c r="I53" s="531"/>
      <c r="J53" s="629">
        <f>H53/DAY(B2)</f>
        <v>3864.2429999999995</v>
      </c>
      <c r="K53" s="467">
        <v>106.48999999999978</v>
      </c>
      <c r="L53" s="408">
        <f t="shared" si="3"/>
        <v>4014.9699999999921</v>
      </c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'19'!F54</f>
        <v>5699.52</v>
      </c>
      <c r="F54" s="586">
        <v>5754.15</v>
      </c>
      <c r="G54" s="549">
        <f t="shared" si="4"/>
        <v>54.6299999999992</v>
      </c>
      <c r="H54" s="536">
        <f>G54+'19'!H54</f>
        <v>1107.6099999999997</v>
      </c>
      <c r="I54" s="531"/>
      <c r="J54" s="629">
        <f>H54/DAY(B2)</f>
        <v>55.380499999999984</v>
      </c>
      <c r="K54" s="467">
        <v>0</v>
      </c>
      <c r="L54" s="408">
        <f t="shared" si="3"/>
        <v>54.6299999999992</v>
      </c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'19'!F55</f>
        <v>37065.93</v>
      </c>
      <c r="F55" s="586">
        <v>39120.58</v>
      </c>
      <c r="G55" s="549">
        <f t="shared" si="4"/>
        <v>2054.6500000000015</v>
      </c>
      <c r="H55" s="536">
        <f>G55+'19'!H55</f>
        <v>39120.310000000012</v>
      </c>
      <c r="I55" s="531"/>
      <c r="J55" s="629">
        <f>H55/DAY(B2)</f>
        <v>1956.0155000000007</v>
      </c>
      <c r="K55" s="467">
        <v>0</v>
      </c>
      <c r="L55" s="408">
        <f t="shared" si="3"/>
        <v>2054.6500000000015</v>
      </c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'19'!F56</f>
        <v>557725.39</v>
      </c>
      <c r="F56" s="586">
        <v>557725.39</v>
      </c>
      <c r="G56" s="549">
        <f t="shared" si="4"/>
        <v>0</v>
      </c>
      <c r="H56" s="536">
        <f>G56+'19'!H56</f>
        <v>39824.640000000014</v>
      </c>
      <c r="I56" s="531"/>
      <c r="J56" s="629">
        <f>H56/DAY(B2)</f>
        <v>1991.2320000000007</v>
      </c>
      <c r="K56" s="466">
        <v>0</v>
      </c>
      <c r="L56" s="408">
        <f t="shared" si="3"/>
        <v>0</v>
      </c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'19'!F57</f>
        <v>0</v>
      </c>
      <c r="F57" s="586">
        <v>0</v>
      </c>
      <c r="G57" s="549">
        <f t="shared" si="4"/>
        <v>0</v>
      </c>
      <c r="H57" s="536">
        <f>G57+'19'!H57</f>
        <v>0</v>
      </c>
      <c r="I57" s="531"/>
      <c r="J57" s="629">
        <f>H57/DAY(B2)</f>
        <v>0</v>
      </c>
      <c r="K57" s="467">
        <v>0</v>
      </c>
      <c r="L57" s="408">
        <f t="shared" si="3"/>
        <v>0</v>
      </c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'19'!F58</f>
        <v>28390.04</v>
      </c>
      <c r="F58" s="586">
        <v>28607.77</v>
      </c>
      <c r="G58" s="549">
        <f t="shared" si="4"/>
        <v>217.72999999999956</v>
      </c>
      <c r="H58" s="536">
        <f>G58+'19'!H58</f>
        <v>3452.3600000000006</v>
      </c>
      <c r="I58" s="531"/>
      <c r="J58" s="629">
        <f>H58/DAY(B2)</f>
        <v>172.61800000000002</v>
      </c>
      <c r="K58" s="467">
        <v>0</v>
      </c>
      <c r="L58" s="408">
        <f t="shared" si="3"/>
        <v>217.72999999999956</v>
      </c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14222.62</v>
      </c>
      <c r="H59" s="536">
        <f>G59+'19'!H59</f>
        <v>306035</v>
      </c>
      <c r="I59" s="531">
        <f>G7-G60</f>
        <v>376.98000000003594</v>
      </c>
      <c r="J59" s="629">
        <f>H59/DAY(B2)</f>
        <v>15301.75</v>
      </c>
      <c r="K59" s="467">
        <v>1795.6800000000312</v>
      </c>
      <c r="L59" s="408">
        <f t="shared" si="3"/>
        <v>12426.93999999997</v>
      </c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19478.019999999964</v>
      </c>
      <c r="H60" s="536">
        <f>G60+'19'!H60</f>
        <v>382927.92</v>
      </c>
      <c r="I60" s="531">
        <f>G13-G60</f>
        <v>-310.11999999982436</v>
      </c>
      <c r="J60" s="629">
        <f>H60/DAY(B2)</f>
        <v>19146.396000000001</v>
      </c>
      <c r="K60" s="467">
        <v>11703.500000000056</v>
      </c>
      <c r="L60" s="408">
        <f t="shared" si="3"/>
        <v>7774.5199999999077</v>
      </c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'19'!F62</f>
        <v>20419.2</v>
      </c>
      <c r="F62" s="590">
        <v>20419.2</v>
      </c>
      <c r="G62" s="549">
        <f t="shared" ref="G62:G69" si="5">F62-E62</f>
        <v>0</v>
      </c>
      <c r="H62" s="536">
        <f>G62+'19'!H62</f>
        <v>2.0000000000436557E-2</v>
      </c>
      <c r="I62" s="591"/>
      <c r="J62" s="629">
        <f>H62/DAY(B2)</f>
        <v>1.0000000000218278E-3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'19'!F63</f>
        <v>1210.4100000000001</v>
      </c>
      <c r="F63" s="590">
        <v>1219.9000000000001</v>
      </c>
      <c r="G63" s="549">
        <f t="shared" si="5"/>
        <v>9.4900000000000091</v>
      </c>
      <c r="H63" s="536">
        <f>G63+'19'!H63</f>
        <v>111.99000000000001</v>
      </c>
      <c r="I63" s="591"/>
      <c r="J63" s="629">
        <f>H63/DAY(B2)</f>
        <v>5.5995000000000008</v>
      </c>
      <c r="K63" s="467"/>
      <c r="L63" s="408"/>
      <c r="N63" s="413"/>
      <c r="O63" s="413"/>
    </row>
    <row r="64" spans="1:15" ht="27.75">
      <c r="A64" s="1367" t="s">
        <v>107</v>
      </c>
      <c r="B64" s="1368"/>
      <c r="C64" s="1369"/>
      <c r="D64" s="599" t="s">
        <v>198</v>
      </c>
      <c r="E64" s="560">
        <f>'19'!F64</f>
        <v>106166.04</v>
      </c>
      <c r="F64" s="560">
        <v>106597.67</v>
      </c>
      <c r="G64" s="549">
        <f t="shared" si="5"/>
        <v>431.63000000000466</v>
      </c>
      <c r="H64" s="536">
        <f>G64+'19'!H64</f>
        <v>8174.2700000000041</v>
      </c>
      <c r="I64" s="556"/>
      <c r="J64" s="629">
        <f>H64/DAY(B2)</f>
        <v>408.71350000000018</v>
      </c>
      <c r="K64" s="467"/>
      <c r="L64" s="408"/>
      <c r="N64" s="413"/>
      <c r="O64" s="413"/>
    </row>
    <row r="65" spans="1:15" ht="27.75">
      <c r="A65" s="1367" t="s">
        <v>108</v>
      </c>
      <c r="B65" s="1368"/>
      <c r="C65" s="1369"/>
      <c r="D65" s="599" t="s">
        <v>198</v>
      </c>
      <c r="E65" s="560">
        <f>'19'!F65</f>
        <v>116811.03</v>
      </c>
      <c r="F65" s="560">
        <v>117260.84</v>
      </c>
      <c r="G65" s="549">
        <f t="shared" si="5"/>
        <v>449.80999999999767</v>
      </c>
      <c r="H65" s="536">
        <f>G65+'19'!H65</f>
        <v>8216.7200000000012</v>
      </c>
      <c r="I65" s="565"/>
      <c r="J65" s="629">
        <f>H65/DAY(B2)</f>
        <v>410.83600000000007</v>
      </c>
      <c r="K65" s="467"/>
      <c r="L65" s="408"/>
      <c r="N65" s="413"/>
      <c r="O65" s="413"/>
    </row>
    <row r="66" spans="1:15" ht="27.75">
      <c r="A66" s="1367" t="s">
        <v>109</v>
      </c>
      <c r="B66" s="1368"/>
      <c r="C66" s="1369"/>
      <c r="D66" s="599" t="s">
        <v>198</v>
      </c>
      <c r="E66" s="560">
        <f>'19'!F66</f>
        <v>9380.09</v>
      </c>
      <c r="F66" s="560">
        <v>9761.91</v>
      </c>
      <c r="G66" s="549">
        <f t="shared" si="5"/>
        <v>381.81999999999971</v>
      </c>
      <c r="H66" s="536">
        <f>G66+'19'!H66</f>
        <v>7339.82</v>
      </c>
      <c r="I66" s="556"/>
      <c r="J66" s="629">
        <f>H66/DAY(B2)</f>
        <v>366.99099999999999</v>
      </c>
      <c r="K66" s="467"/>
      <c r="L66" s="408"/>
      <c r="N66" s="413"/>
      <c r="O66" s="413"/>
    </row>
    <row r="67" spans="1:15" ht="27.75">
      <c r="A67" s="1367" t="s">
        <v>110</v>
      </c>
      <c r="B67" s="1368"/>
      <c r="C67" s="1369"/>
      <c r="D67" s="599" t="s">
        <v>198</v>
      </c>
      <c r="E67" s="560">
        <f>'19'!F67</f>
        <v>180787.83</v>
      </c>
      <c r="F67" s="560">
        <v>181446.99</v>
      </c>
      <c r="G67" s="549">
        <f t="shared" si="5"/>
        <v>659.16000000000349</v>
      </c>
      <c r="H67" s="536">
        <f>G67+'19'!H67</f>
        <v>13205.639999999985</v>
      </c>
      <c r="I67" s="565"/>
      <c r="J67" s="629">
        <f>H67/DAY(B2)</f>
        <v>660.28199999999924</v>
      </c>
      <c r="K67" s="468"/>
      <c r="L67" s="408"/>
      <c r="N67" s="413"/>
      <c r="O67" s="413"/>
    </row>
    <row r="68" spans="1:15" ht="27.75">
      <c r="A68" s="1367" t="s">
        <v>111</v>
      </c>
      <c r="B68" s="1368"/>
      <c r="C68" s="1369"/>
      <c r="D68" s="599" t="s">
        <v>198</v>
      </c>
      <c r="E68" s="560">
        <f>'19'!F68</f>
        <v>59451.31</v>
      </c>
      <c r="F68" s="560">
        <v>59762.080000000002</v>
      </c>
      <c r="G68" s="549">
        <f t="shared" si="5"/>
        <v>310.77000000000407</v>
      </c>
      <c r="H68" s="536">
        <f>G68+'19'!H68</f>
        <v>6138.18</v>
      </c>
      <c r="I68" s="592"/>
      <c r="J68" s="629">
        <f>H68/DAY(B2)</f>
        <v>306.90899999999999</v>
      </c>
      <c r="K68" s="469"/>
      <c r="L68" s="408"/>
      <c r="N68" s="413"/>
      <c r="O68" s="413"/>
    </row>
    <row r="69" spans="1:15" ht="27.75">
      <c r="A69" s="1367" t="s">
        <v>112</v>
      </c>
      <c r="B69" s="1368"/>
      <c r="C69" s="1369"/>
      <c r="D69" s="599" t="s">
        <v>198</v>
      </c>
      <c r="E69" s="560">
        <f>'19'!F69</f>
        <v>52064.98</v>
      </c>
      <c r="F69" s="560">
        <v>52354.65</v>
      </c>
      <c r="G69" s="549">
        <f t="shared" si="5"/>
        <v>289.66999999999825</v>
      </c>
      <c r="H69" s="536">
        <f>G69+'19'!H69</f>
        <v>5835.2200000000012</v>
      </c>
      <c r="I69" s="592"/>
      <c r="J69" s="629">
        <f>H69/DAY(B2)</f>
        <v>291.76100000000008</v>
      </c>
      <c r="K69" s="470"/>
      <c r="L69" s="408"/>
      <c r="N69" s="413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413"/>
      <c r="O71" s="413"/>
    </row>
    <row r="72" spans="1:15" ht="27.75">
      <c r="A72" s="1367" t="s">
        <v>202</v>
      </c>
      <c r="B72" s="1368"/>
      <c r="C72" s="1369"/>
      <c r="D72" s="599" t="s">
        <v>198</v>
      </c>
      <c r="E72" s="595">
        <f>'19'!F72</f>
        <v>847679</v>
      </c>
      <c r="F72" s="595">
        <v>847740</v>
      </c>
      <c r="G72" s="549">
        <f t="shared" ref="G72:G84" si="6">F72-E72</f>
        <v>61</v>
      </c>
      <c r="H72" s="536">
        <f>G72+'19'!H72</f>
        <v>1274</v>
      </c>
      <c r="I72" s="556"/>
      <c r="J72" s="629">
        <f>H72/DAY(B2)</f>
        <v>63.7</v>
      </c>
      <c r="K72" s="470"/>
      <c r="L72" s="408"/>
      <c r="N72" s="413"/>
      <c r="O72" s="413"/>
    </row>
    <row r="73" spans="1:15" ht="27.75">
      <c r="A73" s="1367" t="s">
        <v>203</v>
      </c>
      <c r="B73" s="1368"/>
      <c r="C73" s="1369"/>
      <c r="D73" s="599" t="s">
        <v>198</v>
      </c>
      <c r="E73" s="596">
        <f>'19'!F73</f>
        <v>885708</v>
      </c>
      <c r="F73" s="596">
        <v>885709</v>
      </c>
      <c r="G73" s="549">
        <f t="shared" si="6"/>
        <v>1</v>
      </c>
      <c r="H73" s="536">
        <f>G73+'19'!H73</f>
        <v>928</v>
      </c>
      <c r="I73" s="556"/>
      <c r="J73" s="629">
        <f>H73/DAY(B2)</f>
        <v>46.4</v>
      </c>
      <c r="K73" s="469"/>
      <c r="L73" s="408"/>
      <c r="N73" s="413"/>
      <c r="O73" s="413"/>
    </row>
    <row r="74" spans="1:15" ht="27.75">
      <c r="A74" s="1373" t="s">
        <v>204</v>
      </c>
      <c r="B74" s="1374"/>
      <c r="C74" s="1375"/>
      <c r="D74" s="599" t="s">
        <v>198</v>
      </c>
      <c r="E74" s="597">
        <f>'19'!F74</f>
        <v>881981</v>
      </c>
      <c r="F74" s="597">
        <v>882011</v>
      </c>
      <c r="G74" s="549">
        <f t="shared" si="6"/>
        <v>30</v>
      </c>
      <c r="H74" s="536">
        <f>G74+'19'!H74</f>
        <v>696</v>
      </c>
      <c r="I74" s="556"/>
      <c r="J74" s="629">
        <f>H74/DAY(B2)</f>
        <v>34.799999999999997</v>
      </c>
      <c r="K74" s="470"/>
      <c r="L74" s="408"/>
      <c r="N74" s="413"/>
      <c r="O74" s="413"/>
    </row>
    <row r="75" spans="1:15" ht="27.75">
      <c r="A75" s="1364" t="s">
        <v>205</v>
      </c>
      <c r="B75" s="1365"/>
      <c r="C75" s="1366"/>
      <c r="D75" s="599" t="s">
        <v>198</v>
      </c>
      <c r="E75" s="597">
        <f>'19'!F75</f>
        <v>735205</v>
      </c>
      <c r="F75" s="597">
        <v>735379</v>
      </c>
      <c r="G75" s="549">
        <f t="shared" si="6"/>
        <v>174</v>
      </c>
      <c r="H75" s="536">
        <f>G75+'19'!H75</f>
        <v>3738</v>
      </c>
      <c r="I75" s="556"/>
      <c r="J75" s="629">
        <f>H75/DAY(B2)</f>
        <v>186.9</v>
      </c>
      <c r="K75" s="469"/>
      <c r="L75" s="408"/>
      <c r="N75" s="413"/>
      <c r="O75" s="413"/>
    </row>
    <row r="76" spans="1:15" ht="27.75">
      <c r="A76" s="1364" t="s">
        <v>206</v>
      </c>
      <c r="B76" s="1365"/>
      <c r="C76" s="1366"/>
      <c r="D76" s="599" t="s">
        <v>198</v>
      </c>
      <c r="E76" s="596">
        <f>'19'!F76</f>
        <v>686036</v>
      </c>
      <c r="F76" s="735">
        <v>686140</v>
      </c>
      <c r="G76" s="549">
        <f t="shared" si="6"/>
        <v>104</v>
      </c>
      <c r="H76" s="536">
        <f>G76+'19'!H76</f>
        <v>3041</v>
      </c>
      <c r="I76" s="581"/>
      <c r="J76" s="629">
        <f>H76/DAY(B2)</f>
        <v>152.05000000000001</v>
      </c>
      <c r="K76" s="469"/>
      <c r="L76" s="408"/>
      <c r="N76" s="413"/>
      <c r="O76" s="413"/>
    </row>
    <row r="77" spans="1:15" ht="27.75">
      <c r="A77" s="1367" t="s">
        <v>207</v>
      </c>
      <c r="B77" s="1368"/>
      <c r="C77" s="1369"/>
      <c r="D77" s="599" t="s">
        <v>198</v>
      </c>
      <c r="E77" s="597">
        <f>'19'!F77</f>
        <v>696461</v>
      </c>
      <c r="F77" s="597">
        <v>696517</v>
      </c>
      <c r="G77" s="549">
        <f t="shared" si="6"/>
        <v>56</v>
      </c>
      <c r="H77" s="536">
        <f>G77+'19'!H77</f>
        <v>1123</v>
      </c>
      <c r="I77" s="581"/>
      <c r="J77" s="629">
        <f>H77/DAY(B2)</f>
        <v>56.15</v>
      </c>
      <c r="K77" s="469"/>
      <c r="L77" s="408"/>
      <c r="N77" s="413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'19'!F78</f>
        <v>637600</v>
      </c>
      <c r="F78" s="597">
        <v>637957</v>
      </c>
      <c r="G78" s="549">
        <f t="shared" si="6"/>
        <v>357</v>
      </c>
      <c r="H78" s="536">
        <f>G78+'19'!H78</f>
        <v>7184</v>
      </c>
      <c r="I78" s="581"/>
      <c r="J78" s="629">
        <f>H78/DAY(B2)</f>
        <v>359.2</v>
      </c>
      <c r="K78" s="469"/>
      <c r="L78" s="408"/>
      <c r="N78" s="413"/>
      <c r="O78" s="413"/>
    </row>
    <row r="79" spans="1:15" ht="27.75">
      <c r="A79" s="1364" t="s">
        <v>97</v>
      </c>
      <c r="B79" s="1365"/>
      <c r="C79" s="1366"/>
      <c r="D79" s="600" t="s">
        <v>198</v>
      </c>
      <c r="E79" s="597">
        <f>'19'!F79</f>
        <v>807429</v>
      </c>
      <c r="F79" s="597">
        <v>807615</v>
      </c>
      <c r="G79" s="549">
        <f t="shared" si="6"/>
        <v>186</v>
      </c>
      <c r="H79" s="536">
        <f>G79+'19'!H79</f>
        <v>5844</v>
      </c>
      <c r="I79" s="581"/>
      <c r="J79" s="629">
        <f>H79/DAY(B2)</f>
        <v>292.2</v>
      </c>
      <c r="K79" s="469"/>
      <c r="L79" s="408"/>
      <c r="N79" s="413"/>
      <c r="O79" s="413"/>
    </row>
    <row r="80" spans="1:15" ht="27.75">
      <c r="A80" s="1364" t="s">
        <v>209</v>
      </c>
      <c r="B80" s="1365"/>
      <c r="C80" s="1366"/>
      <c r="D80" s="600" t="s">
        <v>198</v>
      </c>
      <c r="E80" s="596">
        <f>'19'!F80</f>
        <v>481427.88</v>
      </c>
      <c r="F80" s="596">
        <v>481733.16</v>
      </c>
      <c r="G80" s="549">
        <f t="shared" si="6"/>
        <v>305.27999999996973</v>
      </c>
      <c r="H80" s="536">
        <f>G80+'19'!H80</f>
        <v>4521.3199999999488</v>
      </c>
      <c r="I80" s="581"/>
      <c r="J80" s="629">
        <f>H80/DAY(B2)</f>
        <v>226.06599999999744</v>
      </c>
      <c r="K80" s="469"/>
      <c r="L80" s="408"/>
      <c r="N80" s="413"/>
      <c r="O80" s="413"/>
    </row>
    <row r="81" spans="1:15" ht="27.75">
      <c r="A81" s="1364" t="s">
        <v>210</v>
      </c>
      <c r="B81" s="1365"/>
      <c r="C81" s="1366"/>
      <c r="D81" s="600" t="s">
        <v>198</v>
      </c>
      <c r="E81" s="596">
        <f>'19'!F81</f>
        <v>621510.04</v>
      </c>
      <c r="F81" s="596">
        <v>621592.43999999994</v>
      </c>
      <c r="G81" s="549">
        <f t="shared" si="6"/>
        <v>82.399999999906868</v>
      </c>
      <c r="H81" s="536">
        <f>G81+'19'!H81</f>
        <v>2338.4399999999441</v>
      </c>
      <c r="I81" s="581"/>
      <c r="J81" s="629">
        <f>H81/DAY(B2)</f>
        <v>116.92199999999721</v>
      </c>
      <c r="K81" s="469"/>
      <c r="L81" s="408"/>
      <c r="N81" s="413"/>
      <c r="O81" s="413"/>
    </row>
    <row r="82" spans="1:15" ht="27.75">
      <c r="A82" s="1364" t="s">
        <v>100</v>
      </c>
      <c r="B82" s="1365"/>
      <c r="C82" s="1366"/>
      <c r="D82" s="561" t="s">
        <v>143</v>
      </c>
      <c r="E82" s="598">
        <f>'19'!F82</f>
        <v>104927.51</v>
      </c>
      <c r="F82" s="598">
        <v>104956.96</v>
      </c>
      <c r="G82" s="549">
        <f t="shared" si="6"/>
        <v>29.450000000011642</v>
      </c>
      <c r="H82" s="536">
        <f>G82+'19'!H82</f>
        <v>518.9600000000064</v>
      </c>
      <c r="I82" s="562"/>
      <c r="J82" s="629">
        <f>H82/DAY(B2)</f>
        <v>25.94800000000032</v>
      </c>
      <c r="K82" s="469"/>
      <c r="L82" s="408"/>
      <c r="N82" s="413"/>
      <c r="O82" s="413"/>
    </row>
    <row r="83" spans="1:15" ht="27.75">
      <c r="A83" s="1364" t="s">
        <v>211</v>
      </c>
      <c r="B83" s="1365"/>
      <c r="C83" s="1366"/>
      <c r="D83" s="697" t="s">
        <v>143</v>
      </c>
      <c r="E83" s="587">
        <f>'19'!F83</f>
        <v>980356</v>
      </c>
      <c r="F83" s="587">
        <v>980657</v>
      </c>
      <c r="G83" s="549">
        <f t="shared" si="6"/>
        <v>301</v>
      </c>
      <c r="H83" s="536">
        <f>G83+'19'!H83</f>
        <v>7186</v>
      </c>
      <c r="I83" s="557"/>
      <c r="J83" s="629">
        <f>H83/DAY(B2)</f>
        <v>359.3</v>
      </c>
      <c r="K83" s="468"/>
      <c r="L83" s="408"/>
      <c r="N83" s="413"/>
      <c r="O83" s="821"/>
    </row>
    <row r="84" spans="1:15">
      <c r="A84" s="1256" t="s">
        <v>212</v>
      </c>
      <c r="B84" s="648"/>
      <c r="C84" s="648"/>
      <c r="D84" s="554" t="s">
        <v>143</v>
      </c>
      <c r="E84" s="704">
        <f>'19'!F84</f>
        <v>409558</v>
      </c>
      <c r="F84" s="704">
        <v>410227</v>
      </c>
      <c r="G84" s="549">
        <f t="shared" si="6"/>
        <v>669</v>
      </c>
      <c r="H84" s="536">
        <f>G84+'19'!H84</f>
        <v>13031</v>
      </c>
      <c r="I84" s="557"/>
      <c r="J84" s="629">
        <f>H84/DAY(B2)</f>
        <v>651.54999999999995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2356.1299999998882</v>
      </c>
      <c r="H85" s="536">
        <f>G85+'19'!H85</f>
        <v>47193.559999999925</v>
      </c>
      <c r="I85" s="557"/>
      <c r="J85" s="629">
        <f>H85/DAY(B2)</f>
        <v>2359.6779999999962</v>
      </c>
      <c r="K85" s="411"/>
      <c r="L85" s="409"/>
      <c r="N85" s="880"/>
      <c r="O85" s="821"/>
    </row>
    <row r="86" spans="1:15" s="835" customFormat="1">
      <c r="A86" s="830" t="s">
        <v>102</v>
      </c>
      <c r="B86" s="831"/>
      <c r="C86" s="831"/>
      <c r="D86" s="832" t="s">
        <v>194</v>
      </c>
      <c r="E86" s="728">
        <f>'19'!F86</f>
        <v>445964.2</v>
      </c>
      <c r="F86" s="728">
        <v>446118.36</v>
      </c>
      <c r="G86" s="805">
        <f t="shared" ref="G86:G90" si="7">F86-E86</f>
        <v>154.15999999997439</v>
      </c>
      <c r="H86" s="805">
        <f t="shared" ref="H86:H90" si="8">G86</f>
        <v>154.15999999997439</v>
      </c>
      <c r="I86" s="733"/>
      <c r="J86" s="807">
        <f>H86/DAY(B2)</f>
        <v>7.7079999999987194</v>
      </c>
      <c r="K86" s="833"/>
      <c r="L86" s="834"/>
      <c r="N86" s="881"/>
      <c r="O86" s="413"/>
    </row>
    <row r="87" spans="1:15" s="835" customFormat="1">
      <c r="A87" s="830" t="s">
        <v>103</v>
      </c>
      <c r="B87" s="831"/>
      <c r="C87" s="831"/>
      <c r="D87" s="832" t="s">
        <v>194</v>
      </c>
      <c r="E87" s="728">
        <f>'19'!F87</f>
        <v>78177.3</v>
      </c>
      <c r="F87" s="728">
        <v>78204.5</v>
      </c>
      <c r="G87" s="805">
        <f t="shared" si="7"/>
        <v>27.19999999999709</v>
      </c>
      <c r="H87" s="805">
        <f t="shared" si="8"/>
        <v>27.19999999999709</v>
      </c>
      <c r="I87" s="733"/>
      <c r="J87" s="807">
        <f>H87/DAY(B2)</f>
        <v>1.3599999999998544</v>
      </c>
      <c r="K87" s="833"/>
      <c r="L87" s="834"/>
      <c r="N87" s="881"/>
      <c r="O87" s="413"/>
    </row>
    <row r="88" spans="1:15" s="835" customFormat="1">
      <c r="A88" s="830" t="s">
        <v>104</v>
      </c>
      <c r="B88" s="831"/>
      <c r="C88" s="831"/>
      <c r="D88" s="832" t="s">
        <v>194</v>
      </c>
      <c r="E88" s="728">
        <f>'19'!F88</f>
        <v>145752.82999999999</v>
      </c>
      <c r="F88" s="728">
        <v>145822.20000000001</v>
      </c>
      <c r="G88" s="805">
        <f t="shared" si="7"/>
        <v>69.370000000024447</v>
      </c>
      <c r="H88" s="805">
        <f t="shared" si="8"/>
        <v>69.370000000024447</v>
      </c>
      <c r="I88" s="733"/>
      <c r="J88" s="807">
        <f>H88/DAY(B2)</f>
        <v>3.4685000000012223</v>
      </c>
      <c r="K88" s="833"/>
      <c r="L88" s="834"/>
      <c r="N88" s="881"/>
      <c r="O88" s="413"/>
    </row>
    <row r="89" spans="1:15" s="835" customFormat="1">
      <c r="A89" s="830" t="s">
        <v>215</v>
      </c>
      <c r="B89" s="831"/>
      <c r="C89" s="831"/>
      <c r="D89" s="832" t="s">
        <v>194</v>
      </c>
      <c r="E89" s="728">
        <f>'19'!F89</f>
        <v>58972.1</v>
      </c>
      <c r="F89" s="728">
        <v>59052.5</v>
      </c>
      <c r="G89" s="805">
        <f t="shared" si="7"/>
        <v>80.400000000001455</v>
      </c>
      <c r="H89" s="805">
        <f t="shared" si="8"/>
        <v>80.400000000001455</v>
      </c>
      <c r="I89" s="733"/>
      <c r="J89" s="807">
        <f>H89/DAY(B2)</f>
        <v>4.0200000000000724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28">
        <f>'19'!F90</f>
        <v>3030.2</v>
      </c>
      <c r="F90" s="728">
        <v>3034.8</v>
      </c>
      <c r="G90" s="805">
        <f t="shared" si="7"/>
        <v>4.6000000000003638</v>
      </c>
      <c r="H90" s="805">
        <f t="shared" si="8"/>
        <v>4.6000000000003638</v>
      </c>
      <c r="I90" s="733"/>
      <c r="J90" s="807">
        <f>H90/DAY(B2)</f>
        <v>0.23000000000001819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80"/>
      <c r="O91" s="413"/>
    </row>
    <row r="92" spans="1:15" ht="27.75">
      <c r="A92" s="1388" t="s">
        <v>217</v>
      </c>
      <c r="B92" s="1389"/>
      <c r="C92" s="1390"/>
      <c r="D92" s="599" t="s">
        <v>155</v>
      </c>
      <c r="E92" s="560">
        <f>'19'!F92</f>
        <v>235501</v>
      </c>
      <c r="F92" s="560">
        <v>235607</v>
      </c>
      <c r="G92" s="549">
        <f t="shared" ref="G92:G93" si="9">F92-E92</f>
        <v>106</v>
      </c>
      <c r="H92" s="536">
        <f>G92+'19'!H92</f>
        <v>1705</v>
      </c>
      <c r="I92" s="556"/>
      <c r="J92" s="629">
        <f>H92/DAY(B2)</f>
        <v>85.25</v>
      </c>
      <c r="K92" s="468"/>
      <c r="L92" s="408"/>
      <c r="N92" s="413"/>
      <c r="O92" s="413"/>
    </row>
    <row r="93" spans="1:15" ht="27.75">
      <c r="A93" s="1388" t="s">
        <v>218</v>
      </c>
      <c r="B93" s="1389"/>
      <c r="C93" s="1390"/>
      <c r="D93" s="599" t="s">
        <v>155</v>
      </c>
      <c r="E93" s="560">
        <f>'19'!F93</f>
        <v>169597</v>
      </c>
      <c r="F93" s="560">
        <v>169744</v>
      </c>
      <c r="G93" s="549">
        <f t="shared" si="9"/>
        <v>147</v>
      </c>
      <c r="H93" s="536">
        <f>G93+'19'!H93</f>
        <v>2828</v>
      </c>
      <c r="I93" s="556"/>
      <c r="J93" s="629">
        <f>H93/DAY(B2)</f>
        <v>141.4</v>
      </c>
      <c r="K93" s="411"/>
      <c r="L93" s="408"/>
      <c r="N93" s="413"/>
      <c r="O93" s="413"/>
    </row>
    <row r="94" spans="1:15">
      <c r="A94" s="1419" t="s">
        <v>219</v>
      </c>
      <c r="B94" s="1420"/>
      <c r="C94" s="1421"/>
      <c r="D94" s="599"/>
      <c r="E94" s="560">
        <f>'19'!F94</f>
        <v>0</v>
      </c>
      <c r="F94" s="560"/>
      <c r="G94" s="549">
        <f>G92+G93</f>
        <v>253</v>
      </c>
      <c r="H94" s="536">
        <f>G94+'19'!H94</f>
        <v>4259</v>
      </c>
      <c r="I94" s="556"/>
      <c r="J94" s="629">
        <f>H94/DAY(B2)</f>
        <v>212.95</v>
      </c>
      <c r="K94" s="411"/>
      <c r="L94" s="408"/>
      <c r="N94" s="413"/>
      <c r="O94" s="413"/>
    </row>
    <row r="95" spans="1:15" ht="27.75">
      <c r="A95" s="1388" t="s">
        <v>220</v>
      </c>
      <c r="B95" s="1389"/>
      <c r="C95" s="1390"/>
      <c r="D95" s="599" t="s">
        <v>155</v>
      </c>
      <c r="E95" s="560">
        <f>'19'!F95</f>
        <v>405039</v>
      </c>
      <c r="F95" s="560">
        <v>405127</v>
      </c>
      <c r="G95" s="549">
        <f t="shared" ref="G95:G100" si="10">F95-E95</f>
        <v>88</v>
      </c>
      <c r="H95" s="536">
        <f>G95+'19'!H95</f>
        <v>1462</v>
      </c>
      <c r="I95" s="556"/>
      <c r="J95" s="629">
        <f>H95/DAY(B2)</f>
        <v>73.099999999999994</v>
      </c>
      <c r="K95" s="411"/>
      <c r="L95" s="408"/>
      <c r="N95" s="413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'19'!F96</f>
        <v>100262</v>
      </c>
      <c r="F96" s="560">
        <v>100278</v>
      </c>
      <c r="G96" s="549">
        <f t="shared" si="10"/>
        <v>16</v>
      </c>
      <c r="H96" s="536">
        <f>G96+'19'!H96</f>
        <v>357</v>
      </c>
      <c r="I96" s="556"/>
      <c r="J96" s="629">
        <f>H96/DAY(B2)</f>
        <v>17.850000000000001</v>
      </c>
      <c r="K96" s="466"/>
      <c r="L96" s="408"/>
      <c r="N96" s="413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'19'!F97</f>
        <v>95416</v>
      </c>
      <c r="F97" s="560">
        <v>95437</v>
      </c>
      <c r="G97" s="549">
        <f t="shared" si="10"/>
        <v>21</v>
      </c>
      <c r="H97" s="536">
        <f>G97+'19'!H97</f>
        <v>410</v>
      </c>
      <c r="I97" s="556"/>
      <c r="J97" s="629">
        <f>H97/DAY(B2)</f>
        <v>20.5</v>
      </c>
      <c r="K97" s="471"/>
      <c r="L97" s="408"/>
      <c r="N97" s="413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'19'!F98</f>
        <v>144906</v>
      </c>
      <c r="F98" s="560">
        <v>144936</v>
      </c>
      <c r="G98" s="549">
        <f t="shared" si="10"/>
        <v>30</v>
      </c>
      <c r="H98" s="536">
        <f>G98+'19'!H98</f>
        <v>1129</v>
      </c>
      <c r="I98" s="556"/>
      <c r="J98" s="629">
        <f>H98/DAY(B2)</f>
        <v>56.45</v>
      </c>
      <c r="K98" s="411"/>
      <c r="L98" s="408"/>
      <c r="N98" s="413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'19'!F99</f>
        <v>5746</v>
      </c>
      <c r="F99" s="560">
        <v>5772</v>
      </c>
      <c r="G99" s="549">
        <f t="shared" si="10"/>
        <v>26</v>
      </c>
      <c r="H99" s="536">
        <f>G99+'19'!H99</f>
        <v>270</v>
      </c>
      <c r="I99" s="556"/>
      <c r="J99" s="629">
        <f>H99/DAY(B2)</f>
        <v>13.5</v>
      </c>
      <c r="K99" s="411"/>
      <c r="L99" s="408"/>
      <c r="N99" s="413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'19'!F100</f>
        <v>4133</v>
      </c>
      <c r="F100" s="560">
        <v>4142</v>
      </c>
      <c r="G100" s="549">
        <f t="shared" si="10"/>
        <v>9</v>
      </c>
      <c r="H100" s="536">
        <f>G100+'19'!H100</f>
        <v>178</v>
      </c>
      <c r="I100" s="556"/>
      <c r="J100" s="629">
        <f>H100/DAY(B2)</f>
        <v>8.9</v>
      </c>
      <c r="K100" s="411"/>
      <c r="L100" s="408"/>
      <c r="N100" s="413"/>
      <c r="O100" s="413"/>
    </row>
    <row r="101" spans="1:15">
      <c r="A101" s="1419" t="s">
        <v>227</v>
      </c>
      <c r="B101" s="1420"/>
      <c r="C101" s="1421"/>
      <c r="D101" s="600"/>
      <c r="E101" s="600"/>
      <c r="F101" s="600"/>
      <c r="G101" s="601">
        <f>SUM(G95:G100)</f>
        <v>190</v>
      </c>
      <c r="H101" s="536">
        <f>G101+'19'!H101</f>
        <v>3806</v>
      </c>
      <c r="I101" s="602"/>
      <c r="J101" s="629">
        <f>H101/DAY(B2)</f>
        <v>190.3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22" t="s">
        <v>229</v>
      </c>
      <c r="B103" s="1423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80" t="s">
        <v>230</v>
      </c>
      <c r="B104" s="1381"/>
      <c r="C104" s="1250"/>
      <c r="D104" s="699" t="s">
        <v>155</v>
      </c>
      <c r="E104" s="608">
        <f>'19'!F104</f>
        <v>7010</v>
      </c>
      <c r="F104" s="608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4.9000000000000004</v>
      </c>
      <c r="N104" s="493"/>
      <c r="O104" s="413"/>
    </row>
    <row r="105" spans="1:15" s="481" customFormat="1" ht="27.75">
      <c r="A105" s="1380" t="s">
        <v>77</v>
      </c>
      <c r="B105" s="1381"/>
      <c r="C105" s="1250"/>
      <c r="D105" s="699" t="s">
        <v>155</v>
      </c>
      <c r="E105" s="610">
        <f>'19'!F105</f>
        <v>35068</v>
      </c>
      <c r="F105" s="610">
        <v>35075</v>
      </c>
      <c r="G105" s="608">
        <f t="shared" ref="G105:G106" si="11">F105-E105</f>
        <v>7</v>
      </c>
      <c r="H105" s="609">
        <f>SUM(G105+'1'!G77)</f>
        <v>68</v>
      </c>
      <c r="I105" s="608"/>
      <c r="J105" s="635">
        <f>H105/DAY(B2)</f>
        <v>3.4</v>
      </c>
      <c r="N105" s="493"/>
      <c r="O105" s="413"/>
    </row>
    <row r="106" spans="1:15" s="481" customFormat="1" ht="27.75">
      <c r="A106" s="1380" t="s">
        <v>78</v>
      </c>
      <c r="B106" s="1424"/>
      <c r="C106" s="1381"/>
      <c r="D106" s="699" t="s">
        <v>155</v>
      </c>
      <c r="E106" s="608">
        <f>'19'!F106</f>
        <v>19016</v>
      </c>
      <c r="F106" s="608">
        <v>19023</v>
      </c>
      <c r="G106" s="608">
        <f t="shared" si="11"/>
        <v>7</v>
      </c>
      <c r="H106" s="609">
        <f>SUM(G106+'1'!G78)</f>
        <v>376</v>
      </c>
      <c r="I106" s="608"/>
      <c r="J106" s="635">
        <f>H106/DAY(B2)</f>
        <v>18.8</v>
      </c>
      <c r="N106" s="493"/>
      <c r="O106" s="413"/>
    </row>
    <row r="107" spans="1:15" s="481" customFormat="1" ht="27.75">
      <c r="A107" s="1382" t="s">
        <v>213</v>
      </c>
      <c r="B107" s="1383"/>
      <c r="C107" s="1250"/>
      <c r="D107" s="699"/>
      <c r="E107" s="608">
        <f>'19'!F107</f>
        <v>0</v>
      </c>
      <c r="F107" s="608"/>
      <c r="G107" s="608">
        <f>SUM(G104:G106)</f>
        <v>14</v>
      </c>
      <c r="H107" s="609">
        <f>SUM(G107+'1'!G79)</f>
        <v>201</v>
      </c>
      <c r="I107" s="608"/>
      <c r="J107" s="635">
        <f>H107/DAY(B2)</f>
        <v>10.050000000000001</v>
      </c>
      <c r="N107" s="493"/>
      <c r="O107" s="413"/>
    </row>
    <row r="108" spans="1:15" s="481" customFormat="1" ht="27.75">
      <c r="A108" s="1386" t="s">
        <v>79</v>
      </c>
      <c r="B108" s="1387"/>
      <c r="C108" s="1250"/>
      <c r="D108" s="699" t="s">
        <v>155</v>
      </c>
      <c r="E108" s="608">
        <f>'19'!F108</f>
        <v>0</v>
      </c>
      <c r="F108" s="608"/>
      <c r="G108" s="608"/>
      <c r="H108" s="609"/>
      <c r="I108" s="608"/>
      <c r="J108" s="635"/>
      <c r="N108" s="493"/>
      <c r="O108" s="413"/>
    </row>
    <row r="109" spans="1:15" s="481" customFormat="1" ht="27.75">
      <c r="A109" s="1380" t="s">
        <v>231</v>
      </c>
      <c r="B109" s="1381"/>
      <c r="C109" s="1250"/>
      <c r="D109" s="699" t="s">
        <v>155</v>
      </c>
      <c r="E109" s="608">
        <f>'19'!F109</f>
        <v>54047</v>
      </c>
      <c r="F109" s="608">
        <v>54105</v>
      </c>
      <c r="G109" s="608">
        <f>F109-E109</f>
        <v>58</v>
      </c>
      <c r="H109" s="609">
        <f>SUM(G109+'1'!G81)</f>
        <v>187</v>
      </c>
      <c r="I109" s="608"/>
      <c r="J109" s="635">
        <f>H109/DAY(B2)</f>
        <v>9.35</v>
      </c>
      <c r="N109" s="493"/>
      <c r="O109" s="413"/>
    </row>
    <row r="110" spans="1:15" s="481" customFormat="1" ht="27.75">
      <c r="A110" s="1380" t="s">
        <v>232</v>
      </c>
      <c r="B110" s="1381"/>
      <c r="C110" s="1250"/>
      <c r="D110" s="699" t="s">
        <v>155</v>
      </c>
      <c r="E110" s="608">
        <f>'19'!F110</f>
        <v>27932</v>
      </c>
      <c r="F110" s="608">
        <v>27973</v>
      </c>
      <c r="G110" s="608">
        <f t="shared" ref="G110:G111" si="12">F110-E110</f>
        <v>41</v>
      </c>
      <c r="H110" s="609">
        <f>SUM(G110+'1'!G82)</f>
        <v>64</v>
      </c>
      <c r="I110" s="608"/>
      <c r="J110" s="635">
        <f>H110/DAY(B2)</f>
        <v>3.2</v>
      </c>
      <c r="N110" s="493"/>
      <c r="O110" s="413"/>
    </row>
    <row r="111" spans="1:15" s="481" customFormat="1" ht="27.75">
      <c r="A111" s="1380" t="s">
        <v>233</v>
      </c>
      <c r="B111" s="1381"/>
      <c r="C111" s="1250"/>
      <c r="D111" s="699" t="s">
        <v>155</v>
      </c>
      <c r="E111" s="608">
        <f>'19'!F111</f>
        <v>3677</v>
      </c>
      <c r="F111" s="608">
        <v>3677</v>
      </c>
      <c r="G111" s="608">
        <f t="shared" si="12"/>
        <v>0</v>
      </c>
      <c r="H111" s="609">
        <f>SUM(G111+'1'!G83)</f>
        <v>333</v>
      </c>
      <c r="I111" s="608"/>
      <c r="J111" s="635">
        <f>H111/DAY(B2)</f>
        <v>16.649999999999999</v>
      </c>
      <c r="N111" s="493"/>
      <c r="O111" s="413"/>
    </row>
    <row r="112" spans="1:15" s="481" customFormat="1" ht="27.75">
      <c r="A112" s="1384" t="s">
        <v>121</v>
      </c>
      <c r="B112" s="1385"/>
      <c r="C112" s="1250"/>
      <c r="D112" s="699"/>
      <c r="E112" s="608">
        <f>'19'!F112</f>
        <v>0</v>
      </c>
      <c r="F112" s="608"/>
      <c r="G112" s="608">
        <f>SUM(G109:G111)</f>
        <v>99</v>
      </c>
      <c r="H112" s="609">
        <f>SUM(G112+'1'!G84)</f>
        <v>545</v>
      </c>
      <c r="I112" s="608"/>
      <c r="J112" s="635">
        <f>H112/DAY(B2)</f>
        <v>27.25</v>
      </c>
      <c r="N112" s="493"/>
      <c r="O112" s="413"/>
    </row>
    <row r="113" spans="1:15" s="481" customFormat="1" ht="27.75">
      <c r="A113" s="1386" t="s">
        <v>234</v>
      </c>
      <c r="B113" s="1387"/>
      <c r="C113" s="1250"/>
      <c r="D113" s="699"/>
      <c r="E113" s="608">
        <f>'19'!F113</f>
        <v>0</v>
      </c>
      <c r="F113" s="608"/>
      <c r="G113" s="608"/>
      <c r="H113" s="609"/>
      <c r="I113" s="608"/>
      <c r="J113" s="635">
        <f>H113/DAY(B2)</f>
        <v>0</v>
      </c>
      <c r="N113" s="493"/>
      <c r="O113" s="413"/>
    </row>
    <row r="114" spans="1:15" s="481" customFormat="1" ht="27.75">
      <c r="A114" s="1380" t="s">
        <v>235</v>
      </c>
      <c r="B114" s="1381"/>
      <c r="C114" s="651"/>
      <c r="D114" s="699" t="s">
        <v>155</v>
      </c>
      <c r="E114" s="610">
        <f>'19'!F114</f>
        <v>9534</v>
      </c>
      <c r="F114" s="610">
        <v>9564</v>
      </c>
      <c r="G114" s="610">
        <f>F114-E114</f>
        <v>30</v>
      </c>
      <c r="H114" s="609">
        <f>SUM(G114+'1'!G91)</f>
        <v>30</v>
      </c>
      <c r="I114" s="608"/>
      <c r="J114" s="635">
        <f>H114/DAY(B2)</f>
        <v>1.5</v>
      </c>
      <c r="N114" s="493"/>
      <c r="O114" s="413"/>
    </row>
    <row r="115" spans="1:15" s="481" customFormat="1" ht="27.75">
      <c r="A115" s="1380" t="s">
        <v>236</v>
      </c>
      <c r="B115" s="1381"/>
      <c r="C115" s="651"/>
      <c r="D115" s="699" t="s">
        <v>155</v>
      </c>
      <c r="E115" s="610">
        <f>'19'!F115</f>
        <v>7336</v>
      </c>
      <c r="F115" s="610">
        <v>7346</v>
      </c>
      <c r="G115" s="610">
        <f t="shared" ref="G115:G116" si="13">F115-E115</f>
        <v>10</v>
      </c>
      <c r="H115" s="609">
        <f>SUM(G115+'1'!G92)</f>
        <v>143</v>
      </c>
      <c r="I115" s="608"/>
      <c r="J115" s="635">
        <f>H115/DAY(B2)</f>
        <v>7.15</v>
      </c>
      <c r="N115" s="493"/>
      <c r="O115" s="413"/>
    </row>
    <row r="116" spans="1:15" s="481" customFormat="1" ht="27.75">
      <c r="A116" s="1380" t="s">
        <v>237</v>
      </c>
      <c r="B116" s="1381"/>
      <c r="C116" s="651"/>
      <c r="D116" s="699" t="s">
        <v>155</v>
      </c>
      <c r="E116" s="610"/>
      <c r="F116" s="610"/>
      <c r="G116" s="610">
        <f t="shared" si="13"/>
        <v>0</v>
      </c>
      <c r="H116" s="609">
        <f>SUM(G116+'1'!G93)</f>
        <v>141</v>
      </c>
      <c r="I116" s="608"/>
      <c r="J116" s="635">
        <f>H116/DAY(B2)</f>
        <v>7.05</v>
      </c>
      <c r="N116" s="493"/>
      <c r="O116" s="413"/>
    </row>
    <row r="117" spans="1:15" s="494" customFormat="1" ht="27.75">
      <c r="A117" s="1382" t="s">
        <v>213</v>
      </c>
      <c r="B117" s="1383"/>
      <c r="C117" s="651"/>
      <c r="D117" s="700"/>
      <c r="E117" s="610"/>
      <c r="F117" s="610"/>
      <c r="G117" s="610">
        <f>SUM(G114:G116)</f>
        <v>40</v>
      </c>
      <c r="H117" s="609">
        <f>SUM(G117+'1'!G95)</f>
        <v>100</v>
      </c>
      <c r="I117" s="610"/>
      <c r="J117" s="635">
        <f>H117/DAY(B2)</f>
        <v>5</v>
      </c>
      <c r="N117" s="522"/>
      <c r="O117" s="413"/>
    </row>
    <row r="118" spans="1:15" s="495" customFormat="1" ht="27.75">
      <c r="A118" s="1376" t="s">
        <v>238</v>
      </c>
      <c r="B118" s="1377"/>
      <c r="C118" s="1249"/>
      <c r="D118" s="701" t="s">
        <v>155</v>
      </c>
      <c r="E118" s="612"/>
      <c r="F118" s="612">
        <f>SUM(G19+G92)</f>
        <v>156</v>
      </c>
      <c r="G118" s="612">
        <f>SUM(G19+G92)</f>
        <v>156</v>
      </c>
      <c r="H118" s="609">
        <f>SUM(G118+'1'!G96)</f>
        <v>189</v>
      </c>
      <c r="I118" s="611"/>
      <c r="J118" s="636">
        <f>H118/DAY(B2)</f>
        <v>9.4499999999999993</v>
      </c>
      <c r="N118" s="882"/>
      <c r="O118" s="413"/>
    </row>
    <row r="119" spans="1:15" s="495" customFormat="1" ht="27.75">
      <c r="A119" s="1376" t="s">
        <v>239</v>
      </c>
      <c r="B119" s="1377"/>
      <c r="C119" s="1249"/>
      <c r="D119" s="701" t="s">
        <v>155</v>
      </c>
      <c r="E119" s="612"/>
      <c r="F119" s="612">
        <f>SUM(G95,G96,G97,G99,G100)</f>
        <v>160</v>
      </c>
      <c r="G119" s="612">
        <f>SUM(G95,G96,G97,G99,G100)</f>
        <v>160</v>
      </c>
      <c r="H119" s="609">
        <f>SUM(G119+'1'!G98)</f>
        <v>210</v>
      </c>
      <c r="I119" s="611"/>
      <c r="J119" s="636">
        <f>H119/DAY(B2)</f>
        <v>10.5</v>
      </c>
      <c r="N119" s="882"/>
      <c r="O119" s="413"/>
    </row>
    <row r="120" spans="1:15" s="495" customFormat="1" ht="27.75">
      <c r="A120" s="1376" t="s">
        <v>240</v>
      </c>
      <c r="B120" s="1377"/>
      <c r="C120" s="1249"/>
      <c r="D120" s="701" t="s">
        <v>155</v>
      </c>
      <c r="E120" s="610"/>
      <c r="F120" s="610">
        <f>SUM(G112)</f>
        <v>99</v>
      </c>
      <c r="G120" s="610">
        <f>SUM(G112)</f>
        <v>99</v>
      </c>
      <c r="H120" s="609">
        <f>SUM(G120+'1'!G100)</f>
        <v>116</v>
      </c>
      <c r="I120" s="611"/>
      <c r="J120" s="636">
        <f>H120/DAY(B2)</f>
        <v>5.8</v>
      </c>
      <c r="N120" s="882"/>
      <c r="O120" s="413"/>
    </row>
    <row r="121" spans="1:15" s="481" customFormat="1" ht="27.75">
      <c r="A121" s="1378"/>
      <c r="B121" s="1379"/>
      <c r="C121" s="1250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416" t="s">
        <v>241</v>
      </c>
      <c r="B122" s="1417"/>
      <c r="C122" s="1418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f>'19'!F123</f>
        <v>800211</v>
      </c>
      <c r="F123" s="554">
        <v>800460.84</v>
      </c>
      <c r="G123" s="549">
        <f t="shared" ref="G123:G127" si="14">F123-E123</f>
        <v>249.8399999999674</v>
      </c>
      <c r="H123" s="536">
        <f>G123+'19'!H123</f>
        <v>5036.7899999999208</v>
      </c>
      <c r="I123" s="602"/>
      <c r="J123" s="629">
        <f>H123/DAY(B2)</f>
        <v>251.83949999999604</v>
      </c>
      <c r="K123" s="411"/>
      <c r="L123" s="408"/>
      <c r="N123" s="413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703">
        <f>'19'!F124</f>
        <v>73582.3</v>
      </c>
      <c r="F124" s="703">
        <v>73582.3</v>
      </c>
      <c r="G124" s="549">
        <f t="shared" si="14"/>
        <v>0</v>
      </c>
      <c r="H124" s="536">
        <f>G124+'19'!H124</f>
        <v>0.10000000000582077</v>
      </c>
      <c r="I124" s="602"/>
      <c r="J124" s="629">
        <f>H124/DAY(B2)</f>
        <v>5.0000000002910381E-3</v>
      </c>
      <c r="K124" s="411"/>
      <c r="L124" s="408"/>
      <c r="N124" s="413"/>
      <c r="O124" s="413"/>
    </row>
    <row r="125" spans="1:15" ht="27.75">
      <c r="A125" s="1367" t="s">
        <v>244</v>
      </c>
      <c r="B125" s="1368"/>
      <c r="C125" s="1369"/>
      <c r="D125" s="599" t="s">
        <v>152</v>
      </c>
      <c r="E125" s="554">
        <f>'19'!F125</f>
        <v>136994.22</v>
      </c>
      <c r="F125" s="554">
        <v>137080.29</v>
      </c>
      <c r="G125" s="549">
        <f t="shared" si="14"/>
        <v>86.070000000006985</v>
      </c>
      <c r="H125" s="536">
        <f>G125+'19'!H125</f>
        <v>1489.6199999999953</v>
      </c>
      <c r="I125" s="602"/>
      <c r="J125" s="629">
        <f>H125/DAY(B2)</f>
        <v>74.480999999999767</v>
      </c>
      <c r="K125" s="411"/>
      <c r="L125" s="408"/>
      <c r="N125" s="413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703">
        <f>'19'!F126</f>
        <v>57993.9</v>
      </c>
      <c r="F126" s="703">
        <v>58027.5</v>
      </c>
      <c r="G126" s="549">
        <f t="shared" si="14"/>
        <v>33.599999999998545</v>
      </c>
      <c r="H126" s="536">
        <f>G126+'19'!H126</f>
        <v>646.5</v>
      </c>
      <c r="I126" s="602"/>
      <c r="J126" s="629">
        <f>H126/DAY(B2)</f>
        <v>32.325000000000003</v>
      </c>
      <c r="K126" s="411"/>
      <c r="L126" s="408"/>
      <c r="N126" s="413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703">
        <f>'19'!F127</f>
        <v>8769.9</v>
      </c>
      <c r="F127" s="703">
        <v>8777.1</v>
      </c>
      <c r="G127" s="549">
        <f t="shared" si="14"/>
        <v>7.2000000000007276</v>
      </c>
      <c r="H127" s="536">
        <f>G127+'19'!H127</f>
        <v>71.100000000000364</v>
      </c>
      <c r="I127" s="556"/>
      <c r="J127" s="629">
        <f>H127/DAY(B2)</f>
        <v>3.5550000000000184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553.36000000009153</v>
      </c>
      <c r="H128" s="536">
        <f>G128+'19'!H128</f>
        <v>2863.1300000001065</v>
      </c>
      <c r="I128" s="556"/>
      <c r="J128" s="629">
        <f>H128/DAY(B2)</f>
        <v>143.15650000000534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f>'19'!F130</f>
        <v>0</v>
      </c>
      <c r="F130" s="560">
        <v>0</v>
      </c>
      <c r="G130" s="549">
        <f t="shared" ref="G130:G140" si="15">F130-E130</f>
        <v>0</v>
      </c>
      <c r="H130" s="536">
        <f>G130+'19'!H130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f>'19'!F131</f>
        <v>0</v>
      </c>
      <c r="F131" s="560">
        <v>0</v>
      </c>
      <c r="G131" s="549">
        <f t="shared" si="15"/>
        <v>0</v>
      </c>
      <c r="H131" s="536">
        <f>G131+'19'!H131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v>38829.480000000003</v>
      </c>
      <c r="F132" s="618">
        <v>38841.050000000003</v>
      </c>
      <c r="G132" s="549">
        <f t="shared" si="15"/>
        <v>11.569999999999709</v>
      </c>
      <c r="H132" s="536">
        <f>G132+'19'!H132</f>
        <v>11.569999999999709</v>
      </c>
      <c r="I132" s="556"/>
      <c r="J132" s="629">
        <f>H132/DAY(B2)</f>
        <v>0.57849999999998547</v>
      </c>
      <c r="N132" s="413"/>
      <c r="O132" s="413"/>
    </row>
    <row r="133" spans="1:15" s="480" customFormat="1" ht="27.75">
      <c r="A133" s="1179" t="s">
        <v>253</v>
      </c>
      <c r="B133" s="1180"/>
      <c r="C133" s="1180"/>
      <c r="D133" s="704" t="s">
        <v>250</v>
      </c>
      <c r="E133" s="618">
        <f>'19'!F133</f>
        <v>299</v>
      </c>
      <c r="F133" s="618">
        <v>299.02</v>
      </c>
      <c r="G133" s="733">
        <f t="shared" si="15"/>
        <v>1.999999999998181E-2</v>
      </c>
      <c r="H133" s="805">
        <f>G133+'19'!H133</f>
        <v>1.999999999998181E-2</v>
      </c>
      <c r="I133" s="1181">
        <f>G130+G131+G132+G133</f>
        <v>11.589999999999691</v>
      </c>
      <c r="J133" s="807">
        <f>H133/DAY(B2)</f>
        <v>9.9999999999909059E-4</v>
      </c>
      <c r="N133" s="813"/>
      <c r="O133" s="813"/>
    </row>
    <row r="134" spans="1:15" ht="27.75">
      <c r="A134" s="1252" t="s">
        <v>254</v>
      </c>
      <c r="B134" s="1253"/>
      <c r="C134" s="1253"/>
      <c r="D134" s="599" t="s">
        <v>250</v>
      </c>
      <c r="E134" s="618">
        <f>'19'!F134</f>
        <v>39937.39</v>
      </c>
      <c r="F134" s="618">
        <v>39951.050000000003</v>
      </c>
      <c r="G134" s="549">
        <f t="shared" si="15"/>
        <v>13.660000000003492</v>
      </c>
      <c r="H134" s="536">
        <f>G134+'19'!H134</f>
        <v>216.05000000000291</v>
      </c>
      <c r="I134" s="556"/>
      <c r="J134" s="629">
        <f>H134/DAY(B2)</f>
        <v>10.802500000000146</v>
      </c>
      <c r="N134" s="413"/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618">
        <f>'19'!F135</f>
        <v>32423</v>
      </c>
      <c r="F135" s="618">
        <v>32423</v>
      </c>
      <c r="G135" s="549">
        <f t="shared" si="15"/>
        <v>0</v>
      </c>
      <c r="H135" s="536">
        <f>G135+'19'!H135</f>
        <v>255.61000000000058</v>
      </c>
      <c r="I135" s="556"/>
      <c r="J135" s="629">
        <f>H135/DAY(B2)</f>
        <v>12.780500000000028</v>
      </c>
      <c r="N135" s="413"/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f>'19'!F136</f>
        <v>21927.35</v>
      </c>
      <c r="F136" s="618">
        <v>21935.87</v>
      </c>
      <c r="G136" s="549">
        <f t="shared" si="15"/>
        <v>8.5200000000004366</v>
      </c>
      <c r="H136" s="536">
        <f>G136+'19'!H136</f>
        <v>134.16999999999825</v>
      </c>
      <c r="I136" s="556">
        <f>G134+G135+G136</f>
        <v>22.180000000003929</v>
      </c>
      <c r="J136" s="629">
        <f>H136/DAY(B2)</f>
        <v>6.7084999999999129</v>
      </c>
      <c r="N136" s="413"/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f>'19'!F137</f>
        <v>25000.560000000001</v>
      </c>
      <c r="F137" s="618">
        <v>25000.560000000001</v>
      </c>
      <c r="G137" s="549">
        <f t="shared" si="15"/>
        <v>0</v>
      </c>
      <c r="H137" s="536">
        <f>G137+'19'!H137</f>
        <v>9.9500000000007276</v>
      </c>
      <c r="I137" s="556"/>
      <c r="J137" s="629">
        <f>H137/DAY(B2)</f>
        <v>0.49750000000003636</v>
      </c>
      <c r="N137" s="413"/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f>'19'!F138</f>
        <v>70054.05</v>
      </c>
      <c r="F138" s="618">
        <v>70057.8</v>
      </c>
      <c r="G138" s="549">
        <f t="shared" si="15"/>
        <v>3.75</v>
      </c>
      <c r="H138" s="536">
        <f>G138+'19'!H138</f>
        <v>51.430000000007567</v>
      </c>
      <c r="I138" s="556">
        <f>G137+G138</f>
        <v>3.75</v>
      </c>
      <c r="J138" s="629">
        <f>H138/DAY(B2)</f>
        <v>2.5715000000003783</v>
      </c>
      <c r="N138" s="413"/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60">
        <f>'19'!F139</f>
        <v>1110.3499999999999</v>
      </c>
      <c r="F139" s="560">
        <v>1117.28</v>
      </c>
      <c r="G139" s="549">
        <f t="shared" si="15"/>
        <v>6.9300000000000637</v>
      </c>
      <c r="H139" s="536">
        <f>G139+'19'!H139</f>
        <v>54.279999999999973</v>
      </c>
      <c r="I139" s="619"/>
      <c r="J139" s="629">
        <f>H139/DAY(B2)</f>
        <v>2.7139999999999986</v>
      </c>
      <c r="N139" s="413"/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60">
        <f>'19'!F140</f>
        <v>4333.53</v>
      </c>
      <c r="F140" s="560">
        <v>4333.53</v>
      </c>
      <c r="G140" s="549">
        <f t="shared" si="15"/>
        <v>0</v>
      </c>
      <c r="H140" s="536">
        <f>G140+'19'!H140</f>
        <v>101.11999999999989</v>
      </c>
      <c r="I140" s="619"/>
      <c r="J140" s="629">
        <f>H140/DAY(B2)</f>
        <v>5.0559999999999947</v>
      </c>
      <c r="N140" s="413"/>
      <c r="O140" s="413"/>
    </row>
    <row r="141" spans="1:15">
      <c r="A141" s="1397" t="s">
        <v>261</v>
      </c>
      <c r="B141" s="1398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388" t="s">
        <v>262</v>
      </c>
      <c r="B142" s="1389"/>
      <c r="C142" s="1390"/>
      <c r="D142" s="599" t="s">
        <v>143</v>
      </c>
      <c r="E142" s="599"/>
      <c r="F142" s="599"/>
      <c r="G142" s="536">
        <f>G35+G43+G49+G57</f>
        <v>5625.1799999999639</v>
      </c>
      <c r="H142" s="536">
        <f>G142+'19'!H142</f>
        <v>103365.59999999995</v>
      </c>
      <c r="I142" s="556"/>
      <c r="J142" s="629">
        <f>H142/DAY(B2)</f>
        <v>5168.279999999997</v>
      </c>
      <c r="K142" s="411"/>
      <c r="L142" s="408"/>
      <c r="N142" s="413"/>
      <c r="O142" s="413"/>
    </row>
    <row r="143" spans="1:15" ht="27.75">
      <c r="A143" s="1388" t="s">
        <v>263</v>
      </c>
      <c r="B143" s="1389"/>
      <c r="C143" s="1390"/>
      <c r="D143" s="599" t="s">
        <v>24</v>
      </c>
      <c r="E143" s="587"/>
      <c r="F143" s="587"/>
      <c r="G143" s="620">
        <f>G142/G7</f>
        <v>0.2833130193905799</v>
      </c>
      <c r="H143" s="536">
        <f>G143+'19'!H143</f>
        <v>5.1169126259330886</v>
      </c>
      <c r="I143" s="621"/>
      <c r="J143" s="629">
        <f>H143/DAY(B2)</f>
        <v>0.25584563129665444</v>
      </c>
      <c r="K143" s="411"/>
      <c r="L143" s="408"/>
      <c r="N143" s="413"/>
      <c r="O143" s="413"/>
    </row>
    <row r="144" spans="1:15" ht="27.75">
      <c r="A144" s="1388" t="s">
        <v>264</v>
      </c>
      <c r="B144" s="1389"/>
      <c r="C144" s="1390"/>
      <c r="D144" s="599" t="s">
        <v>143</v>
      </c>
      <c r="E144" s="531"/>
      <c r="F144" s="531"/>
      <c r="G144" s="536">
        <f>G41+G42+G55+G56</f>
        <v>4191.090000000002</v>
      </c>
      <c r="H144" s="536">
        <f>G144+'19'!H144</f>
        <v>85770.390000000029</v>
      </c>
      <c r="I144" s="556"/>
      <c r="J144" s="629">
        <f>H144/DAY(B2)</f>
        <v>4288.5195000000012</v>
      </c>
      <c r="K144" s="411"/>
      <c r="L144" s="408"/>
      <c r="N144" s="413"/>
      <c r="O144" s="413"/>
    </row>
    <row r="145" spans="1:15" ht="27.75">
      <c r="A145" s="1388" t="s">
        <v>265</v>
      </c>
      <c r="B145" s="1389"/>
      <c r="C145" s="1390"/>
      <c r="D145" s="599" t="s">
        <v>24</v>
      </c>
      <c r="E145" s="531"/>
      <c r="F145" s="531"/>
      <c r="G145" s="620">
        <f>G144/G7</f>
        <v>0.21108486527323103</v>
      </c>
      <c r="H145" s="536">
        <f>G145+'19'!H145</f>
        <v>4.3753051202856232</v>
      </c>
      <c r="I145" s="621"/>
      <c r="J145" s="629">
        <f>H145/DAY(B2)</f>
        <v>0.21876525601428115</v>
      </c>
      <c r="K145" s="411"/>
      <c r="L145" s="408"/>
      <c r="N145" s="413"/>
      <c r="O145" s="413"/>
    </row>
    <row r="146" spans="1:15" ht="27.75">
      <c r="A146" s="1388" t="s">
        <v>266</v>
      </c>
      <c r="B146" s="1389"/>
      <c r="C146" s="1390"/>
      <c r="D146" s="599" t="s">
        <v>143</v>
      </c>
      <c r="E146" s="531"/>
      <c r="F146" s="531"/>
      <c r="G146" s="536">
        <f>G39+G53</f>
        <v>4121.4599999999919</v>
      </c>
      <c r="H146" s="536">
        <f>G146+'19'!H146</f>
        <v>81747.859999999986</v>
      </c>
      <c r="I146" s="622"/>
      <c r="J146" s="629">
        <f>H146/DAY(B2)</f>
        <v>4087.3929999999991</v>
      </c>
      <c r="K146" s="411"/>
      <c r="L146" s="408"/>
      <c r="N146" s="413"/>
      <c r="O146" s="413"/>
    </row>
    <row r="147" spans="1:15" ht="27.75">
      <c r="A147" s="1388" t="s">
        <v>267</v>
      </c>
      <c r="B147" s="1389"/>
      <c r="C147" s="1390"/>
      <c r="D147" s="599" t="s">
        <v>24</v>
      </c>
      <c r="E147" s="531"/>
      <c r="F147" s="531"/>
      <c r="G147" s="620">
        <f>G146/G7</f>
        <v>0.20757794006547428</v>
      </c>
      <c r="H147" s="536">
        <f>G147+'19'!H147</f>
        <v>4.1810059121664711</v>
      </c>
      <c r="I147" s="622"/>
      <c r="J147" s="629">
        <f>H147/DAY(B2)</f>
        <v>0.20905029560832356</v>
      </c>
      <c r="N147" s="413"/>
      <c r="O147" s="413"/>
    </row>
    <row r="148" spans="1:15" ht="27.75">
      <c r="A148" s="1388" t="s">
        <v>268</v>
      </c>
      <c r="B148" s="1389"/>
      <c r="C148" s="1390"/>
      <c r="D148" s="599" t="s">
        <v>194</v>
      </c>
      <c r="E148" s="531"/>
      <c r="F148" s="531"/>
      <c r="G148" s="536">
        <f>G38+G52</f>
        <v>1801.1199999999953</v>
      </c>
      <c r="H148" s="536">
        <f>G148+'19'!H148</f>
        <v>40035.159999999974</v>
      </c>
      <c r="I148" s="556"/>
      <c r="J148" s="629">
        <f>H148/DAY(B2)</f>
        <v>2001.7579999999987</v>
      </c>
      <c r="K148" s="412"/>
      <c r="N148" s="413"/>
      <c r="O148" s="413"/>
    </row>
    <row r="149" spans="1:15" ht="27.75">
      <c r="A149" s="1388" t="s">
        <v>269</v>
      </c>
      <c r="B149" s="1389"/>
      <c r="C149" s="1390"/>
      <c r="D149" s="599" t="s">
        <v>24</v>
      </c>
      <c r="E149" s="531"/>
      <c r="F149" s="531"/>
      <c r="G149" s="620">
        <f>G148/G7</f>
        <v>9.0713674137496619E-2</v>
      </c>
      <c r="H149" s="536">
        <f>G149+'19'!H149</f>
        <v>2.0491167990150201</v>
      </c>
      <c r="I149" s="622"/>
      <c r="J149" s="629">
        <f>H149/DAY(B2)</f>
        <v>0.102455839950751</v>
      </c>
      <c r="N149" s="413"/>
      <c r="O149" s="413"/>
    </row>
    <row r="150" spans="1:15" ht="27.75">
      <c r="A150" s="1388" t="s">
        <v>270</v>
      </c>
      <c r="B150" s="1389"/>
      <c r="C150" s="1390"/>
      <c r="D150" s="599" t="s">
        <v>194</v>
      </c>
      <c r="E150" s="531"/>
      <c r="F150" s="531"/>
      <c r="G150" s="536">
        <f>G36+G50</f>
        <v>1961.0200000000186</v>
      </c>
      <c r="H150" s="536">
        <f>G150+'19'!H150</f>
        <v>35541.979999999981</v>
      </c>
      <c r="I150" s="622"/>
      <c r="J150" s="629">
        <f>H150/DAY(B2)</f>
        <v>1777.098999999999</v>
      </c>
      <c r="N150" s="413"/>
      <c r="O150" s="413"/>
    </row>
    <row r="151" spans="1:15" ht="27.75">
      <c r="A151" s="1388" t="s">
        <v>271</v>
      </c>
      <c r="B151" s="1389"/>
      <c r="C151" s="1390"/>
      <c r="D151" s="599" t="s">
        <v>24</v>
      </c>
      <c r="E151" s="531"/>
      <c r="F151" s="531"/>
      <c r="G151" s="620">
        <f>G150/G7</f>
        <v>9.8767061193654929E-2</v>
      </c>
      <c r="H151" s="536">
        <f>G151+'19'!H151</f>
        <v>1.819017151663078</v>
      </c>
      <c r="I151" s="556"/>
      <c r="J151" s="629">
        <f>H151/DAY(B2)</f>
        <v>9.0950857583153896E-2</v>
      </c>
      <c r="N151" s="413"/>
      <c r="O151" s="413"/>
    </row>
    <row r="152" spans="1:15" ht="27.75">
      <c r="A152" s="1388" t="s">
        <v>272</v>
      </c>
      <c r="B152" s="1389"/>
      <c r="C152" s="1390"/>
      <c r="D152" s="599" t="s">
        <v>194</v>
      </c>
      <c r="E152" s="531"/>
      <c r="F152" s="531"/>
      <c r="G152" s="536">
        <f>G37+G51</f>
        <v>1505.7899999999936</v>
      </c>
      <c r="H152" s="536">
        <f>G152+'19'!H152</f>
        <v>29066.369999999995</v>
      </c>
      <c r="I152" s="556"/>
      <c r="J152" s="629">
        <f>H152/DAY(B2)</f>
        <v>1453.3184999999999</v>
      </c>
      <c r="L152" s="407" t="s">
        <v>289</v>
      </c>
      <c r="M152" s="407">
        <v>0.5</v>
      </c>
      <c r="N152" s="413">
        <v>50</v>
      </c>
      <c r="O152" s="413"/>
    </row>
    <row r="153" spans="1:15" ht="28.5" thickBot="1">
      <c r="A153" s="1394" t="s">
        <v>273</v>
      </c>
      <c r="B153" s="1395"/>
      <c r="C153" s="1396"/>
      <c r="D153" s="702" t="s">
        <v>24</v>
      </c>
      <c r="E153" s="642"/>
      <c r="F153" s="642"/>
      <c r="G153" s="643">
        <f>G152/G7</f>
        <v>7.5839335180055076E-2</v>
      </c>
      <c r="H153" s="536">
        <f>G153+'19'!H153</f>
        <v>1.4872104019022656</v>
      </c>
      <c r="I153" s="645"/>
      <c r="J153" s="646">
        <f>H153/DAY(B2)</f>
        <v>7.4360520095113278E-2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89" t="s">
        <v>274</v>
      </c>
      <c r="B160" s="890"/>
      <c r="C160" s="890"/>
      <c r="D160" s="587" t="s">
        <v>198</v>
      </c>
      <c r="E160" s="739">
        <f>'19'!F160</f>
        <v>27451.19</v>
      </c>
      <c r="F160" s="739">
        <v>27529.31</v>
      </c>
      <c r="G160" s="549">
        <f t="shared" ref="G160:G163" si="16">F160-E160</f>
        <v>78.120000000002619</v>
      </c>
      <c r="K160" s="407">
        <v>70.399999999999636</v>
      </c>
      <c r="L160" s="407">
        <f t="shared" ref="L160:L171" si="17">G160-K160</f>
        <v>7.7200000000029831</v>
      </c>
    </row>
    <row r="161" spans="1:12" ht="24.75" customHeight="1">
      <c r="A161" s="889" t="s">
        <v>275</v>
      </c>
      <c r="B161" s="890"/>
      <c r="C161" s="890"/>
      <c r="D161" s="587" t="s">
        <v>198</v>
      </c>
      <c r="E161" s="739">
        <f>'19'!F161</f>
        <v>37184.769999999997</v>
      </c>
      <c r="F161" s="739">
        <v>37656.910000000003</v>
      </c>
      <c r="G161" s="549">
        <f t="shared" si="16"/>
        <v>472.14000000000669</v>
      </c>
      <c r="K161" s="407">
        <v>124.25999999999999</v>
      </c>
      <c r="L161" s="407">
        <f t="shared" si="17"/>
        <v>347.8800000000067</v>
      </c>
    </row>
    <row r="162" spans="1:12" ht="24.75" customHeight="1">
      <c r="A162" s="889" t="s">
        <v>276</v>
      </c>
      <c r="B162" s="890"/>
      <c r="C162" s="890"/>
      <c r="D162" s="587" t="s">
        <v>198</v>
      </c>
      <c r="E162" s="739">
        <f>'19'!F162</f>
        <v>9836.36</v>
      </c>
      <c r="F162" s="739">
        <v>10034.16</v>
      </c>
      <c r="G162" s="549">
        <f t="shared" si="16"/>
        <v>197.79999999999927</v>
      </c>
      <c r="K162" s="407">
        <v>138.98000000000002</v>
      </c>
      <c r="L162" s="407">
        <f t="shared" si="17"/>
        <v>58.819999999999254</v>
      </c>
    </row>
    <row r="163" spans="1:12" ht="24.75" customHeight="1">
      <c r="A163" s="889" t="s">
        <v>277</v>
      </c>
      <c r="B163" s="890"/>
      <c r="C163" s="890"/>
      <c r="D163" s="587" t="s">
        <v>198</v>
      </c>
      <c r="E163" s="739">
        <f>'19'!F163</f>
        <v>4751.72</v>
      </c>
      <c r="F163" s="739">
        <v>4774.5600000000004</v>
      </c>
      <c r="G163" s="549">
        <f t="shared" si="16"/>
        <v>22.840000000000146</v>
      </c>
      <c r="K163" s="407">
        <v>45.830000000000041</v>
      </c>
      <c r="L163" s="407">
        <f t="shared" si="17"/>
        <v>-22.989999999999895</v>
      </c>
    </row>
    <row r="164" spans="1:12" ht="24.75" customHeight="1">
      <c r="A164" s="891" t="s">
        <v>106</v>
      </c>
      <c r="B164" s="681"/>
      <c r="C164" s="681"/>
      <c r="D164" s="587" t="s">
        <v>198</v>
      </c>
      <c r="E164" s="590">
        <f>E62</f>
        <v>20419.2</v>
      </c>
      <c r="F164" s="590">
        <f>F62</f>
        <v>20419.2</v>
      </c>
      <c r="G164" s="549">
        <f t="shared" ref="G164:G171" si="18">F164-E164</f>
        <v>0</v>
      </c>
      <c r="K164" s="407">
        <v>-0.18000000000029104</v>
      </c>
      <c r="L164" s="407">
        <f t="shared" si="17"/>
        <v>0.18000000000029104</v>
      </c>
    </row>
    <row r="165" spans="1:12" ht="24.75" customHeight="1">
      <c r="A165" s="891" t="s">
        <v>199</v>
      </c>
      <c r="B165" s="681"/>
      <c r="C165" s="681"/>
      <c r="D165" s="587" t="s">
        <v>198</v>
      </c>
      <c r="E165" s="590">
        <f t="shared" ref="E165:E171" si="19">E63</f>
        <v>1210.4100000000001</v>
      </c>
      <c r="F165" s="590">
        <f t="shared" ref="F165:F171" si="20">F63</f>
        <v>1219.9000000000001</v>
      </c>
      <c r="G165" s="549">
        <f t="shared" si="18"/>
        <v>9.4900000000000091</v>
      </c>
      <c r="K165" s="407">
        <v>0</v>
      </c>
      <c r="L165" s="407">
        <f t="shared" si="17"/>
        <v>9.4900000000000091</v>
      </c>
    </row>
    <row r="166" spans="1:12" ht="24.75" customHeight="1">
      <c r="A166" s="1363" t="s">
        <v>107</v>
      </c>
      <c r="B166" s="1363"/>
      <c r="C166" s="1363"/>
      <c r="D166" s="599" t="s">
        <v>198</v>
      </c>
      <c r="E166" s="590">
        <f t="shared" si="19"/>
        <v>106166.04</v>
      </c>
      <c r="F166" s="590">
        <f t="shared" si="20"/>
        <v>106597.67</v>
      </c>
      <c r="G166" s="549">
        <f t="shared" si="18"/>
        <v>431.63000000000466</v>
      </c>
      <c r="K166" s="407">
        <v>193.55000000000291</v>
      </c>
      <c r="L166" s="407">
        <f t="shared" si="17"/>
        <v>238.08000000000175</v>
      </c>
    </row>
    <row r="167" spans="1:12" ht="24.75" customHeight="1">
      <c r="A167" s="1363" t="s">
        <v>108</v>
      </c>
      <c r="B167" s="1363"/>
      <c r="C167" s="1363"/>
      <c r="D167" s="599" t="s">
        <v>198</v>
      </c>
      <c r="E167" s="590">
        <f t="shared" si="19"/>
        <v>116811.03</v>
      </c>
      <c r="F167" s="590">
        <f t="shared" si="20"/>
        <v>117260.84</v>
      </c>
      <c r="G167" s="549">
        <f t="shared" si="18"/>
        <v>449.80999999999767</v>
      </c>
      <c r="K167" s="407">
        <v>168.39999999999418</v>
      </c>
      <c r="L167" s="407">
        <f t="shared" si="17"/>
        <v>281.41000000000349</v>
      </c>
    </row>
    <row r="168" spans="1:12" ht="24.75" customHeight="1">
      <c r="A168" s="1363" t="s">
        <v>109</v>
      </c>
      <c r="B168" s="1363"/>
      <c r="C168" s="1363"/>
      <c r="D168" s="599" t="s">
        <v>198</v>
      </c>
      <c r="E168" s="590">
        <f t="shared" si="19"/>
        <v>9380.09</v>
      </c>
      <c r="F168" s="590">
        <f t="shared" si="20"/>
        <v>9761.91</v>
      </c>
      <c r="G168" s="549">
        <f t="shared" si="18"/>
        <v>381.81999999999971</v>
      </c>
      <c r="K168" s="407">
        <v>221.18999999999505</v>
      </c>
      <c r="L168" s="407">
        <f t="shared" si="17"/>
        <v>160.63000000000466</v>
      </c>
    </row>
    <row r="169" spans="1:12" ht="24.75" customHeight="1">
      <c r="A169" s="1363" t="s">
        <v>110</v>
      </c>
      <c r="B169" s="1363"/>
      <c r="C169" s="1363"/>
      <c r="D169" s="599" t="s">
        <v>198</v>
      </c>
      <c r="E169" s="590">
        <f t="shared" si="19"/>
        <v>180787.83</v>
      </c>
      <c r="F169" s="590">
        <f t="shared" si="20"/>
        <v>181446.99</v>
      </c>
      <c r="G169" s="549">
        <f t="shared" si="18"/>
        <v>659.16000000000349</v>
      </c>
      <c r="K169" s="407">
        <v>337.19000000000233</v>
      </c>
      <c r="L169" s="407">
        <f t="shared" si="17"/>
        <v>321.97000000000116</v>
      </c>
    </row>
    <row r="170" spans="1:12" ht="24.75" customHeight="1">
      <c r="A170" s="1363" t="s">
        <v>111</v>
      </c>
      <c r="B170" s="1363"/>
      <c r="C170" s="1363"/>
      <c r="D170" s="599" t="s">
        <v>198</v>
      </c>
      <c r="E170" s="590">
        <f t="shared" si="19"/>
        <v>59451.31</v>
      </c>
      <c r="F170" s="590">
        <f t="shared" si="20"/>
        <v>59762.080000000002</v>
      </c>
      <c r="G170" s="549">
        <f t="shared" si="18"/>
        <v>310.77000000000407</v>
      </c>
      <c r="K170" s="407">
        <v>115.09000000000015</v>
      </c>
      <c r="L170" s="407">
        <f t="shared" si="17"/>
        <v>195.68000000000393</v>
      </c>
    </row>
    <row r="171" spans="1:12" ht="24.75" customHeight="1">
      <c r="A171" s="1363" t="s">
        <v>112</v>
      </c>
      <c r="B171" s="1363"/>
      <c r="C171" s="1363"/>
      <c r="D171" s="599" t="s">
        <v>198</v>
      </c>
      <c r="E171" s="590">
        <f t="shared" si="19"/>
        <v>52064.98</v>
      </c>
      <c r="F171" s="590">
        <f t="shared" si="20"/>
        <v>52354.65</v>
      </c>
      <c r="G171" s="549">
        <f t="shared" si="18"/>
        <v>289.66999999999825</v>
      </c>
      <c r="K171" s="407">
        <v>11.799999999999272</v>
      </c>
      <c r="L171" s="407">
        <f t="shared" si="17"/>
        <v>277.86999999999898</v>
      </c>
    </row>
    <row r="172" spans="1:12" ht="24.75" customHeight="1">
      <c r="G172" s="614">
        <f>SUM(G160:G171)</f>
        <v>3303.2500000000164</v>
      </c>
      <c r="L172" s="407">
        <f>SUM(L160:L171)</f>
        <v>1876.7400000000234</v>
      </c>
    </row>
    <row r="173" spans="1:12" ht="24.75" customHeight="1"/>
    <row r="174" spans="1:12" ht="24.75" customHeight="1"/>
    <row r="175" spans="1:12" ht="24.75" customHeight="1"/>
    <row r="176" spans="1:12" ht="24.75" customHeight="1"/>
    <row r="301" spans="6:6">
      <c r="F301" s="614" t="s">
        <v>280</v>
      </c>
    </row>
    <row r="302" spans="6:6">
      <c r="F302" s="614">
        <v>0</v>
      </c>
    </row>
    <row r="303" spans="6:6">
      <c r="F303" s="614">
        <v>0</v>
      </c>
    </row>
    <row r="304" spans="6:6">
      <c r="F304" s="614">
        <v>0</v>
      </c>
    </row>
    <row r="305" spans="6:6">
      <c r="F305" s="614">
        <v>0</v>
      </c>
    </row>
    <row r="306" spans="6:6">
      <c r="F306" s="614">
        <v>0</v>
      </c>
    </row>
    <row r="307" spans="6:6">
      <c r="F307" s="614">
        <v>0</v>
      </c>
    </row>
    <row r="308" spans="6:6">
      <c r="F308" s="614">
        <v>0</v>
      </c>
    </row>
    <row r="309" spans="6:6">
      <c r="F309" s="614">
        <v>0</v>
      </c>
    </row>
    <row r="310" spans="6:6">
      <c r="F310" s="614">
        <v>0</v>
      </c>
    </row>
    <row r="311" spans="6:6">
      <c r="F311" s="614">
        <v>0</v>
      </c>
    </row>
    <row r="312" spans="6:6">
      <c r="F312" s="614">
        <v>0</v>
      </c>
    </row>
    <row r="313" spans="6:6">
      <c r="F313" s="614">
        <v>0</v>
      </c>
    </row>
    <row r="314" spans="6:6">
      <c r="F314" s="614">
        <v>0</v>
      </c>
    </row>
    <row r="315" spans="6:6">
      <c r="F315" s="614">
        <v>0</v>
      </c>
    </row>
    <row r="316" spans="6:6">
      <c r="F316" s="614">
        <v>0</v>
      </c>
    </row>
    <row r="317" spans="6:6">
      <c r="F317" s="614">
        <v>0</v>
      </c>
    </row>
    <row r="318" spans="6:6">
      <c r="F318" s="614">
        <v>0</v>
      </c>
    </row>
    <row r="319" spans="6:6">
      <c r="F319" s="614">
        <v>0</v>
      </c>
    </row>
    <row r="320" spans="6:6">
      <c r="F320" s="614">
        <v>0</v>
      </c>
    </row>
    <row r="321" spans="6:6">
      <c r="F321" s="614">
        <v>0</v>
      </c>
    </row>
    <row r="322" spans="6:6">
      <c r="F322" s="614">
        <v>0</v>
      </c>
    </row>
    <row r="323" spans="6:6">
      <c r="F323" s="614">
        <v>0</v>
      </c>
    </row>
    <row r="324" spans="6:6">
      <c r="F324" s="614">
        <v>0</v>
      </c>
    </row>
    <row r="325" spans="6:6">
      <c r="F325" s="614">
        <v>0</v>
      </c>
    </row>
    <row r="326" spans="6:6">
      <c r="F326" s="614">
        <v>0</v>
      </c>
    </row>
    <row r="327" spans="6:6">
      <c r="F327" s="614">
        <v>0</v>
      </c>
    </row>
    <row r="328" spans="6:6">
      <c r="F328" s="614">
        <v>0</v>
      </c>
    </row>
    <row r="329" spans="6:6">
      <c r="F329" s="614">
        <v>0</v>
      </c>
    </row>
    <row r="330" spans="6:6">
      <c r="F330" s="614">
        <v>0</v>
      </c>
    </row>
    <row r="331" spans="6:6">
      <c r="F331" s="614">
        <v>0</v>
      </c>
    </row>
    <row r="332" spans="6:6">
      <c r="F332" s="614">
        <v>0</v>
      </c>
    </row>
    <row r="333" spans="6:6">
      <c r="F333" s="614">
        <v>0</v>
      </c>
    </row>
    <row r="334" spans="6:6">
      <c r="F334" s="614">
        <v>0</v>
      </c>
    </row>
    <row r="335" spans="6:6">
      <c r="F335" s="614">
        <v>0</v>
      </c>
    </row>
    <row r="336" spans="6:6">
      <c r="F336" s="614">
        <v>0</v>
      </c>
    </row>
    <row r="337" spans="6:6">
      <c r="F337" s="614">
        <v>0</v>
      </c>
    </row>
    <row r="338" spans="6:6">
      <c r="F338" s="614">
        <v>0</v>
      </c>
    </row>
    <row r="339" spans="6:6">
      <c r="F339" s="614">
        <v>0</v>
      </c>
    </row>
    <row r="340" spans="6:6">
      <c r="F340" s="614">
        <v>0</v>
      </c>
    </row>
    <row r="341" spans="6:6">
      <c r="F341" s="614">
        <v>0</v>
      </c>
    </row>
    <row r="342" spans="6:6">
      <c r="F342" s="614">
        <v>0</v>
      </c>
    </row>
    <row r="343" spans="6:6">
      <c r="F343" s="614">
        <v>0</v>
      </c>
    </row>
    <row r="344" spans="6:6">
      <c r="F344" s="614">
        <v>0</v>
      </c>
    </row>
    <row r="345" spans="6:6">
      <c r="F345" s="614">
        <v>0</v>
      </c>
    </row>
    <row r="346" spans="6:6">
      <c r="F346" s="614">
        <v>0</v>
      </c>
    </row>
    <row r="347" spans="6:6">
      <c r="F347" s="614">
        <v>0</v>
      </c>
    </row>
    <row r="348" spans="6:6">
      <c r="F348" s="614">
        <v>0</v>
      </c>
    </row>
    <row r="349" spans="6:6">
      <c r="F349" s="614">
        <v>0</v>
      </c>
    </row>
    <row r="350" spans="6:6">
      <c r="F350" s="614">
        <v>0</v>
      </c>
    </row>
    <row r="351" spans="6:6">
      <c r="F351" s="614">
        <v>0</v>
      </c>
    </row>
    <row r="352" spans="6:6">
      <c r="F352" s="614">
        <v>0</v>
      </c>
    </row>
    <row r="353" spans="6:6">
      <c r="F353" s="614">
        <v>0</v>
      </c>
    </row>
    <row r="354" spans="6:6">
      <c r="F354" s="614">
        <v>0</v>
      </c>
    </row>
    <row r="355" spans="6:6">
      <c r="F355" s="614">
        <v>0</v>
      </c>
    </row>
    <row r="356" spans="6:6">
      <c r="F356" s="614">
        <v>0</v>
      </c>
    </row>
    <row r="357" spans="6:6">
      <c r="F357" s="614">
        <v>0</v>
      </c>
    </row>
    <row r="358" spans="6:6">
      <c r="F358" s="614">
        <v>0</v>
      </c>
    </row>
    <row r="359" spans="6:6">
      <c r="F359" s="614">
        <v>0</v>
      </c>
    </row>
    <row r="360" spans="6:6">
      <c r="F360" s="614">
        <v>0</v>
      </c>
    </row>
    <row r="361" spans="6:6">
      <c r="F361" s="614">
        <v>0</v>
      </c>
    </row>
    <row r="362" spans="6:6">
      <c r="F362" s="614">
        <v>0</v>
      </c>
    </row>
    <row r="363" spans="6:6">
      <c r="F363" s="614">
        <v>0</v>
      </c>
    </row>
    <row r="364" spans="6:6">
      <c r="F364" s="614">
        <v>0</v>
      </c>
    </row>
    <row r="365" spans="6:6">
      <c r="F365" s="614">
        <v>0</v>
      </c>
    </row>
    <row r="366" spans="6:6">
      <c r="F366" s="614">
        <v>0</v>
      </c>
    </row>
    <row r="367" spans="6:6">
      <c r="F367" s="614">
        <v>0</v>
      </c>
    </row>
    <row r="368" spans="6:6">
      <c r="F368" s="614">
        <v>0</v>
      </c>
    </row>
    <row r="369" spans="6:6">
      <c r="F369" s="614">
        <v>0</v>
      </c>
    </row>
    <row r="370" spans="6:6">
      <c r="F370" s="614">
        <v>0</v>
      </c>
    </row>
    <row r="371" spans="6:6">
      <c r="F371" s="614">
        <v>0</v>
      </c>
    </row>
    <row r="372" spans="6:6">
      <c r="F372" s="614">
        <v>0</v>
      </c>
    </row>
    <row r="373" spans="6:6">
      <c r="F373" s="614">
        <v>0</v>
      </c>
    </row>
    <row r="374" spans="6:6">
      <c r="F374" s="614">
        <v>0</v>
      </c>
    </row>
    <row r="375" spans="6:6">
      <c r="F375" s="614">
        <v>0</v>
      </c>
    </row>
    <row r="376" spans="6:6">
      <c r="F376" s="614">
        <v>0</v>
      </c>
    </row>
    <row r="377" spans="6:6">
      <c r="F377" s="614">
        <v>0</v>
      </c>
    </row>
    <row r="378" spans="6:6">
      <c r="F378" s="614">
        <v>0</v>
      </c>
    </row>
    <row r="379" spans="6:6">
      <c r="F379" s="614">
        <v>0</v>
      </c>
    </row>
    <row r="380" spans="6:6">
      <c r="F380" s="614">
        <v>0</v>
      </c>
    </row>
    <row r="381" spans="6:6">
      <c r="F381" s="614">
        <v>0</v>
      </c>
    </row>
    <row r="382" spans="6:6">
      <c r="F382" s="614">
        <v>0</v>
      </c>
    </row>
    <row r="383" spans="6:6">
      <c r="F383" s="614">
        <v>0</v>
      </c>
    </row>
    <row r="384" spans="6:6">
      <c r="F384" s="614">
        <v>0</v>
      </c>
    </row>
    <row r="385" spans="6:6">
      <c r="F385" s="614">
        <v>0</v>
      </c>
    </row>
    <row r="386" spans="6:6">
      <c r="F386" s="614">
        <v>0</v>
      </c>
    </row>
    <row r="387" spans="6:6">
      <c r="F387" s="614">
        <v>0</v>
      </c>
    </row>
    <row r="388" spans="6:6">
      <c r="F388" s="614">
        <v>0</v>
      </c>
    </row>
    <row r="389" spans="6:6">
      <c r="F389" s="614">
        <v>0</v>
      </c>
    </row>
    <row r="390" spans="6:6">
      <c r="F390" s="614">
        <v>0</v>
      </c>
    </row>
    <row r="391" spans="6:6">
      <c r="F391" s="614">
        <v>0</v>
      </c>
    </row>
    <row r="392" spans="6:6">
      <c r="F392" s="614">
        <v>0</v>
      </c>
    </row>
    <row r="393" spans="6:6">
      <c r="F393" s="614">
        <v>0</v>
      </c>
    </row>
    <row r="394" spans="6:6">
      <c r="F394" s="614">
        <v>0</v>
      </c>
    </row>
    <row r="395" spans="6:6">
      <c r="F395" s="614">
        <v>0</v>
      </c>
    </row>
    <row r="396" spans="6:6">
      <c r="F396" s="614">
        <v>0</v>
      </c>
    </row>
    <row r="397" spans="6:6">
      <c r="F397" s="614">
        <v>0</v>
      </c>
    </row>
    <row r="398" spans="6:6">
      <c r="F398" s="614">
        <v>0</v>
      </c>
    </row>
    <row r="399" spans="6:6">
      <c r="F399" s="614">
        <v>0</v>
      </c>
    </row>
    <row r="400" spans="6:6">
      <c r="F400" s="614">
        <v>0</v>
      </c>
    </row>
    <row r="401" spans="6:6">
      <c r="F401" s="614">
        <v>0</v>
      </c>
    </row>
    <row r="402" spans="6:6">
      <c r="F402" s="614">
        <v>0</v>
      </c>
    </row>
    <row r="403" spans="6:6">
      <c r="F403" s="614">
        <v>0</v>
      </c>
    </row>
    <row r="404" spans="6:6">
      <c r="F404" s="614">
        <v>0</v>
      </c>
    </row>
    <row r="405" spans="6:6">
      <c r="F405" s="614">
        <v>0</v>
      </c>
    </row>
    <row r="406" spans="6:6">
      <c r="F406" s="614">
        <v>0</v>
      </c>
    </row>
    <row r="407" spans="6:6">
      <c r="F407" s="614">
        <v>0</v>
      </c>
    </row>
    <row r="408" spans="6:6">
      <c r="F408" s="614">
        <v>0</v>
      </c>
    </row>
    <row r="409" spans="6:6">
      <c r="F409" s="614">
        <v>0</v>
      </c>
    </row>
    <row r="410" spans="6:6">
      <c r="F410" s="614">
        <v>0</v>
      </c>
    </row>
    <row r="411" spans="6:6">
      <c r="F411" s="614">
        <v>0</v>
      </c>
    </row>
    <row r="412" spans="6:6">
      <c r="F412" s="614">
        <v>0</v>
      </c>
    </row>
    <row r="413" spans="6:6">
      <c r="F413" s="614">
        <v>0</v>
      </c>
    </row>
    <row r="414" spans="6:6">
      <c r="F414" s="614">
        <v>0</v>
      </c>
    </row>
    <row r="415" spans="6:6">
      <c r="F415" s="614">
        <v>0</v>
      </c>
    </row>
    <row r="416" spans="6:6">
      <c r="F416" s="614">
        <v>0</v>
      </c>
    </row>
    <row r="417" spans="6:6">
      <c r="F417" s="614">
        <v>0</v>
      </c>
    </row>
    <row r="418" spans="6:6">
      <c r="F418" s="614">
        <v>0</v>
      </c>
    </row>
    <row r="419" spans="6:6">
      <c r="F419" s="614">
        <v>0</v>
      </c>
    </row>
    <row r="420" spans="6:6">
      <c r="F420" s="614">
        <v>0</v>
      </c>
    </row>
    <row r="421" spans="6:6">
      <c r="F421" s="614">
        <v>0</v>
      </c>
    </row>
    <row r="422" spans="6:6">
      <c r="F422" s="614">
        <v>0</v>
      </c>
    </row>
    <row r="423" spans="6:6">
      <c r="F423" s="614">
        <v>0</v>
      </c>
    </row>
    <row r="424" spans="6:6">
      <c r="F424" s="614">
        <v>0</v>
      </c>
    </row>
    <row r="425" spans="6:6">
      <c r="F425" s="614">
        <v>0</v>
      </c>
    </row>
    <row r="426" spans="6:6">
      <c r="F426" s="614">
        <v>0</v>
      </c>
    </row>
    <row r="427" spans="6:6">
      <c r="F427" s="614">
        <v>0</v>
      </c>
    </row>
    <row r="428" spans="6:6">
      <c r="F428" s="614">
        <v>0</v>
      </c>
    </row>
    <row r="429" spans="6:6">
      <c r="F429" s="614">
        <v>0</v>
      </c>
    </row>
    <row r="430" spans="6:6">
      <c r="F430" s="614">
        <v>0</v>
      </c>
    </row>
    <row r="431" spans="6:6">
      <c r="F431" s="614">
        <v>0</v>
      </c>
    </row>
    <row r="432" spans="6:6">
      <c r="F432" s="614">
        <v>0</v>
      </c>
    </row>
    <row r="433" spans="6:6">
      <c r="F433" s="614">
        <v>0</v>
      </c>
    </row>
    <row r="434" spans="6:6">
      <c r="F434" s="614">
        <v>0</v>
      </c>
    </row>
    <row r="435" spans="6:6">
      <c r="F435" s="614">
        <v>0</v>
      </c>
    </row>
    <row r="436" spans="6:6">
      <c r="F436" s="614">
        <v>0</v>
      </c>
    </row>
    <row r="437" spans="6:6">
      <c r="F437" s="614">
        <v>0</v>
      </c>
    </row>
    <row r="438" spans="6:6">
      <c r="F438" s="614">
        <v>0</v>
      </c>
    </row>
    <row r="439" spans="6:6">
      <c r="F439" s="614">
        <v>0</v>
      </c>
    </row>
    <row r="440" spans="6:6">
      <c r="F440" s="614">
        <v>0</v>
      </c>
    </row>
    <row r="441" spans="6:6">
      <c r="F441" s="614">
        <v>0</v>
      </c>
    </row>
    <row r="442" spans="6:6">
      <c r="F442" s="614">
        <v>0</v>
      </c>
    </row>
    <row r="443" spans="6:6">
      <c r="F443" s="614">
        <v>0</v>
      </c>
    </row>
    <row r="444" spans="6:6">
      <c r="F444" s="614">
        <v>0</v>
      </c>
    </row>
    <row r="445" spans="6:6">
      <c r="F445" s="614">
        <v>0</v>
      </c>
    </row>
    <row r="446" spans="6:6">
      <c r="F446" s="614">
        <v>0</v>
      </c>
    </row>
    <row r="447" spans="6:6">
      <c r="F447" s="614">
        <v>0</v>
      </c>
    </row>
    <row r="448" spans="6:6">
      <c r="F448" s="614">
        <v>0</v>
      </c>
    </row>
    <row r="449" spans="6:6">
      <c r="F449" s="614">
        <v>0</v>
      </c>
    </row>
    <row r="450" spans="6:6">
      <c r="F450" s="614">
        <v>0</v>
      </c>
    </row>
    <row r="451" spans="6:6">
      <c r="F451" s="614">
        <v>0</v>
      </c>
    </row>
    <row r="452" spans="6:6">
      <c r="F452" s="614">
        <v>0</v>
      </c>
    </row>
    <row r="453" spans="6:6">
      <c r="F453" s="614">
        <v>0</v>
      </c>
    </row>
    <row r="454" spans="6:6">
      <c r="F454" s="614">
        <v>0</v>
      </c>
    </row>
    <row r="455" spans="6:6">
      <c r="F455" s="614">
        <v>0</v>
      </c>
    </row>
    <row r="456" spans="6:6">
      <c r="F456" s="614">
        <v>0</v>
      </c>
    </row>
    <row r="457" spans="6:6">
      <c r="F457" s="614">
        <v>0</v>
      </c>
    </row>
    <row r="458" spans="6:6">
      <c r="F458" s="614">
        <v>0</v>
      </c>
    </row>
    <row r="459" spans="6:6">
      <c r="F459" s="614">
        <v>0</v>
      </c>
    </row>
    <row r="460" spans="6:6">
      <c r="F460" s="614">
        <v>0</v>
      </c>
    </row>
    <row r="461" spans="6:6">
      <c r="F461" s="614">
        <v>0</v>
      </c>
    </row>
    <row r="462" spans="6:6">
      <c r="F462" s="614">
        <v>0</v>
      </c>
    </row>
    <row r="463" spans="6:6">
      <c r="F463" s="614">
        <v>0</v>
      </c>
    </row>
    <row r="464" spans="6:6">
      <c r="F464" s="614">
        <v>0</v>
      </c>
    </row>
    <row r="465" spans="6:6">
      <c r="F465" s="614">
        <v>0</v>
      </c>
    </row>
    <row r="466" spans="6:6">
      <c r="F466" s="614">
        <v>0</v>
      </c>
    </row>
    <row r="467" spans="6:6">
      <c r="F467" s="614">
        <v>0</v>
      </c>
    </row>
    <row r="468" spans="6:6">
      <c r="F468" s="614">
        <v>0</v>
      </c>
    </row>
    <row r="469" spans="6:6">
      <c r="F469" s="614">
        <v>0</v>
      </c>
    </row>
    <row r="470" spans="6:6">
      <c r="F470" s="614">
        <v>0</v>
      </c>
    </row>
    <row r="471" spans="6:6">
      <c r="F471" s="614">
        <v>0</v>
      </c>
    </row>
    <row r="472" spans="6:6">
      <c r="F472" s="614">
        <v>0</v>
      </c>
    </row>
    <row r="473" spans="6:6">
      <c r="F473" s="614">
        <v>0</v>
      </c>
    </row>
    <row r="474" spans="6:6">
      <c r="F474" s="614">
        <v>0</v>
      </c>
    </row>
    <row r="475" spans="6:6">
      <c r="F475" s="614">
        <v>0</v>
      </c>
    </row>
    <row r="476" spans="6:6">
      <c r="F476" s="614">
        <v>0</v>
      </c>
    </row>
    <row r="477" spans="6:6">
      <c r="F477" s="614">
        <v>0</v>
      </c>
    </row>
    <row r="478" spans="6:6">
      <c r="F478" s="614">
        <v>0</v>
      </c>
    </row>
    <row r="479" spans="6:6">
      <c r="F479" s="614">
        <v>0</v>
      </c>
    </row>
    <row r="480" spans="6:6">
      <c r="F480" s="614">
        <v>0</v>
      </c>
    </row>
    <row r="481" spans="6:6">
      <c r="F481" s="614">
        <v>0</v>
      </c>
    </row>
    <row r="482" spans="6:6">
      <c r="F482" s="614">
        <v>0</v>
      </c>
    </row>
    <row r="483" spans="6:6">
      <c r="F483" s="614">
        <v>0</v>
      </c>
    </row>
    <row r="484" spans="6:6">
      <c r="F484" s="614">
        <v>0</v>
      </c>
    </row>
    <row r="485" spans="6:6">
      <c r="F485" s="614">
        <v>0</v>
      </c>
    </row>
    <row r="486" spans="6:6">
      <c r="F486" s="614">
        <v>0</v>
      </c>
    </row>
    <row r="487" spans="6:6">
      <c r="F487" s="614">
        <v>0</v>
      </c>
    </row>
    <row r="488" spans="6:6">
      <c r="F488" s="614">
        <v>0</v>
      </c>
    </row>
    <row r="489" spans="6:6">
      <c r="F489" s="614">
        <v>0</v>
      </c>
    </row>
    <row r="490" spans="6:6">
      <c r="F490" s="614">
        <v>0</v>
      </c>
    </row>
    <row r="491" spans="6:6">
      <c r="F491" s="614">
        <v>0</v>
      </c>
    </row>
    <row r="492" spans="6:6">
      <c r="F492" s="614">
        <v>0</v>
      </c>
    </row>
    <row r="493" spans="6:6">
      <c r="F493" s="614">
        <v>0</v>
      </c>
    </row>
    <row r="494" spans="6:6">
      <c r="F494" s="614">
        <v>0</v>
      </c>
    </row>
    <row r="495" spans="6:6">
      <c r="F495" s="614">
        <v>0</v>
      </c>
    </row>
    <row r="496" spans="6:6">
      <c r="F496" s="614">
        <v>0</v>
      </c>
    </row>
    <row r="497" spans="6:6">
      <c r="F497" s="614">
        <v>0</v>
      </c>
    </row>
    <row r="498" spans="6:6">
      <c r="F498" s="614">
        <v>0</v>
      </c>
    </row>
    <row r="499" spans="6:6">
      <c r="F499" s="614">
        <v>0</v>
      </c>
    </row>
    <row r="500" spans="6:6">
      <c r="F500" s="614">
        <v>0</v>
      </c>
    </row>
    <row r="501" spans="6:6">
      <c r="F501" s="614">
        <v>0</v>
      </c>
    </row>
    <row r="502" spans="6:6">
      <c r="F502" s="614">
        <v>0</v>
      </c>
    </row>
    <row r="503" spans="6:6">
      <c r="F503" s="614">
        <v>0</v>
      </c>
    </row>
    <row r="504" spans="6:6">
      <c r="F504" s="614">
        <v>0</v>
      </c>
    </row>
    <row r="505" spans="6:6">
      <c r="F505" s="614">
        <v>0</v>
      </c>
    </row>
    <row r="506" spans="6:6">
      <c r="F506" s="614">
        <v>0</v>
      </c>
    </row>
    <row r="507" spans="6:6">
      <c r="F507" s="614">
        <v>0</v>
      </c>
    </row>
    <row r="508" spans="6:6">
      <c r="F508" s="614">
        <v>0</v>
      </c>
    </row>
    <row r="509" spans="6:6">
      <c r="F509" s="614">
        <v>0</v>
      </c>
    </row>
    <row r="510" spans="6:6">
      <c r="F510" s="614">
        <v>0</v>
      </c>
    </row>
    <row r="511" spans="6:6">
      <c r="F511" s="614">
        <v>0</v>
      </c>
    </row>
    <row r="512" spans="6:6">
      <c r="F512" s="614">
        <v>0</v>
      </c>
    </row>
    <row r="513" spans="6:6">
      <c r="F513" s="614">
        <v>0</v>
      </c>
    </row>
    <row r="514" spans="6:6">
      <c r="F514" s="614">
        <v>0</v>
      </c>
    </row>
    <row r="515" spans="6:6">
      <c r="F515" s="614">
        <v>0</v>
      </c>
    </row>
    <row r="516" spans="6:6">
      <c r="F516" s="614">
        <v>0</v>
      </c>
    </row>
    <row r="517" spans="6:6">
      <c r="F517" s="614">
        <v>0</v>
      </c>
    </row>
    <row r="518" spans="6:6">
      <c r="F518" s="614">
        <v>0</v>
      </c>
    </row>
    <row r="519" spans="6:6">
      <c r="F519" s="614">
        <v>0</v>
      </c>
    </row>
    <row r="520" spans="6:6">
      <c r="F520" s="614">
        <v>0</v>
      </c>
    </row>
    <row r="521" spans="6:6">
      <c r="F521" s="614">
        <v>0</v>
      </c>
    </row>
    <row r="522" spans="6:6">
      <c r="F522" s="614">
        <v>0</v>
      </c>
    </row>
    <row r="523" spans="6:6">
      <c r="F523" s="614">
        <v>0</v>
      </c>
    </row>
    <row r="524" spans="6:6">
      <c r="F524" s="614">
        <v>0</v>
      </c>
    </row>
    <row r="525" spans="6:6">
      <c r="F525" s="614">
        <v>0</v>
      </c>
    </row>
    <row r="526" spans="6:6">
      <c r="F526" s="614">
        <v>0</v>
      </c>
    </row>
    <row r="527" spans="6:6">
      <c r="F527" s="614">
        <v>0</v>
      </c>
    </row>
    <row r="528" spans="6:6">
      <c r="F528" s="614">
        <v>0</v>
      </c>
    </row>
    <row r="529" spans="6:6">
      <c r="F529" s="614">
        <v>0</v>
      </c>
    </row>
    <row r="530" spans="6:6">
      <c r="F530" s="614">
        <v>0</v>
      </c>
    </row>
    <row r="531" spans="6:6">
      <c r="F531" s="614">
        <v>0</v>
      </c>
    </row>
    <row r="532" spans="6:6">
      <c r="F532" s="614">
        <v>0</v>
      </c>
    </row>
    <row r="533" spans="6:6">
      <c r="F533" s="614">
        <v>0</v>
      </c>
    </row>
    <row r="534" spans="6:6">
      <c r="F534" s="614">
        <v>0</v>
      </c>
    </row>
    <row r="535" spans="6:6">
      <c r="F535" s="614">
        <v>0</v>
      </c>
    </row>
    <row r="536" spans="6:6">
      <c r="F536" s="614">
        <v>0</v>
      </c>
    </row>
    <row r="537" spans="6:6">
      <c r="F537" s="614">
        <v>0</v>
      </c>
    </row>
    <row r="538" spans="6:6">
      <c r="F538" s="614">
        <v>0</v>
      </c>
    </row>
    <row r="539" spans="6:6">
      <c r="F539" s="614">
        <v>0</v>
      </c>
    </row>
    <row r="540" spans="6:6">
      <c r="F540" s="614">
        <v>0</v>
      </c>
    </row>
    <row r="541" spans="6:6">
      <c r="F541" s="614">
        <v>0</v>
      </c>
    </row>
    <row r="542" spans="6:6">
      <c r="F542" s="614">
        <v>0</v>
      </c>
    </row>
    <row r="543" spans="6:6">
      <c r="F543" s="614">
        <v>0</v>
      </c>
    </row>
    <row r="544" spans="6:6">
      <c r="F544" s="614">
        <v>0</v>
      </c>
    </row>
    <row r="545" spans="6:6">
      <c r="F545" s="614">
        <v>0</v>
      </c>
    </row>
    <row r="546" spans="6:6">
      <c r="F546" s="614">
        <v>0</v>
      </c>
    </row>
    <row r="547" spans="6:6">
      <c r="F547" s="614">
        <v>0</v>
      </c>
    </row>
    <row r="548" spans="6:6">
      <c r="F548" s="614">
        <v>0</v>
      </c>
    </row>
    <row r="549" spans="6:6">
      <c r="F549" s="614">
        <v>0</v>
      </c>
    </row>
    <row r="550" spans="6:6">
      <c r="F550" s="614">
        <v>0</v>
      </c>
    </row>
    <row r="551" spans="6:6">
      <c r="F551" s="614">
        <v>0</v>
      </c>
    </row>
    <row r="552" spans="6:6">
      <c r="F552" s="614">
        <v>0</v>
      </c>
    </row>
    <row r="553" spans="6:6">
      <c r="F553" s="614">
        <v>0</v>
      </c>
    </row>
    <row r="554" spans="6:6">
      <c r="F554" s="614">
        <v>0</v>
      </c>
    </row>
    <row r="555" spans="6:6">
      <c r="F555" s="614">
        <v>0</v>
      </c>
    </row>
    <row r="556" spans="6:6">
      <c r="F556" s="614">
        <v>0</v>
      </c>
    </row>
    <row r="557" spans="6:6">
      <c r="F557" s="614">
        <v>0</v>
      </c>
    </row>
    <row r="558" spans="6:6">
      <c r="F558" s="614">
        <v>0</v>
      </c>
    </row>
    <row r="559" spans="6:6">
      <c r="F559" s="614">
        <v>0</v>
      </c>
    </row>
    <row r="560" spans="6:6">
      <c r="F560" s="614">
        <v>0</v>
      </c>
    </row>
    <row r="561" spans="6:6">
      <c r="F561" s="614">
        <v>0</v>
      </c>
    </row>
    <row r="562" spans="6:6">
      <c r="F562" s="614">
        <v>0</v>
      </c>
    </row>
    <row r="563" spans="6:6">
      <c r="F563" s="614">
        <v>0</v>
      </c>
    </row>
    <row r="564" spans="6:6">
      <c r="F564" s="614">
        <v>0</v>
      </c>
    </row>
    <row r="565" spans="6:6">
      <c r="F565" s="614">
        <v>0</v>
      </c>
    </row>
    <row r="566" spans="6:6">
      <c r="F566" s="614">
        <v>0</v>
      </c>
    </row>
    <row r="567" spans="6:6">
      <c r="F567" s="614">
        <v>0</v>
      </c>
    </row>
    <row r="568" spans="6:6">
      <c r="F568" s="614">
        <v>0</v>
      </c>
    </row>
    <row r="569" spans="6:6">
      <c r="F569" s="614">
        <v>0</v>
      </c>
    </row>
    <row r="570" spans="6:6">
      <c r="F570" s="614">
        <v>0</v>
      </c>
    </row>
    <row r="571" spans="6:6">
      <c r="F571" s="614">
        <v>0</v>
      </c>
    </row>
    <row r="572" spans="6:6">
      <c r="F572" s="614">
        <v>0</v>
      </c>
    </row>
    <row r="573" spans="6:6">
      <c r="F573" s="614">
        <v>0</v>
      </c>
    </row>
    <row r="574" spans="6:6">
      <c r="F574" s="614">
        <v>0</v>
      </c>
    </row>
    <row r="575" spans="6:6">
      <c r="F575" s="614">
        <v>0</v>
      </c>
    </row>
    <row r="576" spans="6:6">
      <c r="F576" s="614">
        <v>0</v>
      </c>
    </row>
    <row r="577" spans="6:6">
      <c r="F577" s="614">
        <v>0</v>
      </c>
    </row>
    <row r="578" spans="6:6">
      <c r="F578" s="614">
        <v>0</v>
      </c>
    </row>
    <row r="579" spans="6:6">
      <c r="F579" s="614">
        <v>0</v>
      </c>
    </row>
    <row r="580" spans="6:6">
      <c r="F580" s="614">
        <v>0</v>
      </c>
    </row>
    <row r="581" spans="6:6">
      <c r="F581" s="614">
        <v>0</v>
      </c>
    </row>
    <row r="582" spans="6:6">
      <c r="F582" s="614">
        <v>0</v>
      </c>
    </row>
    <row r="583" spans="6:6">
      <c r="F583" s="614">
        <v>0</v>
      </c>
    </row>
    <row r="584" spans="6:6">
      <c r="F584" s="614">
        <v>0</v>
      </c>
    </row>
    <row r="585" spans="6:6">
      <c r="F585" s="614">
        <v>0</v>
      </c>
    </row>
    <row r="586" spans="6:6">
      <c r="F586" s="614">
        <v>0</v>
      </c>
    </row>
    <row r="587" spans="6:6">
      <c r="F587" s="614">
        <v>0</v>
      </c>
    </row>
    <row r="588" spans="6:6">
      <c r="F588" s="614">
        <v>0</v>
      </c>
    </row>
    <row r="589" spans="6:6">
      <c r="F589" s="614">
        <v>0</v>
      </c>
    </row>
    <row r="590" spans="6:6">
      <c r="F590" s="614">
        <v>0</v>
      </c>
    </row>
    <row r="591" spans="6:6">
      <c r="F591" s="614">
        <v>0</v>
      </c>
    </row>
    <row r="592" spans="6:6">
      <c r="F592" s="614">
        <v>0</v>
      </c>
    </row>
    <row r="593" spans="6:6">
      <c r="F593" s="614">
        <v>0</v>
      </c>
    </row>
    <row r="594" spans="6:6">
      <c r="F594" s="614">
        <v>0</v>
      </c>
    </row>
    <row r="595" spans="6:6">
      <c r="F595" s="614">
        <v>0</v>
      </c>
    </row>
    <row r="596" spans="6:6">
      <c r="F596" s="614">
        <v>0</v>
      </c>
    </row>
    <row r="597" spans="6:6">
      <c r="F597" s="614">
        <v>0</v>
      </c>
    </row>
    <row r="598" spans="6:6">
      <c r="F598" s="614">
        <v>0</v>
      </c>
    </row>
    <row r="599" spans="6:6">
      <c r="F599" s="614">
        <v>0</v>
      </c>
    </row>
    <row r="600" spans="6:6">
      <c r="F600" s="614">
        <v>0</v>
      </c>
    </row>
    <row r="601" spans="6:6">
      <c r="F601" s="614">
        <v>0</v>
      </c>
    </row>
    <row r="602" spans="6:6">
      <c r="F602" s="614">
        <v>0</v>
      </c>
    </row>
    <row r="603" spans="6:6">
      <c r="F603" s="614">
        <v>0</v>
      </c>
    </row>
    <row r="604" spans="6:6">
      <c r="F604" s="614">
        <v>0</v>
      </c>
    </row>
    <row r="605" spans="6:6">
      <c r="F605" s="614">
        <v>0</v>
      </c>
    </row>
    <row r="606" spans="6:6">
      <c r="F606" s="614">
        <v>0</v>
      </c>
    </row>
    <row r="607" spans="6:6">
      <c r="F607" s="614">
        <v>0</v>
      </c>
    </row>
    <row r="608" spans="6:6">
      <c r="F608" s="614">
        <v>0</v>
      </c>
    </row>
    <row r="609" spans="6:6">
      <c r="F609" s="614">
        <v>0</v>
      </c>
    </row>
    <row r="610" spans="6:6">
      <c r="F610" s="614">
        <v>0</v>
      </c>
    </row>
    <row r="611" spans="6:6">
      <c r="F611" s="614">
        <v>0</v>
      </c>
    </row>
    <row r="612" spans="6:6">
      <c r="F612" s="614">
        <v>0</v>
      </c>
    </row>
    <row r="613" spans="6:6">
      <c r="F613" s="614">
        <v>0</v>
      </c>
    </row>
    <row r="614" spans="6:6">
      <c r="F614" s="614">
        <v>0</v>
      </c>
    </row>
    <row r="615" spans="6:6">
      <c r="F615" s="614">
        <v>0</v>
      </c>
    </row>
    <row r="616" spans="6:6">
      <c r="F616" s="614">
        <v>0</v>
      </c>
    </row>
    <row r="617" spans="6:6">
      <c r="F617" s="614">
        <v>0</v>
      </c>
    </row>
    <row r="618" spans="6:6">
      <c r="F618" s="614">
        <v>0</v>
      </c>
    </row>
    <row r="619" spans="6:6">
      <c r="F619" s="614">
        <v>0</v>
      </c>
    </row>
    <row r="620" spans="6:6">
      <c r="F620" s="614">
        <v>0</v>
      </c>
    </row>
    <row r="621" spans="6:6">
      <c r="F621" s="614">
        <v>0</v>
      </c>
    </row>
    <row r="622" spans="6:6">
      <c r="F622" s="614">
        <v>0</v>
      </c>
    </row>
    <row r="623" spans="6:6">
      <c r="F623" s="614">
        <v>0</v>
      </c>
    </row>
    <row r="624" spans="6:6">
      <c r="F624" s="614">
        <v>0</v>
      </c>
    </row>
    <row r="625" spans="6:6">
      <c r="F625" s="614">
        <v>0</v>
      </c>
    </row>
    <row r="626" spans="6:6">
      <c r="F626" s="614">
        <v>0</v>
      </c>
    </row>
    <row r="627" spans="6:6">
      <c r="F627" s="614">
        <v>0</v>
      </c>
    </row>
    <row r="628" spans="6:6">
      <c r="F628" s="614">
        <v>0</v>
      </c>
    </row>
    <row r="629" spans="6:6">
      <c r="F629" s="614">
        <v>0</v>
      </c>
    </row>
    <row r="630" spans="6:6">
      <c r="F630" s="614">
        <v>0</v>
      </c>
    </row>
    <row r="631" spans="6:6">
      <c r="F631" s="614">
        <v>0</v>
      </c>
    </row>
    <row r="632" spans="6:6">
      <c r="F632" s="614">
        <v>0</v>
      </c>
    </row>
    <row r="633" spans="6:6">
      <c r="F633" s="614">
        <v>0</v>
      </c>
    </row>
    <row r="634" spans="6:6">
      <c r="F634" s="614">
        <v>0</v>
      </c>
    </row>
    <row r="635" spans="6:6">
      <c r="F635" s="614">
        <v>0</v>
      </c>
    </row>
    <row r="636" spans="6:6">
      <c r="F636" s="614">
        <v>0</v>
      </c>
    </row>
    <row r="637" spans="6:6">
      <c r="F637" s="614">
        <v>0</v>
      </c>
    </row>
    <row r="638" spans="6:6">
      <c r="F638" s="614">
        <v>0</v>
      </c>
    </row>
    <row r="639" spans="6:6">
      <c r="F639" s="614">
        <v>0</v>
      </c>
    </row>
    <row r="640" spans="6:6">
      <c r="F640" s="614">
        <v>0</v>
      </c>
    </row>
    <row r="641" spans="6:6">
      <c r="F641" s="614">
        <v>0</v>
      </c>
    </row>
    <row r="642" spans="6:6">
      <c r="F642" s="614">
        <v>0</v>
      </c>
    </row>
    <row r="643" spans="6:6">
      <c r="F643" s="614">
        <v>0</v>
      </c>
    </row>
    <row r="644" spans="6:6">
      <c r="F644" s="614">
        <v>0</v>
      </c>
    </row>
    <row r="645" spans="6:6">
      <c r="F645" s="614">
        <v>0</v>
      </c>
    </row>
    <row r="646" spans="6:6">
      <c r="F646" s="614">
        <v>0</v>
      </c>
    </row>
    <row r="647" spans="6:6">
      <c r="F647" s="614">
        <v>0</v>
      </c>
    </row>
    <row r="648" spans="6:6">
      <c r="F648" s="614">
        <v>0</v>
      </c>
    </row>
    <row r="649" spans="6:6">
      <c r="F649" s="614">
        <v>0</v>
      </c>
    </row>
    <row r="650" spans="6:6">
      <c r="F650" s="614">
        <v>0</v>
      </c>
    </row>
    <row r="651" spans="6:6">
      <c r="F651" s="614">
        <v>0</v>
      </c>
    </row>
    <row r="652" spans="6:6">
      <c r="F652" s="614">
        <v>0</v>
      </c>
    </row>
    <row r="653" spans="6:6">
      <c r="F653" s="614">
        <v>0</v>
      </c>
    </row>
    <row r="654" spans="6:6">
      <c r="F654" s="614">
        <v>0</v>
      </c>
    </row>
    <row r="655" spans="6:6">
      <c r="F655" s="614">
        <v>0</v>
      </c>
    </row>
    <row r="656" spans="6:6">
      <c r="F656" s="614">
        <v>0</v>
      </c>
    </row>
    <row r="657" spans="6:6">
      <c r="F657" s="614">
        <v>0</v>
      </c>
    </row>
    <row r="658" spans="6:6">
      <c r="F658" s="614">
        <v>0</v>
      </c>
    </row>
    <row r="659" spans="6:6">
      <c r="F659" s="614">
        <v>0</v>
      </c>
    </row>
    <row r="660" spans="6:6">
      <c r="F660" s="614">
        <v>0</v>
      </c>
    </row>
    <row r="661" spans="6:6">
      <c r="F661" s="614">
        <v>0</v>
      </c>
    </row>
    <row r="662" spans="6:6">
      <c r="F662" s="614">
        <v>0</v>
      </c>
    </row>
    <row r="663" spans="6:6">
      <c r="F663" s="614">
        <v>0</v>
      </c>
    </row>
    <row r="664" spans="6:6">
      <c r="F664" s="614">
        <v>0</v>
      </c>
    </row>
    <row r="665" spans="6:6">
      <c r="F665" s="614">
        <v>0</v>
      </c>
    </row>
    <row r="666" spans="6:6">
      <c r="F666" s="614">
        <v>0</v>
      </c>
    </row>
    <row r="667" spans="6:6">
      <c r="F667" s="614">
        <v>0</v>
      </c>
    </row>
    <row r="668" spans="6:6">
      <c r="F668" s="614">
        <v>0</v>
      </c>
    </row>
    <row r="669" spans="6:6">
      <c r="F669" s="614">
        <v>0</v>
      </c>
    </row>
    <row r="670" spans="6:6">
      <c r="F670" s="614">
        <v>0</v>
      </c>
    </row>
    <row r="671" spans="6:6">
      <c r="F671" s="614">
        <v>0</v>
      </c>
    </row>
    <row r="672" spans="6:6">
      <c r="F672" s="614">
        <v>0</v>
      </c>
    </row>
    <row r="673" spans="6:6">
      <c r="F673" s="614">
        <v>0</v>
      </c>
    </row>
    <row r="674" spans="6:6">
      <c r="F674" s="614">
        <v>0</v>
      </c>
    </row>
    <row r="675" spans="6:6">
      <c r="F675" s="614">
        <v>0</v>
      </c>
    </row>
    <row r="676" spans="6:6">
      <c r="F676" s="614">
        <v>0</v>
      </c>
    </row>
    <row r="677" spans="6:6">
      <c r="F677" s="614">
        <v>0</v>
      </c>
    </row>
    <row r="678" spans="6:6">
      <c r="F678" s="614">
        <v>0</v>
      </c>
    </row>
    <row r="679" spans="6:6">
      <c r="F679" s="614">
        <v>0</v>
      </c>
    </row>
    <row r="680" spans="6:6">
      <c r="F680" s="614">
        <v>0</v>
      </c>
    </row>
    <row r="681" spans="6:6">
      <c r="F681" s="614">
        <v>0</v>
      </c>
    </row>
    <row r="682" spans="6:6">
      <c r="F682" s="614">
        <v>0</v>
      </c>
    </row>
    <row r="683" spans="6:6">
      <c r="F683" s="614">
        <v>0</v>
      </c>
    </row>
    <row r="684" spans="6:6">
      <c r="F684" s="614">
        <v>0</v>
      </c>
    </row>
    <row r="685" spans="6:6">
      <c r="F685" s="614">
        <v>0</v>
      </c>
    </row>
    <row r="686" spans="6:6">
      <c r="F686" s="614">
        <v>0</v>
      </c>
    </row>
    <row r="687" spans="6:6">
      <c r="F687" s="614">
        <v>0</v>
      </c>
    </row>
    <row r="688" spans="6:6">
      <c r="F688" s="614">
        <v>0</v>
      </c>
    </row>
    <row r="689" spans="6:6">
      <c r="F689" s="614">
        <v>0</v>
      </c>
    </row>
    <row r="690" spans="6:6">
      <c r="F690" s="614">
        <v>0</v>
      </c>
    </row>
    <row r="691" spans="6:6">
      <c r="F691" s="614">
        <v>0</v>
      </c>
    </row>
    <row r="692" spans="6:6">
      <c r="F692" s="614">
        <v>0</v>
      </c>
    </row>
    <row r="693" spans="6:6">
      <c r="F693" s="614">
        <v>0</v>
      </c>
    </row>
    <row r="694" spans="6:6">
      <c r="F694" s="614">
        <v>0</v>
      </c>
    </row>
    <row r="695" spans="6:6">
      <c r="F695" s="614">
        <v>0</v>
      </c>
    </row>
    <row r="696" spans="6:6">
      <c r="F696" s="614">
        <v>0</v>
      </c>
    </row>
    <row r="697" spans="6:6">
      <c r="F697" s="614">
        <v>0</v>
      </c>
    </row>
    <row r="698" spans="6:6">
      <c r="F698" s="614">
        <v>0</v>
      </c>
    </row>
    <row r="699" spans="6:6">
      <c r="F699" s="614">
        <v>0</v>
      </c>
    </row>
    <row r="700" spans="6:6">
      <c r="F700" s="614">
        <v>0</v>
      </c>
    </row>
    <row r="701" spans="6:6">
      <c r="F701" s="614">
        <v>0</v>
      </c>
    </row>
    <row r="702" spans="6:6">
      <c r="F702" s="614">
        <v>0</v>
      </c>
    </row>
    <row r="703" spans="6:6">
      <c r="F703" s="614">
        <v>0</v>
      </c>
    </row>
    <row r="704" spans="6:6">
      <c r="F704" s="614">
        <v>0</v>
      </c>
    </row>
    <row r="705" spans="6:6">
      <c r="F705" s="614">
        <v>0</v>
      </c>
    </row>
    <row r="706" spans="6:6">
      <c r="F706" s="614">
        <v>0</v>
      </c>
    </row>
    <row r="707" spans="6:6">
      <c r="F707" s="614">
        <v>0</v>
      </c>
    </row>
    <row r="708" spans="6:6">
      <c r="F708" s="614">
        <v>0</v>
      </c>
    </row>
    <row r="709" spans="6:6">
      <c r="F709" s="614">
        <v>0</v>
      </c>
    </row>
    <row r="710" spans="6:6">
      <c r="F710" s="614">
        <v>0</v>
      </c>
    </row>
    <row r="711" spans="6:6">
      <c r="F711" s="614">
        <v>0</v>
      </c>
    </row>
    <row r="712" spans="6:6">
      <c r="F712" s="614">
        <v>0</v>
      </c>
    </row>
    <row r="713" spans="6:6">
      <c r="F713" s="614">
        <v>0</v>
      </c>
    </row>
    <row r="714" spans="6:6">
      <c r="F714" s="614">
        <v>0</v>
      </c>
    </row>
    <row r="715" spans="6:6">
      <c r="F715" s="614">
        <v>0</v>
      </c>
    </row>
    <row r="716" spans="6:6">
      <c r="F716" s="614">
        <v>0</v>
      </c>
    </row>
    <row r="717" spans="6:6">
      <c r="F717" s="614">
        <v>0</v>
      </c>
    </row>
    <row r="718" spans="6:6">
      <c r="F718" s="614">
        <v>0</v>
      </c>
    </row>
    <row r="719" spans="6:6">
      <c r="F719" s="614">
        <v>0</v>
      </c>
    </row>
    <row r="720" spans="6:6">
      <c r="F720" s="614">
        <v>0</v>
      </c>
    </row>
    <row r="721" spans="6:6">
      <c r="F721" s="614">
        <v>0</v>
      </c>
    </row>
    <row r="722" spans="6:6">
      <c r="F722" s="614">
        <v>0</v>
      </c>
    </row>
    <row r="723" spans="6:6">
      <c r="F723" s="614">
        <v>0</v>
      </c>
    </row>
    <row r="724" spans="6:6">
      <c r="F724" s="614">
        <v>0</v>
      </c>
    </row>
    <row r="725" spans="6:6">
      <c r="F725" s="614">
        <v>0</v>
      </c>
    </row>
    <row r="726" spans="6:6">
      <c r="F726" s="614">
        <v>0</v>
      </c>
    </row>
    <row r="727" spans="6:6">
      <c r="F727" s="614">
        <v>0</v>
      </c>
    </row>
    <row r="728" spans="6:6">
      <c r="F728" s="614">
        <v>0</v>
      </c>
    </row>
    <row r="729" spans="6:6">
      <c r="F729" s="614">
        <v>0</v>
      </c>
    </row>
    <row r="730" spans="6:6">
      <c r="F730" s="614">
        <v>0</v>
      </c>
    </row>
    <row r="731" spans="6:6">
      <c r="F731" s="614">
        <v>0</v>
      </c>
    </row>
    <row r="732" spans="6:6">
      <c r="F732" s="614">
        <v>0</v>
      </c>
    </row>
    <row r="733" spans="6:6">
      <c r="F733" s="614">
        <v>0</v>
      </c>
    </row>
    <row r="734" spans="6:6">
      <c r="F734" s="614">
        <v>0</v>
      </c>
    </row>
    <row r="735" spans="6:6">
      <c r="F735" s="614">
        <v>0</v>
      </c>
    </row>
    <row r="736" spans="6:6">
      <c r="F736" s="614">
        <v>0</v>
      </c>
    </row>
    <row r="737" spans="6:6">
      <c r="F737" s="614">
        <v>0</v>
      </c>
    </row>
    <row r="738" spans="6:6">
      <c r="F738" s="614">
        <v>0</v>
      </c>
    </row>
    <row r="739" spans="6:6">
      <c r="F739" s="614">
        <v>0</v>
      </c>
    </row>
    <row r="740" spans="6:6">
      <c r="F740" s="614">
        <v>0</v>
      </c>
    </row>
    <row r="741" spans="6:6">
      <c r="F741" s="614">
        <v>0</v>
      </c>
    </row>
    <row r="742" spans="6:6">
      <c r="F742" s="614">
        <v>0</v>
      </c>
    </row>
    <row r="743" spans="6:6">
      <c r="F743" s="614">
        <v>0</v>
      </c>
    </row>
    <row r="744" spans="6:6">
      <c r="F744" s="614">
        <v>0</v>
      </c>
    </row>
    <row r="745" spans="6:6">
      <c r="F745" s="614">
        <v>0</v>
      </c>
    </row>
    <row r="746" spans="6:6">
      <c r="F746" s="614">
        <v>0</v>
      </c>
    </row>
    <row r="747" spans="6:6">
      <c r="F747" s="614">
        <v>0</v>
      </c>
    </row>
    <row r="748" spans="6:6">
      <c r="F748" s="614">
        <v>0</v>
      </c>
    </row>
    <row r="749" spans="6:6">
      <c r="F749" s="614">
        <v>0</v>
      </c>
    </row>
    <row r="750" spans="6:6">
      <c r="F750" s="614">
        <v>0</v>
      </c>
    </row>
    <row r="751" spans="6:6">
      <c r="F751" s="614">
        <v>0</v>
      </c>
    </row>
    <row r="752" spans="6:6">
      <c r="F752" s="614">
        <v>0</v>
      </c>
    </row>
    <row r="753" spans="6:6">
      <c r="F753" s="614">
        <v>0</v>
      </c>
    </row>
    <row r="754" spans="6:6">
      <c r="F754" s="614">
        <v>0</v>
      </c>
    </row>
    <row r="755" spans="6:6">
      <c r="F755" s="614">
        <v>0</v>
      </c>
    </row>
    <row r="756" spans="6:6">
      <c r="F756" s="614">
        <v>0</v>
      </c>
    </row>
    <row r="757" spans="6:6">
      <c r="F757" s="614">
        <v>0</v>
      </c>
    </row>
    <row r="758" spans="6:6">
      <c r="F758" s="614">
        <v>0</v>
      </c>
    </row>
    <row r="759" spans="6:6">
      <c r="F759" s="614">
        <v>0</v>
      </c>
    </row>
    <row r="760" spans="6:6">
      <c r="F760" s="614">
        <v>0</v>
      </c>
    </row>
    <row r="761" spans="6:6">
      <c r="F761" s="614">
        <v>0</v>
      </c>
    </row>
    <row r="762" spans="6:6">
      <c r="F762" s="614">
        <v>0</v>
      </c>
    </row>
    <row r="763" spans="6:6">
      <c r="F763" s="614">
        <v>0</v>
      </c>
    </row>
    <row r="764" spans="6:6">
      <c r="F764" s="614">
        <v>0</v>
      </c>
    </row>
    <row r="765" spans="6:6">
      <c r="F765" s="614">
        <v>0</v>
      </c>
    </row>
    <row r="766" spans="6:6">
      <c r="F766" s="614">
        <v>0</v>
      </c>
    </row>
    <row r="767" spans="6:6">
      <c r="F767" s="614">
        <v>0</v>
      </c>
    </row>
    <row r="768" spans="6:6">
      <c r="F768" s="614">
        <v>0</v>
      </c>
    </row>
    <row r="769" spans="6:6">
      <c r="F769" s="614">
        <v>0</v>
      </c>
    </row>
    <row r="770" spans="6:6">
      <c r="F770" s="614">
        <v>0</v>
      </c>
    </row>
    <row r="771" spans="6:6">
      <c r="F771" s="614">
        <v>0</v>
      </c>
    </row>
    <row r="772" spans="6:6">
      <c r="F772" s="614">
        <v>0</v>
      </c>
    </row>
    <row r="773" spans="6:6">
      <c r="F773" s="614">
        <v>0</v>
      </c>
    </row>
    <row r="774" spans="6:6">
      <c r="F774" s="614">
        <v>0</v>
      </c>
    </row>
    <row r="775" spans="6:6">
      <c r="F775" s="614">
        <v>0</v>
      </c>
    </row>
    <row r="776" spans="6:6">
      <c r="F776" s="614">
        <v>0</v>
      </c>
    </row>
    <row r="777" spans="6:6">
      <c r="F777" s="614">
        <v>0</v>
      </c>
    </row>
    <row r="778" spans="6:6">
      <c r="F778" s="614">
        <v>0</v>
      </c>
    </row>
    <row r="779" spans="6:6">
      <c r="F779" s="614">
        <v>0</v>
      </c>
    </row>
    <row r="780" spans="6:6">
      <c r="F780" s="614">
        <v>0</v>
      </c>
    </row>
    <row r="781" spans="6:6">
      <c r="F781" s="614">
        <v>0</v>
      </c>
    </row>
    <row r="782" spans="6:6">
      <c r="F782" s="614">
        <v>0</v>
      </c>
    </row>
    <row r="783" spans="6:6">
      <c r="F783" s="614">
        <v>0</v>
      </c>
    </row>
    <row r="784" spans="6:6">
      <c r="F784" s="614">
        <v>0</v>
      </c>
    </row>
    <row r="785" spans="6:6">
      <c r="F785" s="614">
        <v>0</v>
      </c>
    </row>
    <row r="786" spans="6:6">
      <c r="F786" s="614">
        <v>0</v>
      </c>
    </row>
    <row r="787" spans="6:6">
      <c r="F787" s="614">
        <v>0</v>
      </c>
    </row>
    <row r="788" spans="6:6">
      <c r="F788" s="614">
        <v>0</v>
      </c>
    </row>
    <row r="789" spans="6:6">
      <c r="F789" s="614">
        <v>0</v>
      </c>
    </row>
    <row r="790" spans="6:6">
      <c r="F790" s="614">
        <v>0</v>
      </c>
    </row>
    <row r="791" spans="6:6">
      <c r="F791" s="614">
        <v>0</v>
      </c>
    </row>
    <row r="792" spans="6:6">
      <c r="F792" s="614">
        <v>0</v>
      </c>
    </row>
    <row r="793" spans="6:6">
      <c r="F793" s="614">
        <v>0</v>
      </c>
    </row>
    <row r="794" spans="6:6">
      <c r="F794" s="614">
        <v>0</v>
      </c>
    </row>
    <row r="795" spans="6:6">
      <c r="F795" s="614">
        <v>0</v>
      </c>
    </row>
    <row r="796" spans="6:6">
      <c r="F796" s="614">
        <v>0</v>
      </c>
    </row>
    <row r="797" spans="6:6">
      <c r="F797" s="614">
        <v>0</v>
      </c>
    </row>
    <row r="798" spans="6:6">
      <c r="F798" s="614">
        <v>0</v>
      </c>
    </row>
    <row r="799" spans="6:6">
      <c r="F799" s="614">
        <v>0</v>
      </c>
    </row>
    <row r="800" spans="6:6">
      <c r="F800" s="614">
        <v>0</v>
      </c>
    </row>
    <row r="801" spans="6:6">
      <c r="F801" s="614">
        <v>0</v>
      </c>
    </row>
    <row r="802" spans="6:6">
      <c r="F802" s="614">
        <v>0</v>
      </c>
    </row>
    <row r="803" spans="6:6">
      <c r="F803" s="614">
        <v>0</v>
      </c>
    </row>
    <row r="804" spans="6:6">
      <c r="F804" s="614">
        <v>0</v>
      </c>
    </row>
    <row r="805" spans="6:6">
      <c r="F805" s="614">
        <v>0</v>
      </c>
    </row>
    <row r="806" spans="6:6">
      <c r="F806" s="614">
        <v>0</v>
      </c>
    </row>
    <row r="807" spans="6:6">
      <c r="F807" s="614">
        <v>0</v>
      </c>
    </row>
    <row r="808" spans="6:6">
      <c r="F808" s="614">
        <v>0</v>
      </c>
    </row>
    <row r="809" spans="6:6">
      <c r="F809" s="614">
        <v>0</v>
      </c>
    </row>
    <row r="810" spans="6:6">
      <c r="F810" s="614">
        <v>0</v>
      </c>
    </row>
    <row r="811" spans="6:6">
      <c r="F811" s="614">
        <v>0</v>
      </c>
    </row>
    <row r="812" spans="6:6">
      <c r="F812" s="614">
        <v>0</v>
      </c>
    </row>
    <row r="813" spans="6:6">
      <c r="F813" s="614">
        <v>0</v>
      </c>
    </row>
    <row r="814" spans="6:6">
      <c r="F814" s="614">
        <v>0</v>
      </c>
    </row>
    <row r="815" spans="6:6">
      <c r="F815" s="614">
        <v>0</v>
      </c>
    </row>
    <row r="816" spans="6:6">
      <c r="F816" s="614">
        <v>0</v>
      </c>
    </row>
    <row r="817" spans="6:6">
      <c r="F817" s="614">
        <v>0</v>
      </c>
    </row>
    <row r="818" spans="6:6">
      <c r="F818" s="614">
        <v>0</v>
      </c>
    </row>
    <row r="819" spans="6:6">
      <c r="F819" s="614">
        <v>0</v>
      </c>
    </row>
    <row r="820" spans="6:6">
      <c r="F820" s="614">
        <v>0</v>
      </c>
    </row>
    <row r="821" spans="6:6">
      <c r="F821" s="614">
        <v>0</v>
      </c>
    </row>
    <row r="822" spans="6:6">
      <c r="F822" s="614">
        <v>0</v>
      </c>
    </row>
    <row r="823" spans="6:6">
      <c r="F823" s="614">
        <v>0</v>
      </c>
    </row>
    <row r="824" spans="6:6">
      <c r="F824" s="614">
        <v>0</v>
      </c>
    </row>
    <row r="825" spans="6:6">
      <c r="F825" s="614">
        <v>0</v>
      </c>
    </row>
    <row r="826" spans="6:6">
      <c r="F826" s="614">
        <v>0</v>
      </c>
    </row>
    <row r="827" spans="6:6">
      <c r="F827" s="614">
        <v>0</v>
      </c>
    </row>
    <row r="828" spans="6:6">
      <c r="F828" s="614">
        <v>0</v>
      </c>
    </row>
    <row r="829" spans="6:6">
      <c r="F829" s="614">
        <v>0</v>
      </c>
    </row>
    <row r="830" spans="6:6">
      <c r="F830" s="614">
        <v>0</v>
      </c>
    </row>
    <row r="831" spans="6:6">
      <c r="F831" s="614">
        <v>0</v>
      </c>
    </row>
    <row r="832" spans="6:6">
      <c r="F832" s="614">
        <v>0</v>
      </c>
    </row>
    <row r="833" spans="6:6">
      <c r="F833" s="614">
        <v>0</v>
      </c>
    </row>
    <row r="834" spans="6:6">
      <c r="F834" s="614">
        <v>0</v>
      </c>
    </row>
    <row r="835" spans="6:6">
      <c r="F835" s="614">
        <v>0</v>
      </c>
    </row>
    <row r="836" spans="6:6">
      <c r="F836" s="614">
        <v>0</v>
      </c>
    </row>
    <row r="837" spans="6:6">
      <c r="F837" s="614">
        <v>0</v>
      </c>
    </row>
    <row r="838" spans="6:6">
      <c r="F838" s="614">
        <v>0</v>
      </c>
    </row>
    <row r="839" spans="6:6">
      <c r="F839" s="614">
        <v>0</v>
      </c>
    </row>
    <row r="840" spans="6:6">
      <c r="F840" s="614">
        <v>0</v>
      </c>
    </row>
    <row r="841" spans="6:6">
      <c r="F841" s="614">
        <v>0</v>
      </c>
    </row>
    <row r="842" spans="6:6">
      <c r="F842" s="614">
        <v>0</v>
      </c>
    </row>
    <row r="843" spans="6:6">
      <c r="F843" s="614">
        <v>0</v>
      </c>
    </row>
    <row r="844" spans="6:6">
      <c r="F844" s="614">
        <v>0</v>
      </c>
    </row>
    <row r="845" spans="6:6">
      <c r="F845" s="614">
        <v>0</v>
      </c>
    </row>
    <row r="846" spans="6:6">
      <c r="F846" s="614">
        <v>0</v>
      </c>
    </row>
    <row r="847" spans="6:6">
      <c r="F847" s="614">
        <v>0</v>
      </c>
    </row>
    <row r="848" spans="6:6">
      <c r="F848" s="614">
        <v>0</v>
      </c>
    </row>
    <row r="849" spans="6:6">
      <c r="F849" s="614">
        <v>0</v>
      </c>
    </row>
    <row r="850" spans="6:6">
      <c r="F850" s="614">
        <v>0</v>
      </c>
    </row>
    <row r="851" spans="6:6">
      <c r="F851" s="614">
        <v>0</v>
      </c>
    </row>
    <row r="852" spans="6:6">
      <c r="F852" s="614">
        <v>0</v>
      </c>
    </row>
    <row r="853" spans="6:6">
      <c r="F853" s="614">
        <v>0</v>
      </c>
    </row>
    <row r="854" spans="6:6">
      <c r="F854" s="614">
        <v>0</v>
      </c>
    </row>
    <row r="855" spans="6:6">
      <c r="F855" s="614">
        <v>0</v>
      </c>
    </row>
    <row r="856" spans="6:6">
      <c r="F856" s="614">
        <v>0</v>
      </c>
    </row>
    <row r="857" spans="6:6">
      <c r="F857" s="614">
        <v>0</v>
      </c>
    </row>
    <row r="858" spans="6:6">
      <c r="F858" s="614">
        <v>0</v>
      </c>
    </row>
    <row r="859" spans="6:6">
      <c r="F859" s="614">
        <v>0</v>
      </c>
    </row>
    <row r="860" spans="6:6">
      <c r="F860" s="614">
        <v>0</v>
      </c>
    </row>
    <row r="861" spans="6:6">
      <c r="F861" s="614">
        <v>0</v>
      </c>
    </row>
    <row r="862" spans="6:6">
      <c r="F862" s="614">
        <v>0</v>
      </c>
    </row>
    <row r="863" spans="6:6">
      <c r="F863" s="614">
        <v>0</v>
      </c>
    </row>
    <row r="864" spans="6:6">
      <c r="F864" s="614">
        <v>0</v>
      </c>
    </row>
    <row r="865" spans="6:6">
      <c r="F865" s="614">
        <v>0</v>
      </c>
    </row>
    <row r="866" spans="6:6">
      <c r="F866" s="614">
        <v>0</v>
      </c>
    </row>
    <row r="867" spans="6:6">
      <c r="F867" s="614">
        <v>0</v>
      </c>
    </row>
    <row r="868" spans="6:6">
      <c r="F868" s="614">
        <v>0</v>
      </c>
    </row>
    <row r="869" spans="6:6">
      <c r="F869" s="614">
        <v>0</v>
      </c>
    </row>
    <row r="870" spans="6:6">
      <c r="F870" s="614">
        <v>0</v>
      </c>
    </row>
    <row r="871" spans="6:6">
      <c r="F871" s="614">
        <v>0</v>
      </c>
    </row>
    <row r="872" spans="6:6">
      <c r="F872" s="614">
        <v>0</v>
      </c>
    </row>
    <row r="873" spans="6:6">
      <c r="F873" s="614">
        <v>0</v>
      </c>
    </row>
    <row r="874" spans="6:6">
      <c r="F874" s="614">
        <v>0</v>
      </c>
    </row>
    <row r="875" spans="6:6">
      <c r="F875" s="614">
        <v>0</v>
      </c>
    </row>
    <row r="876" spans="6:6">
      <c r="F876" s="614">
        <v>0</v>
      </c>
    </row>
    <row r="877" spans="6:6">
      <c r="F877" s="614">
        <v>0</v>
      </c>
    </row>
    <row r="878" spans="6:6">
      <c r="F878" s="614">
        <v>0</v>
      </c>
    </row>
    <row r="879" spans="6:6">
      <c r="F879" s="614">
        <v>0</v>
      </c>
    </row>
    <row r="880" spans="6:6">
      <c r="F880" s="614">
        <v>0</v>
      </c>
    </row>
    <row r="881" spans="6:6">
      <c r="F881" s="614">
        <v>0</v>
      </c>
    </row>
    <row r="882" spans="6:6">
      <c r="F882" s="614">
        <v>0</v>
      </c>
    </row>
    <row r="883" spans="6:6">
      <c r="F883" s="614">
        <v>0</v>
      </c>
    </row>
    <row r="884" spans="6:6">
      <c r="F884" s="614">
        <v>0</v>
      </c>
    </row>
    <row r="885" spans="6:6">
      <c r="F885" s="614">
        <v>0</v>
      </c>
    </row>
    <row r="886" spans="6:6">
      <c r="F886" s="614">
        <v>0</v>
      </c>
    </row>
    <row r="887" spans="6:6">
      <c r="F887" s="614">
        <v>0</v>
      </c>
    </row>
    <row r="888" spans="6:6">
      <c r="F888" s="614">
        <v>0</v>
      </c>
    </row>
    <row r="889" spans="6:6">
      <c r="F889" s="614">
        <v>0</v>
      </c>
    </row>
    <row r="890" spans="6:6">
      <c r="F890" s="614">
        <v>0</v>
      </c>
    </row>
    <row r="891" spans="6:6">
      <c r="F891" s="614">
        <v>0</v>
      </c>
    </row>
    <row r="892" spans="6:6">
      <c r="F892" s="614">
        <v>0</v>
      </c>
    </row>
    <row r="893" spans="6:6">
      <c r="F893" s="614">
        <v>0</v>
      </c>
    </row>
    <row r="894" spans="6:6">
      <c r="F894" s="614">
        <v>0</v>
      </c>
    </row>
    <row r="895" spans="6:6">
      <c r="F895" s="614">
        <v>0</v>
      </c>
    </row>
    <row r="896" spans="6:6">
      <c r="F896" s="614">
        <v>0</v>
      </c>
    </row>
    <row r="897" spans="6:6">
      <c r="F897" s="614">
        <v>0</v>
      </c>
    </row>
    <row r="898" spans="6:6">
      <c r="F898" s="614">
        <v>0</v>
      </c>
    </row>
    <row r="899" spans="6:6">
      <c r="F899" s="614">
        <v>0</v>
      </c>
    </row>
    <row r="900" spans="6:6">
      <c r="F900" s="614">
        <v>0</v>
      </c>
    </row>
    <row r="901" spans="6:6">
      <c r="F901" s="614">
        <v>0</v>
      </c>
    </row>
    <row r="902" spans="6:6">
      <c r="F902" s="614">
        <v>0</v>
      </c>
    </row>
    <row r="903" spans="6:6">
      <c r="F903" s="614">
        <v>0</v>
      </c>
    </row>
    <row r="904" spans="6:6">
      <c r="F904" s="614">
        <v>0</v>
      </c>
    </row>
    <row r="905" spans="6:6">
      <c r="F905" s="614">
        <v>0</v>
      </c>
    </row>
    <row r="906" spans="6:6">
      <c r="F906" s="614">
        <v>0</v>
      </c>
    </row>
    <row r="907" spans="6:6">
      <c r="F907" s="614">
        <v>0</v>
      </c>
    </row>
    <row r="908" spans="6:6">
      <c r="F908" s="614">
        <v>0</v>
      </c>
    </row>
    <row r="909" spans="6:6">
      <c r="F909" s="614">
        <v>0</v>
      </c>
    </row>
    <row r="910" spans="6:6">
      <c r="F910" s="614">
        <v>0</v>
      </c>
    </row>
    <row r="911" spans="6:6">
      <c r="F911" s="614">
        <v>0</v>
      </c>
    </row>
    <row r="912" spans="6:6">
      <c r="F912" s="614">
        <v>0</v>
      </c>
    </row>
    <row r="913" spans="6:6">
      <c r="F913" s="614">
        <v>0</v>
      </c>
    </row>
    <row r="914" spans="6:6">
      <c r="F914" s="614">
        <v>0</v>
      </c>
    </row>
    <row r="915" spans="6:6">
      <c r="F915" s="614">
        <v>0</v>
      </c>
    </row>
    <row r="916" spans="6:6">
      <c r="F916" s="614">
        <v>0</v>
      </c>
    </row>
    <row r="917" spans="6:6">
      <c r="F917" s="614">
        <v>0</v>
      </c>
    </row>
    <row r="918" spans="6:6">
      <c r="F918" s="614">
        <v>0</v>
      </c>
    </row>
    <row r="919" spans="6:6">
      <c r="F919" s="614">
        <v>0</v>
      </c>
    </row>
    <row r="920" spans="6:6">
      <c r="F920" s="614">
        <v>0</v>
      </c>
    </row>
    <row r="921" spans="6:6">
      <c r="F921" s="614">
        <v>0</v>
      </c>
    </row>
    <row r="922" spans="6:6">
      <c r="F922" s="614">
        <v>0</v>
      </c>
    </row>
    <row r="923" spans="6:6">
      <c r="F923" s="614">
        <v>0</v>
      </c>
    </row>
    <row r="924" spans="6:6">
      <c r="F924" s="614">
        <v>0</v>
      </c>
    </row>
    <row r="925" spans="6:6">
      <c r="F925" s="614">
        <v>0</v>
      </c>
    </row>
    <row r="926" spans="6:6">
      <c r="F926" s="614">
        <v>0</v>
      </c>
    </row>
    <row r="927" spans="6:6">
      <c r="F927" s="614">
        <v>0</v>
      </c>
    </row>
    <row r="928" spans="6:6">
      <c r="F928" s="614">
        <v>0</v>
      </c>
    </row>
    <row r="929" spans="6:6">
      <c r="F929" s="614">
        <v>0</v>
      </c>
    </row>
    <row r="930" spans="6:6">
      <c r="F930" s="614">
        <v>0</v>
      </c>
    </row>
    <row r="931" spans="6:6">
      <c r="F931" s="614">
        <v>0</v>
      </c>
    </row>
    <row r="932" spans="6:6">
      <c r="F932" s="614">
        <v>0</v>
      </c>
    </row>
    <row r="933" spans="6:6">
      <c r="F933" s="614">
        <v>0</v>
      </c>
    </row>
    <row r="934" spans="6:6">
      <c r="F934" s="614">
        <v>0</v>
      </c>
    </row>
    <row r="935" spans="6:6">
      <c r="F935" s="614">
        <v>0</v>
      </c>
    </row>
    <row r="936" spans="6:6">
      <c r="F936" s="614">
        <v>0</v>
      </c>
    </row>
    <row r="937" spans="6:6">
      <c r="F937" s="614">
        <v>0</v>
      </c>
    </row>
    <row r="938" spans="6:6">
      <c r="F938" s="614">
        <v>0</v>
      </c>
    </row>
    <row r="939" spans="6:6">
      <c r="F939" s="614">
        <v>0</v>
      </c>
    </row>
    <row r="940" spans="6:6">
      <c r="F940" s="614">
        <v>0</v>
      </c>
    </row>
    <row r="941" spans="6:6">
      <c r="F941" s="614">
        <v>0</v>
      </c>
    </row>
    <row r="942" spans="6:6">
      <c r="F942" s="614">
        <v>0</v>
      </c>
    </row>
    <row r="943" spans="6:6">
      <c r="F943" s="614">
        <v>0</v>
      </c>
    </row>
    <row r="944" spans="6:6">
      <c r="F944" s="614">
        <v>0</v>
      </c>
    </row>
    <row r="945" spans="6:6">
      <c r="F945" s="614">
        <v>0</v>
      </c>
    </row>
    <row r="946" spans="6:6">
      <c r="F946" s="614">
        <v>0</v>
      </c>
    </row>
    <row r="947" spans="6:6">
      <c r="F947" s="614">
        <v>0</v>
      </c>
    </row>
    <row r="948" spans="6:6">
      <c r="F948" s="614">
        <v>0</v>
      </c>
    </row>
    <row r="949" spans="6:6">
      <c r="F949" s="614">
        <v>0</v>
      </c>
    </row>
    <row r="950" spans="6:6">
      <c r="F950" s="614">
        <v>0</v>
      </c>
    </row>
    <row r="951" spans="6:6">
      <c r="F951" s="614">
        <v>0</v>
      </c>
    </row>
    <row r="952" spans="6:6">
      <c r="F952" s="614">
        <v>0</v>
      </c>
    </row>
    <row r="953" spans="6:6">
      <c r="F953" s="614">
        <v>0</v>
      </c>
    </row>
    <row r="954" spans="6:6">
      <c r="F954" s="614">
        <v>0</v>
      </c>
    </row>
    <row r="955" spans="6:6">
      <c r="F955" s="614">
        <v>0</v>
      </c>
    </row>
    <row r="956" spans="6:6">
      <c r="F956" s="614">
        <v>0</v>
      </c>
    </row>
    <row r="957" spans="6:6">
      <c r="F957" s="614">
        <v>0</v>
      </c>
    </row>
    <row r="958" spans="6:6">
      <c r="F958" s="614">
        <v>0</v>
      </c>
    </row>
    <row r="959" spans="6:6">
      <c r="F959" s="614">
        <v>0</v>
      </c>
    </row>
    <row r="960" spans="6:6">
      <c r="F960" s="614">
        <v>0</v>
      </c>
    </row>
    <row r="961" spans="6:6">
      <c r="F961" s="614">
        <v>0</v>
      </c>
    </row>
    <row r="962" spans="6:6">
      <c r="F962" s="614">
        <v>0</v>
      </c>
    </row>
    <row r="963" spans="6:6">
      <c r="F963" s="614">
        <v>0</v>
      </c>
    </row>
    <row r="964" spans="6:6">
      <c r="F964" s="614">
        <v>0</v>
      </c>
    </row>
    <row r="965" spans="6:6">
      <c r="F965" s="614">
        <v>0</v>
      </c>
    </row>
    <row r="966" spans="6:6">
      <c r="F966" s="614">
        <v>0</v>
      </c>
    </row>
    <row r="967" spans="6:6">
      <c r="F967" s="614">
        <v>0</v>
      </c>
    </row>
    <row r="968" spans="6:6">
      <c r="F968" s="614">
        <v>0</v>
      </c>
    </row>
    <row r="969" spans="6:6">
      <c r="F969" s="614">
        <v>0</v>
      </c>
    </row>
    <row r="970" spans="6:6">
      <c r="F970" s="614">
        <v>0</v>
      </c>
    </row>
    <row r="971" spans="6:6">
      <c r="F971" s="614">
        <v>0</v>
      </c>
    </row>
    <row r="972" spans="6:6">
      <c r="F972" s="614">
        <v>0</v>
      </c>
    </row>
    <row r="973" spans="6:6">
      <c r="F973" s="614">
        <v>0</v>
      </c>
    </row>
    <row r="974" spans="6:6">
      <c r="F974" s="614">
        <v>0</v>
      </c>
    </row>
    <row r="975" spans="6:6">
      <c r="F975" s="614">
        <v>0</v>
      </c>
    </row>
    <row r="976" spans="6:6">
      <c r="F976" s="614">
        <v>0</v>
      </c>
    </row>
    <row r="977" spans="6:6">
      <c r="F977" s="614">
        <v>0</v>
      </c>
    </row>
    <row r="978" spans="6:6">
      <c r="F978" s="614">
        <v>0</v>
      </c>
    </row>
    <row r="979" spans="6:6">
      <c r="F979" s="614">
        <v>0</v>
      </c>
    </row>
    <row r="980" spans="6:6">
      <c r="F980" s="614">
        <v>0</v>
      </c>
    </row>
    <row r="981" spans="6:6">
      <c r="F981" s="614">
        <v>0</v>
      </c>
    </row>
    <row r="982" spans="6:6">
      <c r="F982" s="614">
        <v>0</v>
      </c>
    </row>
    <row r="983" spans="6:6">
      <c r="F983" s="614">
        <v>0</v>
      </c>
    </row>
    <row r="984" spans="6:6">
      <c r="F984" s="614">
        <v>0</v>
      </c>
    </row>
    <row r="985" spans="6:6">
      <c r="F985" s="614">
        <v>0</v>
      </c>
    </row>
    <row r="986" spans="6:6">
      <c r="F986" s="614">
        <v>0</v>
      </c>
    </row>
    <row r="987" spans="6:6">
      <c r="F987" s="614">
        <v>0</v>
      </c>
    </row>
    <row r="988" spans="6:6">
      <c r="F988" s="614">
        <v>0</v>
      </c>
    </row>
    <row r="989" spans="6:6">
      <c r="F989" s="614">
        <v>0</v>
      </c>
    </row>
    <row r="990" spans="6:6">
      <c r="F990" s="614">
        <v>0</v>
      </c>
    </row>
    <row r="991" spans="6:6">
      <c r="F991" s="614">
        <v>0</v>
      </c>
    </row>
    <row r="992" spans="6:6">
      <c r="F992" s="614">
        <v>0</v>
      </c>
    </row>
    <row r="993" spans="6:6">
      <c r="F993" s="614">
        <v>0</v>
      </c>
    </row>
    <row r="994" spans="6:6">
      <c r="F994" s="614">
        <v>0</v>
      </c>
    </row>
    <row r="995" spans="6:6">
      <c r="F995" s="614">
        <v>0</v>
      </c>
    </row>
    <row r="996" spans="6:6">
      <c r="F996" s="614">
        <v>0</v>
      </c>
    </row>
    <row r="997" spans="6:6">
      <c r="F997" s="614">
        <v>0</v>
      </c>
    </row>
    <row r="998" spans="6:6">
      <c r="F998" s="614">
        <v>0</v>
      </c>
    </row>
    <row r="999" spans="6:6">
      <c r="F999" s="614">
        <v>0</v>
      </c>
    </row>
    <row r="1000" spans="6:6">
      <c r="F1000" s="614">
        <v>0</v>
      </c>
    </row>
    <row r="1001" spans="6:6">
      <c r="F1001" s="614">
        <v>0</v>
      </c>
    </row>
    <row r="1002" spans="6:6">
      <c r="F1002" s="614">
        <v>0</v>
      </c>
    </row>
    <row r="1003" spans="6:6">
      <c r="F1003" s="614">
        <v>0</v>
      </c>
    </row>
    <row r="1004" spans="6:6">
      <c r="F1004" s="614">
        <v>0</v>
      </c>
    </row>
    <row r="1005" spans="6:6">
      <c r="F1005" s="614">
        <v>0</v>
      </c>
    </row>
    <row r="1006" spans="6:6">
      <c r="F1006" s="614">
        <v>0</v>
      </c>
    </row>
    <row r="1007" spans="6:6">
      <c r="F1007" s="614">
        <v>0</v>
      </c>
    </row>
    <row r="1008" spans="6:6">
      <c r="F1008" s="614">
        <v>0</v>
      </c>
    </row>
    <row r="1009" spans="6:6">
      <c r="F1009" s="614">
        <v>0</v>
      </c>
    </row>
    <row r="1010" spans="6:6">
      <c r="F1010" s="614">
        <v>0</v>
      </c>
    </row>
    <row r="1011" spans="6:6">
      <c r="F1011" s="614">
        <v>0</v>
      </c>
    </row>
    <row r="1012" spans="6:6">
      <c r="F1012" s="614">
        <v>0</v>
      </c>
    </row>
    <row r="1013" spans="6:6">
      <c r="F1013" s="614">
        <v>0</v>
      </c>
    </row>
    <row r="1014" spans="6:6">
      <c r="F1014" s="614">
        <v>0</v>
      </c>
    </row>
    <row r="1015" spans="6:6">
      <c r="F1015" s="614">
        <v>0</v>
      </c>
    </row>
    <row r="1016" spans="6:6">
      <c r="F1016" s="614">
        <v>0</v>
      </c>
    </row>
    <row r="1017" spans="6:6">
      <c r="F1017" s="614">
        <v>0</v>
      </c>
    </row>
    <row r="1018" spans="6:6">
      <c r="F1018" s="614">
        <v>0</v>
      </c>
    </row>
    <row r="1019" spans="6:6">
      <c r="F1019" s="614">
        <v>0</v>
      </c>
    </row>
    <row r="1020" spans="6:6">
      <c r="F1020" s="614">
        <v>0</v>
      </c>
    </row>
    <row r="1021" spans="6:6">
      <c r="F1021" s="614">
        <v>0</v>
      </c>
    </row>
    <row r="1022" spans="6:6">
      <c r="F1022" s="614">
        <v>0</v>
      </c>
    </row>
    <row r="1023" spans="6:6">
      <c r="F1023" s="614">
        <v>0</v>
      </c>
    </row>
    <row r="1024" spans="6:6">
      <c r="F1024" s="614">
        <v>0</v>
      </c>
    </row>
    <row r="1025" spans="6:6">
      <c r="F1025" s="614">
        <v>0</v>
      </c>
    </row>
    <row r="1026" spans="6:6">
      <c r="F1026" s="614">
        <v>0</v>
      </c>
    </row>
    <row r="1027" spans="6:6">
      <c r="F1027" s="614">
        <v>0</v>
      </c>
    </row>
    <row r="1028" spans="6:6">
      <c r="F1028" s="614">
        <v>0</v>
      </c>
    </row>
    <row r="1029" spans="6:6">
      <c r="F1029" s="614">
        <v>0</v>
      </c>
    </row>
    <row r="1030" spans="6:6">
      <c r="F1030" s="614">
        <v>0</v>
      </c>
    </row>
    <row r="1031" spans="6:6">
      <c r="F1031" s="614">
        <v>0</v>
      </c>
    </row>
    <row r="1032" spans="6:6">
      <c r="F1032" s="614">
        <v>0</v>
      </c>
    </row>
    <row r="1033" spans="6:6">
      <c r="F1033" s="614">
        <v>0</v>
      </c>
    </row>
    <row r="1034" spans="6:6">
      <c r="F1034" s="614">
        <v>0</v>
      </c>
    </row>
    <row r="1035" spans="6:6">
      <c r="F1035" s="614">
        <v>0</v>
      </c>
    </row>
    <row r="1036" spans="6:6">
      <c r="F1036" s="614">
        <v>0</v>
      </c>
    </row>
    <row r="1037" spans="6:6">
      <c r="F1037" s="614">
        <v>0</v>
      </c>
    </row>
    <row r="1038" spans="6:6">
      <c r="F1038" s="614">
        <v>0</v>
      </c>
    </row>
    <row r="1039" spans="6:6">
      <c r="F1039" s="614">
        <v>0</v>
      </c>
    </row>
    <row r="1040" spans="6:6">
      <c r="F1040" s="614">
        <v>0</v>
      </c>
    </row>
    <row r="1041" spans="6:6">
      <c r="F1041" s="614">
        <v>0</v>
      </c>
    </row>
    <row r="1042" spans="6:6">
      <c r="F1042" s="614">
        <v>0</v>
      </c>
    </row>
    <row r="1043" spans="6:6">
      <c r="F1043" s="614">
        <v>0</v>
      </c>
    </row>
    <row r="1044" spans="6:6">
      <c r="F1044" s="614">
        <v>0</v>
      </c>
    </row>
    <row r="1045" spans="6:6">
      <c r="F1045" s="614">
        <v>0</v>
      </c>
    </row>
    <row r="1046" spans="6:6">
      <c r="F1046" s="614">
        <v>0</v>
      </c>
    </row>
    <row r="1047" spans="6:6">
      <c r="F1047" s="614">
        <v>0</v>
      </c>
    </row>
    <row r="1048" spans="6:6">
      <c r="F1048" s="614">
        <v>0</v>
      </c>
    </row>
    <row r="1049" spans="6:6">
      <c r="F1049" s="614">
        <v>0</v>
      </c>
    </row>
    <row r="1050" spans="6:6">
      <c r="F1050" s="614">
        <v>0</v>
      </c>
    </row>
    <row r="1051" spans="6:6">
      <c r="F1051" s="614">
        <v>0</v>
      </c>
    </row>
    <row r="1052" spans="6:6">
      <c r="F1052" s="614">
        <v>0</v>
      </c>
    </row>
    <row r="1053" spans="6:6">
      <c r="F1053" s="614">
        <v>0</v>
      </c>
    </row>
    <row r="1054" spans="6:6">
      <c r="F1054" s="614">
        <v>0</v>
      </c>
    </row>
    <row r="1055" spans="6:6">
      <c r="F1055" s="614">
        <v>0</v>
      </c>
    </row>
    <row r="1056" spans="6:6">
      <c r="F1056" s="614">
        <v>0</v>
      </c>
    </row>
    <row r="1057" spans="6:6">
      <c r="F1057" s="614">
        <v>0</v>
      </c>
    </row>
    <row r="1058" spans="6:6">
      <c r="F1058" s="614">
        <v>0</v>
      </c>
    </row>
    <row r="1059" spans="6:6">
      <c r="F1059" s="614">
        <v>0</v>
      </c>
    </row>
    <row r="1060" spans="6:6">
      <c r="F1060" s="614">
        <v>0</v>
      </c>
    </row>
    <row r="1061" spans="6:6">
      <c r="F1061" s="614">
        <v>0</v>
      </c>
    </row>
    <row r="1062" spans="6:6">
      <c r="F1062" s="614">
        <v>0</v>
      </c>
    </row>
    <row r="1063" spans="6:6">
      <c r="F1063" s="614">
        <v>0</v>
      </c>
    </row>
    <row r="1064" spans="6:6">
      <c r="F1064" s="614">
        <v>0</v>
      </c>
    </row>
    <row r="1065" spans="6:6">
      <c r="F1065" s="614">
        <v>0</v>
      </c>
    </row>
    <row r="1066" spans="6:6">
      <c r="F1066" s="614">
        <v>0</v>
      </c>
    </row>
    <row r="1067" spans="6:6">
      <c r="F1067" s="614">
        <v>0</v>
      </c>
    </row>
    <row r="1068" spans="6:6">
      <c r="F1068" s="614">
        <v>0</v>
      </c>
    </row>
    <row r="1069" spans="6:6">
      <c r="F1069" s="614">
        <v>0</v>
      </c>
    </row>
    <row r="1070" spans="6:6">
      <c r="F1070" s="614">
        <v>0</v>
      </c>
    </row>
    <row r="1071" spans="6:6">
      <c r="F1071" s="614">
        <v>0</v>
      </c>
    </row>
    <row r="1072" spans="6:6">
      <c r="F1072" s="614">
        <v>0</v>
      </c>
    </row>
    <row r="1073" spans="6:6">
      <c r="F1073" s="614">
        <v>0</v>
      </c>
    </row>
    <row r="1074" spans="6:6">
      <c r="F1074" s="614">
        <v>0</v>
      </c>
    </row>
    <row r="1075" spans="6:6">
      <c r="F1075" s="614">
        <v>0</v>
      </c>
    </row>
    <row r="1076" spans="6:6">
      <c r="F1076" s="614">
        <v>0</v>
      </c>
    </row>
    <row r="1077" spans="6:6">
      <c r="F1077" s="614">
        <v>0</v>
      </c>
    </row>
    <row r="1078" spans="6:6">
      <c r="F1078" s="614">
        <v>0</v>
      </c>
    </row>
    <row r="1079" spans="6:6">
      <c r="F1079" s="614">
        <v>0</v>
      </c>
    </row>
    <row r="1080" spans="6:6">
      <c r="F1080" s="614">
        <v>0</v>
      </c>
    </row>
    <row r="1081" spans="6:6">
      <c r="F1081" s="614">
        <v>0</v>
      </c>
    </row>
    <row r="1082" spans="6:6">
      <c r="F1082" s="614">
        <v>0</v>
      </c>
    </row>
    <row r="1083" spans="6:6">
      <c r="F1083" s="614">
        <v>0</v>
      </c>
    </row>
    <row r="1084" spans="6:6">
      <c r="F1084" s="614">
        <v>0</v>
      </c>
    </row>
    <row r="1085" spans="6:6">
      <c r="F1085" s="614">
        <v>0</v>
      </c>
    </row>
    <row r="1086" spans="6:6">
      <c r="F1086" s="614">
        <v>0</v>
      </c>
    </row>
    <row r="1087" spans="6:6">
      <c r="F1087" s="614">
        <v>0</v>
      </c>
    </row>
    <row r="1088" spans="6:6">
      <c r="F1088" s="614">
        <v>0</v>
      </c>
    </row>
    <row r="1089" spans="6:6">
      <c r="F1089" s="614">
        <v>0</v>
      </c>
    </row>
    <row r="1090" spans="6:6">
      <c r="F1090" s="614">
        <v>0</v>
      </c>
    </row>
    <row r="1091" spans="6:6">
      <c r="F1091" s="614">
        <v>0</v>
      </c>
    </row>
    <row r="1092" spans="6:6">
      <c r="F1092" s="614">
        <v>0</v>
      </c>
    </row>
    <row r="1093" spans="6:6">
      <c r="F1093" s="614">
        <v>0</v>
      </c>
    </row>
    <row r="1094" spans="6:6">
      <c r="F1094" s="614">
        <v>0</v>
      </c>
    </row>
    <row r="1095" spans="6:6">
      <c r="F1095" s="614">
        <v>0</v>
      </c>
    </row>
    <row r="1096" spans="6:6">
      <c r="F1096" s="614">
        <v>0</v>
      </c>
    </row>
    <row r="1097" spans="6:6">
      <c r="F1097" s="614">
        <v>0</v>
      </c>
    </row>
    <row r="1098" spans="6:6">
      <c r="F1098" s="614">
        <v>0</v>
      </c>
    </row>
    <row r="1099" spans="6:6">
      <c r="F1099" s="614">
        <v>0</v>
      </c>
    </row>
    <row r="1100" spans="6:6">
      <c r="F1100" s="614">
        <v>0</v>
      </c>
    </row>
    <row r="1101" spans="6:6">
      <c r="F1101" s="614">
        <v>0</v>
      </c>
    </row>
    <row r="1102" spans="6:6">
      <c r="F1102" s="614">
        <v>0</v>
      </c>
    </row>
    <row r="1103" spans="6:6">
      <c r="F1103" s="614">
        <v>0</v>
      </c>
    </row>
    <row r="1104" spans="6:6">
      <c r="F1104" s="614">
        <v>0</v>
      </c>
    </row>
    <row r="1105" spans="6:6">
      <c r="F1105" s="614">
        <v>0</v>
      </c>
    </row>
    <row r="1106" spans="6:6">
      <c r="F1106" s="614">
        <v>0</v>
      </c>
    </row>
    <row r="1107" spans="6:6">
      <c r="F1107" s="614">
        <v>0</v>
      </c>
    </row>
    <row r="1108" spans="6:6">
      <c r="F1108" s="614">
        <v>0</v>
      </c>
    </row>
    <row r="1109" spans="6:6">
      <c r="F1109" s="614">
        <v>0</v>
      </c>
    </row>
    <row r="1110" spans="6:6">
      <c r="F1110" s="614">
        <v>0</v>
      </c>
    </row>
    <row r="1111" spans="6:6">
      <c r="F1111" s="614">
        <v>0</v>
      </c>
    </row>
    <row r="1112" spans="6:6">
      <c r="F1112" s="614">
        <v>0</v>
      </c>
    </row>
    <row r="1113" spans="6:6">
      <c r="F1113" s="614">
        <v>0</v>
      </c>
    </row>
    <row r="1114" spans="6:6">
      <c r="F1114" s="614">
        <v>0</v>
      </c>
    </row>
    <row r="1115" spans="6:6">
      <c r="F1115" s="614">
        <v>0</v>
      </c>
    </row>
    <row r="1116" spans="6:6">
      <c r="F1116" s="614">
        <v>0</v>
      </c>
    </row>
    <row r="1117" spans="6:6">
      <c r="F1117" s="614">
        <v>0</v>
      </c>
    </row>
    <row r="1118" spans="6:6">
      <c r="F1118" s="614">
        <v>0</v>
      </c>
    </row>
    <row r="1119" spans="6:6">
      <c r="F1119" s="614">
        <v>0</v>
      </c>
    </row>
    <row r="1120" spans="6:6">
      <c r="F1120" s="614">
        <v>0</v>
      </c>
    </row>
    <row r="1121" spans="6:6">
      <c r="F1121" s="614">
        <v>0</v>
      </c>
    </row>
    <row r="1122" spans="6:6">
      <c r="F1122" s="614">
        <v>0</v>
      </c>
    </row>
    <row r="1123" spans="6:6">
      <c r="F1123" s="614">
        <v>0</v>
      </c>
    </row>
    <row r="1124" spans="6:6">
      <c r="F1124" s="614">
        <v>0</v>
      </c>
    </row>
    <row r="1125" spans="6:6">
      <c r="F1125" s="614">
        <v>0</v>
      </c>
    </row>
    <row r="1126" spans="6:6">
      <c r="F1126" s="614">
        <v>0</v>
      </c>
    </row>
    <row r="1127" spans="6:6">
      <c r="F1127" s="614">
        <v>0</v>
      </c>
    </row>
    <row r="1128" spans="6:6">
      <c r="F1128" s="614">
        <v>0</v>
      </c>
    </row>
    <row r="1129" spans="6:6">
      <c r="F1129" s="614">
        <v>0</v>
      </c>
    </row>
    <row r="1130" spans="6:6">
      <c r="F1130" s="614">
        <v>0</v>
      </c>
    </row>
    <row r="1131" spans="6:6">
      <c r="F1131" s="614">
        <v>0</v>
      </c>
    </row>
    <row r="1132" spans="6:6">
      <c r="F1132" s="614">
        <v>0</v>
      </c>
    </row>
    <row r="1133" spans="6:6">
      <c r="F1133" s="614">
        <v>0</v>
      </c>
    </row>
    <row r="1134" spans="6:6">
      <c r="F1134" s="614">
        <v>0</v>
      </c>
    </row>
    <row r="1135" spans="6:6">
      <c r="F1135" s="614">
        <v>0</v>
      </c>
    </row>
    <row r="1136" spans="6:6">
      <c r="F1136" s="614">
        <v>0</v>
      </c>
    </row>
    <row r="1137" spans="6:6">
      <c r="F1137" s="614">
        <v>0</v>
      </c>
    </row>
    <row r="1138" spans="6:6">
      <c r="F1138" s="614">
        <v>0</v>
      </c>
    </row>
    <row r="1139" spans="6:6">
      <c r="F1139" s="614">
        <v>0</v>
      </c>
    </row>
    <row r="1140" spans="6:6">
      <c r="F1140" s="614">
        <v>0</v>
      </c>
    </row>
    <row r="1141" spans="6:6">
      <c r="F1141" s="614">
        <v>0</v>
      </c>
    </row>
    <row r="1142" spans="6:6">
      <c r="F1142" s="614">
        <v>0</v>
      </c>
    </row>
    <row r="1143" spans="6:6">
      <c r="F1143" s="614">
        <v>0</v>
      </c>
    </row>
    <row r="1144" spans="6:6">
      <c r="F1144" s="614">
        <v>0</v>
      </c>
    </row>
    <row r="1145" spans="6:6">
      <c r="F1145" s="614">
        <v>0</v>
      </c>
    </row>
    <row r="1146" spans="6:6">
      <c r="F1146" s="614">
        <v>0</v>
      </c>
    </row>
    <row r="1147" spans="6:6">
      <c r="F1147" s="614">
        <v>0</v>
      </c>
    </row>
    <row r="1148" spans="6:6">
      <c r="F1148" s="614">
        <v>0</v>
      </c>
    </row>
    <row r="1149" spans="6:6">
      <c r="F1149" s="614">
        <v>0</v>
      </c>
    </row>
    <row r="1150" spans="6:6">
      <c r="F1150" s="614">
        <v>0</v>
      </c>
    </row>
    <row r="1151" spans="6:6">
      <c r="F1151" s="614">
        <v>0</v>
      </c>
    </row>
    <row r="1152" spans="6:6">
      <c r="F1152" s="614">
        <v>0</v>
      </c>
    </row>
    <row r="1153" spans="6:6">
      <c r="F1153" s="614">
        <v>0</v>
      </c>
    </row>
    <row r="1154" spans="6:6">
      <c r="F1154" s="614">
        <v>0</v>
      </c>
    </row>
    <row r="1155" spans="6:6">
      <c r="F1155" s="614">
        <v>0</v>
      </c>
    </row>
    <row r="1156" spans="6:6">
      <c r="F1156" s="614">
        <v>0</v>
      </c>
    </row>
    <row r="1157" spans="6:6">
      <c r="F1157" s="614">
        <v>0</v>
      </c>
    </row>
    <row r="1158" spans="6:6">
      <c r="F1158" s="614">
        <v>0</v>
      </c>
    </row>
    <row r="1159" spans="6:6">
      <c r="F1159" s="614">
        <v>0</v>
      </c>
    </row>
    <row r="1160" spans="6:6">
      <c r="F1160" s="614">
        <v>0</v>
      </c>
    </row>
    <row r="1161" spans="6:6">
      <c r="F1161" s="614">
        <v>0</v>
      </c>
    </row>
    <row r="1162" spans="6:6">
      <c r="F1162" s="614">
        <v>0</v>
      </c>
    </row>
    <row r="1163" spans="6:6">
      <c r="F1163" s="614">
        <v>0</v>
      </c>
    </row>
    <row r="1164" spans="6:6">
      <c r="F1164" s="614">
        <v>0</v>
      </c>
    </row>
    <row r="1165" spans="6:6">
      <c r="F1165" s="614">
        <v>0</v>
      </c>
    </row>
    <row r="1166" spans="6:6">
      <c r="F1166" s="614">
        <v>0</v>
      </c>
    </row>
    <row r="1167" spans="6:6">
      <c r="F1167" s="614">
        <v>0</v>
      </c>
    </row>
    <row r="1168" spans="6:6">
      <c r="F1168" s="614">
        <v>0</v>
      </c>
    </row>
    <row r="1169" spans="6:6">
      <c r="F1169" s="614">
        <v>0</v>
      </c>
    </row>
    <row r="1170" spans="6:6">
      <c r="F1170" s="614">
        <v>0</v>
      </c>
    </row>
    <row r="1171" spans="6:6">
      <c r="F1171" s="614">
        <v>0</v>
      </c>
    </row>
    <row r="1172" spans="6:6">
      <c r="F1172" s="614">
        <v>0</v>
      </c>
    </row>
    <row r="1173" spans="6:6">
      <c r="F1173" s="614">
        <v>0</v>
      </c>
    </row>
    <row r="1174" spans="6:6">
      <c r="F1174" s="614">
        <v>0</v>
      </c>
    </row>
    <row r="1175" spans="6:6">
      <c r="F1175" s="614">
        <v>0</v>
      </c>
    </row>
    <row r="1176" spans="6:6">
      <c r="F1176" s="614">
        <v>0</v>
      </c>
    </row>
    <row r="1177" spans="6:6">
      <c r="F1177" s="614">
        <v>0</v>
      </c>
    </row>
    <row r="1178" spans="6:6">
      <c r="F1178" s="614">
        <v>0</v>
      </c>
    </row>
    <row r="1179" spans="6:6">
      <c r="F1179" s="614">
        <v>0</v>
      </c>
    </row>
    <row r="1180" spans="6:6">
      <c r="F1180" s="614">
        <v>0</v>
      </c>
    </row>
    <row r="1181" spans="6:6">
      <c r="F1181" s="614">
        <v>0</v>
      </c>
    </row>
    <row r="1182" spans="6:6">
      <c r="F1182" s="614">
        <v>0</v>
      </c>
    </row>
    <row r="1183" spans="6:6">
      <c r="F1183" s="614">
        <v>0</v>
      </c>
    </row>
    <row r="1184" spans="6:6">
      <c r="F1184" s="614">
        <v>0</v>
      </c>
    </row>
    <row r="1185" spans="6:6">
      <c r="F1185" s="614">
        <v>0</v>
      </c>
    </row>
    <row r="1186" spans="6:6">
      <c r="F1186" s="614">
        <v>0</v>
      </c>
    </row>
    <row r="1187" spans="6:6">
      <c r="F1187" s="614">
        <v>0</v>
      </c>
    </row>
    <row r="1188" spans="6:6">
      <c r="F1188" s="614">
        <v>0</v>
      </c>
    </row>
    <row r="1189" spans="6:6">
      <c r="F1189" s="614">
        <v>0</v>
      </c>
    </row>
    <row r="1190" spans="6:6">
      <c r="F1190" s="614">
        <v>0</v>
      </c>
    </row>
    <row r="1191" spans="6:6">
      <c r="F1191" s="614">
        <v>0</v>
      </c>
    </row>
    <row r="1192" spans="6:6">
      <c r="F1192" s="614">
        <v>0</v>
      </c>
    </row>
    <row r="1193" spans="6:6">
      <c r="F1193" s="614">
        <v>0</v>
      </c>
    </row>
    <row r="1194" spans="6:6">
      <c r="F1194" s="614">
        <v>0</v>
      </c>
    </row>
    <row r="1195" spans="6:6">
      <c r="F1195" s="614">
        <v>0</v>
      </c>
    </row>
    <row r="1196" spans="6:6">
      <c r="F1196" s="614">
        <v>0</v>
      </c>
    </row>
    <row r="1197" spans="6:6">
      <c r="F1197" s="614">
        <v>0</v>
      </c>
    </row>
    <row r="1198" spans="6:6">
      <c r="F1198" s="614">
        <v>0</v>
      </c>
    </row>
    <row r="1199" spans="6:6">
      <c r="F1199" s="614">
        <v>0</v>
      </c>
    </row>
    <row r="1200" spans="6:6">
      <c r="F1200" s="614">
        <v>0</v>
      </c>
    </row>
    <row r="1201" spans="6:6">
      <c r="F1201" s="614">
        <v>0</v>
      </c>
    </row>
    <row r="1202" spans="6:6">
      <c r="F1202" s="614">
        <v>0</v>
      </c>
    </row>
    <row r="1203" spans="6:6">
      <c r="F1203" s="614">
        <v>0</v>
      </c>
    </row>
    <row r="1204" spans="6:6">
      <c r="F1204" s="614">
        <v>0</v>
      </c>
    </row>
    <row r="1205" spans="6:6">
      <c r="F1205" s="614">
        <v>0</v>
      </c>
    </row>
    <row r="1206" spans="6:6">
      <c r="F1206" s="614">
        <v>0</v>
      </c>
    </row>
    <row r="1207" spans="6:6">
      <c r="F1207" s="614">
        <v>0</v>
      </c>
    </row>
    <row r="1208" spans="6:6">
      <c r="F1208" s="614">
        <v>0</v>
      </c>
    </row>
    <row r="1209" spans="6:6">
      <c r="F1209" s="614">
        <v>0</v>
      </c>
    </row>
    <row r="1210" spans="6:6">
      <c r="F1210" s="614">
        <v>0</v>
      </c>
    </row>
    <row r="1211" spans="6:6">
      <c r="F1211" s="614">
        <v>0</v>
      </c>
    </row>
    <row r="1212" spans="6:6">
      <c r="F1212" s="614">
        <v>0</v>
      </c>
    </row>
    <row r="1213" spans="6:6">
      <c r="F1213" s="614">
        <v>0</v>
      </c>
    </row>
    <row r="1214" spans="6:6">
      <c r="F1214" s="614">
        <v>0</v>
      </c>
    </row>
    <row r="1215" spans="6:6">
      <c r="F1215" s="614">
        <v>0</v>
      </c>
    </row>
    <row r="1216" spans="6:6">
      <c r="F1216" s="614">
        <v>0</v>
      </c>
    </row>
    <row r="1217" spans="6:6">
      <c r="F1217" s="614">
        <v>0</v>
      </c>
    </row>
    <row r="1218" spans="6:6">
      <c r="F1218" s="614">
        <v>0</v>
      </c>
    </row>
    <row r="1219" spans="6:6">
      <c r="F1219" s="614">
        <v>0</v>
      </c>
    </row>
    <row r="1220" spans="6:6">
      <c r="F1220" s="614">
        <v>0</v>
      </c>
    </row>
    <row r="1221" spans="6:6">
      <c r="F1221" s="614">
        <v>0</v>
      </c>
    </row>
    <row r="1222" spans="6:6">
      <c r="F1222" s="614">
        <v>0</v>
      </c>
    </row>
    <row r="1223" spans="6:6">
      <c r="F1223" s="614">
        <v>0</v>
      </c>
    </row>
    <row r="1224" spans="6:6">
      <c r="F1224" s="614">
        <v>0</v>
      </c>
    </row>
    <row r="1225" spans="6:6">
      <c r="F1225" s="614">
        <v>0</v>
      </c>
    </row>
    <row r="1226" spans="6:6">
      <c r="F1226" s="614">
        <v>0</v>
      </c>
    </row>
    <row r="1227" spans="6:6">
      <c r="F1227" s="614">
        <v>0</v>
      </c>
    </row>
    <row r="1228" spans="6:6">
      <c r="F1228" s="614">
        <v>0</v>
      </c>
    </row>
    <row r="1229" spans="6:6">
      <c r="F1229" s="614">
        <v>0</v>
      </c>
    </row>
    <row r="1230" spans="6:6">
      <c r="F1230" s="614">
        <v>0</v>
      </c>
    </row>
    <row r="1231" spans="6:6">
      <c r="F1231" s="614">
        <v>0</v>
      </c>
    </row>
    <row r="1232" spans="6:6">
      <c r="F1232" s="614">
        <v>0</v>
      </c>
    </row>
    <row r="1233" spans="6:6">
      <c r="F1233" s="614">
        <v>0</v>
      </c>
    </row>
    <row r="1234" spans="6:6">
      <c r="F1234" s="614">
        <v>0</v>
      </c>
    </row>
    <row r="1235" spans="6:6">
      <c r="F1235" s="614">
        <v>0</v>
      </c>
    </row>
    <row r="1236" spans="6:6">
      <c r="F1236" s="614">
        <v>0</v>
      </c>
    </row>
    <row r="1237" spans="6:6">
      <c r="F1237" s="614">
        <v>0</v>
      </c>
    </row>
    <row r="1238" spans="6:6">
      <c r="F1238" s="614">
        <v>0</v>
      </c>
    </row>
    <row r="1239" spans="6:6">
      <c r="F1239" s="614">
        <v>0</v>
      </c>
    </row>
    <row r="1240" spans="6:6">
      <c r="F1240" s="614">
        <v>0</v>
      </c>
    </row>
    <row r="1241" spans="6:6">
      <c r="F1241" s="614">
        <v>0</v>
      </c>
    </row>
    <row r="1242" spans="6:6">
      <c r="F1242" s="614">
        <v>0</v>
      </c>
    </row>
    <row r="1243" spans="6:6">
      <c r="F1243" s="614">
        <v>0</v>
      </c>
    </row>
    <row r="1244" spans="6:6">
      <c r="F1244" s="614">
        <v>0</v>
      </c>
    </row>
    <row r="1245" spans="6:6">
      <c r="F1245" s="614">
        <v>0</v>
      </c>
    </row>
    <row r="1246" spans="6:6">
      <c r="F1246" s="614">
        <v>0</v>
      </c>
    </row>
    <row r="1247" spans="6:6">
      <c r="F1247" s="614">
        <v>0</v>
      </c>
    </row>
    <row r="1248" spans="6:6">
      <c r="F1248" s="614">
        <v>0</v>
      </c>
    </row>
    <row r="1249" spans="6:6">
      <c r="F1249" s="614">
        <v>0</v>
      </c>
    </row>
    <row r="1250" spans="6:6">
      <c r="F1250" s="614">
        <v>0</v>
      </c>
    </row>
    <row r="1251" spans="6:6">
      <c r="F1251" s="614">
        <v>0</v>
      </c>
    </row>
    <row r="1252" spans="6:6">
      <c r="F1252" s="614">
        <v>0</v>
      </c>
    </row>
    <row r="1253" spans="6:6">
      <c r="F1253" s="614">
        <v>0</v>
      </c>
    </row>
    <row r="1254" spans="6:6">
      <c r="F1254" s="614">
        <v>0</v>
      </c>
    </row>
    <row r="1255" spans="6:6">
      <c r="F1255" s="614">
        <v>0</v>
      </c>
    </row>
    <row r="1256" spans="6:6">
      <c r="F1256" s="614">
        <v>0</v>
      </c>
    </row>
    <row r="1257" spans="6:6">
      <c r="F1257" s="614">
        <v>0</v>
      </c>
    </row>
    <row r="1258" spans="6:6">
      <c r="F1258" s="614">
        <v>0</v>
      </c>
    </row>
    <row r="1259" spans="6:6">
      <c r="F1259" s="614">
        <v>0</v>
      </c>
    </row>
    <row r="1260" spans="6:6">
      <c r="F1260" s="614">
        <v>0</v>
      </c>
    </row>
    <row r="1261" spans="6:6">
      <c r="F1261" s="614">
        <v>0</v>
      </c>
    </row>
    <row r="1262" spans="6:6">
      <c r="F1262" s="614">
        <v>0</v>
      </c>
    </row>
    <row r="1263" spans="6:6">
      <c r="F1263" s="614">
        <v>0</v>
      </c>
    </row>
    <row r="1264" spans="6:6">
      <c r="F1264" s="614">
        <v>0</v>
      </c>
    </row>
    <row r="1265" spans="6:6">
      <c r="F1265" s="614">
        <v>0</v>
      </c>
    </row>
    <row r="1266" spans="6:6">
      <c r="F1266" s="614">
        <v>0</v>
      </c>
    </row>
    <row r="1267" spans="6:6">
      <c r="F1267" s="614">
        <v>0</v>
      </c>
    </row>
    <row r="1268" spans="6:6">
      <c r="F1268" s="614">
        <v>0</v>
      </c>
    </row>
    <row r="1269" spans="6:6">
      <c r="F1269" s="614">
        <v>0</v>
      </c>
    </row>
    <row r="1270" spans="6:6">
      <c r="F1270" s="614">
        <v>0</v>
      </c>
    </row>
    <row r="1271" spans="6:6">
      <c r="F1271" s="614">
        <v>0</v>
      </c>
    </row>
    <row r="1272" spans="6:6">
      <c r="F1272" s="614">
        <v>0</v>
      </c>
    </row>
    <row r="1273" spans="6:6">
      <c r="F1273" s="614">
        <v>0</v>
      </c>
    </row>
    <row r="1274" spans="6:6">
      <c r="F1274" s="614">
        <v>0</v>
      </c>
    </row>
    <row r="1275" spans="6:6">
      <c r="F1275" s="614">
        <v>0</v>
      </c>
    </row>
    <row r="1276" spans="6:6">
      <c r="F1276" s="614">
        <v>0</v>
      </c>
    </row>
    <row r="1277" spans="6:6">
      <c r="F1277" s="614">
        <v>0</v>
      </c>
    </row>
    <row r="1278" spans="6:6">
      <c r="F1278" s="614">
        <v>0</v>
      </c>
    </row>
    <row r="1279" spans="6:6">
      <c r="F1279" s="614">
        <v>0</v>
      </c>
    </row>
    <row r="1280" spans="6:6">
      <c r="F1280" s="614">
        <v>0</v>
      </c>
    </row>
    <row r="1281" spans="6:6">
      <c r="F1281" s="614">
        <v>0</v>
      </c>
    </row>
    <row r="1282" spans="6:6">
      <c r="F1282" s="614">
        <v>0</v>
      </c>
    </row>
    <row r="1283" spans="6:6">
      <c r="F1283" s="614">
        <v>0</v>
      </c>
    </row>
    <row r="1284" spans="6:6">
      <c r="F1284" s="614">
        <v>0</v>
      </c>
    </row>
    <row r="1285" spans="6:6">
      <c r="F1285" s="614">
        <v>0</v>
      </c>
    </row>
    <row r="1286" spans="6:6">
      <c r="F1286" s="614">
        <v>0</v>
      </c>
    </row>
    <row r="1287" spans="6:6">
      <c r="F1287" s="614">
        <v>0</v>
      </c>
    </row>
    <row r="1288" spans="6:6">
      <c r="F1288" s="614">
        <v>0</v>
      </c>
    </row>
    <row r="1289" spans="6:6">
      <c r="F1289" s="614">
        <v>0</v>
      </c>
    </row>
    <row r="1290" spans="6:6">
      <c r="F1290" s="614">
        <v>0</v>
      </c>
    </row>
    <row r="1291" spans="6:6">
      <c r="F1291" s="614">
        <v>0</v>
      </c>
    </row>
    <row r="1292" spans="6:6">
      <c r="F1292" s="614">
        <v>0</v>
      </c>
    </row>
    <row r="1293" spans="6:6">
      <c r="F1293" s="614">
        <v>0</v>
      </c>
    </row>
    <row r="1294" spans="6:6">
      <c r="F1294" s="614">
        <v>0</v>
      </c>
    </row>
    <row r="1295" spans="6:6">
      <c r="F1295" s="614">
        <v>0</v>
      </c>
    </row>
    <row r="1296" spans="6:6">
      <c r="F1296" s="614">
        <v>0</v>
      </c>
    </row>
    <row r="1297" spans="6:6">
      <c r="F1297" s="614">
        <v>0</v>
      </c>
    </row>
    <row r="1298" spans="6:6">
      <c r="F1298" s="614">
        <v>0</v>
      </c>
    </row>
    <row r="1299" spans="6:6">
      <c r="F1299" s="614">
        <v>0</v>
      </c>
    </row>
    <row r="1300" spans="6:6">
      <c r="F1300" s="614">
        <v>0</v>
      </c>
    </row>
    <row r="1301" spans="6:6">
      <c r="F1301" s="614">
        <v>0</v>
      </c>
    </row>
    <row r="1302" spans="6:6">
      <c r="F1302" s="614">
        <v>0</v>
      </c>
    </row>
    <row r="1303" spans="6:6">
      <c r="F1303" s="614">
        <v>0</v>
      </c>
    </row>
    <row r="1304" spans="6:6">
      <c r="F1304" s="614">
        <v>0</v>
      </c>
    </row>
    <row r="1305" spans="6:6">
      <c r="F1305" s="614">
        <v>0</v>
      </c>
    </row>
    <row r="1306" spans="6:6">
      <c r="F1306" s="614">
        <v>0</v>
      </c>
    </row>
    <row r="1307" spans="6:6">
      <c r="F1307" s="614">
        <v>0</v>
      </c>
    </row>
    <row r="1308" spans="6:6">
      <c r="F1308" s="614">
        <v>0</v>
      </c>
    </row>
    <row r="1309" spans="6:6">
      <c r="F1309" s="614">
        <v>0</v>
      </c>
    </row>
    <row r="1310" spans="6:6">
      <c r="F1310" s="614">
        <v>0</v>
      </c>
    </row>
    <row r="1311" spans="6:6">
      <c r="F1311" s="614">
        <v>0</v>
      </c>
    </row>
    <row r="1312" spans="6:6">
      <c r="F1312" s="614">
        <v>0</v>
      </c>
    </row>
    <row r="1313" spans="6:6">
      <c r="F1313" s="614">
        <v>0</v>
      </c>
    </row>
    <row r="1314" spans="6:6">
      <c r="F1314" s="614">
        <v>0</v>
      </c>
    </row>
    <row r="1315" spans="6:6">
      <c r="F1315" s="614">
        <v>0</v>
      </c>
    </row>
    <row r="1316" spans="6:6">
      <c r="F1316" s="614">
        <v>0</v>
      </c>
    </row>
    <row r="1317" spans="6:6">
      <c r="F1317" s="614">
        <v>0</v>
      </c>
    </row>
    <row r="1318" spans="6:6">
      <c r="F1318" s="614">
        <v>0</v>
      </c>
    </row>
    <row r="1319" spans="6:6">
      <c r="F1319" s="614">
        <v>0</v>
      </c>
    </row>
    <row r="1320" spans="6:6">
      <c r="F1320" s="614">
        <v>0</v>
      </c>
    </row>
    <row r="1321" spans="6:6">
      <c r="F1321" s="614">
        <v>0</v>
      </c>
    </row>
    <row r="1322" spans="6:6">
      <c r="F1322" s="614">
        <v>0</v>
      </c>
    </row>
    <row r="1323" spans="6:6">
      <c r="F1323" s="614">
        <v>0</v>
      </c>
    </row>
    <row r="1324" spans="6:6">
      <c r="F1324" s="614">
        <v>0</v>
      </c>
    </row>
    <row r="1325" spans="6:6">
      <c r="F1325" s="614">
        <v>0</v>
      </c>
    </row>
    <row r="1326" spans="6:6">
      <c r="F1326" s="614">
        <v>0</v>
      </c>
    </row>
    <row r="1327" spans="6:6">
      <c r="F1327" s="614">
        <v>0</v>
      </c>
    </row>
    <row r="1328" spans="6:6">
      <c r="F1328" s="614">
        <v>0</v>
      </c>
    </row>
    <row r="1329" spans="6:6">
      <c r="F1329" s="614">
        <v>0</v>
      </c>
    </row>
    <row r="1330" spans="6:6">
      <c r="F1330" s="614">
        <v>0</v>
      </c>
    </row>
    <row r="1331" spans="6:6">
      <c r="F1331" s="614">
        <v>0</v>
      </c>
    </row>
    <row r="1332" spans="6:6">
      <c r="F1332" s="614">
        <v>0</v>
      </c>
    </row>
    <row r="1333" spans="6:6">
      <c r="F1333" s="614">
        <v>0</v>
      </c>
    </row>
    <row r="1334" spans="6:6">
      <c r="F1334" s="614">
        <v>0</v>
      </c>
    </row>
    <row r="1335" spans="6:6">
      <c r="F1335" s="614">
        <v>0</v>
      </c>
    </row>
    <row r="1336" spans="6:6">
      <c r="F1336" s="614">
        <v>0</v>
      </c>
    </row>
    <row r="1337" spans="6:6">
      <c r="F1337" s="614">
        <v>0</v>
      </c>
    </row>
    <row r="1338" spans="6:6">
      <c r="F1338" s="614">
        <v>0</v>
      </c>
    </row>
    <row r="1339" spans="6:6">
      <c r="F1339" s="614">
        <v>0</v>
      </c>
    </row>
    <row r="1340" spans="6:6">
      <c r="F1340" s="614">
        <v>0</v>
      </c>
    </row>
    <row r="1341" spans="6:6">
      <c r="F1341" s="614">
        <v>0</v>
      </c>
    </row>
    <row r="1342" spans="6:6">
      <c r="F1342" s="614">
        <v>0</v>
      </c>
    </row>
    <row r="1343" spans="6:6">
      <c r="F1343" s="614">
        <v>0</v>
      </c>
    </row>
    <row r="1344" spans="6:6">
      <c r="F1344" s="614">
        <v>0</v>
      </c>
    </row>
    <row r="1345" spans="6:6">
      <c r="F1345" s="614">
        <v>0</v>
      </c>
    </row>
    <row r="1346" spans="6:6">
      <c r="F1346" s="614">
        <v>0</v>
      </c>
    </row>
    <row r="1347" spans="6:6">
      <c r="F1347" s="614">
        <v>0</v>
      </c>
    </row>
    <row r="1348" spans="6:6">
      <c r="F1348" s="614">
        <v>0</v>
      </c>
    </row>
    <row r="1349" spans="6:6">
      <c r="F1349" s="614">
        <v>0</v>
      </c>
    </row>
    <row r="1350" spans="6:6">
      <c r="F1350" s="614">
        <v>0</v>
      </c>
    </row>
    <row r="1351" spans="6:6">
      <c r="F1351" s="614">
        <v>0</v>
      </c>
    </row>
    <row r="1352" spans="6:6">
      <c r="F1352" s="614">
        <v>0</v>
      </c>
    </row>
    <row r="1353" spans="6:6">
      <c r="F1353" s="614">
        <v>0</v>
      </c>
    </row>
    <row r="1354" spans="6:6">
      <c r="F1354" s="614">
        <v>0</v>
      </c>
    </row>
    <row r="1355" spans="6:6">
      <c r="F1355" s="614">
        <v>0</v>
      </c>
    </row>
    <row r="1356" spans="6:6">
      <c r="F1356" s="614">
        <v>0</v>
      </c>
    </row>
    <row r="1357" spans="6:6">
      <c r="F1357" s="614">
        <v>0</v>
      </c>
    </row>
    <row r="1358" spans="6:6">
      <c r="F1358" s="614">
        <v>0</v>
      </c>
    </row>
    <row r="1359" spans="6:6">
      <c r="F1359" s="614">
        <v>0</v>
      </c>
    </row>
    <row r="1360" spans="6:6">
      <c r="F1360" s="614">
        <v>0</v>
      </c>
    </row>
    <row r="1361" spans="6:6">
      <c r="F1361" s="614">
        <v>0</v>
      </c>
    </row>
    <row r="1362" spans="6:6">
      <c r="F1362" s="614">
        <v>0</v>
      </c>
    </row>
    <row r="1363" spans="6:6">
      <c r="F1363" s="614">
        <v>0</v>
      </c>
    </row>
    <row r="1364" spans="6:6">
      <c r="F1364" s="614">
        <v>0</v>
      </c>
    </row>
    <row r="1365" spans="6:6">
      <c r="F1365" s="614">
        <v>0</v>
      </c>
    </row>
    <row r="1366" spans="6:6">
      <c r="F1366" s="614">
        <v>0</v>
      </c>
    </row>
    <row r="1367" spans="6:6">
      <c r="F1367" s="614">
        <v>0</v>
      </c>
    </row>
    <row r="1368" spans="6:6">
      <c r="F1368" s="614">
        <v>0</v>
      </c>
    </row>
    <row r="1369" spans="6:6">
      <c r="F1369" s="614">
        <v>0</v>
      </c>
    </row>
    <row r="1370" spans="6:6">
      <c r="F1370" s="614">
        <v>0</v>
      </c>
    </row>
    <row r="1371" spans="6:6">
      <c r="F1371" s="614">
        <v>0</v>
      </c>
    </row>
    <row r="1372" spans="6:6">
      <c r="F1372" s="614">
        <v>0</v>
      </c>
    </row>
    <row r="1373" spans="6:6">
      <c r="F1373" s="614">
        <v>0</v>
      </c>
    </row>
    <row r="1374" spans="6:6">
      <c r="F1374" s="614">
        <v>0</v>
      </c>
    </row>
    <row r="1375" spans="6:6">
      <c r="F1375" s="614">
        <v>0</v>
      </c>
    </row>
    <row r="1376" spans="6:6">
      <c r="F1376" s="614">
        <v>0</v>
      </c>
    </row>
    <row r="1377" spans="6:6">
      <c r="F1377" s="614">
        <v>0</v>
      </c>
    </row>
    <row r="1378" spans="6:6">
      <c r="F1378" s="614">
        <v>0</v>
      </c>
    </row>
    <row r="1379" spans="6:6">
      <c r="F1379" s="614">
        <v>0</v>
      </c>
    </row>
    <row r="1380" spans="6:6">
      <c r="F1380" s="614">
        <v>0</v>
      </c>
    </row>
    <row r="1381" spans="6:6">
      <c r="F1381" s="614">
        <v>0</v>
      </c>
    </row>
    <row r="1382" spans="6:6">
      <c r="F1382" s="614">
        <v>0</v>
      </c>
    </row>
    <row r="1383" spans="6:6">
      <c r="F1383" s="614">
        <v>0</v>
      </c>
    </row>
    <row r="1384" spans="6:6">
      <c r="F1384" s="614">
        <v>0</v>
      </c>
    </row>
    <row r="1385" spans="6:6">
      <c r="F1385" s="614">
        <v>0</v>
      </c>
    </row>
    <row r="1386" spans="6:6">
      <c r="F1386" s="614">
        <v>0</v>
      </c>
    </row>
    <row r="1387" spans="6:6">
      <c r="F1387" s="614">
        <v>0</v>
      </c>
    </row>
    <row r="1388" spans="6:6">
      <c r="F1388" s="614">
        <v>0</v>
      </c>
    </row>
    <row r="1389" spans="6:6">
      <c r="F1389" s="614">
        <v>0</v>
      </c>
    </row>
    <row r="1390" spans="6:6">
      <c r="F1390" s="614">
        <v>0</v>
      </c>
    </row>
    <row r="1391" spans="6:6">
      <c r="F1391" s="614">
        <v>0</v>
      </c>
    </row>
    <row r="1392" spans="6:6">
      <c r="F1392" s="614">
        <v>0</v>
      </c>
    </row>
    <row r="1393" spans="6:6">
      <c r="F1393" s="614">
        <v>0</v>
      </c>
    </row>
    <row r="1394" spans="6:6">
      <c r="F1394" s="614">
        <v>0</v>
      </c>
    </row>
    <row r="1395" spans="6:6">
      <c r="F1395" s="614">
        <v>0</v>
      </c>
    </row>
    <row r="1396" spans="6:6">
      <c r="F1396" s="614">
        <v>0</v>
      </c>
    </row>
    <row r="1397" spans="6:6">
      <c r="F1397" s="614">
        <v>0</v>
      </c>
    </row>
    <row r="1398" spans="6:6">
      <c r="F1398" s="614">
        <v>0</v>
      </c>
    </row>
    <row r="1399" spans="6:6">
      <c r="F1399" s="614">
        <v>0</v>
      </c>
    </row>
    <row r="1400" spans="6:6">
      <c r="F1400" s="614">
        <v>0</v>
      </c>
    </row>
    <row r="1401" spans="6:6">
      <c r="F1401" s="614">
        <v>0</v>
      </c>
    </row>
    <row r="1402" spans="6:6">
      <c r="F1402" s="614">
        <v>0</v>
      </c>
    </row>
    <row r="1403" spans="6:6">
      <c r="F1403" s="614">
        <v>0</v>
      </c>
    </row>
    <row r="1404" spans="6:6">
      <c r="F1404" s="614">
        <v>0</v>
      </c>
    </row>
    <row r="1405" spans="6:6">
      <c r="F1405" s="614">
        <v>0</v>
      </c>
    </row>
    <row r="1406" spans="6:6">
      <c r="F1406" s="614">
        <v>0</v>
      </c>
    </row>
    <row r="1407" spans="6:6">
      <c r="F1407" s="614">
        <v>0</v>
      </c>
    </row>
    <row r="1408" spans="6:6">
      <c r="F1408" s="614">
        <v>0</v>
      </c>
    </row>
    <row r="1409" spans="6:6">
      <c r="F1409" s="614">
        <v>0</v>
      </c>
    </row>
    <row r="1410" spans="6:6">
      <c r="F1410" s="614">
        <v>0</v>
      </c>
    </row>
    <row r="1411" spans="6:6">
      <c r="F1411" s="614">
        <v>0</v>
      </c>
    </row>
    <row r="1412" spans="6:6">
      <c r="F1412" s="614">
        <v>0</v>
      </c>
    </row>
    <row r="1413" spans="6:6">
      <c r="F1413" s="614">
        <v>0</v>
      </c>
    </row>
    <row r="1414" spans="6:6">
      <c r="F1414" s="614">
        <v>0</v>
      </c>
    </row>
    <row r="1415" spans="6:6">
      <c r="F1415" s="614">
        <v>0</v>
      </c>
    </row>
    <row r="1416" spans="6:6">
      <c r="F1416" s="614">
        <v>0</v>
      </c>
    </row>
    <row r="1417" spans="6:6">
      <c r="F1417" s="614">
        <v>0</v>
      </c>
    </row>
    <row r="1418" spans="6:6">
      <c r="F1418" s="614">
        <v>0</v>
      </c>
    </row>
    <row r="1419" spans="6:6">
      <c r="F1419" s="614">
        <v>0</v>
      </c>
    </row>
    <row r="1420" spans="6:6">
      <c r="F1420" s="614">
        <v>0</v>
      </c>
    </row>
    <row r="1421" spans="6:6">
      <c r="F1421" s="614">
        <v>0</v>
      </c>
    </row>
    <row r="1422" spans="6:6">
      <c r="F1422" s="614">
        <v>0</v>
      </c>
    </row>
    <row r="1423" spans="6:6">
      <c r="F1423" s="614">
        <v>0</v>
      </c>
    </row>
    <row r="1424" spans="6:6">
      <c r="F1424" s="614">
        <v>0</v>
      </c>
    </row>
    <row r="1425" spans="6:6">
      <c r="F1425" s="614">
        <v>0</v>
      </c>
    </row>
    <row r="1426" spans="6:6">
      <c r="F1426" s="614">
        <v>0</v>
      </c>
    </row>
    <row r="1427" spans="6:6">
      <c r="F1427" s="614">
        <v>0</v>
      </c>
    </row>
    <row r="1428" spans="6:6">
      <c r="F1428" s="614">
        <v>0</v>
      </c>
    </row>
    <row r="1429" spans="6:6">
      <c r="F1429" s="614">
        <v>0</v>
      </c>
    </row>
    <row r="1430" spans="6:6">
      <c r="F1430" s="614">
        <v>0</v>
      </c>
    </row>
    <row r="1431" spans="6:6">
      <c r="F1431" s="614">
        <v>0</v>
      </c>
    </row>
    <row r="1432" spans="6:6">
      <c r="F1432" s="614">
        <v>0</v>
      </c>
    </row>
    <row r="1433" spans="6:6">
      <c r="F1433" s="614">
        <v>0</v>
      </c>
    </row>
    <row r="1434" spans="6:6">
      <c r="F1434" s="614">
        <v>0</v>
      </c>
    </row>
    <row r="1435" spans="6:6">
      <c r="F1435" s="614">
        <v>0</v>
      </c>
    </row>
    <row r="1436" spans="6:6">
      <c r="F1436" s="614">
        <v>0</v>
      </c>
    </row>
    <row r="1437" spans="6:6">
      <c r="F1437" s="614">
        <v>0</v>
      </c>
    </row>
    <row r="1438" spans="6:6">
      <c r="F1438" s="614">
        <v>0</v>
      </c>
    </row>
    <row r="1439" spans="6:6">
      <c r="F1439" s="614">
        <v>0</v>
      </c>
    </row>
    <row r="1440" spans="6:6">
      <c r="F1440" s="614">
        <v>0</v>
      </c>
    </row>
    <row r="1441" spans="6:6">
      <c r="F1441" s="614">
        <v>0</v>
      </c>
    </row>
    <row r="1442" spans="6:6">
      <c r="F1442" s="614">
        <v>0</v>
      </c>
    </row>
    <row r="1443" spans="6:6">
      <c r="F1443" s="614">
        <v>0</v>
      </c>
    </row>
    <row r="1444" spans="6:6">
      <c r="F1444" s="614">
        <v>0</v>
      </c>
    </row>
    <row r="1445" spans="6:6">
      <c r="F1445" s="614">
        <v>0</v>
      </c>
    </row>
    <row r="1446" spans="6:6">
      <c r="F1446" s="614">
        <v>0</v>
      </c>
    </row>
    <row r="1447" spans="6:6">
      <c r="F1447" s="614">
        <v>0</v>
      </c>
    </row>
    <row r="1448" spans="6:6">
      <c r="F1448" s="614">
        <v>0</v>
      </c>
    </row>
    <row r="1449" spans="6:6">
      <c r="F1449" s="614">
        <v>0</v>
      </c>
    </row>
    <row r="1450" spans="6:6">
      <c r="F1450" s="614">
        <v>0</v>
      </c>
    </row>
    <row r="1451" spans="6:6">
      <c r="F1451" s="614">
        <v>0</v>
      </c>
    </row>
    <row r="1452" spans="6:6">
      <c r="F1452" s="614">
        <v>0</v>
      </c>
    </row>
    <row r="1453" spans="6:6">
      <c r="F1453" s="614">
        <v>0</v>
      </c>
    </row>
    <row r="1454" spans="6:6">
      <c r="F1454" s="614">
        <v>0</v>
      </c>
    </row>
    <row r="1455" spans="6:6">
      <c r="F1455" s="614">
        <v>0</v>
      </c>
    </row>
    <row r="1456" spans="6:6">
      <c r="F1456" s="614">
        <v>0</v>
      </c>
    </row>
    <row r="1457" spans="6:6">
      <c r="F1457" s="614">
        <v>0</v>
      </c>
    </row>
    <row r="1458" spans="6:6">
      <c r="F1458" s="614">
        <v>0</v>
      </c>
    </row>
    <row r="1459" spans="6:6">
      <c r="F1459" s="614">
        <v>0</v>
      </c>
    </row>
    <row r="1460" spans="6:6">
      <c r="F1460" s="614">
        <v>0</v>
      </c>
    </row>
    <row r="1461" spans="6:6">
      <c r="F1461" s="614">
        <v>0</v>
      </c>
    </row>
    <row r="1462" spans="6:6">
      <c r="F1462" s="614">
        <v>0</v>
      </c>
    </row>
    <row r="1463" spans="6:6">
      <c r="F1463" s="614">
        <v>0</v>
      </c>
    </row>
    <row r="1464" spans="6:6">
      <c r="F1464" s="614">
        <v>0</v>
      </c>
    </row>
    <row r="1465" spans="6:6">
      <c r="F1465" s="614">
        <v>0</v>
      </c>
    </row>
    <row r="1466" spans="6:6">
      <c r="F1466" s="614">
        <v>0</v>
      </c>
    </row>
    <row r="1467" spans="6:6">
      <c r="F1467" s="614">
        <v>0</v>
      </c>
    </row>
    <row r="1468" spans="6:6">
      <c r="F1468" s="614">
        <v>0</v>
      </c>
    </row>
    <row r="1469" spans="6:6">
      <c r="F1469" s="614">
        <v>0</v>
      </c>
    </row>
    <row r="1470" spans="6:6">
      <c r="F1470" s="614">
        <v>0</v>
      </c>
    </row>
    <row r="1471" spans="6:6">
      <c r="F1471" s="614">
        <v>0</v>
      </c>
    </row>
    <row r="1472" spans="6:6">
      <c r="F1472" s="614">
        <v>0</v>
      </c>
    </row>
    <row r="1473" spans="6:6">
      <c r="F1473" s="614">
        <v>0</v>
      </c>
    </row>
    <row r="1474" spans="6:6">
      <c r="F1474" s="614">
        <v>0</v>
      </c>
    </row>
    <row r="1475" spans="6:6">
      <c r="F1475" s="614">
        <v>0</v>
      </c>
    </row>
    <row r="1476" spans="6:6">
      <c r="F1476" s="614">
        <v>0</v>
      </c>
    </row>
    <row r="1477" spans="6:6">
      <c r="F1477" s="614">
        <v>0</v>
      </c>
    </row>
    <row r="1478" spans="6:6">
      <c r="F1478" s="614">
        <v>0</v>
      </c>
    </row>
    <row r="1479" spans="6:6">
      <c r="F1479" s="614">
        <v>0</v>
      </c>
    </row>
    <row r="1480" spans="6:6">
      <c r="F1480" s="614">
        <v>0</v>
      </c>
    </row>
    <row r="1481" spans="6:6">
      <c r="F1481" s="614">
        <v>0</v>
      </c>
    </row>
    <row r="1482" spans="6:6">
      <c r="F1482" s="614">
        <v>0</v>
      </c>
    </row>
    <row r="1483" spans="6:6">
      <c r="F1483" s="614">
        <v>0</v>
      </c>
    </row>
    <row r="1484" spans="6:6">
      <c r="F1484" s="614">
        <v>0</v>
      </c>
    </row>
    <row r="1485" spans="6:6">
      <c r="F1485" s="614">
        <v>0</v>
      </c>
    </row>
    <row r="1486" spans="6:6">
      <c r="F1486" s="614">
        <v>0</v>
      </c>
    </row>
    <row r="1487" spans="6:6">
      <c r="F1487" s="614">
        <v>0</v>
      </c>
    </row>
    <row r="1488" spans="6:6">
      <c r="F1488" s="614">
        <v>0</v>
      </c>
    </row>
    <row r="1489" spans="6:6">
      <c r="F1489" s="614">
        <v>0</v>
      </c>
    </row>
    <row r="1490" spans="6:6">
      <c r="F1490" s="614">
        <v>0</v>
      </c>
    </row>
    <row r="1491" spans="6:6">
      <c r="F1491" s="614">
        <v>0</v>
      </c>
    </row>
    <row r="1492" spans="6:6">
      <c r="F1492" s="614">
        <v>0</v>
      </c>
    </row>
    <row r="1493" spans="6:6">
      <c r="F1493" s="614">
        <v>0</v>
      </c>
    </row>
    <row r="1494" spans="6:6">
      <c r="F1494" s="614">
        <v>0</v>
      </c>
    </row>
    <row r="1495" spans="6:6">
      <c r="F1495" s="614">
        <v>0</v>
      </c>
    </row>
    <row r="1496" spans="6:6">
      <c r="F1496" s="614">
        <v>0</v>
      </c>
    </row>
    <row r="1497" spans="6:6">
      <c r="F1497" s="614">
        <v>0</v>
      </c>
    </row>
    <row r="1498" spans="6:6">
      <c r="F1498" s="614">
        <v>0</v>
      </c>
    </row>
    <row r="1499" spans="6:6">
      <c r="F1499" s="614">
        <v>0</v>
      </c>
    </row>
    <row r="1500" spans="6:6">
      <c r="F1500" s="614">
        <v>0</v>
      </c>
    </row>
    <row r="1501" spans="6:6">
      <c r="F1501" s="614">
        <v>0</v>
      </c>
    </row>
    <row r="1502" spans="6:6">
      <c r="F1502" s="614">
        <v>0</v>
      </c>
    </row>
    <row r="1503" spans="6:6">
      <c r="F1503" s="614">
        <v>0</v>
      </c>
    </row>
    <row r="1504" spans="6:6">
      <c r="F1504" s="614">
        <v>0</v>
      </c>
    </row>
    <row r="1505" spans="6:6">
      <c r="F1505" s="614">
        <v>0</v>
      </c>
    </row>
    <row r="1506" spans="6:6">
      <c r="F1506" s="614">
        <v>0</v>
      </c>
    </row>
    <row r="1507" spans="6:6">
      <c r="F1507" s="614">
        <v>0</v>
      </c>
    </row>
    <row r="1508" spans="6:6">
      <c r="F1508" s="614">
        <v>0</v>
      </c>
    </row>
    <row r="1509" spans="6:6">
      <c r="F1509" s="614">
        <v>0</v>
      </c>
    </row>
    <row r="1510" spans="6:6">
      <c r="F1510" s="614">
        <v>0</v>
      </c>
    </row>
    <row r="1511" spans="6:6">
      <c r="F1511" s="614">
        <v>0</v>
      </c>
    </row>
    <row r="1512" spans="6:6">
      <c r="F1512" s="614">
        <v>0</v>
      </c>
    </row>
    <row r="1513" spans="6:6">
      <c r="F1513" s="614">
        <v>0</v>
      </c>
    </row>
    <row r="1514" spans="6:6">
      <c r="F1514" s="614">
        <v>0</v>
      </c>
    </row>
    <row r="1515" spans="6:6">
      <c r="F1515" s="614">
        <v>0</v>
      </c>
    </row>
    <row r="1516" spans="6:6">
      <c r="F1516" s="614">
        <v>0</v>
      </c>
    </row>
    <row r="1517" spans="6:6">
      <c r="F1517" s="614">
        <v>0</v>
      </c>
    </row>
    <row r="1518" spans="6:6">
      <c r="F1518" s="614">
        <v>0</v>
      </c>
    </row>
    <row r="1519" spans="6:6">
      <c r="F1519" s="614">
        <v>0</v>
      </c>
    </row>
    <row r="1520" spans="6:6">
      <c r="F1520" s="614">
        <v>0</v>
      </c>
    </row>
    <row r="1521" spans="6:6">
      <c r="F1521" s="614">
        <v>0</v>
      </c>
    </row>
    <row r="1522" spans="6:6">
      <c r="F1522" s="614">
        <v>0</v>
      </c>
    </row>
    <row r="1523" spans="6:6">
      <c r="F1523" s="614">
        <v>0</v>
      </c>
    </row>
    <row r="1524" spans="6:6">
      <c r="F1524" s="614">
        <v>0</v>
      </c>
    </row>
    <row r="1525" spans="6:6">
      <c r="F1525" s="614">
        <v>0</v>
      </c>
    </row>
    <row r="1526" spans="6:6">
      <c r="F1526" s="614">
        <v>0</v>
      </c>
    </row>
    <row r="1527" spans="6:6">
      <c r="F1527" s="614">
        <v>0</v>
      </c>
    </row>
    <row r="1528" spans="6:6">
      <c r="F1528" s="614">
        <v>0</v>
      </c>
    </row>
    <row r="1529" spans="6:6">
      <c r="F1529" s="614">
        <v>0</v>
      </c>
    </row>
    <row r="1530" spans="6:6">
      <c r="F1530" s="614">
        <v>0</v>
      </c>
    </row>
    <row r="1531" spans="6:6">
      <c r="F1531" s="614">
        <v>0</v>
      </c>
    </row>
    <row r="1532" spans="6:6">
      <c r="F1532" s="614">
        <v>0</v>
      </c>
    </row>
    <row r="1533" spans="6:6">
      <c r="F1533" s="614">
        <v>0</v>
      </c>
    </row>
    <row r="1534" spans="6:6">
      <c r="F1534" s="614">
        <v>0</v>
      </c>
    </row>
    <row r="1535" spans="6:6">
      <c r="F1535" s="614">
        <v>0</v>
      </c>
    </row>
    <row r="1536" spans="6:6">
      <c r="F1536" s="614">
        <v>0</v>
      </c>
    </row>
    <row r="1537" spans="6:6">
      <c r="F1537" s="614">
        <v>0</v>
      </c>
    </row>
    <row r="1538" spans="6:6">
      <c r="F1538" s="614">
        <v>0</v>
      </c>
    </row>
    <row r="1539" spans="6:6">
      <c r="F1539" s="614">
        <v>0</v>
      </c>
    </row>
    <row r="1540" spans="6:6">
      <c r="F1540" s="614">
        <v>0</v>
      </c>
    </row>
    <row r="1541" spans="6:6">
      <c r="F1541" s="614">
        <v>0</v>
      </c>
    </row>
    <row r="1542" spans="6:6">
      <c r="F1542" s="614">
        <v>0</v>
      </c>
    </row>
    <row r="1543" spans="6:6">
      <c r="F1543" s="614">
        <v>0</v>
      </c>
    </row>
    <row r="1544" spans="6:6">
      <c r="F1544" s="614">
        <v>0</v>
      </c>
    </row>
    <row r="1545" spans="6:6">
      <c r="F1545" s="614">
        <v>0</v>
      </c>
    </row>
    <row r="1546" spans="6:6">
      <c r="F1546" s="614">
        <v>0</v>
      </c>
    </row>
    <row r="1547" spans="6:6">
      <c r="F1547" s="614">
        <v>0</v>
      </c>
    </row>
    <row r="1548" spans="6:6">
      <c r="F1548" s="614">
        <v>0</v>
      </c>
    </row>
    <row r="1549" spans="6:6">
      <c r="F1549" s="614">
        <v>0</v>
      </c>
    </row>
    <row r="1550" spans="6:6">
      <c r="F1550" s="614">
        <v>0</v>
      </c>
    </row>
    <row r="1551" spans="6:6">
      <c r="F1551" s="614">
        <v>0</v>
      </c>
    </row>
    <row r="1552" spans="6:6">
      <c r="F1552" s="614">
        <v>0</v>
      </c>
    </row>
    <row r="1553" spans="6:6">
      <c r="F1553" s="614">
        <v>0</v>
      </c>
    </row>
    <row r="1554" spans="6:6">
      <c r="F1554" s="614">
        <v>0</v>
      </c>
    </row>
    <row r="1555" spans="6:6">
      <c r="F1555" s="614">
        <v>0</v>
      </c>
    </row>
    <row r="1556" spans="6:6">
      <c r="F1556" s="614">
        <v>0</v>
      </c>
    </row>
    <row r="1557" spans="6:6">
      <c r="F1557" s="614">
        <v>0</v>
      </c>
    </row>
    <row r="1558" spans="6:6">
      <c r="F1558" s="614">
        <v>0</v>
      </c>
    </row>
    <row r="1559" spans="6:6">
      <c r="F1559" s="614">
        <v>0</v>
      </c>
    </row>
    <row r="1560" spans="6:6">
      <c r="F1560" s="614">
        <v>0</v>
      </c>
    </row>
    <row r="1561" spans="6:6">
      <c r="F1561" s="614">
        <v>0</v>
      </c>
    </row>
    <row r="1562" spans="6:6">
      <c r="F1562" s="614">
        <v>0</v>
      </c>
    </row>
    <row r="1563" spans="6:6">
      <c r="F1563" s="614">
        <v>0</v>
      </c>
    </row>
    <row r="1564" spans="6:6">
      <c r="F1564" s="614">
        <v>0</v>
      </c>
    </row>
    <row r="1565" spans="6:6">
      <c r="F1565" s="614">
        <v>0</v>
      </c>
    </row>
    <row r="1566" spans="6:6">
      <c r="F1566" s="614">
        <v>0</v>
      </c>
    </row>
    <row r="1567" spans="6:6">
      <c r="F1567" s="614">
        <v>0</v>
      </c>
    </row>
    <row r="1568" spans="6:6">
      <c r="F1568" s="614">
        <v>0</v>
      </c>
    </row>
    <row r="1569" spans="6:6">
      <c r="F1569" s="614">
        <v>0</v>
      </c>
    </row>
    <row r="1570" spans="6:6">
      <c r="F1570" s="614">
        <v>0</v>
      </c>
    </row>
    <row r="1571" spans="6:6">
      <c r="F1571" s="614">
        <v>0</v>
      </c>
    </row>
    <row r="1572" spans="6:6">
      <c r="F1572" s="614">
        <v>0</v>
      </c>
    </row>
    <row r="1573" spans="6:6">
      <c r="F1573" s="614">
        <v>0</v>
      </c>
    </row>
    <row r="1574" spans="6:6">
      <c r="F1574" s="614">
        <v>0</v>
      </c>
    </row>
    <row r="1575" spans="6:6">
      <c r="F1575" s="614">
        <v>0</v>
      </c>
    </row>
    <row r="1576" spans="6:6">
      <c r="F1576" s="614">
        <v>0</v>
      </c>
    </row>
    <row r="1577" spans="6:6">
      <c r="F1577" s="614">
        <v>0</v>
      </c>
    </row>
    <row r="1578" spans="6:6">
      <c r="F1578" s="614">
        <v>0</v>
      </c>
    </row>
    <row r="1579" spans="6:6">
      <c r="F1579" s="614">
        <v>0</v>
      </c>
    </row>
    <row r="1580" spans="6:6">
      <c r="F1580" s="614">
        <v>0</v>
      </c>
    </row>
    <row r="1581" spans="6:6">
      <c r="F1581" s="614">
        <v>0</v>
      </c>
    </row>
    <row r="1582" spans="6:6">
      <c r="F1582" s="614">
        <v>0</v>
      </c>
    </row>
    <row r="1583" spans="6:6">
      <c r="F1583" s="614">
        <v>0</v>
      </c>
    </row>
    <row r="1584" spans="6:6">
      <c r="F1584" s="614">
        <v>0</v>
      </c>
    </row>
    <row r="1585" spans="6:6">
      <c r="F1585" s="614">
        <v>0</v>
      </c>
    </row>
    <row r="1586" spans="6:6">
      <c r="F1586" s="614">
        <v>0</v>
      </c>
    </row>
    <row r="1587" spans="6:6">
      <c r="F1587" s="614">
        <v>0</v>
      </c>
    </row>
    <row r="1588" spans="6:6">
      <c r="F1588" s="614">
        <v>0</v>
      </c>
    </row>
    <row r="1589" spans="6:6">
      <c r="F1589" s="614">
        <v>0</v>
      </c>
    </row>
    <row r="1590" spans="6:6">
      <c r="F1590" s="614">
        <v>0</v>
      </c>
    </row>
    <row r="1591" spans="6:6">
      <c r="F1591" s="614">
        <v>0</v>
      </c>
    </row>
    <row r="1592" spans="6:6">
      <c r="F1592" s="614">
        <v>0</v>
      </c>
    </row>
    <row r="1593" spans="6:6">
      <c r="F1593" s="614">
        <v>0</v>
      </c>
    </row>
    <row r="1594" spans="6:6">
      <c r="F1594" s="614">
        <v>0</v>
      </c>
    </row>
    <row r="1595" spans="6:6">
      <c r="F1595" s="614">
        <v>0</v>
      </c>
    </row>
    <row r="1596" spans="6:6">
      <c r="F1596" s="614">
        <v>0</v>
      </c>
    </row>
    <row r="1597" spans="6:6">
      <c r="F1597" s="614">
        <v>0</v>
      </c>
    </row>
    <row r="1598" spans="6:6">
      <c r="F1598" s="614">
        <v>0</v>
      </c>
    </row>
    <row r="1599" spans="6:6">
      <c r="F1599" s="614">
        <v>0</v>
      </c>
    </row>
    <row r="1600" spans="6:6">
      <c r="F1600" s="614">
        <v>0</v>
      </c>
    </row>
    <row r="1601" spans="6:6">
      <c r="F1601" s="614">
        <v>0</v>
      </c>
    </row>
    <row r="1602" spans="6:6">
      <c r="F1602" s="614">
        <v>0</v>
      </c>
    </row>
    <row r="1603" spans="6:6">
      <c r="F1603" s="614">
        <v>0</v>
      </c>
    </row>
    <row r="1604" spans="6:6">
      <c r="F1604" s="614">
        <v>0</v>
      </c>
    </row>
    <row r="1605" spans="6:6">
      <c r="F1605" s="614">
        <v>0</v>
      </c>
    </row>
    <row r="1606" spans="6:6">
      <c r="F1606" s="614">
        <v>0</v>
      </c>
    </row>
    <row r="1607" spans="6:6">
      <c r="F1607" s="614">
        <v>0</v>
      </c>
    </row>
    <row r="1608" spans="6:6">
      <c r="F1608" s="614">
        <v>0</v>
      </c>
    </row>
    <row r="1609" spans="6:6">
      <c r="F1609" s="614">
        <v>0</v>
      </c>
    </row>
    <row r="1610" spans="6:6">
      <c r="F1610" s="614">
        <v>0</v>
      </c>
    </row>
    <row r="1611" spans="6:6">
      <c r="F1611" s="614">
        <v>0</v>
      </c>
    </row>
    <row r="1612" spans="6:6">
      <c r="F1612" s="614">
        <v>0</v>
      </c>
    </row>
    <row r="1613" spans="6:6">
      <c r="F1613" s="614">
        <v>0</v>
      </c>
    </row>
    <row r="1614" spans="6:6">
      <c r="F1614" s="614">
        <v>0</v>
      </c>
    </row>
    <row r="1615" spans="6:6">
      <c r="F1615" s="614">
        <v>0</v>
      </c>
    </row>
    <row r="1616" spans="6:6">
      <c r="F1616" s="614">
        <v>0</v>
      </c>
    </row>
    <row r="1617" spans="6:6">
      <c r="F1617" s="614">
        <v>0</v>
      </c>
    </row>
    <row r="1618" spans="6:6">
      <c r="F1618" s="614">
        <v>0</v>
      </c>
    </row>
    <row r="1619" spans="6:6">
      <c r="F1619" s="614">
        <v>0</v>
      </c>
    </row>
    <row r="1620" spans="6:6">
      <c r="F1620" s="614">
        <v>0</v>
      </c>
    </row>
    <row r="1621" spans="6:6">
      <c r="F1621" s="614">
        <v>0</v>
      </c>
    </row>
    <row r="1622" spans="6:6">
      <c r="F1622" s="614">
        <v>0</v>
      </c>
    </row>
    <row r="1623" spans="6:6">
      <c r="F1623" s="614">
        <v>0</v>
      </c>
    </row>
    <row r="1624" spans="6:6">
      <c r="F1624" s="614">
        <v>0</v>
      </c>
    </row>
    <row r="1625" spans="6:6">
      <c r="F1625" s="614">
        <v>0</v>
      </c>
    </row>
    <row r="1626" spans="6:6">
      <c r="F1626" s="614">
        <v>0</v>
      </c>
    </row>
    <row r="1627" spans="6:6">
      <c r="F1627" s="614">
        <v>0</v>
      </c>
    </row>
    <row r="1628" spans="6:6">
      <c r="F1628" s="614">
        <v>0</v>
      </c>
    </row>
    <row r="1629" spans="6:6">
      <c r="F1629" s="614">
        <v>0</v>
      </c>
    </row>
    <row r="1630" spans="6:6">
      <c r="F1630" s="614">
        <v>0</v>
      </c>
    </row>
    <row r="1631" spans="6:6">
      <c r="F1631" s="614">
        <v>0</v>
      </c>
    </row>
    <row r="1632" spans="6:6">
      <c r="F1632" s="614">
        <v>0</v>
      </c>
    </row>
    <row r="1633" spans="6:6">
      <c r="F1633" s="614">
        <v>0</v>
      </c>
    </row>
    <row r="1634" spans="6:6">
      <c r="F1634" s="614">
        <v>0</v>
      </c>
    </row>
    <row r="1635" spans="6:6">
      <c r="F1635" s="614">
        <v>0</v>
      </c>
    </row>
    <row r="1636" spans="6:6">
      <c r="F1636" s="614">
        <v>0</v>
      </c>
    </row>
    <row r="1637" spans="6:6">
      <c r="F1637" s="614">
        <v>0</v>
      </c>
    </row>
    <row r="1638" spans="6:6">
      <c r="F1638" s="614">
        <v>0</v>
      </c>
    </row>
    <row r="1639" spans="6:6">
      <c r="F1639" s="614">
        <v>0</v>
      </c>
    </row>
    <row r="1640" spans="6:6">
      <c r="F1640" s="614">
        <v>0</v>
      </c>
    </row>
    <row r="1641" spans="6:6">
      <c r="F1641" s="614">
        <v>0</v>
      </c>
    </row>
    <row r="1642" spans="6:6">
      <c r="F1642" s="614">
        <v>0</v>
      </c>
    </row>
    <row r="1643" spans="6:6">
      <c r="F1643" s="614">
        <v>0</v>
      </c>
    </row>
    <row r="1644" spans="6:6">
      <c r="F1644" s="614">
        <v>0</v>
      </c>
    </row>
    <row r="1645" spans="6:6">
      <c r="F1645" s="614">
        <v>0</v>
      </c>
    </row>
    <row r="1646" spans="6:6">
      <c r="F1646" s="614">
        <v>0</v>
      </c>
    </row>
    <row r="1647" spans="6:6">
      <c r="F1647" s="614">
        <v>0</v>
      </c>
    </row>
    <row r="1648" spans="6:6">
      <c r="F1648" s="614">
        <v>0</v>
      </c>
    </row>
    <row r="1649" spans="6:6">
      <c r="F1649" s="614">
        <v>0</v>
      </c>
    </row>
    <row r="1650" spans="6:6">
      <c r="F1650" s="614">
        <v>0</v>
      </c>
    </row>
    <row r="1651" spans="6:6">
      <c r="F1651" s="614">
        <v>0</v>
      </c>
    </row>
    <row r="1652" spans="6:6">
      <c r="F1652" s="614">
        <v>0</v>
      </c>
    </row>
    <row r="1653" spans="6:6">
      <c r="F1653" s="614">
        <v>0</v>
      </c>
    </row>
    <row r="1654" spans="6:6">
      <c r="F1654" s="614">
        <v>0</v>
      </c>
    </row>
    <row r="1655" spans="6:6">
      <c r="F1655" s="614">
        <v>0</v>
      </c>
    </row>
    <row r="1656" spans="6:6">
      <c r="F1656" s="614">
        <v>0</v>
      </c>
    </row>
    <row r="1657" spans="6:6">
      <c r="F1657" s="614">
        <v>0</v>
      </c>
    </row>
    <row r="1658" spans="6:6">
      <c r="F1658" s="614">
        <v>0</v>
      </c>
    </row>
    <row r="1659" spans="6:6">
      <c r="F1659" s="614">
        <v>0</v>
      </c>
    </row>
    <row r="1660" spans="6:6">
      <c r="F1660" s="614">
        <v>0</v>
      </c>
    </row>
    <row r="1661" spans="6:6">
      <c r="F1661" s="614">
        <v>0</v>
      </c>
    </row>
    <row r="1662" spans="6:6">
      <c r="F1662" s="614">
        <v>0</v>
      </c>
    </row>
    <row r="1663" spans="6:6">
      <c r="F1663" s="614">
        <v>0</v>
      </c>
    </row>
    <row r="1664" spans="6:6">
      <c r="F1664" s="614">
        <v>0</v>
      </c>
    </row>
    <row r="1665" spans="6:6">
      <c r="F1665" s="614">
        <v>0</v>
      </c>
    </row>
    <row r="1666" spans="6:6">
      <c r="F1666" s="614">
        <v>0</v>
      </c>
    </row>
    <row r="1667" spans="6:6">
      <c r="F1667" s="614">
        <v>0</v>
      </c>
    </row>
    <row r="1668" spans="6:6">
      <c r="F1668" s="614">
        <v>0</v>
      </c>
    </row>
    <row r="1669" spans="6:6">
      <c r="F1669" s="614">
        <v>0</v>
      </c>
    </row>
    <row r="1670" spans="6:6">
      <c r="F1670" s="614">
        <v>0</v>
      </c>
    </row>
    <row r="1671" spans="6:6">
      <c r="F1671" s="614">
        <v>0</v>
      </c>
    </row>
    <row r="1672" spans="6:6">
      <c r="F1672" s="614">
        <v>0</v>
      </c>
    </row>
    <row r="1673" spans="6:6">
      <c r="F1673" s="614">
        <v>0</v>
      </c>
    </row>
    <row r="1674" spans="6:6">
      <c r="F1674" s="614">
        <v>0</v>
      </c>
    </row>
    <row r="1675" spans="6:6">
      <c r="F1675" s="614">
        <v>0</v>
      </c>
    </row>
    <row r="1676" spans="6:6">
      <c r="F1676" s="614">
        <v>0</v>
      </c>
    </row>
    <row r="1677" spans="6:6">
      <c r="F1677" s="614">
        <v>0</v>
      </c>
    </row>
    <row r="1678" spans="6:6">
      <c r="F1678" s="614">
        <v>0</v>
      </c>
    </row>
    <row r="1679" spans="6:6">
      <c r="F1679" s="614">
        <v>0</v>
      </c>
    </row>
    <row r="1680" spans="6:6">
      <c r="F1680" s="614">
        <v>0</v>
      </c>
    </row>
    <row r="1681" spans="6:6">
      <c r="F1681" s="614">
        <v>0</v>
      </c>
    </row>
    <row r="1682" spans="6:6">
      <c r="F1682" s="614">
        <v>0</v>
      </c>
    </row>
    <row r="1683" spans="6:6">
      <c r="F1683" s="614">
        <v>0</v>
      </c>
    </row>
    <row r="1684" spans="6:6">
      <c r="F1684" s="614">
        <v>0</v>
      </c>
    </row>
    <row r="1685" spans="6:6">
      <c r="F1685" s="614">
        <v>0</v>
      </c>
    </row>
    <row r="1686" spans="6:6">
      <c r="F1686" s="614">
        <v>0</v>
      </c>
    </row>
    <row r="1687" spans="6:6">
      <c r="F1687" s="614">
        <v>0</v>
      </c>
    </row>
    <row r="1688" spans="6:6">
      <c r="F1688" s="614">
        <v>0</v>
      </c>
    </row>
    <row r="1689" spans="6:6">
      <c r="F1689" s="614">
        <v>0</v>
      </c>
    </row>
  </sheetData>
  <mergeCells count="74"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689"/>
  <sheetViews>
    <sheetView view="pageBreakPreview" topLeftCell="A43" zoomScale="55" zoomScaleNormal="60" zoomScaleSheetLayoutView="55" zoomScalePageLayoutView="20" workbookViewId="0">
      <selection activeCell="F28" sqref="F28"/>
    </sheetView>
  </sheetViews>
  <sheetFormatPr defaultColWidth="22.33203125" defaultRowHeight="29.2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399" t="s">
        <v>226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5" s="281" customFormat="1" ht="27">
      <c r="A2" s="652" t="s">
        <v>340</v>
      </c>
      <c r="B2" s="1139">
        <v>44217</v>
      </c>
      <c r="C2" s="1254" t="s">
        <v>69</v>
      </c>
      <c r="D2" s="688">
        <v>0.5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29</v>
      </c>
      <c r="E3" s="1408" t="s">
        <v>132</v>
      </c>
      <c r="F3" s="1409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>
      <c r="A4" s="653"/>
      <c r="B4" s="693"/>
      <c r="C4" s="1254" t="s">
        <v>133</v>
      </c>
      <c r="D4" s="688">
        <v>0.81</v>
      </c>
      <c r="E4" s="540"/>
      <c r="F4" s="540"/>
      <c r="G4" s="540"/>
      <c r="H4" s="540"/>
      <c r="I4" s="541"/>
      <c r="J4" s="692"/>
      <c r="K4" s="403"/>
      <c r="L4" s="293"/>
    </row>
    <row r="5" spans="1:15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>
      <c r="A6" s="1402" t="s">
        <v>141</v>
      </c>
      <c r="B6" s="1403"/>
      <c r="C6" s="1404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>
      <c r="A7" s="655" t="s">
        <v>142</v>
      </c>
      <c r="B7" s="656"/>
      <c r="C7" s="656"/>
      <c r="D7" s="599" t="s">
        <v>143</v>
      </c>
      <c r="E7" s="531">
        <f>'20'!F7</f>
        <v>3677787</v>
      </c>
      <c r="F7" s="531">
        <v>3697202</v>
      </c>
      <c r="G7" s="549">
        <f>F7-E7</f>
        <v>19415</v>
      </c>
      <c r="H7" s="536">
        <f>G7+'20'!H7</f>
        <v>410762</v>
      </c>
      <c r="I7" s="550">
        <f>'1'!I7</f>
        <v>12000</v>
      </c>
      <c r="J7" s="629">
        <f>H7/DAY(B2)</f>
        <v>19560.095238095237</v>
      </c>
      <c r="K7" s="626">
        <v>12199</v>
      </c>
      <c r="L7" s="408">
        <f>G7-K7</f>
        <v>7216</v>
      </c>
      <c r="N7" s="413"/>
      <c r="O7" s="413"/>
    </row>
    <row r="8" spans="1:15" ht="27.75" thickBot="1">
      <c r="A8" s="657" t="s">
        <v>144</v>
      </c>
      <c r="B8" s="658"/>
      <c r="C8" s="659"/>
      <c r="D8" s="694" t="s">
        <v>25</v>
      </c>
      <c r="E8" s="551">
        <f>'20'!F8</f>
        <v>3700550</v>
      </c>
      <c r="F8" s="551">
        <v>3720125</v>
      </c>
      <c r="G8" s="552">
        <f>F8-E8</f>
        <v>19575</v>
      </c>
      <c r="H8" s="536">
        <f>G8+'20'!H8</f>
        <v>413753</v>
      </c>
      <c r="I8" s="553">
        <f>'1'!I8</f>
        <v>12000</v>
      </c>
      <c r="J8" s="629">
        <f>H8/DAY(B2)</f>
        <v>19702.523809523809</v>
      </c>
      <c r="K8" s="626">
        <v>12262</v>
      </c>
      <c r="L8" s="464">
        <f>G8-K8</f>
        <v>7313</v>
      </c>
      <c r="M8" s="479"/>
      <c r="N8" s="413"/>
      <c r="O8" s="413"/>
    </row>
    <row r="9" spans="1:15">
      <c r="A9" s="660" t="s">
        <v>145</v>
      </c>
      <c r="B9" s="661"/>
      <c r="C9" s="661"/>
      <c r="D9" s="599" t="s">
        <v>143</v>
      </c>
      <c r="E9" s="554">
        <f>'20'!F9</f>
        <v>2462678.7000000002</v>
      </c>
      <c r="F9" s="554">
        <v>2469578.9</v>
      </c>
      <c r="G9" s="549">
        <f t="shared" ref="G9:G12" si="0">F9-E9</f>
        <v>6900.1999999997206</v>
      </c>
      <c r="H9" s="536">
        <f>G9+'20'!H9</f>
        <v>64363.899999999907</v>
      </c>
      <c r="I9" s="555">
        <f>I8-J8</f>
        <v>-7702.5238095238092</v>
      </c>
      <c r="J9" s="629">
        <f>H9/DAY(B2)</f>
        <v>3064.9476190476148</v>
      </c>
      <c r="K9" s="467"/>
      <c r="L9" s="408"/>
      <c r="N9" s="413"/>
      <c r="O9" s="413"/>
    </row>
    <row r="10" spans="1:15">
      <c r="A10" s="655" t="s">
        <v>146</v>
      </c>
      <c r="B10" s="656"/>
      <c r="C10" s="656"/>
      <c r="D10" s="599" t="s">
        <v>143</v>
      </c>
      <c r="E10" s="554">
        <f>'20'!F10</f>
        <v>1070063.2</v>
      </c>
      <c r="F10" s="554">
        <v>1081910.5</v>
      </c>
      <c r="G10" s="549">
        <f t="shared" si="0"/>
        <v>11847.300000000047</v>
      </c>
      <c r="H10" s="536">
        <f>G10+'20'!H10</f>
        <v>331388.58999999997</v>
      </c>
      <c r="I10" s="556"/>
      <c r="J10" s="629">
        <f>H10/DAY(B2)</f>
        <v>15780.409047619047</v>
      </c>
      <c r="K10" s="467"/>
      <c r="L10" s="408"/>
      <c r="N10" s="413"/>
      <c r="O10" s="413"/>
    </row>
    <row r="11" spans="1:15">
      <c r="A11" s="655" t="s">
        <v>147</v>
      </c>
      <c r="B11" s="656"/>
      <c r="C11" s="656"/>
      <c r="D11" s="599" t="s">
        <v>143</v>
      </c>
      <c r="E11" s="531">
        <f>'20'!F11</f>
        <v>35390</v>
      </c>
      <c r="F11" s="531">
        <v>35390</v>
      </c>
      <c r="G11" s="549">
        <f t="shared" si="0"/>
        <v>0</v>
      </c>
      <c r="H11" s="536">
        <f>G11+'20'!H11</f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>
      <c r="A12" s="655" t="s">
        <v>148</v>
      </c>
      <c r="B12" s="656"/>
      <c r="C12" s="656"/>
      <c r="D12" s="599" t="s">
        <v>143</v>
      </c>
      <c r="E12" s="554">
        <f>'20'!F12</f>
        <v>37630</v>
      </c>
      <c r="F12" s="554">
        <v>37630</v>
      </c>
      <c r="G12" s="549">
        <f t="shared" si="0"/>
        <v>0</v>
      </c>
      <c r="H12" s="536">
        <f>G12+'20'!H12</f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>
      <c r="A13" s="662" t="s">
        <v>149</v>
      </c>
      <c r="B13" s="663"/>
      <c r="C13" s="663"/>
      <c r="D13" s="599"/>
      <c r="E13" s="531"/>
      <c r="F13" s="531"/>
      <c r="G13" s="557">
        <f>G9+G10+G11+G12</f>
        <v>18747.499999999767</v>
      </c>
      <c r="H13" s="536">
        <f>G13+'20'!H13</f>
        <v>376231.48999999987</v>
      </c>
      <c r="I13" s="558">
        <f>G7-G13</f>
        <v>667.50000000023283</v>
      </c>
      <c r="J13" s="629">
        <f>H13/DAY(B2)</f>
        <v>17915.785238095232</v>
      </c>
      <c r="K13" s="467"/>
      <c r="L13" s="408"/>
      <c r="N13" s="413"/>
      <c r="O13" s="413"/>
    </row>
    <row r="14" spans="1:15">
      <c r="A14" s="1405" t="s">
        <v>150</v>
      </c>
      <c r="B14" s="1406"/>
      <c r="C14" s="1407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>
      <c r="A15" s="1252" t="s">
        <v>151</v>
      </c>
      <c r="B15" s="666"/>
      <c r="C15" s="666"/>
      <c r="D15" s="599" t="s">
        <v>152</v>
      </c>
      <c r="E15" s="560">
        <f>'20'!F15</f>
        <v>1585516</v>
      </c>
      <c r="F15" s="560">
        <v>1586422.94</v>
      </c>
      <c r="G15" s="883">
        <f>(F15-E15)</f>
        <v>906.93999999994412</v>
      </c>
      <c r="H15" s="536">
        <f>G15+'20'!H15</f>
        <v>17508.839999999851</v>
      </c>
      <c r="I15" s="550">
        <v>800</v>
      </c>
      <c r="J15" s="629">
        <f>H15/DAY(B2)</f>
        <v>833.75428571427858</v>
      </c>
      <c r="K15" s="467"/>
      <c r="L15" s="408"/>
      <c r="N15" s="413"/>
      <c r="O15" s="821"/>
    </row>
    <row r="16" spans="1:15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-33.754285714278581</v>
      </c>
      <c r="J16" s="630"/>
      <c r="K16" s="467"/>
      <c r="L16" s="408"/>
      <c r="N16" s="413"/>
      <c r="O16" s="413"/>
    </row>
    <row r="17" spans="1:15">
      <c r="A17" s="1405" t="s">
        <v>153</v>
      </c>
      <c r="B17" s="1406"/>
      <c r="C17" s="1407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>
      <c r="A18" s="1388" t="s">
        <v>154</v>
      </c>
      <c r="B18" s="1389"/>
      <c r="C18" s="1390"/>
      <c r="D18" s="599" t="s">
        <v>155</v>
      </c>
      <c r="E18" s="560">
        <f>'20'!F18</f>
        <v>14</v>
      </c>
      <c r="F18" s="560">
        <v>13</v>
      </c>
      <c r="G18" s="557">
        <f>F18*10</f>
        <v>130</v>
      </c>
      <c r="H18" s="536">
        <f>G18+'20'!H18</f>
        <v>2460</v>
      </c>
      <c r="I18" s="550">
        <f>'1'!I18</f>
        <v>65</v>
      </c>
      <c r="J18" s="629">
        <f>H18/DAY(B2)</f>
        <v>117.14285714285714</v>
      </c>
      <c r="K18" s="467"/>
      <c r="L18" s="408"/>
      <c r="N18" s="413"/>
      <c r="O18" s="413"/>
    </row>
    <row r="19" spans="1:15" ht="27.75">
      <c r="A19" s="1388" t="s">
        <v>71</v>
      </c>
      <c r="B19" s="1389"/>
      <c r="C19" s="1390"/>
      <c r="D19" s="599" t="s">
        <v>155</v>
      </c>
      <c r="E19" s="560">
        <f>'20'!F19</f>
        <v>132484</v>
      </c>
      <c r="F19" s="560">
        <v>132533</v>
      </c>
      <c r="G19" s="549">
        <f t="shared" ref="G19" si="1">F19-E19</f>
        <v>49</v>
      </c>
      <c r="H19" s="536">
        <f>G19+'20'!H19</f>
        <v>1040</v>
      </c>
      <c r="I19" s="565"/>
      <c r="J19" s="629">
        <f>H19/DAY(B2)</f>
        <v>49.523809523809526</v>
      </c>
      <c r="K19" s="467"/>
      <c r="L19" s="408"/>
      <c r="N19" s="413"/>
      <c r="O19" s="413"/>
    </row>
    <row r="20" spans="1:15">
      <c r="A20" s="662" t="s">
        <v>156</v>
      </c>
      <c r="B20" s="663"/>
      <c r="C20" s="663"/>
      <c r="D20" s="566"/>
      <c r="E20" s="566"/>
      <c r="F20" s="566"/>
      <c r="G20" s="567">
        <f>G18+G19</f>
        <v>179</v>
      </c>
      <c r="H20" s="536">
        <f>G20+'20'!H20</f>
        <v>3500</v>
      </c>
      <c r="I20" s="568">
        <f>I18-J20</f>
        <v>-101.66666666666666</v>
      </c>
      <c r="J20" s="629">
        <f>H20/DAY(B2)</f>
        <v>166.66666666666666</v>
      </c>
      <c r="K20" s="467"/>
      <c r="L20" s="408"/>
      <c r="N20" s="413"/>
      <c r="O20" s="413"/>
    </row>
    <row r="21" spans="1:15">
      <c r="A21" s="1405" t="s">
        <v>157</v>
      </c>
      <c r="B21" s="1406"/>
      <c r="C21" s="1407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>
      <c r="A22" s="1252" t="s">
        <v>158</v>
      </c>
      <c r="B22" s="666"/>
      <c r="C22" s="666"/>
      <c r="D22" s="599" t="s">
        <v>159</v>
      </c>
      <c r="E22" s="560">
        <f>'20'!F22</f>
        <v>2250</v>
      </c>
      <c r="F22" s="560">
        <v>2250</v>
      </c>
      <c r="G22" s="557">
        <f t="shared" ref="G22" si="2">(F22-E22)</f>
        <v>0</v>
      </c>
      <c r="H22" s="536">
        <f>G22+'20'!H22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>
      <c r="A23" s="1252" t="s">
        <v>160</v>
      </c>
      <c r="B23" s="666"/>
      <c r="C23" s="666"/>
      <c r="D23" s="599" t="s">
        <v>159</v>
      </c>
      <c r="E23" s="560">
        <f>'20'!F23</f>
        <v>2000</v>
      </c>
      <c r="F23" s="560">
        <v>2000</v>
      </c>
      <c r="G23" s="557">
        <v>0</v>
      </c>
      <c r="H23" s="536">
        <f>G23+'20'!H23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>
      <c r="A24" s="667" t="s">
        <v>161</v>
      </c>
      <c r="B24" s="668"/>
      <c r="C24" s="668"/>
      <c r="D24" s="587" t="s">
        <v>159</v>
      </c>
      <c r="E24" s="569">
        <f>'20'!F24</f>
        <v>4970</v>
      </c>
      <c r="F24" s="569">
        <v>4970</v>
      </c>
      <c r="G24" s="557">
        <v>0</v>
      </c>
      <c r="H24" s="536">
        <f>G24+'20'!H24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7">
        <f>G8</f>
        <v>19575</v>
      </c>
      <c r="F27" s="577">
        <v>9</v>
      </c>
      <c r="G27" s="578">
        <f>E27*F27</f>
        <v>176175</v>
      </c>
      <c r="H27" s="536">
        <f>G27+'20'!H27</f>
        <v>3741852</v>
      </c>
      <c r="I27" s="579"/>
      <c r="J27" s="629">
        <f>H27/DAY(B2)</f>
        <v>178183.42857142858</v>
      </c>
      <c r="K27" s="404"/>
      <c r="L27" s="484"/>
      <c r="N27" s="493"/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77">
        <f>G15</f>
        <v>906.93999999994412</v>
      </c>
      <c r="F28" s="577">
        <v>41</v>
      </c>
      <c r="G28" s="578">
        <f t="shared" ref="G28:G30" si="3">E28*F28</f>
        <v>37184.539999997709</v>
      </c>
      <c r="H28" s="536">
        <f>G28+'20'!H28</f>
        <v>716621.0799999939</v>
      </c>
      <c r="I28" s="581"/>
      <c r="J28" s="629">
        <f>H28/DAY(B2)</f>
        <v>34124.813333333041</v>
      </c>
      <c r="K28" s="404"/>
      <c r="L28" s="484"/>
      <c r="N28" s="493"/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77">
        <f>G24</f>
        <v>0</v>
      </c>
      <c r="F29" s="577">
        <v>69</v>
      </c>
      <c r="G29" s="578">
        <f t="shared" si="3"/>
        <v>0</v>
      </c>
      <c r="H29" s="536">
        <f>G29+'20'!H29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77">
        <f>G19</f>
        <v>49</v>
      </c>
      <c r="F30" s="577">
        <v>134</v>
      </c>
      <c r="G30" s="578">
        <f t="shared" si="3"/>
        <v>6566</v>
      </c>
      <c r="H30" s="536">
        <f>G30+'20'!H30</f>
        <v>139360</v>
      </c>
      <c r="I30" s="581"/>
      <c r="J30" s="629">
        <f>H30/DAY(B2)</f>
        <v>6636.1904761904761</v>
      </c>
      <c r="K30" s="404"/>
      <c r="L30" s="484"/>
      <c r="N30" s="493"/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77">
        <f>G18</f>
        <v>130</v>
      </c>
      <c r="F31" s="577">
        <v>80</v>
      </c>
      <c r="G31" s="578">
        <f>E31*F31</f>
        <v>10400</v>
      </c>
      <c r="H31" s="536">
        <f>G31+'20'!H31</f>
        <v>196800</v>
      </c>
      <c r="I31" s="581"/>
      <c r="J31" s="629"/>
      <c r="K31" s="404"/>
      <c r="L31" s="484"/>
      <c r="N31" s="493"/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230325.53999999771</v>
      </c>
      <c r="H32" s="536">
        <f>G32+'20'!H32</f>
        <v>4794633.0799999945</v>
      </c>
      <c r="I32" s="585"/>
      <c r="J32" s="629">
        <f>H32/DAY(B2)</f>
        <v>228315.8609523807</v>
      </c>
      <c r="K32" s="404"/>
      <c r="L32" s="484"/>
      <c r="N32" s="493"/>
      <c r="O32" s="413"/>
    </row>
    <row r="33" spans="1:15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413"/>
      <c r="O33" s="413"/>
    </row>
    <row r="34" spans="1:1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>
      <c r="A35" s="655" t="s">
        <v>175</v>
      </c>
      <c r="B35" s="656"/>
      <c r="C35" s="656"/>
      <c r="D35" s="599" t="s">
        <v>143</v>
      </c>
      <c r="E35" s="586">
        <f>'20'!F35</f>
        <v>629027.67000000004</v>
      </c>
      <c r="F35" s="586">
        <v>629027.67000000004</v>
      </c>
      <c r="G35" s="549">
        <f t="shared" ref="G35:G46" si="4">F35-E35</f>
        <v>0</v>
      </c>
      <c r="H35" s="536">
        <f>G35+'20'!H35</f>
        <v>0.67000000004190952</v>
      </c>
      <c r="I35" s="531"/>
      <c r="J35" s="629">
        <f>H35/DAY(B2)</f>
        <v>3.1904761906757596E-2</v>
      </c>
      <c r="K35" s="467">
        <v>1520.2800000000279</v>
      </c>
      <c r="L35" s="408">
        <f t="shared" ref="L35:L60" si="5">G35-K35</f>
        <v>-1520.2800000000279</v>
      </c>
      <c r="N35" s="413"/>
      <c r="O35" s="705"/>
    </row>
    <row r="36" spans="1:15">
      <c r="A36" s="655" t="s">
        <v>176</v>
      </c>
      <c r="B36" s="656"/>
      <c r="C36" s="656"/>
      <c r="D36" s="599" t="s">
        <v>143</v>
      </c>
      <c r="E36" s="586">
        <f>'20'!F36</f>
        <v>268905.96999999997</v>
      </c>
      <c r="F36" s="586">
        <v>269668.03000000003</v>
      </c>
      <c r="G36" s="549">
        <f t="shared" si="4"/>
        <v>762.06000000005588</v>
      </c>
      <c r="H36" s="536">
        <f>G36+'20'!H36</f>
        <v>14576.960000000021</v>
      </c>
      <c r="I36" s="531"/>
      <c r="J36" s="629">
        <f>H36/DAY(B2)</f>
        <v>694.14095238095342</v>
      </c>
      <c r="K36" s="467">
        <v>485.22000000000116</v>
      </c>
      <c r="L36" s="408">
        <f t="shared" si="5"/>
        <v>276.84000000005472</v>
      </c>
      <c r="N36" s="413"/>
      <c r="O36" s="705"/>
    </row>
    <row r="37" spans="1:15">
      <c r="A37" s="655" t="s">
        <v>177</v>
      </c>
      <c r="B37" s="656"/>
      <c r="C37" s="656"/>
      <c r="D37" s="599" t="s">
        <v>143</v>
      </c>
      <c r="E37" s="586">
        <f>'20'!F37</f>
        <v>415066</v>
      </c>
      <c r="F37" s="586">
        <v>415066</v>
      </c>
      <c r="G37" s="549">
        <f t="shared" si="4"/>
        <v>0</v>
      </c>
      <c r="H37" s="536">
        <f>G37+'20'!H37</f>
        <v>0</v>
      </c>
      <c r="I37" s="531"/>
      <c r="J37" s="629">
        <f>H37/DAY(B2)</f>
        <v>0</v>
      </c>
      <c r="K37" s="467">
        <v>1194.8999999999942</v>
      </c>
      <c r="L37" s="408">
        <f t="shared" si="5"/>
        <v>-1194.8999999999942</v>
      </c>
      <c r="N37" s="413"/>
      <c r="O37" s="413"/>
    </row>
    <row r="38" spans="1:15">
      <c r="A38" s="655" t="s">
        <v>178</v>
      </c>
      <c r="B38" s="656"/>
      <c r="C38" s="656"/>
      <c r="D38" s="599" t="s">
        <v>143</v>
      </c>
      <c r="E38" s="545">
        <f>'20'!F38</f>
        <v>150714</v>
      </c>
      <c r="F38" s="545">
        <v>150714.38</v>
      </c>
      <c r="G38" s="549">
        <f t="shared" si="4"/>
        <v>0.38000000000465661</v>
      </c>
      <c r="H38" s="536">
        <f>G38+'20'!H38</f>
        <v>0.38000000000465661</v>
      </c>
      <c r="I38" s="531"/>
      <c r="J38" s="629">
        <f>H38/DAY(B2)</f>
        <v>1.8095238095459838E-2</v>
      </c>
      <c r="K38" s="467">
        <v>0</v>
      </c>
      <c r="L38" s="408">
        <f t="shared" si="5"/>
        <v>0.38000000000465661</v>
      </c>
      <c r="N38" s="413"/>
      <c r="O38" s="413"/>
    </row>
    <row r="39" spans="1:15">
      <c r="A39" s="655" t="s">
        <v>179</v>
      </c>
      <c r="B39" s="656"/>
      <c r="C39" s="656"/>
      <c r="D39" s="599" t="s">
        <v>143</v>
      </c>
      <c r="E39" s="586">
        <f>'20'!F39</f>
        <v>912480</v>
      </c>
      <c r="F39" s="586">
        <v>912480</v>
      </c>
      <c r="G39" s="549">
        <f t="shared" si="4"/>
        <v>0</v>
      </c>
      <c r="H39" s="536">
        <f>G39+'20'!H39</f>
        <v>0</v>
      </c>
      <c r="I39" s="531"/>
      <c r="J39" s="629">
        <f>H39/DAY(B2)</f>
        <v>0</v>
      </c>
      <c r="K39" s="467">
        <v>2147.359999999986</v>
      </c>
      <c r="L39" s="408">
        <f t="shared" si="5"/>
        <v>-2147.359999999986</v>
      </c>
      <c r="N39" s="413"/>
      <c r="O39" s="413"/>
    </row>
    <row r="40" spans="1:15">
      <c r="A40" s="676" t="s">
        <v>180</v>
      </c>
      <c r="B40" s="677"/>
      <c r="C40" s="677"/>
      <c r="D40" s="599" t="s">
        <v>143</v>
      </c>
      <c r="E40" s="586">
        <f>'20'!F40</f>
        <v>0</v>
      </c>
      <c r="F40" s="586">
        <v>0</v>
      </c>
      <c r="G40" s="549">
        <f t="shared" si="4"/>
        <v>0</v>
      </c>
      <c r="H40" s="536">
        <f>G40+'20'!H40</f>
        <v>0</v>
      </c>
      <c r="I40" s="531"/>
      <c r="J40" s="629">
        <f>H40/DAY(B2)</f>
        <v>0</v>
      </c>
      <c r="K40" s="468">
        <v>0</v>
      </c>
      <c r="L40" s="408">
        <f t="shared" si="5"/>
        <v>0</v>
      </c>
      <c r="N40" s="413"/>
      <c r="O40" s="413"/>
    </row>
    <row r="41" spans="1:15">
      <c r="A41" s="655" t="s">
        <v>181</v>
      </c>
      <c r="B41" s="656"/>
      <c r="C41" s="656"/>
      <c r="D41" s="599" t="s">
        <v>143</v>
      </c>
      <c r="E41" s="586">
        <f>'20'!F41</f>
        <v>2136.44</v>
      </c>
      <c r="F41" s="586">
        <v>6244.17</v>
      </c>
      <c r="G41" s="549">
        <f t="shared" si="4"/>
        <v>4107.7299999999996</v>
      </c>
      <c r="H41" s="536">
        <f>G41+'20'!H41</f>
        <v>6244.17</v>
      </c>
      <c r="I41" s="531"/>
      <c r="J41" s="629">
        <f>H41/DAY(B2)</f>
        <v>297.34142857142859</v>
      </c>
      <c r="K41" s="467">
        <v>0</v>
      </c>
      <c r="L41" s="408">
        <f t="shared" si="5"/>
        <v>4107.7299999999996</v>
      </c>
      <c r="N41" s="413"/>
      <c r="O41" s="821"/>
    </row>
    <row r="42" spans="1:15">
      <c r="A42" s="655" t="s">
        <v>182</v>
      </c>
      <c r="B42" s="656"/>
      <c r="C42" s="656"/>
      <c r="D42" s="599" t="s">
        <v>143</v>
      </c>
      <c r="E42" s="586">
        <f>'20'!F42</f>
        <v>58926.09</v>
      </c>
      <c r="F42" s="586">
        <v>58926.09</v>
      </c>
      <c r="G42" s="549">
        <f t="shared" si="4"/>
        <v>0</v>
      </c>
      <c r="H42" s="536">
        <f>G42+'20'!H42</f>
        <v>0</v>
      </c>
      <c r="I42" s="531"/>
      <c r="J42" s="629">
        <f>H42/DAY(B2)</f>
        <v>0</v>
      </c>
      <c r="K42" s="467">
        <v>3228.5699999999997</v>
      </c>
      <c r="L42" s="408">
        <f t="shared" si="5"/>
        <v>-3228.5699999999997</v>
      </c>
      <c r="N42" s="413"/>
      <c r="O42" s="413"/>
    </row>
    <row r="43" spans="1:15">
      <c r="A43" s="655" t="s">
        <v>183</v>
      </c>
      <c r="B43" s="656"/>
      <c r="C43" s="656"/>
      <c r="D43" s="599" t="s">
        <v>143</v>
      </c>
      <c r="E43" s="586">
        <f>'20'!F43</f>
        <v>742160.87</v>
      </c>
      <c r="F43" s="586">
        <v>744481.03</v>
      </c>
      <c r="G43" s="549">
        <f t="shared" si="4"/>
        <v>2320.1600000000326</v>
      </c>
      <c r="H43" s="536">
        <f>G43+'20'!H43</f>
        <v>46227.599999999977</v>
      </c>
      <c r="I43" s="531"/>
      <c r="J43" s="629">
        <f>H43/DAY(B2)</f>
        <v>2201.3142857142848</v>
      </c>
      <c r="K43" s="467">
        <v>1595.679999999993</v>
      </c>
      <c r="L43" s="408">
        <f t="shared" si="5"/>
        <v>724.48000000003958</v>
      </c>
      <c r="N43" s="413"/>
      <c r="O43" s="413"/>
    </row>
    <row r="44" spans="1:15">
      <c r="A44" s="655" t="s">
        <v>184</v>
      </c>
      <c r="B44" s="656"/>
      <c r="C44" s="656"/>
      <c r="D44" s="599" t="s">
        <v>143</v>
      </c>
      <c r="E44" s="586">
        <f>'20'!F44</f>
        <v>0</v>
      </c>
      <c r="F44" s="586">
        <v>0</v>
      </c>
      <c r="G44" s="549">
        <f t="shared" si="4"/>
        <v>0</v>
      </c>
      <c r="H44" s="536">
        <f>G44+'20'!H44</f>
        <v>0</v>
      </c>
      <c r="I44" s="531"/>
      <c r="J44" s="629">
        <f>H44/DAY(B2)</f>
        <v>0</v>
      </c>
      <c r="K44" s="467">
        <v>0</v>
      </c>
      <c r="L44" s="408">
        <f t="shared" si="5"/>
        <v>0</v>
      </c>
      <c r="N44" s="413"/>
      <c r="O44" s="413"/>
    </row>
    <row r="45" spans="1:15">
      <c r="A45" s="655" t="s">
        <v>185</v>
      </c>
      <c r="B45" s="656"/>
      <c r="C45" s="656"/>
      <c r="D45" s="599" t="s">
        <v>143</v>
      </c>
      <c r="E45" s="586">
        <f>'20'!F45</f>
        <v>614</v>
      </c>
      <c r="F45" s="586">
        <v>614</v>
      </c>
      <c r="G45" s="549">
        <f t="shared" si="4"/>
        <v>0</v>
      </c>
      <c r="H45" s="536">
        <f>G45+'20'!H45</f>
        <v>-0.48000000000001819</v>
      </c>
      <c r="I45" s="531"/>
      <c r="J45" s="629">
        <f>H45/DAY(B2)</f>
        <v>-2.2857142857143724E-2</v>
      </c>
      <c r="K45" s="467">
        <v>0</v>
      </c>
      <c r="L45" s="408">
        <f t="shared" si="5"/>
        <v>0</v>
      </c>
      <c r="N45" s="413"/>
      <c r="O45" s="413"/>
    </row>
    <row r="46" spans="1:15">
      <c r="A46" s="655" t="s">
        <v>186</v>
      </c>
      <c r="B46" s="656"/>
      <c r="C46" s="656"/>
      <c r="D46" s="599" t="s">
        <v>143</v>
      </c>
      <c r="E46" s="586">
        <f>'20'!F46</f>
        <v>187.44</v>
      </c>
      <c r="F46" s="586">
        <v>187.44</v>
      </c>
      <c r="G46" s="549">
        <f t="shared" si="4"/>
        <v>0</v>
      </c>
      <c r="H46" s="536">
        <f>G46+'20'!H46</f>
        <v>-5.0000000000011369E-2</v>
      </c>
      <c r="I46" s="531"/>
      <c r="J46" s="629">
        <f>H46/DAY(B2)</f>
        <v>-2.3809523809529224E-3</v>
      </c>
      <c r="K46" s="467">
        <v>5.0000000000011369E-2</v>
      </c>
      <c r="L46" s="408">
        <f t="shared" si="5"/>
        <v>-5.0000000000011369E-2</v>
      </c>
      <c r="N46" s="413"/>
      <c r="O46" s="413"/>
    </row>
    <row r="47" spans="1:1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7190.3300000000927</v>
      </c>
      <c r="H47" s="536">
        <f>G47+'20'!H47</f>
        <v>67049.250000000044</v>
      </c>
      <c r="I47" s="531"/>
      <c r="J47" s="629">
        <f>H47/DAY(B2)</f>
        <v>3192.8214285714307</v>
      </c>
      <c r="K47" s="467">
        <v>10172.060000000001</v>
      </c>
      <c r="L47" s="408">
        <f t="shared" si="5"/>
        <v>-2981.7299999999086</v>
      </c>
      <c r="N47" s="413"/>
      <c r="O47" s="413"/>
    </row>
    <row r="48" spans="1:1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>
        <f t="shared" si="5"/>
        <v>0</v>
      </c>
      <c r="N48" s="413"/>
      <c r="O48" s="413"/>
    </row>
    <row r="49" spans="1:15">
      <c r="A49" s="655" t="s">
        <v>175</v>
      </c>
      <c r="B49" s="678"/>
      <c r="C49" s="678"/>
      <c r="D49" s="599" t="s">
        <v>143</v>
      </c>
      <c r="E49" s="586">
        <f>'20'!F49</f>
        <v>211685.61</v>
      </c>
      <c r="F49" s="586">
        <v>214778.53</v>
      </c>
      <c r="G49" s="549">
        <f t="shared" ref="G49:G58" si="6">F49-E49</f>
        <v>3092.9200000000128</v>
      </c>
      <c r="H49" s="536">
        <f>G49+'20'!H49</f>
        <v>62373.53</v>
      </c>
      <c r="I49" s="531"/>
      <c r="J49" s="629">
        <f>H49/DAY(B2)</f>
        <v>2970.1680952380952</v>
      </c>
      <c r="K49" s="467">
        <v>0</v>
      </c>
      <c r="L49" s="408">
        <f t="shared" si="5"/>
        <v>3092.9200000000128</v>
      </c>
      <c r="N49" s="413"/>
      <c r="O49" s="413"/>
    </row>
    <row r="50" spans="1:15">
      <c r="A50" s="655" t="s">
        <v>189</v>
      </c>
      <c r="B50" s="678"/>
      <c r="C50" s="678"/>
      <c r="D50" s="599" t="s">
        <v>143</v>
      </c>
      <c r="E50" s="586">
        <f>'20'!F50</f>
        <v>356627.51</v>
      </c>
      <c r="F50" s="586">
        <v>357825.51</v>
      </c>
      <c r="G50" s="549">
        <f>F50-E50</f>
        <v>1198</v>
      </c>
      <c r="H50" s="536">
        <f>G50+'20'!H50</f>
        <v>21608.080000000016</v>
      </c>
      <c r="I50" s="531"/>
      <c r="J50" s="629">
        <f>H50/DAY(B2)</f>
        <v>1028.9561904761913</v>
      </c>
      <c r="K50" s="467">
        <v>700.86999999999534</v>
      </c>
      <c r="L50" s="408">
        <f t="shared" si="5"/>
        <v>497.13000000000466</v>
      </c>
      <c r="N50" s="413"/>
      <c r="O50" s="413"/>
    </row>
    <row r="51" spans="1:15">
      <c r="A51" s="655" t="s">
        <v>177</v>
      </c>
      <c r="B51" s="678"/>
      <c r="C51" s="678"/>
      <c r="D51" s="599" t="s">
        <v>143</v>
      </c>
      <c r="E51" s="586">
        <f>'20'!F51</f>
        <v>93773.48</v>
      </c>
      <c r="F51" s="586">
        <v>95230.83</v>
      </c>
      <c r="G51" s="549">
        <f t="shared" si="6"/>
        <v>1457.3500000000058</v>
      </c>
      <c r="H51" s="536">
        <f>G51+'20'!H51</f>
        <v>29072.720000000001</v>
      </c>
      <c r="I51" s="531"/>
      <c r="J51" s="629">
        <f>H51/DAY(B2)</f>
        <v>1384.4152380952382</v>
      </c>
      <c r="K51" s="467">
        <v>0</v>
      </c>
      <c r="L51" s="408">
        <f t="shared" si="5"/>
        <v>1457.3500000000058</v>
      </c>
      <c r="N51" s="413"/>
      <c r="O51" s="413"/>
    </row>
    <row r="52" spans="1:15">
      <c r="A52" s="655" t="s">
        <v>190</v>
      </c>
      <c r="B52" s="678"/>
      <c r="C52" s="678"/>
      <c r="D52" s="599" t="s">
        <v>143</v>
      </c>
      <c r="E52" s="586">
        <f>'20'!F52</f>
        <v>473214.79</v>
      </c>
      <c r="F52" s="586">
        <v>474960.75</v>
      </c>
      <c r="G52" s="549">
        <f t="shared" si="6"/>
        <v>1745.960000000021</v>
      </c>
      <c r="H52" s="536">
        <f>G52+'20'!H52</f>
        <v>39685.119999999995</v>
      </c>
      <c r="I52" s="531"/>
      <c r="J52" s="629">
        <f>H52/DAY(B2)</f>
        <v>1889.7676190476188</v>
      </c>
      <c r="K52" s="467">
        <v>985.97999999998137</v>
      </c>
      <c r="L52" s="408">
        <f t="shared" si="5"/>
        <v>759.98000000003958</v>
      </c>
      <c r="N52" s="413"/>
      <c r="O52" s="821"/>
    </row>
    <row r="53" spans="1:15">
      <c r="A53" s="655" t="s">
        <v>179</v>
      </c>
      <c r="B53" s="678"/>
      <c r="C53" s="678"/>
      <c r="D53" s="599" t="s">
        <v>143</v>
      </c>
      <c r="E53" s="586">
        <f>'20'!F53</f>
        <v>258349.83</v>
      </c>
      <c r="F53" s="586">
        <v>262473.69</v>
      </c>
      <c r="G53" s="549">
        <f t="shared" si="6"/>
        <v>4123.8600000000151</v>
      </c>
      <c r="H53" s="536">
        <f>G53+'20'!H53</f>
        <v>81408.72</v>
      </c>
      <c r="I53" s="531"/>
      <c r="J53" s="629">
        <f>H53/DAY(B2)</f>
        <v>3876.6057142857144</v>
      </c>
      <c r="K53" s="467">
        <v>107.60000000000036</v>
      </c>
      <c r="L53" s="408">
        <f t="shared" si="5"/>
        <v>4016.2600000000148</v>
      </c>
      <c r="N53" s="413"/>
      <c r="O53" s="413"/>
    </row>
    <row r="54" spans="1:15">
      <c r="A54" s="655" t="s">
        <v>191</v>
      </c>
      <c r="B54" s="678"/>
      <c r="C54" s="678"/>
      <c r="D54" s="599" t="s">
        <v>143</v>
      </c>
      <c r="E54" s="586">
        <f>'20'!F54</f>
        <v>5754.15</v>
      </c>
      <c r="F54" s="586">
        <v>5798.53</v>
      </c>
      <c r="G54" s="549">
        <f t="shared" si="6"/>
        <v>44.380000000000109</v>
      </c>
      <c r="H54" s="536">
        <f>G54+'20'!H54</f>
        <v>1151.9899999999998</v>
      </c>
      <c r="I54" s="531"/>
      <c r="J54" s="629">
        <f>H54/DAY(B2)</f>
        <v>54.856666666666655</v>
      </c>
      <c r="K54" s="467">
        <v>0</v>
      </c>
      <c r="L54" s="408">
        <f t="shared" si="5"/>
        <v>44.380000000000109</v>
      </c>
      <c r="N54" s="413"/>
      <c r="O54" s="413"/>
    </row>
    <row r="55" spans="1:15">
      <c r="A55" s="655" t="s">
        <v>192</v>
      </c>
      <c r="B55" s="678"/>
      <c r="C55" s="678"/>
      <c r="D55" s="599" t="s">
        <v>143</v>
      </c>
      <c r="E55" s="586">
        <f>'20'!F55</f>
        <v>39120.58</v>
      </c>
      <c r="F55" s="586">
        <v>39120.58</v>
      </c>
      <c r="G55" s="549">
        <f t="shared" si="6"/>
        <v>0</v>
      </c>
      <c r="H55" s="536">
        <f>G55+'20'!H55</f>
        <v>39120.310000000012</v>
      </c>
      <c r="I55" s="531"/>
      <c r="J55" s="629">
        <f>H55/DAY(B2)</f>
        <v>1862.8719047619054</v>
      </c>
      <c r="K55" s="467">
        <v>0</v>
      </c>
      <c r="L55" s="408">
        <f t="shared" si="5"/>
        <v>0</v>
      </c>
      <c r="N55" s="413"/>
      <c r="O55" s="413"/>
    </row>
    <row r="56" spans="1:15">
      <c r="A56" s="655" t="s">
        <v>193</v>
      </c>
      <c r="B56" s="678"/>
      <c r="C56" s="678"/>
      <c r="D56" s="599" t="s">
        <v>194</v>
      </c>
      <c r="E56" s="586">
        <f>'20'!F56</f>
        <v>557725.39</v>
      </c>
      <c r="F56" s="586">
        <v>557728.99</v>
      </c>
      <c r="G56" s="549">
        <f t="shared" si="6"/>
        <v>3.5999999999767169</v>
      </c>
      <c r="H56" s="536">
        <f>G56+'20'!H56</f>
        <v>39828.239999999991</v>
      </c>
      <c r="I56" s="531"/>
      <c r="J56" s="629">
        <f>H56/DAY(B2)</f>
        <v>1896.5828571428567</v>
      </c>
      <c r="K56" s="466">
        <v>0</v>
      </c>
      <c r="L56" s="408">
        <f t="shared" si="5"/>
        <v>3.5999999999767169</v>
      </c>
      <c r="N56" s="413"/>
      <c r="O56" s="413"/>
    </row>
    <row r="57" spans="1:15">
      <c r="A57" s="655" t="s">
        <v>183</v>
      </c>
      <c r="B57" s="678"/>
      <c r="C57" s="678"/>
      <c r="D57" s="599" t="s">
        <v>143</v>
      </c>
      <c r="E57" s="586">
        <f>'20'!F57</f>
        <v>0</v>
      </c>
      <c r="F57" s="586">
        <v>0</v>
      </c>
      <c r="G57" s="549">
        <f t="shared" si="6"/>
        <v>0</v>
      </c>
      <c r="H57" s="536">
        <f>G57+'20'!H57</f>
        <v>0</v>
      </c>
      <c r="I57" s="531"/>
      <c r="J57" s="629">
        <f>H57/DAY(B2)</f>
        <v>0</v>
      </c>
      <c r="K57" s="467">
        <v>0</v>
      </c>
      <c r="L57" s="408">
        <f t="shared" si="5"/>
        <v>0</v>
      </c>
      <c r="N57" s="413"/>
      <c r="O57" s="413"/>
    </row>
    <row r="58" spans="1:15">
      <c r="A58" s="655" t="s">
        <v>195</v>
      </c>
      <c r="B58" s="678"/>
      <c r="C58" s="678"/>
      <c r="D58" s="599" t="s">
        <v>143</v>
      </c>
      <c r="E58" s="586">
        <f>'20'!F58</f>
        <v>28607.77</v>
      </c>
      <c r="F58" s="586">
        <v>28851.11</v>
      </c>
      <c r="G58" s="549">
        <f t="shared" si="6"/>
        <v>243.34000000000015</v>
      </c>
      <c r="H58" s="536">
        <f>G58+'20'!H58</f>
        <v>3695.7000000000007</v>
      </c>
      <c r="I58" s="531"/>
      <c r="J58" s="629">
        <f>H58/DAY(B2)</f>
        <v>175.98571428571432</v>
      </c>
      <c r="K58" s="467">
        <v>0</v>
      </c>
      <c r="L58" s="408">
        <f t="shared" si="5"/>
        <v>243.34000000000015</v>
      </c>
      <c r="N58" s="413"/>
      <c r="O58" s="413"/>
    </row>
    <row r="59" spans="1:1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11909.410000000033</v>
      </c>
      <c r="H59" s="536">
        <f>G59+'20'!H59</f>
        <v>317944.41000000003</v>
      </c>
      <c r="I59" s="531">
        <f>G7-G60</f>
        <v>315.25999999987471</v>
      </c>
      <c r="J59" s="629">
        <f>H59/DAY(B2)</f>
        <v>15140.210000000001</v>
      </c>
      <c r="K59" s="467">
        <v>1794.4499999999771</v>
      </c>
      <c r="L59" s="408">
        <f t="shared" si="5"/>
        <v>10114.960000000056</v>
      </c>
      <c r="N59" s="413"/>
      <c r="O59" s="413"/>
    </row>
    <row r="60" spans="1:15">
      <c r="A60" s="655"/>
      <c r="B60" s="656"/>
      <c r="C60" s="656"/>
      <c r="D60" s="587" t="s">
        <v>196</v>
      </c>
      <c r="E60" s="587"/>
      <c r="F60" s="587"/>
      <c r="G60" s="557">
        <f>G47+G59</f>
        <v>19099.740000000125</v>
      </c>
      <c r="H60" s="536">
        <f>G60+'20'!H60</f>
        <v>402027.66000000009</v>
      </c>
      <c r="I60" s="531">
        <f>G13-G60</f>
        <v>-352.24000000035812</v>
      </c>
      <c r="J60" s="629">
        <f>H60/DAY(B2)</f>
        <v>19144.174285714289</v>
      </c>
      <c r="K60" s="467">
        <v>11966.509999999978</v>
      </c>
      <c r="L60" s="408">
        <f t="shared" si="5"/>
        <v>7133.2300000001469</v>
      </c>
      <c r="N60" s="413"/>
      <c r="O60" s="413"/>
    </row>
    <row r="61" spans="1:1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>
      <c r="A62" s="680" t="s">
        <v>106</v>
      </c>
      <c r="B62" s="681"/>
      <c r="C62" s="681"/>
      <c r="D62" s="587" t="s">
        <v>198</v>
      </c>
      <c r="E62" s="590">
        <f>'20'!F62</f>
        <v>20419.2</v>
      </c>
      <c r="F62" s="590">
        <v>20419.2</v>
      </c>
      <c r="G62" s="549">
        <f t="shared" ref="G62:G69" si="7">F62-E62</f>
        <v>0</v>
      </c>
      <c r="H62" s="536">
        <f>G62+'20'!H62</f>
        <v>2.0000000000436557E-2</v>
      </c>
      <c r="I62" s="591"/>
      <c r="J62" s="629">
        <f>H62/DAY(B2)</f>
        <v>9.5238095240174087E-4</v>
      </c>
      <c r="K62" s="467"/>
      <c r="L62" s="408"/>
      <c r="N62" s="413"/>
      <c r="O62" s="413"/>
    </row>
    <row r="63" spans="1:15">
      <c r="A63" s="680" t="s">
        <v>199</v>
      </c>
      <c r="B63" s="681"/>
      <c r="C63" s="681"/>
      <c r="D63" s="587" t="s">
        <v>198</v>
      </c>
      <c r="E63" s="590">
        <f>'20'!F63</f>
        <v>1219.9000000000001</v>
      </c>
      <c r="F63" s="590">
        <v>1229.1400000000001</v>
      </c>
      <c r="G63" s="549">
        <f t="shared" si="7"/>
        <v>9.2400000000000091</v>
      </c>
      <c r="H63" s="536">
        <f>G63+'20'!H63</f>
        <v>121.23000000000002</v>
      </c>
      <c r="I63" s="591"/>
      <c r="J63" s="629">
        <f>H63/DAY(B2)</f>
        <v>5.772857142857144</v>
      </c>
      <c r="K63" s="467"/>
      <c r="L63" s="408"/>
      <c r="N63" s="413"/>
      <c r="O63" s="413"/>
    </row>
    <row r="64" spans="1:15" ht="27.75">
      <c r="A64" s="1367" t="s">
        <v>107</v>
      </c>
      <c r="B64" s="1368"/>
      <c r="C64" s="1369"/>
      <c r="D64" s="599" t="s">
        <v>198</v>
      </c>
      <c r="E64" s="560">
        <f>'20'!F64</f>
        <v>106597.67</v>
      </c>
      <c r="F64" s="560">
        <v>107043.62</v>
      </c>
      <c r="G64" s="549">
        <f t="shared" si="7"/>
        <v>445.94999999999709</v>
      </c>
      <c r="H64" s="536">
        <f>G64+'20'!H64</f>
        <v>8620.2200000000012</v>
      </c>
      <c r="I64" s="556"/>
      <c r="J64" s="629">
        <f>H64/DAY(B2)</f>
        <v>410.48666666666674</v>
      </c>
      <c r="K64" s="467"/>
      <c r="L64" s="408"/>
      <c r="N64" s="413"/>
      <c r="O64" s="413"/>
    </row>
    <row r="65" spans="1:15" ht="27.75">
      <c r="A65" s="1367" t="s">
        <v>108</v>
      </c>
      <c r="B65" s="1368"/>
      <c r="C65" s="1369"/>
      <c r="D65" s="599" t="s">
        <v>198</v>
      </c>
      <c r="E65" s="560">
        <f>'20'!F65</f>
        <v>117260.84</v>
      </c>
      <c r="F65" s="560">
        <v>117693.6</v>
      </c>
      <c r="G65" s="549">
        <f t="shared" si="7"/>
        <v>432.76000000000931</v>
      </c>
      <c r="H65" s="536">
        <f>G65+'20'!H65</f>
        <v>8649.4800000000105</v>
      </c>
      <c r="I65" s="565"/>
      <c r="J65" s="629">
        <f>H65/DAY(B2)</f>
        <v>411.88000000000051</v>
      </c>
      <c r="K65" s="467"/>
      <c r="L65" s="408"/>
      <c r="N65" s="413"/>
      <c r="O65" s="413"/>
    </row>
    <row r="66" spans="1:15" ht="27.75">
      <c r="A66" s="1367" t="s">
        <v>109</v>
      </c>
      <c r="B66" s="1368"/>
      <c r="C66" s="1369"/>
      <c r="D66" s="599" t="s">
        <v>198</v>
      </c>
      <c r="E66" s="560">
        <f>'20'!F66</f>
        <v>9761.91</v>
      </c>
      <c r="F66" s="560">
        <v>10130.719999999999</v>
      </c>
      <c r="G66" s="549">
        <f t="shared" si="7"/>
        <v>368.80999999999949</v>
      </c>
      <c r="H66" s="536">
        <f>G66+'20'!H66</f>
        <v>7708.6299999999992</v>
      </c>
      <c r="I66" s="556"/>
      <c r="J66" s="629">
        <f>H66/DAY(B2)</f>
        <v>367.07761904761901</v>
      </c>
      <c r="K66" s="467"/>
      <c r="L66" s="408"/>
      <c r="N66" s="413"/>
      <c r="O66" s="413"/>
    </row>
    <row r="67" spans="1:15" ht="27.75">
      <c r="A67" s="1367" t="s">
        <v>110</v>
      </c>
      <c r="B67" s="1368"/>
      <c r="C67" s="1369"/>
      <c r="D67" s="599" t="s">
        <v>198</v>
      </c>
      <c r="E67" s="560">
        <f>'20'!F67</f>
        <v>181446.99</v>
      </c>
      <c r="F67" s="560">
        <v>182084.35</v>
      </c>
      <c r="G67" s="549">
        <f t="shared" si="7"/>
        <v>637.36000000001513</v>
      </c>
      <c r="H67" s="536">
        <f>G67+'20'!H67</f>
        <v>13843</v>
      </c>
      <c r="I67" s="565"/>
      <c r="J67" s="629">
        <f>H67/DAY(B2)</f>
        <v>659.19047619047615</v>
      </c>
      <c r="K67" s="468"/>
      <c r="L67" s="408"/>
      <c r="N67" s="413"/>
      <c r="O67" s="413"/>
    </row>
    <row r="68" spans="1:15" ht="27.75">
      <c r="A68" s="1367" t="s">
        <v>111</v>
      </c>
      <c r="B68" s="1368"/>
      <c r="C68" s="1369"/>
      <c r="D68" s="599" t="s">
        <v>198</v>
      </c>
      <c r="E68" s="560">
        <f>'20'!F68</f>
        <v>59762.080000000002</v>
      </c>
      <c r="F68" s="560">
        <v>60072.38</v>
      </c>
      <c r="G68" s="549">
        <f t="shared" si="7"/>
        <v>310.29999999999563</v>
      </c>
      <c r="H68" s="536">
        <f>G68+'20'!H68</f>
        <v>6448.4799999999959</v>
      </c>
      <c r="I68" s="592"/>
      <c r="J68" s="629">
        <f>H68/DAY(B2)</f>
        <v>307.07047619047597</v>
      </c>
      <c r="K68" s="469"/>
      <c r="L68" s="408"/>
      <c r="N68" s="413"/>
      <c r="O68" s="413"/>
    </row>
    <row r="69" spans="1:15" ht="27.75">
      <c r="A69" s="1367" t="s">
        <v>112</v>
      </c>
      <c r="B69" s="1368"/>
      <c r="C69" s="1369"/>
      <c r="D69" s="599" t="s">
        <v>198</v>
      </c>
      <c r="E69" s="560">
        <f>'20'!F69</f>
        <v>52354.65</v>
      </c>
      <c r="F69" s="560">
        <v>52646.38</v>
      </c>
      <c r="G69" s="549">
        <f t="shared" si="7"/>
        <v>291.72999999999593</v>
      </c>
      <c r="H69" s="536">
        <f>G69+'20'!H69</f>
        <v>6126.9499999999971</v>
      </c>
      <c r="I69" s="592"/>
      <c r="J69" s="629">
        <f>H69/DAY(B2)</f>
        <v>291.75952380952367</v>
      </c>
      <c r="K69" s="470"/>
      <c r="L69" s="408"/>
      <c r="N69" s="413"/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G70+'20'!H70</f>
        <v>0</v>
      </c>
      <c r="I70" s="594"/>
      <c r="J70" s="633"/>
      <c r="K70" s="470"/>
      <c r="L70" s="408"/>
      <c r="N70" s="413"/>
      <c r="O70" s="413"/>
    </row>
    <row r="71" spans="1:15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413"/>
      <c r="O71" s="413"/>
    </row>
    <row r="72" spans="1:15" ht="27.75">
      <c r="A72" s="1367" t="s">
        <v>202</v>
      </c>
      <c r="B72" s="1368"/>
      <c r="C72" s="1369"/>
      <c r="D72" s="599" t="s">
        <v>198</v>
      </c>
      <c r="E72" s="595">
        <f>'20'!F72</f>
        <v>847740</v>
      </c>
      <c r="F72" s="595">
        <v>847790</v>
      </c>
      <c r="G72" s="549">
        <f t="shared" ref="G72:G84" si="8">F72-E72</f>
        <v>50</v>
      </c>
      <c r="H72" s="536">
        <f>G72+'20'!H72</f>
        <v>1324</v>
      </c>
      <c r="I72" s="556"/>
      <c r="J72" s="629">
        <f>H72/DAY(B2)</f>
        <v>63.047619047619051</v>
      </c>
      <c r="K72" s="470"/>
      <c r="L72" s="408"/>
      <c r="N72" s="413"/>
      <c r="O72" s="413"/>
    </row>
    <row r="73" spans="1:15" ht="27.75">
      <c r="A73" s="1367" t="s">
        <v>203</v>
      </c>
      <c r="B73" s="1368"/>
      <c r="C73" s="1369"/>
      <c r="D73" s="599" t="s">
        <v>198</v>
      </c>
      <c r="E73" s="596">
        <f>'20'!F73</f>
        <v>885709</v>
      </c>
      <c r="F73" s="596">
        <v>885710</v>
      </c>
      <c r="G73" s="549">
        <f t="shared" si="8"/>
        <v>1</v>
      </c>
      <c r="H73" s="536">
        <f>G73+'20'!H73</f>
        <v>929</v>
      </c>
      <c r="I73" s="556"/>
      <c r="J73" s="629">
        <f>H73/DAY(B2)</f>
        <v>44.238095238095241</v>
      </c>
      <c r="K73" s="469"/>
      <c r="L73" s="408"/>
      <c r="N73" s="413"/>
      <c r="O73" s="413"/>
    </row>
    <row r="74" spans="1:15" ht="27.75">
      <c r="A74" s="1373" t="s">
        <v>204</v>
      </c>
      <c r="B74" s="1374"/>
      <c r="C74" s="1375"/>
      <c r="D74" s="599" t="s">
        <v>198</v>
      </c>
      <c r="E74" s="597">
        <f>'20'!F74</f>
        <v>882011</v>
      </c>
      <c r="F74" s="597">
        <v>882040</v>
      </c>
      <c r="G74" s="549">
        <f t="shared" si="8"/>
        <v>29</v>
      </c>
      <c r="H74" s="536">
        <f>G74+'20'!H74</f>
        <v>725</v>
      </c>
      <c r="I74" s="556"/>
      <c r="J74" s="629">
        <f>H74/DAY(B2)</f>
        <v>34.523809523809526</v>
      </c>
      <c r="K74" s="470"/>
      <c r="L74" s="408"/>
      <c r="N74" s="413"/>
      <c r="O74" s="413"/>
    </row>
    <row r="75" spans="1:15" ht="27.75">
      <c r="A75" s="1364" t="s">
        <v>205</v>
      </c>
      <c r="B75" s="1365"/>
      <c r="C75" s="1366"/>
      <c r="D75" s="599" t="s">
        <v>198</v>
      </c>
      <c r="E75" s="597">
        <f>'20'!F75</f>
        <v>735379</v>
      </c>
      <c r="F75" s="597">
        <v>735565</v>
      </c>
      <c r="G75" s="549">
        <f t="shared" si="8"/>
        <v>186</v>
      </c>
      <c r="H75" s="536">
        <f>G75+'20'!H75</f>
        <v>3924</v>
      </c>
      <c r="I75" s="556"/>
      <c r="J75" s="629">
        <f>H75/DAY(B2)</f>
        <v>186.85714285714286</v>
      </c>
      <c r="K75" s="469"/>
      <c r="L75" s="408"/>
      <c r="N75" s="413"/>
      <c r="O75" s="413"/>
    </row>
    <row r="76" spans="1:15" ht="27.75">
      <c r="A76" s="1364" t="s">
        <v>206</v>
      </c>
      <c r="B76" s="1365"/>
      <c r="C76" s="1366"/>
      <c r="D76" s="599" t="s">
        <v>198</v>
      </c>
      <c r="E76" s="596">
        <f>'20'!F76</f>
        <v>686140</v>
      </c>
      <c r="F76" s="803">
        <v>686230</v>
      </c>
      <c r="G76" s="549">
        <f t="shared" si="8"/>
        <v>90</v>
      </c>
      <c r="H76" s="536">
        <f>G76+'20'!H76</f>
        <v>3131</v>
      </c>
      <c r="I76" s="581"/>
      <c r="J76" s="629">
        <f>H76/DAY(B2)</f>
        <v>149.0952380952381</v>
      </c>
      <c r="K76" s="469"/>
      <c r="L76" s="408"/>
      <c r="N76" s="413"/>
      <c r="O76" s="413"/>
    </row>
    <row r="77" spans="1:15" ht="27.75">
      <c r="A77" s="1367" t="s">
        <v>207</v>
      </c>
      <c r="B77" s="1368"/>
      <c r="C77" s="1369"/>
      <c r="D77" s="599" t="s">
        <v>198</v>
      </c>
      <c r="E77" s="597">
        <f>'20'!F77</f>
        <v>696517</v>
      </c>
      <c r="F77" s="597">
        <v>696569</v>
      </c>
      <c r="G77" s="549">
        <f t="shared" si="8"/>
        <v>52</v>
      </c>
      <c r="H77" s="536">
        <f>G77+'20'!H77</f>
        <v>1175</v>
      </c>
      <c r="I77" s="581"/>
      <c r="J77" s="629">
        <f>H77/DAY(B2)</f>
        <v>55.952380952380949</v>
      </c>
      <c r="K77" s="469"/>
      <c r="L77" s="408"/>
      <c r="N77" s="413"/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97">
        <f>'20'!F78</f>
        <v>637957</v>
      </c>
      <c r="F78" s="597">
        <v>638284</v>
      </c>
      <c r="G78" s="549">
        <f t="shared" si="8"/>
        <v>327</v>
      </c>
      <c r="H78" s="536">
        <f>G78+'20'!H78</f>
        <v>7511</v>
      </c>
      <c r="I78" s="581"/>
      <c r="J78" s="629">
        <f>H78/DAY(B2)</f>
        <v>357.66666666666669</v>
      </c>
      <c r="K78" s="469"/>
      <c r="L78" s="408"/>
      <c r="N78" s="413"/>
      <c r="O78" s="413"/>
    </row>
    <row r="79" spans="1:15" ht="27.75">
      <c r="A79" s="1364" t="s">
        <v>97</v>
      </c>
      <c r="B79" s="1365"/>
      <c r="C79" s="1366"/>
      <c r="D79" s="600" t="s">
        <v>198</v>
      </c>
      <c r="E79" s="597">
        <f>'20'!F79</f>
        <v>807615</v>
      </c>
      <c r="F79" s="597">
        <v>807808</v>
      </c>
      <c r="G79" s="549">
        <f t="shared" si="8"/>
        <v>193</v>
      </c>
      <c r="H79" s="536">
        <f>G79+'20'!H79</f>
        <v>6037</v>
      </c>
      <c r="I79" s="581"/>
      <c r="J79" s="629">
        <f>H79/DAY(B2)</f>
        <v>287.47619047619048</v>
      </c>
      <c r="K79" s="469"/>
      <c r="L79" s="408"/>
      <c r="N79" s="413"/>
      <c r="O79" s="413"/>
    </row>
    <row r="80" spans="1:15" ht="27.75">
      <c r="A80" s="1364" t="s">
        <v>209</v>
      </c>
      <c r="B80" s="1365"/>
      <c r="C80" s="1366"/>
      <c r="D80" s="600" t="s">
        <v>198</v>
      </c>
      <c r="E80" s="596">
        <f>'20'!F80</f>
        <v>481733.16</v>
      </c>
      <c r="F80" s="596">
        <v>482026.4</v>
      </c>
      <c r="G80" s="549">
        <f t="shared" si="8"/>
        <v>293.24000000004889</v>
      </c>
      <c r="H80" s="536">
        <f>G80+'20'!H80</f>
        <v>4814.5599999999977</v>
      </c>
      <c r="I80" s="581"/>
      <c r="J80" s="629">
        <f>H80/DAY(B2)</f>
        <v>229.2647619047618</v>
      </c>
      <c r="K80" s="469"/>
      <c r="L80" s="408"/>
      <c r="N80" s="413"/>
      <c r="O80" s="413"/>
    </row>
    <row r="81" spans="1:15" ht="27.75">
      <c r="A81" s="1364" t="s">
        <v>210</v>
      </c>
      <c r="B81" s="1365"/>
      <c r="C81" s="1366"/>
      <c r="D81" s="600" t="s">
        <v>198</v>
      </c>
      <c r="E81" s="596">
        <f>'20'!F81</f>
        <v>621592.43999999994</v>
      </c>
      <c r="F81" s="596">
        <v>621695.69999999995</v>
      </c>
      <c r="G81" s="549">
        <f t="shared" si="8"/>
        <v>103.26000000000931</v>
      </c>
      <c r="H81" s="536">
        <f>G81+'20'!H81</f>
        <v>2441.6999999999534</v>
      </c>
      <c r="I81" s="581"/>
      <c r="J81" s="629">
        <f>H81/DAY(B2)</f>
        <v>116.27142857142636</v>
      </c>
      <c r="K81" s="469"/>
      <c r="L81" s="408"/>
      <c r="N81" s="413"/>
      <c r="O81" s="413"/>
    </row>
    <row r="82" spans="1:15" ht="27.75">
      <c r="A82" s="1364" t="s">
        <v>100</v>
      </c>
      <c r="B82" s="1365"/>
      <c r="C82" s="1366"/>
      <c r="D82" s="561" t="s">
        <v>143</v>
      </c>
      <c r="E82" s="598">
        <f>'20'!F82</f>
        <v>104956.96</v>
      </c>
      <c r="F82" s="598">
        <v>104986.35</v>
      </c>
      <c r="G82" s="549">
        <f t="shared" si="8"/>
        <v>29.389999999999418</v>
      </c>
      <c r="H82" s="536">
        <f>G82+'20'!H82</f>
        <v>548.35000000000582</v>
      </c>
      <c r="I82" s="562"/>
      <c r="J82" s="629">
        <f>H82/DAY(B2)</f>
        <v>26.111904761905038</v>
      </c>
      <c r="K82" s="469"/>
      <c r="L82" s="408"/>
      <c r="N82" s="413"/>
      <c r="O82" s="413"/>
    </row>
    <row r="83" spans="1:15" ht="27.75">
      <c r="A83" s="1364" t="s">
        <v>211</v>
      </c>
      <c r="B83" s="1365"/>
      <c r="C83" s="1366"/>
      <c r="D83" s="697" t="s">
        <v>143</v>
      </c>
      <c r="E83" s="587">
        <f>'20'!F83</f>
        <v>980657</v>
      </c>
      <c r="F83" s="587">
        <v>980884</v>
      </c>
      <c r="G83" s="549">
        <f t="shared" si="8"/>
        <v>227</v>
      </c>
      <c r="H83" s="536">
        <f>G83+'20'!H83</f>
        <v>7413</v>
      </c>
      <c r="I83" s="557"/>
      <c r="J83" s="629">
        <f>H83/DAY(B2)</f>
        <v>353</v>
      </c>
      <c r="K83" s="468"/>
      <c r="L83" s="408"/>
      <c r="N83" s="413"/>
      <c r="O83" s="821"/>
    </row>
    <row r="84" spans="1:15">
      <c r="A84" s="1256" t="s">
        <v>212</v>
      </c>
      <c r="B84" s="648"/>
      <c r="C84" s="648"/>
      <c r="D84" s="554" t="s">
        <v>143</v>
      </c>
      <c r="E84" s="704">
        <f>'20'!F84</f>
        <v>410227</v>
      </c>
      <c r="F84" s="704">
        <v>410764</v>
      </c>
      <c r="G84" s="549">
        <f t="shared" si="8"/>
        <v>537</v>
      </c>
      <c r="H84" s="536">
        <f>G84+'20'!H84</f>
        <v>13568</v>
      </c>
      <c r="I84" s="557"/>
      <c r="J84" s="629">
        <f>H84/DAY(B2)</f>
        <v>646.09523809523807</v>
      </c>
      <c r="K84" s="411"/>
      <c r="L84" s="408"/>
      <c r="N84" s="413"/>
      <c r="O84" s="413"/>
    </row>
    <row r="85" spans="1:15" s="410" customFormat="1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2117.8900000000576</v>
      </c>
      <c r="H85" s="536">
        <f>G85+'20'!H85</f>
        <v>49311.449999999983</v>
      </c>
      <c r="I85" s="557"/>
      <c r="J85" s="629">
        <f>H85/DAY(B2)</f>
        <v>2348.1642857142847</v>
      </c>
      <c r="K85" s="411"/>
      <c r="L85" s="409"/>
      <c r="N85" s="880"/>
      <c r="O85" s="821"/>
    </row>
    <row r="86" spans="1:15" s="835" customFormat="1">
      <c r="A86" s="830" t="s">
        <v>102</v>
      </c>
      <c r="B86" s="831"/>
      <c r="C86" s="831"/>
      <c r="D86" s="832" t="s">
        <v>194</v>
      </c>
      <c r="E86" s="728">
        <f>'20'!F86</f>
        <v>446118.36</v>
      </c>
      <c r="F86" s="728">
        <v>446252.4</v>
      </c>
      <c r="G86" s="805">
        <f t="shared" ref="G86:G90" si="9">F86-E86</f>
        <v>134.04000000003725</v>
      </c>
      <c r="H86" s="805">
        <f t="shared" ref="H86:H88" si="10">G86</f>
        <v>134.04000000003725</v>
      </c>
      <c r="I86" s="733"/>
      <c r="J86" s="807">
        <f>H86/DAY(B2)</f>
        <v>6.3828571428589171</v>
      </c>
      <c r="K86" s="833"/>
      <c r="L86" s="834"/>
      <c r="N86" s="881"/>
      <c r="O86" s="413"/>
    </row>
    <row r="87" spans="1:15" s="835" customFormat="1">
      <c r="A87" s="830" t="s">
        <v>103</v>
      </c>
      <c r="B87" s="831"/>
      <c r="C87" s="831"/>
      <c r="D87" s="832" t="s">
        <v>194</v>
      </c>
      <c r="E87" s="728">
        <f>'20'!F87</f>
        <v>78204.5</v>
      </c>
      <c r="F87" s="728">
        <v>78234.7</v>
      </c>
      <c r="G87" s="805">
        <f t="shared" si="9"/>
        <v>30.19999999999709</v>
      </c>
      <c r="H87" s="805">
        <f t="shared" si="10"/>
        <v>30.19999999999709</v>
      </c>
      <c r="I87" s="733"/>
      <c r="J87" s="807">
        <f>H87/DAY(B2)</f>
        <v>1.4380952380950995</v>
      </c>
      <c r="K87" s="833"/>
      <c r="L87" s="834"/>
      <c r="N87" s="881"/>
      <c r="O87" s="413"/>
    </row>
    <row r="88" spans="1:15" s="835" customFormat="1">
      <c r="A88" s="830" t="s">
        <v>104</v>
      </c>
      <c r="B88" s="831"/>
      <c r="C88" s="831"/>
      <c r="D88" s="832" t="s">
        <v>194</v>
      </c>
      <c r="E88" s="728">
        <f>'20'!F88</f>
        <v>145822.20000000001</v>
      </c>
      <c r="F88" s="728">
        <v>145876.79</v>
      </c>
      <c r="G88" s="805">
        <f t="shared" si="9"/>
        <v>54.589999999996508</v>
      </c>
      <c r="H88" s="805">
        <f t="shared" si="10"/>
        <v>54.589999999996508</v>
      </c>
      <c r="I88" s="733"/>
      <c r="J88" s="807">
        <f>H88/DAY(B2)</f>
        <v>2.5995238095236433</v>
      </c>
      <c r="K88" s="833"/>
      <c r="L88" s="834"/>
      <c r="N88" s="881"/>
      <c r="O88" s="413"/>
    </row>
    <row r="89" spans="1:15" s="835" customFormat="1">
      <c r="A89" s="830" t="s">
        <v>215</v>
      </c>
      <c r="B89" s="831"/>
      <c r="C89" s="831"/>
      <c r="D89" s="832" t="s">
        <v>194</v>
      </c>
      <c r="E89" s="728">
        <f>'20'!F89</f>
        <v>59052.5</v>
      </c>
      <c r="F89" s="728">
        <v>59136</v>
      </c>
      <c r="G89" s="805">
        <f t="shared" si="9"/>
        <v>83.5</v>
      </c>
      <c r="H89" s="805">
        <f>G89</f>
        <v>83.5</v>
      </c>
      <c r="I89" s="733"/>
      <c r="J89" s="807">
        <f>H89/DAY(B2)</f>
        <v>3.9761904761904763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28">
        <f>'20'!F90</f>
        <v>3034.8</v>
      </c>
      <c r="F90" s="728">
        <v>3039.3</v>
      </c>
      <c r="G90" s="805">
        <f t="shared" si="9"/>
        <v>4.5</v>
      </c>
      <c r="H90" s="805">
        <f>G90</f>
        <v>4.5</v>
      </c>
      <c r="I90" s="733"/>
      <c r="J90" s="807">
        <f>H90/DAY(B2)</f>
        <v>0.21428571428571427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880"/>
      <c r="O91" s="413"/>
    </row>
    <row r="92" spans="1:15" ht="27.75">
      <c r="A92" s="1388" t="s">
        <v>217</v>
      </c>
      <c r="B92" s="1389"/>
      <c r="C92" s="1390"/>
      <c r="D92" s="599" t="s">
        <v>155</v>
      </c>
      <c r="E92" s="560">
        <f>'20'!F92</f>
        <v>235607</v>
      </c>
      <c r="F92" s="560">
        <v>235692</v>
      </c>
      <c r="G92" s="549">
        <f t="shared" ref="G92:G93" si="11">F92-E92</f>
        <v>85</v>
      </c>
      <c r="H92" s="536">
        <f>G92+'20'!H92</f>
        <v>1790</v>
      </c>
      <c r="I92" s="556"/>
      <c r="J92" s="629">
        <f>H92/DAY(B2)</f>
        <v>85.238095238095241</v>
      </c>
      <c r="K92" s="468"/>
      <c r="L92" s="408"/>
      <c r="N92" s="413"/>
      <c r="O92" s="413"/>
    </row>
    <row r="93" spans="1:15" ht="27.75">
      <c r="A93" s="1388" t="s">
        <v>218</v>
      </c>
      <c r="B93" s="1389"/>
      <c r="C93" s="1390"/>
      <c r="D93" s="599" t="s">
        <v>155</v>
      </c>
      <c r="E93" s="560">
        <f>'20'!F93</f>
        <v>169744</v>
      </c>
      <c r="F93" s="560">
        <v>169843</v>
      </c>
      <c r="G93" s="549">
        <f t="shared" si="11"/>
        <v>99</v>
      </c>
      <c r="H93" s="536">
        <f>G93+'20'!H93</f>
        <v>2927</v>
      </c>
      <c r="I93" s="556"/>
      <c r="J93" s="629">
        <f>H93/DAY(B2)</f>
        <v>139.38095238095238</v>
      </c>
      <c r="K93" s="411"/>
      <c r="L93" s="408"/>
      <c r="N93" s="413"/>
      <c r="O93" s="413"/>
    </row>
    <row r="94" spans="1:15">
      <c r="A94" s="1419" t="s">
        <v>219</v>
      </c>
      <c r="B94" s="1420"/>
      <c r="C94" s="1421"/>
      <c r="D94" s="599"/>
      <c r="E94" s="560">
        <f>'20'!F94</f>
        <v>0</v>
      </c>
      <c r="F94" s="560"/>
      <c r="G94" s="549">
        <f>G92+G93</f>
        <v>184</v>
      </c>
      <c r="H94" s="536">
        <f>G94+'20'!H94</f>
        <v>4443</v>
      </c>
      <c r="I94" s="556"/>
      <c r="J94" s="629">
        <f>H94/DAY(B2)</f>
        <v>211.57142857142858</v>
      </c>
      <c r="K94" s="411"/>
      <c r="L94" s="408"/>
      <c r="N94" s="413"/>
      <c r="O94" s="413"/>
    </row>
    <row r="95" spans="1:15" ht="27.75">
      <c r="A95" s="1388" t="s">
        <v>220</v>
      </c>
      <c r="B95" s="1389"/>
      <c r="C95" s="1390"/>
      <c r="D95" s="599" t="s">
        <v>155</v>
      </c>
      <c r="E95" s="560">
        <f>'20'!F95</f>
        <v>405127</v>
      </c>
      <c r="F95" s="560">
        <v>405202</v>
      </c>
      <c r="G95" s="549">
        <f t="shared" ref="G95:G100" si="12">F95-E95</f>
        <v>75</v>
      </c>
      <c r="H95" s="536">
        <f>G95+'20'!H95</f>
        <v>1537</v>
      </c>
      <c r="I95" s="556"/>
      <c r="J95" s="629">
        <f>H95/DAY(B2)</f>
        <v>73.19047619047619</v>
      </c>
      <c r="K95" s="411"/>
      <c r="L95" s="408"/>
      <c r="N95" s="413"/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'20'!F96</f>
        <v>100278</v>
      </c>
      <c r="F96" s="560">
        <v>100295</v>
      </c>
      <c r="G96" s="549">
        <f t="shared" si="12"/>
        <v>17</v>
      </c>
      <c r="H96" s="536">
        <f>G96+'20'!H96</f>
        <v>374</v>
      </c>
      <c r="I96" s="556"/>
      <c r="J96" s="629">
        <f>H96/DAY(B2)</f>
        <v>17.80952380952381</v>
      </c>
      <c r="K96" s="466"/>
      <c r="L96" s="408"/>
      <c r="N96" s="413"/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60">
        <f>'20'!F97</f>
        <v>95437</v>
      </c>
      <c r="F97" s="560">
        <v>95453</v>
      </c>
      <c r="G97" s="549">
        <f t="shared" si="12"/>
        <v>16</v>
      </c>
      <c r="H97" s="536">
        <f>G97+'20'!H97</f>
        <v>426</v>
      </c>
      <c r="I97" s="556"/>
      <c r="J97" s="629">
        <f>H97/DAY(B2)</f>
        <v>20.285714285714285</v>
      </c>
      <c r="K97" s="471"/>
      <c r="L97" s="408"/>
      <c r="N97" s="413"/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60">
        <f>'20'!F98</f>
        <v>144936</v>
      </c>
      <c r="F98" s="560">
        <v>144965</v>
      </c>
      <c r="G98" s="549">
        <f t="shared" si="12"/>
        <v>29</v>
      </c>
      <c r="H98" s="536">
        <f>G98+'20'!H98</f>
        <v>1158</v>
      </c>
      <c r="I98" s="556"/>
      <c r="J98" s="629">
        <f>H98/DAY(B2)</f>
        <v>55.142857142857146</v>
      </c>
      <c r="K98" s="411"/>
      <c r="L98" s="408"/>
      <c r="N98" s="413"/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60">
        <f>'20'!F99</f>
        <v>5772</v>
      </c>
      <c r="F99" s="560">
        <v>5787</v>
      </c>
      <c r="G99" s="549">
        <f t="shared" si="12"/>
        <v>15</v>
      </c>
      <c r="H99" s="536">
        <f>G99+'20'!H99</f>
        <v>285</v>
      </c>
      <c r="I99" s="556"/>
      <c r="J99" s="629">
        <f>H99/DAY(B2)</f>
        <v>13.571428571428571</v>
      </c>
      <c r="K99" s="411"/>
      <c r="L99" s="408"/>
      <c r="N99" s="413"/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60">
        <f>'20'!F100</f>
        <v>4142</v>
      </c>
      <c r="F100" s="560">
        <v>4159</v>
      </c>
      <c r="G100" s="549">
        <f t="shared" si="12"/>
        <v>17</v>
      </c>
      <c r="H100" s="536">
        <f>G100+'20'!H100</f>
        <v>195</v>
      </c>
      <c r="I100" s="556"/>
      <c r="J100" s="629">
        <f>H100/DAY(B2)</f>
        <v>9.2857142857142865</v>
      </c>
      <c r="K100" s="411"/>
      <c r="L100" s="408"/>
      <c r="N100" s="413"/>
      <c r="O100" s="413"/>
    </row>
    <row r="101" spans="1:15">
      <c r="A101" s="1419" t="s">
        <v>227</v>
      </c>
      <c r="B101" s="1420"/>
      <c r="C101" s="1421"/>
      <c r="D101" s="600"/>
      <c r="E101" s="600"/>
      <c r="F101" s="600"/>
      <c r="G101" s="601">
        <f>SUM(G95:G100)</f>
        <v>169</v>
      </c>
      <c r="H101" s="536">
        <f>G101+'20'!H101</f>
        <v>3975</v>
      </c>
      <c r="I101" s="602"/>
      <c r="J101" s="629">
        <f>H101/DAY(B2)</f>
        <v>189.28571428571428</v>
      </c>
      <c r="K101" s="411"/>
      <c r="L101" s="408"/>
      <c r="N101" s="413"/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>
      <c r="A103" s="1422" t="s">
        <v>229</v>
      </c>
      <c r="B103" s="1423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>
      <c r="A104" s="1380" t="s">
        <v>230</v>
      </c>
      <c r="B104" s="1381"/>
      <c r="C104" s="1250"/>
      <c r="D104" s="699" t="s">
        <v>155</v>
      </c>
      <c r="E104" s="608">
        <f>'20'!F104</f>
        <v>7010</v>
      </c>
      <c r="F104" s="608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4.666666666666667</v>
      </c>
      <c r="N104" s="493"/>
      <c r="O104" s="413"/>
    </row>
    <row r="105" spans="1:15" s="481" customFormat="1" ht="27.75">
      <c r="A105" s="1380" t="s">
        <v>77</v>
      </c>
      <c r="B105" s="1381"/>
      <c r="C105" s="1250"/>
      <c r="D105" s="699" t="s">
        <v>155</v>
      </c>
      <c r="E105" s="610">
        <f>'20'!F105</f>
        <v>35075</v>
      </c>
      <c r="F105" s="610">
        <v>35082</v>
      </c>
      <c r="G105" s="608">
        <f t="shared" ref="G105:G106" si="13">F105-E105</f>
        <v>7</v>
      </c>
      <c r="H105" s="609">
        <f>SUM(G105+'1'!G77)</f>
        <v>68</v>
      </c>
      <c r="I105" s="608"/>
      <c r="J105" s="635">
        <f>H105/DAY(B2)</f>
        <v>3.2380952380952381</v>
      </c>
      <c r="N105" s="493"/>
      <c r="O105" s="413"/>
    </row>
    <row r="106" spans="1:15" s="481" customFormat="1" ht="27.75">
      <c r="A106" s="1380" t="s">
        <v>78</v>
      </c>
      <c r="B106" s="1424"/>
      <c r="C106" s="1381"/>
      <c r="D106" s="699" t="s">
        <v>155</v>
      </c>
      <c r="E106" s="608">
        <f>'20'!F106</f>
        <v>19023</v>
      </c>
      <c r="F106" s="608">
        <v>19030</v>
      </c>
      <c r="G106" s="608">
        <f t="shared" si="13"/>
        <v>7</v>
      </c>
      <c r="H106" s="609">
        <f>SUM(G106+'1'!G78)</f>
        <v>376</v>
      </c>
      <c r="I106" s="608"/>
      <c r="J106" s="635">
        <f>H106/DAY(B2)</f>
        <v>17.904761904761905</v>
      </c>
      <c r="N106" s="493"/>
      <c r="O106" s="413"/>
    </row>
    <row r="107" spans="1:15" s="481" customFormat="1" ht="27.75">
      <c r="A107" s="1382" t="s">
        <v>213</v>
      </c>
      <c r="B107" s="1383"/>
      <c r="C107" s="1250"/>
      <c r="D107" s="699"/>
      <c r="E107" s="608">
        <f>'20'!F107</f>
        <v>0</v>
      </c>
      <c r="F107" s="608"/>
      <c r="G107" s="608">
        <f>SUM(G104:G106)</f>
        <v>14</v>
      </c>
      <c r="H107" s="609">
        <f>SUM(G107+'1'!G79)</f>
        <v>201</v>
      </c>
      <c r="I107" s="608"/>
      <c r="J107" s="635">
        <f>H107/DAY(B2)</f>
        <v>9.5714285714285712</v>
      </c>
      <c r="N107" s="493"/>
      <c r="O107" s="413"/>
    </row>
    <row r="108" spans="1:15" s="481" customFormat="1" ht="27.75">
      <c r="A108" s="1386" t="s">
        <v>79</v>
      </c>
      <c r="B108" s="1387"/>
      <c r="C108" s="1250"/>
      <c r="D108" s="699" t="s">
        <v>155</v>
      </c>
      <c r="E108" s="608">
        <f>'20'!F108</f>
        <v>0</v>
      </c>
      <c r="F108" s="608"/>
      <c r="G108" s="608"/>
      <c r="H108" s="609"/>
      <c r="I108" s="608"/>
      <c r="J108" s="635"/>
      <c r="N108" s="493"/>
      <c r="O108" s="413"/>
    </row>
    <row r="109" spans="1:15" s="481" customFormat="1" ht="27.75">
      <c r="A109" s="1380" t="s">
        <v>231</v>
      </c>
      <c r="B109" s="1381"/>
      <c r="C109" s="1250"/>
      <c r="D109" s="699" t="s">
        <v>155</v>
      </c>
      <c r="E109" s="608">
        <f>'20'!F109</f>
        <v>54105</v>
      </c>
      <c r="F109" s="608">
        <v>54146</v>
      </c>
      <c r="G109" s="608">
        <f>F109-E109</f>
        <v>41</v>
      </c>
      <c r="H109" s="609">
        <f>SUM(G109+'1'!G81)</f>
        <v>170</v>
      </c>
      <c r="I109" s="608"/>
      <c r="J109" s="635">
        <f>H109/DAY(B2)</f>
        <v>8.0952380952380949</v>
      </c>
      <c r="N109" s="493"/>
      <c r="O109" s="413"/>
    </row>
    <row r="110" spans="1:15" s="481" customFormat="1" ht="27.75">
      <c r="A110" s="1380" t="s">
        <v>232</v>
      </c>
      <c r="B110" s="1381"/>
      <c r="C110" s="1250"/>
      <c r="D110" s="699" t="s">
        <v>155</v>
      </c>
      <c r="E110" s="608">
        <f>'20'!F110</f>
        <v>27973</v>
      </c>
      <c r="F110" s="608">
        <v>27994</v>
      </c>
      <c r="G110" s="608">
        <f t="shared" ref="G110:G111" si="14">F110-E110</f>
        <v>21</v>
      </c>
      <c r="H110" s="609">
        <f>SUM(G110+'1'!G82)</f>
        <v>44</v>
      </c>
      <c r="I110" s="608"/>
      <c r="J110" s="635">
        <f>H110/DAY(B2)</f>
        <v>2.0952380952380953</v>
      </c>
      <c r="N110" s="493"/>
      <c r="O110" s="413"/>
    </row>
    <row r="111" spans="1:15" s="481" customFormat="1" ht="27.75">
      <c r="A111" s="1380" t="s">
        <v>233</v>
      </c>
      <c r="B111" s="1381"/>
      <c r="C111" s="1250"/>
      <c r="D111" s="699" t="s">
        <v>155</v>
      </c>
      <c r="E111" s="608">
        <f>'20'!F111</f>
        <v>3677</v>
      </c>
      <c r="F111" s="608">
        <v>3694</v>
      </c>
      <c r="G111" s="608">
        <f t="shared" si="14"/>
        <v>17</v>
      </c>
      <c r="H111" s="609">
        <f>SUM(G111+'1'!G83)</f>
        <v>350</v>
      </c>
      <c r="I111" s="608"/>
      <c r="J111" s="635">
        <f>H111/DAY(B2)</f>
        <v>16.666666666666668</v>
      </c>
      <c r="N111" s="493"/>
      <c r="O111" s="413"/>
    </row>
    <row r="112" spans="1:15" s="481" customFormat="1" ht="27.75">
      <c r="A112" s="1384" t="s">
        <v>121</v>
      </c>
      <c r="B112" s="1385"/>
      <c r="C112" s="1250"/>
      <c r="D112" s="699"/>
      <c r="E112" s="608">
        <f>'20'!F112</f>
        <v>0</v>
      </c>
      <c r="F112" s="608"/>
      <c r="G112" s="608">
        <f>SUM(G109:G111)</f>
        <v>79</v>
      </c>
      <c r="H112" s="609">
        <f>SUM(G112+'1'!G84)</f>
        <v>525</v>
      </c>
      <c r="I112" s="608"/>
      <c r="J112" s="635">
        <f>H112/DAY(B2)</f>
        <v>25</v>
      </c>
      <c r="N112" s="493"/>
      <c r="O112" s="413"/>
    </row>
    <row r="113" spans="1:15" s="481" customFormat="1" ht="27.75">
      <c r="A113" s="1386" t="s">
        <v>234</v>
      </c>
      <c r="B113" s="1387"/>
      <c r="C113" s="1250"/>
      <c r="D113" s="699"/>
      <c r="E113" s="608">
        <f>'20'!F113</f>
        <v>0</v>
      </c>
      <c r="F113" s="608"/>
      <c r="G113" s="608"/>
      <c r="H113" s="609"/>
      <c r="I113" s="608"/>
      <c r="J113" s="635">
        <f>H113/DAY(B2)</f>
        <v>0</v>
      </c>
      <c r="N113" s="493"/>
      <c r="O113" s="413"/>
    </row>
    <row r="114" spans="1:15" s="481" customFormat="1" ht="27.75">
      <c r="A114" s="1380" t="s">
        <v>235</v>
      </c>
      <c r="B114" s="1381"/>
      <c r="C114" s="651"/>
      <c r="D114" s="699" t="s">
        <v>155</v>
      </c>
      <c r="E114" s="610">
        <f>'20'!F114</f>
        <v>9564</v>
      </c>
      <c r="F114" s="610">
        <v>9582</v>
      </c>
      <c r="G114" s="610">
        <f>F114-E114</f>
        <v>18</v>
      </c>
      <c r="H114" s="609">
        <f>SUM(G114+'1'!G91)</f>
        <v>18</v>
      </c>
      <c r="I114" s="608"/>
      <c r="J114" s="635">
        <f>H114/DAY(B2)</f>
        <v>0.8571428571428571</v>
      </c>
      <c r="N114" s="493"/>
      <c r="O114" s="413"/>
    </row>
    <row r="115" spans="1:15" s="481" customFormat="1" ht="27.75">
      <c r="A115" s="1380" t="s">
        <v>236</v>
      </c>
      <c r="B115" s="1381"/>
      <c r="C115" s="651"/>
      <c r="D115" s="699" t="s">
        <v>155</v>
      </c>
      <c r="E115" s="610">
        <f>'20'!F115</f>
        <v>7346</v>
      </c>
      <c r="F115" s="610">
        <v>7352</v>
      </c>
      <c r="G115" s="610">
        <f t="shared" ref="G115:G116" si="15">F115-E115</f>
        <v>6</v>
      </c>
      <c r="H115" s="609">
        <f>SUM(G115+'1'!G92)</f>
        <v>139</v>
      </c>
      <c r="I115" s="608"/>
      <c r="J115" s="635">
        <f>H115/DAY(B2)</f>
        <v>6.6190476190476186</v>
      </c>
      <c r="N115" s="493"/>
      <c r="O115" s="413"/>
    </row>
    <row r="116" spans="1:15" s="481" customFormat="1" ht="27.75">
      <c r="A116" s="1380" t="s">
        <v>237</v>
      </c>
      <c r="B116" s="1381"/>
      <c r="C116" s="651"/>
      <c r="D116" s="699" t="s">
        <v>155</v>
      </c>
      <c r="E116" s="610"/>
      <c r="F116" s="610"/>
      <c r="G116" s="610">
        <f t="shared" si="15"/>
        <v>0</v>
      </c>
      <c r="H116" s="609">
        <f>SUM(G116+'1'!G93)</f>
        <v>141</v>
      </c>
      <c r="I116" s="608"/>
      <c r="J116" s="635">
        <f>H116/DAY(B2)</f>
        <v>6.7142857142857144</v>
      </c>
      <c r="N116" s="493"/>
      <c r="O116" s="413"/>
    </row>
    <row r="117" spans="1:15" s="494" customFormat="1" ht="27.75">
      <c r="A117" s="1382" t="s">
        <v>213</v>
      </c>
      <c r="B117" s="1383"/>
      <c r="C117" s="651"/>
      <c r="D117" s="700"/>
      <c r="E117" s="610"/>
      <c r="F117" s="610"/>
      <c r="G117" s="610">
        <f>SUM(G114:G116)</f>
        <v>24</v>
      </c>
      <c r="H117" s="609">
        <f>SUM(G117+'1'!G95)</f>
        <v>84</v>
      </c>
      <c r="I117" s="610"/>
      <c r="J117" s="635">
        <f>H117/DAY(B2)</f>
        <v>4</v>
      </c>
      <c r="N117" s="522"/>
      <c r="O117" s="413"/>
    </row>
    <row r="118" spans="1:15" s="495" customFormat="1" ht="27.75">
      <c r="A118" s="1376" t="s">
        <v>238</v>
      </c>
      <c r="B118" s="1377"/>
      <c r="C118" s="1249"/>
      <c r="D118" s="701" t="s">
        <v>155</v>
      </c>
      <c r="E118" s="612"/>
      <c r="F118" s="612">
        <f>SUM(G19+G92)</f>
        <v>134</v>
      </c>
      <c r="G118" s="612">
        <f>SUM(G19+G92)</f>
        <v>134</v>
      </c>
      <c r="H118" s="609">
        <f>SUM(G118+'1'!G96)</f>
        <v>167</v>
      </c>
      <c r="I118" s="611"/>
      <c r="J118" s="636">
        <f>H118/DAY(B2)</f>
        <v>7.9523809523809526</v>
      </c>
      <c r="N118" s="882"/>
      <c r="O118" s="413"/>
    </row>
    <row r="119" spans="1:15" s="495" customFormat="1" ht="27.75">
      <c r="A119" s="1376" t="s">
        <v>239</v>
      </c>
      <c r="B119" s="1377"/>
      <c r="C119" s="1249"/>
      <c r="D119" s="701" t="s">
        <v>155</v>
      </c>
      <c r="E119" s="612"/>
      <c r="F119" s="612">
        <f>SUM(G95,G96,G97,G99,G100)</f>
        <v>140</v>
      </c>
      <c r="G119" s="612">
        <f>SUM(G95,G96,G97,G99,G100)</f>
        <v>140</v>
      </c>
      <c r="H119" s="609">
        <f>SUM(G119+'1'!G98)</f>
        <v>190</v>
      </c>
      <c r="I119" s="611"/>
      <c r="J119" s="636">
        <f>H119/DAY(B2)</f>
        <v>9.0476190476190474</v>
      </c>
      <c r="N119" s="882"/>
      <c r="O119" s="413"/>
    </row>
    <row r="120" spans="1:15" s="495" customFormat="1" ht="27.75">
      <c r="A120" s="1376" t="s">
        <v>240</v>
      </c>
      <c r="B120" s="1377"/>
      <c r="C120" s="1249"/>
      <c r="D120" s="701" t="s">
        <v>155</v>
      </c>
      <c r="E120" s="610"/>
      <c r="F120" s="610">
        <f>SUM(G112)</f>
        <v>79</v>
      </c>
      <c r="G120" s="610">
        <f>SUM(G112)</f>
        <v>79</v>
      </c>
      <c r="H120" s="609">
        <f>SUM(G120+'1'!G100)</f>
        <v>96</v>
      </c>
      <c r="I120" s="611"/>
      <c r="J120" s="636">
        <f>H120/DAY(B2)</f>
        <v>4.5714285714285712</v>
      </c>
      <c r="N120" s="882"/>
      <c r="O120" s="413"/>
    </row>
    <row r="121" spans="1:15" s="481" customFormat="1" ht="27.75">
      <c r="A121" s="1378"/>
      <c r="B121" s="1379"/>
      <c r="C121" s="1250"/>
      <c r="D121" s="637"/>
      <c r="E121" s="637"/>
      <c r="F121" s="637" t="s">
        <v>226</v>
      </c>
      <c r="G121" s="637"/>
      <c r="H121" s="638"/>
      <c r="I121" s="637"/>
      <c r="J121" s="639"/>
      <c r="N121" s="493"/>
      <c r="O121" s="413"/>
    </row>
    <row r="122" spans="1:15">
      <c r="A122" s="1416" t="s">
        <v>241</v>
      </c>
      <c r="B122" s="1417"/>
      <c r="C122" s="1418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54">
        <f>'20'!F123</f>
        <v>800460.84</v>
      </c>
      <c r="F123" s="554">
        <v>800703.85</v>
      </c>
      <c r="G123" s="549">
        <f t="shared" ref="G123:G127" si="16">F123-E123</f>
        <v>243.01000000000931</v>
      </c>
      <c r="H123" s="536">
        <f>G123+'20'!H123</f>
        <v>5279.7999999999302</v>
      </c>
      <c r="I123" s="602"/>
      <c r="J123" s="629">
        <f>H123/DAY(B2)</f>
        <v>251.41904761904431</v>
      </c>
      <c r="K123" s="411"/>
      <c r="L123" s="408"/>
      <c r="N123" s="413"/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703">
        <f>'20'!F124</f>
        <v>73582.3</v>
      </c>
      <c r="F124" s="703">
        <v>73582.3</v>
      </c>
      <c r="G124" s="549">
        <f t="shared" si="16"/>
        <v>0</v>
      </c>
      <c r="H124" s="536">
        <f>G124+'20'!H124</f>
        <v>0.10000000000582077</v>
      </c>
      <c r="I124" s="602"/>
      <c r="J124" s="629">
        <f>H124/DAY(B2)</f>
        <v>4.7619047621819417E-3</v>
      </c>
      <c r="K124" s="411"/>
      <c r="L124" s="408"/>
      <c r="N124" s="413"/>
      <c r="O124" s="413"/>
    </row>
    <row r="125" spans="1:15" ht="27.75">
      <c r="A125" s="1367" t="s">
        <v>244</v>
      </c>
      <c r="B125" s="1368"/>
      <c r="C125" s="1369"/>
      <c r="D125" s="599" t="s">
        <v>152</v>
      </c>
      <c r="E125" s="554">
        <f>'20'!F125</f>
        <v>137080.29</v>
      </c>
      <c r="F125" s="554">
        <v>137161.01999999999</v>
      </c>
      <c r="G125" s="549">
        <f t="shared" si="16"/>
        <v>80.729999999981374</v>
      </c>
      <c r="H125" s="536">
        <f>G125+'20'!H125</f>
        <v>1570.3499999999767</v>
      </c>
      <c r="I125" s="602"/>
      <c r="J125" s="629">
        <f>H125/DAY(B2)</f>
        <v>74.778571428570316</v>
      </c>
      <c r="K125" s="411"/>
      <c r="L125" s="408"/>
      <c r="N125" s="413"/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703">
        <f>'20'!F126</f>
        <v>58027.5</v>
      </c>
      <c r="F126" s="703">
        <v>58066</v>
      </c>
      <c r="G126" s="549">
        <f t="shared" si="16"/>
        <v>38.5</v>
      </c>
      <c r="H126" s="536">
        <f>G126+'20'!H126</f>
        <v>685</v>
      </c>
      <c r="I126" s="602"/>
      <c r="J126" s="629">
        <f>H126/DAY(B2)</f>
        <v>32.61904761904762</v>
      </c>
      <c r="K126" s="411"/>
      <c r="L126" s="408"/>
      <c r="N126" s="413"/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703">
        <f>'20'!F127</f>
        <v>8777.1</v>
      </c>
      <c r="F127" s="703">
        <v>8778.7000000000007</v>
      </c>
      <c r="G127" s="549">
        <f t="shared" si="16"/>
        <v>1.6000000000003638</v>
      </c>
      <c r="H127" s="536">
        <f>G127+'20'!H127</f>
        <v>72.700000000000728</v>
      </c>
      <c r="I127" s="556"/>
      <c r="J127" s="629">
        <f>H127/DAY(B2)</f>
        <v>3.4619047619047967</v>
      </c>
      <c r="K127" s="411"/>
      <c r="L127" s="408"/>
      <c r="N127" s="413"/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543.09999999995307</v>
      </c>
      <c r="H128" s="536">
        <f>G128+'20'!H128</f>
        <v>3406.2300000000596</v>
      </c>
      <c r="I128" s="556"/>
      <c r="J128" s="629">
        <f>H128/DAY(B2)</f>
        <v>162.20142857143142</v>
      </c>
      <c r="K128" s="391"/>
      <c r="L128" s="293"/>
      <c r="N128" s="395"/>
      <c r="O128" s="413"/>
    </row>
    <row r="129" spans="1:1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60">
        <f>'20'!F130</f>
        <v>0</v>
      </c>
      <c r="F130" s="560">
        <v>0</v>
      </c>
      <c r="G130" s="549">
        <f t="shared" ref="G130:G140" si="17">F130-E130</f>
        <v>0</v>
      </c>
      <c r="H130" s="536">
        <f>G130+'20'!H130</f>
        <v>0</v>
      </c>
      <c r="I130" s="556"/>
      <c r="J130" s="629">
        <f>H130/DAY(B2)</f>
        <v>0</v>
      </c>
      <c r="N130" s="413"/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60">
        <f>'20'!F131</f>
        <v>0</v>
      </c>
      <c r="F131" s="560">
        <v>0</v>
      </c>
      <c r="G131" s="549">
        <f t="shared" si="17"/>
        <v>0</v>
      </c>
      <c r="H131" s="536">
        <f>G131+'20'!H131</f>
        <v>0</v>
      </c>
      <c r="I131" s="556"/>
      <c r="J131" s="629">
        <f>H131/DAY(B2)</f>
        <v>0</v>
      </c>
      <c r="N131" s="413"/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618">
        <f>'20'!F132</f>
        <v>38841.050000000003</v>
      </c>
      <c r="F132" s="618">
        <v>38864.58</v>
      </c>
      <c r="G132" s="549">
        <f t="shared" si="17"/>
        <v>23.529999999998836</v>
      </c>
      <c r="H132" s="536">
        <f>G132+'20'!H132</f>
        <v>35.099999999998545</v>
      </c>
      <c r="I132" s="556"/>
      <c r="J132" s="629">
        <f>H132/DAY(B2)</f>
        <v>1.6714285714285022</v>
      </c>
      <c r="N132" s="413"/>
      <c r="O132" s="413"/>
    </row>
    <row r="133" spans="1:15" s="480" customFormat="1" ht="27.75">
      <c r="A133" s="1179" t="s">
        <v>253</v>
      </c>
      <c r="B133" s="1180"/>
      <c r="C133" s="1180"/>
      <c r="D133" s="704" t="s">
        <v>250</v>
      </c>
      <c r="E133" s="618">
        <f>'20'!F133</f>
        <v>299.02</v>
      </c>
      <c r="F133" s="618">
        <v>299.02</v>
      </c>
      <c r="G133" s="733">
        <f t="shared" si="17"/>
        <v>0</v>
      </c>
      <c r="H133" s="805">
        <f>G133+'20'!H133</f>
        <v>1.999999999998181E-2</v>
      </c>
      <c r="I133" s="1181">
        <f>G130+G131+G132+G133</f>
        <v>23.529999999998836</v>
      </c>
      <c r="J133" s="807">
        <f>H133/DAY(B2)</f>
        <v>9.5238095238008621E-4</v>
      </c>
      <c r="N133" s="813"/>
      <c r="O133" s="813"/>
    </row>
    <row r="134" spans="1:15" ht="27.75">
      <c r="A134" s="1252" t="s">
        <v>254</v>
      </c>
      <c r="B134" s="1253"/>
      <c r="C134" s="1253"/>
      <c r="D134" s="599" t="s">
        <v>250</v>
      </c>
      <c r="E134" s="618">
        <f>'20'!F134</f>
        <v>39951.050000000003</v>
      </c>
      <c r="F134" s="618">
        <v>39951.050000000003</v>
      </c>
      <c r="G134" s="549">
        <f t="shared" si="17"/>
        <v>0</v>
      </c>
      <c r="H134" s="536">
        <f>G134+'20'!H134</f>
        <v>216.05000000000291</v>
      </c>
      <c r="I134" s="556"/>
      <c r="J134" s="629">
        <f>H134/DAY(B2)</f>
        <v>10.288095238095377</v>
      </c>
      <c r="N134" s="413"/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618">
        <f>'20'!F135</f>
        <v>32423</v>
      </c>
      <c r="F135" s="618">
        <v>32423</v>
      </c>
      <c r="G135" s="549">
        <f t="shared" si="17"/>
        <v>0</v>
      </c>
      <c r="H135" s="536">
        <f>G135+'20'!H135</f>
        <v>255.61000000000058</v>
      </c>
      <c r="I135" s="556"/>
      <c r="J135" s="629">
        <f>H135/DAY(B2)</f>
        <v>12.17190476190479</v>
      </c>
      <c r="N135" s="413"/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618">
        <f>'20'!F136</f>
        <v>21935.87</v>
      </c>
      <c r="F136" s="618">
        <v>21935.87</v>
      </c>
      <c r="G136" s="549">
        <f t="shared" si="17"/>
        <v>0</v>
      </c>
      <c r="H136" s="536">
        <f>G136+'20'!H136</f>
        <v>134.16999999999825</v>
      </c>
      <c r="I136" s="556">
        <f>G134+G135+G136</f>
        <v>0</v>
      </c>
      <c r="J136" s="629">
        <f>H136/DAY(B2)</f>
        <v>6.3890476190475356</v>
      </c>
      <c r="N136" s="413"/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618">
        <f>'20'!F137</f>
        <v>25000.560000000001</v>
      </c>
      <c r="F137" s="618">
        <v>25010.42</v>
      </c>
      <c r="G137" s="549">
        <f t="shared" si="17"/>
        <v>9.8599999999969441</v>
      </c>
      <c r="H137" s="536">
        <f>G137+'20'!H137</f>
        <v>19.809999999997672</v>
      </c>
      <c r="I137" s="556"/>
      <c r="J137" s="629">
        <f>H137/DAY(B2)</f>
        <v>0.94333333333322245</v>
      </c>
      <c r="N137" s="413"/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618">
        <f>'20'!F138</f>
        <v>70057.8</v>
      </c>
      <c r="F138" s="618">
        <v>70057.8</v>
      </c>
      <c r="G138" s="549">
        <f t="shared" si="17"/>
        <v>0</v>
      </c>
      <c r="H138" s="536">
        <f>G138+'20'!H138</f>
        <v>51.430000000007567</v>
      </c>
      <c r="I138" s="556">
        <f>G137+G138</f>
        <v>9.8599999999969441</v>
      </c>
      <c r="J138" s="629">
        <f>H138/DAY(B2)</f>
        <v>2.4490476190479793</v>
      </c>
      <c r="N138" s="413"/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60">
        <f>'20'!F139</f>
        <v>1117.28</v>
      </c>
      <c r="F139" s="560">
        <v>1124.03</v>
      </c>
      <c r="G139" s="549">
        <f t="shared" si="17"/>
        <v>6.75</v>
      </c>
      <c r="H139" s="536">
        <f>G139+'20'!H139</f>
        <v>61.029999999999973</v>
      </c>
      <c r="I139" s="619"/>
      <c r="J139" s="629">
        <f>H139/DAY(B2)</f>
        <v>2.9061904761904751</v>
      </c>
      <c r="N139" s="413"/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60">
        <f>'20'!F140</f>
        <v>4333.53</v>
      </c>
      <c r="F140" s="560">
        <v>4333.53</v>
      </c>
      <c r="G140" s="549">
        <f t="shared" si="17"/>
        <v>0</v>
      </c>
      <c r="H140" s="536">
        <f>G140+'20'!H140</f>
        <v>101.11999999999989</v>
      </c>
      <c r="I140" s="619"/>
      <c r="J140" s="629">
        <f>H140/DAY(B2)</f>
        <v>4.8152380952380902</v>
      </c>
      <c r="N140" s="413"/>
      <c r="O140" s="413"/>
    </row>
    <row r="141" spans="1:15">
      <c r="A141" s="1397" t="s">
        <v>261</v>
      </c>
      <c r="B141" s="1398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>
      <c r="A142" s="1388" t="s">
        <v>262</v>
      </c>
      <c r="B142" s="1389"/>
      <c r="C142" s="1390"/>
      <c r="D142" s="599" t="s">
        <v>143</v>
      </c>
      <c r="E142" s="599"/>
      <c r="F142" s="599"/>
      <c r="G142" s="536">
        <f>G35+G43+G49+G57</f>
        <v>5413.0800000000454</v>
      </c>
      <c r="H142" s="536">
        <f>G142+'20'!H142</f>
        <v>108778.68</v>
      </c>
      <c r="I142" s="556"/>
      <c r="J142" s="629">
        <f>H142/DAY(B2)</f>
        <v>5179.9371428571421</v>
      </c>
      <c r="K142" s="411"/>
      <c r="L142" s="408"/>
      <c r="N142" s="413"/>
      <c r="O142" s="413"/>
    </row>
    <row r="143" spans="1:15" ht="27.75">
      <c r="A143" s="1388" t="s">
        <v>263</v>
      </c>
      <c r="B143" s="1389"/>
      <c r="C143" s="1390"/>
      <c r="D143" s="599" t="s">
        <v>24</v>
      </c>
      <c r="E143" s="587"/>
      <c r="F143" s="587"/>
      <c r="G143" s="620">
        <f>G142/G7</f>
        <v>0.27880916816894386</v>
      </c>
      <c r="H143" s="536">
        <f>G143+'20'!H143</f>
        <v>5.3957217941020321</v>
      </c>
      <c r="I143" s="621"/>
      <c r="J143" s="629">
        <f>H143/DAY(B2)</f>
        <v>0.25693913305247773</v>
      </c>
      <c r="K143" s="411"/>
      <c r="L143" s="408"/>
      <c r="N143" s="413"/>
      <c r="O143" s="413"/>
    </row>
    <row r="144" spans="1:15" ht="27.75">
      <c r="A144" s="1388" t="s">
        <v>264</v>
      </c>
      <c r="B144" s="1389"/>
      <c r="C144" s="1390"/>
      <c r="D144" s="599" t="s">
        <v>143</v>
      </c>
      <c r="E144" s="531"/>
      <c r="F144" s="531"/>
      <c r="G144" s="536">
        <f>G41+G42+G55+G56</f>
        <v>4111.3299999999763</v>
      </c>
      <c r="H144" s="536">
        <f>G144+'20'!H144</f>
        <v>89881.72</v>
      </c>
      <c r="I144" s="556"/>
      <c r="J144" s="629">
        <f>H144/DAY(B2)</f>
        <v>4280.0819047619052</v>
      </c>
      <c r="K144" s="411"/>
      <c r="L144" s="408"/>
      <c r="N144" s="413"/>
      <c r="O144" s="413"/>
    </row>
    <row r="145" spans="1:15" ht="27.75">
      <c r="A145" s="1388" t="s">
        <v>265</v>
      </c>
      <c r="B145" s="1389"/>
      <c r="C145" s="1390"/>
      <c r="D145" s="599" t="s">
        <v>24</v>
      </c>
      <c r="E145" s="531"/>
      <c r="F145" s="531"/>
      <c r="G145" s="620">
        <f>G144/G7</f>
        <v>0.21176049446304282</v>
      </c>
      <c r="H145" s="536">
        <f>G145+'20'!H145</f>
        <v>4.5870656147486661</v>
      </c>
      <c r="I145" s="621"/>
      <c r="J145" s="629">
        <f>H145/DAY(B2)</f>
        <v>0.21843169594041267</v>
      </c>
      <c r="K145" s="411"/>
      <c r="L145" s="408"/>
      <c r="N145" s="413"/>
      <c r="O145" s="413"/>
    </row>
    <row r="146" spans="1:15" ht="27.75">
      <c r="A146" s="1388" t="s">
        <v>266</v>
      </c>
      <c r="B146" s="1389"/>
      <c r="C146" s="1390"/>
      <c r="D146" s="599" t="s">
        <v>143</v>
      </c>
      <c r="E146" s="531"/>
      <c r="F146" s="531"/>
      <c r="G146" s="536">
        <f>G39+G53</f>
        <v>4123.8600000000151</v>
      </c>
      <c r="H146" s="536">
        <f>G146+'20'!H146</f>
        <v>85871.72</v>
      </c>
      <c r="I146" s="622"/>
      <c r="J146" s="629">
        <f>H146/DAY(B2)</f>
        <v>4089.129523809524</v>
      </c>
      <c r="K146" s="411"/>
      <c r="L146" s="408"/>
      <c r="N146" s="413"/>
      <c r="O146" s="413"/>
    </row>
    <row r="147" spans="1:15" ht="27.75">
      <c r="A147" s="1388" t="s">
        <v>267</v>
      </c>
      <c r="B147" s="1389"/>
      <c r="C147" s="1390"/>
      <c r="D147" s="599" t="s">
        <v>24</v>
      </c>
      <c r="E147" s="531"/>
      <c r="F147" s="531"/>
      <c r="G147" s="620">
        <f>G146/G7</f>
        <v>0.21240587174864872</v>
      </c>
      <c r="H147" s="536">
        <f>G147+'20'!H147</f>
        <v>4.3934117839151199</v>
      </c>
      <c r="I147" s="622"/>
      <c r="J147" s="629">
        <f>H147/DAY(B2)</f>
        <v>0.20921008494833904</v>
      </c>
      <c r="N147" s="413"/>
      <c r="O147" s="413"/>
    </row>
    <row r="148" spans="1:15" ht="27.75">
      <c r="A148" s="1388" t="s">
        <v>268</v>
      </c>
      <c r="B148" s="1389"/>
      <c r="C148" s="1390"/>
      <c r="D148" s="599" t="s">
        <v>194</v>
      </c>
      <c r="E148" s="531"/>
      <c r="F148" s="531"/>
      <c r="G148" s="536">
        <f>G38+G52</f>
        <v>1746.3400000000256</v>
      </c>
      <c r="H148" s="536">
        <f>G148+'20'!H148</f>
        <v>41781.5</v>
      </c>
      <c r="I148" s="556"/>
      <c r="J148" s="629">
        <f>H148/DAY(B2)</f>
        <v>1989.5952380952381</v>
      </c>
      <c r="K148" s="412"/>
      <c r="N148" s="413"/>
      <c r="O148" s="413"/>
    </row>
    <row r="149" spans="1:15" ht="27.75">
      <c r="A149" s="1388" t="s">
        <v>269</v>
      </c>
      <c r="B149" s="1389"/>
      <c r="C149" s="1390"/>
      <c r="D149" s="599" t="s">
        <v>24</v>
      </c>
      <c r="E149" s="531"/>
      <c r="F149" s="531"/>
      <c r="G149" s="620">
        <f>G148/G7</f>
        <v>8.9947978367243137E-2</v>
      </c>
      <c r="H149" s="536">
        <f>G149+'20'!H149</f>
        <v>2.1390647773822633</v>
      </c>
      <c r="I149" s="622"/>
      <c r="J149" s="629">
        <f>H149/DAY(B2)</f>
        <v>0.1018602274943935</v>
      </c>
      <c r="N149" s="413"/>
      <c r="O149" s="413"/>
    </row>
    <row r="150" spans="1:15" ht="27.75">
      <c r="A150" s="1388" t="s">
        <v>270</v>
      </c>
      <c r="B150" s="1389"/>
      <c r="C150" s="1390"/>
      <c r="D150" s="599" t="s">
        <v>194</v>
      </c>
      <c r="E150" s="531"/>
      <c r="F150" s="531"/>
      <c r="G150" s="536">
        <f>G36+G50</f>
        <v>1960.0600000000559</v>
      </c>
      <c r="H150" s="536">
        <f>G150+'20'!H150</f>
        <v>37502.040000000037</v>
      </c>
      <c r="I150" s="622"/>
      <c r="J150" s="629">
        <f>H150/DAY(B2)</f>
        <v>1785.8114285714303</v>
      </c>
      <c r="N150" s="413"/>
      <c r="O150" s="413"/>
    </row>
    <row r="151" spans="1:15" ht="27.75">
      <c r="A151" s="1388" t="s">
        <v>271</v>
      </c>
      <c r="B151" s="1389"/>
      <c r="C151" s="1390"/>
      <c r="D151" s="599" t="s">
        <v>24</v>
      </c>
      <c r="E151" s="531"/>
      <c r="F151" s="531"/>
      <c r="G151" s="620">
        <f>G150/G7</f>
        <v>0.10095596188514323</v>
      </c>
      <c r="H151" s="536">
        <f>G151+'20'!H151</f>
        <v>1.9199731135482212</v>
      </c>
      <c r="I151" s="556"/>
      <c r="J151" s="629">
        <f>H151/DAY(B2)</f>
        <v>9.1427291121343873E-2</v>
      </c>
      <c r="N151" s="413"/>
      <c r="O151" s="413"/>
    </row>
    <row r="152" spans="1:15" ht="27.75">
      <c r="A152" s="1388" t="s">
        <v>272</v>
      </c>
      <c r="B152" s="1389"/>
      <c r="C152" s="1390"/>
      <c r="D152" s="599" t="s">
        <v>194</v>
      </c>
      <c r="E152" s="531"/>
      <c r="F152" s="531"/>
      <c r="G152" s="536">
        <f>G37+G51</f>
        <v>1457.3500000000058</v>
      </c>
      <c r="H152" s="536">
        <f>G152+'20'!H152</f>
        <v>30523.72</v>
      </c>
      <c r="I152" s="556"/>
      <c r="J152" s="629">
        <f>H152/DAY(B2)</f>
        <v>1453.5104761904763</v>
      </c>
      <c r="N152" s="413"/>
      <c r="O152" s="413"/>
    </row>
    <row r="153" spans="1:15" ht="28.5" thickBot="1">
      <c r="A153" s="1394" t="s">
        <v>273</v>
      </c>
      <c r="B153" s="1395"/>
      <c r="C153" s="1396"/>
      <c r="D153" s="702" t="s">
        <v>24</v>
      </c>
      <c r="E153" s="642"/>
      <c r="F153" s="642"/>
      <c r="G153" s="643">
        <f>G152/G7</f>
        <v>7.506309554468224E-2</v>
      </c>
      <c r="H153" s="536">
        <f>G153+'20'!H153</f>
        <v>1.5622734974469479</v>
      </c>
      <c r="I153" s="645"/>
      <c r="J153" s="646">
        <f>H153/DAY(B2)</f>
        <v>7.4393976068902273E-2</v>
      </c>
      <c r="N153" s="413"/>
      <c r="O153" s="413"/>
    </row>
    <row r="154" spans="1:1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>
      <c r="A160" s="889" t="s">
        <v>274</v>
      </c>
      <c r="B160" s="890"/>
      <c r="C160" s="890"/>
      <c r="D160" s="587" t="s">
        <v>198</v>
      </c>
      <c r="E160" s="739">
        <f>'20'!F160</f>
        <v>27529.31</v>
      </c>
      <c r="F160" s="739">
        <v>27609.86</v>
      </c>
      <c r="G160" s="549">
        <f t="shared" ref="G160:G163" si="18">F160-E160</f>
        <v>80.549999999999272</v>
      </c>
      <c r="K160" s="407">
        <v>68.829999999999927</v>
      </c>
      <c r="L160" s="407">
        <f t="shared" ref="L160:L171" si="19">G160-K160</f>
        <v>11.719999999999345</v>
      </c>
    </row>
    <row r="161" spans="1:12" ht="21.75" customHeight="1">
      <c r="A161" s="889" t="s">
        <v>275</v>
      </c>
      <c r="B161" s="890"/>
      <c r="C161" s="890"/>
      <c r="D161" s="587" t="s">
        <v>198</v>
      </c>
      <c r="E161" s="739">
        <f>'20'!F161</f>
        <v>37656.910000000003</v>
      </c>
      <c r="F161" s="739">
        <v>38107.199999999997</v>
      </c>
      <c r="G161" s="549">
        <f t="shared" si="18"/>
        <v>450.2899999999936</v>
      </c>
      <c r="K161" s="407">
        <v>122.46000000000004</v>
      </c>
      <c r="L161" s="407">
        <f t="shared" si="19"/>
        <v>327.82999999999356</v>
      </c>
    </row>
    <row r="162" spans="1:12" ht="21.75" customHeight="1">
      <c r="A162" s="889" t="s">
        <v>276</v>
      </c>
      <c r="B162" s="890"/>
      <c r="C162" s="890"/>
      <c r="D162" s="587" t="s">
        <v>198</v>
      </c>
      <c r="E162" s="739">
        <f>'20'!F162</f>
        <v>10034.16</v>
      </c>
      <c r="F162" s="739">
        <v>10262.530000000001</v>
      </c>
      <c r="G162" s="549">
        <f t="shared" si="18"/>
        <v>228.3700000000008</v>
      </c>
      <c r="K162" s="407">
        <v>139.42000000000007</v>
      </c>
      <c r="L162" s="407">
        <f t="shared" si="19"/>
        <v>88.950000000000728</v>
      </c>
    </row>
    <row r="163" spans="1:12" ht="21.75" customHeight="1">
      <c r="A163" s="889" t="s">
        <v>277</v>
      </c>
      <c r="B163" s="890"/>
      <c r="C163" s="890"/>
      <c r="D163" s="587" t="s">
        <v>198</v>
      </c>
      <c r="E163" s="739">
        <f>'20'!F163</f>
        <v>4774.5600000000004</v>
      </c>
      <c r="F163" s="739">
        <v>4790.54</v>
      </c>
      <c r="G163" s="549">
        <f t="shared" si="18"/>
        <v>15.979999999999563</v>
      </c>
      <c r="K163" s="407">
        <v>49.659999999999968</v>
      </c>
      <c r="L163" s="407">
        <f t="shared" si="19"/>
        <v>-33.680000000000405</v>
      </c>
    </row>
    <row r="164" spans="1:12" ht="21.75" customHeight="1">
      <c r="A164" s="891" t="s">
        <v>106</v>
      </c>
      <c r="B164" s="681"/>
      <c r="C164" s="681"/>
      <c r="D164" s="587" t="s">
        <v>198</v>
      </c>
      <c r="E164" s="590">
        <f>E62</f>
        <v>20419.2</v>
      </c>
      <c r="F164" s="590">
        <f>F62</f>
        <v>20419.2</v>
      </c>
      <c r="G164" s="549">
        <f t="shared" ref="G164:G171" si="20">F164-E164</f>
        <v>0</v>
      </c>
      <c r="K164" s="407">
        <v>0</v>
      </c>
      <c r="L164" s="407">
        <f t="shared" si="19"/>
        <v>0</v>
      </c>
    </row>
    <row r="165" spans="1:12" ht="21.75" customHeight="1">
      <c r="A165" s="891" t="s">
        <v>199</v>
      </c>
      <c r="B165" s="681"/>
      <c r="C165" s="681"/>
      <c r="D165" s="587" t="s">
        <v>198</v>
      </c>
      <c r="E165" s="590">
        <f t="shared" ref="E165:E171" si="21">E63</f>
        <v>1219.9000000000001</v>
      </c>
      <c r="F165" s="590">
        <f t="shared" ref="F165:F171" si="22">F63</f>
        <v>1229.1400000000001</v>
      </c>
      <c r="G165" s="549">
        <f t="shared" si="20"/>
        <v>9.2400000000000091</v>
      </c>
      <c r="K165" s="407">
        <v>0</v>
      </c>
      <c r="L165" s="407">
        <f t="shared" si="19"/>
        <v>9.2400000000000091</v>
      </c>
    </row>
    <row r="166" spans="1:12" ht="21.75" customHeight="1">
      <c r="A166" s="1363" t="s">
        <v>107</v>
      </c>
      <c r="B166" s="1363"/>
      <c r="C166" s="1363"/>
      <c r="D166" s="599" t="s">
        <v>198</v>
      </c>
      <c r="E166" s="590">
        <f t="shared" si="21"/>
        <v>106597.67</v>
      </c>
      <c r="F166" s="590">
        <f t="shared" si="22"/>
        <v>107043.62</v>
      </c>
      <c r="G166" s="549">
        <f t="shared" si="20"/>
        <v>445.94999999999709</v>
      </c>
      <c r="K166" s="407">
        <v>201.76000000000204</v>
      </c>
      <c r="L166" s="407">
        <f t="shared" si="19"/>
        <v>244.18999999999505</v>
      </c>
    </row>
    <row r="167" spans="1:12" ht="21.75" customHeight="1">
      <c r="A167" s="1363" t="s">
        <v>108</v>
      </c>
      <c r="B167" s="1363"/>
      <c r="C167" s="1363"/>
      <c r="D167" s="599" t="s">
        <v>198</v>
      </c>
      <c r="E167" s="590">
        <f t="shared" si="21"/>
        <v>117260.84</v>
      </c>
      <c r="F167" s="590">
        <f t="shared" si="22"/>
        <v>117693.6</v>
      </c>
      <c r="G167" s="549">
        <f t="shared" si="20"/>
        <v>432.76000000000931</v>
      </c>
      <c r="K167" s="407">
        <v>191.63000000000466</v>
      </c>
      <c r="L167" s="407">
        <f t="shared" si="19"/>
        <v>241.13000000000466</v>
      </c>
    </row>
    <row r="168" spans="1:12" ht="21.75" customHeight="1">
      <c r="A168" s="1363" t="s">
        <v>109</v>
      </c>
      <c r="B168" s="1363"/>
      <c r="C168" s="1363"/>
      <c r="D168" s="599" t="s">
        <v>198</v>
      </c>
      <c r="E168" s="590">
        <f t="shared" si="21"/>
        <v>9761.91</v>
      </c>
      <c r="F168" s="590">
        <f t="shared" si="22"/>
        <v>10130.719999999999</v>
      </c>
      <c r="G168" s="549">
        <f t="shared" si="20"/>
        <v>368.80999999999949</v>
      </c>
      <c r="K168" s="407">
        <v>231.68000000000029</v>
      </c>
      <c r="L168" s="407">
        <f t="shared" si="19"/>
        <v>137.1299999999992</v>
      </c>
    </row>
    <row r="169" spans="1:12" ht="26.25" customHeight="1">
      <c r="A169" s="1363" t="s">
        <v>110</v>
      </c>
      <c r="B169" s="1363"/>
      <c r="C169" s="1363"/>
      <c r="D169" s="599" t="s">
        <v>198</v>
      </c>
      <c r="E169" s="590">
        <f t="shared" si="21"/>
        <v>181446.99</v>
      </c>
      <c r="F169" s="590">
        <f t="shared" si="22"/>
        <v>182084.35</v>
      </c>
      <c r="G169" s="549">
        <f t="shared" si="20"/>
        <v>637.36000000001513</v>
      </c>
      <c r="K169" s="407">
        <v>344.30000000000291</v>
      </c>
      <c r="L169" s="407">
        <f t="shared" si="19"/>
        <v>293.06000000001222</v>
      </c>
    </row>
    <row r="170" spans="1:12" ht="24" customHeight="1">
      <c r="A170" s="1363" t="s">
        <v>111</v>
      </c>
      <c r="B170" s="1363"/>
      <c r="C170" s="1363"/>
      <c r="D170" s="599" t="s">
        <v>198</v>
      </c>
      <c r="E170" s="590">
        <f t="shared" si="21"/>
        <v>59762.080000000002</v>
      </c>
      <c r="F170" s="590">
        <f t="shared" si="22"/>
        <v>60072.38</v>
      </c>
      <c r="G170" s="549">
        <f t="shared" si="20"/>
        <v>310.29999999999563</v>
      </c>
      <c r="K170" s="407">
        <v>140.90999999999985</v>
      </c>
      <c r="L170" s="407">
        <f t="shared" si="19"/>
        <v>169.38999999999578</v>
      </c>
    </row>
    <row r="171" spans="1:12" ht="27.75">
      <c r="A171" s="1363" t="s">
        <v>112</v>
      </c>
      <c r="B171" s="1363"/>
      <c r="C171" s="1363"/>
      <c r="D171" s="599" t="s">
        <v>198</v>
      </c>
      <c r="E171" s="590">
        <f t="shared" si="21"/>
        <v>52354.65</v>
      </c>
      <c r="F171" s="590">
        <f t="shared" si="22"/>
        <v>52646.38</v>
      </c>
      <c r="G171" s="549">
        <f t="shared" si="20"/>
        <v>291.72999999999593</v>
      </c>
      <c r="K171" s="407">
        <v>57.709999999999127</v>
      </c>
      <c r="L171" s="407">
        <f t="shared" si="19"/>
        <v>234.0199999999968</v>
      </c>
    </row>
    <row r="172" spans="1:12">
      <c r="G172" s="614">
        <f>SUM(G160:G171)</f>
        <v>3271.3400000000056</v>
      </c>
    </row>
    <row r="176" spans="1:12" ht="18.75" customHeight="1"/>
    <row r="177" spans="6:6" ht="21" customHeight="1">
      <c r="F177" s="614" t="s">
        <v>291</v>
      </c>
    </row>
    <row r="301" ht="21" customHeight="1"/>
    <row r="302" ht="21" customHeight="1"/>
    <row r="303" ht="21" customHeight="1"/>
    <row r="304" ht="21" customHeight="1"/>
    <row r="305" ht="21" customHeight="1"/>
    <row r="306" ht="21" customHeight="1"/>
    <row r="307" ht="21" customHeight="1"/>
    <row r="308" ht="21" customHeight="1"/>
    <row r="309" ht="21" customHeight="1"/>
    <row r="310" ht="21" customHeight="1"/>
    <row r="311" ht="21" customHeight="1"/>
    <row r="312" ht="21" customHeight="1"/>
    <row r="313" ht="21" customHeight="1"/>
    <row r="314" ht="21" customHeight="1"/>
    <row r="315" ht="21" customHeight="1"/>
    <row r="316" ht="21" customHeight="1"/>
    <row r="317" ht="21" customHeight="1"/>
    <row r="318" ht="21" customHeight="1"/>
    <row r="319" ht="21" customHeight="1"/>
    <row r="320" ht="21" customHeight="1"/>
    <row r="321" ht="21" customHeight="1"/>
    <row r="322" ht="21" customHeight="1"/>
    <row r="323" ht="21" customHeight="1"/>
    <row r="324" ht="21" customHeight="1"/>
    <row r="325" ht="21" customHeight="1"/>
    <row r="326" ht="21" customHeight="1"/>
    <row r="327" ht="21" customHeight="1"/>
    <row r="328" ht="21" customHeight="1"/>
    <row r="329" ht="21" customHeight="1"/>
    <row r="330" ht="21" customHeight="1"/>
    <row r="331" ht="21" customHeight="1"/>
    <row r="332" ht="21" customHeight="1"/>
    <row r="333" ht="21" customHeight="1"/>
    <row r="334" ht="21" customHeight="1"/>
    <row r="335" ht="21" customHeight="1"/>
    <row r="336" ht="21" customHeight="1"/>
    <row r="337" ht="21" customHeight="1"/>
    <row r="338" ht="21" customHeight="1"/>
    <row r="339" ht="21" customHeight="1"/>
    <row r="340" ht="21" customHeight="1"/>
    <row r="341" ht="21" customHeight="1"/>
    <row r="342" ht="21" customHeight="1"/>
    <row r="343" ht="21" customHeight="1"/>
    <row r="344" ht="21" customHeight="1"/>
    <row r="345" ht="21" customHeight="1"/>
    <row r="346" ht="21" customHeight="1"/>
    <row r="347" ht="21" customHeight="1"/>
    <row r="348" ht="21" customHeight="1"/>
    <row r="349" ht="21" customHeight="1"/>
    <row r="350" ht="21" customHeight="1"/>
    <row r="351" ht="21" customHeight="1"/>
    <row r="352" ht="21" customHeight="1"/>
    <row r="353" ht="21" customHeight="1"/>
    <row r="354" ht="21" customHeight="1"/>
    <row r="355" ht="21" customHeight="1"/>
    <row r="356" ht="21" customHeight="1"/>
    <row r="357" ht="21" customHeight="1"/>
    <row r="358" ht="21" customHeight="1"/>
    <row r="359" ht="21" customHeight="1"/>
    <row r="360" ht="21" customHeight="1"/>
    <row r="361" ht="21" customHeight="1"/>
    <row r="362" ht="21" customHeight="1"/>
    <row r="363" ht="21" customHeight="1"/>
    <row r="364" ht="21" customHeight="1"/>
    <row r="365" ht="21" customHeight="1"/>
    <row r="366" ht="21" customHeight="1"/>
    <row r="367" ht="21" customHeight="1"/>
    <row r="368" ht="21" customHeight="1"/>
    <row r="369" ht="21" customHeight="1"/>
    <row r="370" ht="21" customHeight="1"/>
    <row r="371" ht="21" customHeight="1"/>
    <row r="372" ht="21" customHeight="1"/>
    <row r="373" ht="21" customHeight="1"/>
    <row r="374" ht="21" customHeight="1"/>
    <row r="375" ht="21" customHeight="1"/>
    <row r="376" ht="21" customHeight="1"/>
    <row r="377" ht="21" customHeight="1"/>
    <row r="378" ht="21" customHeight="1"/>
    <row r="379" ht="21" customHeight="1"/>
    <row r="380" ht="21" customHeight="1"/>
    <row r="381" ht="21" customHeight="1"/>
    <row r="382" ht="21" customHeight="1"/>
    <row r="383" ht="21" customHeight="1"/>
    <row r="384" ht="21" customHeight="1"/>
    <row r="385" ht="21" customHeight="1"/>
    <row r="386" ht="21" customHeight="1"/>
    <row r="387" ht="21" customHeight="1"/>
    <row r="388" ht="21" customHeight="1"/>
    <row r="389" ht="21" customHeight="1"/>
    <row r="390" ht="21" customHeight="1"/>
    <row r="391" ht="21" customHeight="1"/>
    <row r="392" ht="21" customHeight="1"/>
    <row r="393" ht="21" customHeight="1"/>
    <row r="394" ht="21" customHeight="1"/>
    <row r="395" ht="21" customHeight="1"/>
    <row r="396" ht="21" customHeight="1"/>
    <row r="397" ht="21" customHeight="1"/>
    <row r="398" ht="21" customHeight="1"/>
    <row r="399" ht="21" customHeight="1"/>
    <row r="400" ht="21" customHeight="1"/>
    <row r="401" ht="21" customHeight="1"/>
    <row r="402" ht="21" customHeight="1"/>
    <row r="403" ht="21" customHeight="1"/>
    <row r="404" ht="21" customHeight="1"/>
    <row r="405" ht="21" customHeight="1"/>
    <row r="406" ht="21" customHeight="1"/>
    <row r="407" ht="21" customHeight="1"/>
    <row r="408" ht="21" customHeight="1"/>
    <row r="409" ht="21" customHeight="1"/>
    <row r="410" ht="21" customHeight="1"/>
    <row r="411" ht="21" customHeight="1"/>
    <row r="412" ht="21" customHeight="1"/>
    <row r="413" ht="21" customHeight="1"/>
    <row r="414" ht="21" customHeight="1"/>
    <row r="415" ht="21" customHeight="1"/>
    <row r="416" ht="21" customHeight="1"/>
    <row r="417" ht="21" customHeight="1"/>
    <row r="418" ht="21" customHeight="1"/>
    <row r="419" ht="21" customHeight="1"/>
    <row r="420" ht="21" customHeight="1"/>
    <row r="421" ht="21" customHeight="1"/>
    <row r="422" ht="21" customHeight="1"/>
    <row r="423" ht="21" customHeight="1"/>
    <row r="424" ht="21" customHeight="1"/>
    <row r="425" ht="21" customHeight="1"/>
    <row r="426" ht="21" customHeight="1"/>
    <row r="427" ht="21" customHeight="1"/>
    <row r="428" ht="21" customHeight="1"/>
    <row r="429" ht="21" customHeight="1"/>
    <row r="430" ht="21" customHeight="1"/>
    <row r="431" ht="21" customHeight="1"/>
    <row r="432" ht="21" customHeight="1"/>
    <row r="433" ht="21" customHeight="1"/>
    <row r="434" ht="21" customHeight="1"/>
    <row r="435" ht="21" customHeight="1"/>
    <row r="436" ht="21" customHeight="1"/>
    <row r="437" ht="21" customHeight="1"/>
    <row r="438" ht="21" customHeight="1"/>
    <row r="439" ht="21" customHeight="1"/>
    <row r="440" ht="21" customHeight="1"/>
    <row r="441" ht="21" customHeight="1"/>
    <row r="442" ht="21" customHeight="1"/>
    <row r="443" ht="21" customHeight="1"/>
    <row r="444" ht="21" customHeight="1"/>
    <row r="445" ht="21" customHeight="1"/>
    <row r="446" ht="21" customHeight="1"/>
    <row r="447" ht="21" customHeight="1"/>
    <row r="448" ht="21" customHeight="1"/>
    <row r="449" ht="21" customHeight="1"/>
    <row r="450" ht="21" customHeight="1"/>
    <row r="451" ht="21" customHeight="1"/>
    <row r="452" ht="21" customHeight="1"/>
    <row r="453" ht="21" customHeight="1"/>
    <row r="454" ht="21" customHeight="1"/>
    <row r="455" ht="21" customHeight="1"/>
    <row r="456" ht="21" customHeight="1"/>
    <row r="457" ht="21" customHeight="1"/>
    <row r="458" ht="21" customHeight="1"/>
    <row r="459" ht="21" customHeight="1"/>
    <row r="460" ht="21" customHeight="1"/>
    <row r="461" ht="21" customHeight="1"/>
    <row r="462" ht="21" customHeight="1"/>
    <row r="463" ht="21" customHeight="1"/>
    <row r="464" ht="21" customHeight="1"/>
    <row r="465" ht="21" customHeight="1"/>
    <row r="466" ht="21" customHeight="1"/>
    <row r="467" ht="21" customHeight="1"/>
    <row r="468" ht="21" customHeight="1"/>
    <row r="469" ht="21" customHeight="1"/>
    <row r="470" ht="21" customHeight="1"/>
    <row r="471" ht="21" customHeight="1"/>
    <row r="472" ht="21" customHeight="1"/>
    <row r="473" ht="21" customHeight="1"/>
    <row r="474" ht="21" customHeight="1"/>
    <row r="475" ht="21" customHeight="1"/>
    <row r="476" ht="21" customHeight="1"/>
    <row r="477" ht="21" customHeight="1"/>
    <row r="478" ht="21" customHeight="1"/>
    <row r="479" ht="21" customHeight="1"/>
    <row r="480" ht="21" customHeight="1"/>
    <row r="481" ht="21" customHeight="1"/>
    <row r="482" ht="21" customHeight="1"/>
    <row r="483" ht="21" customHeight="1"/>
    <row r="484" ht="21" customHeight="1"/>
    <row r="485" ht="21" customHeight="1"/>
    <row r="486" ht="21" customHeight="1"/>
    <row r="487" ht="21" customHeight="1"/>
    <row r="488" ht="21" customHeight="1"/>
    <row r="489" ht="21" customHeight="1"/>
    <row r="490" ht="21" customHeight="1"/>
    <row r="491" ht="21" customHeight="1"/>
    <row r="492" ht="21" customHeight="1"/>
    <row r="493" ht="21" customHeight="1"/>
    <row r="494" ht="21" customHeight="1"/>
    <row r="495" ht="21" customHeight="1"/>
    <row r="496" ht="21" customHeight="1"/>
    <row r="497" ht="21" customHeight="1"/>
    <row r="498" ht="21" customHeight="1"/>
    <row r="499" ht="21" customHeight="1"/>
    <row r="500" ht="21" customHeight="1"/>
    <row r="501" ht="21" customHeight="1"/>
    <row r="502" ht="21" customHeight="1"/>
    <row r="503" ht="21" customHeight="1"/>
    <row r="504" ht="21" customHeight="1"/>
    <row r="505" ht="21" customHeight="1"/>
    <row r="506" ht="21" customHeight="1"/>
    <row r="507" ht="21" customHeight="1"/>
    <row r="508" ht="21" customHeight="1"/>
    <row r="509" ht="21" customHeight="1"/>
    <row r="510" ht="21" customHeight="1"/>
    <row r="511" ht="21" customHeight="1"/>
    <row r="512" ht="21" customHeight="1"/>
    <row r="513" ht="21" customHeight="1"/>
    <row r="514" ht="21" customHeight="1"/>
    <row r="515" ht="21" customHeight="1"/>
    <row r="516" ht="21" customHeight="1"/>
    <row r="517" ht="21" customHeight="1"/>
    <row r="518" ht="21" customHeight="1"/>
    <row r="519" ht="21" customHeight="1"/>
    <row r="520" ht="21" customHeight="1"/>
    <row r="521" ht="21" customHeight="1"/>
    <row r="522" ht="21" customHeight="1"/>
    <row r="523" ht="21" customHeight="1"/>
    <row r="524" ht="21" customHeight="1"/>
    <row r="525" ht="21" customHeight="1"/>
    <row r="526" ht="21" customHeight="1"/>
    <row r="527" ht="21" customHeight="1"/>
    <row r="528" ht="21" customHeight="1"/>
    <row r="529" ht="21" customHeight="1"/>
    <row r="530" ht="21" customHeight="1"/>
    <row r="531" ht="21" customHeight="1"/>
    <row r="532" ht="21" customHeight="1"/>
    <row r="533" ht="21" customHeight="1"/>
    <row r="534" ht="21" customHeight="1"/>
    <row r="535" ht="21" customHeight="1"/>
    <row r="536" ht="21" customHeight="1"/>
    <row r="537" ht="21" customHeight="1"/>
    <row r="538" ht="21" customHeight="1"/>
    <row r="539" ht="21" customHeight="1"/>
    <row r="540" ht="21" customHeight="1"/>
    <row r="541" ht="21" customHeight="1"/>
    <row r="542" ht="21" customHeight="1"/>
    <row r="543" ht="21" customHeight="1"/>
    <row r="544" ht="21" customHeight="1"/>
    <row r="545" ht="21" customHeight="1"/>
    <row r="546" ht="21" customHeight="1"/>
    <row r="547" ht="21" customHeight="1"/>
    <row r="548" ht="21" customHeight="1"/>
    <row r="549" ht="21" customHeight="1"/>
    <row r="550" ht="21" customHeight="1"/>
    <row r="551" ht="21" customHeight="1"/>
    <row r="552" ht="21" customHeight="1"/>
    <row r="553" ht="21" customHeight="1"/>
    <row r="554" ht="21" customHeight="1"/>
    <row r="555" ht="21" customHeight="1"/>
    <row r="556" ht="21" customHeight="1"/>
    <row r="557" ht="21" customHeight="1"/>
    <row r="558" ht="21" customHeight="1"/>
    <row r="559" ht="21" customHeight="1"/>
    <row r="560" ht="21" customHeight="1"/>
    <row r="561" ht="21" customHeight="1"/>
    <row r="562" ht="21" customHeight="1"/>
    <row r="563" ht="21" customHeight="1"/>
    <row r="564" ht="21" customHeight="1"/>
    <row r="565" ht="21" customHeight="1"/>
    <row r="566" ht="21" customHeight="1"/>
    <row r="567" ht="21" customHeight="1"/>
    <row r="568" ht="21" customHeight="1"/>
    <row r="569" ht="21" customHeight="1"/>
    <row r="570" ht="21" customHeight="1"/>
    <row r="571" ht="21" customHeight="1"/>
    <row r="572" ht="21" customHeight="1"/>
    <row r="573" ht="21" customHeight="1"/>
    <row r="574" ht="21" customHeight="1"/>
    <row r="575" ht="21" customHeight="1"/>
    <row r="576" ht="21" customHeight="1"/>
    <row r="577" ht="21" customHeight="1"/>
    <row r="578" ht="21" customHeight="1"/>
    <row r="579" ht="21" customHeight="1"/>
    <row r="580" ht="21" customHeight="1"/>
    <row r="581" ht="21" customHeight="1"/>
    <row r="582" ht="21" customHeight="1"/>
    <row r="583" ht="21" customHeight="1"/>
    <row r="584" ht="21" customHeight="1"/>
    <row r="585" ht="21" customHeight="1"/>
    <row r="586" ht="21" customHeight="1"/>
    <row r="587" ht="21" customHeight="1"/>
    <row r="588" ht="21" customHeight="1"/>
    <row r="589" ht="21" customHeight="1"/>
    <row r="590" ht="21" customHeight="1"/>
    <row r="591" ht="21" customHeight="1"/>
    <row r="592" ht="21" customHeight="1"/>
    <row r="593" ht="21" customHeight="1"/>
    <row r="594" ht="21" customHeight="1"/>
    <row r="595" ht="21" customHeight="1"/>
    <row r="596" ht="21" customHeight="1"/>
    <row r="597" ht="21" customHeight="1"/>
    <row r="598" ht="21" customHeight="1"/>
    <row r="599" ht="21" customHeight="1"/>
    <row r="600" ht="21" customHeight="1"/>
    <row r="601" ht="21" customHeight="1"/>
    <row r="602" ht="21" customHeight="1"/>
    <row r="603" ht="21" customHeight="1"/>
    <row r="604" ht="21" customHeight="1"/>
    <row r="605" ht="21" customHeight="1"/>
    <row r="606" ht="21" customHeight="1"/>
    <row r="607" ht="21" customHeight="1"/>
    <row r="608" ht="21" customHeight="1"/>
    <row r="609" ht="21" customHeight="1"/>
    <row r="610" ht="21" customHeight="1"/>
    <row r="611" ht="21" customHeight="1"/>
    <row r="612" ht="21" customHeight="1"/>
    <row r="613" ht="21" customHeight="1"/>
    <row r="614" ht="21" customHeight="1"/>
    <row r="615" ht="21" customHeight="1"/>
    <row r="616" ht="21" customHeight="1"/>
    <row r="617" ht="21" customHeight="1"/>
    <row r="618" ht="21" customHeight="1"/>
    <row r="619" ht="21" customHeight="1"/>
    <row r="620" ht="21" customHeight="1"/>
    <row r="621" ht="21" customHeight="1"/>
    <row r="622" ht="21" customHeight="1"/>
    <row r="623" ht="21" customHeight="1"/>
    <row r="624" ht="21" customHeight="1"/>
    <row r="625" ht="21" customHeight="1"/>
    <row r="626" ht="21" customHeight="1"/>
    <row r="627" ht="21" customHeight="1"/>
    <row r="628" ht="21" customHeight="1"/>
    <row r="629" ht="21" customHeight="1"/>
    <row r="630" ht="21" customHeight="1"/>
    <row r="631" ht="21" customHeight="1"/>
    <row r="632" ht="21" customHeight="1"/>
    <row r="633" ht="21" customHeight="1"/>
    <row r="634" ht="21" customHeight="1"/>
    <row r="635" ht="21" customHeight="1"/>
    <row r="636" ht="21" customHeight="1"/>
    <row r="637" ht="21" customHeight="1"/>
    <row r="638" ht="21" customHeight="1"/>
    <row r="639" ht="21" customHeight="1"/>
    <row r="640" ht="21" customHeight="1"/>
    <row r="641" ht="21" customHeight="1"/>
    <row r="642" ht="21" customHeight="1"/>
    <row r="643" ht="21" customHeight="1"/>
    <row r="644" ht="21" customHeight="1"/>
    <row r="645" ht="21" customHeight="1"/>
    <row r="646" ht="21" customHeight="1"/>
    <row r="647" ht="21" customHeight="1"/>
    <row r="648" ht="21" customHeight="1"/>
    <row r="649" ht="21" customHeight="1"/>
    <row r="650" ht="21" customHeight="1"/>
    <row r="651" ht="21" customHeight="1"/>
    <row r="652" ht="21" customHeight="1"/>
    <row r="653" ht="21" customHeight="1"/>
    <row r="654" ht="21" customHeight="1"/>
    <row r="655" ht="21" customHeight="1"/>
    <row r="656" ht="21" customHeight="1"/>
    <row r="657" ht="21" customHeight="1"/>
    <row r="658" ht="21" customHeight="1"/>
    <row r="659" ht="21" customHeight="1"/>
    <row r="660" ht="21" customHeight="1"/>
    <row r="661" ht="21" customHeight="1"/>
    <row r="662" ht="21" customHeight="1"/>
    <row r="663" ht="21" customHeight="1"/>
    <row r="664" ht="21" customHeight="1"/>
    <row r="665" ht="21" customHeight="1"/>
    <row r="666" ht="21" customHeight="1"/>
    <row r="667" ht="21" customHeight="1"/>
    <row r="668" ht="21" customHeight="1"/>
    <row r="669" ht="21" customHeight="1"/>
    <row r="670" ht="21" customHeight="1"/>
    <row r="671" ht="21" customHeight="1"/>
    <row r="672" ht="21" customHeight="1"/>
    <row r="673" ht="21" customHeight="1"/>
    <row r="674" ht="21" customHeight="1"/>
    <row r="675" ht="21" customHeight="1"/>
    <row r="676" ht="21" customHeight="1"/>
    <row r="677" ht="21" customHeight="1"/>
    <row r="678" ht="21" customHeight="1"/>
    <row r="679" ht="21" customHeight="1"/>
    <row r="680" ht="21" customHeight="1"/>
    <row r="681" ht="21" customHeight="1"/>
    <row r="682" ht="21" customHeight="1"/>
    <row r="683" ht="21" customHeight="1"/>
    <row r="684" ht="21" customHeight="1"/>
    <row r="685" ht="21" customHeight="1"/>
    <row r="686" ht="21" customHeight="1"/>
    <row r="687" ht="21" customHeight="1"/>
    <row r="688" ht="21" customHeight="1"/>
    <row r="689" ht="21" customHeight="1"/>
    <row r="690" ht="21" customHeight="1"/>
    <row r="691" ht="21" customHeight="1"/>
    <row r="692" ht="21" customHeight="1"/>
    <row r="693" ht="21" customHeight="1"/>
    <row r="694" ht="21" customHeight="1"/>
    <row r="695" ht="21" customHeight="1"/>
    <row r="696" ht="21" customHeight="1"/>
    <row r="697" ht="21" customHeight="1"/>
    <row r="698" ht="21" customHeight="1"/>
    <row r="699" ht="21" customHeight="1"/>
    <row r="700" ht="21" customHeight="1"/>
    <row r="701" ht="21" customHeight="1"/>
    <row r="702" ht="21" customHeight="1"/>
    <row r="703" ht="21" customHeight="1"/>
    <row r="704" ht="21" customHeight="1"/>
    <row r="705" ht="21" customHeight="1"/>
    <row r="706" ht="21" customHeight="1"/>
    <row r="707" ht="21" customHeight="1"/>
    <row r="708" ht="21" customHeight="1"/>
    <row r="709" ht="21" customHeight="1"/>
    <row r="710" ht="21" customHeight="1"/>
    <row r="711" ht="21" customHeight="1"/>
    <row r="712" ht="21" customHeight="1"/>
    <row r="713" ht="21" customHeight="1"/>
    <row r="714" ht="21" customHeight="1"/>
    <row r="715" ht="21" customHeight="1"/>
    <row r="716" ht="21" customHeight="1"/>
    <row r="717" ht="21" customHeight="1"/>
    <row r="718" ht="21" customHeight="1"/>
    <row r="719" ht="21" customHeight="1"/>
    <row r="720" ht="21" customHeight="1"/>
    <row r="721" ht="21" customHeight="1"/>
    <row r="722" ht="21" customHeight="1"/>
    <row r="723" ht="21" customHeight="1"/>
    <row r="724" ht="21" customHeight="1"/>
    <row r="725" ht="21" customHeight="1"/>
    <row r="726" ht="21" customHeight="1"/>
    <row r="727" ht="21" customHeight="1"/>
    <row r="728" ht="21" customHeight="1"/>
    <row r="729" ht="21" customHeight="1"/>
    <row r="730" ht="21" customHeight="1"/>
    <row r="731" ht="21" customHeight="1"/>
    <row r="732" ht="21" customHeight="1"/>
    <row r="733" ht="21" customHeight="1"/>
    <row r="734" ht="21" customHeight="1"/>
    <row r="735" ht="21" customHeight="1"/>
    <row r="736" ht="21" customHeight="1"/>
    <row r="737" ht="21" customHeight="1"/>
    <row r="738" ht="21" customHeight="1"/>
    <row r="739" ht="21" customHeight="1"/>
    <row r="740" ht="21" customHeight="1"/>
    <row r="741" ht="21" customHeight="1"/>
    <row r="742" ht="21" customHeight="1"/>
    <row r="743" ht="21" customHeight="1"/>
    <row r="744" ht="21" customHeight="1"/>
    <row r="745" ht="21" customHeight="1"/>
    <row r="746" ht="21" customHeight="1"/>
    <row r="747" ht="21" customHeight="1"/>
    <row r="748" ht="21" customHeight="1"/>
    <row r="749" ht="21" customHeight="1"/>
    <row r="750" ht="21" customHeight="1"/>
    <row r="751" ht="21" customHeight="1"/>
    <row r="752" ht="21" customHeight="1"/>
    <row r="753" ht="21" customHeight="1"/>
    <row r="754" ht="21" customHeight="1"/>
    <row r="755" ht="21" customHeight="1"/>
    <row r="756" ht="21" customHeight="1"/>
    <row r="757" ht="21" customHeight="1"/>
    <row r="758" ht="21" customHeight="1"/>
    <row r="759" ht="21" customHeight="1"/>
    <row r="760" ht="21" customHeight="1"/>
    <row r="761" ht="21" customHeight="1"/>
    <row r="762" ht="21" customHeight="1"/>
    <row r="763" ht="21" customHeight="1"/>
    <row r="764" ht="21" customHeight="1"/>
    <row r="765" ht="21" customHeight="1"/>
    <row r="766" ht="21" customHeight="1"/>
    <row r="767" ht="21" customHeight="1"/>
    <row r="768" ht="21" customHeight="1"/>
    <row r="769" ht="21" customHeight="1"/>
    <row r="770" ht="21" customHeight="1"/>
    <row r="771" ht="21" customHeight="1"/>
    <row r="772" ht="21" customHeight="1"/>
    <row r="773" ht="21" customHeight="1"/>
    <row r="774" ht="21" customHeight="1"/>
    <row r="775" ht="21" customHeight="1"/>
    <row r="776" ht="21" customHeight="1"/>
    <row r="777" ht="21" customHeight="1"/>
    <row r="778" ht="21" customHeight="1"/>
    <row r="779" ht="21" customHeight="1"/>
    <row r="780" ht="21" customHeight="1"/>
    <row r="781" ht="21" customHeight="1"/>
    <row r="782" ht="21" customHeight="1"/>
    <row r="783" ht="21" customHeight="1"/>
    <row r="784" ht="21" customHeight="1"/>
    <row r="785" ht="21" customHeight="1"/>
    <row r="786" ht="21" customHeight="1"/>
    <row r="787" ht="21" customHeight="1"/>
    <row r="788" ht="21" customHeight="1"/>
    <row r="789" ht="21" customHeight="1"/>
    <row r="790" ht="21" customHeight="1"/>
    <row r="791" ht="21" customHeight="1"/>
    <row r="792" ht="21" customHeight="1"/>
    <row r="793" ht="21" customHeight="1"/>
    <row r="794" ht="21" customHeight="1"/>
    <row r="795" ht="21" customHeight="1"/>
    <row r="796" ht="21" customHeight="1"/>
    <row r="797" ht="21" customHeight="1"/>
    <row r="798" ht="21" customHeight="1"/>
    <row r="799" ht="21" customHeight="1"/>
    <row r="800" ht="21" customHeight="1"/>
    <row r="801" ht="21" customHeight="1"/>
    <row r="802" ht="21" customHeight="1"/>
    <row r="803" ht="21" customHeight="1"/>
    <row r="804" ht="21" customHeight="1"/>
    <row r="805" ht="21" customHeight="1"/>
    <row r="806" ht="21" customHeight="1"/>
    <row r="807" ht="21" customHeight="1"/>
    <row r="808" ht="21" customHeight="1"/>
    <row r="809" ht="21" customHeight="1"/>
    <row r="810" ht="21" customHeight="1"/>
    <row r="811" ht="21" customHeight="1"/>
    <row r="812" ht="21" customHeight="1"/>
    <row r="813" ht="21" customHeight="1"/>
    <row r="814" ht="21" customHeight="1"/>
    <row r="815" ht="21" customHeight="1"/>
    <row r="816" ht="21" customHeight="1"/>
    <row r="817" ht="21" customHeight="1"/>
    <row r="818" ht="21" customHeight="1"/>
    <row r="819" ht="21" customHeight="1"/>
    <row r="820" ht="21" customHeight="1"/>
    <row r="821" ht="21" customHeight="1"/>
    <row r="822" ht="21" customHeight="1"/>
    <row r="823" ht="21" customHeight="1"/>
    <row r="824" ht="21" customHeight="1"/>
    <row r="825" ht="21" customHeight="1"/>
    <row r="826" ht="21" customHeight="1"/>
    <row r="827" ht="21" customHeight="1"/>
    <row r="828" ht="21" customHeight="1"/>
    <row r="829" ht="21" customHeight="1"/>
    <row r="830" ht="21" customHeight="1"/>
    <row r="831" ht="21" customHeight="1"/>
    <row r="832" ht="21" customHeight="1"/>
    <row r="833" ht="21" customHeight="1"/>
    <row r="834" ht="21" customHeight="1"/>
    <row r="835" ht="21" customHeight="1"/>
    <row r="836" ht="21" customHeight="1"/>
    <row r="837" ht="21" customHeight="1"/>
    <row r="838" ht="21" customHeight="1"/>
    <row r="839" ht="21" customHeight="1"/>
    <row r="840" ht="21" customHeight="1"/>
    <row r="841" ht="21" customHeight="1"/>
    <row r="842" ht="21" customHeight="1"/>
    <row r="843" ht="21" customHeight="1"/>
    <row r="844" ht="21" customHeight="1"/>
    <row r="845" ht="21" customHeight="1"/>
    <row r="846" ht="21" customHeight="1"/>
    <row r="847" ht="21" customHeight="1"/>
    <row r="848" ht="21" customHeight="1"/>
    <row r="849" ht="21" customHeight="1"/>
    <row r="850" ht="21" customHeight="1"/>
    <row r="851" ht="21" customHeight="1"/>
    <row r="852" ht="21" customHeight="1"/>
    <row r="853" ht="21" customHeight="1"/>
    <row r="854" ht="21" customHeight="1"/>
    <row r="855" ht="21" customHeight="1"/>
    <row r="856" ht="21" customHeight="1"/>
    <row r="857" ht="21" customHeight="1"/>
    <row r="858" ht="21" customHeight="1"/>
    <row r="859" ht="21" customHeight="1"/>
    <row r="860" ht="21" customHeight="1"/>
    <row r="861" ht="21" customHeight="1"/>
    <row r="862" ht="21" customHeight="1"/>
    <row r="863" ht="21" customHeight="1"/>
    <row r="864" ht="21" customHeight="1"/>
    <row r="865" ht="21" customHeight="1"/>
    <row r="866" ht="21" customHeight="1"/>
    <row r="867" ht="21" customHeight="1"/>
    <row r="868" ht="21" customHeight="1"/>
    <row r="869" ht="21" customHeight="1"/>
    <row r="870" ht="21" customHeight="1"/>
    <row r="871" ht="21" customHeight="1"/>
    <row r="872" ht="21" customHeight="1"/>
    <row r="873" ht="21" customHeight="1"/>
    <row r="874" ht="21" customHeight="1"/>
    <row r="875" ht="21" customHeight="1"/>
    <row r="876" ht="21" customHeight="1"/>
    <row r="877" ht="21" customHeight="1"/>
    <row r="878" ht="21" customHeight="1"/>
    <row r="879" ht="21" customHeight="1"/>
    <row r="880" ht="21" customHeight="1"/>
    <row r="881" ht="21" customHeight="1"/>
    <row r="882" ht="21" customHeight="1"/>
    <row r="883" ht="21" customHeight="1"/>
    <row r="884" ht="21" customHeight="1"/>
    <row r="885" ht="21" customHeight="1"/>
    <row r="886" ht="21" customHeight="1"/>
    <row r="887" ht="21" customHeight="1"/>
    <row r="888" ht="21" customHeight="1"/>
    <row r="889" ht="21" customHeight="1"/>
    <row r="890" ht="21" customHeight="1"/>
    <row r="891" ht="21" customHeight="1"/>
    <row r="892" ht="21" customHeight="1"/>
    <row r="893" ht="21" customHeight="1"/>
    <row r="894" ht="21" customHeight="1"/>
    <row r="895" ht="21" customHeight="1"/>
    <row r="896" ht="21" customHeight="1"/>
    <row r="897" ht="21" customHeight="1"/>
    <row r="898" ht="21" customHeight="1"/>
    <row r="899" ht="21" customHeight="1"/>
    <row r="900" ht="21" customHeight="1"/>
    <row r="901" ht="21" customHeight="1"/>
    <row r="902" ht="21" customHeight="1"/>
    <row r="903" ht="21" customHeight="1"/>
    <row r="904" ht="21" customHeight="1"/>
    <row r="905" ht="21" customHeight="1"/>
    <row r="906" ht="21" customHeight="1"/>
    <row r="907" ht="21" customHeight="1"/>
    <row r="908" ht="21" customHeight="1"/>
    <row r="909" ht="21" customHeight="1"/>
    <row r="910" ht="21" customHeight="1"/>
    <row r="911" ht="21" customHeight="1"/>
    <row r="912" ht="21" customHeight="1"/>
    <row r="913" ht="21" customHeight="1"/>
    <row r="914" ht="21" customHeight="1"/>
    <row r="915" ht="21" customHeight="1"/>
    <row r="916" ht="21" customHeight="1"/>
    <row r="917" ht="21" customHeight="1"/>
    <row r="918" ht="21" customHeight="1"/>
    <row r="919" ht="21" customHeight="1"/>
    <row r="920" ht="21" customHeight="1"/>
    <row r="921" ht="21" customHeight="1"/>
    <row r="922" ht="21" customHeight="1"/>
    <row r="923" ht="21" customHeight="1"/>
    <row r="924" ht="21" customHeight="1"/>
    <row r="925" ht="21" customHeight="1"/>
    <row r="926" ht="21" customHeight="1"/>
    <row r="927" ht="21" customHeight="1"/>
    <row r="928" ht="21" customHeight="1"/>
    <row r="929" ht="21" customHeight="1"/>
    <row r="930" ht="21" customHeight="1"/>
    <row r="931" ht="21" customHeight="1"/>
    <row r="932" ht="21" customHeight="1"/>
    <row r="933" ht="21" customHeight="1"/>
    <row r="934" ht="21" customHeight="1"/>
    <row r="935" ht="21" customHeight="1"/>
    <row r="936" ht="21" customHeight="1"/>
    <row r="937" ht="21" customHeight="1"/>
    <row r="938" ht="21" customHeight="1"/>
    <row r="939" ht="21" customHeight="1"/>
    <row r="940" ht="21" customHeight="1"/>
    <row r="941" ht="21" customHeight="1"/>
    <row r="942" ht="21" customHeight="1"/>
    <row r="943" ht="21" customHeight="1"/>
    <row r="944" ht="21" customHeight="1"/>
    <row r="945" ht="21" customHeight="1"/>
    <row r="946" ht="21" customHeight="1"/>
    <row r="947" ht="21" customHeight="1"/>
    <row r="948" ht="21" customHeight="1"/>
    <row r="949" ht="21" customHeight="1"/>
    <row r="950" ht="21" customHeight="1"/>
    <row r="951" ht="21" customHeight="1"/>
    <row r="952" ht="21" customHeight="1"/>
    <row r="953" ht="21" customHeight="1"/>
    <row r="954" ht="21" customHeight="1"/>
    <row r="955" ht="21" customHeight="1"/>
    <row r="956" ht="21" customHeight="1"/>
    <row r="957" ht="21" customHeight="1"/>
    <row r="958" ht="21" customHeight="1"/>
    <row r="959" ht="21" customHeight="1"/>
    <row r="960" ht="21" customHeight="1"/>
    <row r="961" ht="21" customHeight="1"/>
    <row r="962" ht="21" customHeight="1"/>
    <row r="963" ht="21" customHeight="1"/>
    <row r="964" ht="21" customHeight="1"/>
    <row r="965" ht="21" customHeight="1"/>
    <row r="966" ht="21" customHeight="1"/>
    <row r="967" ht="21" customHeight="1"/>
    <row r="968" ht="21" customHeight="1"/>
    <row r="969" ht="21" customHeight="1"/>
    <row r="970" ht="21" customHeight="1"/>
    <row r="971" ht="21" customHeight="1"/>
    <row r="972" ht="21" customHeight="1"/>
    <row r="973" ht="21" customHeight="1"/>
    <row r="974" ht="21" customHeight="1"/>
    <row r="975" ht="21" customHeight="1"/>
    <row r="976" ht="21" customHeight="1"/>
    <row r="977" ht="21" customHeight="1"/>
    <row r="978" ht="21" customHeight="1"/>
    <row r="979" ht="21" customHeight="1"/>
    <row r="980" ht="21" customHeight="1"/>
    <row r="981" ht="21" customHeight="1"/>
    <row r="982" ht="21" customHeight="1"/>
    <row r="983" ht="21" customHeight="1"/>
    <row r="984" ht="21" customHeight="1"/>
    <row r="985" ht="21" customHeight="1"/>
    <row r="986" ht="21" customHeight="1"/>
    <row r="987" ht="21" customHeight="1"/>
    <row r="988" ht="21" customHeight="1"/>
    <row r="989" ht="21" customHeight="1"/>
    <row r="990" ht="21" customHeight="1"/>
    <row r="991" ht="21" customHeight="1"/>
    <row r="992" ht="21" customHeight="1"/>
    <row r="993" ht="21" customHeight="1"/>
    <row r="994" ht="21" customHeight="1"/>
    <row r="995" ht="21" customHeight="1"/>
    <row r="996" ht="21" customHeight="1"/>
    <row r="997" ht="21" customHeight="1"/>
    <row r="998" ht="21" customHeight="1"/>
    <row r="999" ht="21" customHeight="1"/>
    <row r="1000" ht="21" customHeight="1"/>
    <row r="1001" ht="21" customHeight="1"/>
    <row r="1002" ht="21" customHeight="1"/>
    <row r="1003" ht="21" customHeight="1"/>
    <row r="1004" ht="21" customHeight="1"/>
    <row r="1005" ht="21" customHeight="1"/>
    <row r="1006" ht="21" customHeight="1"/>
    <row r="1007" ht="21" customHeight="1"/>
    <row r="1008" ht="21" customHeight="1"/>
    <row r="1009" ht="21" customHeight="1"/>
    <row r="1010" ht="21" customHeight="1"/>
    <row r="1011" ht="21" customHeight="1"/>
    <row r="1012" ht="21" customHeight="1"/>
    <row r="1013" ht="21" customHeight="1"/>
    <row r="1014" ht="21" customHeight="1"/>
    <row r="1015" ht="21" customHeight="1"/>
    <row r="1016" ht="21" customHeight="1"/>
    <row r="1017" ht="21" customHeight="1"/>
    <row r="1018" ht="21" customHeight="1"/>
    <row r="1019" ht="21" customHeight="1"/>
    <row r="1020" ht="21" customHeight="1"/>
    <row r="1021" ht="21" customHeight="1"/>
    <row r="1022" ht="21" customHeight="1"/>
    <row r="1023" ht="21" customHeight="1"/>
    <row r="1024" ht="21" customHeight="1"/>
    <row r="1025" ht="21" customHeight="1"/>
    <row r="1026" ht="21" customHeight="1"/>
    <row r="1027" ht="21" customHeight="1"/>
    <row r="1028" ht="21" customHeight="1"/>
    <row r="1029" ht="21" customHeight="1"/>
    <row r="1030" ht="21" customHeight="1"/>
    <row r="1031" ht="21" customHeight="1"/>
    <row r="1032" ht="21" customHeight="1"/>
    <row r="1033" ht="21" customHeight="1"/>
    <row r="1034" ht="21" customHeight="1"/>
    <row r="1035" ht="21" customHeight="1"/>
    <row r="1036" ht="21" customHeight="1"/>
    <row r="1037" ht="21" customHeight="1"/>
    <row r="1038" ht="21" customHeight="1"/>
    <row r="1039" ht="21" customHeight="1"/>
    <row r="1040" ht="21" customHeight="1"/>
    <row r="1041" ht="21" customHeight="1"/>
    <row r="1042" ht="21" customHeight="1"/>
    <row r="1043" ht="21" customHeight="1"/>
    <row r="1044" ht="21" customHeight="1"/>
    <row r="1045" ht="21" customHeight="1"/>
    <row r="1046" ht="21" customHeight="1"/>
    <row r="1047" ht="21" customHeight="1"/>
    <row r="1048" ht="21" customHeight="1"/>
    <row r="1049" ht="21" customHeight="1"/>
    <row r="1050" ht="21" customHeight="1"/>
    <row r="1051" ht="21" customHeight="1"/>
    <row r="1052" ht="21" customHeight="1"/>
    <row r="1053" ht="21" customHeight="1"/>
    <row r="1054" ht="21" customHeight="1"/>
    <row r="1055" ht="21" customHeight="1"/>
    <row r="1056" ht="21" customHeight="1"/>
    <row r="1057" ht="21" customHeight="1"/>
    <row r="1058" ht="21" customHeight="1"/>
    <row r="1059" ht="21" customHeight="1"/>
    <row r="1060" ht="21" customHeight="1"/>
    <row r="1061" ht="21" customHeight="1"/>
    <row r="1062" ht="21" customHeight="1"/>
    <row r="1063" ht="21" customHeight="1"/>
    <row r="1064" ht="21" customHeight="1"/>
    <row r="1065" ht="21" customHeight="1"/>
    <row r="1066" ht="21" customHeight="1"/>
    <row r="1067" ht="21" customHeight="1"/>
    <row r="1068" ht="21" customHeight="1"/>
    <row r="1069" ht="21" customHeight="1"/>
    <row r="1070" ht="21" customHeight="1"/>
    <row r="1071" ht="21" customHeight="1"/>
    <row r="1072" ht="21" customHeight="1"/>
    <row r="1073" ht="21" customHeight="1"/>
    <row r="1074" ht="21" customHeight="1"/>
    <row r="1075" ht="21" customHeight="1"/>
    <row r="1076" ht="21" customHeight="1"/>
    <row r="1077" ht="21" customHeight="1"/>
    <row r="1078" ht="21" customHeight="1"/>
    <row r="1079" ht="21" customHeight="1"/>
    <row r="1080" ht="21" customHeight="1"/>
    <row r="1081" ht="21" customHeight="1"/>
    <row r="1082" ht="21" customHeight="1"/>
    <row r="1083" ht="21" customHeight="1"/>
    <row r="1084" ht="21" customHeight="1"/>
    <row r="1085" ht="21" customHeight="1"/>
    <row r="1086" ht="21" customHeight="1"/>
    <row r="1087" ht="21" customHeight="1"/>
    <row r="1088" ht="21" customHeight="1"/>
    <row r="1089" ht="21" customHeight="1"/>
    <row r="1090" ht="21" customHeight="1"/>
    <row r="1091" ht="21" customHeight="1"/>
    <row r="1092" ht="21" customHeight="1"/>
    <row r="1093" ht="21" customHeight="1"/>
    <row r="1094" ht="21" customHeight="1"/>
    <row r="1095" ht="21" customHeight="1"/>
    <row r="1096" ht="21" customHeight="1"/>
    <row r="1097" ht="21" customHeight="1"/>
    <row r="1098" ht="21" customHeight="1"/>
    <row r="1099" ht="21" customHeight="1"/>
    <row r="1100" ht="21" customHeight="1"/>
    <row r="1101" ht="21" customHeight="1"/>
    <row r="1102" ht="21" customHeight="1"/>
    <row r="1103" ht="21" customHeight="1"/>
    <row r="1104" ht="21" customHeight="1"/>
    <row r="1105" ht="21" customHeight="1"/>
    <row r="1106" ht="21" customHeight="1"/>
    <row r="1107" ht="21" customHeight="1"/>
    <row r="1108" ht="21" customHeight="1"/>
    <row r="1109" ht="21" customHeight="1"/>
    <row r="1110" ht="21" customHeight="1"/>
    <row r="1111" ht="21" customHeight="1"/>
    <row r="1112" ht="21" customHeight="1"/>
    <row r="1113" ht="21" customHeight="1"/>
    <row r="1114" ht="21" customHeight="1"/>
    <row r="1115" ht="21" customHeight="1"/>
    <row r="1116" ht="21" customHeight="1"/>
    <row r="1117" ht="21" customHeight="1"/>
    <row r="1118" ht="21" customHeight="1"/>
    <row r="1119" ht="21" customHeight="1"/>
    <row r="1120" ht="21" customHeight="1"/>
    <row r="1121" ht="21" customHeight="1"/>
    <row r="1122" ht="21" customHeight="1"/>
    <row r="1123" ht="21" customHeight="1"/>
    <row r="1124" ht="21" customHeight="1"/>
    <row r="1125" ht="21" customHeight="1"/>
    <row r="1126" ht="21" customHeight="1"/>
    <row r="1127" ht="21" customHeight="1"/>
    <row r="1128" ht="21" customHeight="1"/>
    <row r="1129" ht="21" customHeight="1"/>
    <row r="1130" ht="21" customHeight="1"/>
    <row r="1131" ht="21" customHeight="1"/>
    <row r="1132" ht="21" customHeight="1"/>
    <row r="1133" ht="21" customHeight="1"/>
    <row r="1134" ht="21" customHeight="1"/>
    <row r="1135" ht="21" customHeight="1"/>
    <row r="1136" ht="21" customHeight="1"/>
    <row r="1137" ht="21" customHeight="1"/>
    <row r="1138" ht="21" customHeight="1"/>
    <row r="1139" ht="21" customHeight="1"/>
    <row r="1140" ht="21" customHeight="1"/>
    <row r="1141" ht="21" customHeight="1"/>
    <row r="1142" ht="21" customHeight="1"/>
    <row r="1143" ht="21" customHeight="1"/>
    <row r="1144" ht="21" customHeight="1"/>
    <row r="1145" ht="21" customHeight="1"/>
    <row r="1146" ht="21" customHeight="1"/>
    <row r="1147" ht="21" customHeight="1"/>
    <row r="1148" ht="21" customHeight="1"/>
    <row r="1149" ht="21" customHeight="1"/>
    <row r="1150" ht="21" customHeight="1"/>
    <row r="1151" ht="21" customHeight="1"/>
    <row r="1152" ht="21" customHeight="1"/>
    <row r="1153" ht="21" customHeight="1"/>
    <row r="1154" ht="21" customHeight="1"/>
    <row r="1155" ht="21" customHeight="1"/>
    <row r="1156" ht="21" customHeight="1"/>
    <row r="1157" ht="21" customHeight="1"/>
    <row r="1158" ht="21" customHeight="1"/>
    <row r="1159" ht="21" customHeight="1"/>
    <row r="1160" ht="21" customHeight="1"/>
    <row r="1161" ht="21" customHeight="1"/>
    <row r="1162" ht="21" customHeight="1"/>
    <row r="1163" ht="21" customHeight="1"/>
    <row r="1164" ht="21" customHeight="1"/>
    <row r="1165" ht="21" customHeight="1"/>
    <row r="1166" ht="21" customHeight="1"/>
    <row r="1167" ht="21" customHeight="1"/>
    <row r="1168" ht="21" customHeight="1"/>
    <row r="1169" ht="21" customHeight="1"/>
    <row r="1170" ht="21" customHeight="1"/>
    <row r="1171" ht="21" customHeight="1"/>
    <row r="1172" ht="21" customHeight="1"/>
    <row r="1173" ht="21" customHeight="1"/>
    <row r="1174" ht="21" customHeight="1"/>
    <row r="1175" ht="21" customHeight="1"/>
    <row r="1176" ht="21" customHeight="1"/>
    <row r="1177" ht="21" customHeight="1"/>
    <row r="1178" ht="21" customHeight="1"/>
    <row r="1179" ht="21" customHeight="1"/>
    <row r="1180" ht="21" customHeight="1"/>
    <row r="1181" ht="21" customHeight="1"/>
    <row r="1182" ht="21" customHeight="1"/>
    <row r="1183" ht="21" customHeight="1"/>
    <row r="1184" ht="21" customHeight="1"/>
    <row r="1185" ht="21" customHeight="1"/>
    <row r="1186" ht="21" customHeight="1"/>
    <row r="1187" ht="21" customHeight="1"/>
    <row r="1188" ht="21" customHeight="1"/>
    <row r="1189" ht="21" customHeight="1"/>
    <row r="1190" ht="21" customHeight="1"/>
    <row r="1191" ht="21" customHeight="1"/>
    <row r="1192" ht="21" customHeight="1"/>
    <row r="1193" ht="21" customHeight="1"/>
    <row r="1194" ht="21" customHeight="1"/>
    <row r="1195" ht="21" customHeight="1"/>
    <row r="1196" ht="21" customHeight="1"/>
    <row r="1197" ht="21" customHeight="1"/>
    <row r="1198" ht="21" customHeight="1"/>
    <row r="1199" ht="21" customHeight="1"/>
    <row r="1200" ht="21" customHeight="1"/>
    <row r="1201" ht="21" customHeight="1"/>
    <row r="1202" ht="21" customHeight="1"/>
    <row r="1203" ht="21" customHeight="1"/>
    <row r="1204" ht="21" customHeight="1"/>
    <row r="1205" ht="21" customHeight="1"/>
    <row r="1206" ht="21" customHeight="1"/>
    <row r="1207" ht="21" customHeight="1"/>
    <row r="1208" ht="21" customHeight="1"/>
    <row r="1209" ht="21" customHeight="1"/>
    <row r="1210" ht="21" customHeight="1"/>
    <row r="1211" ht="21" customHeight="1"/>
    <row r="1212" ht="21" customHeight="1"/>
    <row r="1213" ht="21" customHeight="1"/>
    <row r="1214" ht="21" customHeight="1"/>
    <row r="1215" ht="21" customHeight="1"/>
    <row r="1216" ht="21" customHeight="1"/>
    <row r="1217" ht="21" customHeight="1"/>
    <row r="1218" ht="21" customHeight="1"/>
    <row r="1219" ht="21" customHeight="1"/>
    <row r="1220" ht="21" customHeight="1"/>
    <row r="1221" ht="21" customHeight="1"/>
    <row r="1222" ht="21" customHeight="1"/>
    <row r="1223" ht="21" customHeight="1"/>
    <row r="1224" ht="21" customHeight="1"/>
    <row r="1225" ht="21" customHeight="1"/>
    <row r="1226" ht="21" customHeight="1"/>
    <row r="1227" ht="21" customHeight="1"/>
    <row r="1228" ht="21" customHeight="1"/>
    <row r="1229" ht="21" customHeight="1"/>
    <row r="1230" ht="21" customHeight="1"/>
    <row r="1231" ht="21" customHeight="1"/>
    <row r="1232" ht="21" customHeight="1"/>
    <row r="1233" ht="21" customHeight="1"/>
    <row r="1234" ht="21" customHeight="1"/>
    <row r="1235" ht="21" customHeight="1"/>
    <row r="1236" ht="21" customHeight="1"/>
    <row r="1237" ht="21" customHeight="1"/>
    <row r="1238" ht="21" customHeight="1"/>
    <row r="1239" ht="21" customHeight="1"/>
    <row r="1240" ht="21" customHeight="1"/>
    <row r="1241" ht="21" customHeight="1"/>
    <row r="1242" ht="21" customHeight="1"/>
    <row r="1243" ht="21" customHeight="1"/>
    <row r="1244" ht="21" customHeight="1"/>
    <row r="1245" ht="21" customHeight="1"/>
    <row r="1246" ht="21" customHeight="1"/>
    <row r="1247" ht="21" customHeight="1"/>
    <row r="1248" ht="21" customHeight="1"/>
    <row r="1249" ht="21" customHeight="1"/>
    <row r="1250" ht="21" customHeight="1"/>
    <row r="1251" ht="21" customHeight="1"/>
    <row r="1252" ht="21" customHeight="1"/>
    <row r="1253" ht="21" customHeight="1"/>
    <row r="1254" ht="21" customHeight="1"/>
    <row r="1255" ht="21" customHeight="1"/>
    <row r="1256" ht="21" customHeight="1"/>
    <row r="1257" ht="21" customHeight="1"/>
    <row r="1258" ht="21" customHeight="1"/>
    <row r="1259" ht="21" customHeight="1"/>
    <row r="1260" ht="21" customHeight="1"/>
    <row r="1261" ht="21" customHeight="1"/>
    <row r="1262" ht="21" customHeight="1"/>
    <row r="1263" ht="21" customHeight="1"/>
    <row r="1264" ht="21" customHeight="1"/>
    <row r="1265" ht="21" customHeight="1"/>
    <row r="1266" ht="21" customHeight="1"/>
    <row r="1267" ht="21" customHeight="1"/>
    <row r="1268" ht="21" customHeight="1"/>
    <row r="1269" ht="21" customHeight="1"/>
    <row r="1270" ht="21" customHeight="1"/>
    <row r="1271" ht="21" customHeight="1"/>
    <row r="1272" ht="21" customHeight="1"/>
    <row r="1273" ht="21" customHeight="1"/>
    <row r="1274" ht="21" customHeight="1"/>
    <row r="1275" ht="21" customHeight="1"/>
    <row r="1276" ht="21" customHeight="1"/>
    <row r="1277" ht="21" customHeight="1"/>
    <row r="1278" ht="21" customHeight="1"/>
    <row r="1279" ht="21" customHeight="1"/>
    <row r="1280" ht="21" customHeight="1"/>
    <row r="1281" ht="21" customHeight="1"/>
    <row r="1282" ht="21" customHeight="1"/>
    <row r="1283" ht="21" customHeight="1"/>
    <row r="1284" ht="21" customHeight="1"/>
    <row r="1285" ht="21" customHeight="1"/>
    <row r="1286" ht="21" customHeight="1"/>
    <row r="1287" ht="21" customHeight="1"/>
    <row r="1288" ht="21" customHeight="1"/>
    <row r="1289" ht="21" customHeight="1"/>
    <row r="1290" ht="21" customHeight="1"/>
    <row r="1291" ht="21" customHeight="1"/>
    <row r="1292" ht="21" customHeight="1"/>
    <row r="1293" ht="21" customHeight="1"/>
    <row r="1294" ht="21" customHeight="1"/>
    <row r="1295" ht="21" customHeight="1"/>
    <row r="1296" ht="21" customHeight="1"/>
    <row r="1297" ht="21" customHeight="1"/>
    <row r="1298" ht="21" customHeight="1"/>
    <row r="1299" ht="21" customHeight="1"/>
    <row r="1300" ht="21" customHeight="1"/>
    <row r="1301" ht="21" customHeight="1"/>
    <row r="1302" ht="21" customHeight="1"/>
    <row r="1303" ht="21" customHeight="1"/>
    <row r="1304" ht="21" customHeight="1"/>
    <row r="1305" ht="21" customHeight="1"/>
    <row r="1306" ht="21" customHeight="1"/>
    <row r="1307" ht="21" customHeight="1"/>
    <row r="1308" ht="21" customHeight="1"/>
    <row r="1309" ht="21" customHeight="1"/>
    <row r="1310" ht="21" customHeight="1"/>
    <row r="1311" ht="21" customHeight="1"/>
    <row r="1312" ht="21" customHeight="1"/>
    <row r="1313" ht="21" customHeight="1"/>
    <row r="1314" ht="21" customHeight="1"/>
    <row r="1315" ht="21" customHeight="1"/>
    <row r="1316" ht="21" customHeight="1"/>
    <row r="1317" ht="21" customHeight="1"/>
    <row r="1318" ht="21" customHeight="1"/>
    <row r="1319" ht="21" customHeight="1"/>
    <row r="1320" ht="21" customHeight="1"/>
    <row r="1321" ht="21" customHeight="1"/>
    <row r="1322" ht="21" customHeight="1"/>
    <row r="1323" ht="21" customHeight="1"/>
    <row r="1324" ht="21" customHeight="1"/>
    <row r="1325" ht="21" customHeight="1"/>
    <row r="1326" ht="21" customHeight="1"/>
    <row r="1327" ht="21" customHeight="1"/>
    <row r="1328" ht="21" customHeight="1"/>
    <row r="1329" ht="21" customHeight="1"/>
    <row r="1330" ht="21" customHeight="1"/>
    <row r="1331" ht="21" customHeight="1"/>
    <row r="1332" ht="21" customHeight="1"/>
    <row r="1333" ht="21" customHeight="1"/>
    <row r="1334" ht="21" customHeight="1"/>
    <row r="1335" ht="21" customHeight="1"/>
    <row r="1336" ht="21" customHeight="1"/>
    <row r="1337" ht="21" customHeight="1"/>
    <row r="1338" ht="21" customHeight="1"/>
    <row r="1339" ht="21" customHeight="1"/>
    <row r="1340" ht="21" customHeight="1"/>
    <row r="1341" ht="21" customHeight="1"/>
    <row r="1342" ht="21" customHeight="1"/>
    <row r="1343" ht="21" customHeight="1"/>
    <row r="1344" ht="21" customHeight="1"/>
    <row r="1345" ht="21" customHeight="1"/>
    <row r="1346" ht="21" customHeight="1"/>
    <row r="1347" ht="21" customHeight="1"/>
    <row r="1348" ht="21" customHeight="1"/>
    <row r="1349" ht="21" customHeight="1"/>
    <row r="1350" ht="21" customHeight="1"/>
    <row r="1351" ht="21" customHeight="1"/>
    <row r="1352" ht="21" customHeight="1"/>
    <row r="1353" ht="21" customHeight="1"/>
    <row r="1354" ht="21" customHeight="1"/>
    <row r="1355" ht="21" customHeight="1"/>
    <row r="1356" ht="21" customHeight="1"/>
    <row r="1357" ht="21" customHeight="1"/>
    <row r="1358" ht="21" customHeight="1"/>
    <row r="1359" ht="21" customHeight="1"/>
    <row r="1360" ht="21" customHeight="1"/>
    <row r="1361" ht="21" customHeight="1"/>
    <row r="1362" ht="21" customHeight="1"/>
    <row r="1363" ht="21" customHeight="1"/>
    <row r="1364" ht="21" customHeight="1"/>
    <row r="1365" ht="21" customHeight="1"/>
    <row r="1366" ht="21" customHeight="1"/>
    <row r="1367" ht="21" customHeight="1"/>
    <row r="1368" ht="21" customHeight="1"/>
    <row r="1369" ht="21" customHeight="1"/>
    <row r="1370" ht="21" customHeight="1"/>
    <row r="1371" ht="21" customHeight="1"/>
    <row r="1372" ht="21" customHeight="1"/>
    <row r="1373" ht="21" customHeight="1"/>
    <row r="1374" ht="21" customHeight="1"/>
    <row r="1375" ht="21" customHeight="1"/>
    <row r="1376" ht="21" customHeight="1"/>
    <row r="1377" ht="21" customHeight="1"/>
    <row r="1378" ht="21" customHeight="1"/>
    <row r="1379" ht="21" customHeight="1"/>
    <row r="1380" ht="21" customHeight="1"/>
    <row r="1381" ht="21" customHeight="1"/>
    <row r="1382" ht="21" customHeight="1"/>
    <row r="1383" ht="21" customHeight="1"/>
    <row r="1384" ht="21" customHeight="1"/>
    <row r="1385" ht="21" customHeight="1"/>
    <row r="1386" ht="21" customHeight="1"/>
    <row r="1387" ht="21" customHeight="1"/>
    <row r="1388" ht="21" customHeight="1"/>
    <row r="1389" ht="21" customHeight="1"/>
    <row r="1390" ht="21" customHeight="1"/>
    <row r="1391" ht="21" customHeight="1"/>
    <row r="1392" ht="21" customHeight="1"/>
    <row r="1393" ht="21" customHeight="1"/>
    <row r="1394" ht="21" customHeight="1"/>
    <row r="1395" ht="21" customHeight="1"/>
    <row r="1396" ht="21" customHeight="1"/>
    <row r="1397" ht="21" customHeight="1"/>
    <row r="1398" ht="21" customHeight="1"/>
    <row r="1399" ht="21" customHeight="1"/>
    <row r="1400" ht="21" customHeight="1"/>
    <row r="1401" ht="21" customHeight="1"/>
    <row r="1402" ht="21" customHeight="1"/>
    <row r="1403" ht="21" customHeight="1"/>
    <row r="1404" ht="21" customHeight="1"/>
    <row r="1405" ht="21" customHeight="1"/>
    <row r="1406" ht="21" customHeight="1"/>
    <row r="1407" ht="21" customHeight="1"/>
    <row r="1408" ht="21" customHeight="1"/>
    <row r="1409" ht="21" customHeight="1"/>
    <row r="1410" ht="21" customHeight="1"/>
    <row r="1411" ht="21" customHeight="1"/>
    <row r="1412" ht="21" customHeight="1"/>
    <row r="1413" ht="21" customHeight="1"/>
    <row r="1414" ht="21" customHeight="1"/>
    <row r="1415" ht="21" customHeight="1"/>
    <row r="1416" ht="21" customHeight="1"/>
    <row r="1417" ht="21" customHeight="1"/>
    <row r="1418" ht="21" customHeight="1"/>
    <row r="1419" ht="21" customHeight="1"/>
    <row r="1420" ht="21" customHeight="1"/>
    <row r="1421" ht="21" customHeight="1"/>
    <row r="1422" ht="21" customHeight="1"/>
    <row r="1423" ht="21" customHeight="1"/>
    <row r="1424" ht="21" customHeight="1"/>
    <row r="1425" ht="21" customHeight="1"/>
    <row r="1426" ht="21" customHeight="1"/>
    <row r="1427" ht="21" customHeight="1"/>
    <row r="1428" ht="21" customHeight="1"/>
    <row r="1429" ht="21" customHeight="1"/>
    <row r="1430" ht="21" customHeight="1"/>
    <row r="1431" ht="21" customHeight="1"/>
    <row r="1432" ht="21" customHeight="1"/>
    <row r="1433" ht="21" customHeight="1"/>
    <row r="1434" ht="21" customHeight="1"/>
    <row r="1435" ht="21" customHeight="1"/>
    <row r="1436" ht="21" customHeight="1"/>
    <row r="1437" ht="21" customHeight="1"/>
    <row r="1438" ht="21" customHeight="1"/>
    <row r="1439" ht="21" customHeight="1"/>
    <row r="1440" ht="21" customHeight="1"/>
    <row r="1441" ht="21" customHeight="1"/>
    <row r="1442" ht="21" customHeight="1"/>
    <row r="1443" ht="21" customHeight="1"/>
    <row r="1444" ht="21" customHeight="1"/>
    <row r="1445" ht="21" customHeight="1"/>
    <row r="1446" ht="21" customHeight="1"/>
    <row r="1447" ht="21" customHeight="1"/>
    <row r="1448" ht="21" customHeight="1"/>
    <row r="1449" ht="21" customHeight="1"/>
    <row r="1450" ht="21" customHeight="1"/>
    <row r="1451" ht="21" customHeight="1"/>
    <row r="1452" ht="21" customHeight="1"/>
    <row r="1453" ht="21" customHeight="1"/>
    <row r="1454" ht="21" customHeight="1"/>
    <row r="1455" ht="21" customHeight="1"/>
    <row r="1456" ht="21" customHeight="1"/>
    <row r="1457" ht="21" customHeight="1"/>
    <row r="1458" ht="21" customHeight="1"/>
    <row r="1459" ht="21" customHeight="1"/>
    <row r="1460" ht="21" customHeight="1"/>
    <row r="1461" ht="21" customHeight="1"/>
    <row r="1462" ht="21" customHeight="1"/>
    <row r="1463" ht="21" customHeight="1"/>
    <row r="1464" ht="21" customHeight="1"/>
    <row r="1465" ht="21" customHeight="1"/>
    <row r="1466" ht="21" customHeight="1"/>
    <row r="1467" ht="21" customHeight="1"/>
    <row r="1468" ht="21" customHeight="1"/>
    <row r="1469" ht="21" customHeight="1"/>
    <row r="1470" ht="21" customHeight="1"/>
    <row r="1471" ht="21" customHeight="1"/>
    <row r="1472" ht="21" customHeight="1"/>
    <row r="1473" ht="21" customHeight="1"/>
    <row r="1474" ht="21" customHeight="1"/>
    <row r="1475" ht="21" customHeight="1"/>
    <row r="1476" ht="21" customHeight="1"/>
    <row r="1477" ht="21" customHeight="1"/>
    <row r="1478" ht="21" customHeight="1"/>
    <row r="1479" ht="21" customHeight="1"/>
    <row r="1480" ht="21" customHeight="1"/>
    <row r="1481" ht="21" customHeight="1"/>
    <row r="1482" ht="21" customHeight="1"/>
    <row r="1483" ht="21" customHeight="1"/>
    <row r="1484" ht="21" customHeight="1"/>
    <row r="1485" ht="21" customHeight="1"/>
    <row r="1486" ht="21" customHeight="1"/>
    <row r="1487" ht="21" customHeight="1"/>
    <row r="1488" ht="21" customHeight="1"/>
    <row r="1489" ht="21" customHeight="1"/>
    <row r="1490" ht="21" customHeight="1"/>
    <row r="1491" ht="21" customHeight="1"/>
    <row r="1492" ht="21" customHeight="1"/>
    <row r="1493" ht="21" customHeight="1"/>
    <row r="1494" ht="21" customHeight="1"/>
    <row r="1495" ht="21" customHeight="1"/>
    <row r="1496" ht="21" customHeight="1"/>
    <row r="1497" ht="21" customHeight="1"/>
    <row r="1498" ht="21" customHeight="1"/>
    <row r="1499" ht="21" customHeight="1"/>
    <row r="1500" ht="21" customHeight="1"/>
    <row r="1501" ht="21" customHeight="1"/>
    <row r="1502" ht="21" customHeight="1"/>
    <row r="1503" ht="21" customHeight="1"/>
    <row r="1504" ht="21" customHeight="1"/>
    <row r="1505" ht="21" customHeight="1"/>
    <row r="1506" ht="21" customHeight="1"/>
    <row r="1507" ht="21" customHeight="1"/>
    <row r="1508" ht="21" customHeight="1"/>
    <row r="1509" ht="21" customHeight="1"/>
    <row r="1510" ht="21" customHeight="1"/>
    <row r="1511" ht="21" customHeight="1"/>
    <row r="1512" ht="21" customHeight="1"/>
    <row r="1513" ht="21" customHeight="1"/>
    <row r="1514" ht="21" customHeight="1"/>
    <row r="1515" ht="21" customHeight="1"/>
    <row r="1516" ht="21" customHeight="1"/>
    <row r="1517" ht="21" customHeight="1"/>
    <row r="1518" ht="21" customHeight="1"/>
    <row r="1519" ht="21" customHeight="1"/>
    <row r="1520" ht="21" customHeight="1"/>
    <row r="1521" ht="21" customHeight="1"/>
    <row r="1522" ht="21" customHeight="1"/>
    <row r="1523" ht="21" customHeight="1"/>
    <row r="1524" ht="21" customHeight="1"/>
    <row r="1525" ht="21" customHeight="1"/>
    <row r="1526" ht="21" customHeight="1"/>
    <row r="1527" ht="21" customHeight="1"/>
    <row r="1528" ht="21" customHeight="1"/>
    <row r="1529" ht="21" customHeight="1"/>
    <row r="1530" ht="21" customHeight="1"/>
    <row r="1531" ht="21" customHeight="1"/>
    <row r="1532" ht="21" customHeight="1"/>
    <row r="1533" ht="21" customHeight="1"/>
    <row r="1534" ht="21" customHeight="1"/>
    <row r="1535" ht="21" customHeight="1"/>
    <row r="1536" ht="21" customHeight="1"/>
    <row r="1537" ht="21" customHeight="1"/>
    <row r="1538" ht="21" customHeight="1"/>
    <row r="1539" ht="21" customHeight="1"/>
    <row r="1540" ht="21" customHeight="1"/>
    <row r="1541" ht="21" customHeight="1"/>
    <row r="1542" ht="21" customHeight="1"/>
    <row r="1543" ht="21" customHeight="1"/>
    <row r="1544" ht="21" customHeight="1"/>
    <row r="1545" ht="21" customHeight="1"/>
    <row r="1546" ht="21" customHeight="1"/>
    <row r="1547" ht="21" customHeight="1"/>
    <row r="1548" ht="21" customHeight="1"/>
    <row r="1549" ht="21" customHeight="1"/>
    <row r="1550" ht="21" customHeight="1"/>
    <row r="1551" ht="21" customHeight="1"/>
    <row r="1552" ht="21" customHeight="1"/>
    <row r="1553" ht="21" customHeight="1"/>
    <row r="1554" ht="21" customHeight="1"/>
    <row r="1555" ht="21" customHeight="1"/>
    <row r="1556" ht="21" customHeight="1"/>
    <row r="1557" ht="21" customHeight="1"/>
    <row r="1558" ht="21" customHeight="1"/>
    <row r="1559" ht="21" customHeight="1"/>
    <row r="1560" ht="21" customHeight="1"/>
    <row r="1561" ht="21" customHeight="1"/>
    <row r="1562" ht="21" customHeight="1"/>
    <row r="1563" ht="21" customHeight="1"/>
    <row r="1564" ht="21" customHeight="1"/>
    <row r="1565" ht="21" customHeight="1"/>
    <row r="1566" ht="21" customHeight="1"/>
    <row r="1567" ht="21" customHeight="1"/>
    <row r="1568" ht="21" customHeight="1"/>
    <row r="1569" ht="21" customHeight="1"/>
    <row r="1570" ht="21" customHeight="1"/>
    <row r="1571" ht="21" customHeight="1"/>
    <row r="1572" ht="21" customHeight="1"/>
    <row r="1573" ht="21" customHeight="1"/>
    <row r="1574" ht="21" customHeight="1"/>
    <row r="1575" ht="21" customHeight="1"/>
    <row r="1576" ht="21" customHeight="1"/>
    <row r="1577" ht="21" customHeight="1"/>
    <row r="1578" ht="21" customHeight="1"/>
    <row r="1579" ht="21" customHeight="1"/>
    <row r="1580" ht="21" customHeight="1"/>
    <row r="1581" ht="21" customHeight="1"/>
    <row r="1582" ht="21" customHeight="1"/>
    <row r="1583" ht="21" customHeight="1"/>
    <row r="1584" ht="21" customHeight="1"/>
    <row r="1585" ht="21" customHeight="1"/>
    <row r="1586" ht="21" customHeight="1"/>
    <row r="1587" ht="21" customHeight="1"/>
    <row r="1588" ht="21" customHeight="1"/>
    <row r="1589" ht="21" customHeight="1"/>
    <row r="1590" ht="21" customHeight="1"/>
    <row r="1591" ht="21" customHeight="1"/>
    <row r="1592" ht="21" customHeight="1"/>
    <row r="1593" ht="21" customHeight="1"/>
    <row r="1594" ht="21" customHeight="1"/>
    <row r="1595" ht="21" customHeight="1"/>
    <row r="1596" ht="21" customHeight="1"/>
    <row r="1597" ht="21" customHeight="1"/>
    <row r="1598" ht="21" customHeight="1"/>
    <row r="1599" ht="21" customHeight="1"/>
    <row r="1600" ht="21" customHeight="1"/>
    <row r="1601" ht="21" customHeight="1"/>
    <row r="1602" ht="21" customHeight="1"/>
    <row r="1603" ht="21" customHeight="1"/>
    <row r="1604" ht="21" customHeight="1"/>
    <row r="1605" ht="21" customHeight="1"/>
    <row r="1606" ht="21" customHeight="1"/>
    <row r="1607" ht="21" customHeight="1"/>
    <row r="1608" ht="21" customHeight="1"/>
    <row r="1609" ht="21" customHeight="1"/>
    <row r="1610" ht="21" customHeight="1"/>
    <row r="1611" ht="21" customHeight="1"/>
    <row r="1612" ht="21" customHeight="1"/>
    <row r="1613" ht="21" customHeight="1"/>
    <row r="1614" ht="21" customHeight="1"/>
    <row r="1615" ht="21" customHeight="1"/>
    <row r="1616" ht="21" customHeight="1"/>
    <row r="1617" ht="21" customHeight="1"/>
    <row r="1618" ht="21" customHeight="1"/>
    <row r="1619" ht="21" customHeight="1"/>
    <row r="1620" ht="21" customHeight="1"/>
    <row r="1621" ht="21" customHeight="1"/>
    <row r="1622" ht="21" customHeight="1"/>
    <row r="1623" ht="21" customHeight="1"/>
    <row r="1624" ht="21" customHeight="1"/>
    <row r="1625" ht="21" customHeight="1"/>
    <row r="1626" ht="21" customHeight="1"/>
    <row r="1627" ht="21" customHeight="1"/>
    <row r="1628" ht="21" customHeight="1"/>
    <row r="1629" ht="21" customHeight="1"/>
    <row r="1630" ht="21" customHeight="1"/>
    <row r="1631" ht="21" customHeight="1"/>
    <row r="1632" ht="21" customHeight="1"/>
    <row r="1633" ht="21" customHeight="1"/>
    <row r="1634" ht="21" customHeight="1"/>
    <row r="1635" ht="21" customHeight="1"/>
    <row r="1636" ht="21" customHeight="1"/>
    <row r="1637" ht="21" customHeight="1"/>
    <row r="1638" ht="21" customHeight="1"/>
    <row r="1639" ht="21" customHeight="1"/>
    <row r="1640" ht="21" customHeight="1"/>
    <row r="1641" ht="21" customHeight="1"/>
    <row r="1642" ht="21" customHeight="1"/>
    <row r="1643" ht="21" customHeight="1"/>
    <row r="1644" ht="21" customHeight="1"/>
    <row r="1645" ht="21" customHeight="1"/>
    <row r="1646" ht="21" customHeight="1"/>
    <row r="1647" ht="21" customHeight="1"/>
    <row r="1648" ht="21" customHeight="1"/>
    <row r="1649" ht="21" customHeight="1"/>
    <row r="1650" ht="21" customHeight="1"/>
    <row r="1651" ht="21" customHeight="1"/>
    <row r="1652" ht="21" customHeight="1"/>
    <row r="1653" ht="21" customHeight="1"/>
    <row r="1654" ht="21" customHeight="1"/>
    <row r="1655" ht="21" customHeight="1"/>
    <row r="1656" ht="21" customHeight="1"/>
    <row r="1657" ht="21" customHeight="1"/>
    <row r="1658" ht="21" customHeight="1"/>
    <row r="1659" ht="21" customHeight="1"/>
    <row r="1660" ht="21" customHeight="1"/>
    <row r="1661" ht="21" customHeight="1"/>
    <row r="1662" ht="21" customHeight="1"/>
    <row r="1663" ht="21" customHeight="1"/>
    <row r="1664" ht="21" customHeight="1"/>
    <row r="1665" ht="21" customHeight="1"/>
    <row r="1666" ht="21" customHeight="1"/>
    <row r="1667" ht="21" customHeight="1"/>
    <row r="1668" ht="21" customHeight="1"/>
    <row r="1669" ht="21" customHeight="1"/>
    <row r="1670" ht="21" customHeight="1"/>
    <row r="1671" ht="21" customHeight="1"/>
    <row r="1672" ht="21" customHeight="1"/>
    <row r="1673" ht="21" customHeight="1"/>
    <row r="1674" ht="21" customHeight="1"/>
    <row r="1675" ht="21" customHeight="1"/>
    <row r="1676" ht="21" customHeight="1"/>
    <row r="1677" ht="21" customHeight="1"/>
    <row r="1678" ht="21" customHeight="1"/>
    <row r="1679" ht="21" customHeight="1"/>
    <row r="1680" ht="21" customHeight="1"/>
    <row r="1681" ht="21" customHeight="1"/>
    <row r="1682" ht="21" customHeight="1"/>
    <row r="1683" ht="21" customHeight="1"/>
    <row r="1684" ht="21" customHeight="1"/>
    <row r="1685" ht="21" customHeight="1"/>
    <row r="1686" ht="21" customHeight="1"/>
    <row r="1687" ht="21" customHeight="1"/>
    <row r="1688" ht="21" customHeight="1"/>
    <row r="1689" ht="21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46" zoomScale="70" zoomScaleNormal="71" zoomScaleSheetLayoutView="70" workbookViewId="0">
      <selection activeCell="F28" sqref="F28"/>
    </sheetView>
  </sheetViews>
  <sheetFormatPr defaultColWidth="22.33203125" defaultRowHeight="20.25"/>
  <cols>
    <col min="1" max="1" width="51.21875" style="1110" customWidth="1"/>
    <col min="2" max="2" width="24.88671875" style="1110" customWidth="1"/>
    <col min="3" max="3" width="15.88671875" style="1110" customWidth="1"/>
    <col min="4" max="4" width="13.6640625" style="1110" customWidth="1"/>
    <col min="5" max="5" width="27.77734375" style="1110" customWidth="1"/>
    <col min="6" max="6" width="23.33203125" style="1110" customWidth="1"/>
    <col min="7" max="7" width="15.5546875" style="1110" bestFit="1" customWidth="1"/>
    <col min="8" max="8" width="39.21875" style="1111" customWidth="1"/>
    <col min="9" max="9" width="11.21875" style="1110" bestFit="1" customWidth="1"/>
    <col min="10" max="10" width="24" style="1112" customWidth="1"/>
    <col min="11" max="11" width="43.21875" style="911" hidden="1" customWidth="1"/>
    <col min="12" max="13" width="0" style="911" hidden="1" customWidth="1"/>
    <col min="14" max="14" width="25.109375" style="1113" customWidth="1"/>
    <col min="15" max="15" width="9.33203125" style="911" customWidth="1"/>
    <col min="16" max="16384" width="22.33203125" style="911"/>
  </cols>
  <sheetData>
    <row r="1" spans="1:15" ht="22.5">
      <c r="A1" s="1530" t="s">
        <v>128</v>
      </c>
      <c r="B1" s="1531"/>
      <c r="C1" s="1531"/>
      <c r="D1" s="1531"/>
      <c r="E1" s="1531"/>
      <c r="F1" s="1531"/>
      <c r="G1" s="1531"/>
      <c r="H1" s="1531"/>
      <c r="I1" s="1531"/>
      <c r="J1" s="1532"/>
    </row>
    <row r="2" spans="1:15">
      <c r="A2" s="912" t="s">
        <v>341</v>
      </c>
      <c r="B2" s="1140">
        <v>44218</v>
      </c>
      <c r="C2" s="913" t="s">
        <v>69</v>
      </c>
      <c r="D2" s="914">
        <v>0.5</v>
      </c>
      <c r="E2" s="915"/>
      <c r="F2" s="915"/>
      <c r="G2" s="915" t="s">
        <v>129</v>
      </c>
      <c r="H2" s="915" t="s">
        <v>6</v>
      </c>
      <c r="I2" s="915" t="s">
        <v>8</v>
      </c>
      <c r="J2" s="916" t="s">
        <v>130</v>
      </c>
      <c r="N2" s="1113" t="s">
        <v>129</v>
      </c>
    </row>
    <row r="3" spans="1:15">
      <c r="A3" s="917"/>
      <c r="B3" s="918"/>
      <c r="C3" s="913" t="s">
        <v>131</v>
      </c>
      <c r="D3" s="919">
        <v>30</v>
      </c>
      <c r="E3" s="1539" t="s">
        <v>132</v>
      </c>
      <c r="F3" s="1540"/>
      <c r="G3" s="920">
        <f>'1'!G3</f>
        <v>0</v>
      </c>
      <c r="H3" s="921">
        <f>'1'!H3</f>
        <v>0</v>
      </c>
      <c r="I3" s="921">
        <f>'1'!I3</f>
        <v>0</v>
      </c>
      <c r="J3" s="922">
        <f>'1'!J3</f>
        <v>0</v>
      </c>
      <c r="K3" s="923"/>
      <c r="L3" s="924"/>
      <c r="N3" s="1113">
        <v>0</v>
      </c>
    </row>
    <row r="4" spans="1:15">
      <c r="A4" s="925"/>
      <c r="B4" s="926"/>
      <c r="C4" s="913" t="s">
        <v>133</v>
      </c>
      <c r="D4" s="914">
        <v>0.78</v>
      </c>
      <c r="E4" s="927"/>
      <c r="F4" s="927"/>
      <c r="G4" s="927"/>
      <c r="H4" s="927"/>
      <c r="I4" s="928"/>
      <c r="J4" s="922"/>
      <c r="K4" s="929"/>
      <c r="L4" s="924"/>
    </row>
    <row r="5" spans="1:15">
      <c r="A5" s="930" t="s">
        <v>134</v>
      </c>
      <c r="B5" s="931"/>
      <c r="C5" s="931"/>
      <c r="D5" s="931" t="s">
        <v>135</v>
      </c>
      <c r="E5" s="932" t="s">
        <v>136</v>
      </c>
      <c r="F5" s="932" t="s">
        <v>123</v>
      </c>
      <c r="G5" s="933" t="s">
        <v>137</v>
      </c>
      <c r="H5" s="934" t="s">
        <v>138</v>
      </c>
      <c r="I5" s="935" t="s">
        <v>139</v>
      </c>
      <c r="J5" s="936" t="s">
        <v>140</v>
      </c>
      <c r="K5" s="937"/>
      <c r="L5" s="924"/>
      <c r="N5" s="1113" t="s">
        <v>137</v>
      </c>
    </row>
    <row r="6" spans="1:15">
      <c r="A6" s="1533" t="s">
        <v>141</v>
      </c>
      <c r="B6" s="1534"/>
      <c r="C6" s="1535"/>
      <c r="D6" s="938"/>
      <c r="E6" s="938"/>
      <c r="F6" s="938"/>
      <c r="G6" s="938"/>
      <c r="H6" s="939"/>
      <c r="I6" s="939"/>
      <c r="J6" s="940"/>
      <c r="K6" s="941"/>
      <c r="L6" s="924"/>
    </row>
    <row r="7" spans="1:15" ht="21" thickBot="1">
      <c r="A7" s="942" t="s">
        <v>142</v>
      </c>
      <c r="B7" s="943"/>
      <c r="C7" s="943"/>
      <c r="D7" s="944" t="s">
        <v>143</v>
      </c>
      <c r="E7" s="945">
        <f>'21'!F7</f>
        <v>3697202</v>
      </c>
      <c r="F7" s="945">
        <v>3716712</v>
      </c>
      <c r="G7" s="946">
        <f>F7-E7</f>
        <v>19510</v>
      </c>
      <c r="H7" s="947">
        <f>G7+'21'!H7</f>
        <v>430272</v>
      </c>
      <c r="I7" s="948">
        <f>'1'!I7</f>
        <v>12000</v>
      </c>
      <c r="J7" s="949">
        <f>H7/DAY(B2)</f>
        <v>19557.81818181818</v>
      </c>
      <c r="K7" s="950"/>
      <c r="L7" s="924"/>
      <c r="N7" s="1113">
        <v>12493</v>
      </c>
      <c r="O7" s="951">
        <f>N7-G7</f>
        <v>-7017</v>
      </c>
    </row>
    <row r="8" spans="1:15" ht="21" thickBot="1">
      <c r="A8" s="952" t="s">
        <v>144</v>
      </c>
      <c r="B8" s="953"/>
      <c r="C8" s="954"/>
      <c r="D8" s="955" t="s">
        <v>25</v>
      </c>
      <c r="E8" s="945">
        <f>'21'!F8</f>
        <v>3720125</v>
      </c>
      <c r="F8" s="956">
        <v>3739801</v>
      </c>
      <c r="G8" s="957">
        <f>F8-E8</f>
        <v>19676</v>
      </c>
      <c r="H8" s="947">
        <f>G8+'21'!H8</f>
        <v>433429</v>
      </c>
      <c r="I8" s="958">
        <f>'1'!I8</f>
        <v>12000</v>
      </c>
      <c r="J8" s="949">
        <f>H8/DAY(B2)</f>
        <v>19701.31818181818</v>
      </c>
      <c r="K8" s="950"/>
      <c r="L8" s="959"/>
      <c r="M8" s="960"/>
      <c r="N8" s="1113">
        <v>12551</v>
      </c>
      <c r="O8" s="951">
        <f t="shared" ref="O8:O71" si="0">N8-G8</f>
        <v>-7125</v>
      </c>
    </row>
    <row r="9" spans="1:15">
      <c r="A9" s="961" t="s">
        <v>145</v>
      </c>
      <c r="B9" s="962"/>
      <c r="C9" s="962"/>
      <c r="D9" s="944" t="s">
        <v>143</v>
      </c>
      <c r="E9" s="945">
        <f>'21'!F9</f>
        <v>2469578.9</v>
      </c>
      <c r="F9" s="963">
        <v>2476558.7000000002</v>
      </c>
      <c r="G9" s="946">
        <f t="shared" ref="G9:G12" si="1">F9-E9</f>
        <v>6979.8000000002794</v>
      </c>
      <c r="H9" s="947">
        <f>G9+'21'!H9</f>
        <v>71343.700000000186</v>
      </c>
      <c r="I9" s="964">
        <f>I8-J8</f>
        <v>-7701.3181818181802</v>
      </c>
      <c r="J9" s="949">
        <f>H9/DAY(B2)</f>
        <v>3242.8954545454631</v>
      </c>
      <c r="K9" s="965"/>
      <c r="L9" s="924"/>
      <c r="N9" s="1113">
        <v>12017.049999999988</v>
      </c>
      <c r="O9" s="951">
        <f t="shared" si="0"/>
        <v>5037.249999999709</v>
      </c>
    </row>
    <row r="10" spans="1:15">
      <c r="A10" s="942" t="s">
        <v>146</v>
      </c>
      <c r="B10" s="943"/>
      <c r="C10" s="943"/>
      <c r="D10" s="944" t="s">
        <v>143</v>
      </c>
      <c r="E10" s="945">
        <f>'21'!F10</f>
        <v>1081910.5</v>
      </c>
      <c r="F10" s="963">
        <v>1093781.5</v>
      </c>
      <c r="G10" s="946">
        <f t="shared" si="1"/>
        <v>11871</v>
      </c>
      <c r="H10" s="947">
        <f>G10+'21'!H10</f>
        <v>343259.58999999997</v>
      </c>
      <c r="I10" s="966"/>
      <c r="J10" s="949">
        <f>H10/DAY(B2)</f>
        <v>15602.708636363635</v>
      </c>
      <c r="K10" s="965"/>
      <c r="L10" s="924"/>
      <c r="N10" s="1113">
        <v>0</v>
      </c>
      <c r="O10" s="951">
        <f t="shared" si="0"/>
        <v>-11871</v>
      </c>
    </row>
    <row r="11" spans="1:15">
      <c r="A11" s="942" t="s">
        <v>147</v>
      </c>
      <c r="B11" s="943"/>
      <c r="C11" s="943"/>
      <c r="D11" s="944" t="s">
        <v>143</v>
      </c>
      <c r="E11" s="945">
        <f>'21'!F11</f>
        <v>35390</v>
      </c>
      <c r="F11" s="945">
        <v>35390</v>
      </c>
      <c r="G11" s="946">
        <f t="shared" si="1"/>
        <v>0</v>
      </c>
      <c r="H11" s="947">
        <f>G11+'21'!H11</f>
        <v>0</v>
      </c>
      <c r="I11" s="966"/>
      <c r="J11" s="949">
        <f>H11/DAY(B2)</f>
        <v>0</v>
      </c>
      <c r="K11" s="965"/>
      <c r="L11" s="924"/>
      <c r="N11" s="1113">
        <v>0</v>
      </c>
      <c r="O11" s="951">
        <f t="shared" si="0"/>
        <v>0</v>
      </c>
    </row>
    <row r="12" spans="1:15">
      <c r="A12" s="942" t="s">
        <v>148</v>
      </c>
      <c r="B12" s="943"/>
      <c r="C12" s="943"/>
      <c r="D12" s="944" t="s">
        <v>143</v>
      </c>
      <c r="E12" s="945">
        <f>'21'!F12</f>
        <v>37630</v>
      </c>
      <c r="F12" s="963">
        <v>37630</v>
      </c>
      <c r="G12" s="946">
        <f t="shared" si="1"/>
        <v>0</v>
      </c>
      <c r="H12" s="947">
        <f>G12+'21'!H12</f>
        <v>0</v>
      </c>
      <c r="I12" s="966"/>
      <c r="J12" s="949">
        <f>H12/DAY(B2)</f>
        <v>0</v>
      </c>
      <c r="K12" s="965"/>
      <c r="L12" s="924"/>
      <c r="N12" s="1113">
        <v>0</v>
      </c>
      <c r="O12" s="951">
        <f t="shared" si="0"/>
        <v>0</v>
      </c>
    </row>
    <row r="13" spans="1:15">
      <c r="A13" s="967" t="s">
        <v>149</v>
      </c>
      <c r="B13" s="968"/>
      <c r="C13" s="968"/>
      <c r="D13" s="944"/>
      <c r="E13" s="945"/>
      <c r="F13" s="945"/>
      <c r="G13" s="969">
        <f>G9+G10+G11+G12</f>
        <v>18850.800000000279</v>
      </c>
      <c r="H13" s="947">
        <f>G13+'21'!H13</f>
        <v>395082.29000000015</v>
      </c>
      <c r="I13" s="970">
        <f>G7-G13</f>
        <v>659.1999999997206</v>
      </c>
      <c r="J13" s="949">
        <f>H13/DAY(B2)</f>
        <v>17958.285909090915</v>
      </c>
      <c r="K13" s="965"/>
      <c r="L13" s="924"/>
      <c r="N13" s="1113">
        <v>12017.049999999988</v>
      </c>
      <c r="O13" s="951">
        <f t="shared" si="0"/>
        <v>-6833.750000000291</v>
      </c>
    </row>
    <row r="14" spans="1:15">
      <c r="A14" s="1536" t="s">
        <v>150</v>
      </c>
      <c r="B14" s="1537"/>
      <c r="C14" s="1538"/>
      <c r="D14" s="939"/>
      <c r="E14" s="939"/>
      <c r="F14" s="939"/>
      <c r="G14" s="971"/>
      <c r="H14" s="939"/>
      <c r="I14" s="939"/>
      <c r="J14" s="940"/>
      <c r="K14" s="972"/>
      <c r="L14" s="924"/>
      <c r="O14" s="951">
        <f t="shared" si="0"/>
        <v>0</v>
      </c>
    </row>
    <row r="15" spans="1:15">
      <c r="A15" s="973" t="s">
        <v>151</v>
      </c>
      <c r="B15" s="974"/>
      <c r="C15" s="974"/>
      <c r="D15" s="944" t="s">
        <v>152</v>
      </c>
      <c r="E15" s="945">
        <f>'21'!F15</f>
        <v>1586422.94</v>
      </c>
      <c r="F15" s="975">
        <v>1587326.94</v>
      </c>
      <c r="G15" s="946">
        <f>(F15-E15)</f>
        <v>904</v>
      </c>
      <c r="H15" s="947">
        <f>G15+'21'!H15</f>
        <v>18412.839999999851</v>
      </c>
      <c r="I15" s="948">
        <v>800</v>
      </c>
      <c r="J15" s="949">
        <f>H15/DAY(B2)</f>
        <v>836.94727272726595</v>
      </c>
      <c r="K15" s="965"/>
      <c r="L15" s="924"/>
      <c r="N15" s="1113">
        <v>499.20999999996275</v>
      </c>
      <c r="O15" s="951">
        <f t="shared" si="0"/>
        <v>-404.79000000003725</v>
      </c>
    </row>
    <row r="16" spans="1:15">
      <c r="A16" s="976"/>
      <c r="B16" s="977"/>
      <c r="C16" s="977"/>
      <c r="D16" s="978"/>
      <c r="E16" s="979"/>
      <c r="F16" s="979"/>
      <c r="G16" s="946"/>
      <c r="H16" s="980"/>
      <c r="I16" s="981">
        <f>I15-J15</f>
        <v>-36.947272727265954</v>
      </c>
      <c r="J16" s="982"/>
      <c r="K16" s="965"/>
      <c r="L16" s="924"/>
      <c r="O16" s="951">
        <f t="shared" si="0"/>
        <v>0</v>
      </c>
    </row>
    <row r="17" spans="1:15">
      <c r="A17" s="1536" t="s">
        <v>153</v>
      </c>
      <c r="B17" s="1537"/>
      <c r="C17" s="1538"/>
      <c r="D17" s="939"/>
      <c r="E17" s="939"/>
      <c r="F17" s="939"/>
      <c r="G17" s="983"/>
      <c r="H17" s="939"/>
      <c r="I17" s="939"/>
      <c r="J17" s="940"/>
      <c r="K17" s="965"/>
      <c r="L17" s="924"/>
      <c r="O17" s="951">
        <f t="shared" si="0"/>
        <v>0</v>
      </c>
    </row>
    <row r="18" spans="1:15">
      <c r="A18" s="1501" t="s">
        <v>154</v>
      </c>
      <c r="B18" s="1502"/>
      <c r="C18" s="1503"/>
      <c r="D18" s="944" t="s">
        <v>155</v>
      </c>
      <c r="E18" s="945">
        <f>'21'!F18</f>
        <v>13</v>
      </c>
      <c r="F18" s="975">
        <v>12</v>
      </c>
      <c r="G18" s="969">
        <f>F18*10</f>
        <v>120</v>
      </c>
      <c r="H18" s="947">
        <f>G18+'21'!H18</f>
        <v>2580</v>
      </c>
      <c r="I18" s="948">
        <f>'1'!I18</f>
        <v>65</v>
      </c>
      <c r="J18" s="949">
        <f>H18/DAY(B2)</f>
        <v>117.27272727272727</v>
      </c>
      <c r="K18" s="965"/>
      <c r="L18" s="924"/>
      <c r="N18" s="1113">
        <v>20</v>
      </c>
      <c r="O18" s="951">
        <f t="shared" si="0"/>
        <v>-100</v>
      </c>
    </row>
    <row r="19" spans="1:15">
      <c r="A19" s="1501" t="s">
        <v>71</v>
      </c>
      <c r="B19" s="1502"/>
      <c r="C19" s="1503"/>
      <c r="D19" s="944" t="s">
        <v>155</v>
      </c>
      <c r="E19" s="945">
        <f>'21'!F19</f>
        <v>132533</v>
      </c>
      <c r="F19" s="975">
        <v>132590</v>
      </c>
      <c r="G19" s="946">
        <f t="shared" ref="G19" si="2">F19-E19</f>
        <v>57</v>
      </c>
      <c r="H19" s="947">
        <f>G19+'21'!H19</f>
        <v>1097</v>
      </c>
      <c r="I19" s="984"/>
      <c r="J19" s="949">
        <f>H19/DAY(B2)</f>
        <v>49.863636363636367</v>
      </c>
      <c r="K19" s="965"/>
      <c r="L19" s="924"/>
      <c r="N19" s="1113">
        <v>53</v>
      </c>
      <c r="O19" s="951">
        <f t="shared" si="0"/>
        <v>-4</v>
      </c>
    </row>
    <row r="20" spans="1:15">
      <c r="A20" s="967" t="s">
        <v>156</v>
      </c>
      <c r="B20" s="968"/>
      <c r="C20" s="968"/>
      <c r="D20" s="985"/>
      <c r="E20" s="985"/>
      <c r="F20" s="985"/>
      <c r="G20" s="986">
        <f>G18+G19</f>
        <v>177</v>
      </c>
      <c r="H20" s="947">
        <f>G20+'21'!H20</f>
        <v>3677</v>
      </c>
      <c r="I20" s="987">
        <f>I18-J20</f>
        <v>-102.13636363636363</v>
      </c>
      <c r="J20" s="949">
        <f>H20/DAY(B2)</f>
        <v>167.13636363636363</v>
      </c>
      <c r="K20" s="965"/>
      <c r="L20" s="924"/>
      <c r="N20" s="1113">
        <v>73</v>
      </c>
      <c r="O20" s="951">
        <f t="shared" si="0"/>
        <v>-104</v>
      </c>
    </row>
    <row r="21" spans="1:15">
      <c r="A21" s="1536" t="s">
        <v>157</v>
      </c>
      <c r="B21" s="1537"/>
      <c r="C21" s="1538"/>
      <c r="D21" s="939"/>
      <c r="E21" s="939"/>
      <c r="F21" s="939"/>
      <c r="G21" s="971"/>
      <c r="H21" s="939"/>
      <c r="I21" s="939"/>
      <c r="J21" s="940"/>
      <c r="K21" s="965"/>
      <c r="L21" s="924"/>
      <c r="O21" s="951">
        <f t="shared" si="0"/>
        <v>0</v>
      </c>
    </row>
    <row r="22" spans="1:15">
      <c r="A22" s="973" t="s">
        <v>158</v>
      </c>
      <c r="B22" s="974"/>
      <c r="C22" s="974"/>
      <c r="D22" s="944" t="s">
        <v>159</v>
      </c>
      <c r="E22" s="975">
        <f>'21'!F22</f>
        <v>2250</v>
      </c>
      <c r="F22" s="975">
        <v>2250</v>
      </c>
      <c r="G22" s="969">
        <f>(F22-E22)</f>
        <v>0</v>
      </c>
      <c r="H22" s="947">
        <f>G22+'21'!H22</f>
        <v>0</v>
      </c>
      <c r="I22" s="966"/>
      <c r="J22" s="949">
        <f>H22/DAY(B2)</f>
        <v>0</v>
      </c>
      <c r="K22" s="965"/>
      <c r="L22" s="924"/>
      <c r="N22" s="1113">
        <v>0</v>
      </c>
      <c r="O22" s="951">
        <f t="shared" si="0"/>
        <v>0</v>
      </c>
    </row>
    <row r="23" spans="1:15">
      <c r="A23" s="973" t="s">
        <v>160</v>
      </c>
      <c r="B23" s="974"/>
      <c r="C23" s="974"/>
      <c r="D23" s="944" t="s">
        <v>159</v>
      </c>
      <c r="E23" s="975">
        <f>'21'!F23</f>
        <v>2000</v>
      </c>
      <c r="F23" s="975">
        <v>2000</v>
      </c>
      <c r="G23" s="969">
        <v>0</v>
      </c>
      <c r="H23" s="947">
        <f>G23+'21'!H23</f>
        <v>0</v>
      </c>
      <c r="I23" s="966"/>
      <c r="J23" s="949">
        <f>H23/DAY(B2)</f>
        <v>0</v>
      </c>
      <c r="K23" s="965"/>
      <c r="L23" s="924"/>
      <c r="N23" s="1113">
        <v>0</v>
      </c>
      <c r="O23" s="951">
        <f t="shared" si="0"/>
        <v>0</v>
      </c>
    </row>
    <row r="24" spans="1:15">
      <c r="A24" s="988" t="s">
        <v>161</v>
      </c>
      <c r="B24" s="989"/>
      <c r="C24" s="989"/>
      <c r="D24" s="931" t="s">
        <v>159</v>
      </c>
      <c r="E24" s="975">
        <f>'21'!F24</f>
        <v>4970</v>
      </c>
      <c r="F24" s="990">
        <v>4970</v>
      </c>
      <c r="G24" s="969">
        <v>0</v>
      </c>
      <c r="H24" s="947">
        <f>G24+'21'!H24</f>
        <v>0</v>
      </c>
      <c r="I24" s="966"/>
      <c r="J24" s="949">
        <f>H24/DAY(B2)</f>
        <v>0</v>
      </c>
      <c r="K24" s="965"/>
      <c r="L24" s="924"/>
      <c r="N24" s="1113">
        <v>0</v>
      </c>
      <c r="O24" s="951">
        <f t="shared" si="0"/>
        <v>0</v>
      </c>
    </row>
    <row r="25" spans="1:15" s="996" customFormat="1">
      <c r="A25" s="1533" t="s">
        <v>162</v>
      </c>
      <c r="B25" s="1534"/>
      <c r="C25" s="1535"/>
      <c r="D25" s="938"/>
      <c r="E25" s="938"/>
      <c r="F25" s="938"/>
      <c r="G25" s="991"/>
      <c r="H25" s="992"/>
      <c r="I25" s="993"/>
      <c r="J25" s="994"/>
      <c r="K25" s="965"/>
      <c r="L25" s="995"/>
      <c r="N25" s="1114"/>
      <c r="O25" s="951">
        <f t="shared" si="0"/>
        <v>0</v>
      </c>
    </row>
    <row r="26" spans="1:15" s="996" customFormat="1">
      <c r="A26" s="997" t="s">
        <v>163</v>
      </c>
      <c r="B26" s="998"/>
      <c r="C26" s="999"/>
      <c r="D26" s="1000" t="s">
        <v>164</v>
      </c>
      <c r="E26" s="1001"/>
      <c r="F26" s="1001"/>
      <c r="G26" s="1002"/>
      <c r="H26" s="947"/>
      <c r="I26" s="1003"/>
      <c r="J26" s="949"/>
      <c r="K26" s="972"/>
      <c r="L26" s="995"/>
      <c r="N26" s="1114"/>
      <c r="O26" s="951">
        <f t="shared" si="0"/>
        <v>0</v>
      </c>
    </row>
    <row r="27" spans="1:15" s="996" customFormat="1" ht="22.5">
      <c r="A27" s="997" t="s">
        <v>6</v>
      </c>
      <c r="B27" s="998"/>
      <c r="C27" s="999"/>
      <c r="D27" s="1004" t="s">
        <v>25</v>
      </c>
      <c r="E27" s="1005">
        <f>G8</f>
        <v>19676</v>
      </c>
      <c r="F27" s="577">
        <v>9</v>
      </c>
      <c r="G27" s="1007">
        <f>E27*F27</f>
        <v>177084</v>
      </c>
      <c r="H27" s="947">
        <f>G27+'21'!H27</f>
        <v>3918936</v>
      </c>
      <c r="I27" s="1008"/>
      <c r="J27" s="949">
        <f>H27/DAY(B2)</f>
        <v>178133.45454545456</v>
      </c>
      <c r="K27" s="965"/>
      <c r="L27" s="995"/>
      <c r="N27" s="1114">
        <v>125510</v>
      </c>
      <c r="O27" s="951">
        <f t="shared" si="0"/>
        <v>-51574</v>
      </c>
    </row>
    <row r="28" spans="1:15" s="996" customFormat="1" ht="22.5">
      <c r="A28" s="997" t="s">
        <v>165</v>
      </c>
      <c r="B28" s="998"/>
      <c r="C28" s="999"/>
      <c r="D28" s="1004" t="s">
        <v>166</v>
      </c>
      <c r="E28" s="1005">
        <f>G15</f>
        <v>904</v>
      </c>
      <c r="F28" s="577">
        <v>41</v>
      </c>
      <c r="G28" s="1007">
        <f>E28*F28</f>
        <v>37064</v>
      </c>
      <c r="H28" s="947">
        <f>G28+'21'!H28</f>
        <v>753685.0799999939</v>
      </c>
      <c r="I28" s="1009"/>
      <c r="J28" s="949">
        <f>H28/DAY(B2)</f>
        <v>34258.412727272451</v>
      </c>
      <c r="K28" s="965"/>
      <c r="L28" s="995"/>
      <c r="N28" s="1114">
        <v>17472.349999998696</v>
      </c>
      <c r="O28" s="951">
        <f t="shared" si="0"/>
        <v>-19591.650000001304</v>
      </c>
    </row>
    <row r="29" spans="1:15" s="996" customFormat="1">
      <c r="A29" s="997" t="s">
        <v>167</v>
      </c>
      <c r="B29" s="998"/>
      <c r="C29" s="999"/>
      <c r="D29" s="1004" t="s">
        <v>168</v>
      </c>
      <c r="E29" s="1005">
        <f>G24</f>
        <v>0</v>
      </c>
      <c r="F29" s="1006">
        <v>69</v>
      </c>
      <c r="G29" s="1007">
        <f>E29*F29</f>
        <v>0</v>
      </c>
      <c r="H29" s="947">
        <f>G29+'21'!H29</f>
        <v>0</v>
      </c>
      <c r="I29" s="1009"/>
      <c r="J29" s="949">
        <f>H29/DAY(B2)</f>
        <v>0</v>
      </c>
      <c r="K29" s="965"/>
      <c r="L29" s="995"/>
      <c r="N29" s="1114">
        <v>0</v>
      </c>
      <c r="O29" s="951">
        <f t="shared" si="0"/>
        <v>0</v>
      </c>
    </row>
    <row r="30" spans="1:15" s="996" customFormat="1">
      <c r="A30" s="997" t="s">
        <v>169</v>
      </c>
      <c r="B30" s="998"/>
      <c r="C30" s="999"/>
      <c r="D30" s="1004" t="s">
        <v>170</v>
      </c>
      <c r="E30" s="1005">
        <f>G19</f>
        <v>57</v>
      </c>
      <c r="F30" s="1006">
        <v>134</v>
      </c>
      <c r="G30" s="1007">
        <f>E30*F30</f>
        <v>7638</v>
      </c>
      <c r="H30" s="947">
        <f>G30+'21'!H30</f>
        <v>146998</v>
      </c>
      <c r="I30" s="1009"/>
      <c r="J30" s="949">
        <f>H30/DAY(B2)</f>
        <v>6681.727272727273</v>
      </c>
      <c r="K30" s="965"/>
      <c r="L30" s="995"/>
      <c r="N30" s="1114">
        <v>7102</v>
      </c>
      <c r="O30" s="951">
        <f t="shared" si="0"/>
        <v>-536</v>
      </c>
    </row>
    <row r="31" spans="1:15" s="996" customFormat="1">
      <c r="A31" s="997" t="s">
        <v>171</v>
      </c>
      <c r="B31" s="998"/>
      <c r="C31" s="999"/>
      <c r="D31" s="1004" t="s">
        <v>155</v>
      </c>
      <c r="E31" s="1005">
        <f>G18</f>
        <v>120</v>
      </c>
      <c r="F31" s="1006">
        <v>80</v>
      </c>
      <c r="G31" s="1007">
        <f>E31*F31</f>
        <v>9600</v>
      </c>
      <c r="H31" s="947">
        <f>G31+'21'!H31</f>
        <v>206400</v>
      </c>
      <c r="I31" s="1009"/>
      <c r="J31" s="949"/>
      <c r="K31" s="965"/>
      <c r="L31" s="995"/>
      <c r="N31" s="1114">
        <v>1600</v>
      </c>
      <c r="O31" s="951">
        <f t="shared" si="0"/>
        <v>-8000</v>
      </c>
    </row>
    <row r="32" spans="1:15" s="996" customFormat="1">
      <c r="A32" s="1010" t="s">
        <v>172</v>
      </c>
      <c r="B32" s="1011"/>
      <c r="C32" s="1012"/>
      <c r="D32" s="1013"/>
      <c r="E32" s="1013"/>
      <c r="F32" s="1013"/>
      <c r="G32" s="1014">
        <f>G27+G28+G29+G30+G31</f>
        <v>231386</v>
      </c>
      <c r="H32" s="947">
        <f>G32+'21'!H32</f>
        <v>5026019.0799999945</v>
      </c>
      <c r="I32" s="1015"/>
      <c r="J32" s="949">
        <f>H32/DAY(B2)</f>
        <v>228455.41272727249</v>
      </c>
      <c r="K32" s="965"/>
      <c r="L32" s="995"/>
      <c r="N32" s="1114">
        <v>151684.3499999987</v>
      </c>
      <c r="O32" s="951">
        <f t="shared" si="0"/>
        <v>-79701.650000001304</v>
      </c>
    </row>
    <row r="33" spans="1:15" ht="18.75">
      <c r="A33" s="1541" t="s">
        <v>173</v>
      </c>
      <c r="B33" s="1542"/>
      <c r="C33" s="1542"/>
      <c r="D33" s="1542"/>
      <c r="E33" s="1542"/>
      <c r="F33" s="1542"/>
      <c r="G33" s="1542"/>
      <c r="H33" s="1542"/>
      <c r="I33" s="1542"/>
      <c r="J33" s="1543"/>
      <c r="K33" s="965"/>
      <c r="L33" s="924"/>
      <c r="O33" s="951">
        <f t="shared" si="0"/>
        <v>0</v>
      </c>
    </row>
    <row r="34" spans="1:15">
      <c r="A34" s="1016" t="s">
        <v>174</v>
      </c>
      <c r="B34" s="1017"/>
      <c r="C34" s="1017"/>
      <c r="D34" s="939"/>
      <c r="E34" s="938"/>
      <c r="F34" s="938"/>
      <c r="G34" s="939"/>
      <c r="H34" s="939"/>
      <c r="I34" s="939"/>
      <c r="J34" s="940"/>
      <c r="K34" s="965"/>
      <c r="L34" s="924"/>
      <c r="O34" s="951">
        <f t="shared" si="0"/>
        <v>0</v>
      </c>
    </row>
    <row r="35" spans="1:15">
      <c r="A35" s="942" t="s">
        <v>175</v>
      </c>
      <c r="B35" s="943"/>
      <c r="C35" s="943"/>
      <c r="D35" s="944" t="s">
        <v>143</v>
      </c>
      <c r="E35" s="945">
        <f>'21'!F35</f>
        <v>629027.67000000004</v>
      </c>
      <c r="F35" s="1018">
        <v>629027.67000000004</v>
      </c>
      <c r="G35" s="946">
        <f t="shared" ref="G35:G46" si="3">F35-E35</f>
        <v>0</v>
      </c>
      <c r="H35" s="947">
        <f>G35+'21'!H35</f>
        <v>0.67000000004190952</v>
      </c>
      <c r="I35" s="945"/>
      <c r="J35" s="949">
        <f>H35/DAY(B2)</f>
        <v>3.0454545456450433E-2</v>
      </c>
      <c r="K35" s="965"/>
      <c r="L35" s="924"/>
      <c r="N35" s="1113">
        <v>1529.8400000000256</v>
      </c>
      <c r="O35" s="951">
        <f t="shared" si="0"/>
        <v>1529.8400000000256</v>
      </c>
    </row>
    <row r="36" spans="1:15">
      <c r="A36" s="942" t="s">
        <v>176</v>
      </c>
      <c r="B36" s="943"/>
      <c r="C36" s="943"/>
      <c r="D36" s="944" t="s">
        <v>143</v>
      </c>
      <c r="E36" s="945">
        <f>'21'!F36</f>
        <v>269668.03000000003</v>
      </c>
      <c r="F36" s="1018">
        <v>270339.78999999998</v>
      </c>
      <c r="G36" s="946">
        <f t="shared" si="3"/>
        <v>671.75999999995111</v>
      </c>
      <c r="H36" s="947">
        <f>G36+'21'!H36</f>
        <v>15248.719999999972</v>
      </c>
      <c r="I36" s="945"/>
      <c r="J36" s="949">
        <f>H36/DAY(B2)</f>
        <v>693.12363636363511</v>
      </c>
      <c r="K36" s="965"/>
      <c r="L36" s="924"/>
      <c r="N36" s="1113">
        <v>466.20999999999185</v>
      </c>
      <c r="O36" s="951">
        <f t="shared" si="0"/>
        <v>-205.54999999995925</v>
      </c>
    </row>
    <row r="37" spans="1:15">
      <c r="A37" s="942" t="s">
        <v>177</v>
      </c>
      <c r="B37" s="943"/>
      <c r="C37" s="943"/>
      <c r="D37" s="944" t="s">
        <v>143</v>
      </c>
      <c r="E37" s="945">
        <f>'21'!F37</f>
        <v>415066</v>
      </c>
      <c r="F37" s="1018">
        <v>415066</v>
      </c>
      <c r="G37" s="946">
        <f t="shared" si="3"/>
        <v>0</v>
      </c>
      <c r="H37" s="947">
        <f>G37+'21'!H37</f>
        <v>0</v>
      </c>
      <c r="I37" s="945"/>
      <c r="J37" s="949">
        <f>H37/DAY(B2)</f>
        <v>0</v>
      </c>
      <c r="K37" s="965"/>
      <c r="L37" s="924"/>
      <c r="N37" s="1113">
        <v>1215.359999999986</v>
      </c>
      <c r="O37" s="951">
        <f t="shared" si="0"/>
        <v>1215.359999999986</v>
      </c>
    </row>
    <row r="38" spans="1:15">
      <c r="A38" s="942" t="s">
        <v>178</v>
      </c>
      <c r="B38" s="943"/>
      <c r="C38" s="943"/>
      <c r="D38" s="944" t="s">
        <v>143</v>
      </c>
      <c r="E38" s="945">
        <f>'21'!F38</f>
        <v>150714.38</v>
      </c>
      <c r="F38" s="934">
        <v>150714.38</v>
      </c>
      <c r="G38" s="946">
        <f t="shared" si="3"/>
        <v>0</v>
      </c>
      <c r="H38" s="947">
        <f>G38+'21'!H38</f>
        <v>0.38000000000465661</v>
      </c>
      <c r="I38" s="945"/>
      <c r="J38" s="949">
        <f>H38/DAY(B2)</f>
        <v>1.7272727272938937E-2</v>
      </c>
      <c r="K38" s="965"/>
      <c r="L38" s="924"/>
      <c r="N38" s="1113">
        <v>0</v>
      </c>
      <c r="O38" s="951">
        <f t="shared" si="0"/>
        <v>0</v>
      </c>
    </row>
    <row r="39" spans="1:15">
      <c r="A39" s="942" t="s">
        <v>179</v>
      </c>
      <c r="B39" s="943"/>
      <c r="C39" s="943"/>
      <c r="D39" s="944" t="s">
        <v>143</v>
      </c>
      <c r="E39" s="945">
        <f>'21'!F39</f>
        <v>912480</v>
      </c>
      <c r="F39" s="1018">
        <v>912480</v>
      </c>
      <c r="G39" s="946">
        <f t="shared" si="3"/>
        <v>0</v>
      </c>
      <c r="H39" s="947">
        <f>G39+'21'!H39</f>
        <v>0</v>
      </c>
      <c r="I39" s="945"/>
      <c r="J39" s="949">
        <f>H39/DAY(B2)</f>
        <v>0</v>
      </c>
      <c r="K39" s="965"/>
      <c r="L39" s="924"/>
      <c r="N39" s="1113">
        <v>2046.7600000000093</v>
      </c>
      <c r="O39" s="951">
        <f t="shared" si="0"/>
        <v>2046.7600000000093</v>
      </c>
    </row>
    <row r="40" spans="1:15">
      <c r="A40" s="1019" t="s">
        <v>180</v>
      </c>
      <c r="B40" s="1020"/>
      <c r="C40" s="1020"/>
      <c r="D40" s="944" t="s">
        <v>143</v>
      </c>
      <c r="E40" s="945">
        <f>'21'!F40</f>
        <v>0</v>
      </c>
      <c r="F40" s="1018">
        <v>0</v>
      </c>
      <c r="G40" s="946">
        <f t="shared" si="3"/>
        <v>0</v>
      </c>
      <c r="H40" s="947">
        <f>G40+'21'!H40</f>
        <v>0</v>
      </c>
      <c r="I40" s="945"/>
      <c r="J40" s="949">
        <f>H40/DAY(B2)</f>
        <v>0</v>
      </c>
      <c r="K40" s="972"/>
      <c r="L40" s="924"/>
      <c r="N40" s="1113">
        <v>0</v>
      </c>
      <c r="O40" s="951">
        <f t="shared" si="0"/>
        <v>0</v>
      </c>
    </row>
    <row r="41" spans="1:15">
      <c r="A41" s="942" t="s">
        <v>181</v>
      </c>
      <c r="B41" s="943"/>
      <c r="C41" s="943"/>
      <c r="D41" s="944" t="s">
        <v>143</v>
      </c>
      <c r="E41" s="945">
        <f>'21'!F41</f>
        <v>6244.17</v>
      </c>
      <c r="F41" s="1018">
        <v>10456.540000000001</v>
      </c>
      <c r="G41" s="946">
        <f t="shared" si="3"/>
        <v>4212.3700000000008</v>
      </c>
      <c r="H41" s="947">
        <f>G41+'21'!H41</f>
        <v>10456.540000000001</v>
      </c>
      <c r="I41" s="945"/>
      <c r="J41" s="949">
        <f>H41/DAY(B2)</f>
        <v>475.29727272727274</v>
      </c>
      <c r="K41" s="965"/>
      <c r="L41" s="924"/>
      <c r="N41" s="1113">
        <v>0.95000000001164153</v>
      </c>
      <c r="O41" s="951">
        <f t="shared" si="0"/>
        <v>-4211.4199999999892</v>
      </c>
    </row>
    <row r="42" spans="1:15">
      <c r="A42" s="942" t="s">
        <v>182</v>
      </c>
      <c r="B42" s="943"/>
      <c r="C42" s="943"/>
      <c r="D42" s="944" t="s">
        <v>143</v>
      </c>
      <c r="E42" s="945">
        <f>'21'!F42</f>
        <v>58926.09</v>
      </c>
      <c r="F42" s="1018">
        <v>58926.09</v>
      </c>
      <c r="G42" s="946">
        <f t="shared" si="3"/>
        <v>0</v>
      </c>
      <c r="H42" s="947">
        <f>G42+'21'!H42</f>
        <v>0</v>
      </c>
      <c r="I42" s="945"/>
      <c r="J42" s="949">
        <f>H42/DAY(B2)</f>
        <v>0</v>
      </c>
      <c r="K42" s="965"/>
      <c r="L42" s="924"/>
      <c r="N42" s="1113">
        <v>3270.130000000001</v>
      </c>
      <c r="O42" s="951">
        <f t="shared" si="0"/>
        <v>3270.130000000001</v>
      </c>
    </row>
    <row r="43" spans="1:15">
      <c r="A43" s="942" t="s">
        <v>183</v>
      </c>
      <c r="B43" s="943"/>
      <c r="C43" s="943"/>
      <c r="D43" s="944" t="s">
        <v>143</v>
      </c>
      <c r="E43" s="945">
        <f>'21'!F43</f>
        <v>744481.03</v>
      </c>
      <c r="F43" s="1018">
        <v>746869.11</v>
      </c>
      <c r="G43" s="946">
        <f>F43-E43</f>
        <v>2388.0799999999581</v>
      </c>
      <c r="H43" s="947">
        <f>G43+'21'!H43</f>
        <v>48615.679999999935</v>
      </c>
      <c r="I43" s="945"/>
      <c r="J43" s="949">
        <f>H43/DAY(B2)</f>
        <v>2209.8036363636334</v>
      </c>
      <c r="K43" s="965"/>
      <c r="L43" s="924"/>
      <c r="N43" s="1113">
        <v>1586.2399999999907</v>
      </c>
      <c r="O43" s="951">
        <f t="shared" si="0"/>
        <v>-801.8399999999674</v>
      </c>
    </row>
    <row r="44" spans="1:15">
      <c r="A44" s="942" t="s">
        <v>184</v>
      </c>
      <c r="B44" s="943"/>
      <c r="C44" s="943"/>
      <c r="D44" s="944" t="s">
        <v>143</v>
      </c>
      <c r="E44" s="945">
        <f>'21'!F44</f>
        <v>0</v>
      </c>
      <c r="F44" s="1018">
        <v>0</v>
      </c>
      <c r="G44" s="946">
        <f t="shared" si="3"/>
        <v>0</v>
      </c>
      <c r="H44" s="947">
        <f>G44+'21'!H44</f>
        <v>0</v>
      </c>
      <c r="I44" s="945"/>
      <c r="J44" s="949">
        <f>H44/DAY(B2)</f>
        <v>0</v>
      </c>
      <c r="K44" s="965"/>
      <c r="L44" s="924"/>
      <c r="N44" s="1113">
        <v>0</v>
      </c>
      <c r="O44" s="951">
        <f t="shared" si="0"/>
        <v>0</v>
      </c>
    </row>
    <row r="45" spans="1:15">
      <c r="A45" s="942" t="s">
        <v>185</v>
      </c>
      <c r="B45" s="943"/>
      <c r="C45" s="943"/>
      <c r="D45" s="944" t="s">
        <v>143</v>
      </c>
      <c r="E45" s="945">
        <f>'21'!F45</f>
        <v>614</v>
      </c>
      <c r="F45" s="1018">
        <v>614</v>
      </c>
      <c r="G45" s="946">
        <f t="shared" si="3"/>
        <v>0</v>
      </c>
      <c r="H45" s="947">
        <f>G45+'21'!H45</f>
        <v>-0.48000000000001819</v>
      </c>
      <c r="I45" s="945"/>
      <c r="J45" s="949">
        <f>H45/DAY(B2)</f>
        <v>-2.1818181818182646E-2</v>
      </c>
      <c r="K45" s="965"/>
      <c r="L45" s="924"/>
      <c r="N45" s="1113">
        <v>0.48000000000001819</v>
      </c>
      <c r="O45" s="951">
        <f t="shared" si="0"/>
        <v>0.48000000000001819</v>
      </c>
    </row>
    <row r="46" spans="1:15">
      <c r="A46" s="942" t="s">
        <v>186</v>
      </c>
      <c r="B46" s="943"/>
      <c r="C46" s="943"/>
      <c r="D46" s="944" t="s">
        <v>143</v>
      </c>
      <c r="E46" s="945">
        <f>'21'!F46</f>
        <v>187.44</v>
      </c>
      <c r="F46" s="1018">
        <v>187</v>
      </c>
      <c r="G46" s="946">
        <f t="shared" si="3"/>
        <v>-0.43999999999999773</v>
      </c>
      <c r="H46" s="947">
        <f>G46+'21'!H46</f>
        <v>-0.49000000000000909</v>
      </c>
      <c r="I46" s="945"/>
      <c r="J46" s="949">
        <f>H46/DAY(B2)</f>
        <v>-2.2272727272727687E-2</v>
      </c>
      <c r="K46" s="965"/>
      <c r="L46" s="924"/>
      <c r="N46" s="1113">
        <v>0</v>
      </c>
      <c r="O46" s="951">
        <f t="shared" si="0"/>
        <v>0.43999999999999773</v>
      </c>
    </row>
    <row r="47" spans="1:15">
      <c r="A47" s="967" t="s">
        <v>187</v>
      </c>
      <c r="B47" s="968"/>
      <c r="C47" s="968"/>
      <c r="D47" s="935"/>
      <c r="E47" s="931"/>
      <c r="F47" s="931"/>
      <c r="G47" s="969">
        <f>G35+G36+G37+G38+G39+G40+G41+G42+G43+G44+G45+G46</f>
        <v>7271.7699999999104</v>
      </c>
      <c r="H47" s="947">
        <f>G47+'21'!H47</f>
        <v>74321.01999999996</v>
      </c>
      <c r="I47" s="945"/>
      <c r="J47" s="949">
        <f>H47/DAY(B2)</f>
        <v>3378.22818181818</v>
      </c>
      <c r="K47" s="965"/>
      <c r="L47" s="924"/>
      <c r="N47" s="1115">
        <v>10115.970000000016</v>
      </c>
      <c r="O47" s="951">
        <f t="shared" si="0"/>
        <v>2844.2000000001053</v>
      </c>
    </row>
    <row r="48" spans="1:15">
      <c r="A48" s="1016" t="s">
        <v>188</v>
      </c>
      <c r="B48" s="1017"/>
      <c r="C48" s="1017"/>
      <c r="D48" s="939"/>
      <c r="E48" s="938"/>
      <c r="F48" s="938"/>
      <c r="G48" s="939"/>
      <c r="H48" s="939"/>
      <c r="I48" s="939"/>
      <c r="J48" s="940"/>
      <c r="K48" s="965"/>
      <c r="L48" s="924"/>
      <c r="O48" s="951">
        <f t="shared" si="0"/>
        <v>0</v>
      </c>
    </row>
    <row r="49" spans="1:15">
      <c r="A49" s="942" t="s">
        <v>175</v>
      </c>
      <c r="B49" s="1021"/>
      <c r="C49" s="1021"/>
      <c r="D49" s="944" t="s">
        <v>143</v>
      </c>
      <c r="E49" s="945">
        <f>'21'!F49</f>
        <v>214778.53</v>
      </c>
      <c r="F49" s="1018">
        <v>217967</v>
      </c>
      <c r="G49" s="946">
        <f t="shared" ref="G49:G58" si="4">F49-E49</f>
        <v>3188.4700000000012</v>
      </c>
      <c r="H49" s="947">
        <f>G49+'21'!H49</f>
        <v>65562</v>
      </c>
      <c r="I49" s="945"/>
      <c r="J49" s="949">
        <f>H49/DAY(B2)</f>
        <v>2980.090909090909</v>
      </c>
      <c r="K49" s="965"/>
      <c r="L49" s="924"/>
      <c r="N49" s="1113">
        <v>0</v>
      </c>
      <c r="O49" s="951">
        <f t="shared" si="0"/>
        <v>-3188.4700000000012</v>
      </c>
    </row>
    <row r="50" spans="1:15">
      <c r="A50" s="942" t="s">
        <v>189</v>
      </c>
      <c r="B50" s="1021"/>
      <c r="C50" s="1021"/>
      <c r="D50" s="944" t="s">
        <v>143</v>
      </c>
      <c r="E50" s="945">
        <f>'21'!F50</f>
        <v>357825.51</v>
      </c>
      <c r="F50" s="1018">
        <v>358855.35</v>
      </c>
      <c r="G50" s="946">
        <f t="shared" si="4"/>
        <v>1029.8399999999674</v>
      </c>
      <c r="H50" s="947">
        <f>G50+'21'!H50</f>
        <v>22637.919999999984</v>
      </c>
      <c r="I50" s="945"/>
      <c r="J50" s="949">
        <f>H50/DAY(B2)</f>
        <v>1028.996363636363</v>
      </c>
      <c r="K50" s="965"/>
      <c r="L50" s="924"/>
      <c r="N50" s="1113">
        <v>812.01999999998952</v>
      </c>
      <c r="O50" s="951">
        <f t="shared" si="0"/>
        <v>-217.81999999997788</v>
      </c>
    </row>
    <row r="51" spans="1:15">
      <c r="A51" s="942" t="s">
        <v>177</v>
      </c>
      <c r="B51" s="1021"/>
      <c r="C51" s="1021"/>
      <c r="D51" s="944" t="s">
        <v>143</v>
      </c>
      <c r="E51" s="945">
        <f>'21'!F51</f>
        <v>95230.83</v>
      </c>
      <c r="F51" s="1018">
        <v>96722.97</v>
      </c>
      <c r="G51" s="946">
        <f t="shared" si="4"/>
        <v>1492.1399999999994</v>
      </c>
      <c r="H51" s="947">
        <f>G51+'21'!H51</f>
        <v>30564.86</v>
      </c>
      <c r="I51" s="945"/>
      <c r="J51" s="949">
        <f>H51/DAY(B2)</f>
        <v>1389.3118181818181</v>
      </c>
      <c r="K51" s="965"/>
      <c r="L51" s="924"/>
      <c r="N51" s="1113">
        <v>0</v>
      </c>
      <c r="O51" s="951">
        <f t="shared" si="0"/>
        <v>-1492.1399999999994</v>
      </c>
    </row>
    <row r="52" spans="1:15">
      <c r="A52" s="942" t="s">
        <v>190</v>
      </c>
      <c r="B52" s="1021"/>
      <c r="C52" s="1021"/>
      <c r="D52" s="944" t="s">
        <v>143</v>
      </c>
      <c r="E52" s="945">
        <f>'21'!F52</f>
        <v>474960.75</v>
      </c>
      <c r="F52" s="1018">
        <v>476838.55</v>
      </c>
      <c r="G52" s="946">
        <f t="shared" si="4"/>
        <v>1877.7999999999884</v>
      </c>
      <c r="H52" s="947">
        <f>G52+'21'!H52</f>
        <v>41562.919999999984</v>
      </c>
      <c r="I52" s="945"/>
      <c r="J52" s="949">
        <f>H52/DAY(B2)</f>
        <v>1889.2236363636357</v>
      </c>
      <c r="K52" s="965"/>
      <c r="L52" s="924"/>
      <c r="N52" s="1113">
        <v>1058.2600000000093</v>
      </c>
      <c r="O52" s="951">
        <f t="shared" si="0"/>
        <v>-819.53999999997905</v>
      </c>
    </row>
    <row r="53" spans="1:15">
      <c r="A53" s="942" t="s">
        <v>179</v>
      </c>
      <c r="B53" s="1021"/>
      <c r="C53" s="1021"/>
      <c r="D53" s="944" t="s">
        <v>143</v>
      </c>
      <c r="E53" s="945">
        <f>'21'!F53</f>
        <v>262473.69</v>
      </c>
      <c r="F53" s="1018">
        <v>266549.28999999998</v>
      </c>
      <c r="G53" s="946">
        <f t="shared" si="4"/>
        <v>4075.5999999999767</v>
      </c>
      <c r="H53" s="947">
        <f>G53+'21'!H53</f>
        <v>85484.319999999978</v>
      </c>
      <c r="I53" s="945"/>
      <c r="J53" s="949">
        <f>H53/DAY(B2)</f>
        <v>3885.650909090908</v>
      </c>
      <c r="K53" s="965"/>
      <c r="L53" s="924"/>
      <c r="N53" s="1113">
        <v>104.8799999999992</v>
      </c>
      <c r="O53" s="951">
        <f t="shared" si="0"/>
        <v>-3970.7199999999775</v>
      </c>
    </row>
    <row r="54" spans="1:15">
      <c r="A54" s="942" t="s">
        <v>191</v>
      </c>
      <c r="B54" s="1021"/>
      <c r="C54" s="1021"/>
      <c r="D54" s="944" t="s">
        <v>143</v>
      </c>
      <c r="E54" s="945">
        <f>'21'!F54</f>
        <v>5798.53</v>
      </c>
      <c r="F54" s="1018">
        <v>5859.71</v>
      </c>
      <c r="G54" s="946">
        <f t="shared" si="4"/>
        <v>61.180000000000291</v>
      </c>
      <c r="H54" s="947">
        <f>G54+'21'!H54</f>
        <v>1213.17</v>
      </c>
      <c r="I54" s="945"/>
      <c r="J54" s="949">
        <f>H54/DAY(B2)</f>
        <v>55.144090909090913</v>
      </c>
      <c r="K54" s="965"/>
      <c r="L54" s="924"/>
      <c r="N54" s="1113">
        <v>0</v>
      </c>
      <c r="O54" s="951">
        <f t="shared" si="0"/>
        <v>-61.180000000000291</v>
      </c>
    </row>
    <row r="55" spans="1:15">
      <c r="A55" s="942" t="s">
        <v>192</v>
      </c>
      <c r="B55" s="1021"/>
      <c r="C55" s="1021"/>
      <c r="D55" s="944" t="s">
        <v>143</v>
      </c>
      <c r="E55" s="945">
        <f>'21'!F55</f>
        <v>39120.58</v>
      </c>
      <c r="F55" s="1018">
        <v>39120.58</v>
      </c>
      <c r="G55" s="946">
        <f t="shared" si="4"/>
        <v>0</v>
      </c>
      <c r="H55" s="947">
        <f>G55+'21'!H55</f>
        <v>39120.310000000012</v>
      </c>
      <c r="I55" s="945"/>
      <c r="J55" s="949">
        <f>H55/DAY(B2)</f>
        <v>1778.1959090909097</v>
      </c>
      <c r="K55" s="965"/>
      <c r="L55" s="924"/>
      <c r="N55" s="1113">
        <v>0</v>
      </c>
      <c r="O55" s="951">
        <f t="shared" si="0"/>
        <v>0</v>
      </c>
    </row>
    <row r="56" spans="1:15">
      <c r="A56" s="942" t="s">
        <v>193</v>
      </c>
      <c r="B56" s="1021"/>
      <c r="C56" s="1021"/>
      <c r="D56" s="944" t="s">
        <v>194</v>
      </c>
      <c r="E56" s="945">
        <f>'21'!F56</f>
        <v>557728.99</v>
      </c>
      <c r="F56" s="1018">
        <v>557729.63</v>
      </c>
      <c r="G56" s="946">
        <f t="shared" si="4"/>
        <v>0.64000000001396984</v>
      </c>
      <c r="H56" s="947">
        <f>G56+'21'!H56</f>
        <v>39828.880000000005</v>
      </c>
      <c r="I56" s="945"/>
      <c r="J56" s="949">
        <f>H56/DAY(B2)</f>
        <v>1810.4036363636367</v>
      </c>
      <c r="K56" s="941"/>
      <c r="L56" s="924"/>
      <c r="N56" s="1113">
        <v>0</v>
      </c>
      <c r="O56" s="951">
        <f t="shared" si="0"/>
        <v>-0.64000000001396984</v>
      </c>
    </row>
    <row r="57" spans="1:15">
      <c r="A57" s="942" t="s">
        <v>183</v>
      </c>
      <c r="B57" s="1021"/>
      <c r="C57" s="1021"/>
      <c r="D57" s="944" t="s">
        <v>143</v>
      </c>
      <c r="E57" s="945">
        <f>'21'!F57</f>
        <v>0</v>
      </c>
      <c r="F57" s="1018">
        <v>0</v>
      </c>
      <c r="G57" s="946">
        <f t="shared" si="4"/>
        <v>0</v>
      </c>
      <c r="H57" s="947">
        <f>G57+'21'!H57</f>
        <v>0</v>
      </c>
      <c r="I57" s="945"/>
      <c r="J57" s="949">
        <f>H57/DAY(B2)</f>
        <v>0</v>
      </c>
      <c r="K57" s="965"/>
      <c r="L57" s="924"/>
      <c r="N57" s="1113">
        <v>0</v>
      </c>
      <c r="O57" s="951">
        <f t="shared" si="0"/>
        <v>0</v>
      </c>
    </row>
    <row r="58" spans="1:15">
      <c r="A58" s="942" t="s">
        <v>195</v>
      </c>
      <c r="B58" s="1021"/>
      <c r="C58" s="1021"/>
      <c r="D58" s="944" t="s">
        <v>143</v>
      </c>
      <c r="E58" s="945">
        <f>'21'!F58</f>
        <v>28851.11</v>
      </c>
      <c r="F58" s="1018">
        <v>29072.28</v>
      </c>
      <c r="G58" s="946">
        <f t="shared" si="4"/>
        <v>221.16999999999825</v>
      </c>
      <c r="H58" s="947">
        <f>G58+'21'!H58</f>
        <v>3916.869999999999</v>
      </c>
      <c r="I58" s="945"/>
      <c r="J58" s="949">
        <f>H58/DAY(B2)</f>
        <v>178.03954545454542</v>
      </c>
      <c r="K58" s="965"/>
      <c r="L58" s="924"/>
      <c r="N58" s="1113">
        <v>120.15000000000146</v>
      </c>
      <c r="O58" s="951">
        <f t="shared" si="0"/>
        <v>-101.0199999999968</v>
      </c>
    </row>
    <row r="59" spans="1:15">
      <c r="A59" s="967" t="s">
        <v>187</v>
      </c>
      <c r="B59" s="968"/>
      <c r="C59" s="968"/>
      <c r="D59" s="931"/>
      <c r="E59" s="931"/>
      <c r="F59" s="931"/>
      <c r="G59" s="969">
        <f>G49+G50+G51+G52+G53+G54+G55+G56+G57+G58</f>
        <v>11946.839999999946</v>
      </c>
      <c r="H59" s="947">
        <f>G59+'21'!H59</f>
        <v>329891.25</v>
      </c>
      <c r="I59" s="945">
        <f>G7-G60</f>
        <v>291.39000000014494</v>
      </c>
      <c r="J59" s="949">
        <f>H59/DAY(B2)</f>
        <v>14995.056818181818</v>
      </c>
      <c r="K59" s="965"/>
      <c r="L59" s="924"/>
      <c r="N59" s="1113">
        <v>2095.3099999999995</v>
      </c>
      <c r="O59" s="951">
        <f t="shared" si="0"/>
        <v>-9851.5299999999461</v>
      </c>
    </row>
    <row r="60" spans="1:15">
      <c r="A60" s="942"/>
      <c r="B60" s="943"/>
      <c r="C60" s="943"/>
      <c r="D60" s="931" t="s">
        <v>196</v>
      </c>
      <c r="E60" s="931"/>
      <c r="F60" s="931"/>
      <c r="G60" s="969">
        <f>G47+G59</f>
        <v>19218.609999999855</v>
      </c>
      <c r="H60" s="947">
        <f>G60+'21'!H60</f>
        <v>421246.26999999996</v>
      </c>
      <c r="I60" s="945">
        <f>G13-G60</f>
        <v>-367.80999999957567</v>
      </c>
      <c r="J60" s="949">
        <f>H60/DAY(B2)</f>
        <v>19147.557727272724</v>
      </c>
      <c r="K60" s="965"/>
      <c r="L60" s="924"/>
      <c r="N60" s="1113">
        <v>12211.280000000015</v>
      </c>
      <c r="O60" s="951">
        <f t="shared" si="0"/>
        <v>-7007.3299999998399</v>
      </c>
    </row>
    <row r="61" spans="1:15">
      <c r="A61" s="1022" t="s">
        <v>197</v>
      </c>
      <c r="B61" s="1023"/>
      <c r="C61" s="1023"/>
      <c r="D61" s="1023"/>
      <c r="E61" s="1024"/>
      <c r="F61" s="1024"/>
      <c r="G61" s="1023"/>
      <c r="H61" s="1023"/>
      <c r="I61" s="1023"/>
      <c r="J61" s="1025"/>
      <c r="K61" s="965"/>
      <c r="L61" s="924"/>
      <c r="O61" s="951">
        <f t="shared" si="0"/>
        <v>0</v>
      </c>
    </row>
    <row r="62" spans="1:15">
      <c r="A62" s="1026" t="s">
        <v>106</v>
      </c>
      <c r="B62" s="1027"/>
      <c r="C62" s="1027"/>
      <c r="D62" s="931" t="s">
        <v>198</v>
      </c>
      <c r="E62" s="945">
        <f>'21'!F62</f>
        <v>20419.2</v>
      </c>
      <c r="F62" s="1028">
        <v>20419.2</v>
      </c>
      <c r="G62" s="946">
        <f t="shared" ref="G62:G69" si="5">F62-E62</f>
        <v>0</v>
      </c>
      <c r="H62" s="947">
        <f>G62+'21'!H62</f>
        <v>2.0000000000436557E-2</v>
      </c>
      <c r="I62" s="1029"/>
      <c r="J62" s="949">
        <f>H62/DAY(B2)</f>
        <v>9.0909090911075259E-4</v>
      </c>
      <c r="K62" s="965"/>
      <c r="L62" s="924"/>
      <c r="N62" s="1113">
        <v>0</v>
      </c>
      <c r="O62" s="951">
        <f t="shared" si="0"/>
        <v>0</v>
      </c>
    </row>
    <row r="63" spans="1:15">
      <c r="A63" s="1026" t="s">
        <v>199</v>
      </c>
      <c r="B63" s="1027"/>
      <c r="C63" s="1027"/>
      <c r="D63" s="931" t="s">
        <v>198</v>
      </c>
      <c r="E63" s="945">
        <f>'21'!F63</f>
        <v>1229.1400000000001</v>
      </c>
      <c r="F63" s="1028">
        <v>1236.99</v>
      </c>
      <c r="G63" s="946">
        <f t="shared" si="5"/>
        <v>7.8499999999999091</v>
      </c>
      <c r="H63" s="947">
        <f>G63+'21'!H63</f>
        <v>129.07999999999993</v>
      </c>
      <c r="I63" s="1029"/>
      <c r="J63" s="949">
        <f>H63/DAY(B2)</f>
        <v>5.8672727272727236</v>
      </c>
      <c r="K63" s="965"/>
      <c r="L63" s="924"/>
      <c r="N63" s="1113">
        <v>0</v>
      </c>
      <c r="O63" s="951">
        <f t="shared" si="0"/>
        <v>-7.8499999999999091</v>
      </c>
    </row>
    <row r="64" spans="1:15">
      <c r="A64" s="1507" t="s">
        <v>107</v>
      </c>
      <c r="B64" s="1508"/>
      <c r="C64" s="1509"/>
      <c r="D64" s="944" t="s">
        <v>198</v>
      </c>
      <c r="E64" s="945">
        <f>'21'!F64</f>
        <v>107043.62</v>
      </c>
      <c r="F64" s="975">
        <v>107473.88</v>
      </c>
      <c r="G64" s="946">
        <f t="shared" si="5"/>
        <v>430.26000000000931</v>
      </c>
      <c r="H64" s="947">
        <f>G64+'21'!H64</f>
        <v>9050.4800000000105</v>
      </c>
      <c r="I64" s="966"/>
      <c r="J64" s="949">
        <f>H64/DAY(B2)</f>
        <v>411.38545454545505</v>
      </c>
      <c r="K64" s="965"/>
      <c r="L64" s="924"/>
      <c r="N64" s="1113">
        <v>178.5199999999968</v>
      </c>
      <c r="O64" s="951">
        <f t="shared" si="0"/>
        <v>-251.74000000001251</v>
      </c>
    </row>
    <row r="65" spans="1:15">
      <c r="A65" s="1507" t="s">
        <v>108</v>
      </c>
      <c r="B65" s="1508"/>
      <c r="C65" s="1509"/>
      <c r="D65" s="944" t="s">
        <v>198</v>
      </c>
      <c r="E65" s="945">
        <f>'21'!F65</f>
        <v>117693.6</v>
      </c>
      <c r="F65" s="975">
        <v>118098.62</v>
      </c>
      <c r="G65" s="946">
        <f t="shared" si="5"/>
        <v>405.01999999998952</v>
      </c>
      <c r="H65" s="947">
        <f>G65+'21'!H65</f>
        <v>9054.5</v>
      </c>
      <c r="I65" s="984"/>
      <c r="J65" s="949">
        <f>H65/DAY(B2)</f>
        <v>411.56818181818181</v>
      </c>
      <c r="K65" s="965"/>
      <c r="L65" s="924"/>
      <c r="N65" s="1113">
        <v>198.38999999999942</v>
      </c>
      <c r="O65" s="951">
        <f t="shared" si="0"/>
        <v>-206.6299999999901</v>
      </c>
    </row>
    <row r="66" spans="1:15">
      <c r="A66" s="1507" t="s">
        <v>109</v>
      </c>
      <c r="B66" s="1508"/>
      <c r="C66" s="1509"/>
      <c r="D66" s="944" t="s">
        <v>198</v>
      </c>
      <c r="E66" s="945">
        <f>'21'!F66</f>
        <v>10130.719999999999</v>
      </c>
      <c r="F66" s="975">
        <v>10482.780000000001</v>
      </c>
      <c r="G66" s="946">
        <f t="shared" si="5"/>
        <v>352.06000000000131</v>
      </c>
      <c r="H66" s="947">
        <f>G66+'21'!H66</f>
        <v>8060.6900000000005</v>
      </c>
      <c r="I66" s="966"/>
      <c r="J66" s="949">
        <f>H66/DAY(B2)</f>
        <v>366.39500000000004</v>
      </c>
      <c r="K66" s="965"/>
      <c r="L66" s="924"/>
      <c r="N66" s="1113">
        <v>226.35000000000582</v>
      </c>
      <c r="O66" s="951">
        <f t="shared" si="0"/>
        <v>-125.70999999999549</v>
      </c>
    </row>
    <row r="67" spans="1:15">
      <c r="A67" s="1507" t="s">
        <v>110</v>
      </c>
      <c r="B67" s="1508"/>
      <c r="C67" s="1509"/>
      <c r="D67" s="944" t="s">
        <v>198</v>
      </c>
      <c r="E67" s="945">
        <f>'21'!F67</f>
        <v>182084.35</v>
      </c>
      <c r="F67" s="975">
        <v>182726</v>
      </c>
      <c r="G67" s="946">
        <f t="shared" si="5"/>
        <v>641.64999999999418</v>
      </c>
      <c r="H67" s="947">
        <f>G67+'21'!H67</f>
        <v>14484.649999999994</v>
      </c>
      <c r="I67" s="984"/>
      <c r="J67" s="949">
        <f>H67/DAY(B2)</f>
        <v>658.39318181818157</v>
      </c>
      <c r="K67" s="972"/>
      <c r="L67" s="924"/>
      <c r="N67" s="1113">
        <v>312.47000000000116</v>
      </c>
      <c r="O67" s="951">
        <f t="shared" si="0"/>
        <v>-329.17999999999302</v>
      </c>
    </row>
    <row r="68" spans="1:15">
      <c r="A68" s="1507" t="s">
        <v>111</v>
      </c>
      <c r="B68" s="1508"/>
      <c r="C68" s="1509"/>
      <c r="D68" s="944" t="s">
        <v>198</v>
      </c>
      <c r="E68" s="945">
        <f>'21'!F68</f>
        <v>60072.38</v>
      </c>
      <c r="F68" s="975">
        <v>60387.56</v>
      </c>
      <c r="G68" s="946">
        <f t="shared" si="5"/>
        <v>315.18000000000029</v>
      </c>
      <c r="H68" s="947">
        <f>G68+'21'!H68</f>
        <v>6763.6599999999962</v>
      </c>
      <c r="I68" s="1030"/>
      <c r="J68" s="949">
        <f>H68/DAY(B2)</f>
        <v>307.43909090909074</v>
      </c>
      <c r="K68" s="1031"/>
      <c r="L68" s="924"/>
      <c r="N68" s="1113">
        <v>142.1200000000008</v>
      </c>
      <c r="O68" s="951">
        <f t="shared" si="0"/>
        <v>-173.05999999999949</v>
      </c>
    </row>
    <row r="69" spans="1:15">
      <c r="A69" s="1507" t="s">
        <v>112</v>
      </c>
      <c r="B69" s="1508"/>
      <c r="C69" s="1509"/>
      <c r="D69" s="944" t="s">
        <v>198</v>
      </c>
      <c r="E69" s="945">
        <f>'21'!F69</f>
        <v>52646.38</v>
      </c>
      <c r="F69" s="975">
        <v>52947.14</v>
      </c>
      <c r="G69" s="946">
        <f t="shared" si="5"/>
        <v>300.76000000000204</v>
      </c>
      <c r="H69" s="947">
        <f>G69+'21'!H69</f>
        <v>6427.7099999999991</v>
      </c>
      <c r="I69" s="1030"/>
      <c r="J69" s="949">
        <f>H69/DAY(B2)</f>
        <v>292.16863636363632</v>
      </c>
      <c r="K69" s="1032"/>
      <c r="L69" s="924"/>
      <c r="N69" s="1113">
        <v>12.869999999998981</v>
      </c>
      <c r="O69" s="951">
        <f t="shared" si="0"/>
        <v>-287.89000000000306</v>
      </c>
    </row>
    <row r="70" spans="1:15">
      <c r="A70" s="1527" t="s">
        <v>200</v>
      </c>
      <c r="B70" s="1528"/>
      <c r="C70" s="1529"/>
      <c r="D70" s="944" t="s">
        <v>198</v>
      </c>
      <c r="E70" s="1033"/>
      <c r="F70" s="1034"/>
      <c r="G70" s="1034"/>
      <c r="H70" s="947">
        <f>G70+'21'!H70</f>
        <v>0</v>
      </c>
      <c r="I70" s="1034"/>
      <c r="J70" s="1035"/>
      <c r="K70" s="1032"/>
      <c r="L70" s="924"/>
      <c r="O70" s="951">
        <f t="shared" si="0"/>
        <v>0</v>
      </c>
    </row>
    <row r="71" spans="1:15" ht="22.5">
      <c r="A71" s="1524" t="s">
        <v>201</v>
      </c>
      <c r="B71" s="1525"/>
      <c r="C71" s="1525"/>
      <c r="D71" s="1525"/>
      <c r="E71" s="1525"/>
      <c r="F71" s="1525"/>
      <c r="G71" s="1525"/>
      <c r="H71" s="1525"/>
      <c r="I71" s="1525"/>
      <c r="J71" s="1526"/>
      <c r="K71" s="1031"/>
      <c r="L71" s="924"/>
      <c r="O71" s="951">
        <f t="shared" si="0"/>
        <v>0</v>
      </c>
    </row>
    <row r="72" spans="1:15">
      <c r="A72" s="1507" t="s">
        <v>202</v>
      </c>
      <c r="B72" s="1508"/>
      <c r="C72" s="1509"/>
      <c r="D72" s="944" t="s">
        <v>198</v>
      </c>
      <c r="E72" s="945">
        <f>'21'!F72</f>
        <v>847790</v>
      </c>
      <c r="F72" s="1036">
        <v>847827</v>
      </c>
      <c r="G72" s="946">
        <f t="shared" ref="G72:G84" si="6">F72-E72</f>
        <v>37</v>
      </c>
      <c r="H72" s="947">
        <f>G72+'21'!H72</f>
        <v>1361</v>
      </c>
      <c r="I72" s="966"/>
      <c r="J72" s="949">
        <f>H72/DAY(B2)</f>
        <v>61.863636363636367</v>
      </c>
      <c r="K72" s="1032"/>
      <c r="L72" s="924"/>
      <c r="N72" s="1113">
        <v>18</v>
      </c>
      <c r="O72" s="951">
        <f t="shared" ref="O72:O135" si="7">N72-G72</f>
        <v>-19</v>
      </c>
    </row>
    <row r="73" spans="1:15">
      <c r="A73" s="1507" t="s">
        <v>203</v>
      </c>
      <c r="B73" s="1508"/>
      <c r="C73" s="1509"/>
      <c r="D73" s="944" t="s">
        <v>198</v>
      </c>
      <c r="E73" s="945">
        <f>'21'!F73</f>
        <v>885710</v>
      </c>
      <c r="F73" s="1037">
        <v>885711</v>
      </c>
      <c r="G73" s="946">
        <f t="shared" si="6"/>
        <v>1</v>
      </c>
      <c r="H73" s="947">
        <f>G73+'21'!H73</f>
        <v>930</v>
      </c>
      <c r="I73" s="966"/>
      <c r="J73" s="949">
        <f>H73/DAY(B2)</f>
        <v>42.272727272727273</v>
      </c>
      <c r="K73" s="1031"/>
      <c r="L73" s="924"/>
      <c r="N73" s="1113">
        <v>2</v>
      </c>
      <c r="O73" s="951">
        <f t="shared" si="7"/>
        <v>1</v>
      </c>
    </row>
    <row r="74" spans="1:15">
      <c r="A74" s="1507" t="s">
        <v>204</v>
      </c>
      <c r="B74" s="1508"/>
      <c r="C74" s="1509"/>
      <c r="D74" s="944" t="s">
        <v>198</v>
      </c>
      <c r="E74" s="945">
        <f>'21'!F74</f>
        <v>882040</v>
      </c>
      <c r="F74" s="1038">
        <v>882071</v>
      </c>
      <c r="G74" s="946">
        <f t="shared" si="6"/>
        <v>31</v>
      </c>
      <c r="H74" s="947">
        <f>G74+'21'!H74</f>
        <v>756</v>
      </c>
      <c r="I74" s="966"/>
      <c r="J74" s="949">
        <f>H74/DAY(B2)</f>
        <v>34.363636363636367</v>
      </c>
      <c r="K74" s="1032"/>
      <c r="L74" s="924"/>
      <c r="N74" s="1113">
        <v>5</v>
      </c>
      <c r="O74" s="951">
        <f t="shared" si="7"/>
        <v>-26</v>
      </c>
    </row>
    <row r="75" spans="1:15">
      <c r="A75" s="1521" t="s">
        <v>205</v>
      </c>
      <c r="B75" s="1522"/>
      <c r="C75" s="1523"/>
      <c r="D75" s="944" t="s">
        <v>198</v>
      </c>
      <c r="E75" s="945">
        <f>'21'!F75</f>
        <v>735565</v>
      </c>
      <c r="F75" s="1038">
        <v>735747</v>
      </c>
      <c r="G75" s="946">
        <f t="shared" si="6"/>
        <v>182</v>
      </c>
      <c r="H75" s="947">
        <f>G75+'21'!H75</f>
        <v>4106</v>
      </c>
      <c r="I75" s="966"/>
      <c r="J75" s="949">
        <f>H75/DAY(B2)</f>
        <v>186.63636363636363</v>
      </c>
      <c r="K75" s="1031"/>
      <c r="L75" s="924"/>
      <c r="N75" s="1113">
        <v>48</v>
      </c>
      <c r="O75" s="951">
        <f t="shared" si="7"/>
        <v>-134</v>
      </c>
    </row>
    <row r="76" spans="1:15">
      <c r="A76" s="1521" t="s">
        <v>206</v>
      </c>
      <c r="B76" s="1522"/>
      <c r="C76" s="1523"/>
      <c r="D76" s="944" t="s">
        <v>198</v>
      </c>
      <c r="E76" s="945">
        <f>'21'!F76</f>
        <v>686230</v>
      </c>
      <c r="F76" s="1037">
        <v>686309</v>
      </c>
      <c r="G76" s="946">
        <f t="shared" si="6"/>
        <v>79</v>
      </c>
      <c r="H76" s="947">
        <f>G76+'21'!H76</f>
        <v>3210</v>
      </c>
      <c r="I76" s="1009"/>
      <c r="J76" s="949">
        <f>H76/DAY(B2)</f>
        <v>145.90909090909091</v>
      </c>
      <c r="K76" s="1031"/>
      <c r="L76" s="924"/>
      <c r="N76" s="1113">
        <v>5</v>
      </c>
      <c r="O76" s="951">
        <f t="shared" si="7"/>
        <v>-74</v>
      </c>
    </row>
    <row r="77" spans="1:15">
      <c r="A77" s="1507" t="s">
        <v>207</v>
      </c>
      <c r="B77" s="1508"/>
      <c r="C77" s="1509"/>
      <c r="D77" s="944" t="s">
        <v>198</v>
      </c>
      <c r="E77" s="945">
        <f>'21'!F77</f>
        <v>696569</v>
      </c>
      <c r="F77" s="1037">
        <v>696624</v>
      </c>
      <c r="G77" s="946">
        <f t="shared" si="6"/>
        <v>55</v>
      </c>
      <c r="H77" s="947">
        <f>G77+'21'!H77</f>
        <v>1230</v>
      </c>
      <c r="I77" s="1009"/>
      <c r="J77" s="949">
        <f>H77/DAY(B2)</f>
        <v>55.909090909090907</v>
      </c>
      <c r="K77" s="1031"/>
      <c r="L77" s="924"/>
      <c r="N77" s="1113">
        <v>2</v>
      </c>
      <c r="O77" s="951">
        <f t="shared" si="7"/>
        <v>-53</v>
      </c>
    </row>
    <row r="78" spans="1:15">
      <c r="A78" s="1039" t="s">
        <v>208</v>
      </c>
      <c r="B78" s="1248"/>
      <c r="C78" s="1248"/>
      <c r="D78" s="944" t="s">
        <v>198</v>
      </c>
      <c r="E78" s="945">
        <f>'21'!F78</f>
        <v>638284</v>
      </c>
      <c r="F78" s="1038">
        <v>638622</v>
      </c>
      <c r="G78" s="946">
        <f t="shared" si="6"/>
        <v>338</v>
      </c>
      <c r="H78" s="947">
        <f>G78+'21'!H78</f>
        <v>7849</v>
      </c>
      <c r="I78" s="1009"/>
      <c r="J78" s="949">
        <f>H78/DAY(B2)</f>
        <v>356.77272727272725</v>
      </c>
      <c r="K78" s="1031"/>
      <c r="L78" s="924"/>
      <c r="N78" s="1113">
        <v>28</v>
      </c>
      <c r="O78" s="951">
        <f t="shared" si="7"/>
        <v>-310</v>
      </c>
    </row>
    <row r="79" spans="1:15">
      <c r="A79" s="1521" t="s">
        <v>97</v>
      </c>
      <c r="B79" s="1522"/>
      <c r="C79" s="1523"/>
      <c r="D79" s="978" t="s">
        <v>198</v>
      </c>
      <c r="E79" s="945">
        <f>'21'!F79</f>
        <v>807808</v>
      </c>
      <c r="F79" s="1038">
        <v>807994</v>
      </c>
      <c r="G79" s="946">
        <f t="shared" si="6"/>
        <v>186</v>
      </c>
      <c r="H79" s="947">
        <f>G79+'21'!H79</f>
        <v>6223</v>
      </c>
      <c r="I79" s="1009"/>
      <c r="J79" s="949">
        <f>H79/DAY(B2)</f>
        <v>282.86363636363637</v>
      </c>
      <c r="K79" s="1031"/>
      <c r="L79" s="924"/>
      <c r="N79" s="1113">
        <v>139</v>
      </c>
      <c r="O79" s="951">
        <f t="shared" si="7"/>
        <v>-47</v>
      </c>
    </row>
    <row r="80" spans="1:15">
      <c r="A80" s="1521" t="s">
        <v>209</v>
      </c>
      <c r="B80" s="1522"/>
      <c r="C80" s="1523"/>
      <c r="D80" s="978" t="s">
        <v>198</v>
      </c>
      <c r="E80" s="945">
        <f>'21'!F80</f>
        <v>482026.4</v>
      </c>
      <c r="F80" s="1037">
        <v>482321</v>
      </c>
      <c r="G80" s="946">
        <f t="shared" si="6"/>
        <v>294.59999999997672</v>
      </c>
      <c r="H80" s="947">
        <f>G80+'21'!H80</f>
        <v>5109.1599999999744</v>
      </c>
      <c r="I80" s="1009"/>
      <c r="J80" s="949">
        <f>H80/DAY(B2)</f>
        <v>232.2345454545443</v>
      </c>
      <c r="K80" s="1031"/>
      <c r="L80" s="924"/>
      <c r="N80" s="1113">
        <v>177</v>
      </c>
      <c r="O80" s="951">
        <f t="shared" si="7"/>
        <v>-117.59999999997672</v>
      </c>
    </row>
    <row r="81" spans="1:15">
      <c r="A81" s="1521" t="s">
        <v>210</v>
      </c>
      <c r="B81" s="1522"/>
      <c r="C81" s="1523"/>
      <c r="D81" s="978" t="s">
        <v>198</v>
      </c>
      <c r="E81" s="945">
        <f>'21'!F81</f>
        <v>621695.69999999995</v>
      </c>
      <c r="F81" s="1037">
        <v>621800</v>
      </c>
      <c r="G81" s="946">
        <f t="shared" si="6"/>
        <v>104.30000000004657</v>
      </c>
      <c r="H81" s="947">
        <f>G81+'21'!H81</f>
        <v>2546</v>
      </c>
      <c r="I81" s="1009"/>
      <c r="J81" s="949">
        <f>H81/DAY(B2)</f>
        <v>115.72727272727273</v>
      </c>
      <c r="K81" s="1031"/>
      <c r="L81" s="924"/>
      <c r="N81" s="1113">
        <v>86</v>
      </c>
      <c r="O81" s="951">
        <f t="shared" si="7"/>
        <v>-18.300000000046566</v>
      </c>
    </row>
    <row r="82" spans="1:15">
      <c r="A82" s="1521" t="s">
        <v>100</v>
      </c>
      <c r="B82" s="1522"/>
      <c r="C82" s="1523"/>
      <c r="D82" s="979" t="s">
        <v>143</v>
      </c>
      <c r="E82" s="945">
        <f>'21'!F82</f>
        <v>104986.35</v>
      </c>
      <c r="F82" s="1040">
        <v>105016</v>
      </c>
      <c r="G82" s="946">
        <f t="shared" si="6"/>
        <v>29.649999999994179</v>
      </c>
      <c r="H82" s="947">
        <f>G82+'21'!H82</f>
        <v>578</v>
      </c>
      <c r="I82" s="980"/>
      <c r="J82" s="949">
        <f>H82/DAY(B2)</f>
        <v>26.272727272727273</v>
      </c>
      <c r="K82" s="1031"/>
      <c r="L82" s="924"/>
      <c r="N82" s="1113">
        <v>29</v>
      </c>
      <c r="O82" s="951">
        <f t="shared" si="7"/>
        <v>-0.64999999999417923</v>
      </c>
    </row>
    <row r="83" spans="1:15">
      <c r="A83" s="1521" t="s">
        <v>211</v>
      </c>
      <c r="B83" s="1522"/>
      <c r="C83" s="1523"/>
      <c r="D83" s="1041" t="s">
        <v>143</v>
      </c>
      <c r="E83" s="945">
        <f>'21'!F83</f>
        <v>980884</v>
      </c>
      <c r="F83" s="931">
        <v>981140</v>
      </c>
      <c r="G83" s="946">
        <f t="shared" si="6"/>
        <v>256</v>
      </c>
      <c r="H83" s="947">
        <f>G83+'21'!H83</f>
        <v>7669</v>
      </c>
      <c r="I83" s="969"/>
      <c r="J83" s="949">
        <f>H83/DAY(B2)</f>
        <v>348.59090909090907</v>
      </c>
      <c r="K83" s="972"/>
      <c r="L83" s="924"/>
      <c r="N83" s="1113">
        <v>228</v>
      </c>
      <c r="O83" s="951">
        <f t="shared" si="7"/>
        <v>-28</v>
      </c>
    </row>
    <row r="84" spans="1:15">
      <c r="A84" s="1042" t="s">
        <v>212</v>
      </c>
      <c r="B84" s="1043"/>
      <c r="C84" s="1043"/>
      <c r="D84" s="963" t="s">
        <v>143</v>
      </c>
      <c r="E84" s="945">
        <f>'21'!F84</f>
        <v>410764</v>
      </c>
      <c r="F84" s="1044">
        <v>411317</v>
      </c>
      <c r="G84" s="946">
        <f t="shared" si="6"/>
        <v>553</v>
      </c>
      <c r="H84" s="947">
        <f>G84+'21'!H84</f>
        <v>14121</v>
      </c>
      <c r="I84" s="969"/>
      <c r="J84" s="949">
        <f>H84/DAY(B2)</f>
        <v>641.86363636363637</v>
      </c>
      <c r="K84" s="1045"/>
      <c r="L84" s="924"/>
      <c r="N84" s="1113">
        <v>423</v>
      </c>
      <c r="O84" s="951">
        <f t="shared" si="7"/>
        <v>-130</v>
      </c>
    </row>
    <row r="85" spans="1:15" s="1049" customFormat="1">
      <c r="A85" s="1046" t="s">
        <v>213</v>
      </c>
      <c r="B85" s="1047"/>
      <c r="C85" s="1047"/>
      <c r="D85" s="984"/>
      <c r="E85" s="945"/>
      <c r="F85" s="944"/>
      <c r="G85" s="947">
        <f xml:space="preserve"> SUM(G72:G84)</f>
        <v>2146.5500000000175</v>
      </c>
      <c r="H85" s="947">
        <f>G85+'21'!H85</f>
        <v>51458</v>
      </c>
      <c r="I85" s="969"/>
      <c r="J85" s="949">
        <f>H85/DAY(B2)</f>
        <v>2339</v>
      </c>
      <c r="K85" s="1045"/>
      <c r="L85" s="1048"/>
      <c r="N85" s="1116">
        <v>1190</v>
      </c>
      <c r="O85" s="951">
        <f t="shared" si="7"/>
        <v>-956.55000000001746</v>
      </c>
    </row>
    <row r="86" spans="1:15" s="1059" customFormat="1">
      <c r="A86" s="1050" t="s">
        <v>102</v>
      </c>
      <c r="B86" s="1051"/>
      <c r="C86" s="1051"/>
      <c r="D86" s="1052" t="s">
        <v>194</v>
      </c>
      <c r="E86" s="945">
        <f>'21'!F86</f>
        <v>446252.4</v>
      </c>
      <c r="F86" s="1053">
        <v>446349</v>
      </c>
      <c r="G86" s="1054">
        <f t="shared" ref="G86:G88" si="8">F86-E86</f>
        <v>96.599999999976717</v>
      </c>
      <c r="H86" s="1054">
        <f t="shared" ref="H86:H88" si="9">G86</f>
        <v>96.599999999976717</v>
      </c>
      <c r="I86" s="1055"/>
      <c r="J86" s="1056">
        <f>H86/DAY(B2)</f>
        <v>4.3909090909080328</v>
      </c>
      <c r="K86" s="1057"/>
      <c r="L86" s="1058"/>
      <c r="N86" s="1117">
        <v>171</v>
      </c>
      <c r="O86" s="951">
        <f t="shared" si="7"/>
        <v>74.400000000023283</v>
      </c>
    </row>
    <row r="87" spans="1:15" s="1059" customFormat="1">
      <c r="A87" s="1050" t="s">
        <v>103</v>
      </c>
      <c r="B87" s="1051"/>
      <c r="C87" s="1051"/>
      <c r="D87" s="1052" t="s">
        <v>194</v>
      </c>
      <c r="E87" s="945">
        <f>'21'!F87</f>
        <v>78234.7</v>
      </c>
      <c r="F87" s="1053">
        <v>78262.7</v>
      </c>
      <c r="G87" s="1054">
        <f t="shared" si="8"/>
        <v>28</v>
      </c>
      <c r="H87" s="1054">
        <f t="shared" si="9"/>
        <v>28</v>
      </c>
      <c r="I87" s="1055"/>
      <c r="J87" s="1056">
        <f>H87/DAY(B2)</f>
        <v>1.2727272727272727</v>
      </c>
      <c r="K87" s="1057"/>
      <c r="L87" s="1058"/>
      <c r="N87" s="1117">
        <v>21</v>
      </c>
      <c r="O87" s="951">
        <f t="shared" si="7"/>
        <v>-7</v>
      </c>
    </row>
    <row r="88" spans="1:15" s="1059" customFormat="1">
      <c r="A88" s="1050" t="s">
        <v>104</v>
      </c>
      <c r="B88" s="1051"/>
      <c r="C88" s="1051"/>
      <c r="D88" s="1052" t="s">
        <v>194</v>
      </c>
      <c r="E88" s="945">
        <f>'21'!F88</f>
        <v>145876.79</v>
      </c>
      <c r="F88" s="1044">
        <v>145938</v>
      </c>
      <c r="G88" s="1054">
        <f t="shared" si="8"/>
        <v>61.209999999991851</v>
      </c>
      <c r="H88" s="1054">
        <f t="shared" si="9"/>
        <v>61.209999999991851</v>
      </c>
      <c r="I88" s="1055"/>
      <c r="J88" s="1056">
        <f>H88/DAY(B2)</f>
        <v>2.7822727272723569</v>
      </c>
      <c r="K88" s="1057"/>
      <c r="L88" s="1058"/>
      <c r="N88" s="1117">
        <v>86</v>
      </c>
      <c r="O88" s="951">
        <f t="shared" si="7"/>
        <v>24.790000000008149</v>
      </c>
    </row>
    <row r="89" spans="1:15" s="1059" customFormat="1">
      <c r="A89" s="1050" t="s">
        <v>215</v>
      </c>
      <c r="B89" s="1051"/>
      <c r="C89" s="1051"/>
      <c r="D89" s="1052" t="s">
        <v>194</v>
      </c>
      <c r="E89" s="945">
        <f>'21'!F89</f>
        <v>59136</v>
      </c>
      <c r="F89" s="1053">
        <v>59200</v>
      </c>
      <c r="G89" s="1054">
        <f t="shared" ref="G89:G90" si="10">F89-E89</f>
        <v>64</v>
      </c>
      <c r="H89" s="1054">
        <f t="shared" ref="H89:H90" si="11">G89</f>
        <v>64</v>
      </c>
      <c r="I89" s="1055"/>
      <c r="J89" s="1056" t="e">
        <f t="shared" ref="J89:J90" si="12">H89/DAY(B3)</f>
        <v>#DIV/0!</v>
      </c>
      <c r="K89" s="1057"/>
      <c r="L89" s="1058"/>
      <c r="N89" s="1118">
        <v>25</v>
      </c>
      <c r="O89" s="951">
        <f t="shared" si="7"/>
        <v>-39</v>
      </c>
    </row>
    <row r="90" spans="1:15" s="1059" customFormat="1">
      <c r="A90" s="1050" t="s">
        <v>215</v>
      </c>
      <c r="B90" s="1051"/>
      <c r="C90" s="1051"/>
      <c r="D90" s="1052" t="s">
        <v>194</v>
      </c>
      <c r="E90" s="945">
        <f>'21'!F90</f>
        <v>3039.3</v>
      </c>
      <c r="F90" s="1053">
        <v>3044</v>
      </c>
      <c r="G90" s="1054">
        <f t="shared" si="10"/>
        <v>4.6999999999998181</v>
      </c>
      <c r="H90" s="1054">
        <f t="shared" si="11"/>
        <v>4.6999999999998181</v>
      </c>
      <c r="I90" s="1055"/>
      <c r="J90" s="1056" t="e">
        <f t="shared" si="12"/>
        <v>#DIV/0!</v>
      </c>
      <c r="K90" s="1057"/>
      <c r="L90" s="1058"/>
      <c r="N90" s="1118">
        <v>1</v>
      </c>
      <c r="O90" s="951">
        <f t="shared" si="7"/>
        <v>-3.6999999999998181</v>
      </c>
    </row>
    <row r="91" spans="1:15" s="1049" customFormat="1">
      <c r="A91" s="1060" t="s">
        <v>216</v>
      </c>
      <c r="B91" s="939"/>
      <c r="C91" s="939"/>
      <c r="D91" s="939"/>
      <c r="E91" s="939"/>
      <c r="F91" s="939"/>
      <c r="G91" s="983"/>
      <c r="H91" s="939"/>
      <c r="I91" s="939"/>
      <c r="J91" s="940"/>
      <c r="K91" s="1045"/>
      <c r="L91" s="1048"/>
      <c r="N91" s="1116"/>
      <c r="O91" s="951">
        <f t="shared" si="7"/>
        <v>0</v>
      </c>
    </row>
    <row r="92" spans="1:15">
      <c r="A92" s="1501" t="s">
        <v>217</v>
      </c>
      <c r="B92" s="1502"/>
      <c r="C92" s="1503"/>
      <c r="D92" s="944" t="s">
        <v>155</v>
      </c>
      <c r="E92" s="945">
        <f>'21'!F92</f>
        <v>235692</v>
      </c>
      <c r="F92" s="975">
        <v>235779</v>
      </c>
      <c r="G92" s="946">
        <f t="shared" ref="G92:G93" si="13">F92-E92</f>
        <v>87</v>
      </c>
      <c r="H92" s="947">
        <f>G92+'21'!H92</f>
        <v>1877</v>
      </c>
      <c r="I92" s="966"/>
      <c r="J92" s="949">
        <f>H92/DAY(B2)</f>
        <v>85.318181818181813</v>
      </c>
      <c r="K92" s="972"/>
      <c r="L92" s="924"/>
      <c r="N92" s="1113">
        <v>29</v>
      </c>
      <c r="O92" s="951">
        <f t="shared" si="7"/>
        <v>-58</v>
      </c>
    </row>
    <row r="93" spans="1:15">
      <c r="A93" s="1501" t="s">
        <v>218</v>
      </c>
      <c r="B93" s="1502"/>
      <c r="C93" s="1503"/>
      <c r="D93" s="944" t="s">
        <v>155</v>
      </c>
      <c r="E93" s="945">
        <f>'21'!F93</f>
        <v>169843</v>
      </c>
      <c r="F93" s="975">
        <v>169933</v>
      </c>
      <c r="G93" s="946">
        <f t="shared" si="13"/>
        <v>90</v>
      </c>
      <c r="H93" s="947">
        <f>G93+'21'!H93</f>
        <v>3017</v>
      </c>
      <c r="I93" s="966"/>
      <c r="J93" s="949">
        <f>H93/DAY(B2)</f>
        <v>137.13636363636363</v>
      </c>
      <c r="K93" s="1045"/>
      <c r="L93" s="924"/>
      <c r="N93" s="1113">
        <v>40</v>
      </c>
      <c r="O93" s="951">
        <f t="shared" si="7"/>
        <v>-50</v>
      </c>
    </row>
    <row r="94" spans="1:15">
      <c r="A94" s="1510" t="s">
        <v>219</v>
      </c>
      <c r="B94" s="1511"/>
      <c r="C94" s="1512"/>
      <c r="D94" s="944"/>
      <c r="E94" s="945">
        <f>'21'!F94</f>
        <v>0</v>
      </c>
      <c r="F94" s="975"/>
      <c r="G94" s="946">
        <f>G92+G93</f>
        <v>177</v>
      </c>
      <c r="H94" s="947">
        <f>G94+'21'!H94</f>
        <v>4620</v>
      </c>
      <c r="I94" s="966"/>
      <c r="J94" s="949">
        <f>H94/DAY(B2)</f>
        <v>210</v>
      </c>
      <c r="K94" s="1045"/>
      <c r="L94" s="924"/>
      <c r="N94" s="1113">
        <v>69</v>
      </c>
      <c r="O94" s="951">
        <f t="shared" si="7"/>
        <v>-108</v>
      </c>
    </row>
    <row r="95" spans="1:15">
      <c r="A95" s="1501" t="s">
        <v>220</v>
      </c>
      <c r="B95" s="1502"/>
      <c r="C95" s="1503"/>
      <c r="D95" s="944" t="s">
        <v>155</v>
      </c>
      <c r="E95" s="945">
        <f>'21'!F95</f>
        <v>405202</v>
      </c>
      <c r="F95" s="975">
        <v>405285</v>
      </c>
      <c r="G95" s="946">
        <f t="shared" ref="G95:G100" si="14">F95-E95</f>
        <v>83</v>
      </c>
      <c r="H95" s="947">
        <f>G95+'21'!H95</f>
        <v>1620</v>
      </c>
      <c r="I95" s="966"/>
      <c r="J95" s="949">
        <f>H95/DAY(B2)</f>
        <v>73.63636363636364</v>
      </c>
      <c r="K95" s="1045"/>
      <c r="L95" s="924"/>
      <c r="N95" s="1113">
        <v>49</v>
      </c>
      <c r="O95" s="951">
        <f t="shared" si="7"/>
        <v>-34</v>
      </c>
    </row>
    <row r="96" spans="1:15">
      <c r="A96" s="973" t="s">
        <v>221</v>
      </c>
      <c r="B96" s="974"/>
      <c r="C96" s="974"/>
      <c r="D96" s="944" t="s">
        <v>155</v>
      </c>
      <c r="E96" s="945">
        <f>'21'!F96</f>
        <v>100295</v>
      </c>
      <c r="F96" s="975">
        <v>100313</v>
      </c>
      <c r="G96" s="946">
        <f t="shared" si="14"/>
        <v>18</v>
      </c>
      <c r="H96" s="947">
        <f>G96+'21'!H96</f>
        <v>392</v>
      </c>
      <c r="I96" s="966"/>
      <c r="J96" s="949">
        <f>H96/DAY(B2)</f>
        <v>17.818181818181817</v>
      </c>
      <c r="K96" s="941"/>
      <c r="L96" s="924"/>
      <c r="N96" s="1113">
        <v>7</v>
      </c>
      <c r="O96" s="951">
        <f t="shared" si="7"/>
        <v>-11</v>
      </c>
    </row>
    <row r="97" spans="1:15">
      <c r="A97" s="973" t="s">
        <v>222</v>
      </c>
      <c r="B97" s="974"/>
      <c r="C97" s="974"/>
      <c r="D97" s="944" t="s">
        <v>155</v>
      </c>
      <c r="E97" s="945">
        <f>'21'!F97</f>
        <v>95453</v>
      </c>
      <c r="F97" s="975">
        <v>95473</v>
      </c>
      <c r="G97" s="946">
        <f t="shared" si="14"/>
        <v>20</v>
      </c>
      <c r="H97" s="947">
        <f>G97+'21'!H97</f>
        <v>446</v>
      </c>
      <c r="I97" s="966"/>
      <c r="J97" s="949">
        <f>H97/DAY(B2)</f>
        <v>20.272727272727273</v>
      </c>
      <c r="K97" s="1061"/>
      <c r="L97" s="924"/>
      <c r="N97" s="1113">
        <v>12</v>
      </c>
      <c r="O97" s="951">
        <f t="shared" si="7"/>
        <v>-8</v>
      </c>
    </row>
    <row r="98" spans="1:15">
      <c r="A98" s="973" t="s">
        <v>223</v>
      </c>
      <c r="B98" s="974"/>
      <c r="C98" s="974"/>
      <c r="D98" s="944" t="s">
        <v>155</v>
      </c>
      <c r="E98" s="945">
        <f>'21'!F98</f>
        <v>144965</v>
      </c>
      <c r="F98" s="975">
        <v>145021</v>
      </c>
      <c r="G98" s="946">
        <f t="shared" si="14"/>
        <v>56</v>
      </c>
      <c r="H98" s="947">
        <f>G98+'21'!H98</f>
        <v>1214</v>
      </c>
      <c r="I98" s="966"/>
      <c r="J98" s="949">
        <f>H98/DAY(B2)</f>
        <v>55.18181818181818</v>
      </c>
      <c r="K98" s="1045"/>
      <c r="L98" s="924"/>
      <c r="N98" s="1113">
        <v>16</v>
      </c>
      <c r="O98" s="951">
        <f t="shared" si="7"/>
        <v>-40</v>
      </c>
    </row>
    <row r="99" spans="1:15">
      <c r="A99" s="973" t="s">
        <v>224</v>
      </c>
      <c r="B99" s="974"/>
      <c r="C99" s="974"/>
      <c r="D99" s="944" t="s">
        <v>155</v>
      </c>
      <c r="E99" s="945">
        <f>'21'!F99</f>
        <v>5787</v>
      </c>
      <c r="F99" s="975">
        <v>5804</v>
      </c>
      <c r="G99" s="946">
        <f t="shared" si="14"/>
        <v>17</v>
      </c>
      <c r="H99" s="947">
        <f>G99+'21'!H99</f>
        <v>302</v>
      </c>
      <c r="I99" s="966"/>
      <c r="J99" s="949">
        <f>H99/DAY(B2)</f>
        <v>13.727272727272727</v>
      </c>
      <c r="K99" s="1045"/>
      <c r="L99" s="924"/>
      <c r="N99" s="1113">
        <v>3</v>
      </c>
      <c r="O99" s="951">
        <f t="shared" si="7"/>
        <v>-14</v>
      </c>
    </row>
    <row r="100" spans="1:15">
      <c r="A100" s="973" t="s">
        <v>225</v>
      </c>
      <c r="B100" s="974"/>
      <c r="C100" s="974"/>
      <c r="D100" s="944" t="s">
        <v>155</v>
      </c>
      <c r="E100" s="945">
        <f>'21'!F100</f>
        <v>4159</v>
      </c>
      <c r="F100" s="975">
        <v>4165</v>
      </c>
      <c r="G100" s="946">
        <f t="shared" si="14"/>
        <v>6</v>
      </c>
      <c r="H100" s="947">
        <f>G100+'21'!H100</f>
        <v>201</v>
      </c>
      <c r="I100" s="966"/>
      <c r="J100" s="949">
        <f>H100/DAY(B2)</f>
        <v>9.1363636363636367</v>
      </c>
      <c r="K100" s="1045"/>
      <c r="L100" s="924"/>
      <c r="N100" s="1113">
        <v>0</v>
      </c>
      <c r="O100" s="951">
        <f t="shared" si="7"/>
        <v>-6</v>
      </c>
    </row>
    <row r="101" spans="1:15">
      <c r="A101" s="1510" t="s">
        <v>227</v>
      </c>
      <c r="B101" s="1511"/>
      <c r="C101" s="1512"/>
      <c r="D101" s="978"/>
      <c r="E101" s="978"/>
      <c r="F101" s="978"/>
      <c r="G101" s="1062">
        <f>SUM(G95:G100)</f>
        <v>200</v>
      </c>
      <c r="H101" s="947">
        <f>G101+'21'!H101</f>
        <v>4175</v>
      </c>
      <c r="I101" s="1063"/>
      <c r="J101" s="949">
        <f>H101/DAY(B2)</f>
        <v>189.77272727272728</v>
      </c>
      <c r="K101" s="1045"/>
      <c r="L101" s="924"/>
      <c r="N101" s="1113">
        <v>87</v>
      </c>
      <c r="O101" s="951">
        <f t="shared" si="7"/>
        <v>-113</v>
      </c>
    </row>
    <row r="102" spans="1:15" s="996" customFormat="1">
      <c r="A102" s="1064" t="s">
        <v>228</v>
      </c>
      <c r="B102" s="1065"/>
      <c r="C102" s="1065"/>
      <c r="D102" s="1066"/>
      <c r="E102" s="1067"/>
      <c r="F102" s="1068"/>
      <c r="G102" s="1069"/>
      <c r="H102" s="1070"/>
      <c r="I102" s="1071"/>
      <c r="J102" s="1072"/>
      <c r="N102" s="1114"/>
      <c r="O102" s="951">
        <f t="shared" si="7"/>
        <v>0</v>
      </c>
    </row>
    <row r="103" spans="1:15" s="996" customFormat="1">
      <c r="A103" s="1518" t="s">
        <v>229</v>
      </c>
      <c r="B103" s="1519"/>
      <c r="C103" s="1073"/>
      <c r="D103" s="1074"/>
      <c r="E103" s="1075"/>
      <c r="F103" s="1075"/>
      <c r="G103" s="1075"/>
      <c r="H103" s="1076"/>
      <c r="I103" s="1075"/>
      <c r="J103" s="1077"/>
      <c r="N103" s="1114"/>
      <c r="O103" s="951">
        <f t="shared" si="7"/>
        <v>0</v>
      </c>
    </row>
    <row r="104" spans="1:15" s="996" customFormat="1">
      <c r="A104" s="1491" t="s">
        <v>230</v>
      </c>
      <c r="B104" s="1492"/>
      <c r="C104" s="1078"/>
      <c r="D104" s="1074" t="s">
        <v>155</v>
      </c>
      <c r="E104" s="1075">
        <f>'21'!F104</f>
        <v>7010</v>
      </c>
      <c r="F104" s="1075">
        <v>7010</v>
      </c>
      <c r="G104" s="1075">
        <f>F104-E104</f>
        <v>0</v>
      </c>
      <c r="H104" s="1076">
        <f>SUM(G104+'1'!G76)</f>
        <v>98</v>
      </c>
      <c r="I104" s="1075"/>
      <c r="J104" s="1077">
        <f>H104/DAY(B2)</f>
        <v>4.4545454545454541</v>
      </c>
      <c r="N104" s="1114">
        <v>0</v>
      </c>
      <c r="O104" s="951">
        <f t="shared" si="7"/>
        <v>0</v>
      </c>
    </row>
    <row r="105" spans="1:15" s="996" customFormat="1">
      <c r="A105" s="1491" t="s">
        <v>77</v>
      </c>
      <c r="B105" s="1492"/>
      <c r="C105" s="1078"/>
      <c r="D105" s="1074" t="s">
        <v>155</v>
      </c>
      <c r="E105" s="1075">
        <f>'21'!F105</f>
        <v>35082</v>
      </c>
      <c r="F105" s="1079">
        <v>35091</v>
      </c>
      <c r="G105" s="1075">
        <f t="shared" ref="G105:G106" si="15">F105-E105</f>
        <v>9</v>
      </c>
      <c r="H105" s="1076">
        <f>SUM(G105+'1'!G77)</f>
        <v>70</v>
      </c>
      <c r="I105" s="1075"/>
      <c r="J105" s="1077">
        <f>H105/DAY(B2)</f>
        <v>3.1818181818181817</v>
      </c>
      <c r="N105" s="1114">
        <v>12</v>
      </c>
      <c r="O105" s="951">
        <f t="shared" si="7"/>
        <v>3</v>
      </c>
    </row>
    <row r="106" spans="1:15" s="996" customFormat="1">
      <c r="A106" s="1491" t="s">
        <v>78</v>
      </c>
      <c r="B106" s="1520"/>
      <c r="C106" s="1492"/>
      <c r="D106" s="1074" t="s">
        <v>155</v>
      </c>
      <c r="E106" s="1075">
        <f>'21'!F106</f>
        <v>19030</v>
      </c>
      <c r="F106" s="1075">
        <v>19036</v>
      </c>
      <c r="G106" s="1075">
        <f t="shared" si="15"/>
        <v>6</v>
      </c>
      <c r="H106" s="1076">
        <f>SUM(G106+'1'!G78)</f>
        <v>375</v>
      </c>
      <c r="I106" s="1075"/>
      <c r="J106" s="1077">
        <f>H106/DAY(B2)</f>
        <v>17.045454545454547</v>
      </c>
      <c r="N106" s="1114">
        <v>4</v>
      </c>
      <c r="O106" s="951">
        <f t="shared" si="7"/>
        <v>-2</v>
      </c>
    </row>
    <row r="107" spans="1:15" s="996" customFormat="1">
      <c r="A107" s="1493" t="s">
        <v>213</v>
      </c>
      <c r="B107" s="1494"/>
      <c r="C107" s="1078"/>
      <c r="D107" s="1074"/>
      <c r="E107" s="1075">
        <f>'21'!F107</f>
        <v>0</v>
      </c>
      <c r="F107" s="1075"/>
      <c r="G107" s="1075">
        <f>SUM(G104:G106)</f>
        <v>15</v>
      </c>
      <c r="H107" s="1076">
        <f>SUM(G107+'1'!G79)</f>
        <v>202</v>
      </c>
      <c r="I107" s="1075"/>
      <c r="J107" s="1077">
        <f>H107/DAY(B2)</f>
        <v>9.1818181818181817</v>
      </c>
      <c r="N107" s="1114">
        <v>16</v>
      </c>
      <c r="O107" s="951">
        <f t="shared" si="7"/>
        <v>1</v>
      </c>
    </row>
    <row r="108" spans="1:15" s="996" customFormat="1">
      <c r="A108" s="1499" t="s">
        <v>79</v>
      </c>
      <c r="B108" s="1500"/>
      <c r="C108" s="1078"/>
      <c r="D108" s="1074" t="s">
        <v>155</v>
      </c>
      <c r="E108" s="1075">
        <f>'21'!F108</f>
        <v>0</v>
      </c>
      <c r="F108" s="1075"/>
      <c r="G108" s="1075"/>
      <c r="H108" s="1076"/>
      <c r="I108" s="1075"/>
      <c r="J108" s="1077"/>
      <c r="N108" s="1114"/>
      <c r="O108" s="951">
        <f t="shared" si="7"/>
        <v>0</v>
      </c>
    </row>
    <row r="109" spans="1:15" s="996" customFormat="1">
      <c r="A109" s="1491" t="s">
        <v>231</v>
      </c>
      <c r="B109" s="1492"/>
      <c r="C109" s="1078"/>
      <c r="D109" s="1074" t="s">
        <v>155</v>
      </c>
      <c r="E109" s="1075">
        <f>'21'!F109</f>
        <v>54146</v>
      </c>
      <c r="F109" s="1075">
        <v>54208</v>
      </c>
      <c r="G109" s="1075">
        <f>F109-E109</f>
        <v>62</v>
      </c>
      <c r="H109" s="1076">
        <f>SUM(G109+'1'!G81)</f>
        <v>191</v>
      </c>
      <c r="I109" s="1075"/>
      <c r="J109" s="1077">
        <f>H109/DAY(B2)</f>
        <v>8.6818181818181817</v>
      </c>
      <c r="N109" s="1114">
        <v>39</v>
      </c>
      <c r="O109" s="951">
        <f t="shared" si="7"/>
        <v>-23</v>
      </c>
    </row>
    <row r="110" spans="1:15" s="996" customFormat="1">
      <c r="A110" s="1491" t="s">
        <v>232</v>
      </c>
      <c r="B110" s="1492"/>
      <c r="C110" s="1078"/>
      <c r="D110" s="1074" t="s">
        <v>155</v>
      </c>
      <c r="E110" s="1075">
        <f>'21'!F110</f>
        <v>27994</v>
      </c>
      <c r="F110" s="1075">
        <v>28045</v>
      </c>
      <c r="G110" s="1075">
        <f t="shared" ref="G110:G111" si="16">F110-E110</f>
        <v>51</v>
      </c>
      <c r="H110" s="1076">
        <f>SUM(G110+'1'!G82)</f>
        <v>74</v>
      </c>
      <c r="I110" s="1075"/>
      <c r="J110" s="1077">
        <f>H110/DAY(B2)</f>
        <v>3.3636363636363638</v>
      </c>
      <c r="N110" s="1114">
        <v>8</v>
      </c>
      <c r="O110" s="951">
        <f t="shared" si="7"/>
        <v>-43</v>
      </c>
    </row>
    <row r="111" spans="1:15" s="996" customFormat="1">
      <c r="A111" s="1491" t="s">
        <v>233</v>
      </c>
      <c r="B111" s="1492"/>
      <c r="C111" s="1078"/>
      <c r="D111" s="1074" t="s">
        <v>155</v>
      </c>
      <c r="E111" s="1075">
        <f>'21'!F111</f>
        <v>3694</v>
      </c>
      <c r="F111" s="1075">
        <v>3694</v>
      </c>
      <c r="G111" s="1075">
        <f t="shared" si="16"/>
        <v>0</v>
      </c>
      <c r="H111" s="1076">
        <f>SUM(G111+'1'!G83)</f>
        <v>333</v>
      </c>
      <c r="I111" s="1075"/>
      <c r="J111" s="1077">
        <f>H111/DAY(B2)</f>
        <v>15.136363636363637</v>
      </c>
      <c r="N111" s="1114">
        <v>0</v>
      </c>
      <c r="O111" s="951">
        <f t="shared" si="7"/>
        <v>0</v>
      </c>
    </row>
    <row r="112" spans="1:15" s="996" customFormat="1">
      <c r="A112" s="1497" t="s">
        <v>121</v>
      </c>
      <c r="B112" s="1498"/>
      <c r="C112" s="1078"/>
      <c r="D112" s="1074"/>
      <c r="E112" s="1075">
        <f>'21'!F112</f>
        <v>0</v>
      </c>
      <c r="F112" s="1075"/>
      <c r="G112" s="1075">
        <f>SUM(G109:G111)</f>
        <v>113</v>
      </c>
      <c r="H112" s="1076">
        <f>SUM(G112+'1'!G84)</f>
        <v>559</v>
      </c>
      <c r="I112" s="1075"/>
      <c r="J112" s="1077">
        <f>H112/DAY(B2)</f>
        <v>25.40909090909091</v>
      </c>
      <c r="N112" s="1114">
        <v>47</v>
      </c>
      <c r="O112" s="951">
        <f t="shared" si="7"/>
        <v>-66</v>
      </c>
    </row>
    <row r="113" spans="1:15" s="996" customFormat="1">
      <c r="A113" s="1499" t="s">
        <v>234</v>
      </c>
      <c r="B113" s="1500"/>
      <c r="C113" s="1078"/>
      <c r="D113" s="1074"/>
      <c r="E113" s="1075">
        <f>'21'!F113</f>
        <v>0</v>
      </c>
      <c r="F113" s="1075"/>
      <c r="G113" s="1075"/>
      <c r="H113" s="1076"/>
      <c r="I113" s="1075"/>
      <c r="J113" s="1077">
        <f>H113/DAY(B2)</f>
        <v>0</v>
      </c>
      <c r="N113" s="1114"/>
      <c r="O113" s="951">
        <f t="shared" si="7"/>
        <v>0</v>
      </c>
    </row>
    <row r="114" spans="1:15" s="996" customFormat="1">
      <c r="A114" s="1491" t="s">
        <v>235</v>
      </c>
      <c r="B114" s="1492"/>
      <c r="C114" s="1080"/>
      <c r="D114" s="1074" t="s">
        <v>155</v>
      </c>
      <c r="E114" s="1075">
        <f>'21'!F114</f>
        <v>9582</v>
      </c>
      <c r="F114" s="1079">
        <v>9602</v>
      </c>
      <c r="G114" s="1079">
        <f>F114-E114</f>
        <v>20</v>
      </c>
      <c r="H114" s="1076">
        <f>SUM(G114+'1'!G91)</f>
        <v>20</v>
      </c>
      <c r="I114" s="1075"/>
      <c r="J114" s="1077">
        <f>H114/DAY(B2)</f>
        <v>0.90909090909090906</v>
      </c>
      <c r="N114" s="1114">
        <v>3</v>
      </c>
      <c r="O114" s="951">
        <f t="shared" si="7"/>
        <v>-17</v>
      </c>
    </row>
    <row r="115" spans="1:15" s="996" customFormat="1">
      <c r="A115" s="1491" t="s">
        <v>236</v>
      </c>
      <c r="B115" s="1492"/>
      <c r="C115" s="1080"/>
      <c r="D115" s="1074" t="s">
        <v>155</v>
      </c>
      <c r="E115" s="1075">
        <f>'21'!F115</f>
        <v>7352</v>
      </c>
      <c r="F115" s="1079">
        <v>7362</v>
      </c>
      <c r="G115" s="1079">
        <f t="shared" ref="G115:G116" si="17">F115-E115</f>
        <v>10</v>
      </c>
      <c r="H115" s="1076">
        <f>SUM(G115+'1'!G92)</f>
        <v>143</v>
      </c>
      <c r="I115" s="1075"/>
      <c r="J115" s="1077">
        <f>H115/DAY(B2)</f>
        <v>6.5</v>
      </c>
      <c r="N115" s="1114">
        <v>4</v>
      </c>
      <c r="O115" s="951">
        <f t="shared" si="7"/>
        <v>-6</v>
      </c>
    </row>
    <row r="116" spans="1:15" s="996" customFormat="1">
      <c r="A116" s="1491" t="s">
        <v>237</v>
      </c>
      <c r="B116" s="1492"/>
      <c r="C116" s="1080"/>
      <c r="D116" s="1074" t="s">
        <v>155</v>
      </c>
      <c r="E116" s="1079"/>
      <c r="F116" s="1079"/>
      <c r="G116" s="1079">
        <f t="shared" si="17"/>
        <v>0</v>
      </c>
      <c r="H116" s="1076">
        <f>SUM(G116+'1'!G93)</f>
        <v>141</v>
      </c>
      <c r="I116" s="1075"/>
      <c r="J116" s="1077">
        <f>H116/DAY(B2)</f>
        <v>6.4090909090909092</v>
      </c>
      <c r="N116" s="1114">
        <v>0</v>
      </c>
      <c r="O116" s="951">
        <f t="shared" si="7"/>
        <v>0</v>
      </c>
    </row>
    <row r="117" spans="1:15" s="1082" customFormat="1">
      <c r="A117" s="1493" t="s">
        <v>213</v>
      </c>
      <c r="B117" s="1494"/>
      <c r="C117" s="1080"/>
      <c r="D117" s="1081"/>
      <c r="E117" s="1079"/>
      <c r="F117" s="1079"/>
      <c r="G117" s="1079">
        <f>SUM(G114:G116)</f>
        <v>30</v>
      </c>
      <c r="H117" s="1076">
        <f>SUM(G117+'1'!G95)</f>
        <v>90</v>
      </c>
      <c r="I117" s="1079"/>
      <c r="J117" s="1077">
        <f>H117/DAY(B2)</f>
        <v>4.0909090909090908</v>
      </c>
      <c r="N117" s="1119">
        <v>7</v>
      </c>
      <c r="O117" s="951">
        <f t="shared" si="7"/>
        <v>-23</v>
      </c>
    </row>
    <row r="118" spans="1:15" s="869" customFormat="1">
      <c r="A118" s="1495" t="s">
        <v>238</v>
      </c>
      <c r="B118" s="1496"/>
      <c r="C118" s="1083"/>
      <c r="D118" s="1084" t="s">
        <v>155</v>
      </c>
      <c r="E118" s="1085"/>
      <c r="F118" s="1086">
        <f>SUM(G19+G92)</f>
        <v>144</v>
      </c>
      <c r="G118" s="1086">
        <f>SUM(G19+G92)</f>
        <v>144</v>
      </c>
      <c r="H118" s="1076">
        <f>SUM(G118+'1'!G96)</f>
        <v>177</v>
      </c>
      <c r="I118" s="1085"/>
      <c r="J118" s="1087">
        <f>H118/DAY(B2)</f>
        <v>8.045454545454545</v>
      </c>
      <c r="N118" s="1120">
        <v>82</v>
      </c>
      <c r="O118" s="951">
        <f t="shared" si="7"/>
        <v>-62</v>
      </c>
    </row>
    <row r="119" spans="1:15" s="869" customFormat="1">
      <c r="A119" s="1495" t="s">
        <v>239</v>
      </c>
      <c r="B119" s="1496"/>
      <c r="C119" s="1083"/>
      <c r="D119" s="1084" t="s">
        <v>155</v>
      </c>
      <c r="E119" s="1085"/>
      <c r="F119" s="1086">
        <f>SUM(G95,G96,G97,G99,G100)</f>
        <v>144</v>
      </c>
      <c r="G119" s="1086">
        <f>SUM(G95,G96,G97,G99,G100)</f>
        <v>144</v>
      </c>
      <c r="H119" s="1076">
        <f>SUM(G119+'1'!G98)</f>
        <v>194</v>
      </c>
      <c r="I119" s="1085"/>
      <c r="J119" s="1087">
        <f>H119/DAY(B2)</f>
        <v>8.8181818181818183</v>
      </c>
      <c r="N119" s="1120">
        <v>71</v>
      </c>
      <c r="O119" s="951">
        <f t="shared" si="7"/>
        <v>-73</v>
      </c>
    </row>
    <row r="120" spans="1:15" s="869" customFormat="1">
      <c r="A120" s="1495" t="s">
        <v>240</v>
      </c>
      <c r="B120" s="1496"/>
      <c r="C120" s="1083"/>
      <c r="D120" s="1084" t="s">
        <v>155</v>
      </c>
      <c r="E120" s="1085"/>
      <c r="F120" s="1079">
        <f>SUM(G112)</f>
        <v>113</v>
      </c>
      <c r="G120" s="1079">
        <f>SUM(G112)</f>
        <v>113</v>
      </c>
      <c r="H120" s="1076">
        <f>SUM(G120+'1'!G100)</f>
        <v>130</v>
      </c>
      <c r="I120" s="1085"/>
      <c r="J120" s="1087">
        <f>H120/DAY(B2)</f>
        <v>5.9090909090909092</v>
      </c>
      <c r="N120" s="1120">
        <v>47</v>
      </c>
      <c r="O120" s="951">
        <f t="shared" si="7"/>
        <v>-66</v>
      </c>
    </row>
    <row r="121" spans="1:15" s="996" customFormat="1">
      <c r="A121" s="1489"/>
      <c r="B121" s="1490"/>
      <c r="C121" s="1078"/>
      <c r="D121" s="1073"/>
      <c r="E121" s="1073"/>
      <c r="F121" s="1073" t="s">
        <v>226</v>
      </c>
      <c r="G121" s="1073"/>
      <c r="H121" s="1088"/>
      <c r="I121" s="1073"/>
      <c r="J121" s="1089"/>
      <c r="N121" s="1114"/>
      <c r="O121" s="951">
        <f t="shared" si="7"/>
        <v>0</v>
      </c>
    </row>
    <row r="122" spans="1:15">
      <c r="A122" s="1513" t="s">
        <v>241</v>
      </c>
      <c r="B122" s="1514"/>
      <c r="C122" s="1515"/>
      <c r="D122" s="939"/>
      <c r="E122" s="939"/>
      <c r="F122" s="939"/>
      <c r="G122" s="971"/>
      <c r="H122" s="971"/>
      <c r="I122" s="971"/>
      <c r="J122" s="1090"/>
      <c r="K122" s="1045"/>
      <c r="L122" s="924"/>
      <c r="O122" s="951">
        <f t="shared" si="7"/>
        <v>0</v>
      </c>
    </row>
    <row r="123" spans="1:15">
      <c r="A123" s="973" t="s">
        <v>242</v>
      </c>
      <c r="B123" s="974"/>
      <c r="C123" s="974"/>
      <c r="D123" s="944" t="s">
        <v>152</v>
      </c>
      <c r="E123" s="945">
        <f>'21'!F123</f>
        <v>800703.85</v>
      </c>
      <c r="F123" s="963">
        <v>800972.08</v>
      </c>
      <c r="G123" s="946">
        <f t="shared" ref="G123:G127" si="18">F123-E123</f>
        <v>268.22999999998137</v>
      </c>
      <c r="H123" s="947">
        <f>G123+'21'!H123</f>
        <v>5548.0299999999115</v>
      </c>
      <c r="I123" s="1063"/>
      <c r="J123" s="949">
        <f>H123/DAY(B2)</f>
        <v>252.18318181817779</v>
      </c>
      <c r="K123" s="1045"/>
      <c r="L123" s="924"/>
      <c r="N123" s="1113">
        <v>100.59000000008382</v>
      </c>
      <c r="O123" s="951">
        <f t="shared" si="7"/>
        <v>-167.63999999989755</v>
      </c>
    </row>
    <row r="124" spans="1:15">
      <c r="A124" s="973" t="s">
        <v>243</v>
      </c>
      <c r="B124" s="974"/>
      <c r="C124" s="974"/>
      <c r="D124" s="944" t="s">
        <v>152</v>
      </c>
      <c r="E124" s="945">
        <f>'21'!F124</f>
        <v>73582.3</v>
      </c>
      <c r="F124" s="979">
        <v>73582.3</v>
      </c>
      <c r="G124" s="946">
        <f t="shared" si="18"/>
        <v>0</v>
      </c>
      <c r="H124" s="947">
        <f>G124+'21'!H124</f>
        <v>0.10000000000582077</v>
      </c>
      <c r="I124" s="1063"/>
      <c r="J124" s="949">
        <f>H124/DAY(B2)</f>
        <v>4.5454545457191261E-3</v>
      </c>
      <c r="K124" s="1045"/>
      <c r="L124" s="924"/>
      <c r="N124" s="1113">
        <v>0</v>
      </c>
      <c r="O124" s="951">
        <f t="shared" si="7"/>
        <v>0</v>
      </c>
    </row>
    <row r="125" spans="1:15">
      <c r="A125" s="1507" t="s">
        <v>244</v>
      </c>
      <c r="B125" s="1508"/>
      <c r="C125" s="1509"/>
      <c r="D125" s="944" t="s">
        <v>152</v>
      </c>
      <c r="E125" s="945">
        <f>'21'!F125</f>
        <v>137161.01999999999</v>
      </c>
      <c r="F125" s="963">
        <v>137241.04999999999</v>
      </c>
      <c r="G125" s="946">
        <f t="shared" si="18"/>
        <v>80.029999999998836</v>
      </c>
      <c r="H125" s="947">
        <f>G125+'21'!H125</f>
        <v>1650.3799999999756</v>
      </c>
      <c r="I125" s="1063"/>
      <c r="J125" s="949">
        <f>H125/DAY(B2)</f>
        <v>75.017272727271617</v>
      </c>
      <c r="K125" s="1045"/>
      <c r="L125" s="924"/>
      <c r="N125" s="1113">
        <v>62</v>
      </c>
      <c r="O125" s="951">
        <f t="shared" si="7"/>
        <v>-18.029999999998836</v>
      </c>
    </row>
    <row r="126" spans="1:15">
      <c r="A126" s="1092" t="s">
        <v>245</v>
      </c>
      <c r="B126" s="974"/>
      <c r="C126" s="974"/>
      <c r="D126" s="944" t="s">
        <v>152</v>
      </c>
      <c r="E126" s="945">
        <f>'21'!F126</f>
        <v>58066</v>
      </c>
      <c r="F126" s="979">
        <v>58105</v>
      </c>
      <c r="G126" s="946">
        <f t="shared" si="18"/>
        <v>39</v>
      </c>
      <c r="H126" s="947">
        <f>G126+'21'!H126</f>
        <v>724</v>
      </c>
      <c r="I126" s="1063"/>
      <c r="J126" s="949">
        <f>H126/DAY(B2)</f>
        <v>32.909090909090907</v>
      </c>
      <c r="K126" s="1045"/>
      <c r="L126" s="924"/>
      <c r="N126" s="1113">
        <v>0</v>
      </c>
      <c r="O126" s="951">
        <f t="shared" si="7"/>
        <v>-39</v>
      </c>
    </row>
    <row r="127" spans="1:15">
      <c r="A127" s="1092" t="s">
        <v>246</v>
      </c>
      <c r="B127" s="974"/>
      <c r="C127" s="974"/>
      <c r="D127" s="944" t="s">
        <v>152</v>
      </c>
      <c r="E127" s="945">
        <f>'21'!F127</f>
        <v>8778.7000000000007</v>
      </c>
      <c r="F127" s="979">
        <v>8785</v>
      </c>
      <c r="G127" s="946">
        <f t="shared" si="18"/>
        <v>6.2999999999992724</v>
      </c>
      <c r="H127" s="947">
        <f>G127+'21'!H127</f>
        <v>79</v>
      </c>
      <c r="I127" s="966"/>
      <c r="J127" s="949">
        <f>H127/DAY(B2)</f>
        <v>3.5909090909090908</v>
      </c>
      <c r="K127" s="1045"/>
      <c r="L127" s="924"/>
      <c r="N127" s="1113">
        <v>0</v>
      </c>
      <c r="O127" s="951">
        <f t="shared" si="7"/>
        <v>-6.2999999999992724</v>
      </c>
    </row>
    <row r="128" spans="1:15">
      <c r="A128" s="1092" t="s">
        <v>247</v>
      </c>
      <c r="B128" s="974"/>
      <c r="C128" s="974"/>
      <c r="D128" s="944"/>
      <c r="E128" s="945"/>
      <c r="F128" s="963"/>
      <c r="G128" s="946">
        <f>G15-SUM(G123:G127)</f>
        <v>510.44000000002052</v>
      </c>
      <c r="H128" s="947">
        <f>G128+'21'!H128</f>
        <v>3916.6700000000801</v>
      </c>
      <c r="I128" s="966"/>
      <c r="J128" s="949">
        <f>H128/DAY(B2)</f>
        <v>178.03045454545818</v>
      </c>
      <c r="K128" s="1045"/>
      <c r="L128" s="924"/>
      <c r="N128" s="1113">
        <v>336.61999999987893</v>
      </c>
      <c r="O128" s="951">
        <f t="shared" si="7"/>
        <v>-173.82000000014159</v>
      </c>
    </row>
    <row r="129" spans="1:15">
      <c r="A129" s="1093" t="s">
        <v>248</v>
      </c>
      <c r="B129" s="938"/>
      <c r="C129" s="938"/>
      <c r="D129" s="938"/>
      <c r="E129" s="938"/>
      <c r="F129" s="938"/>
      <c r="G129" s="1094"/>
      <c r="H129" s="1094"/>
      <c r="I129" s="1094"/>
      <c r="J129" s="1095"/>
      <c r="O129" s="951">
        <f t="shared" si="7"/>
        <v>0</v>
      </c>
    </row>
    <row r="130" spans="1:15">
      <c r="A130" s="973" t="s">
        <v>249</v>
      </c>
      <c r="B130" s="974"/>
      <c r="C130" s="974"/>
      <c r="D130" s="944" t="s">
        <v>250</v>
      </c>
      <c r="E130" s="945">
        <f>'21'!F130</f>
        <v>0</v>
      </c>
      <c r="F130" s="975">
        <v>0</v>
      </c>
      <c r="G130" s="946">
        <f t="shared" ref="G130:G140" si="19">F130-E130</f>
        <v>0</v>
      </c>
      <c r="H130" s="947">
        <f>G130+'21'!H130</f>
        <v>0</v>
      </c>
      <c r="I130" s="966"/>
      <c r="J130" s="949">
        <f>H130/DAY(B2)</f>
        <v>0</v>
      </c>
      <c r="N130" s="1113">
        <v>0</v>
      </c>
      <c r="O130" s="951">
        <f t="shared" si="7"/>
        <v>0</v>
      </c>
    </row>
    <row r="131" spans="1:15">
      <c r="A131" s="973" t="s">
        <v>251</v>
      </c>
      <c r="B131" s="974"/>
      <c r="C131" s="974"/>
      <c r="D131" s="944" t="s">
        <v>250</v>
      </c>
      <c r="E131" s="945">
        <f>'21'!F131</f>
        <v>0</v>
      </c>
      <c r="F131" s="975">
        <v>0</v>
      </c>
      <c r="G131" s="946">
        <f t="shared" si="19"/>
        <v>0</v>
      </c>
      <c r="H131" s="947">
        <f>G131+'21'!H131</f>
        <v>0</v>
      </c>
      <c r="I131" s="966"/>
      <c r="J131" s="949">
        <f>H131/DAY(B2)</f>
        <v>0</v>
      </c>
      <c r="N131" s="1113">
        <v>0</v>
      </c>
      <c r="O131" s="951">
        <f t="shared" si="7"/>
        <v>0</v>
      </c>
    </row>
    <row r="132" spans="1:15">
      <c r="A132" s="973" t="s">
        <v>252</v>
      </c>
      <c r="B132" s="974"/>
      <c r="C132" s="974"/>
      <c r="D132" s="944" t="s">
        <v>250</v>
      </c>
      <c r="E132" s="945">
        <f>'21'!F132</f>
        <v>38864.58</v>
      </c>
      <c r="F132" s="1096">
        <v>38889.06</v>
      </c>
      <c r="G132" s="946">
        <f t="shared" si="19"/>
        <v>24.479999999995925</v>
      </c>
      <c r="H132" s="947">
        <f>G132+'21'!H132</f>
        <v>59.57999999999447</v>
      </c>
      <c r="I132" s="966"/>
      <c r="J132" s="949">
        <f>H132/DAY(B2)</f>
        <v>2.7081818181815667</v>
      </c>
      <c r="N132" s="1113">
        <v>0</v>
      </c>
      <c r="O132" s="951">
        <f t="shared" si="7"/>
        <v>-24.479999999995925</v>
      </c>
    </row>
    <row r="133" spans="1:15">
      <c r="A133" s="973" t="s">
        <v>253</v>
      </c>
      <c r="B133" s="974"/>
      <c r="C133" s="974"/>
      <c r="D133" s="944" t="s">
        <v>250</v>
      </c>
      <c r="E133" s="945">
        <f>'21'!F133</f>
        <v>299.02</v>
      </c>
      <c r="F133" s="1096">
        <v>299.02</v>
      </c>
      <c r="G133" s="946">
        <f t="shared" si="19"/>
        <v>0</v>
      </c>
      <c r="H133" s="947">
        <f>G133+'21'!H133</f>
        <v>1.999999999998181E-2</v>
      </c>
      <c r="I133" s="966">
        <f>G130+G131+G132+G133</f>
        <v>24.479999999995925</v>
      </c>
      <c r="J133" s="949">
        <f>H133/DAY(B2)</f>
        <v>9.0909090909008228E-4</v>
      </c>
      <c r="N133" s="1113">
        <v>24.040000000000873</v>
      </c>
      <c r="O133" s="951">
        <f t="shared" si="7"/>
        <v>24.040000000000873</v>
      </c>
    </row>
    <row r="134" spans="1:15">
      <c r="A134" s="973" t="s">
        <v>254</v>
      </c>
      <c r="B134" s="974"/>
      <c r="C134" s="974"/>
      <c r="D134" s="944" t="s">
        <v>250</v>
      </c>
      <c r="E134" s="945">
        <f>'21'!F134</f>
        <v>39951.050000000003</v>
      </c>
      <c r="F134" s="1096">
        <v>39951.050000000003</v>
      </c>
      <c r="G134" s="946">
        <f t="shared" si="19"/>
        <v>0</v>
      </c>
      <c r="H134" s="947">
        <f>G134+'21'!H134</f>
        <v>216.05000000000291</v>
      </c>
      <c r="I134" s="966"/>
      <c r="J134" s="949">
        <f>H134/DAY(B2)</f>
        <v>9.8204545454546786</v>
      </c>
      <c r="N134" s="1113">
        <v>0</v>
      </c>
      <c r="O134" s="951">
        <f t="shared" si="7"/>
        <v>0</v>
      </c>
    </row>
    <row r="135" spans="1:15">
      <c r="A135" s="973" t="s">
        <v>255</v>
      </c>
      <c r="B135" s="974"/>
      <c r="C135" s="974"/>
      <c r="D135" s="944" t="s">
        <v>250</v>
      </c>
      <c r="E135" s="945">
        <f>'21'!F135</f>
        <v>32423</v>
      </c>
      <c r="F135" s="1096">
        <v>32423</v>
      </c>
      <c r="G135" s="946">
        <f t="shared" si="19"/>
        <v>0</v>
      </c>
      <c r="H135" s="947">
        <f>G135+'21'!H135</f>
        <v>255.61000000000058</v>
      </c>
      <c r="I135" s="966"/>
      <c r="J135" s="949">
        <f>H135/DAY(B2)</f>
        <v>11.618636363636391</v>
      </c>
      <c r="N135" s="1113">
        <v>0</v>
      </c>
      <c r="O135" s="951">
        <f t="shared" si="7"/>
        <v>0</v>
      </c>
    </row>
    <row r="136" spans="1:15">
      <c r="A136" s="973" t="s">
        <v>256</v>
      </c>
      <c r="B136" s="974"/>
      <c r="C136" s="974"/>
      <c r="D136" s="944" t="s">
        <v>250</v>
      </c>
      <c r="E136" s="945">
        <f>'21'!F136</f>
        <v>21935.87</v>
      </c>
      <c r="F136" s="1096">
        <v>21935.87</v>
      </c>
      <c r="G136" s="946">
        <f t="shared" si="19"/>
        <v>0</v>
      </c>
      <c r="H136" s="947">
        <f>G136+'21'!H136</f>
        <v>134.16999999999825</v>
      </c>
      <c r="I136" s="966">
        <f>G134+G135+G136</f>
        <v>0</v>
      </c>
      <c r="J136" s="949">
        <f>H136/DAY(B2)</f>
        <v>6.0986363636362846</v>
      </c>
      <c r="N136" s="1113">
        <v>0</v>
      </c>
      <c r="O136" s="951">
        <f t="shared" ref="O136:O154" si="20">N136-G136</f>
        <v>0</v>
      </c>
    </row>
    <row r="137" spans="1:15">
      <c r="A137" s="973" t="s">
        <v>257</v>
      </c>
      <c r="B137" s="974"/>
      <c r="C137" s="974"/>
      <c r="D137" s="944" t="s">
        <v>250</v>
      </c>
      <c r="E137" s="945">
        <f>'21'!F137</f>
        <v>25010.42</v>
      </c>
      <c r="F137" s="1096">
        <v>25019.94</v>
      </c>
      <c r="G137" s="946">
        <f t="shared" si="19"/>
        <v>9.5200000000004366</v>
      </c>
      <c r="H137" s="947">
        <f>G137+'21'!H137</f>
        <v>29.329999999998108</v>
      </c>
      <c r="I137" s="966"/>
      <c r="J137" s="949">
        <f>H137/DAY(B2)</f>
        <v>1.3331818181817321</v>
      </c>
      <c r="N137" s="1113">
        <v>7.2299999999995634</v>
      </c>
      <c r="O137" s="951">
        <f t="shared" si="20"/>
        <v>-2.2900000000008731</v>
      </c>
    </row>
    <row r="138" spans="1:15">
      <c r="A138" s="973" t="s">
        <v>258</v>
      </c>
      <c r="B138" s="974"/>
      <c r="C138" s="974"/>
      <c r="D138" s="944" t="s">
        <v>250</v>
      </c>
      <c r="E138" s="945">
        <f>'21'!F138</f>
        <v>70057.8</v>
      </c>
      <c r="F138" s="1096">
        <v>70057.8</v>
      </c>
      <c r="G138" s="946">
        <f t="shared" si="19"/>
        <v>0</v>
      </c>
      <c r="H138" s="947">
        <f>G138+'21'!H138</f>
        <v>51.430000000007567</v>
      </c>
      <c r="I138" s="966">
        <f>G137+G138</f>
        <v>9.5200000000004366</v>
      </c>
      <c r="J138" s="949">
        <f>H138/DAY(B2)</f>
        <v>2.3377272727276166</v>
      </c>
      <c r="N138" s="1113">
        <v>0</v>
      </c>
      <c r="O138" s="951">
        <f t="shared" si="20"/>
        <v>0</v>
      </c>
    </row>
    <row r="139" spans="1:15">
      <c r="A139" s="973" t="s">
        <v>259</v>
      </c>
      <c r="B139" s="974"/>
      <c r="C139" s="974"/>
      <c r="D139" s="944" t="s">
        <v>250</v>
      </c>
      <c r="E139" s="945">
        <f>'21'!F139</f>
        <v>1124.03</v>
      </c>
      <c r="F139" s="975">
        <v>1131.52</v>
      </c>
      <c r="G139" s="946">
        <f t="shared" si="19"/>
        <v>7.4900000000000091</v>
      </c>
      <c r="H139" s="947">
        <f>G139+'21'!H139</f>
        <v>68.519999999999982</v>
      </c>
      <c r="I139" s="1097"/>
      <c r="J139" s="949">
        <f>H139/DAY(B2)</f>
        <v>3.1145454545454538</v>
      </c>
      <c r="N139" s="1113">
        <v>0</v>
      </c>
      <c r="O139" s="951">
        <f t="shared" si="20"/>
        <v>-7.4900000000000091</v>
      </c>
    </row>
    <row r="140" spans="1:15">
      <c r="A140" s="973" t="s">
        <v>260</v>
      </c>
      <c r="B140" s="974"/>
      <c r="C140" s="974"/>
      <c r="D140" s="944" t="s">
        <v>250</v>
      </c>
      <c r="E140" s="945">
        <f>'21'!F140</f>
        <v>4333.53</v>
      </c>
      <c r="F140" s="975">
        <v>4333.53</v>
      </c>
      <c r="G140" s="946">
        <f t="shared" si="19"/>
        <v>0</v>
      </c>
      <c r="H140" s="947">
        <f>G140+'21'!H140</f>
        <v>101.11999999999989</v>
      </c>
      <c r="I140" s="1097"/>
      <c r="J140" s="949">
        <f>H140/DAY(B2)</f>
        <v>4.5963636363636313</v>
      </c>
      <c r="N140" s="1113">
        <v>3.3299999999999272</v>
      </c>
      <c r="O140" s="951">
        <f t="shared" si="20"/>
        <v>3.3299999999999272</v>
      </c>
    </row>
    <row r="141" spans="1:15">
      <c r="A141" s="1516" t="s">
        <v>261</v>
      </c>
      <c r="B141" s="1517"/>
      <c r="C141" s="939"/>
      <c r="D141" s="939"/>
      <c r="E141" s="939"/>
      <c r="F141" s="939"/>
      <c r="G141" s="971"/>
      <c r="H141" s="971"/>
      <c r="I141" s="971"/>
      <c r="J141" s="1090"/>
      <c r="K141" s="1045"/>
      <c r="L141" s="924"/>
      <c r="O141" s="951">
        <f t="shared" si="20"/>
        <v>0</v>
      </c>
    </row>
    <row r="142" spans="1:15">
      <c r="A142" s="1501" t="s">
        <v>262</v>
      </c>
      <c r="B142" s="1502"/>
      <c r="C142" s="1503"/>
      <c r="D142" s="944" t="s">
        <v>143</v>
      </c>
      <c r="E142" s="944"/>
      <c r="F142" s="944"/>
      <c r="G142" s="947">
        <f>G35+G43+G49+G57</f>
        <v>5576.5499999999593</v>
      </c>
      <c r="H142" s="947">
        <f>G142+'21'!H142</f>
        <v>114355.22999999995</v>
      </c>
      <c r="I142" s="966"/>
      <c r="J142" s="949">
        <f>H142/DAY(B2)</f>
        <v>5197.9649999999974</v>
      </c>
      <c r="K142" s="1045"/>
      <c r="L142" s="924"/>
      <c r="N142" s="1113">
        <v>3116.0800000000163</v>
      </c>
      <c r="O142" s="951">
        <f t="shared" si="20"/>
        <v>-2460.469999999943</v>
      </c>
    </row>
    <row r="143" spans="1:15">
      <c r="A143" s="1501" t="s">
        <v>263</v>
      </c>
      <c r="B143" s="1502"/>
      <c r="C143" s="1503"/>
      <c r="D143" s="944" t="s">
        <v>24</v>
      </c>
      <c r="E143" s="931"/>
      <c r="F143" s="931"/>
      <c r="G143" s="1098">
        <f>G142/G7</f>
        <v>0.28583034341363195</v>
      </c>
      <c r="H143" s="947">
        <f>G143+'21'!H143</f>
        <v>5.6815521375156637</v>
      </c>
      <c r="I143" s="1099"/>
      <c r="J143" s="949">
        <f>H143/DAY(B2)</f>
        <v>0.25825236988707562</v>
      </c>
      <c r="K143" s="1045"/>
      <c r="L143" s="924"/>
      <c r="N143" s="1113">
        <v>0.24942607860401955</v>
      </c>
      <c r="O143" s="951">
        <f t="shared" si="20"/>
        <v>-3.6404264809612397E-2</v>
      </c>
    </row>
    <row r="144" spans="1:15">
      <c r="A144" s="1501" t="s">
        <v>264</v>
      </c>
      <c r="B144" s="1502"/>
      <c r="C144" s="1503"/>
      <c r="D144" s="944" t="s">
        <v>143</v>
      </c>
      <c r="E144" s="945"/>
      <c r="F144" s="945"/>
      <c r="G144" s="947">
        <f>G41+G42+G55+G56</f>
        <v>4213.0100000000148</v>
      </c>
      <c r="H144" s="947">
        <f>G144+'21'!H144</f>
        <v>94094.73000000001</v>
      </c>
      <c r="I144" s="966"/>
      <c r="J144" s="949">
        <f>H144/DAY(B2)</f>
        <v>4277.0331818181821</v>
      </c>
      <c r="K144" s="1045"/>
      <c r="L144" s="924"/>
      <c r="N144" s="1113">
        <v>3271.0800000000127</v>
      </c>
      <c r="O144" s="951">
        <f t="shared" si="20"/>
        <v>-941.93000000000211</v>
      </c>
    </row>
    <row r="145" spans="1:15">
      <c r="A145" s="1501" t="s">
        <v>265</v>
      </c>
      <c r="B145" s="1502"/>
      <c r="C145" s="1503"/>
      <c r="D145" s="944" t="s">
        <v>24</v>
      </c>
      <c r="E145" s="945"/>
      <c r="F145" s="945"/>
      <c r="G145" s="1098">
        <f>G144/G7</f>
        <v>0.21594105586878601</v>
      </c>
      <c r="H145" s="947">
        <f>G145+'21'!H145</f>
        <v>4.8030066706174521</v>
      </c>
      <c r="I145" s="1099"/>
      <c r="J145" s="949">
        <f>H145/DAY(B2)</f>
        <v>0.218318485028066</v>
      </c>
      <c r="K145" s="1045"/>
      <c r="L145" s="924"/>
      <c r="N145" s="1113">
        <v>0.26183302649483814</v>
      </c>
      <c r="O145" s="951">
        <f t="shared" si="20"/>
        <v>4.5891970626052131E-2</v>
      </c>
    </row>
    <row r="146" spans="1:15">
      <c r="A146" s="1501" t="s">
        <v>266</v>
      </c>
      <c r="B146" s="1502"/>
      <c r="C146" s="1503"/>
      <c r="D146" s="944" t="s">
        <v>143</v>
      </c>
      <c r="E146" s="945"/>
      <c r="F146" s="945"/>
      <c r="G146" s="947">
        <f>G39+G53</f>
        <v>4075.5999999999767</v>
      </c>
      <c r="H146" s="947">
        <f>G146+'21'!H146</f>
        <v>89947.319999999978</v>
      </c>
      <c r="I146" s="1100"/>
      <c r="J146" s="949">
        <f>H146/DAY(B2)</f>
        <v>4088.5145454545445</v>
      </c>
      <c r="K146" s="1045"/>
      <c r="L146" s="924"/>
      <c r="N146" s="1113">
        <v>2151.6400000000085</v>
      </c>
      <c r="O146" s="951">
        <f t="shared" si="20"/>
        <v>-1923.9599999999682</v>
      </c>
    </row>
    <row r="147" spans="1:15">
      <c r="A147" s="1501" t="s">
        <v>267</v>
      </c>
      <c r="B147" s="1502"/>
      <c r="C147" s="1503"/>
      <c r="D147" s="944" t="s">
        <v>24</v>
      </c>
      <c r="E147" s="945"/>
      <c r="F147" s="945"/>
      <c r="G147" s="1098">
        <f>G146/G7</f>
        <v>0.20889800102511413</v>
      </c>
      <c r="H147" s="947">
        <f>G147+'21'!H147</f>
        <v>4.6023097849402337</v>
      </c>
      <c r="I147" s="1100"/>
      <c r="J147" s="949">
        <f>H147/DAY(B2)</f>
        <v>0.20919589931546517</v>
      </c>
      <c r="N147" s="1113">
        <v>0.17222764748259092</v>
      </c>
      <c r="O147" s="951">
        <f t="shared" si="20"/>
        <v>-3.667035354252321E-2</v>
      </c>
    </row>
    <row r="148" spans="1:15">
      <c r="A148" s="1501" t="s">
        <v>268</v>
      </c>
      <c r="B148" s="1502"/>
      <c r="C148" s="1503"/>
      <c r="D148" s="944" t="s">
        <v>194</v>
      </c>
      <c r="E148" s="945"/>
      <c r="F148" s="945"/>
      <c r="G148" s="947">
        <f>G38+G52</f>
        <v>1877.7999999999884</v>
      </c>
      <c r="H148" s="947">
        <f>G148+'21'!H148</f>
        <v>43659.299999999988</v>
      </c>
      <c r="I148" s="966"/>
      <c r="J148" s="949">
        <f>H148/DAY(B2)</f>
        <v>1984.5136363636359</v>
      </c>
      <c r="K148" s="1101"/>
      <c r="N148" s="1113">
        <v>1058.2600000000093</v>
      </c>
      <c r="O148" s="951">
        <f t="shared" si="20"/>
        <v>-819.53999999997905</v>
      </c>
    </row>
    <row r="149" spans="1:15">
      <c r="A149" s="1501" t="s">
        <v>269</v>
      </c>
      <c r="B149" s="1502"/>
      <c r="C149" s="1503"/>
      <c r="D149" s="944" t="s">
        <v>24</v>
      </c>
      <c r="E149" s="945"/>
      <c r="F149" s="945"/>
      <c r="G149" s="1098">
        <f>G148/G7</f>
        <v>9.6248077908764135E-2</v>
      </c>
      <c r="H149" s="947">
        <f>G149+'21'!H149</f>
        <v>2.2353128552910273</v>
      </c>
      <c r="I149" s="1100"/>
      <c r="J149" s="949">
        <f>H149/DAY(B2)</f>
        <v>0.10160512978595579</v>
      </c>
      <c r="N149" s="1113">
        <v>8.4708236612503748E-2</v>
      </c>
      <c r="O149" s="951">
        <f t="shared" si="20"/>
        <v>-1.1539841296260386E-2</v>
      </c>
    </row>
    <row r="150" spans="1:15">
      <c r="A150" s="1501" t="s">
        <v>270</v>
      </c>
      <c r="B150" s="1502"/>
      <c r="C150" s="1503"/>
      <c r="D150" s="944" t="s">
        <v>194</v>
      </c>
      <c r="E150" s="945"/>
      <c r="F150" s="945"/>
      <c r="G150" s="947">
        <f>G36+G50</f>
        <v>1701.5999999999185</v>
      </c>
      <c r="H150" s="947">
        <f>G150+'21'!H150</f>
        <v>39203.639999999956</v>
      </c>
      <c r="I150" s="1100"/>
      <c r="J150" s="949">
        <f>H150/DAY(B2)</f>
        <v>1781.9836363636343</v>
      </c>
      <c r="N150" s="1113">
        <v>1278.2299999999814</v>
      </c>
      <c r="O150" s="951">
        <f t="shared" si="20"/>
        <v>-423.36999999993714</v>
      </c>
    </row>
    <row r="151" spans="1:15">
      <c r="A151" s="1501" t="s">
        <v>271</v>
      </c>
      <c r="B151" s="1502"/>
      <c r="C151" s="1503"/>
      <c r="D151" s="944" t="s">
        <v>24</v>
      </c>
      <c r="E151" s="945"/>
      <c r="F151" s="945"/>
      <c r="G151" s="1098">
        <f>G150/G7</f>
        <v>8.7216811891333595E-2</v>
      </c>
      <c r="H151" s="947">
        <f>G151+'21'!H151</f>
        <v>2.0071899254395547</v>
      </c>
      <c r="I151" s="966"/>
      <c r="J151" s="949">
        <f>H151/DAY(B2)</f>
        <v>9.1235905701797945E-2</v>
      </c>
      <c r="N151" s="1113">
        <v>0.10231569679020103</v>
      </c>
      <c r="O151" s="951">
        <f t="shared" si="20"/>
        <v>1.5098884898867432E-2</v>
      </c>
    </row>
    <row r="152" spans="1:15">
      <c r="A152" s="1501" t="s">
        <v>272</v>
      </c>
      <c r="B152" s="1502"/>
      <c r="C152" s="1503"/>
      <c r="D152" s="944" t="s">
        <v>194</v>
      </c>
      <c r="E152" s="945"/>
      <c r="F152" s="945"/>
      <c r="G152" s="947">
        <f>G37+G51</f>
        <v>1492.1399999999994</v>
      </c>
      <c r="H152" s="947">
        <f>G152+'21'!H152</f>
        <v>32015.86</v>
      </c>
      <c r="I152" s="966"/>
      <c r="J152" s="949">
        <f>H152/DAY(B2)</f>
        <v>1455.2663636363636</v>
      </c>
      <c r="N152" s="1113">
        <v>1215.359999999986</v>
      </c>
      <c r="O152" s="951">
        <f t="shared" si="20"/>
        <v>-276.78000000001339</v>
      </c>
    </row>
    <row r="153" spans="1:15" ht="21" thickBot="1">
      <c r="A153" s="1504" t="s">
        <v>273</v>
      </c>
      <c r="B153" s="1505"/>
      <c r="C153" s="1506"/>
      <c r="D153" s="1102" t="s">
        <v>24</v>
      </c>
      <c r="E153" s="1103"/>
      <c r="F153" s="1103"/>
      <c r="G153" s="1104">
        <f>G152/G7</f>
        <v>7.6480779087647333E-2</v>
      </c>
      <c r="H153" s="947">
        <f>G153+'21'!H153</f>
        <v>1.6387542765345953</v>
      </c>
      <c r="I153" s="1105"/>
      <c r="J153" s="1106">
        <f>H153/DAY(B2)</f>
        <v>7.4488830751572518E-2</v>
      </c>
      <c r="N153" s="1113">
        <v>9.7283278636035059E-2</v>
      </c>
      <c r="O153" s="951">
        <f t="shared" si="20"/>
        <v>2.0802499548387726E-2</v>
      </c>
    </row>
    <row r="154" spans="1:15">
      <c r="A154" s="1107"/>
      <c r="B154" s="1107"/>
      <c r="C154" s="1107"/>
      <c r="D154" s="1107"/>
      <c r="E154" s="1107"/>
      <c r="F154" s="1107"/>
      <c r="G154" s="1107"/>
      <c r="H154" s="1108"/>
      <c r="I154" s="1107"/>
      <c r="J154" s="1109"/>
      <c r="O154" s="951">
        <f t="shared" si="20"/>
        <v>0</v>
      </c>
    </row>
    <row r="160" spans="1:15">
      <c r="A160" s="1097" t="s">
        <v>274</v>
      </c>
      <c r="B160" s="1097"/>
      <c r="C160" s="1097"/>
      <c r="D160" s="931" t="s">
        <v>198</v>
      </c>
      <c r="E160" s="945">
        <f>'21'!F160</f>
        <v>27609.86</v>
      </c>
      <c r="F160" s="1121">
        <v>27694.720000000001</v>
      </c>
      <c r="G160" s="946">
        <f t="shared" ref="G160:G163" si="21">F160-E160</f>
        <v>84.860000000000582</v>
      </c>
      <c r="H160" s="1111">
        <v>68.809999999999491</v>
      </c>
      <c r="N160" s="1113">
        <v>68.809999999999491</v>
      </c>
    </row>
    <row r="161" spans="1:14">
      <c r="A161" s="1097" t="s">
        <v>275</v>
      </c>
      <c r="B161" s="1097"/>
      <c r="C161" s="1097"/>
      <c r="D161" s="931" t="s">
        <v>198</v>
      </c>
      <c r="E161" s="945">
        <f>'21'!F161</f>
        <v>38107.199999999997</v>
      </c>
      <c r="F161" s="1121">
        <v>38562.980000000003</v>
      </c>
      <c r="G161" s="946">
        <f t="shared" si="21"/>
        <v>455.78000000000611</v>
      </c>
      <c r="H161" s="1111">
        <v>128.56999999999994</v>
      </c>
      <c r="N161" s="1113">
        <v>128.56999999999994</v>
      </c>
    </row>
    <row r="162" spans="1:14">
      <c r="A162" s="1097" t="s">
        <v>276</v>
      </c>
      <c r="B162" s="1097"/>
      <c r="C162" s="1097"/>
      <c r="D162" s="931" t="s">
        <v>198</v>
      </c>
      <c r="E162" s="945">
        <f>'21'!F162</f>
        <v>10262.530000000001</v>
      </c>
      <c r="F162" s="1121">
        <v>10487.3</v>
      </c>
      <c r="G162" s="946">
        <f t="shared" si="21"/>
        <v>224.76999999999862</v>
      </c>
      <c r="H162" s="1111">
        <v>141.49</v>
      </c>
      <c r="N162" s="1113">
        <v>141.49</v>
      </c>
    </row>
    <row r="163" spans="1:14">
      <c r="A163" s="1097" t="s">
        <v>277</v>
      </c>
      <c r="B163" s="1097"/>
      <c r="C163" s="1097"/>
      <c r="D163" s="931" t="s">
        <v>198</v>
      </c>
      <c r="E163" s="945">
        <f>'21'!F163</f>
        <v>4790.54</v>
      </c>
      <c r="F163" s="1121">
        <v>4812.28</v>
      </c>
      <c r="G163" s="946">
        <f t="shared" si="21"/>
        <v>21.739999999999782</v>
      </c>
      <c r="H163" s="1111">
        <v>45.430000000000007</v>
      </c>
      <c r="N163" s="1113">
        <v>45.430000000000007</v>
      </c>
    </row>
    <row r="164" spans="1:14">
      <c r="A164" s="1027" t="s">
        <v>106</v>
      </c>
      <c r="B164" s="1027"/>
      <c r="C164" s="1027"/>
      <c r="D164" s="931" t="s">
        <v>198</v>
      </c>
      <c r="E164" s="1028">
        <f>E62</f>
        <v>20419.2</v>
      </c>
      <c r="F164" s="1028">
        <f>F62</f>
        <v>20419.2</v>
      </c>
      <c r="G164" s="946">
        <f t="shared" ref="G164:G171" si="22">F164-E164</f>
        <v>0</v>
      </c>
      <c r="H164" s="1111">
        <v>0</v>
      </c>
      <c r="N164" s="1113">
        <v>0</v>
      </c>
    </row>
    <row r="165" spans="1:14">
      <c r="A165" s="1027" t="s">
        <v>199</v>
      </c>
      <c r="B165" s="1027"/>
      <c r="C165" s="1027"/>
      <c r="D165" s="931" t="s">
        <v>198</v>
      </c>
      <c r="E165" s="1028">
        <f t="shared" ref="E165:E171" si="23">E63</f>
        <v>1229.1400000000001</v>
      </c>
      <c r="F165" s="1028">
        <f t="shared" ref="F165:F171" si="24">F63</f>
        <v>1236.99</v>
      </c>
      <c r="G165" s="946">
        <f t="shared" si="22"/>
        <v>7.8499999999999091</v>
      </c>
      <c r="H165" s="1111">
        <v>0</v>
      </c>
      <c r="N165" s="1113">
        <v>0</v>
      </c>
    </row>
    <row r="166" spans="1:14">
      <c r="A166" s="1488" t="s">
        <v>107</v>
      </c>
      <c r="B166" s="1488"/>
      <c r="C166" s="1488"/>
      <c r="D166" s="944" t="s">
        <v>198</v>
      </c>
      <c r="E166" s="1028">
        <f t="shared" si="23"/>
        <v>107043.62</v>
      </c>
      <c r="F166" s="1028">
        <f t="shared" si="24"/>
        <v>107473.88</v>
      </c>
      <c r="G166" s="946">
        <f t="shared" si="22"/>
        <v>430.26000000000931</v>
      </c>
      <c r="H166" s="1111">
        <v>178.5199999999968</v>
      </c>
      <c r="N166" s="1113">
        <v>178.5199999999968</v>
      </c>
    </row>
    <row r="167" spans="1:14">
      <c r="A167" s="1488" t="s">
        <v>108</v>
      </c>
      <c r="B167" s="1488"/>
      <c r="C167" s="1488"/>
      <c r="D167" s="944" t="s">
        <v>198</v>
      </c>
      <c r="E167" s="1028">
        <f t="shared" si="23"/>
        <v>117693.6</v>
      </c>
      <c r="F167" s="1028">
        <f t="shared" si="24"/>
        <v>118098.62</v>
      </c>
      <c r="G167" s="946">
        <f t="shared" si="22"/>
        <v>405.01999999998952</v>
      </c>
      <c r="H167" s="1111">
        <v>198.38999999999942</v>
      </c>
      <c r="N167" s="1113">
        <v>198.38999999999942</v>
      </c>
    </row>
    <row r="168" spans="1:14">
      <c r="A168" s="1488" t="s">
        <v>109</v>
      </c>
      <c r="B168" s="1488"/>
      <c r="C168" s="1488"/>
      <c r="D168" s="944" t="s">
        <v>198</v>
      </c>
      <c r="E168" s="1028">
        <f t="shared" si="23"/>
        <v>10130.719999999999</v>
      </c>
      <c r="F168" s="1028">
        <f t="shared" si="24"/>
        <v>10482.780000000001</v>
      </c>
      <c r="G168" s="946">
        <f t="shared" si="22"/>
        <v>352.06000000000131</v>
      </c>
      <c r="H168" s="1111">
        <v>226.35000000000582</v>
      </c>
      <c r="N168" s="1113">
        <v>226.35000000000582</v>
      </c>
    </row>
    <row r="169" spans="1:14">
      <c r="A169" s="1488" t="s">
        <v>110</v>
      </c>
      <c r="B169" s="1488"/>
      <c r="C169" s="1488"/>
      <c r="D169" s="944" t="s">
        <v>198</v>
      </c>
      <c r="E169" s="1028">
        <f t="shared" si="23"/>
        <v>182084.35</v>
      </c>
      <c r="F169" s="1028">
        <f t="shared" si="24"/>
        <v>182726</v>
      </c>
      <c r="G169" s="946">
        <f t="shared" si="22"/>
        <v>641.64999999999418</v>
      </c>
      <c r="H169" s="1111">
        <v>312.47000000000116</v>
      </c>
      <c r="N169" s="1113">
        <v>312.47000000000116</v>
      </c>
    </row>
    <row r="170" spans="1:14">
      <c r="A170" s="1488" t="s">
        <v>111</v>
      </c>
      <c r="B170" s="1488"/>
      <c r="C170" s="1488"/>
      <c r="D170" s="944" t="s">
        <v>198</v>
      </c>
      <c r="E170" s="1028">
        <f t="shared" si="23"/>
        <v>60072.38</v>
      </c>
      <c r="F170" s="1028">
        <f t="shared" si="24"/>
        <v>60387.56</v>
      </c>
      <c r="G170" s="946">
        <f t="shared" si="22"/>
        <v>315.18000000000029</v>
      </c>
      <c r="H170" s="1111">
        <v>142.1200000000008</v>
      </c>
      <c r="N170" s="1113">
        <v>142.1200000000008</v>
      </c>
    </row>
    <row r="171" spans="1:14">
      <c r="A171" s="1488" t="s">
        <v>112</v>
      </c>
      <c r="B171" s="1488"/>
      <c r="C171" s="1488"/>
      <c r="D171" s="944" t="s">
        <v>198</v>
      </c>
      <c r="E171" s="1028">
        <f t="shared" si="23"/>
        <v>52646.38</v>
      </c>
      <c r="F171" s="1028">
        <f t="shared" si="24"/>
        <v>52947.14</v>
      </c>
      <c r="G171" s="946">
        <f t="shared" si="22"/>
        <v>300.76000000000204</v>
      </c>
      <c r="H171" s="1111">
        <v>12.869999999998981</v>
      </c>
      <c r="N171" s="1113">
        <v>12.869999999998981</v>
      </c>
    </row>
    <row r="172" spans="1:14">
      <c r="G172" s="1112">
        <f>SUM(G160:G171)</f>
        <v>3239.9300000000017</v>
      </c>
      <c r="N172" s="1113">
        <v>1455.0200000000025</v>
      </c>
    </row>
  </sheetData>
  <mergeCells count="74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52" zoomScale="70" zoomScaleNormal="80" zoomScaleSheetLayoutView="70" workbookViewId="0">
      <selection activeCell="F29" sqref="F29"/>
    </sheetView>
  </sheetViews>
  <sheetFormatPr defaultColWidth="22.33203125" defaultRowHeight="20.25"/>
  <cols>
    <col min="1" max="1" width="51.21875" style="1110" customWidth="1"/>
    <col min="2" max="2" width="24.88671875" style="1110" customWidth="1"/>
    <col min="3" max="3" width="15.88671875" style="1110" customWidth="1"/>
    <col min="4" max="4" width="13.6640625" style="1110" customWidth="1"/>
    <col min="5" max="5" width="32.109375" style="1110" customWidth="1"/>
    <col min="6" max="6" width="30" style="1110" customWidth="1"/>
    <col min="7" max="7" width="15.5546875" style="1110" bestFit="1" customWidth="1"/>
    <col min="8" max="8" width="39.21875" style="1111" customWidth="1"/>
    <col min="9" max="9" width="11.21875" style="1110" bestFit="1" customWidth="1"/>
    <col min="10" max="10" width="24" style="1112" customWidth="1"/>
    <col min="11" max="11" width="43.21875" style="911" hidden="1" customWidth="1"/>
    <col min="12" max="13" width="0" style="911" hidden="1" customWidth="1"/>
    <col min="14" max="14" width="25.109375" style="1113" customWidth="1"/>
    <col min="15" max="15" width="6.77734375" style="911" bestFit="1" customWidth="1"/>
    <col min="16" max="16384" width="22.33203125" style="911"/>
  </cols>
  <sheetData>
    <row r="1" spans="1:15" ht="22.5">
      <c r="A1" s="1530" t="s">
        <v>128</v>
      </c>
      <c r="B1" s="1531"/>
      <c r="C1" s="1531"/>
      <c r="D1" s="1531"/>
      <c r="E1" s="1531"/>
      <c r="F1" s="1531"/>
      <c r="G1" s="1531"/>
      <c r="H1" s="1531"/>
      <c r="I1" s="1531"/>
      <c r="J1" s="1532"/>
      <c r="K1" s="911">
        <v>10002.799999999999</v>
      </c>
    </row>
    <row r="2" spans="1:15">
      <c r="A2" s="912" t="s">
        <v>341</v>
      </c>
      <c r="B2" s="1186">
        <v>44219</v>
      </c>
      <c r="C2" s="913" t="s">
        <v>69</v>
      </c>
      <c r="D2" s="914">
        <v>0.5</v>
      </c>
      <c r="E2" s="915"/>
      <c r="F2" s="915"/>
      <c r="G2" s="915" t="s">
        <v>129</v>
      </c>
      <c r="H2" s="915" t="s">
        <v>6</v>
      </c>
      <c r="I2" s="915" t="s">
        <v>8</v>
      </c>
      <c r="J2" s="916" t="s">
        <v>130</v>
      </c>
    </row>
    <row r="3" spans="1:15">
      <c r="A3" s="917"/>
      <c r="B3" s="918"/>
      <c r="C3" s="913" t="s">
        <v>131</v>
      </c>
      <c r="D3" s="919">
        <v>30</v>
      </c>
      <c r="E3" s="1539" t="s">
        <v>132</v>
      </c>
      <c r="F3" s="1540"/>
      <c r="G3" s="920">
        <f>'1'!G3</f>
        <v>0</v>
      </c>
      <c r="H3" s="921">
        <f>'1'!H3</f>
        <v>0</v>
      </c>
      <c r="I3" s="921">
        <f>'1'!I3</f>
        <v>0</v>
      </c>
      <c r="J3" s="922">
        <f>'1'!J3</f>
        <v>0</v>
      </c>
      <c r="K3" s="923"/>
      <c r="L3" s="924"/>
    </row>
    <row r="4" spans="1:15">
      <c r="A4" s="925"/>
      <c r="B4" s="926"/>
      <c r="C4" s="913" t="s">
        <v>133</v>
      </c>
      <c r="D4" s="914">
        <v>0.76</v>
      </c>
      <c r="E4" s="927"/>
      <c r="F4" s="927"/>
      <c r="G4" s="927"/>
      <c r="H4" s="927"/>
      <c r="I4" s="928"/>
      <c r="J4" s="922"/>
      <c r="K4" s="929"/>
      <c r="L4" s="924"/>
    </row>
    <row r="5" spans="1:15">
      <c r="A5" s="930" t="s">
        <v>134</v>
      </c>
      <c r="B5" s="931"/>
      <c r="C5" s="931"/>
      <c r="D5" s="931" t="s">
        <v>135</v>
      </c>
      <c r="E5" s="932" t="s">
        <v>136</v>
      </c>
      <c r="F5" s="932" t="s">
        <v>123</v>
      </c>
      <c r="G5" s="933" t="s">
        <v>137</v>
      </c>
      <c r="H5" s="934" t="s">
        <v>138</v>
      </c>
      <c r="I5" s="935" t="s">
        <v>139</v>
      </c>
      <c r="J5" s="936" t="s">
        <v>140</v>
      </c>
      <c r="K5" s="937"/>
      <c r="L5" s="924"/>
    </row>
    <row r="6" spans="1:15">
      <c r="A6" s="1533" t="s">
        <v>141</v>
      </c>
      <c r="B6" s="1534"/>
      <c r="C6" s="1535"/>
      <c r="D6" s="938"/>
      <c r="E6" s="938"/>
      <c r="F6" s="938"/>
      <c r="G6" s="938"/>
      <c r="H6" s="939"/>
      <c r="I6" s="939"/>
      <c r="J6" s="940"/>
      <c r="K6" s="941"/>
      <c r="L6" s="924"/>
    </row>
    <row r="7" spans="1:15" ht="21" thickBot="1">
      <c r="A7" s="942" t="s">
        <v>142</v>
      </c>
      <c r="B7" s="943"/>
      <c r="C7" s="943"/>
      <c r="D7" s="944" t="s">
        <v>143</v>
      </c>
      <c r="E7" s="945">
        <f>'22'!F7</f>
        <v>3716712</v>
      </c>
      <c r="F7" s="945">
        <v>3736421</v>
      </c>
      <c r="G7" s="946">
        <f>F7-E7</f>
        <v>19709</v>
      </c>
      <c r="H7" s="947">
        <f>G7+'22'!H7</f>
        <v>449981</v>
      </c>
      <c r="I7" s="948">
        <f>'1'!I7</f>
        <v>12000</v>
      </c>
      <c r="J7" s="949">
        <f>H7/DAY(B2)</f>
        <v>19564.391304347828</v>
      </c>
      <c r="K7" s="950"/>
      <c r="L7" s="924"/>
      <c r="O7" s="951"/>
    </row>
    <row r="8" spans="1:15" ht="21" thickBot="1">
      <c r="A8" s="952" t="s">
        <v>144</v>
      </c>
      <c r="B8" s="953"/>
      <c r="C8" s="954"/>
      <c r="D8" s="955" t="s">
        <v>25</v>
      </c>
      <c r="E8" s="945">
        <f>'22'!F8</f>
        <v>3739801</v>
      </c>
      <c r="F8" s="956">
        <v>3759656</v>
      </c>
      <c r="G8" s="957">
        <f>F8-E8</f>
        <v>19855</v>
      </c>
      <c r="H8" s="947">
        <f>G8+'22'!H8</f>
        <v>453284</v>
      </c>
      <c r="I8" s="958">
        <f>'1'!I8</f>
        <v>12000</v>
      </c>
      <c r="J8" s="949">
        <f>H8/DAY(B2)</f>
        <v>19708</v>
      </c>
      <c r="K8" s="950"/>
      <c r="L8" s="959"/>
      <c r="M8" s="960"/>
      <c r="O8" s="951"/>
    </row>
    <row r="9" spans="1:15">
      <c r="A9" s="961" t="s">
        <v>145</v>
      </c>
      <c r="B9" s="962"/>
      <c r="C9" s="962"/>
      <c r="D9" s="944" t="s">
        <v>143</v>
      </c>
      <c r="E9" s="945">
        <f>'22'!F9</f>
        <v>2476558.7000000002</v>
      </c>
      <c r="F9" s="963">
        <v>2483664.2999999998</v>
      </c>
      <c r="G9" s="946">
        <f t="shared" ref="G9:G12" si="0">F9-E9</f>
        <v>7105.5999999996275</v>
      </c>
      <c r="H9" s="947">
        <f>G9+'22'!H9</f>
        <v>78449.299999999814</v>
      </c>
      <c r="I9" s="964">
        <f>I8-J8</f>
        <v>-7708</v>
      </c>
      <c r="J9" s="949">
        <f>H9/DAY(B2)</f>
        <v>3410.8391304347747</v>
      </c>
      <c r="K9" s="965"/>
      <c r="L9" s="924"/>
      <c r="O9" s="951"/>
    </row>
    <row r="10" spans="1:15">
      <c r="A10" s="942" t="s">
        <v>146</v>
      </c>
      <c r="B10" s="943"/>
      <c r="C10" s="943"/>
      <c r="D10" s="944" t="s">
        <v>143</v>
      </c>
      <c r="E10" s="945">
        <f>'22'!F10</f>
        <v>1093781.5</v>
      </c>
      <c r="F10" s="963">
        <v>1105724.3</v>
      </c>
      <c r="G10" s="946">
        <f t="shared" si="0"/>
        <v>11942.800000000047</v>
      </c>
      <c r="H10" s="947">
        <f>G10+'22'!H10</f>
        <v>355202.39</v>
      </c>
      <c r="I10" s="966"/>
      <c r="J10" s="949">
        <f>H10/DAY(B2)</f>
        <v>15443.582173913044</v>
      </c>
      <c r="K10" s="965"/>
      <c r="L10" s="924"/>
      <c r="O10" s="951"/>
    </row>
    <row r="11" spans="1:15">
      <c r="A11" s="942" t="s">
        <v>147</v>
      </c>
      <c r="B11" s="943"/>
      <c r="C11" s="943"/>
      <c r="D11" s="944" t="s">
        <v>143</v>
      </c>
      <c r="E11" s="945">
        <f>'22'!F11</f>
        <v>35390</v>
      </c>
      <c r="F11" s="945">
        <v>35390</v>
      </c>
      <c r="G11" s="946">
        <f t="shared" si="0"/>
        <v>0</v>
      </c>
      <c r="H11" s="947">
        <f>G11+'22'!H11</f>
        <v>0</v>
      </c>
      <c r="I11" s="966"/>
      <c r="J11" s="949">
        <f>H11/DAY(B2)</f>
        <v>0</v>
      </c>
      <c r="K11" s="965"/>
      <c r="L11" s="924"/>
      <c r="O11" s="951"/>
    </row>
    <row r="12" spans="1:15">
      <c r="A12" s="942" t="s">
        <v>148</v>
      </c>
      <c r="B12" s="943"/>
      <c r="C12" s="943"/>
      <c r="D12" s="944" t="s">
        <v>143</v>
      </c>
      <c r="E12" s="945">
        <f>'22'!F12</f>
        <v>37630</v>
      </c>
      <c r="F12" s="963">
        <v>37630</v>
      </c>
      <c r="G12" s="946">
        <f t="shared" si="0"/>
        <v>0</v>
      </c>
      <c r="H12" s="947">
        <f>G12+'22'!H12</f>
        <v>0</v>
      </c>
      <c r="I12" s="966"/>
      <c r="J12" s="949">
        <f>H12/DAY(B2)</f>
        <v>0</v>
      </c>
      <c r="K12" s="965"/>
      <c r="L12" s="924"/>
      <c r="O12" s="951"/>
    </row>
    <row r="13" spans="1:15">
      <c r="A13" s="967" t="s">
        <v>149</v>
      </c>
      <c r="B13" s="968"/>
      <c r="C13" s="968"/>
      <c r="D13" s="944"/>
      <c r="E13" s="945"/>
      <c r="F13" s="945"/>
      <c r="G13" s="969">
        <f>G9+G10+G11+G12</f>
        <v>19048.399999999674</v>
      </c>
      <c r="H13" s="947">
        <f>G13+'22'!H13</f>
        <v>414130.68999999983</v>
      </c>
      <c r="I13" s="970">
        <f>G7-G13</f>
        <v>660.60000000032596</v>
      </c>
      <c r="J13" s="949">
        <f>H13/DAY(B2)</f>
        <v>18005.682173913036</v>
      </c>
      <c r="K13" s="965"/>
      <c r="L13" s="924"/>
      <c r="O13" s="951"/>
    </row>
    <row r="14" spans="1:15">
      <c r="A14" s="1536" t="s">
        <v>150</v>
      </c>
      <c r="B14" s="1537"/>
      <c r="C14" s="1538"/>
      <c r="D14" s="939"/>
      <c r="E14" s="939"/>
      <c r="F14" s="939"/>
      <c r="G14" s="971"/>
      <c r="H14" s="939"/>
      <c r="I14" s="939"/>
      <c r="J14" s="940"/>
      <c r="K14" s="972"/>
      <c r="L14" s="924"/>
      <c r="O14" s="951"/>
    </row>
    <row r="15" spans="1:15">
      <c r="A15" s="973" t="s">
        <v>151</v>
      </c>
      <c r="B15" s="974"/>
      <c r="C15" s="974"/>
      <c r="D15" s="944" t="s">
        <v>152</v>
      </c>
      <c r="E15" s="945">
        <f>'22'!F15</f>
        <v>1587326.94</v>
      </c>
      <c r="F15" s="975">
        <v>1588261.88</v>
      </c>
      <c r="G15" s="1123">
        <f>(F15-E15)</f>
        <v>934.93999999994412</v>
      </c>
      <c r="H15" s="947">
        <f>G15+'22'!H15</f>
        <v>19347.779999999795</v>
      </c>
      <c r="I15" s="948">
        <f>'1'!I15</f>
        <v>800</v>
      </c>
      <c r="J15" s="949">
        <f>H15/DAY(B2)</f>
        <v>841.20782608694765</v>
      </c>
      <c r="K15" s="965"/>
      <c r="L15" s="924"/>
      <c r="O15" s="951"/>
    </row>
    <row r="16" spans="1:15">
      <c r="A16" s="976"/>
      <c r="B16" s="977"/>
      <c r="C16" s="977"/>
      <c r="D16" s="978"/>
      <c r="E16" s="979"/>
      <c r="F16" s="979"/>
      <c r="G16" s="946"/>
      <c r="H16" s="980"/>
      <c r="I16" s="981">
        <f>I15-J15</f>
        <v>-41.207826086947648</v>
      </c>
      <c r="J16" s="982"/>
      <c r="K16" s="965"/>
      <c r="L16" s="924"/>
      <c r="O16" s="951"/>
    </row>
    <row r="17" spans="1:15">
      <c r="A17" s="1536" t="s">
        <v>153</v>
      </c>
      <c r="B17" s="1537"/>
      <c r="C17" s="1538"/>
      <c r="D17" s="939"/>
      <c r="E17" s="939"/>
      <c r="F17" s="939"/>
      <c r="G17" s="983"/>
      <c r="H17" s="939"/>
      <c r="I17" s="939"/>
      <c r="J17" s="940"/>
      <c r="K17" s="965"/>
      <c r="L17" s="924"/>
      <c r="O17" s="951"/>
    </row>
    <row r="18" spans="1:15">
      <c r="A18" s="1501" t="s">
        <v>154</v>
      </c>
      <c r="B18" s="1502"/>
      <c r="C18" s="1503"/>
      <c r="D18" s="944" t="s">
        <v>155</v>
      </c>
      <c r="E18" s="945">
        <f>'22'!F18</f>
        <v>12</v>
      </c>
      <c r="F18" s="975">
        <v>16</v>
      </c>
      <c r="G18" s="969">
        <f>F18*10</f>
        <v>160</v>
      </c>
      <c r="H18" s="947">
        <f>G18+'22'!H18</f>
        <v>2740</v>
      </c>
      <c r="I18" s="948">
        <f>'1'!I18</f>
        <v>65</v>
      </c>
      <c r="J18" s="949">
        <f>H18/DAY(B2)</f>
        <v>119.1304347826087</v>
      </c>
      <c r="K18" s="965"/>
      <c r="L18" s="924"/>
      <c r="O18" s="951"/>
    </row>
    <row r="19" spans="1:15">
      <c r="A19" s="1501" t="s">
        <v>71</v>
      </c>
      <c r="B19" s="1502"/>
      <c r="C19" s="1503"/>
      <c r="D19" s="944" t="s">
        <v>155</v>
      </c>
      <c r="E19" s="945">
        <f>'22'!F19</f>
        <v>132590</v>
      </c>
      <c r="F19" s="975">
        <v>132633</v>
      </c>
      <c r="G19" s="946">
        <f t="shared" ref="G19" si="1">F19-E19</f>
        <v>43</v>
      </c>
      <c r="H19" s="947">
        <f>G19+'22'!H19</f>
        <v>1140</v>
      </c>
      <c r="I19" s="948">
        <f>'1'!I19</f>
        <v>0</v>
      </c>
      <c r="J19" s="949">
        <f>H19/DAY(B2)</f>
        <v>49.565217391304351</v>
      </c>
      <c r="K19" s="965"/>
      <c r="L19" s="924"/>
      <c r="N19" s="1113">
        <v>126171</v>
      </c>
      <c r="O19" s="951"/>
    </row>
    <row r="20" spans="1:15">
      <c r="A20" s="967" t="s">
        <v>156</v>
      </c>
      <c r="B20" s="968"/>
      <c r="C20" s="968"/>
      <c r="D20" s="985"/>
      <c r="E20" s="985"/>
      <c r="F20" s="985"/>
      <c r="G20" s="986">
        <f>G18+G19</f>
        <v>203</v>
      </c>
      <c r="H20" s="947">
        <f>G20+'22'!H20</f>
        <v>3880</v>
      </c>
      <c r="I20" s="987">
        <f>I18-J20</f>
        <v>-103.69565217391303</v>
      </c>
      <c r="J20" s="949">
        <f>H20/DAY(B2)</f>
        <v>168.69565217391303</v>
      </c>
      <c r="K20" s="965"/>
      <c r="L20" s="924"/>
      <c r="N20" s="1113">
        <f>N19-F19</f>
        <v>-6462</v>
      </c>
      <c r="O20" s="951"/>
    </row>
    <row r="21" spans="1:15">
      <c r="A21" s="1536" t="s">
        <v>157</v>
      </c>
      <c r="B21" s="1537"/>
      <c r="C21" s="1538"/>
      <c r="D21" s="939"/>
      <c r="E21" s="939"/>
      <c r="F21" s="939"/>
      <c r="G21" s="971"/>
      <c r="H21" s="939"/>
      <c r="I21" s="939"/>
      <c r="J21" s="940"/>
      <c r="K21" s="965"/>
      <c r="L21" s="924"/>
      <c r="O21" s="951"/>
    </row>
    <row r="22" spans="1:15">
      <c r="A22" s="973" t="s">
        <v>158</v>
      </c>
      <c r="B22" s="974"/>
      <c r="C22" s="974"/>
      <c r="D22" s="944" t="s">
        <v>159</v>
      </c>
      <c r="E22" s="975">
        <v>2970</v>
      </c>
      <c r="F22" s="975">
        <v>2970</v>
      </c>
      <c r="G22" s="969">
        <f t="shared" ref="G22" si="2">(F22-E22)</f>
        <v>0</v>
      </c>
      <c r="H22" s="947">
        <f>G22+'22'!H22</f>
        <v>0</v>
      </c>
      <c r="I22" s="966"/>
      <c r="J22" s="949">
        <f>H22/DAY(B2)</f>
        <v>0</v>
      </c>
      <c r="K22" s="965"/>
      <c r="L22" s="924"/>
      <c r="O22" s="951"/>
    </row>
    <row r="23" spans="1:15">
      <c r="A23" s="973" t="s">
        <v>160</v>
      </c>
      <c r="B23" s="974"/>
      <c r="C23" s="974"/>
      <c r="D23" s="944" t="s">
        <v>159</v>
      </c>
      <c r="E23" s="975">
        <v>2000</v>
      </c>
      <c r="F23" s="975">
        <v>2000</v>
      </c>
      <c r="G23" s="969">
        <v>0</v>
      </c>
      <c r="H23" s="947">
        <f>G23+'22'!H23</f>
        <v>0</v>
      </c>
      <c r="I23" s="966"/>
      <c r="J23" s="949">
        <f>H23/DAY(B2)</f>
        <v>0</v>
      </c>
      <c r="K23" s="965"/>
      <c r="L23" s="924"/>
      <c r="O23" s="951"/>
    </row>
    <row r="24" spans="1:15">
      <c r="A24" s="988" t="s">
        <v>161</v>
      </c>
      <c r="B24" s="989"/>
      <c r="C24" s="989"/>
      <c r="D24" s="931" t="s">
        <v>159</v>
      </c>
      <c r="E24" s="975">
        <v>4970</v>
      </c>
      <c r="F24" s="990">
        <v>4970</v>
      </c>
      <c r="G24" s="969">
        <v>0</v>
      </c>
      <c r="H24" s="947">
        <f>G24+'22'!H24</f>
        <v>0</v>
      </c>
      <c r="I24" s="966"/>
      <c r="J24" s="949">
        <f>H24/DAY(B2)</f>
        <v>0</v>
      </c>
      <c r="K24" s="965"/>
      <c r="L24" s="924"/>
      <c r="O24" s="951"/>
    </row>
    <row r="25" spans="1:15" s="996" customFormat="1">
      <c r="A25" s="1533" t="s">
        <v>162</v>
      </c>
      <c r="B25" s="1534"/>
      <c r="C25" s="1535"/>
      <c r="D25" s="938"/>
      <c r="E25" s="938"/>
      <c r="F25" s="938"/>
      <c r="G25" s="991"/>
      <c r="H25" s="992"/>
      <c r="I25" s="993"/>
      <c r="J25" s="994"/>
      <c r="K25" s="965"/>
      <c r="L25" s="995"/>
      <c r="N25" s="1114"/>
      <c r="O25" s="951"/>
    </row>
    <row r="26" spans="1:15" s="996" customFormat="1">
      <c r="A26" s="997" t="s">
        <v>163</v>
      </c>
      <c r="B26" s="998"/>
      <c r="C26" s="999"/>
      <c r="D26" s="1000" t="s">
        <v>164</v>
      </c>
      <c r="E26" s="1001"/>
      <c r="F26" s="1001"/>
      <c r="G26" s="1002"/>
      <c r="H26" s="947"/>
      <c r="I26" s="1003"/>
      <c r="J26" s="949"/>
      <c r="K26" s="972"/>
      <c r="L26" s="995"/>
      <c r="N26" s="1114"/>
      <c r="O26" s="951"/>
    </row>
    <row r="27" spans="1:15" s="996" customFormat="1" ht="22.5">
      <c r="A27" s="997" t="s">
        <v>6</v>
      </c>
      <c r="B27" s="998"/>
      <c r="C27" s="999"/>
      <c r="D27" s="1004" t="s">
        <v>25</v>
      </c>
      <c r="E27" s="1005">
        <f>G8</f>
        <v>19855</v>
      </c>
      <c r="F27" s="577">
        <v>9</v>
      </c>
      <c r="G27" s="1007">
        <f>E27*F27</f>
        <v>178695</v>
      </c>
      <c r="H27" s="947">
        <f>G27+'22'!H27</f>
        <v>4097631</v>
      </c>
      <c r="I27" s="1008"/>
      <c r="J27" s="949">
        <f>H27/DAY(B2)</f>
        <v>178157.86956521738</v>
      </c>
      <c r="K27" s="965"/>
      <c r="L27" s="995"/>
      <c r="N27" s="1114"/>
      <c r="O27" s="951"/>
    </row>
    <row r="28" spans="1:15" s="996" customFormat="1" ht="22.5">
      <c r="A28" s="997" t="s">
        <v>165</v>
      </c>
      <c r="B28" s="998"/>
      <c r="C28" s="999"/>
      <c r="D28" s="1004" t="s">
        <v>166</v>
      </c>
      <c r="E28" s="1005">
        <f>G15</f>
        <v>934.93999999994412</v>
      </c>
      <c r="F28" s="577">
        <v>41</v>
      </c>
      <c r="G28" s="1007">
        <f>E28*F28</f>
        <v>38332.539999997709</v>
      </c>
      <c r="H28" s="947">
        <f>G28+'22'!H28</f>
        <v>792017.61999999161</v>
      </c>
      <c r="I28" s="1009"/>
      <c r="J28" s="949">
        <f>H28/DAY(B2)</f>
        <v>34435.548695651807</v>
      </c>
      <c r="K28" s="965"/>
      <c r="L28" s="995"/>
      <c r="N28" s="1114"/>
      <c r="O28" s="951"/>
    </row>
    <row r="29" spans="1:15" s="996" customFormat="1">
      <c r="A29" s="997" t="s">
        <v>167</v>
      </c>
      <c r="B29" s="998"/>
      <c r="C29" s="999"/>
      <c r="D29" s="1004" t="s">
        <v>168</v>
      </c>
      <c r="E29" s="1005">
        <f>G24</f>
        <v>0</v>
      </c>
      <c r="F29" s="1006">
        <v>69</v>
      </c>
      <c r="G29" s="1007">
        <f>E29*F29</f>
        <v>0</v>
      </c>
      <c r="H29" s="947">
        <f>G29+'22'!H29</f>
        <v>0</v>
      </c>
      <c r="I29" s="1009"/>
      <c r="J29" s="949">
        <f>H29/DAY(B2)</f>
        <v>0</v>
      </c>
      <c r="K29" s="965"/>
      <c r="L29" s="995"/>
      <c r="N29" s="1114"/>
      <c r="O29" s="951"/>
    </row>
    <row r="30" spans="1:15" s="996" customFormat="1">
      <c r="A30" s="997" t="s">
        <v>169</v>
      </c>
      <c r="B30" s="998"/>
      <c r="C30" s="999"/>
      <c r="D30" s="1004" t="s">
        <v>170</v>
      </c>
      <c r="E30" s="1005">
        <f>G19</f>
        <v>43</v>
      </c>
      <c r="F30" s="1006">
        <v>134</v>
      </c>
      <c r="G30" s="1007">
        <f>E30*F30</f>
        <v>5762</v>
      </c>
      <c r="H30" s="947">
        <f>G30+'22'!H30</f>
        <v>152760</v>
      </c>
      <c r="I30" s="1009"/>
      <c r="J30" s="949">
        <f>H30/DAY(B2)</f>
        <v>6641.739130434783</v>
      </c>
      <c r="K30" s="965"/>
      <c r="L30" s="995"/>
      <c r="N30" s="1114"/>
      <c r="O30" s="951"/>
    </row>
    <row r="31" spans="1:15" s="996" customFormat="1">
      <c r="A31" s="997" t="s">
        <v>171</v>
      </c>
      <c r="B31" s="998"/>
      <c r="C31" s="999"/>
      <c r="D31" s="1004" t="s">
        <v>155</v>
      </c>
      <c r="E31" s="1005">
        <f>G18</f>
        <v>160</v>
      </c>
      <c r="F31" s="1006">
        <v>80</v>
      </c>
      <c r="G31" s="1007">
        <f>E31*F31</f>
        <v>12800</v>
      </c>
      <c r="H31" s="947">
        <f>G31+'22'!H31</f>
        <v>219200</v>
      </c>
      <c r="I31" s="1009"/>
      <c r="J31" s="949"/>
      <c r="K31" s="965"/>
      <c r="L31" s="995"/>
      <c r="N31" s="1114"/>
      <c r="O31" s="951"/>
    </row>
    <row r="32" spans="1:15" s="996" customFormat="1">
      <c r="A32" s="1010" t="s">
        <v>172</v>
      </c>
      <c r="B32" s="1011"/>
      <c r="C32" s="1012"/>
      <c r="D32" s="1013"/>
      <c r="E32" s="1013"/>
      <c r="F32" s="1013"/>
      <c r="G32" s="1014">
        <f>G27+G28+G29+G30+G31</f>
        <v>235589.53999999771</v>
      </c>
      <c r="H32" s="947">
        <f>G32+'22'!H32</f>
        <v>5261608.6199999917</v>
      </c>
      <c r="I32" s="1015"/>
      <c r="J32" s="949">
        <f>H32/DAY(B2)</f>
        <v>228765.59217391268</v>
      </c>
      <c r="K32" s="965"/>
      <c r="L32" s="995"/>
      <c r="N32" s="1114"/>
      <c r="O32" s="951"/>
    </row>
    <row r="33" spans="1:15" ht="18.75">
      <c r="A33" s="1541" t="s">
        <v>173</v>
      </c>
      <c r="B33" s="1542"/>
      <c r="C33" s="1542"/>
      <c r="D33" s="1542"/>
      <c r="E33" s="1542"/>
      <c r="F33" s="1542"/>
      <c r="G33" s="1542"/>
      <c r="H33" s="1542"/>
      <c r="I33" s="1542"/>
      <c r="J33" s="1543"/>
      <c r="K33" s="965"/>
      <c r="L33" s="924"/>
      <c r="O33" s="951"/>
    </row>
    <row r="34" spans="1:15">
      <c r="A34" s="1016" t="s">
        <v>174</v>
      </c>
      <c r="B34" s="1017"/>
      <c r="C34" s="1017"/>
      <c r="D34" s="939"/>
      <c r="E34" s="938"/>
      <c r="F34" s="938"/>
      <c r="G34" s="939"/>
      <c r="H34" s="939"/>
      <c r="I34" s="939"/>
      <c r="J34" s="940"/>
      <c r="K34" s="965"/>
      <c r="L34" s="924"/>
      <c r="O34" s="951"/>
    </row>
    <row r="35" spans="1:15">
      <c r="A35" s="942" t="s">
        <v>175</v>
      </c>
      <c r="B35" s="943"/>
      <c r="C35" s="943"/>
      <c r="D35" s="944" t="s">
        <v>143</v>
      </c>
      <c r="E35" s="945">
        <f>'22'!F35</f>
        <v>629027.67000000004</v>
      </c>
      <c r="F35" s="1018">
        <v>629027.67000000004</v>
      </c>
      <c r="G35" s="946">
        <f t="shared" ref="G35:G46" si="3">F35-E35</f>
        <v>0</v>
      </c>
      <c r="H35" s="947">
        <f>G35+'22'!H35</f>
        <v>0.67000000004190952</v>
      </c>
      <c r="I35" s="945"/>
      <c r="J35" s="949">
        <f>H35/DAY(B2)</f>
        <v>2.9130434784430847E-2</v>
      </c>
      <c r="K35" s="965"/>
      <c r="L35" s="924"/>
      <c r="O35" s="951"/>
    </row>
    <row r="36" spans="1:15">
      <c r="A36" s="942" t="s">
        <v>176</v>
      </c>
      <c r="B36" s="943"/>
      <c r="C36" s="943"/>
      <c r="D36" s="944" t="s">
        <v>143</v>
      </c>
      <c r="E36" s="945">
        <f>'22'!F36</f>
        <v>270339.78999999998</v>
      </c>
      <c r="F36" s="1018">
        <v>270994.01</v>
      </c>
      <c r="G36" s="946">
        <f t="shared" si="3"/>
        <v>654.22000000003027</v>
      </c>
      <c r="H36" s="947">
        <f>G36+'22'!H36</f>
        <v>15902.940000000002</v>
      </c>
      <c r="I36" s="945"/>
      <c r="J36" s="949">
        <f>H36/DAY(B2)</f>
        <v>691.43217391304358</v>
      </c>
      <c r="K36" s="965"/>
      <c r="L36" s="924"/>
      <c r="O36" s="951"/>
    </row>
    <row r="37" spans="1:15">
      <c r="A37" s="942" t="s">
        <v>177</v>
      </c>
      <c r="B37" s="943"/>
      <c r="C37" s="943"/>
      <c r="D37" s="944" t="s">
        <v>143</v>
      </c>
      <c r="E37" s="945">
        <f>'22'!F37</f>
        <v>415066</v>
      </c>
      <c r="F37" s="1018">
        <v>415066</v>
      </c>
      <c r="G37" s="946">
        <f t="shared" si="3"/>
        <v>0</v>
      </c>
      <c r="H37" s="947">
        <f>G37+'22'!H37</f>
        <v>0</v>
      </c>
      <c r="I37" s="945"/>
      <c r="J37" s="949">
        <f>H37/DAY(B2)</f>
        <v>0</v>
      </c>
      <c r="K37" s="965"/>
      <c r="L37" s="924"/>
      <c r="O37" s="951"/>
    </row>
    <row r="38" spans="1:15">
      <c r="A38" s="942" t="s">
        <v>178</v>
      </c>
      <c r="B38" s="943"/>
      <c r="C38" s="943"/>
      <c r="D38" s="944" t="s">
        <v>143</v>
      </c>
      <c r="E38" s="945">
        <f>'22'!F38</f>
        <v>150714.38</v>
      </c>
      <c r="F38" s="934">
        <v>150714.38</v>
      </c>
      <c r="G38" s="946">
        <f t="shared" si="3"/>
        <v>0</v>
      </c>
      <c r="H38" s="947">
        <f>G38+'22'!H38</f>
        <v>0.38000000000465661</v>
      </c>
      <c r="I38" s="945"/>
      <c r="J38" s="949">
        <f>H38/DAY(B2)</f>
        <v>1.6521739130637245E-2</v>
      </c>
      <c r="K38" s="965"/>
      <c r="L38" s="924"/>
      <c r="O38" s="951"/>
    </row>
    <row r="39" spans="1:15">
      <c r="A39" s="942" t="s">
        <v>179</v>
      </c>
      <c r="B39" s="943"/>
      <c r="C39" s="943"/>
      <c r="D39" s="944" t="s">
        <v>143</v>
      </c>
      <c r="E39" s="945">
        <f>'22'!F39</f>
        <v>912480</v>
      </c>
      <c r="F39" s="1018">
        <v>912480</v>
      </c>
      <c r="G39" s="946">
        <f t="shared" si="3"/>
        <v>0</v>
      </c>
      <c r="H39" s="947">
        <f>G39+'22'!H39</f>
        <v>0</v>
      </c>
      <c r="I39" s="945"/>
      <c r="J39" s="949">
        <f>H39/DAY(B2)</f>
        <v>0</v>
      </c>
      <c r="K39" s="965"/>
      <c r="L39" s="924"/>
      <c r="O39" s="951"/>
    </row>
    <row r="40" spans="1:15">
      <c r="A40" s="1019" t="s">
        <v>180</v>
      </c>
      <c r="B40" s="1020"/>
      <c r="C40" s="1020"/>
      <c r="D40" s="944" t="s">
        <v>143</v>
      </c>
      <c r="E40" s="945">
        <f>'22'!F40</f>
        <v>0</v>
      </c>
      <c r="F40" s="1018">
        <v>0</v>
      </c>
      <c r="G40" s="946">
        <f t="shared" si="3"/>
        <v>0</v>
      </c>
      <c r="H40" s="947">
        <f>G40+'22'!H40</f>
        <v>0</v>
      </c>
      <c r="I40" s="945"/>
      <c r="J40" s="949">
        <f>H40/DAY(B2)</f>
        <v>0</v>
      </c>
      <c r="K40" s="972"/>
      <c r="L40" s="924"/>
      <c r="O40" s="951"/>
    </row>
    <row r="41" spans="1:15">
      <c r="A41" s="942" t="s">
        <v>181</v>
      </c>
      <c r="B41" s="943"/>
      <c r="C41" s="943"/>
      <c r="D41" s="944" t="s">
        <v>143</v>
      </c>
      <c r="E41" s="945">
        <f>'22'!F41</f>
        <v>10456.540000000001</v>
      </c>
      <c r="F41" s="1018">
        <v>14802.68</v>
      </c>
      <c r="G41" s="946">
        <f t="shared" si="3"/>
        <v>4346.1399999999994</v>
      </c>
      <c r="H41" s="947">
        <f>G41+'22'!H41</f>
        <v>14802.68</v>
      </c>
      <c r="I41" s="945"/>
      <c r="J41" s="949">
        <f>H41/DAY(B2)</f>
        <v>643.59478260869571</v>
      </c>
      <c r="K41" s="965"/>
      <c r="L41" s="924"/>
      <c r="O41" s="951"/>
    </row>
    <row r="42" spans="1:15">
      <c r="A42" s="942" t="s">
        <v>182</v>
      </c>
      <c r="B42" s="943"/>
      <c r="C42" s="943"/>
      <c r="D42" s="944" t="s">
        <v>143</v>
      </c>
      <c r="E42" s="945">
        <f>'22'!F42</f>
        <v>58926.09</v>
      </c>
      <c r="F42" s="1018">
        <v>58926.09</v>
      </c>
      <c r="G42" s="946">
        <f t="shared" si="3"/>
        <v>0</v>
      </c>
      <c r="H42" s="947">
        <f>G42+'22'!H42</f>
        <v>0</v>
      </c>
      <c r="I42" s="945"/>
      <c r="J42" s="949">
        <f>H42/DAY(B2)</f>
        <v>0</v>
      </c>
      <c r="K42" s="965"/>
      <c r="L42" s="924"/>
      <c r="O42" s="951"/>
    </row>
    <row r="43" spans="1:15">
      <c r="A43" s="942" t="s">
        <v>183</v>
      </c>
      <c r="B43" s="943"/>
      <c r="C43" s="943"/>
      <c r="D43" s="944" t="s">
        <v>143</v>
      </c>
      <c r="E43" s="945">
        <f>'22'!F43</f>
        <v>746869.11</v>
      </c>
      <c r="F43" s="1018">
        <v>749232.63</v>
      </c>
      <c r="G43" s="946">
        <f t="shared" si="3"/>
        <v>2363.5200000000186</v>
      </c>
      <c r="H43" s="947">
        <f>G43+'22'!H43</f>
        <v>50979.199999999953</v>
      </c>
      <c r="I43" s="945"/>
      <c r="J43" s="949">
        <f>H43/DAY(B2)</f>
        <v>2216.4869565217373</v>
      </c>
      <c r="K43" s="965"/>
      <c r="L43" s="924"/>
      <c r="O43" s="951"/>
    </row>
    <row r="44" spans="1:15">
      <c r="A44" s="942" t="s">
        <v>184</v>
      </c>
      <c r="B44" s="943"/>
      <c r="C44" s="943"/>
      <c r="D44" s="944" t="s">
        <v>143</v>
      </c>
      <c r="E44" s="945">
        <f>'22'!F44</f>
        <v>0</v>
      </c>
      <c r="F44" s="1018">
        <v>0</v>
      </c>
      <c r="G44" s="946">
        <f t="shared" si="3"/>
        <v>0</v>
      </c>
      <c r="H44" s="947">
        <f>G44+'22'!H44</f>
        <v>0</v>
      </c>
      <c r="I44" s="945"/>
      <c r="J44" s="949">
        <f>H44/DAY(B2)</f>
        <v>0</v>
      </c>
      <c r="K44" s="965"/>
      <c r="L44" s="924"/>
      <c r="O44" s="951"/>
    </row>
    <row r="45" spans="1:15">
      <c r="A45" s="942" t="s">
        <v>185</v>
      </c>
      <c r="B45" s="943"/>
      <c r="C45" s="943"/>
      <c r="D45" s="944" t="s">
        <v>143</v>
      </c>
      <c r="E45" s="945">
        <f>'22'!F45</f>
        <v>614</v>
      </c>
      <c r="F45" s="1018">
        <v>614</v>
      </c>
      <c r="G45" s="946">
        <f t="shared" si="3"/>
        <v>0</v>
      </c>
      <c r="H45" s="947">
        <f>G45+'22'!H45</f>
        <v>-0.48000000000001819</v>
      </c>
      <c r="I45" s="945"/>
      <c r="J45" s="949">
        <f>H45/DAY(B2)</f>
        <v>-2.0869565217392094E-2</v>
      </c>
      <c r="K45" s="965"/>
      <c r="L45" s="924"/>
      <c r="O45" s="951"/>
    </row>
    <row r="46" spans="1:15">
      <c r="A46" s="942" t="s">
        <v>186</v>
      </c>
      <c r="B46" s="943"/>
      <c r="C46" s="943"/>
      <c r="D46" s="944" t="s">
        <v>143</v>
      </c>
      <c r="E46" s="945">
        <f>'22'!F46</f>
        <v>187</v>
      </c>
      <c r="F46" s="1018">
        <v>187</v>
      </c>
      <c r="G46" s="946">
        <f t="shared" si="3"/>
        <v>0</v>
      </c>
      <c r="H46" s="947">
        <f>G46+'22'!H46</f>
        <v>-0.49000000000000909</v>
      </c>
      <c r="I46" s="945"/>
      <c r="J46" s="949">
        <f>H46/DAY(B2)</f>
        <v>-2.1304347826087353E-2</v>
      </c>
      <c r="K46" s="965"/>
      <c r="L46" s="924"/>
      <c r="O46" s="951"/>
    </row>
    <row r="47" spans="1:15">
      <c r="A47" s="967" t="s">
        <v>187</v>
      </c>
      <c r="B47" s="968"/>
      <c r="C47" s="968"/>
      <c r="D47" s="935"/>
      <c r="E47" s="931"/>
      <c r="F47" s="931"/>
      <c r="G47" s="969">
        <f>G35+G36+G37+G38+G39+G40+G41+G42+G43+G44+G45+G46</f>
        <v>7363.8800000000483</v>
      </c>
      <c r="H47" s="947">
        <f>G47+'22'!H47</f>
        <v>81684.900000000009</v>
      </c>
      <c r="I47" s="945"/>
      <c r="J47" s="949">
        <f>H47/DAY(B2)</f>
        <v>3551.5173913043482</v>
      </c>
      <c r="K47" s="965"/>
      <c r="L47" s="924"/>
      <c r="N47" s="1115"/>
      <c r="O47" s="951"/>
    </row>
    <row r="48" spans="1:15">
      <c r="A48" s="1016" t="s">
        <v>188</v>
      </c>
      <c r="B48" s="1017"/>
      <c r="C48" s="1017"/>
      <c r="D48" s="939"/>
      <c r="E48" s="938"/>
      <c r="F48" s="938"/>
      <c r="G48" s="939"/>
      <c r="H48" s="939"/>
      <c r="I48" s="939"/>
      <c r="J48" s="940"/>
      <c r="K48" s="965"/>
      <c r="L48" s="924"/>
      <c r="O48" s="951"/>
    </row>
    <row r="49" spans="1:15">
      <c r="A49" s="942" t="s">
        <v>175</v>
      </c>
      <c r="B49" s="1021"/>
      <c r="C49" s="1021"/>
      <c r="D49" s="944" t="s">
        <v>143</v>
      </c>
      <c r="E49" s="945">
        <f>'22'!F49</f>
        <v>217967</v>
      </c>
      <c r="F49" s="1018">
        <v>221005.57</v>
      </c>
      <c r="G49" s="946">
        <f t="shared" ref="G49:G58" si="4">F49-E49</f>
        <v>3038.570000000007</v>
      </c>
      <c r="H49" s="947">
        <f>G49+'22'!H49</f>
        <v>68600.570000000007</v>
      </c>
      <c r="I49" s="945"/>
      <c r="J49" s="949">
        <f>H49/DAY(B2)</f>
        <v>2982.6334782608697</v>
      </c>
      <c r="K49" s="965"/>
      <c r="L49" s="924"/>
      <c r="O49" s="951"/>
    </row>
    <row r="50" spans="1:15">
      <c r="A50" s="942" t="s">
        <v>189</v>
      </c>
      <c r="B50" s="1021"/>
      <c r="C50" s="1021"/>
      <c r="D50" s="944" t="s">
        <v>143</v>
      </c>
      <c r="E50" s="945">
        <f>'22'!F50</f>
        <v>358855.35</v>
      </c>
      <c r="F50" s="1018">
        <v>359903.71</v>
      </c>
      <c r="G50" s="946">
        <f t="shared" si="4"/>
        <v>1048.3600000000442</v>
      </c>
      <c r="H50" s="947">
        <f>G50+'22'!H50</f>
        <v>23686.280000000028</v>
      </c>
      <c r="I50" s="945"/>
      <c r="J50" s="949">
        <f>H50/DAY(B2)</f>
        <v>1029.8382608695665</v>
      </c>
      <c r="K50" s="965"/>
      <c r="L50" s="924"/>
      <c r="O50" s="951"/>
    </row>
    <row r="51" spans="1:15">
      <c r="A51" s="942" t="s">
        <v>177</v>
      </c>
      <c r="B51" s="1021"/>
      <c r="C51" s="1021"/>
      <c r="D51" s="944" t="s">
        <v>143</v>
      </c>
      <c r="E51" s="945">
        <f>'22'!F51</f>
        <v>96722.97</v>
      </c>
      <c r="F51" s="1018">
        <v>98185.64</v>
      </c>
      <c r="G51" s="946">
        <f t="shared" si="4"/>
        <v>1462.6699999999983</v>
      </c>
      <c r="H51" s="947">
        <f>G51+'22'!H51</f>
        <v>32027.53</v>
      </c>
      <c r="I51" s="945"/>
      <c r="J51" s="949">
        <f>H51/DAY(B2)</f>
        <v>1392.5013043478261</v>
      </c>
      <c r="K51" s="965"/>
      <c r="L51" s="924"/>
      <c r="O51" s="951"/>
    </row>
    <row r="52" spans="1:15">
      <c r="A52" s="942" t="s">
        <v>190</v>
      </c>
      <c r="B52" s="1021"/>
      <c r="C52" s="1021"/>
      <c r="D52" s="944" t="s">
        <v>143</v>
      </c>
      <c r="E52" s="945">
        <f>'22'!F52</f>
        <v>476838.55</v>
      </c>
      <c r="F52" s="1018">
        <v>478782.59</v>
      </c>
      <c r="G52" s="946">
        <f t="shared" si="4"/>
        <v>1944.0400000000373</v>
      </c>
      <c r="H52" s="947">
        <f>G52+'22'!H52</f>
        <v>43506.960000000021</v>
      </c>
      <c r="I52" s="945"/>
      <c r="J52" s="949">
        <f>H52/DAY(B2)</f>
        <v>1891.6069565217401</v>
      </c>
      <c r="K52" s="965"/>
      <c r="L52" s="924"/>
      <c r="O52" s="951"/>
    </row>
    <row r="53" spans="1:15">
      <c r="A53" s="942" t="s">
        <v>179</v>
      </c>
      <c r="B53" s="1021"/>
      <c r="C53" s="1021"/>
      <c r="D53" s="944" t="s">
        <v>143</v>
      </c>
      <c r="E53" s="945">
        <f>'22'!F53</f>
        <v>266549.28999999998</v>
      </c>
      <c r="F53" s="1018">
        <v>270812.05</v>
      </c>
      <c r="G53" s="946">
        <f t="shared" si="4"/>
        <v>4262.7600000000093</v>
      </c>
      <c r="H53" s="947">
        <f>G53+'22'!H53</f>
        <v>89747.079999999987</v>
      </c>
      <c r="I53" s="945"/>
      <c r="J53" s="949">
        <f>H53/DAY(B2)</f>
        <v>3902.0469565217386</v>
      </c>
      <c r="K53" s="965"/>
      <c r="L53" s="924"/>
      <c r="O53" s="951"/>
    </row>
    <row r="54" spans="1:15">
      <c r="A54" s="942" t="s">
        <v>191</v>
      </c>
      <c r="B54" s="1021"/>
      <c r="C54" s="1021"/>
      <c r="D54" s="944" t="s">
        <v>143</v>
      </c>
      <c r="E54" s="945">
        <f>'22'!F54</f>
        <v>5859.71</v>
      </c>
      <c r="F54" s="1018">
        <v>5926.83</v>
      </c>
      <c r="G54" s="946">
        <f t="shared" si="4"/>
        <v>67.119999999999891</v>
      </c>
      <c r="H54" s="947">
        <f>G54+'22'!H54</f>
        <v>1280.29</v>
      </c>
      <c r="I54" s="945"/>
      <c r="J54" s="949">
        <f>H54/DAY(B2)</f>
        <v>55.664782608695653</v>
      </c>
      <c r="K54" s="965"/>
      <c r="L54" s="924"/>
      <c r="O54" s="951"/>
    </row>
    <row r="55" spans="1:15">
      <c r="A55" s="942" t="s">
        <v>192</v>
      </c>
      <c r="B55" s="1021"/>
      <c r="C55" s="1021"/>
      <c r="D55" s="944" t="s">
        <v>143</v>
      </c>
      <c r="E55" s="945">
        <f>'22'!F55</f>
        <v>39120.58</v>
      </c>
      <c r="F55" s="1018">
        <v>39120.58</v>
      </c>
      <c r="G55" s="946">
        <f t="shared" si="4"/>
        <v>0</v>
      </c>
      <c r="H55" s="947">
        <f>G55+'22'!H55</f>
        <v>39120.310000000012</v>
      </c>
      <c r="I55" s="945"/>
      <c r="J55" s="949">
        <f>H55/DAY(B2)</f>
        <v>1700.8830434782615</v>
      </c>
      <c r="K55" s="965"/>
      <c r="L55" s="924"/>
      <c r="O55" s="951"/>
    </row>
    <row r="56" spans="1:15">
      <c r="A56" s="942" t="s">
        <v>193</v>
      </c>
      <c r="B56" s="1021"/>
      <c r="C56" s="1021"/>
      <c r="D56" s="944" t="s">
        <v>194</v>
      </c>
      <c r="E56" s="945">
        <f>'22'!F56</f>
        <v>557729.63</v>
      </c>
      <c r="F56" s="1018">
        <v>557730.15</v>
      </c>
      <c r="G56" s="946">
        <f t="shared" si="4"/>
        <v>0.52000000001862645</v>
      </c>
      <c r="H56" s="947">
        <f>G56+'22'!H56</f>
        <v>39829.400000000023</v>
      </c>
      <c r="I56" s="945"/>
      <c r="J56" s="949">
        <f>H56/DAY(B2)</f>
        <v>1731.7130434782619</v>
      </c>
      <c r="K56" s="941"/>
      <c r="L56" s="924"/>
      <c r="O56" s="951"/>
    </row>
    <row r="57" spans="1:15">
      <c r="A57" s="942" t="s">
        <v>183</v>
      </c>
      <c r="B57" s="1021"/>
      <c r="C57" s="1021"/>
      <c r="D57" s="944" t="s">
        <v>143</v>
      </c>
      <c r="E57" s="945">
        <f>'22'!F57</f>
        <v>0</v>
      </c>
      <c r="F57" s="1018">
        <v>0</v>
      </c>
      <c r="G57" s="946">
        <f t="shared" si="4"/>
        <v>0</v>
      </c>
      <c r="H57" s="947">
        <f>G57+'22'!H57</f>
        <v>0</v>
      </c>
      <c r="I57" s="945"/>
      <c r="J57" s="949">
        <f>H57/DAY(B2)</f>
        <v>0</v>
      </c>
      <c r="K57" s="965"/>
      <c r="L57" s="924"/>
      <c r="O57" s="951"/>
    </row>
    <row r="58" spans="1:15">
      <c r="A58" s="942" t="s">
        <v>195</v>
      </c>
      <c r="B58" s="1021"/>
      <c r="C58" s="1021"/>
      <c r="D58" s="944" t="s">
        <v>143</v>
      </c>
      <c r="E58" s="945">
        <f>'22'!F58</f>
        <v>29072.28</v>
      </c>
      <c r="F58" s="1018">
        <v>29277.06</v>
      </c>
      <c r="G58" s="946">
        <f t="shared" si="4"/>
        <v>204.78000000000247</v>
      </c>
      <c r="H58" s="947">
        <f>G58+'22'!H58</f>
        <v>4121.6500000000015</v>
      </c>
      <c r="I58" s="945"/>
      <c r="J58" s="949">
        <f>H58/DAY(B2)</f>
        <v>179.20217391304354</v>
      </c>
      <c r="K58" s="965"/>
      <c r="L58" s="924"/>
      <c r="O58" s="951"/>
    </row>
    <row r="59" spans="1:15">
      <c r="A59" s="967" t="s">
        <v>187</v>
      </c>
      <c r="B59" s="968"/>
      <c r="C59" s="968"/>
      <c r="D59" s="931"/>
      <c r="E59" s="931"/>
      <c r="F59" s="931"/>
      <c r="G59" s="969">
        <f>G49+G50+G51+G52+G53+G54+G55+G56+G57+G58</f>
        <v>12028.820000000116</v>
      </c>
      <c r="H59" s="947">
        <f>G59+'22'!H59</f>
        <v>341920.07000000012</v>
      </c>
      <c r="I59" s="945">
        <f>G7-G60</f>
        <v>316.29999999983556</v>
      </c>
      <c r="J59" s="949">
        <f>H59/DAY(B2)</f>
        <v>14866.090000000006</v>
      </c>
      <c r="K59" s="965"/>
      <c r="L59" s="924"/>
      <c r="O59" s="951"/>
    </row>
    <row r="60" spans="1:15">
      <c r="A60" s="942"/>
      <c r="B60" s="943"/>
      <c r="C60" s="943"/>
      <c r="D60" s="931" t="s">
        <v>196</v>
      </c>
      <c r="E60" s="931"/>
      <c r="F60" s="931"/>
      <c r="G60" s="969">
        <f>G47+G59</f>
        <v>19392.700000000164</v>
      </c>
      <c r="H60" s="947">
        <f>G60+'22'!H60</f>
        <v>440638.97000000015</v>
      </c>
      <c r="I60" s="945">
        <f>G13-G60</f>
        <v>-344.3000000004904</v>
      </c>
      <c r="J60" s="949">
        <f>H60/DAY(B2)</f>
        <v>19158.216086956527</v>
      </c>
      <c r="K60" s="965"/>
      <c r="L60" s="924"/>
      <c r="O60" s="951"/>
    </row>
    <row r="61" spans="1:15">
      <c r="A61" s="1022" t="s">
        <v>197</v>
      </c>
      <c r="B61" s="1023"/>
      <c r="C61" s="1023"/>
      <c r="D61" s="1023"/>
      <c r="E61" s="1024"/>
      <c r="F61" s="1024"/>
      <c r="G61" s="1023"/>
      <c r="H61" s="1023"/>
      <c r="I61" s="1023"/>
      <c r="J61" s="1025"/>
      <c r="K61" s="965"/>
      <c r="L61" s="924"/>
      <c r="O61" s="951"/>
    </row>
    <row r="62" spans="1:15">
      <c r="A62" s="1026" t="s">
        <v>106</v>
      </c>
      <c r="B62" s="1027"/>
      <c r="C62" s="1027"/>
      <c r="D62" s="931" t="s">
        <v>198</v>
      </c>
      <c r="E62" s="945">
        <f>'22'!F62</f>
        <v>20419.2</v>
      </c>
      <c r="F62" s="1028">
        <v>20419</v>
      </c>
      <c r="G62" s="946">
        <f t="shared" ref="G62:G69" si="5">F62-E62</f>
        <v>-0.2000000000007276</v>
      </c>
      <c r="H62" s="947">
        <f>G62+'22'!H62</f>
        <v>-0.18000000000029104</v>
      </c>
      <c r="I62" s="1029"/>
      <c r="J62" s="949">
        <f>H62/DAY(B2)</f>
        <v>-7.8260869565343928E-3</v>
      </c>
      <c r="K62" s="965"/>
      <c r="L62" s="924"/>
      <c r="O62" s="951"/>
    </row>
    <row r="63" spans="1:15">
      <c r="A63" s="1026" t="s">
        <v>199</v>
      </c>
      <c r="B63" s="1027"/>
      <c r="C63" s="1027"/>
      <c r="D63" s="931" t="s">
        <v>198</v>
      </c>
      <c r="E63" s="945">
        <f>'22'!F63</f>
        <v>1236.99</v>
      </c>
      <c r="F63" s="1028">
        <v>1245.43</v>
      </c>
      <c r="G63" s="946">
        <f t="shared" si="5"/>
        <v>8.4400000000000546</v>
      </c>
      <c r="H63" s="947">
        <f>G63+'22'!H63</f>
        <v>137.51999999999998</v>
      </c>
      <c r="I63" s="1029"/>
      <c r="J63" s="949">
        <f>H63/DAY(B2)</f>
        <v>5.9791304347826078</v>
      </c>
      <c r="K63" s="965"/>
      <c r="L63" s="924"/>
      <c r="O63" s="951"/>
    </row>
    <row r="64" spans="1:15">
      <c r="A64" s="1507" t="s">
        <v>107</v>
      </c>
      <c r="B64" s="1508"/>
      <c r="C64" s="1509"/>
      <c r="D64" s="944" t="s">
        <v>198</v>
      </c>
      <c r="E64" s="945">
        <f>'22'!F64</f>
        <v>107473.88</v>
      </c>
      <c r="F64" s="975">
        <v>107901.1</v>
      </c>
      <c r="G64" s="946">
        <f t="shared" si="5"/>
        <v>427.22000000000116</v>
      </c>
      <c r="H64" s="947">
        <f>G64+'22'!H64</f>
        <v>9477.7000000000116</v>
      </c>
      <c r="I64" s="966"/>
      <c r="J64" s="949">
        <f>H64/DAY(B2)</f>
        <v>412.07391304347874</v>
      </c>
      <c r="K64" s="965"/>
      <c r="L64" s="924"/>
      <c r="O64" s="951"/>
    </row>
    <row r="65" spans="1:15">
      <c r="A65" s="1507" t="s">
        <v>108</v>
      </c>
      <c r="B65" s="1508"/>
      <c r="C65" s="1509"/>
      <c r="D65" s="944" t="s">
        <v>198</v>
      </c>
      <c r="E65" s="945">
        <f>'22'!F65</f>
        <v>118098.62</v>
      </c>
      <c r="F65" s="975">
        <v>118512.05</v>
      </c>
      <c r="G65" s="946">
        <f t="shared" si="5"/>
        <v>413.43000000000757</v>
      </c>
      <c r="H65" s="947">
        <f>G65+'22'!H65</f>
        <v>9467.9300000000076</v>
      </c>
      <c r="I65" s="984"/>
      <c r="J65" s="949">
        <f>H65/DAY(B2)</f>
        <v>411.64913043478293</v>
      </c>
      <c r="K65" s="965"/>
      <c r="L65" s="924"/>
      <c r="O65" s="951"/>
    </row>
    <row r="66" spans="1:15">
      <c r="A66" s="1507" t="s">
        <v>109</v>
      </c>
      <c r="B66" s="1508"/>
      <c r="C66" s="1509"/>
      <c r="D66" s="944" t="s">
        <v>198</v>
      </c>
      <c r="E66" s="945">
        <f>'22'!F66</f>
        <v>10482.780000000001</v>
      </c>
      <c r="F66" s="975">
        <v>10824.81</v>
      </c>
      <c r="G66" s="946">
        <f t="shared" si="5"/>
        <v>342.02999999999884</v>
      </c>
      <c r="H66" s="947">
        <f>G66+'22'!H66</f>
        <v>8402.7199999999993</v>
      </c>
      <c r="I66" s="966"/>
      <c r="J66" s="949">
        <f>H66/DAY(B2)</f>
        <v>365.33565217391299</v>
      </c>
      <c r="K66" s="965"/>
      <c r="L66" s="924"/>
      <c r="O66" s="951"/>
    </row>
    <row r="67" spans="1:15">
      <c r="A67" s="1507" t="s">
        <v>110</v>
      </c>
      <c r="B67" s="1508"/>
      <c r="C67" s="1509"/>
      <c r="D67" s="944" t="s">
        <v>198</v>
      </c>
      <c r="E67" s="945">
        <f>'22'!F67</f>
        <v>182726</v>
      </c>
      <c r="F67" s="975">
        <v>183352.45</v>
      </c>
      <c r="G67" s="946">
        <f t="shared" si="5"/>
        <v>626.45000000001164</v>
      </c>
      <c r="H67" s="947">
        <f>G67+'22'!H67</f>
        <v>15111.100000000006</v>
      </c>
      <c r="I67" s="984"/>
      <c r="J67" s="949">
        <f>H67/DAY(B2)</f>
        <v>657.00434782608716</v>
      </c>
      <c r="K67" s="972"/>
      <c r="L67" s="924"/>
      <c r="O67" s="951"/>
    </row>
    <row r="68" spans="1:15">
      <c r="A68" s="1507" t="s">
        <v>111</v>
      </c>
      <c r="B68" s="1508"/>
      <c r="C68" s="1509"/>
      <c r="D68" s="944" t="s">
        <v>198</v>
      </c>
      <c r="E68" s="945">
        <f>'22'!F68</f>
        <v>60387.56</v>
      </c>
      <c r="F68" s="975">
        <v>60703.31</v>
      </c>
      <c r="G68" s="946">
        <f t="shared" si="5"/>
        <v>315.75</v>
      </c>
      <c r="H68" s="947">
        <f>G68+'22'!H68</f>
        <v>7079.4099999999962</v>
      </c>
      <c r="I68" s="1030"/>
      <c r="J68" s="949">
        <f>H68/DAY(B2)</f>
        <v>307.80043478260853</v>
      </c>
      <c r="K68" s="1031"/>
      <c r="L68" s="924"/>
      <c r="O68" s="951"/>
    </row>
    <row r="69" spans="1:15">
      <c r="A69" s="1507" t="s">
        <v>112</v>
      </c>
      <c r="B69" s="1508"/>
      <c r="C69" s="1509"/>
      <c r="D69" s="944" t="s">
        <v>198</v>
      </c>
      <c r="E69" s="945">
        <f>'22'!F69</f>
        <v>52947.14</v>
      </c>
      <c r="F69" s="975">
        <v>53249.27</v>
      </c>
      <c r="G69" s="946">
        <f t="shared" si="5"/>
        <v>302.12999999999738</v>
      </c>
      <c r="H69" s="947">
        <f>G69+'22'!H69</f>
        <v>6729.8399999999965</v>
      </c>
      <c r="I69" s="1030"/>
      <c r="J69" s="949">
        <f>H69/DAY(B2)</f>
        <v>292.60173913043462</v>
      </c>
      <c r="K69" s="1032"/>
      <c r="L69" s="924"/>
      <c r="O69" s="951"/>
    </row>
    <row r="70" spans="1:15">
      <c r="A70" s="1527" t="s">
        <v>200</v>
      </c>
      <c r="B70" s="1528"/>
      <c r="C70" s="1529"/>
      <c r="D70" s="944" t="s">
        <v>198</v>
      </c>
      <c r="E70" s="1033"/>
      <c r="F70" s="1034"/>
      <c r="G70" s="1034"/>
      <c r="H70" s="947">
        <f>G70+'13'!H70</f>
        <v>0</v>
      </c>
      <c r="I70" s="1034"/>
      <c r="J70" s="1035"/>
      <c r="K70" s="1032"/>
      <c r="L70" s="924"/>
      <c r="O70" s="951"/>
    </row>
    <row r="71" spans="1:15" ht="22.5">
      <c r="A71" s="1524" t="s">
        <v>201</v>
      </c>
      <c r="B71" s="1525"/>
      <c r="C71" s="1525"/>
      <c r="D71" s="1525"/>
      <c r="E71" s="1525"/>
      <c r="F71" s="1525"/>
      <c r="G71" s="1525"/>
      <c r="H71" s="1525"/>
      <c r="I71" s="1525"/>
      <c r="J71" s="1526"/>
      <c r="K71" s="1031"/>
      <c r="L71" s="924"/>
      <c r="O71" s="951"/>
    </row>
    <row r="72" spans="1:15">
      <c r="A72" s="1507" t="s">
        <v>202</v>
      </c>
      <c r="B72" s="1508"/>
      <c r="C72" s="1509"/>
      <c r="D72" s="944" t="s">
        <v>198</v>
      </c>
      <c r="E72" s="945">
        <f>'22'!F72</f>
        <v>847827</v>
      </c>
      <c r="F72" s="1036">
        <v>847867</v>
      </c>
      <c r="G72" s="946">
        <f t="shared" ref="G72:G84" si="6">F72-E72</f>
        <v>40</v>
      </c>
      <c r="H72" s="947">
        <f>G72+'22'!H72</f>
        <v>1401</v>
      </c>
      <c r="I72" s="966"/>
      <c r="J72" s="949">
        <f>H72/DAY(B2)</f>
        <v>60.913043478260867</v>
      </c>
      <c r="K72" s="1032"/>
      <c r="L72" s="924"/>
      <c r="O72" s="951"/>
    </row>
    <row r="73" spans="1:15">
      <c r="A73" s="1507" t="s">
        <v>203</v>
      </c>
      <c r="B73" s="1508"/>
      <c r="C73" s="1509"/>
      <c r="D73" s="944" t="s">
        <v>198</v>
      </c>
      <c r="E73" s="945">
        <f>'22'!F73</f>
        <v>885711</v>
      </c>
      <c r="F73" s="1037">
        <v>885724</v>
      </c>
      <c r="G73" s="946">
        <f t="shared" si="6"/>
        <v>13</v>
      </c>
      <c r="H73" s="947">
        <f>G73+'22'!H73</f>
        <v>943</v>
      </c>
      <c r="I73" s="966"/>
      <c r="J73" s="949">
        <f>H73/DAY(B2)</f>
        <v>41</v>
      </c>
      <c r="K73" s="1031"/>
      <c r="L73" s="924"/>
      <c r="O73" s="951"/>
    </row>
    <row r="74" spans="1:15">
      <c r="A74" s="1507" t="s">
        <v>204</v>
      </c>
      <c r="B74" s="1508"/>
      <c r="C74" s="1509"/>
      <c r="D74" s="944" t="s">
        <v>198</v>
      </c>
      <c r="E74" s="945">
        <f>'22'!F74</f>
        <v>882071</v>
      </c>
      <c r="F74" s="1038">
        <v>882110</v>
      </c>
      <c r="G74" s="946">
        <f t="shared" si="6"/>
        <v>39</v>
      </c>
      <c r="H74" s="947">
        <f>G74+'22'!H74</f>
        <v>795</v>
      </c>
      <c r="I74" s="966"/>
      <c r="J74" s="949">
        <f>H74/DAY(B2)</f>
        <v>34.565217391304351</v>
      </c>
      <c r="K74" s="1032"/>
      <c r="L74" s="924"/>
      <c r="O74" s="951"/>
    </row>
    <row r="75" spans="1:15">
      <c r="A75" s="1521" t="s">
        <v>205</v>
      </c>
      <c r="B75" s="1522"/>
      <c r="C75" s="1523"/>
      <c r="D75" s="944" t="s">
        <v>198</v>
      </c>
      <c r="E75" s="945">
        <f>'22'!F75</f>
        <v>735747</v>
      </c>
      <c r="F75" s="1038">
        <v>735968</v>
      </c>
      <c r="G75" s="946">
        <f t="shared" si="6"/>
        <v>221</v>
      </c>
      <c r="H75" s="947">
        <f>G75+'22'!H75</f>
        <v>4327</v>
      </c>
      <c r="I75" s="966"/>
      <c r="J75" s="949">
        <f>H75/DAY(B2)</f>
        <v>188.13043478260869</v>
      </c>
      <c r="K75" s="1031"/>
      <c r="L75" s="924"/>
      <c r="O75" s="951"/>
    </row>
    <row r="76" spans="1:15">
      <c r="A76" s="1521" t="s">
        <v>206</v>
      </c>
      <c r="B76" s="1522"/>
      <c r="C76" s="1523"/>
      <c r="D76" s="944" t="s">
        <v>198</v>
      </c>
      <c r="E76" s="945">
        <f>'22'!F76</f>
        <v>686309</v>
      </c>
      <c r="F76" s="1037">
        <v>686389</v>
      </c>
      <c r="G76" s="946">
        <f t="shared" si="6"/>
        <v>80</v>
      </c>
      <c r="H76" s="947">
        <f>G76+'22'!H76</f>
        <v>3290</v>
      </c>
      <c r="I76" s="1009"/>
      <c r="J76" s="949">
        <f>H76/DAY(B2)</f>
        <v>143.04347826086956</v>
      </c>
      <c r="K76" s="1031"/>
      <c r="L76" s="924"/>
      <c r="O76" s="951"/>
    </row>
    <row r="77" spans="1:15">
      <c r="A77" s="1507" t="s">
        <v>207</v>
      </c>
      <c r="B77" s="1508"/>
      <c r="C77" s="1509"/>
      <c r="D77" s="944" t="s">
        <v>198</v>
      </c>
      <c r="E77" s="945">
        <f>'22'!F77</f>
        <v>696624</v>
      </c>
      <c r="F77" s="1037">
        <v>696679</v>
      </c>
      <c r="G77" s="946">
        <f t="shared" si="6"/>
        <v>55</v>
      </c>
      <c r="H77" s="947">
        <f>G77+'22'!H77</f>
        <v>1285</v>
      </c>
      <c r="I77" s="1009"/>
      <c r="J77" s="949">
        <f>H77/DAY(B2)</f>
        <v>55.869565217391305</v>
      </c>
      <c r="K77" s="1031"/>
      <c r="L77" s="924"/>
      <c r="O77" s="951"/>
    </row>
    <row r="78" spans="1:15">
      <c r="A78" s="1039" t="s">
        <v>208</v>
      </c>
      <c r="B78" s="1248"/>
      <c r="C78" s="1248"/>
      <c r="D78" s="944" t="s">
        <v>198</v>
      </c>
      <c r="E78" s="945">
        <f>'22'!F78</f>
        <v>638622</v>
      </c>
      <c r="F78" s="1038">
        <v>638961</v>
      </c>
      <c r="G78" s="946">
        <f t="shared" si="6"/>
        <v>339</v>
      </c>
      <c r="H78" s="947">
        <f>G78+'22'!H78</f>
        <v>8188</v>
      </c>
      <c r="I78" s="1009"/>
      <c r="J78" s="949">
        <f>H78/DAY(B2)</f>
        <v>356</v>
      </c>
      <c r="K78" s="1031"/>
      <c r="L78" s="924"/>
      <c r="O78" s="951"/>
    </row>
    <row r="79" spans="1:15">
      <c r="A79" s="1521" t="s">
        <v>97</v>
      </c>
      <c r="B79" s="1522"/>
      <c r="C79" s="1523"/>
      <c r="D79" s="978" t="s">
        <v>198</v>
      </c>
      <c r="E79" s="945">
        <f>'22'!F79</f>
        <v>807994</v>
      </c>
      <c r="F79" s="1038">
        <v>808187</v>
      </c>
      <c r="G79" s="946">
        <f t="shared" si="6"/>
        <v>193</v>
      </c>
      <c r="H79" s="947">
        <f>G79+'22'!H79</f>
        <v>6416</v>
      </c>
      <c r="I79" s="1009"/>
      <c r="J79" s="949">
        <f>H79/DAY(B2)</f>
        <v>278.95652173913044</v>
      </c>
      <c r="K79" s="1031"/>
      <c r="L79" s="924"/>
      <c r="O79" s="951"/>
    </row>
    <row r="80" spans="1:15">
      <c r="A80" s="1521" t="s">
        <v>209</v>
      </c>
      <c r="B80" s="1522"/>
      <c r="C80" s="1523"/>
      <c r="D80" s="978" t="s">
        <v>198</v>
      </c>
      <c r="E80" s="945">
        <f>'22'!F80</f>
        <v>482321</v>
      </c>
      <c r="F80" s="1037">
        <v>482640</v>
      </c>
      <c r="G80" s="946">
        <f t="shared" si="6"/>
        <v>319</v>
      </c>
      <c r="H80" s="947">
        <f>G80+'22'!H80</f>
        <v>5428.1599999999744</v>
      </c>
      <c r="I80" s="1009"/>
      <c r="J80" s="949">
        <f>H80/DAY(B2)</f>
        <v>236.006956521738</v>
      </c>
      <c r="K80" s="1031"/>
      <c r="L80" s="924"/>
      <c r="O80" s="951"/>
    </row>
    <row r="81" spans="1:15">
      <c r="A81" s="1521" t="s">
        <v>210</v>
      </c>
      <c r="B81" s="1522"/>
      <c r="C81" s="1523"/>
      <c r="D81" s="978" t="s">
        <v>198</v>
      </c>
      <c r="E81" s="945">
        <f>'22'!F81</f>
        <v>621800</v>
      </c>
      <c r="F81" s="1037">
        <v>621883</v>
      </c>
      <c r="G81" s="946">
        <f t="shared" si="6"/>
        <v>83</v>
      </c>
      <c r="H81" s="947">
        <f>G81+'22'!H81</f>
        <v>2629</v>
      </c>
      <c r="I81" s="1009"/>
      <c r="J81" s="949">
        <f>H81/DAY(B2)</f>
        <v>114.30434782608695</v>
      </c>
      <c r="K81" s="1031"/>
      <c r="L81" s="924"/>
      <c r="O81" s="951"/>
    </row>
    <row r="82" spans="1:15">
      <c r="A82" s="1521" t="s">
        <v>100</v>
      </c>
      <c r="B82" s="1522"/>
      <c r="C82" s="1523"/>
      <c r="D82" s="979" t="s">
        <v>143</v>
      </c>
      <c r="E82" s="945">
        <f>'22'!F82</f>
        <v>105016</v>
      </c>
      <c r="F82" s="1040">
        <v>105074</v>
      </c>
      <c r="G82" s="946">
        <f t="shared" si="6"/>
        <v>58</v>
      </c>
      <c r="H82" s="947">
        <f>G82+'22'!H82</f>
        <v>636</v>
      </c>
      <c r="I82" s="980"/>
      <c r="J82" s="949">
        <f>H82/DAY(B2)</f>
        <v>27.652173913043477</v>
      </c>
      <c r="K82" s="1031"/>
      <c r="L82" s="924"/>
      <c r="O82" s="951"/>
    </row>
    <row r="83" spans="1:15">
      <c r="A83" s="1521" t="s">
        <v>211</v>
      </c>
      <c r="B83" s="1522"/>
      <c r="C83" s="1523"/>
      <c r="D83" s="1041" t="s">
        <v>143</v>
      </c>
      <c r="E83" s="945">
        <f>'22'!F83</f>
        <v>981140</v>
      </c>
      <c r="F83" s="931">
        <v>981368</v>
      </c>
      <c r="G83" s="946">
        <f t="shared" si="6"/>
        <v>228</v>
      </c>
      <c r="H83" s="947">
        <f>G83+'22'!H83</f>
        <v>7897</v>
      </c>
      <c r="I83" s="969"/>
      <c r="J83" s="949">
        <f>H83/DAY(B2)</f>
        <v>343.3478260869565</v>
      </c>
      <c r="K83" s="972"/>
      <c r="L83" s="924"/>
      <c r="O83" s="951"/>
    </row>
    <row r="84" spans="1:15">
      <c r="A84" s="1042" t="s">
        <v>212</v>
      </c>
      <c r="B84" s="1043"/>
      <c r="C84" s="1043"/>
      <c r="D84" s="963" t="s">
        <v>143</v>
      </c>
      <c r="E84" s="945">
        <f>'22'!F84</f>
        <v>411317</v>
      </c>
      <c r="F84" s="1044">
        <v>411869</v>
      </c>
      <c r="G84" s="946">
        <f t="shared" si="6"/>
        <v>552</v>
      </c>
      <c r="H84" s="947">
        <f>G84+'22'!H84</f>
        <v>14673</v>
      </c>
      <c r="I84" s="969"/>
      <c r="J84" s="949">
        <f>H84/DAY(B2)</f>
        <v>637.95652173913038</v>
      </c>
      <c r="K84" s="1045"/>
      <c r="L84" s="924"/>
      <c r="O84" s="951"/>
    </row>
    <row r="85" spans="1:15" s="1049" customFormat="1">
      <c r="A85" s="1046" t="s">
        <v>213</v>
      </c>
      <c r="B85" s="1047"/>
      <c r="C85" s="1047"/>
      <c r="D85" s="984"/>
      <c r="E85" s="945"/>
      <c r="F85" s="944"/>
      <c r="G85" s="947">
        <f xml:space="preserve"> SUM(G72:G84)</f>
        <v>2220</v>
      </c>
      <c r="H85" s="947">
        <f>G85+'22'!H85</f>
        <v>53678</v>
      </c>
      <c r="I85" s="969"/>
      <c r="J85" s="949">
        <f>H85/DAY(B2)</f>
        <v>2333.8260869565215</v>
      </c>
      <c r="K85" s="1045"/>
      <c r="L85" s="1048"/>
      <c r="N85" s="1116"/>
      <c r="O85" s="951"/>
    </row>
    <row r="86" spans="1:15" s="1059" customFormat="1">
      <c r="A86" s="1050" t="s">
        <v>102</v>
      </c>
      <c r="B86" s="1051"/>
      <c r="C86" s="1051"/>
      <c r="D86" s="1052" t="s">
        <v>194</v>
      </c>
      <c r="E86" s="945">
        <f>'22'!F86</f>
        <v>446349</v>
      </c>
      <c r="F86" s="1053">
        <v>446419</v>
      </c>
      <c r="G86" s="1054">
        <f t="shared" ref="G86:G88" si="7">F86-E86</f>
        <v>70</v>
      </c>
      <c r="H86" s="1054">
        <f t="shared" ref="H86:H88" si="8">G86</f>
        <v>70</v>
      </c>
      <c r="I86" s="1055"/>
      <c r="J86" s="1056">
        <f>H86/DAY(B2)</f>
        <v>3.0434782608695654</v>
      </c>
      <c r="K86" s="1057"/>
      <c r="L86" s="1058"/>
      <c r="N86" s="1117"/>
      <c r="O86" s="951"/>
    </row>
    <row r="87" spans="1:15" s="1059" customFormat="1">
      <c r="A87" s="1050" t="s">
        <v>103</v>
      </c>
      <c r="B87" s="1051"/>
      <c r="C87" s="1051"/>
      <c r="D87" s="1052" t="s">
        <v>194</v>
      </c>
      <c r="E87" s="945">
        <f>'22'!F87</f>
        <v>78262.7</v>
      </c>
      <c r="F87" s="1053">
        <v>78272.3</v>
      </c>
      <c r="G87" s="1054">
        <f t="shared" si="7"/>
        <v>9.6000000000058208</v>
      </c>
      <c r="H87" s="1054">
        <f t="shared" si="8"/>
        <v>9.6000000000058208</v>
      </c>
      <c r="I87" s="1055"/>
      <c r="J87" s="1056">
        <f>H87/DAY(B2)</f>
        <v>0.41739130434807914</v>
      </c>
      <c r="K87" s="1057"/>
      <c r="L87" s="1058"/>
      <c r="N87" s="1117"/>
      <c r="O87" s="951"/>
    </row>
    <row r="88" spans="1:15" s="1059" customFormat="1">
      <c r="A88" s="1050" t="s">
        <v>104</v>
      </c>
      <c r="B88" s="1051"/>
      <c r="C88" s="1051"/>
      <c r="D88" s="1052" t="s">
        <v>194</v>
      </c>
      <c r="E88" s="945">
        <f>'22'!F88</f>
        <v>145938</v>
      </c>
      <c r="F88" s="1053">
        <v>145988.60999999999</v>
      </c>
      <c r="G88" s="1054">
        <f t="shared" si="7"/>
        <v>50.60999999998603</v>
      </c>
      <c r="H88" s="1054">
        <f t="shared" si="8"/>
        <v>50.60999999998603</v>
      </c>
      <c r="I88" s="1055"/>
      <c r="J88" s="1056">
        <f>H88/DAY(B2)</f>
        <v>2.2004347826080881</v>
      </c>
      <c r="K88" s="1057"/>
      <c r="L88" s="1058"/>
      <c r="N88" s="1117"/>
      <c r="O88" s="951"/>
    </row>
    <row r="89" spans="1:15" s="1059" customFormat="1">
      <c r="A89" s="1050" t="s">
        <v>215</v>
      </c>
      <c r="B89" s="1051"/>
      <c r="C89" s="1051"/>
      <c r="D89" s="1052" t="s">
        <v>194</v>
      </c>
      <c r="E89" s="945">
        <f>'22'!F89</f>
        <v>59200</v>
      </c>
      <c r="F89" s="1053">
        <v>59252</v>
      </c>
      <c r="G89" s="1054">
        <f t="shared" ref="G89:G90" si="9">F89-E89</f>
        <v>52</v>
      </c>
      <c r="H89" s="1054">
        <f>G89</f>
        <v>52</v>
      </c>
      <c r="I89" s="1055"/>
      <c r="J89" s="1056">
        <f>H89/DAY(B2)</f>
        <v>2.2608695652173911</v>
      </c>
      <c r="K89" s="1057"/>
      <c r="L89" s="1058"/>
      <c r="N89" s="1118"/>
      <c r="O89" s="951"/>
    </row>
    <row r="90" spans="1:15" s="1059" customFormat="1">
      <c r="A90" s="1050" t="s">
        <v>215</v>
      </c>
      <c r="B90" s="1051"/>
      <c r="C90" s="1051"/>
      <c r="D90" s="1052" t="s">
        <v>194</v>
      </c>
      <c r="E90" s="945">
        <f>'22'!F90</f>
        <v>3044</v>
      </c>
      <c r="F90" s="1053">
        <v>3045</v>
      </c>
      <c r="G90" s="1054">
        <f t="shared" si="9"/>
        <v>1</v>
      </c>
      <c r="H90" s="1054">
        <f>G90</f>
        <v>1</v>
      </c>
      <c r="I90" s="1055"/>
      <c r="J90" s="1056">
        <f>H90/DAY(B2)</f>
        <v>4.3478260869565216E-2</v>
      </c>
      <c r="K90" s="1057"/>
      <c r="L90" s="1058"/>
      <c r="N90" s="1118"/>
      <c r="O90" s="951"/>
    </row>
    <row r="91" spans="1:15" s="1049" customFormat="1">
      <c r="A91" s="1060" t="s">
        <v>216</v>
      </c>
      <c r="B91" s="939"/>
      <c r="C91" s="939"/>
      <c r="D91" s="939"/>
      <c r="E91" s="939"/>
      <c r="F91" s="939"/>
      <c r="G91" s="983"/>
      <c r="H91" s="939"/>
      <c r="I91" s="939"/>
      <c r="J91" s="940"/>
      <c r="K91" s="1045"/>
      <c r="L91" s="1048"/>
      <c r="N91" s="1116"/>
      <c r="O91" s="951"/>
    </row>
    <row r="92" spans="1:15">
      <c r="A92" s="1501" t="s">
        <v>217</v>
      </c>
      <c r="B92" s="1502"/>
      <c r="C92" s="1503"/>
      <c r="D92" s="944" t="s">
        <v>155</v>
      </c>
      <c r="E92" s="945">
        <f>'22'!F92</f>
        <v>235779</v>
      </c>
      <c r="F92" s="975">
        <v>235882</v>
      </c>
      <c r="G92" s="946">
        <f t="shared" ref="G92:G93" si="10">F92-E92</f>
        <v>103</v>
      </c>
      <c r="H92" s="947">
        <f>G92+'22'!H92</f>
        <v>1980</v>
      </c>
      <c r="I92" s="966"/>
      <c r="J92" s="949">
        <f>H92/DAY(B2)</f>
        <v>86.086956521739125</v>
      </c>
      <c r="K92" s="972"/>
      <c r="L92" s="924"/>
      <c r="O92" s="951"/>
    </row>
    <row r="93" spans="1:15">
      <c r="A93" s="1501" t="s">
        <v>218</v>
      </c>
      <c r="B93" s="1502"/>
      <c r="C93" s="1503"/>
      <c r="D93" s="944" t="s">
        <v>155</v>
      </c>
      <c r="E93" s="945">
        <f>'22'!F93</f>
        <v>169933</v>
      </c>
      <c r="F93" s="975">
        <v>170053</v>
      </c>
      <c r="G93" s="946">
        <f t="shared" si="10"/>
        <v>120</v>
      </c>
      <c r="H93" s="947">
        <f>G93+'22'!H93</f>
        <v>3137</v>
      </c>
      <c r="I93" s="966"/>
      <c r="J93" s="949">
        <f>H93/DAY(B2)</f>
        <v>136.39130434782609</v>
      </c>
      <c r="K93" s="1045"/>
      <c r="L93" s="924"/>
      <c r="O93" s="951"/>
    </row>
    <row r="94" spans="1:15">
      <c r="A94" s="1510" t="s">
        <v>219</v>
      </c>
      <c r="B94" s="1511"/>
      <c r="C94" s="1512"/>
      <c r="D94" s="944"/>
      <c r="E94" s="945">
        <f>'22'!F94</f>
        <v>0</v>
      </c>
      <c r="F94" s="975"/>
      <c r="G94" s="946">
        <f>G92+G93</f>
        <v>223</v>
      </c>
      <c r="H94" s="947">
        <f>G94+'22'!H94</f>
        <v>4843</v>
      </c>
      <c r="I94" s="966"/>
      <c r="J94" s="949">
        <f>H94/DAY(B2)</f>
        <v>210.56521739130434</v>
      </c>
      <c r="K94" s="1045"/>
      <c r="L94" s="924"/>
      <c r="O94" s="951"/>
    </row>
    <row r="95" spans="1:15">
      <c r="A95" s="1501" t="s">
        <v>220</v>
      </c>
      <c r="B95" s="1502"/>
      <c r="C95" s="1503"/>
      <c r="D95" s="944" t="s">
        <v>155</v>
      </c>
      <c r="E95" s="945">
        <f>'22'!F95</f>
        <v>405285</v>
      </c>
      <c r="F95" s="975">
        <v>405360</v>
      </c>
      <c r="G95" s="946">
        <f t="shared" ref="G95:G100" si="11">F95-E95</f>
        <v>75</v>
      </c>
      <c r="H95" s="947">
        <f>G95+'22'!H95</f>
        <v>1695</v>
      </c>
      <c r="I95" s="966"/>
      <c r="J95" s="949">
        <f>H95/DAY(B2)</f>
        <v>73.695652173913047</v>
      </c>
      <c r="K95" s="1045"/>
      <c r="L95" s="924"/>
      <c r="O95" s="951"/>
    </row>
    <row r="96" spans="1:15">
      <c r="A96" s="973" t="s">
        <v>221</v>
      </c>
      <c r="B96" s="974"/>
      <c r="C96" s="974"/>
      <c r="D96" s="944" t="s">
        <v>155</v>
      </c>
      <c r="E96" s="945">
        <f>'22'!F96</f>
        <v>100313</v>
      </c>
      <c r="F96" s="975">
        <v>100331</v>
      </c>
      <c r="G96" s="946">
        <f t="shared" si="11"/>
        <v>18</v>
      </c>
      <c r="H96" s="947">
        <f>G96+'22'!H96</f>
        <v>410</v>
      </c>
      <c r="I96" s="966"/>
      <c r="J96" s="949">
        <f>H96/DAY(B2)</f>
        <v>17.826086956521738</v>
      </c>
      <c r="K96" s="941"/>
      <c r="L96" s="924"/>
      <c r="O96" s="951"/>
    </row>
    <row r="97" spans="1:15">
      <c r="A97" s="973" t="s">
        <v>222</v>
      </c>
      <c r="B97" s="974"/>
      <c r="C97" s="974"/>
      <c r="D97" s="944" t="s">
        <v>155</v>
      </c>
      <c r="E97" s="945">
        <f>'22'!F97</f>
        <v>95473</v>
      </c>
      <c r="F97" s="975">
        <v>95499</v>
      </c>
      <c r="G97" s="946">
        <f t="shared" si="11"/>
        <v>26</v>
      </c>
      <c r="H97" s="947">
        <f>G97+'22'!H97</f>
        <v>472</v>
      </c>
      <c r="I97" s="966"/>
      <c r="J97" s="949">
        <f>H97/DAY(B2)</f>
        <v>20.521739130434781</v>
      </c>
      <c r="K97" s="1061"/>
      <c r="L97" s="924"/>
      <c r="O97" s="951"/>
    </row>
    <row r="98" spans="1:15">
      <c r="A98" s="973" t="s">
        <v>223</v>
      </c>
      <c r="B98" s="974"/>
      <c r="C98" s="974"/>
      <c r="D98" s="944" t="s">
        <v>155</v>
      </c>
      <c r="E98" s="945">
        <f>'22'!F98</f>
        <v>145021</v>
      </c>
      <c r="F98" s="975">
        <v>145077</v>
      </c>
      <c r="G98" s="946">
        <f t="shared" si="11"/>
        <v>56</v>
      </c>
      <c r="H98" s="947">
        <f>G98+'22'!H98</f>
        <v>1270</v>
      </c>
      <c r="I98" s="966"/>
      <c r="J98" s="949">
        <f>H98/DAY(B2)</f>
        <v>55.217391304347828</v>
      </c>
      <c r="K98" s="1045"/>
      <c r="L98" s="924"/>
      <c r="O98" s="951"/>
    </row>
    <row r="99" spans="1:15">
      <c r="A99" s="973" t="s">
        <v>224</v>
      </c>
      <c r="B99" s="974"/>
      <c r="C99" s="974"/>
      <c r="D99" s="944" t="s">
        <v>155</v>
      </c>
      <c r="E99" s="945">
        <f>'22'!F99</f>
        <v>5804</v>
      </c>
      <c r="F99" s="975">
        <v>5814</v>
      </c>
      <c r="G99" s="946">
        <f t="shared" si="11"/>
        <v>10</v>
      </c>
      <c r="H99" s="947">
        <f>G99+'22'!H99</f>
        <v>312</v>
      </c>
      <c r="I99" s="966"/>
      <c r="J99" s="949">
        <f>H99/DAY(B2)</f>
        <v>13.565217391304348</v>
      </c>
      <c r="K99" s="1045"/>
      <c r="L99" s="924"/>
      <c r="O99" s="951"/>
    </row>
    <row r="100" spans="1:15">
      <c r="A100" s="973" t="s">
        <v>225</v>
      </c>
      <c r="B100" s="974"/>
      <c r="C100" s="974"/>
      <c r="D100" s="944" t="s">
        <v>155</v>
      </c>
      <c r="E100" s="945">
        <f>'22'!F100</f>
        <v>4165</v>
      </c>
      <c r="F100" s="975">
        <v>4178</v>
      </c>
      <c r="G100" s="946">
        <f t="shared" si="11"/>
        <v>13</v>
      </c>
      <c r="H100" s="947">
        <f>G100+'22'!H100</f>
        <v>214</v>
      </c>
      <c r="I100" s="966"/>
      <c r="J100" s="949">
        <f>H100/DAY(B2)</f>
        <v>9.304347826086957</v>
      </c>
      <c r="K100" s="1045"/>
      <c r="L100" s="924"/>
      <c r="O100" s="951"/>
    </row>
    <row r="101" spans="1:15">
      <c r="A101" s="1510" t="s">
        <v>227</v>
      </c>
      <c r="B101" s="1511"/>
      <c r="C101" s="1512"/>
      <c r="D101" s="978"/>
      <c r="E101" s="978"/>
      <c r="F101" s="978"/>
      <c r="G101" s="1062">
        <f>SUM(G95:G100)</f>
        <v>198</v>
      </c>
      <c r="H101" s="947">
        <f>G101+'22'!H101</f>
        <v>4373</v>
      </c>
      <c r="I101" s="1063"/>
      <c r="J101" s="949">
        <f>H101/DAY(B2)</f>
        <v>190.13043478260869</v>
      </c>
      <c r="K101" s="1045"/>
      <c r="L101" s="924"/>
      <c r="O101" s="951"/>
    </row>
    <row r="102" spans="1:15" s="996" customFormat="1">
      <c r="A102" s="1064" t="s">
        <v>228</v>
      </c>
      <c r="B102" s="1065"/>
      <c r="C102" s="1065"/>
      <c r="D102" s="1066"/>
      <c r="E102" s="1067"/>
      <c r="F102" s="1068"/>
      <c r="G102" s="1069"/>
      <c r="H102" s="1070"/>
      <c r="I102" s="1071"/>
      <c r="J102" s="1072"/>
      <c r="N102" s="1114"/>
      <c r="O102" s="951"/>
    </row>
    <row r="103" spans="1:15" s="996" customFormat="1">
      <c r="A103" s="1518" t="s">
        <v>229</v>
      </c>
      <c r="B103" s="1519"/>
      <c r="C103" s="1073"/>
      <c r="D103" s="1074"/>
      <c r="E103" s="1075"/>
      <c r="F103" s="1075"/>
      <c r="G103" s="1075"/>
      <c r="H103" s="1076"/>
      <c r="I103" s="1075"/>
      <c r="J103" s="1077"/>
      <c r="N103" s="1114"/>
      <c r="O103" s="951"/>
    </row>
    <row r="104" spans="1:15" s="996" customFormat="1">
      <c r="A104" s="1491" t="s">
        <v>230</v>
      </c>
      <c r="B104" s="1492"/>
      <c r="C104" s="1078"/>
      <c r="D104" s="1074" t="s">
        <v>155</v>
      </c>
      <c r="E104" s="1075">
        <f>'22'!F104</f>
        <v>7010</v>
      </c>
      <c r="F104" s="1075">
        <v>7010</v>
      </c>
      <c r="G104" s="1075">
        <f>F104-E104</f>
        <v>0</v>
      </c>
      <c r="H104" s="1076">
        <f>SUM(G104+'1'!G76)</f>
        <v>98</v>
      </c>
      <c r="I104" s="1075"/>
      <c r="J104" s="1077">
        <f>H104/DAY(B2)</f>
        <v>4.2608695652173916</v>
      </c>
      <c r="N104" s="1114"/>
      <c r="O104" s="951"/>
    </row>
    <row r="105" spans="1:15" s="996" customFormat="1">
      <c r="A105" s="1491" t="s">
        <v>77</v>
      </c>
      <c r="B105" s="1492"/>
      <c r="C105" s="1078"/>
      <c r="D105" s="1074" t="s">
        <v>155</v>
      </c>
      <c r="E105" s="1075">
        <f>'22'!F105</f>
        <v>35091</v>
      </c>
      <c r="F105" s="1079">
        <v>35097</v>
      </c>
      <c r="G105" s="1075">
        <f t="shared" ref="G105:G106" si="12">F105-E105</f>
        <v>6</v>
      </c>
      <c r="H105" s="1076">
        <f>SUM(G105+'1'!G77)</f>
        <v>67</v>
      </c>
      <c r="I105" s="1075"/>
      <c r="J105" s="1077">
        <f>H105/DAY(B2)</f>
        <v>2.9130434782608696</v>
      </c>
      <c r="N105" s="1114"/>
      <c r="O105" s="951"/>
    </row>
    <row r="106" spans="1:15" s="996" customFormat="1">
      <c r="A106" s="1491" t="s">
        <v>78</v>
      </c>
      <c r="B106" s="1520"/>
      <c r="C106" s="1492"/>
      <c r="D106" s="1074" t="s">
        <v>155</v>
      </c>
      <c r="E106" s="1075">
        <f>'22'!F106</f>
        <v>19036</v>
      </c>
      <c r="F106" s="1075">
        <v>19044</v>
      </c>
      <c r="G106" s="1075">
        <f t="shared" si="12"/>
        <v>8</v>
      </c>
      <c r="H106" s="1076">
        <f>SUM(G106+'1'!G78)</f>
        <v>377</v>
      </c>
      <c r="I106" s="1075"/>
      <c r="J106" s="1077">
        <f>H106/DAY(B2)</f>
        <v>16.391304347826086</v>
      </c>
      <c r="N106" s="1114"/>
      <c r="O106" s="951"/>
    </row>
    <row r="107" spans="1:15" s="996" customFormat="1">
      <c r="A107" s="1493" t="s">
        <v>213</v>
      </c>
      <c r="B107" s="1494"/>
      <c r="C107" s="1078"/>
      <c r="D107" s="1074"/>
      <c r="E107" s="1075">
        <f>'22'!F107</f>
        <v>0</v>
      </c>
      <c r="F107" s="1075"/>
      <c r="G107" s="1075">
        <f>SUM(G104:G106)</f>
        <v>14</v>
      </c>
      <c r="H107" s="1076">
        <f>SUM(G107+'1'!G79)</f>
        <v>201</v>
      </c>
      <c r="I107" s="1075"/>
      <c r="J107" s="1077">
        <f>H107/DAY(B2)</f>
        <v>8.7391304347826093</v>
      </c>
      <c r="N107" s="1114"/>
      <c r="O107" s="951"/>
    </row>
    <row r="108" spans="1:15" s="996" customFormat="1">
      <c r="A108" s="1499" t="s">
        <v>79</v>
      </c>
      <c r="B108" s="1500"/>
      <c r="C108" s="1078"/>
      <c r="D108" s="1074" t="s">
        <v>155</v>
      </c>
      <c r="E108" s="1075">
        <f>'22'!F108</f>
        <v>0</v>
      </c>
      <c r="F108" s="1075"/>
      <c r="G108" s="1075"/>
      <c r="H108" s="1076"/>
      <c r="I108" s="1075"/>
      <c r="J108" s="1077"/>
      <c r="N108" s="1114"/>
      <c r="O108" s="951"/>
    </row>
    <row r="109" spans="1:15" s="996" customFormat="1">
      <c r="A109" s="1491" t="s">
        <v>231</v>
      </c>
      <c r="B109" s="1492"/>
      <c r="C109" s="1078"/>
      <c r="D109" s="1074" t="s">
        <v>155</v>
      </c>
      <c r="E109" s="1075">
        <f>'22'!F109</f>
        <v>54208</v>
      </c>
      <c r="F109" s="1075">
        <v>54253</v>
      </c>
      <c r="G109" s="1075">
        <f>F109-E109</f>
        <v>45</v>
      </c>
      <c r="H109" s="1076">
        <f>SUM(G109+'1'!G81)</f>
        <v>174</v>
      </c>
      <c r="I109" s="1075"/>
      <c r="J109" s="1077">
        <f>H109/DAY(B2)</f>
        <v>7.5652173913043477</v>
      </c>
      <c r="N109" s="1114"/>
      <c r="O109" s="951"/>
    </row>
    <row r="110" spans="1:15" s="996" customFormat="1">
      <c r="A110" s="1491" t="s">
        <v>232</v>
      </c>
      <c r="B110" s="1492"/>
      <c r="C110" s="1078"/>
      <c r="D110" s="1074" t="s">
        <v>155</v>
      </c>
      <c r="E110" s="1075">
        <f>'22'!F110</f>
        <v>28045</v>
      </c>
      <c r="F110" s="1075">
        <v>28086</v>
      </c>
      <c r="G110" s="1075">
        <f t="shared" ref="G110:G111" si="13">F110-E110</f>
        <v>41</v>
      </c>
      <c r="H110" s="1076">
        <f>SUM(G110+'1'!G82)</f>
        <v>64</v>
      </c>
      <c r="I110" s="1075"/>
      <c r="J110" s="1077">
        <f>H110/DAY(B2)</f>
        <v>2.7826086956521738</v>
      </c>
      <c r="N110" s="1114"/>
      <c r="O110" s="951"/>
    </row>
    <row r="111" spans="1:15" s="996" customFormat="1">
      <c r="A111" s="1491" t="s">
        <v>233</v>
      </c>
      <c r="B111" s="1492"/>
      <c r="C111" s="1078"/>
      <c r="D111" s="1074" t="s">
        <v>155</v>
      </c>
      <c r="E111" s="1075">
        <f>'22'!F111</f>
        <v>3694</v>
      </c>
      <c r="F111" s="1075">
        <v>3707</v>
      </c>
      <c r="G111" s="1075">
        <f t="shared" si="13"/>
        <v>13</v>
      </c>
      <c r="H111" s="1076">
        <f>SUM(G111+'1'!G83)</f>
        <v>346</v>
      </c>
      <c r="I111" s="1075"/>
      <c r="J111" s="1077">
        <f>H111/DAY(B2)</f>
        <v>15.043478260869565</v>
      </c>
      <c r="N111" s="1114"/>
      <c r="O111" s="951"/>
    </row>
    <row r="112" spans="1:15" s="996" customFormat="1">
      <c r="A112" s="1497" t="s">
        <v>121</v>
      </c>
      <c r="B112" s="1498"/>
      <c r="C112" s="1078"/>
      <c r="D112" s="1074"/>
      <c r="E112" s="1075">
        <f>'22'!F112</f>
        <v>0</v>
      </c>
      <c r="F112" s="1075"/>
      <c r="G112" s="1075">
        <f>SUM(G109:G111)</f>
        <v>99</v>
      </c>
      <c r="H112" s="1076">
        <f>SUM(G112+'1'!G84)</f>
        <v>545</v>
      </c>
      <c r="I112" s="1075"/>
      <c r="J112" s="1077">
        <f>H112/DAY(B2)</f>
        <v>23.695652173913043</v>
      </c>
      <c r="N112" s="1114"/>
      <c r="O112" s="951"/>
    </row>
    <row r="113" spans="1:15" s="996" customFormat="1">
      <c r="A113" s="1499" t="s">
        <v>234</v>
      </c>
      <c r="B113" s="1500"/>
      <c r="C113" s="1078"/>
      <c r="D113" s="1074"/>
      <c r="E113" s="1075">
        <f>'22'!F113</f>
        <v>0</v>
      </c>
      <c r="F113" s="1075"/>
      <c r="G113" s="1075"/>
      <c r="H113" s="1076"/>
      <c r="I113" s="1075"/>
      <c r="J113" s="1077">
        <f>H113/DAY(B2)</f>
        <v>0</v>
      </c>
      <c r="N113" s="1114"/>
      <c r="O113" s="951"/>
    </row>
    <row r="114" spans="1:15" s="996" customFormat="1">
      <c r="A114" s="1491" t="s">
        <v>235</v>
      </c>
      <c r="B114" s="1492"/>
      <c r="C114" s="1080"/>
      <c r="D114" s="1074" t="s">
        <v>155</v>
      </c>
      <c r="E114" s="1075">
        <f>'22'!F114</f>
        <v>9602</v>
      </c>
      <c r="F114" s="1079">
        <v>9614</v>
      </c>
      <c r="G114" s="1079">
        <f>F114-E114</f>
        <v>12</v>
      </c>
      <c r="H114" s="1076">
        <f>SUM(G114+'1'!G91)</f>
        <v>12</v>
      </c>
      <c r="I114" s="1075"/>
      <c r="J114" s="1077">
        <f>H114/DAY(B2)</f>
        <v>0.52173913043478259</v>
      </c>
      <c r="N114" s="1114"/>
      <c r="O114" s="951"/>
    </row>
    <row r="115" spans="1:15" s="996" customFormat="1">
      <c r="A115" s="1491" t="s">
        <v>236</v>
      </c>
      <c r="B115" s="1492"/>
      <c r="C115" s="1080"/>
      <c r="D115" s="1074" t="s">
        <v>155</v>
      </c>
      <c r="E115" s="1075">
        <f>'22'!F115</f>
        <v>7362</v>
      </c>
      <c r="F115" s="1079">
        <v>7374</v>
      </c>
      <c r="G115" s="1079">
        <f t="shared" ref="G115:G116" si="14">F115-E115</f>
        <v>12</v>
      </c>
      <c r="H115" s="1076">
        <f>SUM(G115+'1'!G92)</f>
        <v>145</v>
      </c>
      <c r="I115" s="1075"/>
      <c r="J115" s="1077">
        <f>H115/DAY(B2)</f>
        <v>6.3043478260869561</v>
      </c>
      <c r="N115" s="1114"/>
      <c r="O115" s="951"/>
    </row>
    <row r="116" spans="1:15" s="996" customFormat="1">
      <c r="A116" s="1491" t="s">
        <v>237</v>
      </c>
      <c r="B116" s="1492"/>
      <c r="C116" s="1080"/>
      <c r="D116" s="1074" t="s">
        <v>155</v>
      </c>
      <c r="E116" s="1079"/>
      <c r="F116" s="1079"/>
      <c r="G116" s="1079">
        <f t="shared" si="14"/>
        <v>0</v>
      </c>
      <c r="H116" s="1076">
        <f>SUM(G116+'1'!G93)</f>
        <v>141</v>
      </c>
      <c r="I116" s="1075"/>
      <c r="J116" s="1077">
        <f>H116/DAY(B2)</f>
        <v>6.1304347826086953</v>
      </c>
      <c r="N116" s="1114"/>
      <c r="O116" s="951"/>
    </row>
    <row r="117" spans="1:15" s="1082" customFormat="1">
      <c r="A117" s="1493" t="s">
        <v>213</v>
      </c>
      <c r="B117" s="1494"/>
      <c r="C117" s="1080"/>
      <c r="D117" s="1081"/>
      <c r="E117" s="1079"/>
      <c r="F117" s="1079"/>
      <c r="G117" s="1079">
        <f>SUM(G114:G116)</f>
        <v>24</v>
      </c>
      <c r="H117" s="1076">
        <f>SUM(G117+'1'!G95)</f>
        <v>84</v>
      </c>
      <c r="I117" s="1079"/>
      <c r="J117" s="1077">
        <f>H117/DAY(B2)</f>
        <v>3.652173913043478</v>
      </c>
      <c r="N117" s="1119"/>
      <c r="O117" s="951"/>
    </row>
    <row r="118" spans="1:15" s="869" customFormat="1">
      <c r="A118" s="1495" t="s">
        <v>238</v>
      </c>
      <c r="B118" s="1496"/>
      <c r="C118" s="1083"/>
      <c r="D118" s="1084" t="s">
        <v>155</v>
      </c>
      <c r="E118" s="1085"/>
      <c r="F118" s="1086">
        <f>SUM(G19+G92)</f>
        <v>146</v>
      </c>
      <c r="G118" s="1086">
        <f>SUM(G19+G92)</f>
        <v>146</v>
      </c>
      <c r="H118" s="1076">
        <f>SUM(G118+'1'!G96)</f>
        <v>179</v>
      </c>
      <c r="I118" s="1085"/>
      <c r="J118" s="1087">
        <f>H118/DAY(B2)</f>
        <v>7.7826086956521738</v>
      </c>
      <c r="N118" s="1120" t="s">
        <v>226</v>
      </c>
      <c r="O118" s="951"/>
    </row>
    <row r="119" spans="1:15" s="869" customFormat="1">
      <c r="A119" s="1495" t="s">
        <v>239</v>
      </c>
      <c r="B119" s="1496"/>
      <c r="C119" s="1083"/>
      <c r="D119" s="1084" t="s">
        <v>155</v>
      </c>
      <c r="E119" s="1085"/>
      <c r="F119" s="1086">
        <f>SUM(G95,G96,G97,G99,G100)</f>
        <v>142</v>
      </c>
      <c r="G119" s="1086">
        <f>SUM(G95,G96,G97,G99,G100)</f>
        <v>142</v>
      </c>
      <c r="H119" s="1076">
        <f>SUM(G119+'1'!G98)</f>
        <v>192</v>
      </c>
      <c r="I119" s="1085"/>
      <c r="J119" s="1087">
        <f>H119/DAY(B2)</f>
        <v>8.3478260869565215</v>
      </c>
      <c r="N119" s="1120"/>
      <c r="O119" s="951"/>
    </row>
    <row r="120" spans="1:15" s="869" customFormat="1">
      <c r="A120" s="1495" t="s">
        <v>240</v>
      </c>
      <c r="B120" s="1496"/>
      <c r="C120" s="1083"/>
      <c r="D120" s="1084" t="s">
        <v>155</v>
      </c>
      <c r="E120" s="1085"/>
      <c r="F120" s="1079">
        <f>SUM(G112)</f>
        <v>99</v>
      </c>
      <c r="G120" s="1079">
        <f>SUM(G112)</f>
        <v>99</v>
      </c>
      <c r="H120" s="1076">
        <f>SUM(G120+'1'!G100)</f>
        <v>116</v>
      </c>
      <c r="I120" s="1085"/>
      <c r="J120" s="1087">
        <f>H120/DAY(B2)</f>
        <v>5.0434782608695654</v>
      </c>
      <c r="N120" s="1120"/>
      <c r="O120" s="951"/>
    </row>
    <row r="121" spans="1:15" s="996" customFormat="1">
      <c r="A121" s="1489"/>
      <c r="B121" s="1490"/>
      <c r="C121" s="1078"/>
      <c r="D121" s="1073"/>
      <c r="E121" s="1073"/>
      <c r="F121" s="1073" t="s">
        <v>226</v>
      </c>
      <c r="G121" s="1073"/>
      <c r="H121" s="1088"/>
      <c r="I121" s="1073"/>
      <c r="J121" s="1089"/>
      <c r="N121" s="1114"/>
      <c r="O121" s="951"/>
    </row>
    <row r="122" spans="1:15">
      <c r="A122" s="1513" t="s">
        <v>241</v>
      </c>
      <c r="B122" s="1514"/>
      <c r="C122" s="1515"/>
      <c r="D122" s="939"/>
      <c r="E122" s="939"/>
      <c r="F122" s="939"/>
      <c r="G122" s="971"/>
      <c r="H122" s="971"/>
      <c r="I122" s="971"/>
      <c r="J122" s="1090"/>
      <c r="K122" s="1045"/>
      <c r="L122" s="924"/>
      <c r="O122" s="951"/>
    </row>
    <row r="123" spans="1:15">
      <c r="A123" s="973" t="s">
        <v>242</v>
      </c>
      <c r="B123" s="974"/>
      <c r="C123" s="974"/>
      <c r="D123" s="944" t="s">
        <v>152</v>
      </c>
      <c r="E123" s="945">
        <f>'22'!F123</f>
        <v>800972.08</v>
      </c>
      <c r="F123" s="963">
        <v>801217.94</v>
      </c>
      <c r="G123" s="946">
        <f>F123-E123</f>
        <v>245.85999999998603</v>
      </c>
      <c r="H123" s="947">
        <f>G123+'22'!H123</f>
        <v>5793.8899999998976</v>
      </c>
      <c r="I123" s="1063"/>
      <c r="J123" s="949">
        <f>H123/DAY(B2)</f>
        <v>251.90826086956076</v>
      </c>
      <c r="K123" s="1045"/>
      <c r="L123" s="924"/>
      <c r="O123" s="951"/>
    </row>
    <row r="124" spans="1:15">
      <c r="A124" s="973" t="s">
        <v>243</v>
      </c>
      <c r="B124" s="974"/>
      <c r="C124" s="974"/>
      <c r="D124" s="944" t="s">
        <v>152</v>
      </c>
      <c r="E124" s="945">
        <f>'22'!F124</f>
        <v>73582.3</v>
      </c>
      <c r="F124" s="1091">
        <v>73582.3</v>
      </c>
      <c r="G124" s="946">
        <f t="shared" ref="G124:G127" si="15">F124-E124</f>
        <v>0</v>
      </c>
      <c r="H124" s="947">
        <f>G124+'22'!H124</f>
        <v>0.10000000000582077</v>
      </c>
      <c r="I124" s="1063"/>
      <c r="J124" s="949">
        <f>H124/DAY(B2)</f>
        <v>4.3478260872095989E-3</v>
      </c>
      <c r="K124" s="1045"/>
      <c r="L124" s="924"/>
      <c r="O124" s="951"/>
    </row>
    <row r="125" spans="1:15">
      <c r="A125" s="1507" t="s">
        <v>244</v>
      </c>
      <c r="B125" s="1508"/>
      <c r="C125" s="1509"/>
      <c r="D125" s="944" t="s">
        <v>152</v>
      </c>
      <c r="E125" s="945">
        <f>'22'!F125</f>
        <v>137241.04999999999</v>
      </c>
      <c r="F125" s="963">
        <v>137324.48000000001</v>
      </c>
      <c r="G125" s="946">
        <f t="shared" si="15"/>
        <v>83.430000000022119</v>
      </c>
      <c r="H125" s="947">
        <f>G125+'22'!H125</f>
        <v>1733.8099999999977</v>
      </c>
      <c r="I125" s="1063"/>
      <c r="J125" s="949">
        <f>H125/DAY(B2)</f>
        <v>75.383043478260774</v>
      </c>
      <c r="K125" s="1045"/>
      <c r="L125" s="924"/>
      <c r="O125" s="951"/>
    </row>
    <row r="126" spans="1:15">
      <c r="A126" s="1092" t="s">
        <v>245</v>
      </c>
      <c r="B126" s="974"/>
      <c r="C126" s="974"/>
      <c r="D126" s="944" t="s">
        <v>152</v>
      </c>
      <c r="E126" s="945">
        <f>'22'!F126</f>
        <v>58105</v>
      </c>
      <c r="F126" s="1091">
        <v>58145.4</v>
      </c>
      <c r="G126" s="946">
        <f t="shared" si="15"/>
        <v>40.400000000001455</v>
      </c>
      <c r="H126" s="947">
        <f>G126+'22'!H126</f>
        <v>764.40000000000146</v>
      </c>
      <c r="I126" s="1063"/>
      <c r="J126" s="949">
        <f>H126/DAY(B2)</f>
        <v>33.234782608695717</v>
      </c>
      <c r="K126" s="1045"/>
      <c r="L126" s="924"/>
      <c r="O126" s="951"/>
    </row>
    <row r="127" spans="1:15">
      <c r="A127" s="1092" t="s">
        <v>246</v>
      </c>
      <c r="B127" s="974"/>
      <c r="C127" s="974"/>
      <c r="D127" s="944" t="s">
        <v>152</v>
      </c>
      <c r="E127" s="945">
        <f>'22'!F127</f>
        <v>8785</v>
      </c>
      <c r="F127" s="1091">
        <v>8789.1</v>
      </c>
      <c r="G127" s="946">
        <f t="shared" si="15"/>
        <v>4.1000000000003638</v>
      </c>
      <c r="H127" s="947">
        <f>G127+'22'!H127</f>
        <v>83.100000000000364</v>
      </c>
      <c r="I127" s="966"/>
      <c r="J127" s="949">
        <f>H127/DAY(B2)</f>
        <v>3.6130434782608853</v>
      </c>
      <c r="K127" s="1045"/>
      <c r="L127" s="924"/>
      <c r="O127" s="951"/>
    </row>
    <row r="128" spans="1:15">
      <c r="A128" s="1092" t="s">
        <v>247</v>
      </c>
      <c r="B128" s="974"/>
      <c r="C128" s="974"/>
      <c r="D128" s="944"/>
      <c r="E128" s="945"/>
      <c r="F128" s="963"/>
      <c r="G128" s="946">
        <f>G15-SUM(G123:G127)</f>
        <v>561.14999999993415</v>
      </c>
      <c r="H128" s="947">
        <f>G128+'22'!H128</f>
        <v>4477.8200000000143</v>
      </c>
      <c r="I128" s="966"/>
      <c r="J128" s="949">
        <f>H128/DAY(B2)</f>
        <v>194.68782608695713</v>
      </c>
      <c r="K128" s="1045"/>
      <c r="L128" s="924"/>
      <c r="O128" s="951"/>
    </row>
    <row r="129" spans="1:15">
      <c r="A129" s="1093" t="s">
        <v>248</v>
      </c>
      <c r="B129" s="938"/>
      <c r="C129" s="938"/>
      <c r="D129" s="938"/>
      <c r="E129" s="938"/>
      <c r="F129" s="938"/>
      <c r="G129" s="1094"/>
      <c r="H129" s="1094"/>
      <c r="I129" s="1094"/>
      <c r="J129" s="1095"/>
      <c r="O129" s="951"/>
    </row>
    <row r="130" spans="1:15">
      <c r="A130" s="973" t="s">
        <v>249</v>
      </c>
      <c r="B130" s="974"/>
      <c r="C130" s="974"/>
      <c r="D130" s="944" t="s">
        <v>250</v>
      </c>
      <c r="E130" s="945">
        <f>'22'!F130</f>
        <v>0</v>
      </c>
      <c r="F130" s="975">
        <v>0</v>
      </c>
      <c r="G130" s="946">
        <f t="shared" ref="G130:G140" si="16">F130-E130</f>
        <v>0</v>
      </c>
      <c r="H130" s="947">
        <f>G130+'22'!H130</f>
        <v>0</v>
      </c>
      <c r="I130" s="966"/>
      <c r="J130" s="949">
        <f>H130/DAY(B2)</f>
        <v>0</v>
      </c>
      <c r="O130" s="951"/>
    </row>
    <row r="131" spans="1:15">
      <c r="A131" s="973" t="s">
        <v>251</v>
      </c>
      <c r="B131" s="974"/>
      <c r="C131" s="974"/>
      <c r="D131" s="944" t="s">
        <v>250</v>
      </c>
      <c r="E131" s="945">
        <f>'22'!F131</f>
        <v>0</v>
      </c>
      <c r="F131" s="975">
        <v>0</v>
      </c>
      <c r="G131" s="946">
        <f t="shared" si="16"/>
        <v>0</v>
      </c>
      <c r="H131" s="947">
        <f>G131+'22'!H131</f>
        <v>0</v>
      </c>
      <c r="I131" s="966"/>
      <c r="J131" s="949">
        <f>H131/DAY(B2)</f>
        <v>0</v>
      </c>
      <c r="O131" s="951"/>
    </row>
    <row r="132" spans="1:15">
      <c r="A132" s="973" t="s">
        <v>252</v>
      </c>
      <c r="B132" s="974"/>
      <c r="C132" s="974"/>
      <c r="D132" s="944" t="s">
        <v>250</v>
      </c>
      <c r="E132" s="945">
        <f>'22'!F132</f>
        <v>38889.06</v>
      </c>
      <c r="F132" s="1096">
        <v>38913.01</v>
      </c>
      <c r="G132" s="946">
        <f t="shared" si="16"/>
        <v>23.950000000004366</v>
      </c>
      <c r="H132" s="947">
        <f>G132+'22'!H132</f>
        <v>83.529999999998836</v>
      </c>
      <c r="I132" s="966"/>
      <c r="J132" s="949">
        <f>H132/DAY(B2)</f>
        <v>3.631739130434732</v>
      </c>
      <c r="O132" s="951"/>
    </row>
    <row r="133" spans="1:15">
      <c r="A133" s="973" t="s">
        <v>253</v>
      </c>
      <c r="B133" s="974"/>
      <c r="C133" s="974"/>
      <c r="D133" s="944" t="s">
        <v>250</v>
      </c>
      <c r="E133" s="945">
        <f>'22'!F133</f>
        <v>299.02</v>
      </c>
      <c r="F133" s="1096">
        <v>299.01</v>
      </c>
      <c r="G133" s="946">
        <f t="shared" si="16"/>
        <v>-9.9999999999909051E-3</v>
      </c>
      <c r="H133" s="947">
        <f>G133+'22'!H133</f>
        <v>9.9999999999909051E-3</v>
      </c>
      <c r="I133" s="966">
        <f>G130+G131+G132+G133</f>
        <v>23.940000000004375</v>
      </c>
      <c r="J133" s="949">
        <f>H133/DAY(B2)</f>
        <v>4.3478260869525673E-4</v>
      </c>
      <c r="O133" s="951"/>
    </row>
    <row r="134" spans="1:15">
      <c r="A134" s="973" t="s">
        <v>254</v>
      </c>
      <c r="B134" s="974"/>
      <c r="C134" s="974"/>
      <c r="D134" s="944" t="s">
        <v>250</v>
      </c>
      <c r="E134" s="945">
        <f>'22'!F134</f>
        <v>39951.050000000003</v>
      </c>
      <c r="F134" s="1096">
        <v>39951.050000000003</v>
      </c>
      <c r="G134" s="946">
        <f t="shared" si="16"/>
        <v>0</v>
      </c>
      <c r="H134" s="947">
        <v>24</v>
      </c>
      <c r="I134" s="966"/>
      <c r="J134" s="949">
        <f>H134/DAY(B2)</f>
        <v>1.0434782608695652</v>
      </c>
      <c r="O134" s="951"/>
    </row>
    <row r="135" spans="1:15">
      <c r="A135" s="973" t="s">
        <v>255</v>
      </c>
      <c r="B135" s="974"/>
      <c r="C135" s="974"/>
      <c r="D135" s="944" t="s">
        <v>250</v>
      </c>
      <c r="E135" s="945">
        <f>'22'!F135</f>
        <v>32423</v>
      </c>
      <c r="F135" s="1096">
        <v>32423</v>
      </c>
      <c r="G135" s="946">
        <f t="shared" si="16"/>
        <v>0</v>
      </c>
      <c r="H135" s="947">
        <v>13</v>
      </c>
      <c r="I135" s="966"/>
      <c r="J135" s="949">
        <f>H135/DAY(B2)</f>
        <v>0.56521739130434778</v>
      </c>
      <c r="O135" s="951"/>
    </row>
    <row r="136" spans="1:15">
      <c r="A136" s="973" t="s">
        <v>256</v>
      </c>
      <c r="B136" s="974"/>
      <c r="C136" s="974"/>
      <c r="D136" s="944" t="s">
        <v>250</v>
      </c>
      <c r="E136" s="945">
        <f>'22'!F136</f>
        <v>21935.87</v>
      </c>
      <c r="F136" s="1096">
        <v>21946.05</v>
      </c>
      <c r="G136" s="946">
        <f t="shared" si="16"/>
        <v>10.180000000000291</v>
      </c>
      <c r="H136" s="947">
        <f>G136+'22'!H136</f>
        <v>144.34999999999854</v>
      </c>
      <c r="I136" s="966">
        <f>G134+G135+G136</f>
        <v>10.180000000000291</v>
      </c>
      <c r="J136" s="949">
        <f>H136/DAY(B2)</f>
        <v>6.2760869565216755</v>
      </c>
      <c r="O136" s="951"/>
    </row>
    <row r="137" spans="1:15">
      <c r="A137" s="973" t="s">
        <v>257</v>
      </c>
      <c r="B137" s="974"/>
      <c r="C137" s="974"/>
      <c r="D137" s="944" t="s">
        <v>250</v>
      </c>
      <c r="E137" s="945">
        <f>'22'!F137</f>
        <v>25019.94</v>
      </c>
      <c r="F137" s="1096">
        <v>25019.94</v>
      </c>
      <c r="G137" s="946">
        <f t="shared" si="16"/>
        <v>0</v>
      </c>
      <c r="H137" s="947">
        <v>8</v>
      </c>
      <c r="I137" s="966"/>
      <c r="J137" s="949">
        <f>H137/DAY(B2)</f>
        <v>0.34782608695652173</v>
      </c>
      <c r="O137" s="951"/>
    </row>
    <row r="138" spans="1:15">
      <c r="A138" s="973" t="s">
        <v>258</v>
      </c>
      <c r="B138" s="974"/>
      <c r="C138" s="974"/>
      <c r="D138" s="944" t="s">
        <v>250</v>
      </c>
      <c r="E138" s="945">
        <f>'22'!F138</f>
        <v>70057.8</v>
      </c>
      <c r="F138" s="1096">
        <v>70057.8</v>
      </c>
      <c r="G138" s="946">
        <f t="shared" si="16"/>
        <v>0</v>
      </c>
      <c r="H138" s="947">
        <v>15</v>
      </c>
      <c r="I138" s="966">
        <f>G137+G138</f>
        <v>0</v>
      </c>
      <c r="J138" s="949">
        <f>H138/DAY(B2)</f>
        <v>0.65217391304347827</v>
      </c>
      <c r="O138" s="951"/>
    </row>
    <row r="139" spans="1:15">
      <c r="A139" s="973" t="s">
        <v>259</v>
      </c>
      <c r="B139" s="974"/>
      <c r="C139" s="974"/>
      <c r="D139" s="944" t="s">
        <v>250</v>
      </c>
      <c r="E139" s="945">
        <f>'22'!F139</f>
        <v>1131.52</v>
      </c>
      <c r="F139" s="975">
        <v>1138.53</v>
      </c>
      <c r="G139" s="946">
        <f t="shared" si="16"/>
        <v>7.0099999999999909</v>
      </c>
      <c r="H139" s="947">
        <f>G139+'22'!H139</f>
        <v>75.529999999999973</v>
      </c>
      <c r="I139" s="1097"/>
      <c r="J139" s="949">
        <f>H139/DAY(B2)</f>
        <v>3.2839130434782597</v>
      </c>
      <c r="O139" s="951"/>
    </row>
    <row r="140" spans="1:15">
      <c r="A140" s="973" t="s">
        <v>260</v>
      </c>
      <c r="B140" s="974"/>
      <c r="C140" s="974"/>
      <c r="D140" s="944" t="s">
        <v>250</v>
      </c>
      <c r="E140" s="945">
        <f>'22'!F140</f>
        <v>4333.53</v>
      </c>
      <c r="F140" s="975">
        <v>4333.53</v>
      </c>
      <c r="G140" s="946">
        <f t="shared" si="16"/>
        <v>0</v>
      </c>
      <c r="H140" s="947">
        <f>G140+'22'!H140</f>
        <v>101.11999999999989</v>
      </c>
      <c r="I140" s="1097"/>
      <c r="J140" s="949">
        <f>H140/DAY(B2)</f>
        <v>4.3965217391304297</v>
      </c>
      <c r="O140" s="951"/>
    </row>
    <row r="141" spans="1:15">
      <c r="A141" s="1516" t="s">
        <v>261</v>
      </c>
      <c r="B141" s="1517"/>
      <c r="C141" s="939"/>
      <c r="D141" s="939"/>
      <c r="E141" s="939"/>
      <c r="F141" s="939"/>
      <c r="G141" s="971"/>
      <c r="H141" s="971"/>
      <c r="I141" s="971"/>
      <c r="J141" s="1090"/>
      <c r="K141" s="1045"/>
      <c r="L141" s="924"/>
      <c r="O141" s="951"/>
    </row>
    <row r="142" spans="1:15">
      <c r="A142" s="1501" t="s">
        <v>262</v>
      </c>
      <c r="B142" s="1502"/>
      <c r="C142" s="1503"/>
      <c r="D142" s="944" t="s">
        <v>143</v>
      </c>
      <c r="E142" s="944"/>
      <c r="F142" s="944"/>
      <c r="G142" s="947">
        <f>G35+G43+G49+G57</f>
        <v>5402.0900000000256</v>
      </c>
      <c r="H142" s="947">
        <f>G142+'22'!H142</f>
        <v>119757.31999999998</v>
      </c>
      <c r="I142" s="966"/>
      <c r="J142" s="949">
        <f>H142/DAY(B2)</f>
        <v>5206.8399999999992</v>
      </c>
      <c r="K142" s="1045"/>
      <c r="L142" s="924"/>
      <c r="O142" s="951"/>
    </row>
    <row r="143" spans="1:15">
      <c r="A143" s="1501" t="s">
        <v>263</v>
      </c>
      <c r="B143" s="1502"/>
      <c r="C143" s="1503"/>
      <c r="D143" s="944" t="s">
        <v>24</v>
      </c>
      <c r="E143" s="931"/>
      <c r="F143" s="931"/>
      <c r="G143" s="1098">
        <f>G142/G7</f>
        <v>0.27409254655233778</v>
      </c>
      <c r="H143" s="947">
        <f>G143+'22'!H143</f>
        <v>5.9556446840680017</v>
      </c>
      <c r="I143" s="1099"/>
      <c r="J143" s="949">
        <f>H143/DAY(B2)</f>
        <v>0.25894107322034793</v>
      </c>
      <c r="K143" s="1045"/>
      <c r="L143" s="924"/>
      <c r="O143" s="951"/>
    </row>
    <row r="144" spans="1:15">
      <c r="A144" s="1501" t="s">
        <v>264</v>
      </c>
      <c r="B144" s="1502"/>
      <c r="C144" s="1503"/>
      <c r="D144" s="944" t="s">
        <v>143</v>
      </c>
      <c r="E144" s="945"/>
      <c r="F144" s="945"/>
      <c r="G144" s="947">
        <f>G41+G42+G55+G56</f>
        <v>4346.660000000018</v>
      </c>
      <c r="H144" s="947">
        <f>G144+'22'!H144</f>
        <v>98441.390000000029</v>
      </c>
      <c r="I144" s="966"/>
      <c r="J144" s="949">
        <f>H144/DAY(B2)</f>
        <v>4280.0604347826102</v>
      </c>
      <c r="K144" s="1045"/>
      <c r="L144" s="924"/>
      <c r="O144" s="951"/>
    </row>
    <row r="145" spans="1:15">
      <c r="A145" s="1501" t="s">
        <v>265</v>
      </c>
      <c r="B145" s="1502"/>
      <c r="C145" s="1503"/>
      <c r="D145" s="944" t="s">
        <v>24</v>
      </c>
      <c r="E145" s="945"/>
      <c r="F145" s="945"/>
      <c r="G145" s="1098">
        <f>G144/G7</f>
        <v>0.22054188441828698</v>
      </c>
      <c r="H145" s="947">
        <f>G145+'22'!H145</f>
        <v>5.023548555035739</v>
      </c>
      <c r="I145" s="1099"/>
      <c r="J145" s="949">
        <f>H145/DAY(B2)</f>
        <v>0.21841515456677127</v>
      </c>
      <c r="K145" s="1045"/>
      <c r="L145" s="924"/>
      <c r="O145" s="951"/>
    </row>
    <row r="146" spans="1:15">
      <c r="A146" s="1501" t="s">
        <v>266</v>
      </c>
      <c r="B146" s="1502"/>
      <c r="C146" s="1503"/>
      <c r="D146" s="944" t="s">
        <v>143</v>
      </c>
      <c r="E146" s="945"/>
      <c r="F146" s="945"/>
      <c r="G146" s="947">
        <f>G39+G53</f>
        <v>4262.7600000000093</v>
      </c>
      <c r="H146" s="947">
        <f>G146+'22'!H146</f>
        <v>94210.079999999987</v>
      </c>
      <c r="I146" s="1100"/>
      <c r="J146" s="949">
        <f>H146/DAY(B2)</f>
        <v>4096.0904347826081</v>
      </c>
      <c r="K146" s="1045"/>
      <c r="L146" s="924"/>
      <c r="O146" s="951"/>
    </row>
    <row r="147" spans="1:15">
      <c r="A147" s="1501" t="s">
        <v>267</v>
      </c>
      <c r="B147" s="1502"/>
      <c r="C147" s="1503"/>
      <c r="D147" s="944" t="s">
        <v>24</v>
      </c>
      <c r="E147" s="945"/>
      <c r="F147" s="945"/>
      <c r="G147" s="1098">
        <f>G146/G7</f>
        <v>0.21628494596377337</v>
      </c>
      <c r="H147" s="947">
        <f>G147+'22'!H147</f>
        <v>4.8185947309040067</v>
      </c>
      <c r="I147" s="1100"/>
      <c r="J147" s="949">
        <f>H147/DAY(B2)</f>
        <v>0.20950411873495681</v>
      </c>
      <c r="O147" s="951"/>
    </row>
    <row r="148" spans="1:15">
      <c r="A148" s="1501" t="s">
        <v>268</v>
      </c>
      <c r="B148" s="1502"/>
      <c r="C148" s="1503"/>
      <c r="D148" s="944" t="s">
        <v>194</v>
      </c>
      <c r="E148" s="945"/>
      <c r="F148" s="945"/>
      <c r="G148" s="947">
        <f>G38+G52</f>
        <v>1944.0400000000373</v>
      </c>
      <c r="H148" s="947">
        <f>G148+'22'!H148</f>
        <v>45603.340000000026</v>
      </c>
      <c r="I148" s="966"/>
      <c r="J148" s="949">
        <f>H148/DAY(B2)</f>
        <v>1982.7539130434793</v>
      </c>
      <c r="K148" s="1101"/>
      <c r="O148" s="951"/>
    </row>
    <row r="149" spans="1:15">
      <c r="A149" s="1501" t="s">
        <v>269</v>
      </c>
      <c r="B149" s="1502"/>
      <c r="C149" s="1503"/>
      <c r="D149" s="944" t="s">
        <v>24</v>
      </c>
      <c r="E149" s="945"/>
      <c r="F149" s="945"/>
      <c r="G149" s="1098">
        <f>G148/G7</f>
        <v>9.8637170835660731E-2</v>
      </c>
      <c r="H149" s="947">
        <f>G149+'22'!H149</f>
        <v>2.3339500261266881</v>
      </c>
      <c r="I149" s="1100"/>
      <c r="J149" s="949">
        <f>H149/DAY(B2)</f>
        <v>0.10147608809246469</v>
      </c>
      <c r="O149" s="951"/>
    </row>
    <row r="150" spans="1:15">
      <c r="A150" s="1501" t="s">
        <v>270</v>
      </c>
      <c r="B150" s="1502"/>
      <c r="C150" s="1503"/>
      <c r="D150" s="944" t="s">
        <v>194</v>
      </c>
      <c r="E150" s="945"/>
      <c r="F150" s="945"/>
      <c r="G150" s="947">
        <f>G36+G50</f>
        <v>1702.5800000000745</v>
      </c>
      <c r="H150" s="947">
        <f>G150+'22'!H150</f>
        <v>40906.22000000003</v>
      </c>
      <c r="I150" s="1100"/>
      <c r="J150" s="949">
        <f>H150/DAY(B2)</f>
        <v>1778.5313043478275</v>
      </c>
      <c r="O150" s="951"/>
    </row>
    <row r="151" spans="1:15">
      <c r="A151" s="1501" t="s">
        <v>271</v>
      </c>
      <c r="B151" s="1502"/>
      <c r="C151" s="1503"/>
      <c r="D151" s="944" t="s">
        <v>24</v>
      </c>
      <c r="E151" s="945"/>
      <c r="F151" s="945"/>
      <c r="G151" s="1098">
        <f>G150/G7</f>
        <v>8.6385915064187649E-2</v>
      </c>
      <c r="H151" s="947">
        <f>G151+'22'!H151</f>
        <v>2.0935758405037421</v>
      </c>
      <c r="I151" s="966"/>
      <c r="J151" s="949">
        <f>H151/DAY(B2)</f>
        <v>9.1025036543640955E-2</v>
      </c>
      <c r="O151" s="951"/>
    </row>
    <row r="152" spans="1:15">
      <c r="A152" s="1501" t="s">
        <v>272</v>
      </c>
      <c r="B152" s="1502"/>
      <c r="C152" s="1503"/>
      <c r="D152" s="944" t="s">
        <v>194</v>
      </c>
      <c r="E152" s="945"/>
      <c r="F152" s="945"/>
      <c r="G152" s="947">
        <f>G37+G51</f>
        <v>1462.6699999999983</v>
      </c>
      <c r="H152" s="947">
        <f>G152+'22'!H152</f>
        <v>33478.53</v>
      </c>
      <c r="I152" s="966"/>
      <c r="J152" s="949">
        <f>H152/DAY(B2)</f>
        <v>1455.5882608695651</v>
      </c>
      <c r="O152" s="951"/>
    </row>
    <row r="153" spans="1:15" ht="21" thickBot="1">
      <c r="A153" s="1504" t="s">
        <v>273</v>
      </c>
      <c r="B153" s="1505"/>
      <c r="C153" s="1506"/>
      <c r="D153" s="1102" t="s">
        <v>24</v>
      </c>
      <c r="E153" s="1103"/>
      <c r="F153" s="1103"/>
      <c r="G153" s="1104">
        <f>G152/G7</f>
        <v>7.4213303566898287E-2</v>
      </c>
      <c r="H153" s="947">
        <f>G153+'22'!H153</f>
        <v>1.7129675801014936</v>
      </c>
      <c r="I153" s="1105"/>
      <c r="J153" s="1106">
        <f>H153/DAY(B2)</f>
        <v>7.4476851308760597E-2</v>
      </c>
      <c r="O153" s="951"/>
    </row>
    <row r="154" spans="1:15">
      <c r="A154" s="1107"/>
      <c r="B154" s="1107"/>
      <c r="C154" s="1107"/>
      <c r="D154" s="1107"/>
      <c r="E154" s="1107"/>
      <c r="F154" s="1107"/>
      <c r="G154" s="1107"/>
      <c r="H154" s="1108"/>
      <c r="I154" s="1107"/>
      <c r="J154" s="1109"/>
      <c r="O154" s="951"/>
    </row>
    <row r="160" spans="1:15">
      <c r="A160" s="1097" t="s">
        <v>274</v>
      </c>
      <c r="B160" s="1097"/>
      <c r="C160" s="1097"/>
      <c r="D160" s="931" t="s">
        <v>198</v>
      </c>
      <c r="E160" s="945">
        <f>'22'!F160</f>
        <v>27694.720000000001</v>
      </c>
      <c r="F160" s="1122">
        <v>27778.69</v>
      </c>
      <c r="G160" s="946">
        <f t="shared" ref="G160:G163" si="17">F160-E160</f>
        <v>83.969999999997526</v>
      </c>
    </row>
    <row r="161" spans="1:10" ht="21.75" customHeight="1">
      <c r="A161" s="1097" t="s">
        <v>275</v>
      </c>
      <c r="B161" s="1097"/>
      <c r="C161" s="1097"/>
      <c r="D161" s="931" t="s">
        <v>198</v>
      </c>
      <c r="E161" s="945">
        <f>'22'!F161</f>
        <v>38562.980000000003</v>
      </c>
      <c r="F161" s="1122">
        <v>39033.03</v>
      </c>
      <c r="G161" s="946">
        <f t="shared" si="17"/>
        <v>470.04999999999563</v>
      </c>
    </row>
    <row r="162" spans="1:10" ht="21.75" customHeight="1">
      <c r="A162" s="1097" t="s">
        <v>276</v>
      </c>
      <c r="B162" s="1097"/>
      <c r="C162" s="1097"/>
      <c r="D162" s="931" t="s">
        <v>198</v>
      </c>
      <c r="E162" s="945">
        <f>'22'!F162</f>
        <v>10487.3</v>
      </c>
      <c r="F162" s="1122">
        <v>10882.5</v>
      </c>
      <c r="G162" s="946">
        <f t="shared" si="17"/>
        <v>395.20000000000073</v>
      </c>
    </row>
    <row r="163" spans="1:10" ht="21.75" customHeight="1">
      <c r="A163" s="1097" t="s">
        <v>277</v>
      </c>
      <c r="B163" s="1097"/>
      <c r="C163" s="1097"/>
      <c r="D163" s="931" t="s">
        <v>198</v>
      </c>
      <c r="E163" s="945">
        <f>'22'!F163</f>
        <v>4812.28</v>
      </c>
      <c r="F163" s="1122">
        <v>4833.93</v>
      </c>
      <c r="G163" s="946">
        <f t="shared" si="17"/>
        <v>21.650000000000546</v>
      </c>
    </row>
    <row r="164" spans="1:10" ht="21.75" customHeight="1">
      <c r="A164" s="1027" t="s">
        <v>106</v>
      </c>
      <c r="B164" s="1027"/>
      <c r="C164" s="1027"/>
      <c r="D164" s="931" t="s">
        <v>198</v>
      </c>
      <c r="E164" s="1028">
        <f>E62</f>
        <v>20419.2</v>
      </c>
      <c r="F164" s="1028">
        <f>F62</f>
        <v>20419</v>
      </c>
      <c r="G164" s="946">
        <f t="shared" ref="G164:G171" si="18">F164-E164</f>
        <v>-0.2000000000007276</v>
      </c>
      <c r="J164" s="1182"/>
    </row>
    <row r="165" spans="1:10" ht="21.75" customHeight="1">
      <c r="A165" s="1027" t="s">
        <v>199</v>
      </c>
      <c r="B165" s="1027"/>
      <c r="C165" s="1027"/>
      <c r="D165" s="931" t="s">
        <v>198</v>
      </c>
      <c r="E165" s="1028">
        <f t="shared" ref="E165:E171" si="19">E63</f>
        <v>1236.99</v>
      </c>
      <c r="F165" s="1028">
        <f t="shared" ref="F165:F171" si="20">F63</f>
        <v>1245.43</v>
      </c>
      <c r="G165" s="946">
        <f t="shared" si="18"/>
        <v>8.4400000000000546</v>
      </c>
    </row>
    <row r="166" spans="1:10" ht="21.75" customHeight="1">
      <c r="A166" s="1488" t="s">
        <v>107</v>
      </c>
      <c r="B166" s="1488"/>
      <c r="C166" s="1488"/>
      <c r="D166" s="944" t="s">
        <v>198</v>
      </c>
      <c r="E166" s="1028">
        <f t="shared" si="19"/>
        <v>107473.88</v>
      </c>
      <c r="F166" s="1028">
        <f t="shared" si="20"/>
        <v>107901.1</v>
      </c>
      <c r="G166" s="946">
        <f t="shared" si="18"/>
        <v>427.22000000000116</v>
      </c>
    </row>
    <row r="167" spans="1:10" ht="21.75" customHeight="1">
      <c r="A167" s="1488" t="s">
        <v>108</v>
      </c>
      <c r="B167" s="1488"/>
      <c r="C167" s="1488"/>
      <c r="D167" s="944" t="s">
        <v>198</v>
      </c>
      <c r="E167" s="1028">
        <f t="shared" si="19"/>
        <v>118098.62</v>
      </c>
      <c r="F167" s="1028">
        <f t="shared" si="20"/>
        <v>118512.05</v>
      </c>
      <c r="G167" s="946">
        <f t="shared" si="18"/>
        <v>413.43000000000757</v>
      </c>
    </row>
    <row r="168" spans="1:10" ht="21.75" customHeight="1">
      <c r="A168" s="1488" t="s">
        <v>109</v>
      </c>
      <c r="B168" s="1488"/>
      <c r="C168" s="1488"/>
      <c r="D168" s="944" t="s">
        <v>198</v>
      </c>
      <c r="E168" s="1028">
        <f t="shared" si="19"/>
        <v>10482.780000000001</v>
      </c>
      <c r="F168" s="1028">
        <f t="shared" si="20"/>
        <v>10824.81</v>
      </c>
      <c r="G168" s="946">
        <f t="shared" si="18"/>
        <v>342.02999999999884</v>
      </c>
    </row>
    <row r="169" spans="1:10">
      <c r="A169" s="1488" t="s">
        <v>110</v>
      </c>
      <c r="B169" s="1488"/>
      <c r="C169" s="1488"/>
      <c r="D169" s="944" t="s">
        <v>198</v>
      </c>
      <c r="E169" s="1028">
        <f t="shared" si="19"/>
        <v>182726</v>
      </c>
      <c r="F169" s="1028">
        <f t="shared" si="20"/>
        <v>183352.45</v>
      </c>
      <c r="G169" s="946">
        <f t="shared" si="18"/>
        <v>626.45000000001164</v>
      </c>
    </row>
    <row r="170" spans="1:10" ht="24" customHeight="1">
      <c r="A170" s="1488" t="s">
        <v>111</v>
      </c>
      <c r="B170" s="1488"/>
      <c r="C170" s="1488"/>
      <c r="D170" s="944" t="s">
        <v>198</v>
      </c>
      <c r="E170" s="1028">
        <f t="shared" si="19"/>
        <v>60387.56</v>
      </c>
      <c r="F170" s="1028">
        <f t="shared" si="20"/>
        <v>60703.31</v>
      </c>
      <c r="G170" s="946">
        <f t="shared" si="18"/>
        <v>315.75</v>
      </c>
      <c r="J170" s="1183"/>
    </row>
    <row r="171" spans="1:10">
      <c r="A171" s="1488" t="s">
        <v>112</v>
      </c>
      <c r="B171" s="1488"/>
      <c r="C171" s="1488"/>
      <c r="D171" s="944" t="s">
        <v>198</v>
      </c>
      <c r="E171" s="1028">
        <f t="shared" si="19"/>
        <v>52947.14</v>
      </c>
      <c r="F171" s="1028">
        <f t="shared" si="20"/>
        <v>53249.27</v>
      </c>
      <c r="G171" s="946">
        <f t="shared" si="18"/>
        <v>302.12999999999738</v>
      </c>
    </row>
    <row r="172" spans="1:10">
      <c r="G172" s="1112">
        <f>SUM(G160:G171)</f>
        <v>3406.1200000000104</v>
      </c>
    </row>
    <row r="173" spans="1:10">
      <c r="J173" s="1184"/>
    </row>
    <row r="176" spans="1:10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82" zoomScale="68" zoomScaleNormal="44" zoomScaleSheetLayoutView="68" workbookViewId="0">
      <selection activeCell="F80" sqref="F80"/>
    </sheetView>
  </sheetViews>
  <sheetFormatPr defaultColWidth="22.33203125" defaultRowHeight="20.25"/>
  <cols>
    <col min="1" max="1" width="51.21875" style="1110" customWidth="1"/>
    <col min="2" max="2" width="24.88671875" style="1110" customWidth="1"/>
    <col min="3" max="3" width="12.44140625" style="1110" customWidth="1"/>
    <col min="4" max="4" width="13.6640625" style="1110" customWidth="1"/>
    <col min="5" max="5" width="28.109375" style="1110" customWidth="1"/>
    <col min="6" max="6" width="23.77734375" style="1110" customWidth="1"/>
    <col min="7" max="7" width="15.5546875" style="1110" bestFit="1" customWidth="1"/>
    <col min="8" max="8" width="39.21875" style="1111" customWidth="1"/>
    <col min="9" max="9" width="12" style="1110" bestFit="1" customWidth="1"/>
    <col min="10" max="10" width="24" style="1112" customWidth="1"/>
    <col min="11" max="11" width="43.21875" style="911" hidden="1" customWidth="1"/>
    <col min="12" max="13" width="0" style="911" hidden="1" customWidth="1"/>
    <col min="14" max="14" width="25.109375" style="1113" customWidth="1"/>
    <col min="15" max="15" width="6.77734375" style="911" bestFit="1" customWidth="1"/>
    <col min="16" max="16384" width="22.33203125" style="911"/>
  </cols>
  <sheetData>
    <row r="1" spans="1:15" ht="22.5">
      <c r="A1" s="1530" t="s">
        <v>128</v>
      </c>
      <c r="B1" s="1531"/>
      <c r="C1" s="1531"/>
      <c r="D1" s="1531"/>
      <c r="E1" s="1531"/>
      <c r="F1" s="1531"/>
      <c r="G1" s="1531"/>
      <c r="H1" s="1531"/>
      <c r="I1" s="1531"/>
      <c r="J1" s="1532"/>
    </row>
    <row r="2" spans="1:15">
      <c r="A2" s="912" t="s">
        <v>342</v>
      </c>
      <c r="B2" s="1186">
        <v>43854</v>
      </c>
      <c r="C2" s="913" t="s">
        <v>69</v>
      </c>
      <c r="D2" s="914">
        <v>0.33</v>
      </c>
      <c r="E2" s="915"/>
      <c r="F2" s="915"/>
      <c r="G2" s="915" t="s">
        <v>129</v>
      </c>
      <c r="H2" s="915" t="s">
        <v>6</v>
      </c>
      <c r="I2" s="915" t="s">
        <v>8</v>
      </c>
      <c r="J2" s="916" t="s">
        <v>130</v>
      </c>
    </row>
    <row r="3" spans="1:15">
      <c r="A3" s="917"/>
      <c r="B3" s="918"/>
      <c r="C3" s="913" t="s">
        <v>131</v>
      </c>
      <c r="D3" s="919">
        <v>27</v>
      </c>
      <c r="E3" s="1539" t="s">
        <v>132</v>
      </c>
      <c r="F3" s="1540"/>
      <c r="G3" s="920">
        <f>'1'!G3</f>
        <v>0</v>
      </c>
      <c r="H3" s="921">
        <f>'1'!H3</f>
        <v>0</v>
      </c>
      <c r="I3" s="921">
        <f>'1'!I3</f>
        <v>0</v>
      </c>
      <c r="J3" s="922">
        <f>'1'!J3</f>
        <v>0</v>
      </c>
      <c r="K3" s="923"/>
      <c r="L3" s="924"/>
    </row>
    <row r="4" spans="1:15">
      <c r="A4" s="925"/>
      <c r="B4" s="926"/>
      <c r="C4" s="913" t="s">
        <v>133</v>
      </c>
      <c r="D4" s="914">
        <v>0.78</v>
      </c>
      <c r="E4" s="927"/>
      <c r="F4" s="927"/>
      <c r="G4" s="927"/>
      <c r="H4" s="927"/>
      <c r="I4" s="928"/>
      <c r="J4" s="922" t="s">
        <v>292</v>
      </c>
      <c r="K4" s="929"/>
      <c r="L4" s="924"/>
    </row>
    <row r="5" spans="1:15">
      <c r="A5" s="930" t="s">
        <v>134</v>
      </c>
      <c r="B5" s="931"/>
      <c r="C5" s="931"/>
      <c r="D5" s="931" t="s">
        <v>135</v>
      </c>
      <c r="E5" s="932" t="s">
        <v>136</v>
      </c>
      <c r="F5" s="932" t="s">
        <v>123</v>
      </c>
      <c r="G5" s="933" t="s">
        <v>137</v>
      </c>
      <c r="H5" s="934" t="s">
        <v>138</v>
      </c>
      <c r="I5" s="935" t="s">
        <v>139</v>
      </c>
      <c r="J5" s="936" t="s">
        <v>140</v>
      </c>
      <c r="K5" s="937"/>
      <c r="L5" s="924"/>
    </row>
    <row r="6" spans="1:15">
      <c r="A6" s="1533" t="s">
        <v>141</v>
      </c>
      <c r="B6" s="1534"/>
      <c r="C6" s="1535"/>
      <c r="D6" s="938"/>
      <c r="E6" s="938"/>
      <c r="F6" s="938"/>
      <c r="G6" s="938"/>
      <c r="H6" s="939"/>
      <c r="I6" s="939"/>
      <c r="J6" s="940"/>
      <c r="K6" s="941"/>
      <c r="L6" s="924"/>
    </row>
    <row r="7" spans="1:15" ht="21" thickBot="1">
      <c r="A7" s="942" t="s">
        <v>142</v>
      </c>
      <c r="B7" s="943"/>
      <c r="C7" s="943"/>
      <c r="D7" s="944" t="s">
        <v>143</v>
      </c>
      <c r="E7" s="945">
        <f>'23'!F7</f>
        <v>3736421</v>
      </c>
      <c r="F7" s="945">
        <v>3755812</v>
      </c>
      <c r="G7" s="946">
        <f>F7-E7</f>
        <v>19391</v>
      </c>
      <c r="H7" s="947">
        <f>G7+'23'!H7</f>
        <v>469372</v>
      </c>
      <c r="I7" s="948">
        <f>'1'!I7</f>
        <v>12000</v>
      </c>
      <c r="J7" s="949">
        <f>H7/DAY(B2)</f>
        <v>19557.166666666668</v>
      </c>
      <c r="K7" s="950"/>
      <c r="L7" s="924"/>
      <c r="O7" s="951"/>
    </row>
    <row r="8" spans="1:15" ht="21" thickBot="1">
      <c r="A8" s="952" t="s">
        <v>144</v>
      </c>
      <c r="B8" s="953"/>
      <c r="C8" s="954"/>
      <c r="D8" s="955" t="s">
        <v>25</v>
      </c>
      <c r="E8" s="945">
        <f>'23'!F8</f>
        <v>3759656</v>
      </c>
      <c r="F8" s="956">
        <v>3779214</v>
      </c>
      <c r="G8" s="957">
        <f>F8-E8</f>
        <v>19558</v>
      </c>
      <c r="H8" s="947">
        <f>G8+'23'!H8</f>
        <v>472842</v>
      </c>
      <c r="I8" s="958">
        <f>'1'!I8</f>
        <v>12000</v>
      </c>
      <c r="J8" s="949">
        <f>H8/DAY(B2)</f>
        <v>19701.75</v>
      </c>
      <c r="K8" s="950"/>
      <c r="L8" s="959"/>
      <c r="M8" s="960"/>
      <c r="O8" s="951"/>
    </row>
    <row r="9" spans="1:15">
      <c r="A9" s="961" t="s">
        <v>145</v>
      </c>
      <c r="B9" s="962"/>
      <c r="C9" s="962"/>
      <c r="D9" s="944" t="s">
        <v>143</v>
      </c>
      <c r="E9" s="945">
        <f>'23'!F9</f>
        <v>2483664.2999999998</v>
      </c>
      <c r="F9" s="963">
        <v>2490697</v>
      </c>
      <c r="G9" s="946">
        <f t="shared" ref="G9:G12" si="0">F9-E9</f>
        <v>7032.7000000001863</v>
      </c>
      <c r="H9" s="947">
        <f>G9+'23'!H9</f>
        <v>85482</v>
      </c>
      <c r="I9" s="964">
        <f>I8-J8</f>
        <v>-7701.75</v>
      </c>
      <c r="J9" s="949">
        <f>H9/DAY(B2)</f>
        <v>3561.75</v>
      </c>
      <c r="K9" s="965"/>
      <c r="L9" s="924"/>
      <c r="O9" s="951"/>
    </row>
    <row r="10" spans="1:15">
      <c r="A10" s="942" t="s">
        <v>146</v>
      </c>
      <c r="B10" s="943"/>
      <c r="C10" s="943"/>
      <c r="D10" s="944" t="s">
        <v>143</v>
      </c>
      <c r="E10" s="945">
        <f>'23'!F10</f>
        <v>1105724.3</v>
      </c>
      <c r="F10" s="963">
        <v>1117423</v>
      </c>
      <c r="G10" s="946">
        <f t="shared" si="0"/>
        <v>11698.699999999953</v>
      </c>
      <c r="H10" s="947">
        <f>G10+'23'!H10</f>
        <v>366901.08999999997</v>
      </c>
      <c r="I10" s="966"/>
      <c r="J10" s="949">
        <f>H10/DAY(B2)</f>
        <v>15287.545416666666</v>
      </c>
      <c r="K10" s="965"/>
      <c r="L10" s="924"/>
      <c r="M10" s="911" t="s">
        <v>293</v>
      </c>
      <c r="O10" s="951"/>
    </row>
    <row r="11" spans="1:15">
      <c r="A11" s="942" t="s">
        <v>147</v>
      </c>
      <c r="B11" s="943"/>
      <c r="C11" s="943"/>
      <c r="D11" s="944" t="s">
        <v>143</v>
      </c>
      <c r="E11" s="945">
        <f>'23'!F11</f>
        <v>35390</v>
      </c>
      <c r="F11" s="945">
        <v>35390</v>
      </c>
      <c r="G11" s="946">
        <f t="shared" si="0"/>
        <v>0</v>
      </c>
      <c r="H11" s="947">
        <f>G11+'23'!H11</f>
        <v>0</v>
      </c>
      <c r="I11" s="966"/>
      <c r="J11" s="949">
        <f>H11/DAY(B2)</f>
        <v>0</v>
      </c>
      <c r="K11" s="965"/>
      <c r="L11" s="924"/>
      <c r="O11" s="951"/>
    </row>
    <row r="12" spans="1:15">
      <c r="A12" s="942" t="s">
        <v>148</v>
      </c>
      <c r="B12" s="943"/>
      <c r="C12" s="943"/>
      <c r="D12" s="944" t="s">
        <v>143</v>
      </c>
      <c r="E12" s="945">
        <f>'23'!F12</f>
        <v>37630</v>
      </c>
      <c r="F12" s="963">
        <v>37630</v>
      </c>
      <c r="G12" s="946">
        <f t="shared" si="0"/>
        <v>0</v>
      </c>
      <c r="H12" s="947">
        <f>G12+'23'!H12</f>
        <v>0</v>
      </c>
      <c r="I12" s="966"/>
      <c r="J12" s="949">
        <f>H12/DAY(B2)</f>
        <v>0</v>
      </c>
      <c r="K12" s="965"/>
      <c r="L12" s="924"/>
      <c r="O12" s="951"/>
    </row>
    <row r="13" spans="1:15">
      <c r="A13" s="967" t="s">
        <v>149</v>
      </c>
      <c r="B13" s="968"/>
      <c r="C13" s="968"/>
      <c r="D13" s="944"/>
      <c r="E13" s="945"/>
      <c r="F13" s="945"/>
      <c r="G13" s="969">
        <f>G9+G10+G11+G12</f>
        <v>18731.40000000014</v>
      </c>
      <c r="H13" s="947">
        <f>G13+'23'!H13</f>
        <v>432862.08999999997</v>
      </c>
      <c r="I13" s="970">
        <f>G7-G13</f>
        <v>659.5999999998603</v>
      </c>
      <c r="J13" s="949">
        <f>H13/DAY(B2)</f>
        <v>18035.920416666664</v>
      </c>
      <c r="K13" s="965"/>
      <c r="L13" s="924"/>
      <c r="O13" s="951"/>
    </row>
    <row r="14" spans="1:15">
      <c r="A14" s="1536" t="s">
        <v>150</v>
      </c>
      <c r="B14" s="1537"/>
      <c r="C14" s="1538"/>
      <c r="D14" s="939"/>
      <c r="E14" s="939"/>
      <c r="F14" s="939"/>
      <c r="G14" s="971"/>
      <c r="H14" s="939"/>
      <c r="I14" s="939"/>
      <c r="J14" s="940"/>
      <c r="K14" s="972"/>
      <c r="L14" s="924"/>
      <c r="O14" s="951"/>
    </row>
    <row r="15" spans="1:15">
      <c r="A15" s="973" t="s">
        <v>151</v>
      </c>
      <c r="B15" s="974"/>
      <c r="C15" s="974"/>
      <c r="D15" s="944" t="s">
        <v>152</v>
      </c>
      <c r="E15" s="945">
        <f>'23'!F15</f>
        <v>1588261.88</v>
      </c>
      <c r="F15" s="975">
        <v>1589010</v>
      </c>
      <c r="G15" s="1123">
        <f>(F15-E15)</f>
        <v>748.12000000011176</v>
      </c>
      <c r="H15" s="947">
        <f>G15+'23'!H15</f>
        <v>20095.899999999907</v>
      </c>
      <c r="I15" s="948">
        <f>'1'!I15</f>
        <v>800</v>
      </c>
      <c r="J15" s="949">
        <f>H15/DAY(B2)</f>
        <v>837.32916666666279</v>
      </c>
      <c r="K15" s="965"/>
      <c r="L15" s="924"/>
      <c r="O15" s="951"/>
    </row>
    <row r="16" spans="1:15">
      <c r="A16" s="976"/>
      <c r="B16" s="977"/>
      <c r="C16" s="977"/>
      <c r="D16" s="978"/>
      <c r="E16" s="979"/>
      <c r="F16" s="979"/>
      <c r="G16" s="946"/>
      <c r="H16" s="980"/>
      <c r="I16" s="981">
        <f>I15-J15</f>
        <v>-37.329166666662786</v>
      </c>
      <c r="J16" s="982"/>
      <c r="K16" s="965"/>
      <c r="L16" s="924"/>
      <c r="N16" s="1115"/>
      <c r="O16" s="951"/>
    </row>
    <row r="17" spans="1:15">
      <c r="A17" s="1536" t="s">
        <v>153</v>
      </c>
      <c r="B17" s="1537"/>
      <c r="C17" s="1538"/>
      <c r="D17" s="939"/>
      <c r="E17" s="939"/>
      <c r="F17" s="939"/>
      <c r="G17" s="983"/>
      <c r="H17" s="939">
        <f>G17+'22'!H17</f>
        <v>0</v>
      </c>
      <c r="I17" s="939"/>
      <c r="J17" s="940"/>
      <c r="K17" s="965"/>
      <c r="L17" s="924"/>
      <c r="O17" s="951"/>
    </row>
    <row r="18" spans="1:15">
      <c r="A18" s="1501" t="s">
        <v>154</v>
      </c>
      <c r="B18" s="1502"/>
      <c r="C18" s="1503"/>
      <c r="D18" s="944" t="s">
        <v>155</v>
      </c>
      <c r="E18" s="945">
        <f>'23'!F18</f>
        <v>16</v>
      </c>
      <c r="F18" s="975">
        <v>14</v>
      </c>
      <c r="G18" s="969">
        <f>F18*10</f>
        <v>140</v>
      </c>
      <c r="H18" s="947">
        <f>G18+'23'!H18</f>
        <v>2880</v>
      </c>
      <c r="I18" s="948">
        <f>'1'!I18</f>
        <v>65</v>
      </c>
      <c r="J18" s="949">
        <f>H18/DAY(B2)</f>
        <v>120</v>
      </c>
      <c r="K18" s="965"/>
      <c r="L18" s="924"/>
      <c r="O18" s="951"/>
    </row>
    <row r="19" spans="1:15">
      <c r="A19" s="1501" t="s">
        <v>71</v>
      </c>
      <c r="B19" s="1502"/>
      <c r="C19" s="1503"/>
      <c r="D19" s="944" t="s">
        <v>155</v>
      </c>
      <c r="E19" s="945">
        <f>'23'!F19</f>
        <v>132633</v>
      </c>
      <c r="F19" s="975">
        <v>132683</v>
      </c>
      <c r="G19" s="946">
        <f t="shared" ref="G19" si="1">F19-E19</f>
        <v>50</v>
      </c>
      <c r="H19" s="947">
        <f>G19+'23'!H19</f>
        <v>1190</v>
      </c>
      <c r="I19" s="984"/>
      <c r="J19" s="949">
        <f>H19/DAY(B2)</f>
        <v>49.583333333333336</v>
      </c>
      <c r="K19" s="965"/>
      <c r="L19" s="924"/>
      <c r="O19" s="951"/>
    </row>
    <row r="20" spans="1:15">
      <c r="A20" s="967" t="s">
        <v>156</v>
      </c>
      <c r="B20" s="968"/>
      <c r="C20" s="968"/>
      <c r="D20" s="985"/>
      <c r="E20" s="985"/>
      <c r="F20" s="985"/>
      <c r="G20" s="986">
        <f>G18+G19</f>
        <v>190</v>
      </c>
      <c r="H20" s="947">
        <f>G20+'23'!H20</f>
        <v>4070</v>
      </c>
      <c r="I20" s="987">
        <f>I18-J20</f>
        <v>-104.58333333333334</v>
      </c>
      <c r="J20" s="949">
        <f>H20/DAY(B2)</f>
        <v>169.58333333333334</v>
      </c>
      <c r="K20" s="965"/>
      <c r="L20" s="924"/>
      <c r="O20" s="951"/>
    </row>
    <row r="21" spans="1:15">
      <c r="A21" s="1536" t="s">
        <v>157</v>
      </c>
      <c r="B21" s="1537"/>
      <c r="C21" s="1538"/>
      <c r="D21" s="939"/>
      <c r="E21" s="939"/>
      <c r="F21" s="939"/>
      <c r="G21" s="971"/>
      <c r="H21" s="939"/>
      <c r="I21" s="939"/>
      <c r="J21" s="940"/>
      <c r="K21" s="965"/>
      <c r="L21" s="924"/>
      <c r="O21" s="951"/>
    </row>
    <row r="22" spans="1:15">
      <c r="A22" s="973" t="s">
        <v>158</v>
      </c>
      <c r="B22" s="974"/>
      <c r="C22" s="974"/>
      <c r="D22" s="944" t="s">
        <v>159</v>
      </c>
      <c r="E22" s="975">
        <f>'23'!F22</f>
        <v>2970</v>
      </c>
      <c r="F22" s="975">
        <v>2970</v>
      </c>
      <c r="G22" s="969">
        <f t="shared" ref="G22" si="2">(F22-E22)</f>
        <v>0</v>
      </c>
      <c r="H22" s="947">
        <f>G22+'23'!H22</f>
        <v>0</v>
      </c>
      <c r="I22" s="966"/>
      <c r="J22" s="949">
        <f>H22/DAY(B2)</f>
        <v>0</v>
      </c>
      <c r="K22" s="965"/>
      <c r="L22" s="924"/>
      <c r="O22" s="951"/>
    </row>
    <row r="23" spans="1:15">
      <c r="A23" s="973" t="s">
        <v>160</v>
      </c>
      <c r="B23" s="974"/>
      <c r="C23" s="974"/>
      <c r="D23" s="944" t="s">
        <v>159</v>
      </c>
      <c r="E23" s="975">
        <f>'23'!F23</f>
        <v>2000</v>
      </c>
      <c r="F23" s="975">
        <v>2000</v>
      </c>
      <c r="G23" s="969">
        <v>0</v>
      </c>
      <c r="H23" s="947">
        <f>G23+'23'!H23</f>
        <v>0</v>
      </c>
      <c r="I23" s="966"/>
      <c r="J23" s="949">
        <f>H23/DAY(B2)</f>
        <v>0</v>
      </c>
      <c r="K23" s="965"/>
      <c r="L23" s="924"/>
      <c r="O23" s="951"/>
    </row>
    <row r="24" spans="1:15">
      <c r="A24" s="988" t="s">
        <v>161</v>
      </c>
      <c r="B24" s="989"/>
      <c r="C24" s="989"/>
      <c r="D24" s="931" t="s">
        <v>159</v>
      </c>
      <c r="E24" s="975">
        <f>'23'!F24</f>
        <v>4970</v>
      </c>
      <c r="F24" s="990">
        <v>4970</v>
      </c>
      <c r="G24" s="969">
        <v>0</v>
      </c>
      <c r="H24" s="947">
        <f>G24+'23'!H24</f>
        <v>0</v>
      </c>
      <c r="I24" s="966"/>
      <c r="J24" s="949">
        <f>H24/DAY(B2)</f>
        <v>0</v>
      </c>
      <c r="K24" s="965"/>
      <c r="L24" s="924"/>
      <c r="O24" s="951"/>
    </row>
    <row r="25" spans="1:15" s="996" customFormat="1">
      <c r="A25" s="1533" t="s">
        <v>162</v>
      </c>
      <c r="B25" s="1534"/>
      <c r="C25" s="1535"/>
      <c r="D25" s="938"/>
      <c r="E25" s="938"/>
      <c r="F25" s="938"/>
      <c r="G25" s="991"/>
      <c r="H25" s="992"/>
      <c r="I25" s="993"/>
      <c r="J25" s="994"/>
      <c r="K25" s="965"/>
      <c r="L25" s="995"/>
      <c r="N25" s="1114"/>
      <c r="O25" s="951"/>
    </row>
    <row r="26" spans="1:15" s="996" customFormat="1">
      <c r="A26" s="997" t="s">
        <v>163</v>
      </c>
      <c r="B26" s="998"/>
      <c r="C26" s="999"/>
      <c r="D26" s="1000" t="s">
        <v>164</v>
      </c>
      <c r="E26" s="1001"/>
      <c r="F26" s="1001"/>
      <c r="G26" s="1002"/>
      <c r="H26" s="947"/>
      <c r="I26" s="1003"/>
      <c r="J26" s="949"/>
      <c r="K26" s="972"/>
      <c r="L26" s="995"/>
      <c r="N26" s="1114"/>
      <c r="O26" s="951"/>
    </row>
    <row r="27" spans="1:15" s="996" customFormat="1" ht="22.5">
      <c r="A27" s="997" t="s">
        <v>6</v>
      </c>
      <c r="B27" s="998"/>
      <c r="C27" s="999"/>
      <c r="D27" s="1004" t="s">
        <v>25</v>
      </c>
      <c r="E27" s="1005">
        <f>G8</f>
        <v>19558</v>
      </c>
      <c r="F27" s="577">
        <v>9</v>
      </c>
      <c r="G27" s="1007">
        <f>E27*F27</f>
        <v>176022</v>
      </c>
      <c r="H27" s="947">
        <f>G27+'23'!H27</f>
        <v>4273653</v>
      </c>
      <c r="I27" s="1008"/>
      <c r="J27" s="949">
        <f>H27/DAY(B2)</f>
        <v>178068.875</v>
      </c>
      <c r="K27" s="965"/>
      <c r="L27" s="995"/>
      <c r="N27" s="1114"/>
      <c r="O27" s="951"/>
    </row>
    <row r="28" spans="1:15" s="996" customFormat="1" ht="22.5">
      <c r="A28" s="997" t="s">
        <v>165</v>
      </c>
      <c r="B28" s="998"/>
      <c r="C28" s="999"/>
      <c r="D28" s="1004" t="s">
        <v>166</v>
      </c>
      <c r="E28" s="1005">
        <f>G15</f>
        <v>748.12000000011176</v>
      </c>
      <c r="F28" s="577">
        <v>41</v>
      </c>
      <c r="G28" s="1007">
        <f>E28*F28</f>
        <v>30672.920000004582</v>
      </c>
      <c r="H28" s="947">
        <f>G28+'23'!H28</f>
        <v>822690.5399999962</v>
      </c>
      <c r="I28" s="1009"/>
      <c r="J28" s="949">
        <f>H28/DAY(B2)</f>
        <v>34278.772499999839</v>
      </c>
      <c r="K28" s="965"/>
      <c r="L28" s="995"/>
      <c r="N28" s="1114"/>
      <c r="O28" s="951"/>
    </row>
    <row r="29" spans="1:15" s="996" customFormat="1">
      <c r="A29" s="997" t="s">
        <v>167</v>
      </c>
      <c r="B29" s="998"/>
      <c r="C29" s="999"/>
      <c r="D29" s="1004" t="s">
        <v>168</v>
      </c>
      <c r="E29" s="1005">
        <f>G24</f>
        <v>0</v>
      </c>
      <c r="F29" s="1006">
        <v>69</v>
      </c>
      <c r="G29" s="1007">
        <f>E29*F29</f>
        <v>0</v>
      </c>
      <c r="H29" s="947">
        <f>G29+'23'!H29</f>
        <v>0</v>
      </c>
      <c r="I29" s="1009"/>
      <c r="J29" s="949">
        <f>H29/DAY(B2)</f>
        <v>0</v>
      </c>
      <c r="K29" s="965"/>
      <c r="L29" s="995"/>
      <c r="N29" s="1114"/>
      <c r="O29" s="951"/>
    </row>
    <row r="30" spans="1:15" s="996" customFormat="1">
      <c r="A30" s="997" t="s">
        <v>169</v>
      </c>
      <c r="B30" s="998"/>
      <c r="C30" s="999"/>
      <c r="D30" s="1004" t="s">
        <v>170</v>
      </c>
      <c r="E30" s="1005">
        <f>G19</f>
        <v>50</v>
      </c>
      <c r="F30" s="1006">
        <v>134</v>
      </c>
      <c r="G30" s="1007">
        <f>E30*F30</f>
        <v>6700</v>
      </c>
      <c r="H30" s="947">
        <f>G30+'23'!H30</f>
        <v>159460</v>
      </c>
      <c r="I30" s="1009"/>
      <c r="J30" s="949">
        <f>H30/DAY(B2)</f>
        <v>6644.166666666667</v>
      </c>
      <c r="K30" s="965"/>
      <c r="L30" s="995"/>
      <c r="N30" s="1114"/>
      <c r="O30" s="951"/>
    </row>
    <row r="31" spans="1:15" s="996" customFormat="1">
      <c r="A31" s="997" t="s">
        <v>171</v>
      </c>
      <c r="B31" s="998"/>
      <c r="C31" s="999"/>
      <c r="D31" s="1004" t="s">
        <v>155</v>
      </c>
      <c r="E31" s="1005">
        <f>G18</f>
        <v>140</v>
      </c>
      <c r="F31" s="1006">
        <v>80</v>
      </c>
      <c r="G31" s="1007">
        <f>E31*F31</f>
        <v>11200</v>
      </c>
      <c r="H31" s="947">
        <f>G31+'23'!H31</f>
        <v>230400</v>
      </c>
      <c r="I31" s="1009"/>
      <c r="J31" s="949"/>
      <c r="K31" s="965"/>
      <c r="L31" s="995"/>
      <c r="N31" s="1114"/>
      <c r="O31" s="951"/>
    </row>
    <row r="32" spans="1:15" s="996" customFormat="1">
      <c r="A32" s="1010" t="s">
        <v>172</v>
      </c>
      <c r="B32" s="1011"/>
      <c r="C32" s="1012"/>
      <c r="D32" s="1013"/>
      <c r="E32" s="1013"/>
      <c r="F32" s="1013"/>
      <c r="G32" s="1014">
        <f>G27+G28+G29+G30+G31</f>
        <v>224594.92000000458</v>
      </c>
      <c r="H32" s="947">
        <f>G32+'23'!H32</f>
        <v>5486203.5399999963</v>
      </c>
      <c r="I32" s="1015"/>
      <c r="J32" s="949">
        <f>H32/DAY(B2)</f>
        <v>228591.8141666665</v>
      </c>
      <c r="K32" s="965"/>
      <c r="L32" s="995"/>
      <c r="N32" s="1114"/>
      <c r="O32" s="951"/>
    </row>
    <row r="33" spans="1:15" ht="18.75">
      <c r="A33" s="1541" t="s">
        <v>173</v>
      </c>
      <c r="B33" s="1542"/>
      <c r="C33" s="1542"/>
      <c r="D33" s="1542"/>
      <c r="E33" s="1542"/>
      <c r="F33" s="1542"/>
      <c r="G33" s="1542"/>
      <c r="H33" s="1542"/>
      <c r="I33" s="1542"/>
      <c r="J33" s="1543"/>
      <c r="K33" s="965"/>
      <c r="L33" s="924"/>
      <c r="O33" s="951"/>
    </row>
    <row r="34" spans="1:15">
      <c r="A34" s="1016" t="s">
        <v>174</v>
      </c>
      <c r="B34" s="1017"/>
      <c r="C34" s="1017"/>
      <c r="D34" s="939"/>
      <c r="E34" s="938"/>
      <c r="F34" s="938"/>
      <c r="G34" s="939"/>
      <c r="H34" s="939"/>
      <c r="I34" s="939"/>
      <c r="J34" s="940"/>
      <c r="K34" s="965"/>
      <c r="L34" s="924"/>
      <c r="O34" s="951"/>
    </row>
    <row r="35" spans="1:15">
      <c r="A35" s="942" t="s">
        <v>175</v>
      </c>
      <c r="B35" s="943"/>
      <c r="C35" s="943"/>
      <c r="D35" s="944" t="s">
        <v>143</v>
      </c>
      <c r="E35" s="945">
        <f>'23'!F35</f>
        <v>629027.67000000004</v>
      </c>
      <c r="F35" s="1018">
        <v>629027.67000000004</v>
      </c>
      <c r="G35" s="946">
        <f t="shared" ref="G35:G46" si="3">F35-E35</f>
        <v>0</v>
      </c>
      <c r="H35" s="947">
        <f>G35+'23'!H35</f>
        <v>0.67000000004190952</v>
      </c>
      <c r="I35" s="945"/>
      <c r="J35" s="949">
        <f>H35/DAY(B2)</f>
        <v>2.7916666668412898E-2</v>
      </c>
      <c r="K35" s="965"/>
      <c r="L35" s="924"/>
      <c r="O35" s="951"/>
    </row>
    <row r="36" spans="1:15">
      <c r="A36" s="942" t="s">
        <v>176</v>
      </c>
      <c r="B36" s="943"/>
      <c r="C36" s="943"/>
      <c r="D36" s="944" t="s">
        <v>143</v>
      </c>
      <c r="E36" s="945">
        <f>'23'!F36</f>
        <v>270994.01</v>
      </c>
      <c r="F36" s="1018">
        <v>271719.90999999997</v>
      </c>
      <c r="G36" s="946">
        <f t="shared" si="3"/>
        <v>725.89999999996508</v>
      </c>
      <c r="H36" s="947">
        <f>G36+'23'!H36</f>
        <v>16628.839999999967</v>
      </c>
      <c r="I36" s="945"/>
      <c r="J36" s="949">
        <f>H36/DAY(B2)</f>
        <v>692.86833333333198</v>
      </c>
      <c r="K36" s="965"/>
      <c r="L36" s="924"/>
      <c r="O36" s="951"/>
    </row>
    <row r="37" spans="1:15">
      <c r="A37" s="942" t="s">
        <v>177</v>
      </c>
      <c r="B37" s="943"/>
      <c r="C37" s="943"/>
      <c r="D37" s="944" t="s">
        <v>143</v>
      </c>
      <c r="E37" s="945">
        <f>'23'!F37</f>
        <v>415066</v>
      </c>
      <c r="F37" s="1018">
        <v>415066</v>
      </c>
      <c r="G37" s="946">
        <f t="shared" si="3"/>
        <v>0</v>
      </c>
      <c r="H37" s="947">
        <f>G37+'23'!H37</f>
        <v>0</v>
      </c>
      <c r="I37" s="945"/>
      <c r="J37" s="949">
        <f>H37/DAY(B2)</f>
        <v>0</v>
      </c>
      <c r="K37" s="965"/>
      <c r="L37" s="924"/>
      <c r="O37" s="951"/>
    </row>
    <row r="38" spans="1:15">
      <c r="A38" s="942" t="s">
        <v>178</v>
      </c>
      <c r="B38" s="943"/>
      <c r="C38" s="943"/>
      <c r="D38" s="944" t="s">
        <v>143</v>
      </c>
      <c r="E38" s="945">
        <f>'23'!F38</f>
        <v>150714.38</v>
      </c>
      <c r="F38" s="934">
        <v>150714.38</v>
      </c>
      <c r="G38" s="946">
        <f t="shared" si="3"/>
        <v>0</v>
      </c>
      <c r="H38" s="947">
        <f>G38+'23'!H38</f>
        <v>0.38000000000465661</v>
      </c>
      <c r="I38" s="945"/>
      <c r="J38" s="949">
        <f>H38/DAY(B2)</f>
        <v>1.583333333352736E-2</v>
      </c>
      <c r="K38" s="965"/>
      <c r="L38" s="924"/>
      <c r="O38" s="951"/>
    </row>
    <row r="39" spans="1:15">
      <c r="A39" s="942" t="s">
        <v>179</v>
      </c>
      <c r="B39" s="943"/>
      <c r="C39" s="943"/>
      <c r="D39" s="944" t="s">
        <v>143</v>
      </c>
      <c r="E39" s="945">
        <f>'23'!F39</f>
        <v>912480</v>
      </c>
      <c r="F39" s="1018">
        <v>912480</v>
      </c>
      <c r="G39" s="946">
        <f t="shared" si="3"/>
        <v>0</v>
      </c>
      <c r="H39" s="947">
        <f>G39+'23'!H39</f>
        <v>0</v>
      </c>
      <c r="I39" s="945"/>
      <c r="J39" s="949">
        <f>H39/DAY(B2)</f>
        <v>0</v>
      </c>
      <c r="K39" s="965"/>
      <c r="L39" s="924"/>
      <c r="N39" s="1113">
        <f>20*38.64</f>
        <v>772.8</v>
      </c>
      <c r="O39" s="951"/>
    </row>
    <row r="40" spans="1:15">
      <c r="A40" s="1019" t="s">
        <v>180</v>
      </c>
      <c r="B40" s="1020"/>
      <c r="C40" s="1020"/>
      <c r="D40" s="944" t="s">
        <v>143</v>
      </c>
      <c r="E40" s="945">
        <f>'23'!F40</f>
        <v>0</v>
      </c>
      <c r="F40" s="1018">
        <v>0</v>
      </c>
      <c r="G40" s="946">
        <f t="shared" si="3"/>
        <v>0</v>
      </c>
      <c r="H40" s="947">
        <f>G40+'23'!H40</f>
        <v>0</v>
      </c>
      <c r="I40" s="945"/>
      <c r="J40" s="949">
        <f>H40/DAY(B2)</f>
        <v>0</v>
      </c>
      <c r="K40" s="972"/>
      <c r="L40" s="924"/>
      <c r="O40" s="951"/>
    </row>
    <row r="41" spans="1:15">
      <c r="A41" s="942" t="s">
        <v>181</v>
      </c>
      <c r="B41" s="943"/>
      <c r="C41" s="943"/>
      <c r="D41" s="944" t="s">
        <v>143</v>
      </c>
      <c r="E41" s="945">
        <f>'23'!F41</f>
        <v>14802.68</v>
      </c>
      <c r="F41" s="1018">
        <v>19024</v>
      </c>
      <c r="G41" s="946">
        <f t="shared" si="3"/>
        <v>4221.32</v>
      </c>
      <c r="H41" s="947">
        <f>G41+'23'!H41</f>
        <v>19024</v>
      </c>
      <c r="I41" s="945"/>
      <c r="J41" s="949">
        <f>H41/DAY(B2)</f>
        <v>792.66666666666663</v>
      </c>
      <c r="K41" s="965"/>
      <c r="L41" s="924"/>
      <c r="O41" s="951"/>
    </row>
    <row r="42" spans="1:15">
      <c r="A42" s="942" t="s">
        <v>182</v>
      </c>
      <c r="B42" s="943"/>
      <c r="C42" s="943"/>
      <c r="D42" s="944" t="s">
        <v>143</v>
      </c>
      <c r="E42" s="945">
        <f>'23'!F42</f>
        <v>58926.09</v>
      </c>
      <c r="F42" s="1018">
        <v>58926</v>
      </c>
      <c r="G42" s="946">
        <f t="shared" si="3"/>
        <v>-8.999999999650754E-2</v>
      </c>
      <c r="H42" s="947">
        <f>G42+'23'!H42</f>
        <v>-8.999999999650754E-2</v>
      </c>
      <c r="I42" s="945"/>
      <c r="J42" s="949">
        <f>H42/DAY(B2)</f>
        <v>-3.7499999998544808E-3</v>
      </c>
      <c r="K42" s="965"/>
      <c r="L42" s="924"/>
      <c r="O42" s="951"/>
    </row>
    <row r="43" spans="1:15">
      <c r="A43" s="942" t="s">
        <v>183</v>
      </c>
      <c r="B43" s="943"/>
      <c r="C43" s="943"/>
      <c r="D43" s="944" t="s">
        <v>143</v>
      </c>
      <c r="E43" s="945">
        <f>'23'!F43</f>
        <v>749232.63</v>
      </c>
      <c r="F43" s="1018">
        <v>751611</v>
      </c>
      <c r="G43" s="946">
        <f t="shared" si="3"/>
        <v>2378.3699999999953</v>
      </c>
      <c r="H43" s="947">
        <f>G43+'23'!H43</f>
        <v>53357.569999999949</v>
      </c>
      <c r="I43" s="945"/>
      <c r="J43" s="949">
        <f>H43/DAY(B2)</f>
        <v>2223.232083333331</v>
      </c>
      <c r="K43" s="965"/>
      <c r="L43" s="924"/>
      <c r="O43" s="951"/>
    </row>
    <row r="44" spans="1:15">
      <c r="A44" s="942" t="s">
        <v>184</v>
      </c>
      <c r="B44" s="943"/>
      <c r="C44" s="943"/>
      <c r="D44" s="944" t="s">
        <v>143</v>
      </c>
      <c r="E44" s="945">
        <f>'23'!F44</f>
        <v>0</v>
      </c>
      <c r="F44" s="1018">
        <v>0</v>
      </c>
      <c r="G44" s="946">
        <f t="shared" si="3"/>
        <v>0</v>
      </c>
      <c r="H44" s="947">
        <f>G44+'23'!H44</f>
        <v>0</v>
      </c>
      <c r="I44" s="945"/>
      <c r="J44" s="949">
        <f>H44/DAY(B2)</f>
        <v>0</v>
      </c>
      <c r="K44" s="965"/>
      <c r="L44" s="924"/>
      <c r="O44" s="951"/>
    </row>
    <row r="45" spans="1:15">
      <c r="A45" s="942" t="s">
        <v>185</v>
      </c>
      <c r="B45" s="943"/>
      <c r="C45" s="943"/>
      <c r="D45" s="944" t="s">
        <v>143</v>
      </c>
      <c r="E45" s="945">
        <f>'23'!F45</f>
        <v>614</v>
      </c>
      <c r="F45" s="1018">
        <v>614</v>
      </c>
      <c r="G45" s="946">
        <f t="shared" si="3"/>
        <v>0</v>
      </c>
      <c r="H45" s="947">
        <f>G45+'23'!H45</f>
        <v>-0.48000000000001819</v>
      </c>
      <c r="I45" s="945"/>
      <c r="J45" s="949">
        <f>H45/DAY(B2)</f>
        <v>-2.0000000000000757E-2</v>
      </c>
      <c r="K45" s="965"/>
      <c r="L45" s="924"/>
      <c r="O45" s="951"/>
    </row>
    <row r="46" spans="1:15">
      <c r="A46" s="942" t="s">
        <v>186</v>
      </c>
      <c r="B46" s="943"/>
      <c r="C46" s="943"/>
      <c r="D46" s="944" t="s">
        <v>143</v>
      </c>
      <c r="E46" s="945">
        <f>'23'!F46</f>
        <v>187</v>
      </c>
      <c r="F46" s="1018">
        <v>187</v>
      </c>
      <c r="G46" s="946">
        <f t="shared" si="3"/>
        <v>0</v>
      </c>
      <c r="H46" s="947">
        <f>G46+'23'!H46</f>
        <v>-0.49000000000000909</v>
      </c>
      <c r="I46" s="945"/>
      <c r="J46" s="949">
        <f>H46/DAY(B2)</f>
        <v>-2.0416666666667044E-2</v>
      </c>
      <c r="K46" s="965"/>
      <c r="L46" s="924"/>
      <c r="O46" s="951"/>
    </row>
    <row r="47" spans="1:15">
      <c r="A47" s="967" t="s">
        <v>187</v>
      </c>
      <c r="B47" s="968"/>
      <c r="C47" s="968"/>
      <c r="D47" s="935"/>
      <c r="E47" s="931"/>
      <c r="F47" s="931"/>
      <c r="G47" s="969">
        <f>G35+G36+G37+G38+G39+G40+G41+G42+G43+G44+G45+G46</f>
        <v>7325.4999999999636</v>
      </c>
      <c r="H47" s="947">
        <f>G47+'23'!H47</f>
        <v>89010.399999999965</v>
      </c>
      <c r="I47" s="945"/>
      <c r="J47" s="949">
        <f>H47/DAY(B2)</f>
        <v>3708.7666666666651</v>
      </c>
      <c r="K47" s="965"/>
      <c r="L47" s="924"/>
      <c r="N47" s="1115"/>
      <c r="O47" s="951"/>
    </row>
    <row r="48" spans="1:15">
      <c r="A48" s="1016" t="s">
        <v>188</v>
      </c>
      <c r="B48" s="1017"/>
      <c r="C48" s="1017"/>
      <c r="D48" s="939"/>
      <c r="E48" s="938"/>
      <c r="F48" s="938"/>
      <c r="G48" s="939"/>
      <c r="H48" s="939"/>
      <c r="I48" s="939"/>
      <c r="J48" s="940"/>
      <c r="K48" s="965"/>
      <c r="L48" s="924"/>
      <c r="O48" s="951"/>
    </row>
    <row r="49" spans="1:15">
      <c r="A49" s="942" t="s">
        <v>175</v>
      </c>
      <c r="B49" s="1021"/>
      <c r="C49" s="1021"/>
      <c r="D49" s="944" t="s">
        <v>143</v>
      </c>
      <c r="E49" s="945">
        <f>'23'!F49</f>
        <v>221005.57</v>
      </c>
      <c r="F49" s="1018">
        <v>224081</v>
      </c>
      <c r="G49" s="946">
        <f t="shared" ref="G49:G58" si="4">F49-E49</f>
        <v>3075.429999999993</v>
      </c>
      <c r="H49" s="947">
        <f>G49+'23'!H49</f>
        <v>71676</v>
      </c>
      <c r="I49" s="945"/>
      <c r="J49" s="949">
        <f>H49/DAY(B2)</f>
        <v>2986.5</v>
      </c>
      <c r="K49" s="965"/>
      <c r="L49" s="924"/>
      <c r="O49" s="951"/>
    </row>
    <row r="50" spans="1:15">
      <c r="A50" s="942" t="s">
        <v>189</v>
      </c>
      <c r="B50" s="1021"/>
      <c r="C50" s="1021"/>
      <c r="D50" s="944" t="s">
        <v>143</v>
      </c>
      <c r="E50" s="945">
        <f>'23'!F50</f>
        <v>359903.71</v>
      </c>
      <c r="F50" s="1018">
        <v>360902.71</v>
      </c>
      <c r="G50" s="946">
        <f t="shared" si="4"/>
        <v>999</v>
      </c>
      <c r="H50" s="947">
        <f>G50+'23'!H50</f>
        <v>24685.280000000028</v>
      </c>
      <c r="I50" s="945"/>
      <c r="J50" s="949">
        <f>H50/DAY(B2)</f>
        <v>1028.5533333333344</v>
      </c>
      <c r="K50" s="965"/>
      <c r="L50" s="924"/>
      <c r="O50" s="951"/>
    </row>
    <row r="51" spans="1:15">
      <c r="A51" s="942" t="s">
        <v>177</v>
      </c>
      <c r="B51" s="1021"/>
      <c r="C51" s="1021"/>
      <c r="D51" s="944" t="s">
        <v>143</v>
      </c>
      <c r="E51" s="945">
        <f>'23'!F51</f>
        <v>98185.64</v>
      </c>
      <c r="F51" s="1018">
        <v>99664</v>
      </c>
      <c r="G51" s="946">
        <f t="shared" si="4"/>
        <v>1478.3600000000006</v>
      </c>
      <c r="H51" s="947">
        <f>G51+'23'!H51</f>
        <v>33505.89</v>
      </c>
      <c r="I51" s="945"/>
      <c r="J51" s="949">
        <f>H51/DAY(B2)</f>
        <v>1396.0787499999999</v>
      </c>
      <c r="K51" s="965"/>
      <c r="L51" s="924"/>
      <c r="O51" s="951"/>
    </row>
    <row r="52" spans="1:15">
      <c r="A52" s="942" t="s">
        <v>190</v>
      </c>
      <c r="B52" s="1021"/>
      <c r="C52" s="1021"/>
      <c r="D52" s="944" t="s">
        <v>143</v>
      </c>
      <c r="E52" s="945">
        <f>'23'!F52</f>
        <v>478782.59</v>
      </c>
      <c r="F52" s="1018">
        <v>480616.51</v>
      </c>
      <c r="G52" s="946">
        <f t="shared" si="4"/>
        <v>1833.9199999999837</v>
      </c>
      <c r="H52" s="947">
        <f>G52+'23'!H52</f>
        <v>45340.880000000005</v>
      </c>
      <c r="I52" s="945"/>
      <c r="J52" s="949">
        <f>H52/DAY(B2)</f>
        <v>1889.2033333333336</v>
      </c>
      <c r="K52" s="965"/>
      <c r="L52" s="924"/>
      <c r="O52" s="951"/>
    </row>
    <row r="53" spans="1:15">
      <c r="A53" s="942" t="s">
        <v>179</v>
      </c>
      <c r="B53" s="1021"/>
      <c r="C53" s="1021"/>
      <c r="D53" s="944" t="s">
        <v>143</v>
      </c>
      <c r="E53" s="945">
        <f>'23'!F53</f>
        <v>270812.05</v>
      </c>
      <c r="F53" s="1018">
        <v>275016</v>
      </c>
      <c r="G53" s="946">
        <f t="shared" si="4"/>
        <v>4203.9500000000116</v>
      </c>
      <c r="H53" s="947">
        <f>G53+'23'!H53</f>
        <v>93951.03</v>
      </c>
      <c r="I53" s="945"/>
      <c r="J53" s="949">
        <f>H53/DAY(B2)</f>
        <v>3914.6262499999998</v>
      </c>
      <c r="K53" s="965"/>
      <c r="L53" s="924"/>
      <c r="O53" s="951"/>
    </row>
    <row r="54" spans="1:15">
      <c r="A54" s="942" t="s">
        <v>191</v>
      </c>
      <c r="B54" s="1021"/>
      <c r="C54" s="1021"/>
      <c r="D54" s="944" t="s">
        <v>143</v>
      </c>
      <c r="E54" s="945">
        <f>'23'!F54</f>
        <v>5926.83</v>
      </c>
      <c r="F54" s="1018">
        <v>5974</v>
      </c>
      <c r="G54" s="946">
        <f t="shared" si="4"/>
        <v>47.170000000000073</v>
      </c>
      <c r="H54" s="947">
        <f>G54+'23'!H54</f>
        <v>1327.46</v>
      </c>
      <c r="I54" s="945"/>
      <c r="J54" s="949">
        <f>H54/DAY(B2)</f>
        <v>55.310833333333335</v>
      </c>
      <c r="K54" s="965"/>
      <c r="L54" s="924"/>
      <c r="O54" s="951"/>
    </row>
    <row r="55" spans="1:15">
      <c r="A55" s="942" t="s">
        <v>192</v>
      </c>
      <c r="B55" s="1021"/>
      <c r="C55" s="1021"/>
      <c r="D55" s="944" t="s">
        <v>143</v>
      </c>
      <c r="E55" s="945">
        <f>'23'!F55</f>
        <v>39120.58</v>
      </c>
      <c r="F55" s="1018">
        <v>39120.58</v>
      </c>
      <c r="G55" s="946">
        <f t="shared" si="4"/>
        <v>0</v>
      </c>
      <c r="H55" s="947">
        <f>G55+'23'!H55</f>
        <v>39120.310000000012</v>
      </c>
      <c r="I55" s="945"/>
      <c r="J55" s="949">
        <f>H55/DAY(B2)</f>
        <v>1630.0129166666673</v>
      </c>
      <c r="K55" s="965"/>
      <c r="L55" s="924"/>
      <c r="O55" s="951"/>
    </row>
    <row r="56" spans="1:15">
      <c r="A56" s="942" t="s">
        <v>193</v>
      </c>
      <c r="B56" s="1021"/>
      <c r="C56" s="1021"/>
      <c r="D56" s="944" t="s">
        <v>194</v>
      </c>
      <c r="E56" s="945">
        <f>'23'!F56</f>
        <v>557730.15</v>
      </c>
      <c r="F56" s="1018">
        <v>557730.15</v>
      </c>
      <c r="G56" s="946">
        <f t="shared" si="4"/>
        <v>0</v>
      </c>
      <c r="H56" s="947">
        <f>G56+'23'!H56</f>
        <v>39829.400000000023</v>
      </c>
      <c r="I56" s="945"/>
      <c r="J56" s="949">
        <f>H56/DAY(B2)</f>
        <v>1659.5583333333343</v>
      </c>
      <c r="K56" s="941"/>
      <c r="L56" s="924"/>
      <c r="O56" s="951"/>
    </row>
    <row r="57" spans="1:15">
      <c r="A57" s="942" t="s">
        <v>183</v>
      </c>
      <c r="B57" s="1021"/>
      <c r="C57" s="1021"/>
      <c r="D57" s="944" t="s">
        <v>143</v>
      </c>
      <c r="E57" s="945">
        <f>'23'!F57</f>
        <v>0</v>
      </c>
      <c r="F57" s="1018">
        <v>0</v>
      </c>
      <c r="G57" s="946">
        <f t="shared" si="4"/>
        <v>0</v>
      </c>
      <c r="H57" s="947">
        <f>G57+'23'!H57</f>
        <v>0</v>
      </c>
      <c r="I57" s="945"/>
      <c r="J57" s="949">
        <f>H57/DAY(B2)</f>
        <v>0</v>
      </c>
      <c r="K57" s="965"/>
      <c r="L57" s="924"/>
      <c r="O57" s="951"/>
    </row>
    <row r="58" spans="1:15">
      <c r="A58" s="942" t="s">
        <v>195</v>
      </c>
      <c r="B58" s="1021"/>
      <c r="C58" s="1021"/>
      <c r="D58" s="944" t="s">
        <v>143</v>
      </c>
      <c r="E58" s="945">
        <f>'23'!F58</f>
        <v>29277.06</v>
      </c>
      <c r="F58" s="1018">
        <v>29400</v>
      </c>
      <c r="G58" s="946">
        <f t="shared" si="4"/>
        <v>122.93999999999869</v>
      </c>
      <c r="H58" s="947">
        <f>G58+'23'!H58</f>
        <v>4244.59</v>
      </c>
      <c r="I58" s="945"/>
      <c r="J58" s="949">
        <f>H58/DAY(B2)</f>
        <v>176.85791666666668</v>
      </c>
      <c r="K58" s="965"/>
      <c r="L58" s="924"/>
      <c r="O58" s="951"/>
    </row>
    <row r="59" spans="1:15">
      <c r="A59" s="967" t="s">
        <v>187</v>
      </c>
      <c r="B59" s="968"/>
      <c r="C59" s="968"/>
      <c r="D59" s="931"/>
      <c r="E59" s="931"/>
      <c r="F59" s="931"/>
      <c r="G59" s="969">
        <f>G49+G50+G51+G52+G53+G54+G55+G56+G57+G58</f>
        <v>11760.769999999988</v>
      </c>
      <c r="H59" s="947">
        <f>G59+'23'!H59</f>
        <v>353680.84000000008</v>
      </c>
      <c r="I59" s="945">
        <f>G7-G60</f>
        <v>304.73000000004686</v>
      </c>
      <c r="J59" s="949">
        <f>H59/DAY(B2)</f>
        <v>14736.70166666667</v>
      </c>
      <c r="K59" s="965"/>
      <c r="L59" s="924"/>
      <c r="O59" s="951"/>
    </row>
    <row r="60" spans="1:15">
      <c r="A60" s="942"/>
      <c r="B60" s="943"/>
      <c r="C60" s="943"/>
      <c r="D60" s="931" t="s">
        <v>196</v>
      </c>
      <c r="E60" s="931"/>
      <c r="F60" s="931"/>
      <c r="G60" s="969">
        <f>G47+G59</f>
        <v>19086.269999999953</v>
      </c>
      <c r="H60" s="947">
        <f>G60+'23'!H60</f>
        <v>459725.24000000011</v>
      </c>
      <c r="I60" s="945">
        <f>G13-G60</f>
        <v>-354.86999999981344</v>
      </c>
      <c r="J60" s="949">
        <f>H60/DAY(B2)</f>
        <v>19155.218333333338</v>
      </c>
      <c r="K60" s="965"/>
      <c r="L60" s="924"/>
      <c r="O60" s="951"/>
    </row>
    <row r="61" spans="1:15">
      <c r="A61" s="1022" t="s">
        <v>197</v>
      </c>
      <c r="B61" s="1023"/>
      <c r="C61" s="1023"/>
      <c r="D61" s="1023"/>
      <c r="E61" s="1024"/>
      <c r="F61" s="1024"/>
      <c r="G61" s="1023"/>
      <c r="H61" s="1023"/>
      <c r="I61" s="1023"/>
      <c r="J61" s="1025"/>
      <c r="K61" s="965"/>
      <c r="L61" s="924"/>
      <c r="O61" s="951"/>
    </row>
    <row r="62" spans="1:15">
      <c r="A62" s="1026" t="s">
        <v>106</v>
      </c>
      <c r="B62" s="1027"/>
      <c r="C62" s="1027"/>
      <c r="D62" s="931" t="s">
        <v>198</v>
      </c>
      <c r="E62" s="945">
        <f>'23'!F62</f>
        <v>20419</v>
      </c>
      <c r="F62" s="1028">
        <v>20419.18</v>
      </c>
      <c r="G62" s="946">
        <f t="shared" ref="G62:G69" si="5">F62-E62</f>
        <v>0.18000000000029104</v>
      </c>
      <c r="H62" s="947">
        <f>G62+'23'!H62</f>
        <v>0</v>
      </c>
      <c r="I62" s="1029"/>
      <c r="J62" s="949">
        <f>H62/DAY(B2)</f>
        <v>0</v>
      </c>
      <c r="K62" s="965"/>
      <c r="L62" s="924"/>
      <c r="O62" s="951"/>
    </row>
    <row r="63" spans="1:15">
      <c r="A63" s="1026" t="s">
        <v>199</v>
      </c>
      <c r="B63" s="1027"/>
      <c r="C63" s="1027"/>
      <c r="D63" s="931" t="s">
        <v>198</v>
      </c>
      <c r="E63" s="945">
        <f>'23'!F63</f>
        <v>1245.43</v>
      </c>
      <c r="F63" s="1028">
        <v>1254</v>
      </c>
      <c r="G63" s="946">
        <f t="shared" si="5"/>
        <v>8.5699999999999363</v>
      </c>
      <c r="H63" s="947">
        <f>G63+'23'!H63</f>
        <v>146.08999999999992</v>
      </c>
      <c r="I63" s="1029"/>
      <c r="J63" s="949">
        <f>H63/DAY(B2)</f>
        <v>6.0870833333333296</v>
      </c>
      <c r="K63" s="965"/>
      <c r="L63" s="924"/>
      <c r="O63" s="951"/>
    </row>
    <row r="64" spans="1:15">
      <c r="A64" s="1507" t="s">
        <v>107</v>
      </c>
      <c r="B64" s="1508"/>
      <c r="C64" s="1509"/>
      <c r="D64" s="944" t="s">
        <v>198</v>
      </c>
      <c r="E64" s="945">
        <f>'23'!F64</f>
        <v>107901.1</v>
      </c>
      <c r="F64" s="975">
        <v>108305</v>
      </c>
      <c r="G64" s="946">
        <f t="shared" si="5"/>
        <v>403.89999999999418</v>
      </c>
      <c r="H64" s="947">
        <f>G64+'23'!H64</f>
        <v>9881.6000000000058</v>
      </c>
      <c r="I64" s="966"/>
      <c r="J64" s="949">
        <f>H64/DAY(B2)</f>
        <v>411.73333333333358</v>
      </c>
      <c r="K64" s="965"/>
      <c r="L64" s="924"/>
      <c r="O64" s="951"/>
    </row>
    <row r="65" spans="1:15">
      <c r="A65" s="1507" t="s">
        <v>108</v>
      </c>
      <c r="B65" s="1508"/>
      <c r="C65" s="1509"/>
      <c r="D65" s="944" t="s">
        <v>198</v>
      </c>
      <c r="E65" s="945">
        <f>'23'!F65</f>
        <v>118512.05</v>
      </c>
      <c r="F65" s="975">
        <v>118952</v>
      </c>
      <c r="G65" s="946">
        <f t="shared" si="5"/>
        <v>439.94999999999709</v>
      </c>
      <c r="H65" s="947">
        <f>G65+'23'!H65</f>
        <v>9907.8800000000047</v>
      </c>
      <c r="I65" s="984"/>
      <c r="J65" s="949">
        <f>H65/DAY(B2)</f>
        <v>412.82833333333355</v>
      </c>
      <c r="K65" s="965"/>
      <c r="L65" s="924"/>
      <c r="O65" s="951"/>
    </row>
    <row r="66" spans="1:15">
      <c r="A66" s="1507" t="s">
        <v>109</v>
      </c>
      <c r="B66" s="1508"/>
      <c r="C66" s="1509"/>
      <c r="D66" s="944" t="s">
        <v>198</v>
      </c>
      <c r="E66" s="945">
        <f>'23'!F66</f>
        <v>10824.81</v>
      </c>
      <c r="F66" s="975">
        <v>11222</v>
      </c>
      <c r="G66" s="946">
        <f t="shared" si="5"/>
        <v>397.19000000000051</v>
      </c>
      <c r="H66" s="947">
        <f>G66+'23'!H66</f>
        <v>8799.91</v>
      </c>
      <c r="I66" s="966"/>
      <c r="J66" s="949">
        <f>H66/DAY(B2)</f>
        <v>366.66291666666666</v>
      </c>
      <c r="K66" s="965"/>
      <c r="L66" s="924"/>
      <c r="O66" s="951"/>
    </row>
    <row r="67" spans="1:15">
      <c r="A67" s="1507" t="s">
        <v>110</v>
      </c>
      <c r="B67" s="1508"/>
      <c r="C67" s="1509"/>
      <c r="D67" s="944" t="s">
        <v>198</v>
      </c>
      <c r="E67" s="945">
        <f>'23'!F67</f>
        <v>183352.45</v>
      </c>
      <c r="F67" s="975">
        <v>183973</v>
      </c>
      <c r="G67" s="946">
        <f t="shared" si="5"/>
        <v>620.54999999998836</v>
      </c>
      <c r="H67" s="947">
        <f>G67+'23'!H67</f>
        <v>15731.649999999994</v>
      </c>
      <c r="I67" s="984"/>
      <c r="J67" s="949">
        <f>H67/DAY(B2)</f>
        <v>655.48541666666642</v>
      </c>
      <c r="K67" s="972"/>
      <c r="L67" s="924"/>
      <c r="O67" s="951"/>
    </row>
    <row r="68" spans="1:15">
      <c r="A68" s="1507" t="s">
        <v>111</v>
      </c>
      <c r="B68" s="1508"/>
      <c r="C68" s="1509"/>
      <c r="D68" s="944" t="s">
        <v>198</v>
      </c>
      <c r="E68" s="945">
        <f>'23'!F68</f>
        <v>60703.31</v>
      </c>
      <c r="F68" s="975">
        <v>61054</v>
      </c>
      <c r="G68" s="946">
        <f t="shared" si="5"/>
        <v>350.69000000000233</v>
      </c>
      <c r="H68" s="947">
        <f>G68+'23'!H68</f>
        <v>7430.0999999999985</v>
      </c>
      <c r="I68" s="1030"/>
      <c r="J68" s="949">
        <f>H68/DAY(B2)</f>
        <v>309.58749999999992</v>
      </c>
      <c r="K68" s="1031"/>
      <c r="L68" s="924"/>
      <c r="O68" s="951"/>
    </row>
    <row r="69" spans="1:15">
      <c r="A69" s="1507" t="s">
        <v>112</v>
      </c>
      <c r="B69" s="1508"/>
      <c r="C69" s="1509"/>
      <c r="D69" s="944" t="s">
        <v>198</v>
      </c>
      <c r="E69" s="945">
        <f>'23'!F69</f>
        <v>53249.27</v>
      </c>
      <c r="F69" s="975">
        <v>53549</v>
      </c>
      <c r="G69" s="946">
        <f t="shared" si="5"/>
        <v>299.7300000000032</v>
      </c>
      <c r="H69" s="947">
        <f>G69+'23'!H69</f>
        <v>7029.57</v>
      </c>
      <c r="I69" s="1030"/>
      <c r="J69" s="949">
        <f>H69/DAY(B2)</f>
        <v>292.89875000000001</v>
      </c>
      <c r="K69" s="1032"/>
      <c r="L69" s="924"/>
      <c r="O69" s="951"/>
    </row>
    <row r="70" spans="1:15">
      <c r="A70" s="1527" t="s">
        <v>200</v>
      </c>
      <c r="B70" s="1528"/>
      <c r="C70" s="1529"/>
      <c r="D70" s="944" t="s">
        <v>198</v>
      </c>
      <c r="E70" s="1033"/>
      <c r="F70" s="1034"/>
      <c r="G70" s="1034"/>
      <c r="H70" s="947">
        <f>G70+'23'!H70</f>
        <v>0</v>
      </c>
      <c r="I70" s="1034"/>
      <c r="J70" s="1035"/>
      <c r="K70" s="1032"/>
      <c r="L70" s="924"/>
      <c r="O70" s="951"/>
    </row>
    <row r="71" spans="1:15" ht="22.5">
      <c r="A71" s="1524" t="s">
        <v>201</v>
      </c>
      <c r="B71" s="1525"/>
      <c r="C71" s="1525"/>
      <c r="D71" s="1525"/>
      <c r="E71" s="1525"/>
      <c r="F71" s="1525"/>
      <c r="G71" s="1525"/>
      <c r="H71" s="1525"/>
      <c r="I71" s="1525"/>
      <c r="J71" s="1526"/>
      <c r="K71" s="1031"/>
      <c r="L71" s="924"/>
      <c r="O71" s="951"/>
    </row>
    <row r="72" spans="1:15">
      <c r="A72" s="1507" t="s">
        <v>202</v>
      </c>
      <c r="B72" s="1508"/>
      <c r="C72" s="1509"/>
      <c r="D72" s="944" t="s">
        <v>198</v>
      </c>
      <c r="E72" s="945">
        <f>'23'!F72</f>
        <v>847867</v>
      </c>
      <c r="F72" s="1036">
        <v>847917</v>
      </c>
      <c r="G72" s="946">
        <f t="shared" ref="G72:G90" si="6">F72-E72</f>
        <v>50</v>
      </c>
      <c r="H72" s="947">
        <f>G72+'23'!H72</f>
        <v>1451</v>
      </c>
      <c r="I72" s="966"/>
      <c r="J72" s="949">
        <f>H72/DAY(B2)</f>
        <v>60.458333333333336</v>
      </c>
      <c r="K72" s="1032"/>
      <c r="L72" s="924"/>
      <c r="O72" s="951"/>
    </row>
    <row r="73" spans="1:15">
      <c r="A73" s="1507" t="s">
        <v>203</v>
      </c>
      <c r="B73" s="1508"/>
      <c r="C73" s="1509"/>
      <c r="D73" s="944" t="s">
        <v>198</v>
      </c>
      <c r="E73" s="945">
        <f>'23'!F73</f>
        <v>885724</v>
      </c>
      <c r="F73" s="1037">
        <v>885726</v>
      </c>
      <c r="G73" s="946">
        <f t="shared" si="6"/>
        <v>2</v>
      </c>
      <c r="H73" s="947">
        <f>G73+'23'!H73</f>
        <v>945</v>
      </c>
      <c r="I73" s="966"/>
      <c r="J73" s="949">
        <f>H73/DAY(B2)</f>
        <v>39.375</v>
      </c>
      <c r="K73" s="1031"/>
      <c r="L73" s="924"/>
      <c r="O73" s="951"/>
    </row>
    <row r="74" spans="1:15">
      <c r="A74" s="1507" t="s">
        <v>204</v>
      </c>
      <c r="B74" s="1508"/>
      <c r="C74" s="1509"/>
      <c r="D74" s="944" t="s">
        <v>198</v>
      </c>
      <c r="E74" s="945">
        <f>'23'!F74</f>
        <v>882110</v>
      </c>
      <c r="F74" s="1038">
        <v>882148</v>
      </c>
      <c r="G74" s="946">
        <f t="shared" si="6"/>
        <v>38</v>
      </c>
      <c r="H74" s="947">
        <f>G74+'23'!H74</f>
        <v>833</v>
      </c>
      <c r="I74" s="966"/>
      <c r="J74" s="949">
        <f>H74/DAY(B2)</f>
        <v>34.708333333333336</v>
      </c>
      <c r="K74" s="1032"/>
      <c r="L74" s="924"/>
      <c r="O74" s="951"/>
    </row>
    <row r="75" spans="1:15">
      <c r="A75" s="1521" t="s">
        <v>205</v>
      </c>
      <c r="B75" s="1522"/>
      <c r="C75" s="1523"/>
      <c r="D75" s="944" t="s">
        <v>198</v>
      </c>
      <c r="E75" s="945">
        <f>'23'!F75</f>
        <v>735968</v>
      </c>
      <c r="F75" s="1038">
        <v>736153</v>
      </c>
      <c r="G75" s="946">
        <f t="shared" si="6"/>
        <v>185</v>
      </c>
      <c r="H75" s="947">
        <f>G75+'23'!H75</f>
        <v>4512</v>
      </c>
      <c r="I75" s="966"/>
      <c r="J75" s="949">
        <f>H75/DAY(B2)</f>
        <v>188</v>
      </c>
      <c r="K75" s="1031"/>
      <c r="L75" s="924"/>
      <c r="O75" s="951"/>
    </row>
    <row r="76" spans="1:15">
      <c r="A76" s="1521" t="s">
        <v>206</v>
      </c>
      <c r="B76" s="1522"/>
      <c r="C76" s="1523"/>
      <c r="D76" s="944" t="s">
        <v>198</v>
      </c>
      <c r="E76" s="945">
        <f>'23'!F76</f>
        <v>686389</v>
      </c>
      <c r="F76" s="1037">
        <v>686471</v>
      </c>
      <c r="G76" s="946">
        <f t="shared" si="6"/>
        <v>82</v>
      </c>
      <c r="H76" s="947">
        <f>G76+'23'!H76</f>
        <v>3372</v>
      </c>
      <c r="I76" s="1009"/>
      <c r="J76" s="949">
        <f>H76/DAY(B2)</f>
        <v>140.5</v>
      </c>
      <c r="K76" s="1031"/>
      <c r="L76" s="924"/>
      <c r="O76" s="951"/>
    </row>
    <row r="77" spans="1:15">
      <c r="A77" s="1507" t="s">
        <v>207</v>
      </c>
      <c r="B77" s="1508"/>
      <c r="C77" s="1509"/>
      <c r="D77" s="944" t="s">
        <v>198</v>
      </c>
      <c r="E77" s="945">
        <f>'23'!F77</f>
        <v>696679</v>
      </c>
      <c r="F77" s="1037">
        <v>696734</v>
      </c>
      <c r="G77" s="946">
        <f t="shared" si="6"/>
        <v>55</v>
      </c>
      <c r="H77" s="947">
        <f>G77+'23'!H77</f>
        <v>1340</v>
      </c>
      <c r="I77" s="1009"/>
      <c r="J77" s="949">
        <f>H77/DAY(B2)</f>
        <v>55.833333333333336</v>
      </c>
      <c r="K77" s="1031"/>
      <c r="L77" s="924"/>
      <c r="O77" s="951"/>
    </row>
    <row r="78" spans="1:15">
      <c r="A78" s="1039" t="s">
        <v>208</v>
      </c>
      <c r="B78" s="1248"/>
      <c r="C78" s="1248"/>
      <c r="D78" s="944" t="s">
        <v>198</v>
      </c>
      <c r="E78" s="945">
        <f>'23'!F78</f>
        <v>638961</v>
      </c>
      <c r="F78" s="1038">
        <v>639294</v>
      </c>
      <c r="G78" s="946">
        <f t="shared" si="6"/>
        <v>333</v>
      </c>
      <c r="H78" s="947">
        <f>G78+'23'!H78</f>
        <v>8521</v>
      </c>
      <c r="I78" s="1009"/>
      <c r="J78" s="949">
        <f>H78/DAY(B2)</f>
        <v>355.04166666666669</v>
      </c>
      <c r="K78" s="1031"/>
      <c r="L78" s="924"/>
      <c r="O78" s="951"/>
    </row>
    <row r="79" spans="1:15">
      <c r="A79" s="1521" t="s">
        <v>97</v>
      </c>
      <c r="B79" s="1522"/>
      <c r="C79" s="1523"/>
      <c r="D79" s="978" t="s">
        <v>198</v>
      </c>
      <c r="E79" s="945">
        <f>'23'!F79</f>
        <v>808187</v>
      </c>
      <c r="F79" s="1038">
        <v>808363</v>
      </c>
      <c r="G79" s="946">
        <f t="shared" si="6"/>
        <v>176</v>
      </c>
      <c r="H79" s="947">
        <f>G79+'23'!H79</f>
        <v>6592</v>
      </c>
      <c r="I79" s="1009"/>
      <c r="J79" s="949">
        <f>H79/DAY(B2)</f>
        <v>274.66666666666669</v>
      </c>
      <c r="K79" s="1031"/>
      <c r="L79" s="924"/>
      <c r="O79" s="951"/>
    </row>
    <row r="80" spans="1:15">
      <c r="A80" s="1521" t="s">
        <v>209</v>
      </c>
      <c r="B80" s="1522"/>
      <c r="C80" s="1523"/>
      <c r="D80" s="978" t="s">
        <v>198</v>
      </c>
      <c r="E80" s="945">
        <f>'23'!F80</f>
        <v>482640</v>
      </c>
      <c r="F80" s="1345">
        <v>482957</v>
      </c>
      <c r="G80" s="946">
        <f t="shared" si="6"/>
        <v>317</v>
      </c>
      <c r="H80" s="947">
        <f>G80+'23'!H80</f>
        <v>5745.1599999999744</v>
      </c>
      <c r="I80" s="1009"/>
      <c r="J80" s="949">
        <f>H80/DAY(B2)</f>
        <v>239.38166666666561</v>
      </c>
      <c r="K80" s="1031"/>
      <c r="L80" s="924"/>
      <c r="O80" s="951"/>
    </row>
    <row r="81" spans="1:15">
      <c r="A81" s="1521" t="s">
        <v>210</v>
      </c>
      <c r="B81" s="1522"/>
      <c r="C81" s="1523"/>
      <c r="D81" s="978" t="s">
        <v>198</v>
      </c>
      <c r="E81" s="945">
        <f>'23'!F81</f>
        <v>621883</v>
      </c>
      <c r="F81" s="1037">
        <v>621979</v>
      </c>
      <c r="G81" s="946">
        <f t="shared" si="6"/>
        <v>96</v>
      </c>
      <c r="H81" s="947">
        <f>G81+'23'!H81</f>
        <v>2725</v>
      </c>
      <c r="I81" s="1009"/>
      <c r="J81" s="949">
        <f>H81/DAY(B2)</f>
        <v>113.54166666666667</v>
      </c>
      <c r="K81" s="1031"/>
      <c r="L81" s="924"/>
      <c r="O81" s="951"/>
    </row>
    <row r="82" spans="1:15">
      <c r="A82" s="1521" t="s">
        <v>100</v>
      </c>
      <c r="B82" s="1522"/>
      <c r="C82" s="1523"/>
      <c r="D82" s="979" t="s">
        <v>143</v>
      </c>
      <c r="E82" s="945">
        <f>'23'!F82</f>
        <v>105074</v>
      </c>
      <c r="F82" s="1040">
        <v>105111</v>
      </c>
      <c r="G82" s="946">
        <f t="shared" si="6"/>
        <v>37</v>
      </c>
      <c r="H82" s="947">
        <f>G82+'23'!H82</f>
        <v>673</v>
      </c>
      <c r="I82" s="980"/>
      <c r="J82" s="949">
        <f>H82/DAY(B2)</f>
        <v>28.041666666666668</v>
      </c>
      <c r="K82" s="1031"/>
      <c r="L82" s="924"/>
      <c r="O82" s="951"/>
    </row>
    <row r="83" spans="1:15">
      <c r="A83" s="1521" t="s">
        <v>211</v>
      </c>
      <c r="B83" s="1522"/>
      <c r="C83" s="1523"/>
      <c r="D83" s="1041" t="s">
        <v>143</v>
      </c>
      <c r="E83" s="945">
        <f>'23'!F83</f>
        <v>981368</v>
      </c>
      <c r="F83" s="931">
        <v>981601</v>
      </c>
      <c r="G83" s="946">
        <f>F83-E83</f>
        <v>233</v>
      </c>
      <c r="H83" s="947">
        <f>G83+'23'!H83</f>
        <v>8130</v>
      </c>
      <c r="I83" s="969"/>
      <c r="J83" s="949">
        <f>H83/DAY(B2)</f>
        <v>338.75</v>
      </c>
      <c r="K83" s="972"/>
      <c r="L83" s="924"/>
      <c r="O83" s="951"/>
    </row>
    <row r="84" spans="1:15">
      <c r="A84" s="1042" t="s">
        <v>212</v>
      </c>
      <c r="B84" s="1043"/>
      <c r="C84" s="1043"/>
      <c r="D84" s="963" t="s">
        <v>143</v>
      </c>
      <c r="E84" s="945">
        <f>'23'!F84</f>
        <v>411869</v>
      </c>
      <c r="F84" s="1044">
        <v>412393</v>
      </c>
      <c r="G84" s="946">
        <f t="shared" si="6"/>
        <v>524</v>
      </c>
      <c r="H84" s="947">
        <f>G84+'23'!H84</f>
        <v>15197</v>
      </c>
      <c r="I84" s="969"/>
      <c r="J84" s="949">
        <f>H84/DAY(B2)</f>
        <v>633.20833333333337</v>
      </c>
      <c r="K84" s="1045"/>
      <c r="L84" s="924"/>
      <c r="O84" s="951"/>
    </row>
    <row r="85" spans="1:15" s="1049" customFormat="1">
      <c r="A85" s="1046" t="s">
        <v>213</v>
      </c>
      <c r="B85" s="1047"/>
      <c r="C85" s="1047"/>
      <c r="D85" s="984"/>
      <c r="E85" s="945">
        <f>'23'!F85</f>
        <v>0</v>
      </c>
      <c r="F85" s="944"/>
      <c r="G85" s="947">
        <f xml:space="preserve"> SUM(G72:G84)</f>
        <v>2128</v>
      </c>
      <c r="H85" s="947">
        <f>G85+'23'!H85</f>
        <v>55806</v>
      </c>
      <c r="I85" s="969"/>
      <c r="J85" s="949">
        <f>H85/DAY(B2)</f>
        <v>2325.25</v>
      </c>
      <c r="K85" s="1045"/>
      <c r="L85" s="1048"/>
      <c r="N85" s="1116"/>
      <c r="O85" s="951"/>
    </row>
    <row r="86" spans="1:15" s="1059" customFormat="1">
      <c r="A86" s="1050" t="s">
        <v>102</v>
      </c>
      <c r="B86" s="1051"/>
      <c r="C86" s="1051"/>
      <c r="D86" s="1052" t="s">
        <v>194</v>
      </c>
      <c r="E86" s="945">
        <f>'23'!F86</f>
        <v>446419</v>
      </c>
      <c r="F86" s="1053">
        <v>446461</v>
      </c>
      <c r="G86" s="1054">
        <f t="shared" si="6"/>
        <v>42</v>
      </c>
      <c r="H86" s="1054">
        <f t="shared" ref="H86:H88" si="7">G86</f>
        <v>42</v>
      </c>
      <c r="I86" s="1055"/>
      <c r="J86" s="1056">
        <f>H86/DAY(B2)</f>
        <v>1.75</v>
      </c>
      <c r="K86" s="1057"/>
      <c r="L86" s="1058"/>
      <c r="N86" s="1117"/>
      <c r="O86" s="951"/>
    </row>
    <row r="87" spans="1:15" s="1059" customFormat="1">
      <c r="A87" s="1050" t="s">
        <v>103</v>
      </c>
      <c r="B87" s="1051"/>
      <c r="C87" s="1051"/>
      <c r="D87" s="1052" t="s">
        <v>194</v>
      </c>
      <c r="E87" s="945">
        <f>'23'!F87</f>
        <v>78272.3</v>
      </c>
      <c r="F87" s="1053">
        <v>78279</v>
      </c>
      <c r="G87" s="1054">
        <f t="shared" si="6"/>
        <v>6.6999999999970896</v>
      </c>
      <c r="H87" s="1054">
        <f t="shared" si="7"/>
        <v>6.6999999999970896</v>
      </c>
      <c r="I87" s="1055"/>
      <c r="J87" s="1056">
        <f>H87/DAY(B2)</f>
        <v>0.27916666666654538</v>
      </c>
      <c r="K87" s="1057"/>
      <c r="L87" s="1058"/>
      <c r="N87" s="1117"/>
      <c r="O87" s="951"/>
    </row>
    <row r="88" spans="1:15" s="1059" customFormat="1">
      <c r="A88" s="1050" t="s">
        <v>104</v>
      </c>
      <c r="B88" s="1051"/>
      <c r="C88" s="1051"/>
      <c r="D88" s="1052" t="s">
        <v>194</v>
      </c>
      <c r="E88" s="945">
        <f>'23'!F88</f>
        <v>145988.60999999999</v>
      </c>
      <c r="F88" s="1053">
        <v>146024</v>
      </c>
      <c r="G88" s="1054">
        <f t="shared" si="6"/>
        <v>35.39000000001397</v>
      </c>
      <c r="H88" s="1054">
        <f t="shared" si="7"/>
        <v>35.39000000001397</v>
      </c>
      <c r="I88" s="1055"/>
      <c r="J88" s="1056">
        <f>H88/DAY(B2)</f>
        <v>1.4745833333339153</v>
      </c>
      <c r="K88" s="1057"/>
      <c r="L88" s="1058"/>
      <c r="N88" s="1117"/>
      <c r="O88" s="951"/>
    </row>
    <row r="89" spans="1:15" s="1059" customFormat="1">
      <c r="A89" s="1050" t="s">
        <v>215</v>
      </c>
      <c r="B89" s="1051"/>
      <c r="C89" s="1051"/>
      <c r="D89" s="1052" t="s">
        <v>194</v>
      </c>
      <c r="E89" s="945">
        <f>'23'!F89</f>
        <v>59252</v>
      </c>
      <c r="F89" s="1053">
        <v>59304</v>
      </c>
      <c r="G89" s="1054">
        <f t="shared" si="6"/>
        <v>52</v>
      </c>
      <c r="H89" s="1054">
        <f>G89</f>
        <v>52</v>
      </c>
      <c r="I89" s="1055"/>
      <c r="J89" s="1056">
        <f>H89/DAY(B2)</f>
        <v>2.1666666666666665</v>
      </c>
      <c r="K89" s="1057"/>
      <c r="L89" s="1058"/>
      <c r="N89" s="1118"/>
      <c r="O89" s="951"/>
    </row>
    <row r="90" spans="1:15" s="1059" customFormat="1">
      <c r="A90" s="1050" t="s">
        <v>215</v>
      </c>
      <c r="B90" s="1051"/>
      <c r="C90" s="1051"/>
      <c r="D90" s="1052" t="s">
        <v>194</v>
      </c>
      <c r="E90" s="945">
        <f>'23'!F90</f>
        <v>3045</v>
      </c>
      <c r="F90" s="1053">
        <v>3047</v>
      </c>
      <c r="G90" s="1054">
        <f t="shared" si="6"/>
        <v>2</v>
      </c>
      <c r="H90" s="1054">
        <f>G90</f>
        <v>2</v>
      </c>
      <c r="I90" s="1055"/>
      <c r="J90" s="1056">
        <f>H90/DAY(B2)</f>
        <v>8.3333333333333329E-2</v>
      </c>
      <c r="K90" s="1057"/>
      <c r="L90" s="1058"/>
      <c r="N90" s="1118"/>
      <c r="O90" s="951"/>
    </row>
    <row r="91" spans="1:15" s="1049" customFormat="1">
      <c r="A91" s="1060" t="s">
        <v>216</v>
      </c>
      <c r="B91" s="939"/>
      <c r="C91" s="939"/>
      <c r="D91" s="939"/>
      <c r="E91" s="939"/>
      <c r="F91" s="939"/>
      <c r="G91" s="983"/>
      <c r="H91" s="939"/>
      <c r="I91" s="939"/>
      <c r="J91" s="940"/>
      <c r="K91" s="1045"/>
      <c r="L91" s="1048"/>
      <c r="N91" s="1116"/>
      <c r="O91" s="951"/>
    </row>
    <row r="92" spans="1:15">
      <c r="A92" s="1501" t="s">
        <v>217</v>
      </c>
      <c r="B92" s="1502"/>
      <c r="C92" s="1503"/>
      <c r="D92" s="944" t="s">
        <v>155</v>
      </c>
      <c r="E92" s="945">
        <f>'23'!F92</f>
        <v>235882</v>
      </c>
      <c r="F92" s="975">
        <v>235985</v>
      </c>
      <c r="G92" s="946">
        <f t="shared" ref="G92:G93" si="8">F92-E92</f>
        <v>103</v>
      </c>
      <c r="H92" s="947">
        <f>G92+'23'!H92</f>
        <v>2083</v>
      </c>
      <c r="I92" s="966"/>
      <c r="J92" s="949">
        <f>H92/DAY(B2)</f>
        <v>86.791666666666671</v>
      </c>
      <c r="K92" s="972"/>
      <c r="L92" s="924"/>
      <c r="O92" s="951"/>
    </row>
    <row r="93" spans="1:15">
      <c r="A93" s="1501" t="s">
        <v>218</v>
      </c>
      <c r="B93" s="1502"/>
      <c r="C93" s="1503"/>
      <c r="D93" s="944" t="s">
        <v>155</v>
      </c>
      <c r="E93" s="945">
        <f>'23'!F93</f>
        <v>170053</v>
      </c>
      <c r="F93" s="975">
        <v>170202</v>
      </c>
      <c r="G93" s="946">
        <f t="shared" si="8"/>
        <v>149</v>
      </c>
      <c r="H93" s="947">
        <f>G93+'23'!H93</f>
        <v>3286</v>
      </c>
      <c r="I93" s="966"/>
      <c r="J93" s="949">
        <f>H93/DAY(B2)</f>
        <v>136.91666666666666</v>
      </c>
      <c r="K93" s="1045"/>
      <c r="L93" s="924"/>
      <c r="O93" s="951"/>
    </row>
    <row r="94" spans="1:15">
      <c r="A94" s="1510" t="s">
        <v>219</v>
      </c>
      <c r="B94" s="1511"/>
      <c r="C94" s="1512"/>
      <c r="D94" s="944"/>
      <c r="E94" s="945">
        <f>'23'!F94</f>
        <v>0</v>
      </c>
      <c r="F94" s="975"/>
      <c r="G94" s="946">
        <f>G92+G93</f>
        <v>252</v>
      </c>
      <c r="H94" s="947">
        <f>G94+'23'!H94</f>
        <v>5095</v>
      </c>
      <c r="I94" s="966"/>
      <c r="J94" s="949">
        <f>H94/DAY(B2)</f>
        <v>212.29166666666666</v>
      </c>
      <c r="K94" s="1045"/>
      <c r="L94" s="924"/>
      <c r="O94" s="951"/>
    </row>
    <row r="95" spans="1:15">
      <c r="A95" s="1501" t="s">
        <v>220</v>
      </c>
      <c r="B95" s="1502"/>
      <c r="C95" s="1503"/>
      <c r="D95" s="944" t="s">
        <v>155</v>
      </c>
      <c r="E95" s="945">
        <f>'23'!F95</f>
        <v>405360</v>
      </c>
      <c r="F95" s="975">
        <v>405431</v>
      </c>
      <c r="G95" s="946">
        <f t="shared" ref="G95:G100" si="9">F95-E95</f>
        <v>71</v>
      </c>
      <c r="H95" s="947">
        <f>G95+'23'!H95</f>
        <v>1766</v>
      </c>
      <c r="I95" s="966"/>
      <c r="J95" s="949">
        <f>H95/DAY(B2)</f>
        <v>73.583333333333329</v>
      </c>
      <c r="K95" s="1045"/>
      <c r="L95" s="924"/>
      <c r="O95" s="951"/>
    </row>
    <row r="96" spans="1:15">
      <c r="A96" s="973" t="s">
        <v>221</v>
      </c>
      <c r="B96" s="974"/>
      <c r="C96" s="974"/>
      <c r="D96" s="944" t="s">
        <v>155</v>
      </c>
      <c r="E96" s="945">
        <f>'23'!F96</f>
        <v>100331</v>
      </c>
      <c r="F96" s="975">
        <v>100356</v>
      </c>
      <c r="G96" s="946">
        <f t="shared" si="9"/>
        <v>25</v>
      </c>
      <c r="H96" s="947">
        <f>G96+'23'!H96</f>
        <v>435</v>
      </c>
      <c r="I96" s="966"/>
      <c r="J96" s="949">
        <f>H96/DAY(B2)</f>
        <v>18.125</v>
      </c>
      <c r="K96" s="941"/>
      <c r="L96" s="924"/>
      <c r="O96" s="951"/>
    </row>
    <row r="97" spans="1:15">
      <c r="A97" s="973" t="s">
        <v>222</v>
      </c>
      <c r="B97" s="974"/>
      <c r="C97" s="974"/>
      <c r="D97" s="944" t="s">
        <v>155</v>
      </c>
      <c r="E97" s="945">
        <f>'23'!F97</f>
        <v>95499</v>
      </c>
      <c r="F97" s="975">
        <v>95532</v>
      </c>
      <c r="G97" s="946">
        <f t="shared" si="9"/>
        <v>33</v>
      </c>
      <c r="H97" s="947">
        <f>G97+'23'!H97</f>
        <v>505</v>
      </c>
      <c r="I97" s="966"/>
      <c r="J97" s="949">
        <f>H97/DAY(B2)</f>
        <v>21.041666666666668</v>
      </c>
      <c r="K97" s="1061"/>
      <c r="L97" s="924"/>
      <c r="O97" s="951"/>
    </row>
    <row r="98" spans="1:15">
      <c r="A98" s="973" t="s">
        <v>223</v>
      </c>
      <c r="B98" s="974"/>
      <c r="C98" s="974"/>
      <c r="D98" s="944" t="s">
        <v>155</v>
      </c>
      <c r="E98" s="945">
        <f>'23'!F98</f>
        <v>145077</v>
      </c>
      <c r="F98" s="975">
        <v>145122</v>
      </c>
      <c r="G98" s="946">
        <f t="shared" si="9"/>
        <v>45</v>
      </c>
      <c r="H98" s="947">
        <f>G98+'23'!H98</f>
        <v>1315</v>
      </c>
      <c r="I98" s="966"/>
      <c r="J98" s="949">
        <f>H98/DAY(B2)</f>
        <v>54.791666666666664</v>
      </c>
      <c r="K98" s="1045"/>
      <c r="L98" s="924"/>
      <c r="O98" s="951"/>
    </row>
    <row r="99" spans="1:15">
      <c r="A99" s="973" t="s">
        <v>224</v>
      </c>
      <c r="B99" s="974"/>
      <c r="C99" s="974"/>
      <c r="D99" s="944" t="s">
        <v>155</v>
      </c>
      <c r="E99" s="945">
        <f>'23'!F99</f>
        <v>5814</v>
      </c>
      <c r="F99" s="975">
        <v>5826</v>
      </c>
      <c r="G99" s="946">
        <f t="shared" si="9"/>
        <v>12</v>
      </c>
      <c r="H99" s="947">
        <f>G99+'23'!H99</f>
        <v>324</v>
      </c>
      <c r="I99" s="966"/>
      <c r="J99" s="949">
        <f>H99/DAY(B2)</f>
        <v>13.5</v>
      </c>
      <c r="K99" s="1045"/>
      <c r="L99" s="924"/>
      <c r="O99" s="951"/>
    </row>
    <row r="100" spans="1:15">
      <c r="A100" s="973" t="s">
        <v>225</v>
      </c>
      <c r="B100" s="974"/>
      <c r="C100" s="974"/>
      <c r="D100" s="944" t="s">
        <v>155</v>
      </c>
      <c r="E100" s="945">
        <f>'23'!F100</f>
        <v>4178</v>
      </c>
      <c r="F100" s="975">
        <v>4187</v>
      </c>
      <c r="G100" s="946">
        <f t="shared" si="9"/>
        <v>9</v>
      </c>
      <c r="H100" s="947">
        <f>G100+'23'!H100</f>
        <v>223</v>
      </c>
      <c r="I100" s="966"/>
      <c r="J100" s="949">
        <f>H100/DAY(B2)</f>
        <v>9.2916666666666661</v>
      </c>
      <c r="K100" s="1045"/>
      <c r="L100" s="924"/>
      <c r="O100" s="951"/>
    </row>
    <row r="101" spans="1:15">
      <c r="A101" s="1510" t="s">
        <v>227</v>
      </c>
      <c r="B101" s="1511"/>
      <c r="C101" s="1512"/>
      <c r="D101" s="978"/>
      <c r="E101" s="978"/>
      <c r="F101" s="978"/>
      <c r="G101" s="1062">
        <f>SUM(G95:G100)</f>
        <v>195</v>
      </c>
      <c r="H101" s="947">
        <f>G101+'23'!H101</f>
        <v>4568</v>
      </c>
      <c r="I101" s="1063"/>
      <c r="J101" s="949">
        <f>H101/DAY(B2)</f>
        <v>190.33333333333334</v>
      </c>
      <c r="K101" s="1045"/>
      <c r="L101" s="924"/>
      <c r="O101" s="951"/>
    </row>
    <row r="102" spans="1:15" s="996" customFormat="1">
      <c r="A102" s="1064" t="s">
        <v>228</v>
      </c>
      <c r="B102" s="1065"/>
      <c r="C102" s="1065"/>
      <c r="D102" s="1066"/>
      <c r="E102" s="1067"/>
      <c r="F102" s="1068"/>
      <c r="G102" s="1069"/>
      <c r="H102" s="1070"/>
      <c r="I102" s="1071"/>
      <c r="J102" s="1072"/>
      <c r="N102" s="1114"/>
      <c r="O102" s="951"/>
    </row>
    <row r="103" spans="1:15" s="996" customFormat="1">
      <c r="A103" s="1518" t="s">
        <v>229</v>
      </c>
      <c r="B103" s="1519"/>
      <c r="C103" s="1073"/>
      <c r="D103" s="1074"/>
      <c r="E103" s="1075"/>
      <c r="F103" s="1075"/>
      <c r="G103" s="1075"/>
      <c r="H103" s="1076"/>
      <c r="I103" s="1075"/>
      <c r="J103" s="1077"/>
      <c r="N103" s="1114"/>
      <c r="O103" s="951"/>
    </row>
    <row r="104" spans="1:15" s="996" customFormat="1">
      <c r="A104" s="1491" t="s">
        <v>230</v>
      </c>
      <c r="B104" s="1492"/>
      <c r="C104" s="1078"/>
      <c r="D104" s="1074" t="s">
        <v>155</v>
      </c>
      <c r="E104" s="1075">
        <f>'23'!F104</f>
        <v>7010</v>
      </c>
      <c r="F104" s="1075">
        <v>7010</v>
      </c>
      <c r="G104" s="1075">
        <f>F104-E104</f>
        <v>0</v>
      </c>
      <c r="H104" s="1076">
        <f>SUM(G104+'1'!G76)</f>
        <v>98</v>
      </c>
      <c r="I104" s="1075"/>
      <c r="J104" s="1077">
        <f>H104/DAY(B2)</f>
        <v>4.083333333333333</v>
      </c>
      <c r="N104" s="1114"/>
      <c r="O104" s="951"/>
    </row>
    <row r="105" spans="1:15" s="996" customFormat="1">
      <c r="A105" s="1491" t="s">
        <v>77</v>
      </c>
      <c r="B105" s="1492"/>
      <c r="C105" s="1078"/>
      <c r="D105" s="1074" t="s">
        <v>155</v>
      </c>
      <c r="E105" s="1075">
        <f>'23'!F105</f>
        <v>35097</v>
      </c>
      <c r="F105" s="1079">
        <v>35103</v>
      </c>
      <c r="G105" s="1075">
        <f t="shared" ref="G105:G106" si="10">F105-E105</f>
        <v>6</v>
      </c>
      <c r="H105" s="1076">
        <f>SUM(G105+'1'!G77)</f>
        <v>67</v>
      </c>
      <c r="I105" s="1075"/>
      <c r="J105" s="1077">
        <f>H105/DAY(B2)</f>
        <v>2.7916666666666665</v>
      </c>
      <c r="N105" s="1114"/>
      <c r="O105" s="951"/>
    </row>
    <row r="106" spans="1:15" s="996" customFormat="1">
      <c r="A106" s="1491" t="s">
        <v>78</v>
      </c>
      <c r="B106" s="1520"/>
      <c r="C106" s="1492"/>
      <c r="D106" s="1074" t="s">
        <v>155</v>
      </c>
      <c r="E106" s="1075">
        <f>'23'!F106</f>
        <v>19044</v>
      </c>
      <c r="F106" s="1075">
        <v>19049</v>
      </c>
      <c r="G106" s="1075">
        <f t="shared" si="10"/>
        <v>5</v>
      </c>
      <c r="H106" s="1076">
        <f>SUM(G106+'1'!G78)</f>
        <v>374</v>
      </c>
      <c r="I106" s="1075"/>
      <c r="J106" s="1077">
        <f>H106/DAY(B2)</f>
        <v>15.583333333333334</v>
      </c>
      <c r="N106" s="1114"/>
      <c r="O106" s="951"/>
    </row>
    <row r="107" spans="1:15" s="996" customFormat="1">
      <c r="A107" s="1493" t="s">
        <v>213</v>
      </c>
      <c r="B107" s="1494"/>
      <c r="C107" s="1078"/>
      <c r="D107" s="1074"/>
      <c r="E107" s="1075"/>
      <c r="F107" s="1075"/>
      <c r="G107" s="1075">
        <f>SUM(G104:G106)</f>
        <v>11</v>
      </c>
      <c r="H107" s="1076">
        <f>SUM(G107+'1'!G79)</f>
        <v>198</v>
      </c>
      <c r="I107" s="1075"/>
      <c r="J107" s="1077">
        <f>H107/DAY(B2)</f>
        <v>8.25</v>
      </c>
      <c r="N107" s="1114"/>
      <c r="O107" s="951"/>
    </row>
    <row r="108" spans="1:15" s="996" customFormat="1">
      <c r="A108" s="1499" t="s">
        <v>79</v>
      </c>
      <c r="B108" s="1500"/>
      <c r="C108" s="1078"/>
      <c r="D108" s="1074" t="s">
        <v>155</v>
      </c>
      <c r="E108" s="1075">
        <f>'23'!F108</f>
        <v>0</v>
      </c>
      <c r="F108" s="1075"/>
      <c r="G108" s="1075"/>
      <c r="H108" s="1076"/>
      <c r="I108" s="1075"/>
      <c r="J108" s="1077"/>
      <c r="N108" s="1114"/>
      <c r="O108" s="951"/>
    </row>
    <row r="109" spans="1:15" s="996" customFormat="1">
      <c r="A109" s="1491" t="s">
        <v>231</v>
      </c>
      <c r="B109" s="1492"/>
      <c r="C109" s="1078"/>
      <c r="D109" s="1074" t="s">
        <v>155</v>
      </c>
      <c r="E109" s="1075">
        <f>'23'!F109</f>
        <v>54253</v>
      </c>
      <c r="F109" s="1075">
        <v>54314</v>
      </c>
      <c r="G109" s="1075">
        <f>F109-E109</f>
        <v>61</v>
      </c>
      <c r="H109" s="1076">
        <f>SUM(G109+'1'!G81)</f>
        <v>190</v>
      </c>
      <c r="I109" s="1075"/>
      <c r="J109" s="1077">
        <f>H109/DAY(B2)</f>
        <v>7.916666666666667</v>
      </c>
      <c r="N109" s="1114"/>
      <c r="O109" s="951"/>
    </row>
    <row r="110" spans="1:15" s="996" customFormat="1">
      <c r="A110" s="1491" t="s">
        <v>232</v>
      </c>
      <c r="B110" s="1492"/>
      <c r="C110" s="1078"/>
      <c r="D110" s="1074" t="s">
        <v>155</v>
      </c>
      <c r="E110" s="1075">
        <f>'23'!F110</f>
        <v>28086</v>
      </c>
      <c r="F110" s="1075">
        <v>28121</v>
      </c>
      <c r="G110" s="1075">
        <f t="shared" ref="G110:G111" si="11">F110-E110</f>
        <v>35</v>
      </c>
      <c r="H110" s="1076">
        <f>SUM(G110+'1'!G82)</f>
        <v>58</v>
      </c>
      <c r="I110" s="1075"/>
      <c r="J110" s="1077">
        <f>H110/DAY(B2)</f>
        <v>2.4166666666666665</v>
      </c>
      <c r="N110" s="1114"/>
      <c r="O110" s="951"/>
    </row>
    <row r="111" spans="1:15" s="996" customFormat="1">
      <c r="A111" s="1491" t="s">
        <v>233</v>
      </c>
      <c r="B111" s="1492"/>
      <c r="C111" s="1078"/>
      <c r="D111" s="1074" t="s">
        <v>155</v>
      </c>
      <c r="E111" s="1075">
        <f>'23'!F111</f>
        <v>3707</v>
      </c>
      <c r="F111" s="1075">
        <v>3707</v>
      </c>
      <c r="G111" s="1075">
        <f t="shared" si="11"/>
        <v>0</v>
      </c>
      <c r="H111" s="1076">
        <f>SUM(G111+'1'!G83)</f>
        <v>333</v>
      </c>
      <c r="I111" s="1075"/>
      <c r="J111" s="1077">
        <f>H111/DAY(B2)</f>
        <v>13.875</v>
      </c>
      <c r="N111" s="1114"/>
      <c r="O111" s="951"/>
    </row>
    <row r="112" spans="1:15" s="996" customFormat="1">
      <c r="A112" s="1497" t="s">
        <v>121</v>
      </c>
      <c r="B112" s="1498"/>
      <c r="C112" s="1078"/>
      <c r="D112" s="1074"/>
      <c r="E112" s="1075">
        <f>'23'!F112</f>
        <v>0</v>
      </c>
      <c r="F112" s="1075"/>
      <c r="G112" s="1075">
        <f>SUM(G109:G111)</f>
        <v>96</v>
      </c>
      <c r="H112" s="1076">
        <f>SUM(G112+'1'!G84)</f>
        <v>542</v>
      </c>
      <c r="I112" s="1075"/>
      <c r="J112" s="1077">
        <f>H112/DAY(B2)</f>
        <v>22.583333333333332</v>
      </c>
      <c r="N112" s="1114"/>
      <c r="O112" s="951"/>
    </row>
    <row r="113" spans="1:15" s="996" customFormat="1">
      <c r="A113" s="1499" t="s">
        <v>234</v>
      </c>
      <c r="B113" s="1500"/>
      <c r="C113" s="1078"/>
      <c r="D113" s="1074"/>
      <c r="E113" s="1075"/>
      <c r="F113" s="1075"/>
      <c r="G113" s="1075"/>
      <c r="H113" s="1076"/>
      <c r="I113" s="1075"/>
      <c r="J113" s="1077">
        <f>H113/DAY(B2)</f>
        <v>0</v>
      </c>
      <c r="N113" s="1114"/>
      <c r="O113" s="951"/>
    </row>
    <row r="114" spans="1:15" s="996" customFormat="1">
      <c r="A114" s="1491" t="s">
        <v>235</v>
      </c>
      <c r="B114" s="1492"/>
      <c r="C114" s="1080"/>
      <c r="D114" s="1074" t="s">
        <v>155</v>
      </c>
      <c r="E114" s="1075">
        <f>'23'!F114</f>
        <v>9614</v>
      </c>
      <c r="F114" s="1079">
        <v>9629</v>
      </c>
      <c r="G114" s="1079">
        <f>F114-E114</f>
        <v>15</v>
      </c>
      <c r="H114" s="1076">
        <f>SUM(G114+'1'!G91)</f>
        <v>15</v>
      </c>
      <c r="I114" s="1075"/>
      <c r="J114" s="1077">
        <f>H114/DAY(B2)</f>
        <v>0.625</v>
      </c>
      <c r="N114" s="1114"/>
      <c r="O114" s="951"/>
    </row>
    <row r="115" spans="1:15" s="996" customFormat="1">
      <c r="A115" s="1491" t="s">
        <v>236</v>
      </c>
      <c r="B115" s="1492"/>
      <c r="C115" s="1080"/>
      <c r="D115" s="1074" t="s">
        <v>155</v>
      </c>
      <c r="E115" s="1075">
        <f>'23'!F115</f>
        <v>7374</v>
      </c>
      <c r="F115" s="1079">
        <v>7382</v>
      </c>
      <c r="G115" s="1079">
        <f t="shared" ref="G115:G116" si="12">F115-E115</f>
        <v>8</v>
      </c>
      <c r="H115" s="1076">
        <f>SUM(G115+'1'!G92)</f>
        <v>141</v>
      </c>
      <c r="I115" s="1075"/>
      <c r="J115" s="1077">
        <f>H115/DAY(B2)</f>
        <v>5.875</v>
      </c>
      <c r="N115" s="1114"/>
      <c r="O115" s="951"/>
    </row>
    <row r="116" spans="1:15" s="996" customFormat="1">
      <c r="A116" s="1491" t="s">
        <v>237</v>
      </c>
      <c r="B116" s="1492"/>
      <c r="C116" s="1080"/>
      <c r="D116" s="1074" t="s">
        <v>155</v>
      </c>
      <c r="E116" s="1079"/>
      <c r="F116" s="1079"/>
      <c r="G116" s="1079">
        <f t="shared" si="12"/>
        <v>0</v>
      </c>
      <c r="H116" s="1076">
        <f>SUM(G116+'1'!G93)</f>
        <v>141</v>
      </c>
      <c r="I116" s="1075"/>
      <c r="J116" s="1077">
        <f>H116/DAY(B2)</f>
        <v>5.875</v>
      </c>
      <c r="N116" s="1114"/>
      <c r="O116" s="951"/>
    </row>
    <row r="117" spans="1:15" s="1082" customFormat="1">
      <c r="A117" s="1493" t="s">
        <v>213</v>
      </c>
      <c r="B117" s="1494"/>
      <c r="C117" s="1080"/>
      <c r="D117" s="1081"/>
      <c r="E117" s="1079"/>
      <c r="F117" s="1079"/>
      <c r="G117" s="1079">
        <f>SUM(G114:G116)</f>
        <v>23</v>
      </c>
      <c r="H117" s="1076">
        <f>SUM(G117+'1'!G95)</f>
        <v>83</v>
      </c>
      <c r="I117" s="1079"/>
      <c r="J117" s="1077">
        <f>H117/DAY(B2)</f>
        <v>3.4583333333333335</v>
      </c>
      <c r="N117" s="1119"/>
      <c r="O117" s="951"/>
    </row>
    <row r="118" spans="1:15" s="869" customFormat="1">
      <c r="A118" s="1495" t="s">
        <v>238</v>
      </c>
      <c r="B118" s="1496"/>
      <c r="C118" s="1083"/>
      <c r="D118" s="1084" t="s">
        <v>155</v>
      </c>
      <c r="E118" s="1085"/>
      <c r="F118" s="1086">
        <f>SUM(G19+G92)</f>
        <v>153</v>
      </c>
      <c r="G118" s="1086">
        <f>SUM(G19+G92)</f>
        <v>153</v>
      </c>
      <c r="H118" s="1076">
        <f>SUM(G118+'1'!G96)</f>
        <v>186</v>
      </c>
      <c r="I118" s="1085"/>
      <c r="J118" s="1087">
        <f>H118/DAY(B2)</f>
        <v>7.75</v>
      </c>
      <c r="N118" s="1120"/>
      <c r="O118" s="951"/>
    </row>
    <row r="119" spans="1:15" s="869" customFormat="1">
      <c r="A119" s="1495" t="s">
        <v>239</v>
      </c>
      <c r="B119" s="1496"/>
      <c r="C119" s="1083"/>
      <c r="D119" s="1084" t="s">
        <v>155</v>
      </c>
      <c r="E119" s="1085"/>
      <c r="F119" s="1086">
        <f>SUM(G95,G96,G97,G99,G100)</f>
        <v>150</v>
      </c>
      <c r="G119" s="1086">
        <f>SUM(G95,G96,G97,G99,G100)</f>
        <v>150</v>
      </c>
      <c r="H119" s="1076">
        <f>SUM(G119+'1'!G98)</f>
        <v>200</v>
      </c>
      <c r="I119" s="1085"/>
      <c r="J119" s="1087">
        <f>H119/DAY(B2)</f>
        <v>8.3333333333333339</v>
      </c>
      <c r="N119" s="1120"/>
      <c r="O119" s="951"/>
    </row>
    <row r="120" spans="1:15" s="869" customFormat="1">
      <c r="A120" s="1495" t="s">
        <v>240</v>
      </c>
      <c r="B120" s="1496"/>
      <c r="C120" s="1083"/>
      <c r="D120" s="1084" t="s">
        <v>155</v>
      </c>
      <c r="E120" s="1085"/>
      <c r="F120" s="1079">
        <f>SUM(G112)</f>
        <v>96</v>
      </c>
      <c r="G120" s="1079">
        <f>SUM(G112)</f>
        <v>96</v>
      </c>
      <c r="H120" s="1076">
        <f>SUM(G120+'1'!G100)</f>
        <v>113</v>
      </c>
      <c r="I120" s="1085"/>
      <c r="J120" s="1087">
        <f>H120/DAY(B2)</f>
        <v>4.708333333333333</v>
      </c>
      <c r="N120" s="1120"/>
      <c r="O120" s="951"/>
    </row>
    <row r="121" spans="1:15" s="996" customFormat="1">
      <c r="A121" s="1489"/>
      <c r="B121" s="1490"/>
      <c r="C121" s="1078"/>
      <c r="D121" s="1073"/>
      <c r="E121" s="1073"/>
      <c r="F121" s="1073" t="s">
        <v>226</v>
      </c>
      <c r="G121" s="1073"/>
      <c r="H121" s="1088"/>
      <c r="I121" s="1073"/>
      <c r="J121" s="1089"/>
      <c r="N121" s="1114"/>
      <c r="O121" s="951"/>
    </row>
    <row r="122" spans="1:15">
      <c r="A122" s="1513" t="s">
        <v>241</v>
      </c>
      <c r="B122" s="1514"/>
      <c r="C122" s="1515"/>
      <c r="D122" s="939"/>
      <c r="E122" s="939"/>
      <c r="F122" s="939"/>
      <c r="G122" s="971"/>
      <c r="H122" s="971"/>
      <c r="I122" s="971"/>
      <c r="J122" s="1090"/>
      <c r="K122" s="1045"/>
      <c r="L122" s="924"/>
      <c r="O122" s="951"/>
    </row>
    <row r="123" spans="1:15">
      <c r="A123" s="973" t="s">
        <v>242</v>
      </c>
      <c r="B123" s="974"/>
      <c r="C123" s="974"/>
      <c r="D123" s="944" t="s">
        <v>152</v>
      </c>
      <c r="E123" s="945">
        <f>'23'!F123</f>
        <v>801217.94</v>
      </c>
      <c r="F123" s="963">
        <v>801487</v>
      </c>
      <c r="G123" s="946">
        <f t="shared" ref="G123:G127" si="13">F123-E123</f>
        <v>269.06000000005588</v>
      </c>
      <c r="H123" s="947">
        <f>G123+'23'!H123</f>
        <v>6062.9499999999534</v>
      </c>
      <c r="I123" s="1063"/>
      <c r="J123" s="949">
        <f>H123/DAY(B2)</f>
        <v>252.62291666666474</v>
      </c>
      <c r="K123" s="1045"/>
      <c r="L123" s="924"/>
      <c r="O123" s="951"/>
    </row>
    <row r="124" spans="1:15">
      <c r="A124" s="973" t="s">
        <v>243</v>
      </c>
      <c r="B124" s="974"/>
      <c r="C124" s="974"/>
      <c r="D124" s="944" t="s">
        <v>152</v>
      </c>
      <c r="E124" s="945">
        <f>'23'!F124</f>
        <v>73582.3</v>
      </c>
      <c r="F124" s="1091">
        <v>73582</v>
      </c>
      <c r="G124" s="946">
        <f t="shared" si="13"/>
        <v>-0.30000000000291038</v>
      </c>
      <c r="H124" s="947">
        <f>G124+'23'!H124</f>
        <v>-0.19999999999708962</v>
      </c>
      <c r="I124" s="1063"/>
      <c r="J124" s="949">
        <f>H124/DAY(B2)</f>
        <v>-8.3333333332120674E-3</v>
      </c>
      <c r="K124" s="1045"/>
      <c r="L124" s="924"/>
      <c r="O124" s="951"/>
    </row>
    <row r="125" spans="1:15">
      <c r="A125" s="1507" t="s">
        <v>244</v>
      </c>
      <c r="B125" s="1508"/>
      <c r="C125" s="1509"/>
      <c r="D125" s="944" t="s">
        <v>152</v>
      </c>
      <c r="E125" s="945">
        <f>'23'!F125</f>
        <v>137324.48000000001</v>
      </c>
      <c r="F125" s="963">
        <v>137389.37</v>
      </c>
      <c r="G125" s="946">
        <f t="shared" si="13"/>
        <v>64.889999999984866</v>
      </c>
      <c r="H125" s="947">
        <f>G125+'23'!H125</f>
        <v>1798.6999999999825</v>
      </c>
      <c r="I125" s="1063"/>
      <c r="J125" s="949">
        <f>H125/DAY(B2)</f>
        <v>74.945833333332601</v>
      </c>
      <c r="K125" s="1045"/>
      <c r="L125" s="924"/>
      <c r="O125" s="951"/>
    </row>
    <row r="126" spans="1:15">
      <c r="A126" s="1092" t="s">
        <v>245</v>
      </c>
      <c r="B126" s="974"/>
      <c r="C126" s="974"/>
      <c r="D126" s="944" t="s">
        <v>152</v>
      </c>
      <c r="E126" s="945">
        <f>'23'!F126</f>
        <v>58145.4</v>
      </c>
      <c r="F126" s="1091">
        <v>58180</v>
      </c>
      <c r="G126" s="946">
        <f t="shared" si="13"/>
        <v>34.599999999998545</v>
      </c>
      <c r="H126" s="947">
        <f>G126+'23'!H126</f>
        <v>799</v>
      </c>
      <c r="I126" s="1063"/>
      <c r="J126" s="949">
        <f>H126/DAY(B2)</f>
        <v>33.291666666666664</v>
      </c>
      <c r="K126" s="1045"/>
      <c r="L126" s="924"/>
      <c r="O126" s="951"/>
    </row>
    <row r="127" spans="1:15">
      <c r="A127" s="1092" t="s">
        <v>246</v>
      </c>
      <c r="B127" s="974"/>
      <c r="C127" s="974"/>
      <c r="D127" s="944" t="s">
        <v>152</v>
      </c>
      <c r="E127" s="945">
        <f>'23'!F127</f>
        <v>8789.1</v>
      </c>
      <c r="F127" s="1091">
        <v>8793</v>
      </c>
      <c r="G127" s="946">
        <f t="shared" si="13"/>
        <v>3.8999999999996362</v>
      </c>
      <c r="H127" s="947">
        <f>G127+'23'!H127</f>
        <v>87</v>
      </c>
      <c r="I127" s="966"/>
      <c r="J127" s="949">
        <f>H127/DAY(B2)</f>
        <v>3.625</v>
      </c>
      <c r="K127" s="1045"/>
      <c r="L127" s="924"/>
      <c r="O127" s="951"/>
    </row>
    <row r="128" spans="1:15">
      <c r="A128" s="1092" t="s">
        <v>247</v>
      </c>
      <c r="B128" s="974"/>
      <c r="C128" s="974"/>
      <c r="D128" s="944"/>
      <c r="E128" s="945"/>
      <c r="F128" s="963"/>
      <c r="G128" s="946">
        <f>G15-SUM(G123:G127)</f>
        <v>375.97000000007574</v>
      </c>
      <c r="H128" s="947">
        <f>G128+'23'!H128</f>
        <v>4853.79000000009</v>
      </c>
      <c r="I128" s="966"/>
      <c r="J128" s="949">
        <f>H128/DAY(B2)</f>
        <v>202.24125000000376</v>
      </c>
      <c r="K128" s="1045"/>
      <c r="L128" s="924"/>
      <c r="O128" s="951"/>
    </row>
    <row r="129" spans="1:15">
      <c r="A129" s="1093" t="s">
        <v>248</v>
      </c>
      <c r="B129" s="938"/>
      <c r="C129" s="938"/>
      <c r="D129" s="938"/>
      <c r="E129" s="938"/>
      <c r="F129" s="938"/>
      <c r="G129" s="1094"/>
      <c r="H129" s="1094"/>
      <c r="I129" s="1094"/>
      <c r="J129" s="1095"/>
      <c r="O129" s="951"/>
    </row>
    <row r="130" spans="1:15">
      <c r="A130" s="973" t="s">
        <v>249</v>
      </c>
      <c r="B130" s="974"/>
      <c r="C130" s="974"/>
      <c r="D130" s="944" t="s">
        <v>250</v>
      </c>
      <c r="E130" s="945">
        <f>'23'!F130</f>
        <v>0</v>
      </c>
      <c r="F130" s="975">
        <v>0</v>
      </c>
      <c r="G130" s="946">
        <f t="shared" ref="G130:G140" si="14">F130-E130</f>
        <v>0</v>
      </c>
      <c r="H130" s="947">
        <f>G130+'23'!H130</f>
        <v>0</v>
      </c>
      <c r="I130" s="966"/>
      <c r="J130" s="949">
        <f>H130/DAY(B2)</f>
        <v>0</v>
      </c>
      <c r="O130" s="951"/>
    </row>
    <row r="131" spans="1:15">
      <c r="A131" s="973" t="s">
        <v>251</v>
      </c>
      <c r="B131" s="974"/>
      <c r="C131" s="974"/>
      <c r="D131" s="944" t="s">
        <v>250</v>
      </c>
      <c r="E131" s="945">
        <f>'23'!F131</f>
        <v>0</v>
      </c>
      <c r="F131" s="975">
        <v>0</v>
      </c>
      <c r="G131" s="946">
        <f t="shared" si="14"/>
        <v>0</v>
      </c>
      <c r="H131" s="947">
        <f>G131+'23'!H131</f>
        <v>0</v>
      </c>
      <c r="I131" s="966"/>
      <c r="J131" s="949">
        <f>H131/DAY(B2)</f>
        <v>0</v>
      </c>
      <c r="O131" s="951"/>
    </row>
    <row r="132" spans="1:15">
      <c r="A132" s="973" t="s">
        <v>252</v>
      </c>
      <c r="B132" s="974"/>
      <c r="C132" s="974"/>
      <c r="D132" s="944" t="s">
        <v>250</v>
      </c>
      <c r="E132" s="945">
        <f>'23'!F132</f>
        <v>38913.01</v>
      </c>
      <c r="F132" s="1096">
        <v>38936.559999999998</v>
      </c>
      <c r="G132" s="946">
        <f t="shared" si="14"/>
        <v>23.549999999995634</v>
      </c>
      <c r="H132" s="947">
        <f>G132+'23'!H132</f>
        <v>107.07999999999447</v>
      </c>
      <c r="I132" s="966"/>
      <c r="J132" s="949">
        <f>H132/DAY(B2)</f>
        <v>4.461666666666436</v>
      </c>
      <c r="O132" s="951"/>
    </row>
    <row r="133" spans="1:15">
      <c r="A133" s="973" t="s">
        <v>253</v>
      </c>
      <c r="B133" s="974"/>
      <c r="C133" s="974"/>
      <c r="D133" s="944" t="s">
        <v>250</v>
      </c>
      <c r="E133" s="945">
        <f>'23'!F133</f>
        <v>299.01</v>
      </c>
      <c r="F133" s="1096">
        <v>299.01</v>
      </c>
      <c r="G133" s="946">
        <f t="shared" si="14"/>
        <v>0</v>
      </c>
      <c r="H133" s="947">
        <f>G133+'23'!H133</f>
        <v>9.9999999999909051E-3</v>
      </c>
      <c r="I133" s="966">
        <f>G130+G131+G132+G133</f>
        <v>23.549999999995634</v>
      </c>
      <c r="J133" s="949">
        <f>H133/DAY(B2)</f>
        <v>4.1666666666628771E-4</v>
      </c>
      <c r="O133" s="951"/>
    </row>
    <row r="134" spans="1:15">
      <c r="A134" s="973" t="s">
        <v>254</v>
      </c>
      <c r="B134" s="974"/>
      <c r="C134" s="974"/>
      <c r="D134" s="944" t="s">
        <v>250</v>
      </c>
      <c r="E134" s="945">
        <f>'23'!F134</f>
        <v>39951.050000000003</v>
      </c>
      <c r="F134" s="1096">
        <v>39951.050000000003</v>
      </c>
      <c r="G134" s="946">
        <f t="shared" si="14"/>
        <v>0</v>
      </c>
      <c r="H134" s="947">
        <f>G134+'23'!H134</f>
        <v>24</v>
      </c>
      <c r="I134" s="966"/>
      <c r="J134" s="949">
        <f>H134/DAY(B2)</f>
        <v>1</v>
      </c>
      <c r="O134" s="951"/>
    </row>
    <row r="135" spans="1:15">
      <c r="A135" s="973" t="s">
        <v>255</v>
      </c>
      <c r="B135" s="974"/>
      <c r="C135" s="974"/>
      <c r="D135" s="944" t="s">
        <v>250</v>
      </c>
      <c r="E135" s="945">
        <f>'23'!F135</f>
        <v>32423</v>
      </c>
      <c r="F135" s="1096">
        <v>32423</v>
      </c>
      <c r="G135" s="946">
        <f t="shared" si="14"/>
        <v>0</v>
      </c>
      <c r="H135" s="947">
        <f>G135+'23'!H135</f>
        <v>13</v>
      </c>
      <c r="I135" s="966"/>
      <c r="J135" s="949">
        <f>H135/DAY(B2)</f>
        <v>0.54166666666666663</v>
      </c>
      <c r="O135" s="951"/>
    </row>
    <row r="136" spans="1:15">
      <c r="A136" s="973" t="s">
        <v>256</v>
      </c>
      <c r="B136" s="974"/>
      <c r="C136" s="974"/>
      <c r="D136" s="944" t="s">
        <v>250</v>
      </c>
      <c r="E136" s="945">
        <f>'23'!F136</f>
        <v>21946.05</v>
      </c>
      <c r="F136" s="1096">
        <v>21952.93</v>
      </c>
      <c r="G136" s="946">
        <f t="shared" si="14"/>
        <v>6.8800000000010186</v>
      </c>
      <c r="H136" s="947">
        <f>G136+'23'!H136</f>
        <v>151.22999999999956</v>
      </c>
      <c r="I136" s="966">
        <f>G134+G135+G136</f>
        <v>6.8800000000010186</v>
      </c>
      <c r="J136" s="949">
        <f>H136/DAY(B2)</f>
        <v>6.3012499999999818</v>
      </c>
      <c r="O136" s="951"/>
    </row>
    <row r="137" spans="1:15">
      <c r="A137" s="973" t="s">
        <v>257</v>
      </c>
      <c r="B137" s="974"/>
      <c r="C137" s="974"/>
      <c r="D137" s="944" t="s">
        <v>250</v>
      </c>
      <c r="E137" s="945">
        <f>'23'!F137</f>
        <v>25019.94</v>
      </c>
      <c r="F137" s="1096">
        <v>25019.94</v>
      </c>
      <c r="G137" s="946">
        <f t="shared" si="14"/>
        <v>0</v>
      </c>
      <c r="H137" s="947">
        <f>G137+'23'!H137</f>
        <v>8</v>
      </c>
      <c r="I137" s="966"/>
      <c r="J137" s="949">
        <f>H137/DAY(B2)</f>
        <v>0.33333333333333331</v>
      </c>
      <c r="O137" s="951"/>
    </row>
    <row r="138" spans="1:15">
      <c r="A138" s="973" t="s">
        <v>258</v>
      </c>
      <c r="B138" s="974"/>
      <c r="C138" s="974"/>
      <c r="D138" s="944" t="s">
        <v>250</v>
      </c>
      <c r="E138" s="945">
        <f>'23'!F138</f>
        <v>70057.8</v>
      </c>
      <c r="F138" s="1096">
        <v>70057.8</v>
      </c>
      <c r="G138" s="946">
        <f t="shared" si="14"/>
        <v>0</v>
      </c>
      <c r="H138" s="947">
        <f>G138+'23'!H138</f>
        <v>15</v>
      </c>
      <c r="I138" s="966">
        <f>G137+G138</f>
        <v>0</v>
      </c>
      <c r="J138" s="949">
        <f>H138/DAY(B2)</f>
        <v>0.625</v>
      </c>
      <c r="O138" s="951"/>
    </row>
    <row r="139" spans="1:15">
      <c r="A139" s="973" t="s">
        <v>259</v>
      </c>
      <c r="B139" s="974"/>
      <c r="C139" s="974"/>
      <c r="D139" s="944" t="s">
        <v>250</v>
      </c>
      <c r="E139" s="945">
        <f>'23'!F139</f>
        <v>1138.53</v>
      </c>
      <c r="F139" s="975">
        <v>1146.44</v>
      </c>
      <c r="G139" s="946">
        <f t="shared" si="14"/>
        <v>7.9100000000000819</v>
      </c>
      <c r="H139" s="947">
        <f>G139+'23'!H139</f>
        <v>83.440000000000055</v>
      </c>
      <c r="I139" s="1097"/>
      <c r="J139" s="949">
        <f>H139/DAY(B2)</f>
        <v>3.4766666666666688</v>
      </c>
      <c r="O139" s="951"/>
    </row>
    <row r="140" spans="1:15">
      <c r="A140" s="973" t="s">
        <v>260</v>
      </c>
      <c r="B140" s="974"/>
      <c r="C140" s="974"/>
      <c r="D140" s="944" t="s">
        <v>250</v>
      </c>
      <c r="E140" s="945">
        <f>'23'!F140</f>
        <v>4333.53</v>
      </c>
      <c r="F140" s="975">
        <v>4333.53</v>
      </c>
      <c r="G140" s="946">
        <f t="shared" si="14"/>
        <v>0</v>
      </c>
      <c r="H140" s="947">
        <f>G140+'23'!H140</f>
        <v>101.11999999999989</v>
      </c>
      <c r="I140" s="1097"/>
      <c r="J140" s="949">
        <f>H140/DAY(B2)</f>
        <v>4.2133333333333285</v>
      </c>
      <c r="O140" s="951"/>
    </row>
    <row r="141" spans="1:15">
      <c r="A141" s="1516" t="s">
        <v>261</v>
      </c>
      <c r="B141" s="1517"/>
      <c r="C141" s="939"/>
      <c r="D141" s="939"/>
      <c r="E141" s="939"/>
      <c r="F141" s="939"/>
      <c r="G141" s="971"/>
      <c r="H141" s="971"/>
      <c r="I141" s="971"/>
      <c r="J141" s="1090"/>
      <c r="K141" s="1045"/>
      <c r="L141" s="924"/>
      <c r="O141" s="951"/>
    </row>
    <row r="142" spans="1:15">
      <c r="A142" s="1501" t="s">
        <v>262</v>
      </c>
      <c r="B142" s="1502"/>
      <c r="C142" s="1503"/>
      <c r="D142" s="944" t="s">
        <v>143</v>
      </c>
      <c r="E142" s="944"/>
      <c r="F142" s="944"/>
      <c r="G142" s="947">
        <f>G35+G43+G49+G57</f>
        <v>5453.7999999999884</v>
      </c>
      <c r="H142" s="947">
        <f>G142+'23'!H142</f>
        <v>125211.11999999997</v>
      </c>
      <c r="I142" s="966"/>
      <c r="J142" s="949">
        <f>H142/DAY(B2)</f>
        <v>5217.1299999999983</v>
      </c>
      <c r="K142" s="1045"/>
      <c r="L142" s="924"/>
      <c r="O142" s="951"/>
    </row>
    <row r="143" spans="1:15">
      <c r="A143" s="1501" t="s">
        <v>263</v>
      </c>
      <c r="B143" s="1502"/>
      <c r="C143" s="1503"/>
      <c r="D143" s="944" t="s">
        <v>24</v>
      </c>
      <c r="E143" s="931"/>
      <c r="F143" s="931"/>
      <c r="G143" s="1098">
        <f>G142/G7</f>
        <v>0.28125419008818464</v>
      </c>
      <c r="H143" s="947">
        <f>G143+'23'!H143</f>
        <v>6.2368988741561866</v>
      </c>
      <c r="I143" s="1099"/>
      <c r="J143" s="949">
        <f>H143/DAY(B2)</f>
        <v>0.25987078642317446</v>
      </c>
      <c r="K143" s="1045"/>
      <c r="L143" s="924"/>
      <c r="O143" s="951"/>
    </row>
    <row r="144" spans="1:15">
      <c r="A144" s="1501" t="s">
        <v>264</v>
      </c>
      <c r="B144" s="1502"/>
      <c r="C144" s="1503"/>
      <c r="D144" s="944" t="s">
        <v>143</v>
      </c>
      <c r="E144" s="945"/>
      <c r="F144" s="945"/>
      <c r="G144" s="947">
        <f>G41+G42+G55+G56</f>
        <v>4221.2300000000032</v>
      </c>
      <c r="H144" s="947">
        <f>G144+'23'!H144</f>
        <v>102662.62000000002</v>
      </c>
      <c r="I144" s="966"/>
      <c r="J144" s="949">
        <f>H144/DAY(B2)</f>
        <v>4277.609166666668</v>
      </c>
      <c r="K144" s="1045"/>
      <c r="L144" s="924"/>
      <c r="O144" s="951"/>
    </row>
    <row r="145" spans="1:15">
      <c r="A145" s="1501" t="s">
        <v>265</v>
      </c>
      <c r="B145" s="1502"/>
      <c r="C145" s="1503"/>
      <c r="D145" s="944" t="s">
        <v>24</v>
      </c>
      <c r="E145" s="945"/>
      <c r="F145" s="945"/>
      <c r="G145" s="1098">
        <f>G144/G7</f>
        <v>0.21769016554071494</v>
      </c>
      <c r="H145" s="947">
        <f>G145+'23'!H145</f>
        <v>5.2412387205764537</v>
      </c>
      <c r="I145" s="1099"/>
      <c r="J145" s="949">
        <f>H145/DAY(B2)</f>
        <v>0.21838494669068556</v>
      </c>
      <c r="K145" s="1045"/>
      <c r="L145" s="924"/>
      <c r="O145" s="951"/>
    </row>
    <row r="146" spans="1:15">
      <c r="A146" s="1501" t="s">
        <v>266</v>
      </c>
      <c r="B146" s="1502"/>
      <c r="C146" s="1503"/>
      <c r="D146" s="944" t="s">
        <v>143</v>
      </c>
      <c r="E146" s="945"/>
      <c r="F146" s="945"/>
      <c r="G146" s="947">
        <f>G39+G53</f>
        <v>4203.9500000000116</v>
      </c>
      <c r="H146" s="947">
        <f>G146+'23'!H146</f>
        <v>98414.03</v>
      </c>
      <c r="I146" s="1100"/>
      <c r="J146" s="949">
        <f>H146/DAY(B2)</f>
        <v>4100.5845833333333</v>
      </c>
      <c r="K146" s="1045"/>
      <c r="L146" s="924"/>
      <c r="O146" s="951"/>
    </row>
    <row r="147" spans="1:15">
      <c r="A147" s="1501" t="s">
        <v>267</v>
      </c>
      <c r="B147" s="1502"/>
      <c r="C147" s="1503"/>
      <c r="D147" s="944" t="s">
        <v>24</v>
      </c>
      <c r="E147" s="945"/>
      <c r="F147" s="945"/>
      <c r="G147" s="1098">
        <f>G146/G7</f>
        <v>0.21679903047805743</v>
      </c>
      <c r="H147" s="947">
        <f>G147+'23'!H147</f>
        <v>5.0353937613820641</v>
      </c>
      <c r="I147" s="1100"/>
      <c r="J147" s="949">
        <f>H147/DAY(B2)</f>
        <v>0.20980807339091934</v>
      </c>
      <c r="O147" s="951"/>
    </row>
    <row r="148" spans="1:15">
      <c r="A148" s="1501" t="s">
        <v>268</v>
      </c>
      <c r="B148" s="1502"/>
      <c r="C148" s="1503"/>
      <c r="D148" s="944" t="s">
        <v>194</v>
      </c>
      <c r="E148" s="945"/>
      <c r="F148" s="945"/>
      <c r="G148" s="947">
        <f>G38+G52</f>
        <v>1833.9199999999837</v>
      </c>
      <c r="H148" s="947">
        <f>G148+'23'!H148</f>
        <v>47437.260000000009</v>
      </c>
      <c r="I148" s="966"/>
      <c r="J148" s="949">
        <f>H148/DAY(B2)</f>
        <v>1976.5525000000005</v>
      </c>
      <c r="K148" s="1101"/>
      <c r="O148" s="951"/>
    </row>
    <row r="149" spans="1:15">
      <c r="A149" s="1501" t="s">
        <v>269</v>
      </c>
      <c r="B149" s="1502"/>
      <c r="C149" s="1503"/>
      <c r="D149" s="944" t="s">
        <v>24</v>
      </c>
      <c r="E149" s="945"/>
      <c r="F149" s="945"/>
      <c r="G149" s="1098">
        <f>G148/G7</f>
        <v>9.4575834149862495E-2</v>
      </c>
      <c r="H149" s="947">
        <f>G149+'23'!H149</f>
        <v>2.4285258602765505</v>
      </c>
      <c r="I149" s="1100"/>
      <c r="J149" s="949">
        <f>H149/DAY(B2)</f>
        <v>0.10118857751152294</v>
      </c>
      <c r="O149" s="951"/>
    </row>
    <row r="150" spans="1:15">
      <c r="A150" s="1501" t="s">
        <v>270</v>
      </c>
      <c r="B150" s="1502"/>
      <c r="C150" s="1503"/>
      <c r="D150" s="944" t="s">
        <v>194</v>
      </c>
      <c r="E150" s="945"/>
      <c r="F150" s="945"/>
      <c r="G150" s="947">
        <f>G36+G50</f>
        <v>1724.8999999999651</v>
      </c>
      <c r="H150" s="947">
        <f>G150+'23'!H150</f>
        <v>42631.119999999995</v>
      </c>
      <c r="I150" s="1100"/>
      <c r="J150" s="949">
        <f>H150/DAY(B2)</f>
        <v>1776.2966666666664</v>
      </c>
      <c r="O150" s="951"/>
    </row>
    <row r="151" spans="1:15">
      <c r="A151" s="1501" t="s">
        <v>271</v>
      </c>
      <c r="B151" s="1502"/>
      <c r="C151" s="1503"/>
      <c r="D151" s="944" t="s">
        <v>24</v>
      </c>
      <c r="E151" s="945"/>
      <c r="F151" s="945"/>
      <c r="G151" s="1098">
        <f>G150/G7</f>
        <v>8.8953638285800884E-2</v>
      </c>
      <c r="H151" s="947">
        <f>G151+'23'!H151</f>
        <v>2.1825294787895428</v>
      </c>
      <c r="I151" s="966"/>
      <c r="J151" s="949">
        <f>H151/DAY(B2)</f>
        <v>9.0938728282897618E-2</v>
      </c>
      <c r="O151" s="951"/>
    </row>
    <row r="152" spans="1:15">
      <c r="A152" s="1501" t="s">
        <v>272</v>
      </c>
      <c r="B152" s="1502"/>
      <c r="C152" s="1503"/>
      <c r="D152" s="944" t="s">
        <v>194</v>
      </c>
      <c r="E152" s="945"/>
      <c r="F152" s="945"/>
      <c r="G152" s="947">
        <f>G37+G51</f>
        <v>1478.3600000000006</v>
      </c>
      <c r="H152" s="947">
        <f>G152+'23'!H152</f>
        <v>34956.89</v>
      </c>
      <c r="I152" s="966"/>
      <c r="J152" s="949">
        <f>H152/DAY(B2)</f>
        <v>1456.5370833333334</v>
      </c>
      <c r="O152" s="951"/>
    </row>
    <row r="153" spans="1:15" ht="21" thickBot="1">
      <c r="A153" s="1504" t="s">
        <v>273</v>
      </c>
      <c r="B153" s="1505"/>
      <c r="C153" s="1506"/>
      <c r="D153" s="1102" t="s">
        <v>24</v>
      </c>
      <c r="E153" s="1103"/>
      <c r="F153" s="1103"/>
      <c r="G153" s="1104">
        <f>G152/G7</f>
        <v>7.6239492548089344E-2</v>
      </c>
      <c r="H153" s="947">
        <f>G153+'23'!H153</f>
        <v>1.789207072649583</v>
      </c>
      <c r="I153" s="1105"/>
      <c r="J153" s="1106">
        <f>H153/DAY(B2)</f>
        <v>7.455029469373263E-2</v>
      </c>
      <c r="O153" s="951"/>
    </row>
    <row r="154" spans="1:15">
      <c r="A154" s="1107"/>
      <c r="B154" s="1107"/>
      <c r="C154" s="1107"/>
      <c r="D154" s="1107"/>
      <c r="E154" s="1107"/>
      <c r="F154" s="1107"/>
      <c r="G154" s="1107"/>
      <c r="H154" s="1108"/>
      <c r="I154" s="1107"/>
      <c r="J154" s="1109"/>
      <c r="O154" s="951"/>
    </row>
    <row r="160" spans="1:15">
      <c r="A160" s="1097" t="s">
        <v>274</v>
      </c>
      <c r="B160" s="1097"/>
      <c r="C160" s="1097"/>
      <c r="D160" s="931" t="s">
        <v>198</v>
      </c>
      <c r="E160" s="945">
        <f>'23'!F160</f>
        <v>27778.69</v>
      </c>
      <c r="F160" s="1122">
        <v>27861</v>
      </c>
      <c r="G160" s="946">
        <f t="shared" ref="G160:G163" si="15">F160-E160</f>
        <v>82.31000000000131</v>
      </c>
    </row>
    <row r="161" spans="1:7" ht="21.75" customHeight="1">
      <c r="A161" s="1097" t="s">
        <v>275</v>
      </c>
      <c r="B161" s="1097"/>
      <c r="C161" s="1097"/>
      <c r="D161" s="931" t="s">
        <v>198</v>
      </c>
      <c r="E161" s="945">
        <f>'23'!F161</f>
        <v>39033.03</v>
      </c>
      <c r="F161" s="1122">
        <v>39461</v>
      </c>
      <c r="G161" s="946">
        <f t="shared" si="15"/>
        <v>427.97000000000116</v>
      </c>
    </row>
    <row r="162" spans="1:7" ht="21.75" customHeight="1">
      <c r="A162" s="1097" t="s">
        <v>276</v>
      </c>
      <c r="B162" s="1097"/>
      <c r="C162" s="1097"/>
      <c r="D162" s="931" t="s">
        <v>198</v>
      </c>
      <c r="E162" s="945">
        <f>'23'!F162</f>
        <v>10882.5</v>
      </c>
      <c r="F162" s="1122">
        <v>11157</v>
      </c>
      <c r="G162" s="946">
        <f t="shared" si="15"/>
        <v>274.5</v>
      </c>
    </row>
    <row r="163" spans="1:7" ht="21.75" customHeight="1">
      <c r="A163" s="1097" t="s">
        <v>277</v>
      </c>
      <c r="B163" s="1097"/>
      <c r="C163" s="1097"/>
      <c r="D163" s="931" t="s">
        <v>198</v>
      </c>
      <c r="E163" s="945">
        <f>'23'!F163</f>
        <v>4833.93</v>
      </c>
      <c r="F163" s="1122">
        <v>4855</v>
      </c>
      <c r="G163" s="946">
        <f t="shared" si="15"/>
        <v>21.069999999999709</v>
      </c>
    </row>
    <row r="164" spans="1:7" ht="21.75" customHeight="1">
      <c r="A164" s="1027" t="s">
        <v>106</v>
      </c>
      <c r="B164" s="1027"/>
      <c r="C164" s="1027"/>
      <c r="D164" s="931" t="s">
        <v>198</v>
      </c>
      <c r="E164" s="1028">
        <f>E62</f>
        <v>20419</v>
      </c>
      <c r="F164" s="1028">
        <f>F62</f>
        <v>20419.18</v>
      </c>
      <c r="G164" s="946">
        <f t="shared" ref="G164:G171" si="16">F164-E164</f>
        <v>0.18000000000029104</v>
      </c>
    </row>
    <row r="165" spans="1:7" ht="21.75" customHeight="1">
      <c r="A165" s="1027" t="s">
        <v>199</v>
      </c>
      <c r="B165" s="1027"/>
      <c r="C165" s="1027"/>
      <c r="D165" s="931" t="s">
        <v>198</v>
      </c>
      <c r="E165" s="1028">
        <f t="shared" ref="E165:E171" si="17">E63</f>
        <v>1245.43</v>
      </c>
      <c r="F165" s="1028">
        <f t="shared" ref="F165:F171" si="18">F63</f>
        <v>1254</v>
      </c>
      <c r="G165" s="946">
        <f t="shared" si="16"/>
        <v>8.5699999999999363</v>
      </c>
    </row>
    <row r="166" spans="1:7" ht="21.75" customHeight="1">
      <c r="A166" s="1488" t="s">
        <v>107</v>
      </c>
      <c r="B166" s="1488"/>
      <c r="C166" s="1488"/>
      <c r="D166" s="944" t="s">
        <v>198</v>
      </c>
      <c r="E166" s="1028">
        <f t="shared" si="17"/>
        <v>107901.1</v>
      </c>
      <c r="F166" s="1028">
        <f t="shared" si="18"/>
        <v>108305</v>
      </c>
      <c r="G166" s="946">
        <f t="shared" si="16"/>
        <v>403.89999999999418</v>
      </c>
    </row>
    <row r="167" spans="1:7" ht="21.75" customHeight="1">
      <c r="A167" s="1488" t="s">
        <v>108</v>
      </c>
      <c r="B167" s="1488"/>
      <c r="C167" s="1488"/>
      <c r="D167" s="944" t="s">
        <v>198</v>
      </c>
      <c r="E167" s="1028">
        <f t="shared" si="17"/>
        <v>118512.05</v>
      </c>
      <c r="F167" s="1028">
        <f t="shared" si="18"/>
        <v>118952</v>
      </c>
      <c r="G167" s="946">
        <f t="shared" si="16"/>
        <v>439.94999999999709</v>
      </c>
    </row>
    <row r="168" spans="1:7" ht="21.75" customHeight="1">
      <c r="A168" s="1488" t="s">
        <v>109</v>
      </c>
      <c r="B168" s="1488"/>
      <c r="C168" s="1488"/>
      <c r="D168" s="944" t="s">
        <v>198</v>
      </c>
      <c r="E168" s="1028">
        <f t="shared" si="17"/>
        <v>10824.81</v>
      </c>
      <c r="F168" s="1028">
        <f t="shared" si="18"/>
        <v>11222</v>
      </c>
      <c r="G168" s="946">
        <f t="shared" si="16"/>
        <v>397.19000000000051</v>
      </c>
    </row>
    <row r="169" spans="1:7">
      <c r="A169" s="1488" t="s">
        <v>110</v>
      </c>
      <c r="B169" s="1488"/>
      <c r="C169" s="1488"/>
      <c r="D169" s="944" t="s">
        <v>198</v>
      </c>
      <c r="E169" s="1028">
        <f t="shared" si="17"/>
        <v>183352.45</v>
      </c>
      <c r="F169" s="1028">
        <f t="shared" si="18"/>
        <v>183973</v>
      </c>
      <c r="G169" s="946">
        <f t="shared" si="16"/>
        <v>620.54999999998836</v>
      </c>
    </row>
    <row r="170" spans="1:7" ht="24" customHeight="1">
      <c r="A170" s="1488" t="s">
        <v>111</v>
      </c>
      <c r="B170" s="1488"/>
      <c r="C170" s="1488"/>
      <c r="D170" s="944" t="s">
        <v>198</v>
      </c>
      <c r="E170" s="1028">
        <f t="shared" si="17"/>
        <v>60703.31</v>
      </c>
      <c r="F170" s="1028">
        <f t="shared" si="18"/>
        <v>61054</v>
      </c>
      <c r="G170" s="946">
        <f t="shared" si="16"/>
        <v>350.69000000000233</v>
      </c>
    </row>
    <row r="171" spans="1:7">
      <c r="A171" s="1488" t="s">
        <v>112</v>
      </c>
      <c r="B171" s="1488"/>
      <c r="C171" s="1488"/>
      <c r="D171" s="944" t="s">
        <v>198</v>
      </c>
      <c r="E171" s="1028">
        <f t="shared" si="17"/>
        <v>53249.27</v>
      </c>
      <c r="F171" s="1028">
        <f t="shared" si="18"/>
        <v>53549</v>
      </c>
      <c r="G171" s="946">
        <f t="shared" si="16"/>
        <v>299.7300000000032</v>
      </c>
    </row>
    <row r="172" spans="1:7">
      <c r="G172" s="1112">
        <f>SUM(G160:G171)</f>
        <v>3326.6099999999878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76"/>
  <sheetViews>
    <sheetView view="pageBreakPreview" topLeftCell="A79" zoomScale="70" zoomScaleNormal="49" zoomScaleSheetLayoutView="70" workbookViewId="0">
      <selection activeCell="F83" sqref="F83"/>
    </sheetView>
  </sheetViews>
  <sheetFormatPr defaultColWidth="22.33203125" defaultRowHeight="20.25"/>
  <cols>
    <col min="1" max="1" width="51.21875" style="1110" customWidth="1"/>
    <col min="2" max="2" width="24.88671875" style="1110" customWidth="1"/>
    <col min="3" max="3" width="12.44140625" style="1110" customWidth="1"/>
    <col min="4" max="4" width="13.6640625" style="1110" customWidth="1"/>
    <col min="5" max="5" width="28.109375" style="1110" customWidth="1"/>
    <col min="6" max="6" width="23.77734375" style="1110" customWidth="1"/>
    <col min="7" max="7" width="18.44140625" style="1110" customWidth="1"/>
    <col min="8" max="8" width="39.21875" style="1111" customWidth="1"/>
    <col min="9" max="9" width="12" style="1110" bestFit="1" customWidth="1"/>
    <col min="10" max="10" width="24" style="1112" customWidth="1"/>
    <col min="11" max="11" width="43.21875" style="911" hidden="1" customWidth="1"/>
    <col min="12" max="13" width="0" style="911" hidden="1" customWidth="1"/>
    <col min="14" max="14" width="25.109375" style="1113" customWidth="1"/>
    <col min="15" max="15" width="6.77734375" style="911" bestFit="1" customWidth="1"/>
    <col min="16" max="16384" width="22.33203125" style="911"/>
  </cols>
  <sheetData>
    <row r="1" spans="1:15" ht="22.5">
      <c r="A1" s="1530" t="s">
        <v>128</v>
      </c>
      <c r="B1" s="1531"/>
      <c r="C1" s="1531"/>
      <c r="D1" s="1531"/>
      <c r="E1" s="1531"/>
      <c r="F1" s="1531"/>
      <c r="G1" s="1531"/>
      <c r="H1" s="1531"/>
      <c r="I1" s="1531"/>
      <c r="J1" s="1532"/>
    </row>
    <row r="2" spans="1:15">
      <c r="A2" s="912" t="s">
        <v>284</v>
      </c>
      <c r="B2" s="1140">
        <v>43855</v>
      </c>
      <c r="C2" s="913" t="s">
        <v>69</v>
      </c>
      <c r="D2" s="1127">
        <v>0.65</v>
      </c>
      <c r="E2" s="915"/>
      <c r="F2" s="915"/>
      <c r="G2" s="915" t="s">
        <v>129</v>
      </c>
      <c r="H2" s="915" t="s">
        <v>6</v>
      </c>
      <c r="I2" s="915" t="s">
        <v>8</v>
      </c>
      <c r="J2" s="916" t="s">
        <v>130</v>
      </c>
    </row>
    <row r="3" spans="1:15">
      <c r="A3" s="917"/>
      <c r="B3" s="918"/>
      <c r="C3" s="913" t="s">
        <v>131</v>
      </c>
      <c r="D3" s="913">
        <v>31</v>
      </c>
      <c r="E3" s="1539" t="s">
        <v>132</v>
      </c>
      <c r="F3" s="1540"/>
      <c r="G3" s="920">
        <f>'1'!G3</f>
        <v>0</v>
      </c>
      <c r="H3" s="921">
        <f>'1'!H3</f>
        <v>0</v>
      </c>
      <c r="I3" s="921">
        <f>'1'!I3</f>
        <v>0</v>
      </c>
      <c r="J3" s="922">
        <f>'1'!J3</f>
        <v>0</v>
      </c>
      <c r="K3" s="923"/>
      <c r="L3" s="924"/>
    </row>
    <row r="4" spans="1:15">
      <c r="A4" s="925"/>
      <c r="B4" s="926"/>
      <c r="C4" s="913" t="s">
        <v>133</v>
      </c>
      <c r="D4" s="1127">
        <v>0.8</v>
      </c>
      <c r="E4" s="927"/>
      <c r="F4" s="927"/>
      <c r="G4" s="927"/>
      <c r="H4" s="927"/>
      <c r="I4" s="928"/>
      <c r="J4" s="922"/>
      <c r="K4" s="929"/>
      <c r="L4" s="924"/>
    </row>
    <row r="5" spans="1:15">
      <c r="A5" s="930" t="s">
        <v>134</v>
      </c>
      <c r="B5" s="931"/>
      <c r="C5" s="931"/>
      <c r="D5" s="931" t="s">
        <v>135</v>
      </c>
      <c r="E5" s="932" t="s">
        <v>136</v>
      </c>
      <c r="F5" s="932" t="s">
        <v>123</v>
      </c>
      <c r="G5" s="933" t="s">
        <v>137</v>
      </c>
      <c r="H5" s="934" t="s">
        <v>138</v>
      </c>
      <c r="I5" s="935" t="s">
        <v>139</v>
      </c>
      <c r="J5" s="936" t="s">
        <v>140</v>
      </c>
      <c r="K5" s="937"/>
      <c r="L5" s="924"/>
    </row>
    <row r="6" spans="1:15">
      <c r="A6" s="1533" t="s">
        <v>141</v>
      </c>
      <c r="B6" s="1534"/>
      <c r="C6" s="1535"/>
      <c r="D6" s="938"/>
      <c r="E6" s="938"/>
      <c r="F6" s="938"/>
      <c r="G6" s="938"/>
      <c r="H6" s="939"/>
      <c r="I6" s="939"/>
      <c r="J6" s="940"/>
      <c r="K6" s="941"/>
      <c r="L6" s="924"/>
    </row>
    <row r="7" spans="1:15" ht="21" thickBot="1">
      <c r="A7" s="942" t="s">
        <v>142</v>
      </c>
      <c r="B7" s="943"/>
      <c r="C7" s="943"/>
      <c r="D7" s="944" t="s">
        <v>143</v>
      </c>
      <c r="E7" s="945">
        <f>'24'!F7</f>
        <v>3755812</v>
      </c>
      <c r="F7" s="945">
        <v>3774981</v>
      </c>
      <c r="G7" s="946">
        <f>F7-E7</f>
        <v>19169</v>
      </c>
      <c r="H7" s="947">
        <f>G7+'24'!H7</f>
        <v>488541</v>
      </c>
      <c r="I7" s="948">
        <f>'1'!I7</f>
        <v>12000</v>
      </c>
      <c r="J7" s="949">
        <f>H7/DAY(B2)</f>
        <v>19541.64</v>
      </c>
      <c r="K7" s="950"/>
      <c r="L7" s="924"/>
      <c r="N7" s="1125">
        <f>G7/G8</f>
        <v>0.99105573363664567</v>
      </c>
      <c r="O7" s="951"/>
    </row>
    <row r="8" spans="1:15" ht="21" thickBot="1">
      <c r="A8" s="952" t="s">
        <v>144</v>
      </c>
      <c r="B8" s="953"/>
      <c r="C8" s="954"/>
      <c r="D8" s="955" t="s">
        <v>25</v>
      </c>
      <c r="E8" s="945">
        <f>'24'!F8</f>
        <v>3779214</v>
      </c>
      <c r="F8" s="956">
        <v>3798556</v>
      </c>
      <c r="G8" s="957">
        <f>F8-E8</f>
        <v>19342</v>
      </c>
      <c r="H8" s="947">
        <f>G8+'24'!H8</f>
        <v>492184</v>
      </c>
      <c r="I8" s="958">
        <f>'1'!I8</f>
        <v>12000</v>
      </c>
      <c r="J8" s="949">
        <f>H8/DAY(B2)</f>
        <v>19687.36</v>
      </c>
      <c r="K8" s="950">
        <v>1375467</v>
      </c>
      <c r="L8" s="959">
        <v>1667461</v>
      </c>
      <c r="M8" s="960"/>
      <c r="O8" s="951"/>
    </row>
    <row r="9" spans="1:15">
      <c r="A9" s="961" t="s">
        <v>145</v>
      </c>
      <c r="B9" s="962"/>
      <c r="C9" s="962"/>
      <c r="D9" s="944" t="s">
        <v>143</v>
      </c>
      <c r="E9" s="945">
        <f>'24'!F9</f>
        <v>2490697</v>
      </c>
      <c r="F9" s="963">
        <v>2497166</v>
      </c>
      <c r="G9" s="946">
        <f t="shared" ref="G9:G12" si="0">F9-E9</f>
        <v>6469</v>
      </c>
      <c r="H9" s="947">
        <f>G9+'24'!H9</f>
        <v>91951</v>
      </c>
      <c r="I9" s="964">
        <f>I8-J8</f>
        <v>-7687.3600000000006</v>
      </c>
      <c r="J9" s="949">
        <f>H9/DAY(B2)</f>
        <v>3678.04</v>
      </c>
      <c r="K9" s="965"/>
      <c r="L9" s="924"/>
      <c r="O9" s="951"/>
    </row>
    <row r="10" spans="1:15">
      <c r="A10" s="942" t="s">
        <v>146</v>
      </c>
      <c r="B10" s="943"/>
      <c r="C10" s="943"/>
      <c r="D10" s="944" t="s">
        <v>143</v>
      </c>
      <c r="E10" s="945">
        <f>'24'!F10</f>
        <v>1117423</v>
      </c>
      <c r="F10" s="963">
        <v>1129479</v>
      </c>
      <c r="G10" s="946">
        <f t="shared" si="0"/>
        <v>12056</v>
      </c>
      <c r="H10" s="947">
        <f>G10+'24'!H10</f>
        <v>378957.08999999997</v>
      </c>
      <c r="I10" s="966"/>
      <c r="J10" s="949">
        <f>H10/DAY(B2)</f>
        <v>15158.283599999999</v>
      </c>
      <c r="K10" s="965"/>
      <c r="L10" s="924">
        <f>L8-K8</f>
        <v>291994</v>
      </c>
      <c r="O10" s="951"/>
    </row>
    <row r="11" spans="1:15">
      <c r="A11" s="942" t="s">
        <v>147</v>
      </c>
      <c r="B11" s="943"/>
      <c r="C11" s="943"/>
      <c r="D11" s="944" t="s">
        <v>143</v>
      </c>
      <c r="E11" s="945">
        <f>'24'!F11</f>
        <v>35390</v>
      </c>
      <c r="F11" s="945">
        <v>35390</v>
      </c>
      <c r="G11" s="946">
        <f t="shared" si="0"/>
        <v>0</v>
      </c>
      <c r="H11" s="947">
        <f>G11+'24'!H11</f>
        <v>0</v>
      </c>
      <c r="I11" s="966"/>
      <c r="J11" s="949">
        <f>H11/DAY(B2)</f>
        <v>0</v>
      </c>
      <c r="K11" s="965"/>
      <c r="L11" s="924"/>
      <c r="N11" s="1126">
        <f>G7*N7</f>
        <v>18997.547358080861</v>
      </c>
      <c r="O11" s="951"/>
    </row>
    <row r="12" spans="1:15">
      <c r="A12" s="942" t="s">
        <v>148</v>
      </c>
      <c r="B12" s="943"/>
      <c r="C12" s="943"/>
      <c r="D12" s="944" t="s">
        <v>143</v>
      </c>
      <c r="E12" s="945">
        <f>'24'!F12</f>
        <v>37630</v>
      </c>
      <c r="F12" s="963">
        <v>37630</v>
      </c>
      <c r="G12" s="946">
        <f t="shared" si="0"/>
        <v>0</v>
      </c>
      <c r="H12" s="947">
        <f>G12+'24'!H12</f>
        <v>0</v>
      </c>
      <c r="I12" s="966"/>
      <c r="J12" s="949">
        <f>H12/DAY(B2)</f>
        <v>0</v>
      </c>
      <c r="K12" s="965"/>
      <c r="L12" s="924"/>
      <c r="O12" s="951"/>
    </row>
    <row r="13" spans="1:15">
      <c r="A13" s="967" t="s">
        <v>149</v>
      </c>
      <c r="B13" s="968"/>
      <c r="C13" s="968"/>
      <c r="D13" s="944"/>
      <c r="E13" s="945"/>
      <c r="F13" s="945"/>
      <c r="G13" s="969">
        <f>G9+G10+G11+G12</f>
        <v>18525</v>
      </c>
      <c r="H13" s="947">
        <f>G13+'24'!H13</f>
        <v>451387.08999999997</v>
      </c>
      <c r="I13" s="970">
        <f>G7-G13</f>
        <v>644</v>
      </c>
      <c r="J13" s="949">
        <f>H13/DAY(B2)</f>
        <v>18055.4836</v>
      </c>
      <c r="K13" s="965"/>
      <c r="L13" s="924">
        <f>L10-H7</f>
        <v>-196547</v>
      </c>
      <c r="O13" s="951"/>
    </row>
    <row r="14" spans="1:15">
      <c r="A14" s="1536" t="s">
        <v>150</v>
      </c>
      <c r="B14" s="1537"/>
      <c r="C14" s="1538"/>
      <c r="D14" s="939"/>
      <c r="E14" s="939"/>
      <c r="F14" s="939"/>
      <c r="G14" s="971"/>
      <c r="H14" s="939"/>
      <c r="I14" s="939"/>
      <c r="J14" s="940"/>
      <c r="K14" s="972"/>
      <c r="L14" s="924"/>
      <c r="O14" s="951"/>
    </row>
    <row r="15" spans="1:15">
      <c r="A15" s="973" t="s">
        <v>151</v>
      </c>
      <c r="B15" s="974"/>
      <c r="C15" s="974"/>
      <c r="D15" s="944" t="s">
        <v>152</v>
      </c>
      <c r="E15" s="945">
        <f>'24'!F15</f>
        <v>1589010</v>
      </c>
      <c r="F15" s="975">
        <v>1589940.86</v>
      </c>
      <c r="G15" s="1123">
        <f>(F15-E15)</f>
        <v>930.86000000010245</v>
      </c>
      <c r="H15" s="947">
        <f>G15+'24'!H15</f>
        <v>21026.760000000009</v>
      </c>
      <c r="I15" s="948">
        <f>'1'!I15</f>
        <v>800</v>
      </c>
      <c r="J15" s="949">
        <f>H15/DAY(B2)</f>
        <v>841.0704000000004</v>
      </c>
      <c r="K15" s="965"/>
      <c r="L15" s="924"/>
      <c r="O15" s="951"/>
    </row>
    <row r="16" spans="1:15">
      <c r="A16" s="976"/>
      <c r="B16" s="977"/>
      <c r="C16" s="977"/>
      <c r="D16" s="978"/>
      <c r="E16" s="979"/>
      <c r="F16" s="979"/>
      <c r="G16" s="946"/>
      <c r="H16" s="980"/>
      <c r="I16" s="981">
        <f>I15-J15</f>
        <v>-41.070400000000404</v>
      </c>
      <c r="J16" s="982"/>
      <c r="K16" s="965"/>
      <c r="L16" s="924"/>
      <c r="O16" s="951"/>
    </row>
    <row r="17" spans="1:15">
      <c r="A17" s="1536" t="s">
        <v>153</v>
      </c>
      <c r="B17" s="1537"/>
      <c r="C17" s="1538"/>
      <c r="D17" s="939"/>
      <c r="E17" s="939"/>
      <c r="F17" s="939"/>
      <c r="G17" s="983"/>
      <c r="H17" s="939"/>
      <c r="I17" s="939"/>
      <c r="J17" s="940"/>
      <c r="K17" s="965"/>
      <c r="L17" s="924"/>
      <c r="O17" s="951"/>
    </row>
    <row r="18" spans="1:15">
      <c r="A18" s="1501" t="s">
        <v>154</v>
      </c>
      <c r="B18" s="1502"/>
      <c r="C18" s="1503"/>
      <c r="D18" s="944" t="s">
        <v>155</v>
      </c>
      <c r="E18" s="945">
        <f>'24'!F18</f>
        <v>14</v>
      </c>
      <c r="F18" s="975">
        <v>13</v>
      </c>
      <c r="G18" s="969">
        <f>F18*10</f>
        <v>130</v>
      </c>
      <c r="H18" s="947">
        <f>G18+'24'!H18</f>
        <v>3010</v>
      </c>
      <c r="I18" s="948">
        <f>'1'!I18</f>
        <v>65</v>
      </c>
      <c r="J18" s="949">
        <f>H18/DAY(B2)</f>
        <v>120.4</v>
      </c>
      <c r="K18" s="965"/>
      <c r="L18" s="924"/>
      <c r="O18" s="951"/>
    </row>
    <row r="19" spans="1:15">
      <c r="A19" s="1501" t="s">
        <v>71</v>
      </c>
      <c r="B19" s="1502"/>
      <c r="C19" s="1503"/>
      <c r="D19" s="944" t="s">
        <v>155</v>
      </c>
      <c r="E19" s="945">
        <f>'24'!F19</f>
        <v>132683</v>
      </c>
      <c r="F19" s="975">
        <v>132736</v>
      </c>
      <c r="G19" s="946">
        <f t="shared" ref="G19" si="1">F19-E19</f>
        <v>53</v>
      </c>
      <c r="H19" s="947">
        <f>G19+'24'!H19</f>
        <v>1243</v>
      </c>
      <c r="I19" s="984"/>
      <c r="J19" s="949">
        <f>H19/DAY(B2)</f>
        <v>49.72</v>
      </c>
      <c r="K19" s="965"/>
      <c r="L19" s="924"/>
      <c r="O19" s="951"/>
    </row>
    <row r="20" spans="1:15">
      <c r="A20" s="967" t="s">
        <v>156</v>
      </c>
      <c r="B20" s="968"/>
      <c r="C20" s="968"/>
      <c r="D20" s="985"/>
      <c r="E20" s="985"/>
      <c r="F20" s="985"/>
      <c r="G20" s="986">
        <f>G18+G19</f>
        <v>183</v>
      </c>
      <c r="H20" s="947">
        <f>G20+'24'!H20</f>
        <v>4253</v>
      </c>
      <c r="I20" s="987">
        <f>I18-J20</f>
        <v>-105.12</v>
      </c>
      <c r="J20" s="949">
        <f>H20/DAY(B2)</f>
        <v>170.12</v>
      </c>
      <c r="K20" s="965"/>
      <c r="L20" s="924"/>
      <c r="O20" s="951"/>
    </row>
    <row r="21" spans="1:15">
      <c r="A21" s="1536" t="s">
        <v>157</v>
      </c>
      <c r="B21" s="1537"/>
      <c r="C21" s="1538"/>
      <c r="D21" s="939"/>
      <c r="E21" s="939"/>
      <c r="F21" s="939"/>
      <c r="G21" s="971"/>
      <c r="H21" s="939"/>
      <c r="I21" s="939"/>
      <c r="J21" s="940"/>
      <c r="K21" s="965"/>
      <c r="L21" s="924"/>
      <c r="O21" s="951"/>
    </row>
    <row r="22" spans="1:15">
      <c r="A22" s="973" t="s">
        <v>158</v>
      </c>
      <c r="B22" s="974"/>
      <c r="C22" s="974"/>
      <c r="D22" s="944" t="s">
        <v>159</v>
      </c>
      <c r="E22" s="975">
        <f>'24'!F22</f>
        <v>2970</v>
      </c>
      <c r="F22" s="975">
        <v>2970</v>
      </c>
      <c r="G22" s="969">
        <f t="shared" ref="G22" si="2">(F22-E22)</f>
        <v>0</v>
      </c>
      <c r="H22" s="947">
        <f>G22+'24'!H22</f>
        <v>0</v>
      </c>
      <c r="I22" s="966"/>
      <c r="J22" s="949">
        <f>H22/DAY(B2)</f>
        <v>0</v>
      </c>
      <c r="K22" s="965"/>
      <c r="L22" s="924"/>
      <c r="O22" s="951"/>
    </row>
    <row r="23" spans="1:15">
      <c r="A23" s="973" t="s">
        <v>160</v>
      </c>
      <c r="B23" s="974"/>
      <c r="C23" s="974"/>
      <c r="D23" s="944" t="s">
        <v>159</v>
      </c>
      <c r="E23" s="975">
        <f>'24'!F23</f>
        <v>2000</v>
      </c>
      <c r="F23" s="975">
        <v>2000</v>
      </c>
      <c r="G23" s="969">
        <v>0</v>
      </c>
      <c r="H23" s="947">
        <f>G23+'24'!H23</f>
        <v>0</v>
      </c>
      <c r="I23" s="966"/>
      <c r="J23" s="949">
        <f>H23/DAY(B2)</f>
        <v>0</v>
      </c>
      <c r="K23" s="965"/>
      <c r="L23" s="924"/>
      <c r="O23" s="951"/>
    </row>
    <row r="24" spans="1:15">
      <c r="A24" s="988" t="s">
        <v>161</v>
      </c>
      <c r="B24" s="989"/>
      <c r="C24" s="989"/>
      <c r="D24" s="931" t="s">
        <v>159</v>
      </c>
      <c r="E24" s="975">
        <f>'24'!F24</f>
        <v>4970</v>
      </c>
      <c r="F24" s="990">
        <v>4970</v>
      </c>
      <c r="G24" s="969">
        <v>0</v>
      </c>
      <c r="H24" s="947">
        <f>G24+'24'!H24</f>
        <v>0</v>
      </c>
      <c r="I24" s="966"/>
      <c r="J24" s="949">
        <f>H24/DAY(B2)</f>
        <v>0</v>
      </c>
      <c r="K24" s="965"/>
      <c r="L24" s="924"/>
      <c r="O24" s="951"/>
    </row>
    <row r="25" spans="1:15" s="996" customFormat="1">
      <c r="A25" s="1533" t="s">
        <v>162</v>
      </c>
      <c r="B25" s="1534"/>
      <c r="C25" s="1535"/>
      <c r="D25" s="938"/>
      <c r="E25" s="938"/>
      <c r="F25" s="938"/>
      <c r="G25" s="991"/>
      <c r="H25" s="992"/>
      <c r="I25" s="993"/>
      <c r="J25" s="994"/>
      <c r="K25" s="965"/>
      <c r="L25" s="995"/>
      <c r="N25" s="1114"/>
      <c r="O25" s="951"/>
    </row>
    <row r="26" spans="1:15" s="996" customFormat="1">
      <c r="A26" s="997" t="s">
        <v>163</v>
      </c>
      <c r="B26" s="998"/>
      <c r="C26" s="999"/>
      <c r="D26" s="1000" t="s">
        <v>164</v>
      </c>
      <c r="E26" s="1001"/>
      <c r="F26" s="1001"/>
      <c r="G26" s="1002"/>
      <c r="H26" s="947"/>
      <c r="I26" s="1003"/>
      <c r="J26" s="949"/>
      <c r="K26" s="972"/>
      <c r="L26" s="995"/>
      <c r="N26" s="1114"/>
      <c r="O26" s="951"/>
    </row>
    <row r="27" spans="1:15" s="996" customFormat="1" ht="22.5">
      <c r="A27" s="997" t="s">
        <v>6</v>
      </c>
      <c r="B27" s="998"/>
      <c r="C27" s="999"/>
      <c r="D27" s="1004" t="s">
        <v>25</v>
      </c>
      <c r="E27" s="1005">
        <f>G8</f>
        <v>19342</v>
      </c>
      <c r="F27" s="577">
        <v>9</v>
      </c>
      <c r="G27" s="1007">
        <f>E27*F27</f>
        <v>174078</v>
      </c>
      <c r="H27" s="947">
        <f>G27+'24'!H27</f>
        <v>4447731</v>
      </c>
      <c r="I27" s="1008"/>
      <c r="J27" s="949">
        <f>H27/DAY(B2)</f>
        <v>177909.24</v>
      </c>
      <c r="K27" s="965"/>
      <c r="L27" s="995"/>
      <c r="N27" s="1114"/>
      <c r="O27" s="951"/>
    </row>
    <row r="28" spans="1:15" s="996" customFormat="1" ht="22.5">
      <c r="A28" s="997" t="s">
        <v>165</v>
      </c>
      <c r="B28" s="998"/>
      <c r="C28" s="999"/>
      <c r="D28" s="1004" t="s">
        <v>166</v>
      </c>
      <c r="E28" s="1005">
        <f>G15</f>
        <v>930.86000000010245</v>
      </c>
      <c r="F28" s="577">
        <v>41</v>
      </c>
      <c r="G28" s="1007">
        <f>E28*F28</f>
        <v>38165.2600000042</v>
      </c>
      <c r="H28" s="947">
        <f>G28+'24'!H28</f>
        <v>860855.8000000004</v>
      </c>
      <c r="I28" s="1009"/>
      <c r="J28" s="949">
        <f>H28/DAY(B2)</f>
        <v>34434.232000000018</v>
      </c>
      <c r="K28" s="965"/>
      <c r="L28" s="995"/>
      <c r="N28" s="1114"/>
      <c r="O28" s="951"/>
    </row>
    <row r="29" spans="1:15" s="996" customFormat="1">
      <c r="A29" s="997" t="s">
        <v>167</v>
      </c>
      <c r="B29" s="998"/>
      <c r="C29" s="999"/>
      <c r="D29" s="1004" t="s">
        <v>168</v>
      </c>
      <c r="E29" s="1005">
        <f>G24</f>
        <v>0</v>
      </c>
      <c r="F29" s="1006">
        <v>69</v>
      </c>
      <c r="G29" s="1007">
        <f>E29*F29</f>
        <v>0</v>
      </c>
      <c r="H29" s="947">
        <f>G29+'24'!H29</f>
        <v>0</v>
      </c>
      <c r="I29" s="1009"/>
      <c r="J29" s="949">
        <f>H29/DAY(B2)</f>
        <v>0</v>
      </c>
      <c r="K29" s="965"/>
      <c r="L29" s="995"/>
      <c r="N29" s="1114"/>
      <c r="O29" s="951"/>
    </row>
    <row r="30" spans="1:15" s="996" customFormat="1">
      <c r="A30" s="997" t="s">
        <v>169</v>
      </c>
      <c r="B30" s="998"/>
      <c r="C30" s="999"/>
      <c r="D30" s="1004" t="s">
        <v>170</v>
      </c>
      <c r="E30" s="1005">
        <f>G19</f>
        <v>53</v>
      </c>
      <c r="F30" s="1006">
        <v>134</v>
      </c>
      <c r="G30" s="1007">
        <f>E30*F30</f>
        <v>7102</v>
      </c>
      <c r="H30" s="947">
        <f>G30+'24'!H30</f>
        <v>166562</v>
      </c>
      <c r="I30" s="1009"/>
      <c r="J30" s="949">
        <f>H30/DAY(B2)</f>
        <v>6662.48</v>
      </c>
      <c r="K30" s="965"/>
      <c r="L30" s="995"/>
      <c r="N30" s="1114"/>
      <c r="O30" s="951"/>
    </row>
    <row r="31" spans="1:15" s="996" customFormat="1">
      <c r="A31" s="997" t="s">
        <v>171</v>
      </c>
      <c r="B31" s="998"/>
      <c r="C31" s="999"/>
      <c r="D31" s="1004" t="s">
        <v>155</v>
      </c>
      <c r="E31" s="1005">
        <f>G18</f>
        <v>130</v>
      </c>
      <c r="F31" s="1006">
        <v>80</v>
      </c>
      <c r="G31" s="1007">
        <f>E31*F31</f>
        <v>10400</v>
      </c>
      <c r="H31" s="947">
        <f>G31+'24'!H31</f>
        <v>240800</v>
      </c>
      <c r="I31" s="1009"/>
      <c r="J31" s="949"/>
      <c r="K31" s="965"/>
      <c r="L31" s="995"/>
      <c r="N31" s="1114"/>
      <c r="O31" s="951"/>
    </row>
    <row r="32" spans="1:15" s="996" customFormat="1">
      <c r="A32" s="1010" t="s">
        <v>172</v>
      </c>
      <c r="B32" s="1011"/>
      <c r="C32" s="1012"/>
      <c r="D32" s="1013"/>
      <c r="E32" s="1013"/>
      <c r="F32" s="1013"/>
      <c r="G32" s="1014">
        <f>G27+G28+G29+G30+G31</f>
        <v>229745.2600000042</v>
      </c>
      <c r="H32" s="947">
        <f>G32+'24'!H32</f>
        <v>5715948.8000000007</v>
      </c>
      <c r="I32" s="1015"/>
      <c r="J32" s="949">
        <f>H32/DAY(B2)</f>
        <v>228637.95200000002</v>
      </c>
      <c r="K32" s="965"/>
      <c r="L32" s="995"/>
      <c r="N32" s="1114"/>
      <c r="O32" s="951"/>
    </row>
    <row r="33" spans="1:15" ht="18.75">
      <c r="A33" s="1541" t="s">
        <v>173</v>
      </c>
      <c r="B33" s="1542"/>
      <c r="C33" s="1542"/>
      <c r="D33" s="1542"/>
      <c r="E33" s="1542"/>
      <c r="F33" s="1542"/>
      <c r="G33" s="1542"/>
      <c r="H33" s="1542"/>
      <c r="I33" s="1542"/>
      <c r="J33" s="1543"/>
      <c r="K33" s="965"/>
      <c r="L33" s="924"/>
      <c r="O33" s="951"/>
    </row>
    <row r="34" spans="1:15">
      <c r="A34" s="1016" t="s">
        <v>174</v>
      </c>
      <c r="B34" s="1017"/>
      <c r="C34" s="1017"/>
      <c r="D34" s="939"/>
      <c r="E34" s="938"/>
      <c r="F34" s="938"/>
      <c r="G34" s="939"/>
      <c r="H34" s="939"/>
      <c r="I34" s="939"/>
      <c r="J34" s="940"/>
      <c r="K34" s="965"/>
      <c r="L34" s="924"/>
      <c r="O34" s="951"/>
    </row>
    <row r="35" spans="1:15">
      <c r="A35" s="942" t="s">
        <v>175</v>
      </c>
      <c r="B35" s="943"/>
      <c r="C35" s="943"/>
      <c r="D35" s="944" t="s">
        <v>143</v>
      </c>
      <c r="E35" s="945">
        <f>'24'!F35</f>
        <v>629027.67000000004</v>
      </c>
      <c r="F35" s="1018">
        <v>629027.67000000004</v>
      </c>
      <c r="G35" s="946">
        <f t="shared" ref="G35:G46" si="3">F35-E35</f>
        <v>0</v>
      </c>
      <c r="H35" s="947">
        <f>G35+'24'!H35</f>
        <v>0.67000000004190952</v>
      </c>
      <c r="I35" s="945"/>
      <c r="J35" s="949">
        <f>H35/DAY(B2)</f>
        <v>2.6800000001676382E-2</v>
      </c>
      <c r="K35" s="965"/>
      <c r="L35" s="924"/>
      <c r="O35" s="951"/>
    </row>
    <row r="36" spans="1:15">
      <c r="A36" s="942" t="s">
        <v>176</v>
      </c>
      <c r="B36" s="943"/>
      <c r="C36" s="943"/>
      <c r="D36" s="944" t="s">
        <v>143</v>
      </c>
      <c r="E36" s="945">
        <f>'24'!F36</f>
        <v>271719.90999999997</v>
      </c>
      <c r="F36" s="1018">
        <v>272676</v>
      </c>
      <c r="G36" s="946">
        <f t="shared" si="3"/>
        <v>956.09000000002561</v>
      </c>
      <c r="H36" s="947">
        <f>G36+'24'!H36</f>
        <v>17584.929999999993</v>
      </c>
      <c r="I36" s="945"/>
      <c r="J36" s="949">
        <f>H36/DAY(B2)</f>
        <v>703.39719999999977</v>
      </c>
      <c r="K36" s="965"/>
      <c r="L36" s="924"/>
      <c r="O36" s="951"/>
    </row>
    <row r="37" spans="1:15">
      <c r="A37" s="942" t="s">
        <v>177</v>
      </c>
      <c r="B37" s="943"/>
      <c r="C37" s="943"/>
      <c r="D37" s="944" t="s">
        <v>143</v>
      </c>
      <c r="E37" s="945">
        <f>'24'!F37</f>
        <v>415066</v>
      </c>
      <c r="F37" s="1018">
        <v>415066</v>
      </c>
      <c r="G37" s="946">
        <f t="shared" si="3"/>
        <v>0</v>
      </c>
      <c r="H37" s="947">
        <f>G37+'24'!H37</f>
        <v>0</v>
      </c>
      <c r="I37" s="945"/>
      <c r="J37" s="949">
        <f>H37/DAY(B2)</f>
        <v>0</v>
      </c>
      <c r="K37" s="965"/>
      <c r="L37" s="924"/>
      <c r="O37" s="951"/>
    </row>
    <row r="38" spans="1:15">
      <c r="A38" s="942" t="s">
        <v>178</v>
      </c>
      <c r="B38" s="943"/>
      <c r="C38" s="943"/>
      <c r="D38" s="944" t="s">
        <v>143</v>
      </c>
      <c r="E38" s="945">
        <f>'24'!F38</f>
        <v>150714.38</v>
      </c>
      <c r="F38" s="934">
        <v>150714.38</v>
      </c>
      <c r="G38" s="946">
        <f t="shared" si="3"/>
        <v>0</v>
      </c>
      <c r="H38" s="947">
        <f>G38+'24'!H38</f>
        <v>0.38000000000465661</v>
      </c>
      <c r="I38" s="945"/>
      <c r="J38" s="949">
        <f>H38/DAY(B2)</f>
        <v>1.5200000000186264E-2</v>
      </c>
      <c r="K38" s="965"/>
      <c r="L38" s="924"/>
      <c r="O38" s="951"/>
    </row>
    <row r="39" spans="1:15">
      <c r="A39" s="942" t="s">
        <v>179</v>
      </c>
      <c r="B39" s="943"/>
      <c r="C39" s="943"/>
      <c r="D39" s="944" t="s">
        <v>143</v>
      </c>
      <c r="E39" s="945">
        <f>'24'!F39</f>
        <v>912480</v>
      </c>
      <c r="F39" s="1018">
        <v>912480</v>
      </c>
      <c r="G39" s="946">
        <f t="shared" si="3"/>
        <v>0</v>
      </c>
      <c r="H39" s="947">
        <f>G39+'24'!H39</f>
        <v>0</v>
      </c>
      <c r="I39" s="945"/>
      <c r="J39" s="949">
        <f>H39/DAY(B2)</f>
        <v>0</v>
      </c>
      <c r="K39" s="965"/>
      <c r="L39" s="924"/>
      <c r="O39" s="951"/>
    </row>
    <row r="40" spans="1:15">
      <c r="A40" s="1019" t="s">
        <v>180</v>
      </c>
      <c r="B40" s="1020"/>
      <c r="C40" s="1020"/>
      <c r="D40" s="944" t="s">
        <v>143</v>
      </c>
      <c r="E40" s="945">
        <f>'24'!F40</f>
        <v>0</v>
      </c>
      <c r="F40" s="1018">
        <v>0</v>
      </c>
      <c r="G40" s="946">
        <f t="shared" si="3"/>
        <v>0</v>
      </c>
      <c r="H40" s="947">
        <f>G40+'24'!H40</f>
        <v>0</v>
      </c>
      <c r="I40" s="945"/>
      <c r="J40" s="949">
        <f>H40/DAY(B2)</f>
        <v>0</v>
      </c>
      <c r="K40" s="972"/>
      <c r="L40" s="924"/>
      <c r="O40" s="951"/>
    </row>
    <row r="41" spans="1:15">
      <c r="A41" s="942" t="s">
        <v>181</v>
      </c>
      <c r="B41" s="943"/>
      <c r="C41" s="943"/>
      <c r="D41" s="944" t="s">
        <v>143</v>
      </c>
      <c r="E41" s="945">
        <f>'24'!F41</f>
        <v>19024</v>
      </c>
      <c r="F41" s="1018">
        <v>22539.11</v>
      </c>
      <c r="G41" s="946">
        <f t="shared" si="3"/>
        <v>3515.1100000000006</v>
      </c>
      <c r="H41" s="947">
        <f>G41+'24'!H41</f>
        <v>22539.11</v>
      </c>
      <c r="I41" s="945"/>
      <c r="J41" s="949">
        <f>H41/DAY(B2)</f>
        <v>901.56439999999998</v>
      </c>
      <c r="K41" s="965"/>
      <c r="L41" s="924"/>
      <c r="O41" s="951"/>
    </row>
    <row r="42" spans="1:15">
      <c r="A42" s="942" t="s">
        <v>182</v>
      </c>
      <c r="B42" s="943"/>
      <c r="C42" s="943"/>
      <c r="D42" s="944" t="s">
        <v>143</v>
      </c>
      <c r="E42" s="945">
        <f>'24'!F42</f>
        <v>58926</v>
      </c>
      <c r="F42" s="1018">
        <v>58926</v>
      </c>
      <c r="G42" s="946">
        <f t="shared" si="3"/>
        <v>0</v>
      </c>
      <c r="H42" s="947">
        <f>G42+'24'!H42</f>
        <v>-8.999999999650754E-2</v>
      </c>
      <c r="I42" s="945"/>
      <c r="J42" s="949">
        <f>H42/DAY(B2)</f>
        <v>-3.5999999998603018E-3</v>
      </c>
      <c r="K42" s="965"/>
      <c r="L42" s="924"/>
      <c r="O42" s="951"/>
    </row>
    <row r="43" spans="1:15">
      <c r="A43" s="942" t="s">
        <v>183</v>
      </c>
      <c r="B43" s="943"/>
      <c r="C43" s="943"/>
      <c r="D43" s="944" t="s">
        <v>143</v>
      </c>
      <c r="E43" s="945">
        <f>'24'!F43</f>
        <v>751611</v>
      </c>
      <c r="F43" s="1018">
        <v>753864.31</v>
      </c>
      <c r="G43" s="946">
        <f t="shared" si="3"/>
        <v>2253.3100000000559</v>
      </c>
      <c r="H43" s="947">
        <f>G43+'24'!H43</f>
        <v>55610.880000000005</v>
      </c>
      <c r="I43" s="945"/>
      <c r="J43" s="949">
        <f>H43/DAY(B2)</f>
        <v>2224.4352000000003</v>
      </c>
      <c r="K43" s="965"/>
      <c r="L43" s="924"/>
      <c r="O43" s="951"/>
    </row>
    <row r="44" spans="1:15">
      <c r="A44" s="942" t="s">
        <v>184</v>
      </c>
      <c r="B44" s="943"/>
      <c r="C44" s="943"/>
      <c r="D44" s="944" t="s">
        <v>143</v>
      </c>
      <c r="E44" s="945">
        <f>'24'!F44</f>
        <v>0</v>
      </c>
      <c r="F44" s="1018">
        <v>0</v>
      </c>
      <c r="G44" s="946">
        <f t="shared" si="3"/>
        <v>0</v>
      </c>
      <c r="H44" s="947">
        <f>G44+'24'!H44</f>
        <v>0</v>
      </c>
      <c r="I44" s="945"/>
      <c r="J44" s="949">
        <f>H44/DAY(B2)</f>
        <v>0</v>
      </c>
      <c r="K44" s="965"/>
      <c r="L44" s="924"/>
      <c r="O44" s="951"/>
    </row>
    <row r="45" spans="1:15">
      <c r="A45" s="942" t="s">
        <v>185</v>
      </c>
      <c r="B45" s="943"/>
      <c r="C45" s="943"/>
      <c r="D45" s="944" t="s">
        <v>143</v>
      </c>
      <c r="E45" s="945">
        <f>'24'!F45</f>
        <v>614</v>
      </c>
      <c r="F45" s="1018">
        <v>614</v>
      </c>
      <c r="G45" s="946">
        <f t="shared" si="3"/>
        <v>0</v>
      </c>
      <c r="H45" s="947">
        <f>G45+'24'!H45</f>
        <v>-0.48000000000001819</v>
      </c>
      <c r="I45" s="945"/>
      <c r="J45" s="949">
        <f>H45/DAY(B2)</f>
        <v>-1.9200000000000727E-2</v>
      </c>
      <c r="K45" s="965"/>
      <c r="L45" s="924"/>
      <c r="O45" s="951"/>
    </row>
    <row r="46" spans="1:15">
      <c r="A46" s="942" t="s">
        <v>186</v>
      </c>
      <c r="B46" s="943"/>
      <c r="C46" s="943"/>
      <c r="D46" s="944" t="s">
        <v>143</v>
      </c>
      <c r="E46" s="945">
        <f>'24'!F46</f>
        <v>187</v>
      </c>
      <c r="F46" s="1018">
        <v>187</v>
      </c>
      <c r="G46" s="946">
        <f t="shared" si="3"/>
        <v>0</v>
      </c>
      <c r="H46" s="947">
        <f>G46+'24'!H46</f>
        <v>-0.49000000000000909</v>
      </c>
      <c r="I46" s="945"/>
      <c r="J46" s="949">
        <f>H46/DAY(B2)</f>
        <v>-1.9600000000000364E-2</v>
      </c>
      <c r="K46" s="965"/>
      <c r="L46" s="924"/>
      <c r="O46" s="951"/>
    </row>
    <row r="47" spans="1:15">
      <c r="A47" s="967" t="s">
        <v>187</v>
      </c>
      <c r="B47" s="968"/>
      <c r="C47" s="968"/>
      <c r="D47" s="935"/>
      <c r="E47" s="931"/>
      <c r="F47" s="931"/>
      <c r="G47" s="969">
        <f>G35+G36+G37+G38+G39+G40+G41+G42+G43+G44+G45+G46</f>
        <v>6724.5100000000821</v>
      </c>
      <c r="H47" s="947">
        <f>G47+'24'!H47</f>
        <v>95734.910000000047</v>
      </c>
      <c r="I47" s="945"/>
      <c r="J47" s="949">
        <f>H47/DAY(B2)</f>
        <v>3829.3964000000019</v>
      </c>
      <c r="K47" s="965"/>
      <c r="L47" s="924"/>
      <c r="N47" s="1115"/>
      <c r="O47" s="951"/>
    </row>
    <row r="48" spans="1:15">
      <c r="A48" s="1016" t="s">
        <v>188</v>
      </c>
      <c r="B48" s="1017"/>
      <c r="C48" s="1017"/>
      <c r="D48" s="939"/>
      <c r="E48" s="938"/>
      <c r="F48" s="938"/>
      <c r="G48" s="939"/>
      <c r="H48" s="939"/>
      <c r="I48" s="939"/>
      <c r="J48" s="940"/>
      <c r="K48" s="965"/>
      <c r="L48" s="924"/>
      <c r="O48" s="951"/>
    </row>
    <row r="49" spans="1:15">
      <c r="A49" s="942" t="s">
        <v>175</v>
      </c>
      <c r="B49" s="1021"/>
      <c r="C49" s="1021"/>
      <c r="D49" s="944" t="s">
        <v>143</v>
      </c>
      <c r="E49" s="945">
        <f>'24'!F49</f>
        <v>224081</v>
      </c>
      <c r="F49" s="1018">
        <v>227268.61</v>
      </c>
      <c r="G49" s="946">
        <f t="shared" ref="G49:G58" si="4">F49-E49</f>
        <v>3187.609999999986</v>
      </c>
      <c r="H49" s="947">
        <f>G49+'24'!H49</f>
        <v>74863.609999999986</v>
      </c>
      <c r="I49" s="945"/>
      <c r="J49" s="949">
        <f>H49/DAY(B2)</f>
        <v>2994.5443999999993</v>
      </c>
      <c r="K49" s="965"/>
      <c r="L49" s="924"/>
      <c r="O49" s="951"/>
    </row>
    <row r="50" spans="1:15">
      <c r="A50" s="942" t="s">
        <v>189</v>
      </c>
      <c r="B50" s="1021"/>
      <c r="C50" s="1021"/>
      <c r="D50" s="944" t="s">
        <v>143</v>
      </c>
      <c r="E50" s="945">
        <f>'24'!F50</f>
        <v>360902.71</v>
      </c>
      <c r="F50" s="1018">
        <v>361944.67</v>
      </c>
      <c r="G50" s="946">
        <f t="shared" si="4"/>
        <v>1041.9599999999627</v>
      </c>
      <c r="H50" s="947">
        <f>G50+'24'!H50</f>
        <v>25727.239999999991</v>
      </c>
      <c r="I50" s="945"/>
      <c r="J50" s="949">
        <f>H50/DAY(B2)</f>
        <v>1029.0895999999996</v>
      </c>
      <c r="K50" s="965"/>
      <c r="L50" s="924"/>
      <c r="O50" s="951"/>
    </row>
    <row r="51" spans="1:15">
      <c r="A51" s="942" t="s">
        <v>177</v>
      </c>
      <c r="B51" s="1021"/>
      <c r="C51" s="1021"/>
      <c r="D51" s="944" t="s">
        <v>143</v>
      </c>
      <c r="E51" s="945">
        <f>'24'!F51</f>
        <v>99664</v>
      </c>
      <c r="F51" s="1018">
        <v>101167.88</v>
      </c>
      <c r="G51" s="946">
        <f t="shared" si="4"/>
        <v>1503.8800000000047</v>
      </c>
      <c r="H51" s="947">
        <f>G51+'24'!H51</f>
        <v>35009.770000000004</v>
      </c>
      <c r="I51" s="945"/>
      <c r="J51" s="949">
        <f>H51/DAY(B2)</f>
        <v>1400.3908000000001</v>
      </c>
      <c r="K51" s="965"/>
      <c r="L51" s="924"/>
      <c r="O51" s="951"/>
    </row>
    <row r="52" spans="1:15">
      <c r="A52" s="942" t="s">
        <v>190</v>
      </c>
      <c r="B52" s="1021"/>
      <c r="C52" s="1021"/>
      <c r="D52" s="944" t="s">
        <v>143</v>
      </c>
      <c r="E52" s="945">
        <f>'24'!F52</f>
        <v>480616.51</v>
      </c>
      <c r="F52" s="1018">
        <v>482441.51</v>
      </c>
      <c r="G52" s="946">
        <f t="shared" si="4"/>
        <v>1825</v>
      </c>
      <c r="H52" s="947">
        <f>G52+'24'!H52</f>
        <v>47165.880000000005</v>
      </c>
      <c r="I52" s="945"/>
      <c r="J52" s="949">
        <f>H52/DAY(B2)</f>
        <v>1886.6352000000002</v>
      </c>
      <c r="K52" s="965"/>
      <c r="L52" s="924"/>
      <c r="O52" s="951"/>
    </row>
    <row r="53" spans="1:15">
      <c r="A53" s="942" t="s">
        <v>179</v>
      </c>
      <c r="B53" s="1021"/>
      <c r="C53" s="1021"/>
      <c r="D53" s="944" t="s">
        <v>143</v>
      </c>
      <c r="E53" s="945">
        <f>'24'!F53</f>
        <v>275016</v>
      </c>
      <c r="F53" s="1018">
        <v>279342</v>
      </c>
      <c r="G53" s="946">
        <f t="shared" si="4"/>
        <v>4326</v>
      </c>
      <c r="H53" s="947">
        <f>G53+'24'!H53</f>
        <v>98277.03</v>
      </c>
      <c r="I53" s="945"/>
      <c r="J53" s="949">
        <f>H53/DAY(B2)</f>
        <v>3931.0812000000001</v>
      </c>
      <c r="K53" s="965"/>
      <c r="L53" s="924"/>
      <c r="O53" s="951"/>
    </row>
    <row r="54" spans="1:15">
      <c r="A54" s="942" t="s">
        <v>191</v>
      </c>
      <c r="B54" s="1021"/>
      <c r="C54" s="1021"/>
      <c r="D54" s="944" t="s">
        <v>143</v>
      </c>
      <c r="E54" s="945">
        <f>'24'!F54</f>
        <v>5974</v>
      </c>
      <c r="F54" s="1018">
        <v>6024</v>
      </c>
      <c r="G54" s="946">
        <f t="shared" si="4"/>
        <v>50</v>
      </c>
      <c r="H54" s="947">
        <f>G54+'24'!H54</f>
        <v>1377.46</v>
      </c>
      <c r="I54" s="945"/>
      <c r="J54" s="949">
        <f>H54/DAY(B2)</f>
        <v>55.098399999999998</v>
      </c>
      <c r="K54" s="965"/>
      <c r="L54" s="924"/>
      <c r="O54" s="951"/>
    </row>
    <row r="55" spans="1:15">
      <c r="A55" s="942" t="s">
        <v>192</v>
      </c>
      <c r="B55" s="1021"/>
      <c r="C55" s="1021"/>
      <c r="D55" s="944" t="s">
        <v>143</v>
      </c>
      <c r="E55" s="945">
        <f>'24'!F55</f>
        <v>39120.58</v>
      </c>
      <c r="F55" s="1018">
        <v>39120.58</v>
      </c>
      <c r="G55" s="946">
        <f t="shared" si="4"/>
        <v>0</v>
      </c>
      <c r="H55" s="947">
        <f>G55+'24'!H55</f>
        <v>39120.310000000012</v>
      </c>
      <c r="I55" s="945"/>
      <c r="J55" s="949">
        <f>H55/DAY(B2)</f>
        <v>1564.8124000000005</v>
      </c>
      <c r="K55" s="965"/>
      <c r="L55" s="924"/>
      <c r="O55" s="951"/>
    </row>
    <row r="56" spans="1:15">
      <c r="A56" s="942" t="s">
        <v>193</v>
      </c>
      <c r="B56" s="1021"/>
      <c r="C56" s="1021"/>
      <c r="D56" s="944" t="s">
        <v>194</v>
      </c>
      <c r="E56" s="945">
        <f>'24'!F56</f>
        <v>557730.15</v>
      </c>
      <c r="F56" s="1018">
        <v>557730.15</v>
      </c>
      <c r="G56" s="946">
        <f t="shared" si="4"/>
        <v>0</v>
      </c>
      <c r="H56" s="947">
        <f>G56+'24'!H56</f>
        <v>39829.400000000023</v>
      </c>
      <c r="I56" s="945"/>
      <c r="J56" s="949">
        <f>H56/DAY(B2)</f>
        <v>1593.1760000000008</v>
      </c>
      <c r="K56" s="941"/>
      <c r="L56" s="924"/>
      <c r="O56" s="951"/>
    </row>
    <row r="57" spans="1:15">
      <c r="A57" s="942" t="s">
        <v>183</v>
      </c>
      <c r="B57" s="1021"/>
      <c r="C57" s="1021"/>
      <c r="D57" s="944" t="s">
        <v>143</v>
      </c>
      <c r="E57" s="945">
        <f>'24'!F57</f>
        <v>0</v>
      </c>
      <c r="F57" s="1018">
        <v>0</v>
      </c>
      <c r="G57" s="946">
        <f t="shared" si="4"/>
        <v>0</v>
      </c>
      <c r="H57" s="947">
        <f>G57+'24'!H57</f>
        <v>0</v>
      </c>
      <c r="I57" s="945"/>
      <c r="J57" s="949">
        <f>H57/DAY(B2)</f>
        <v>0</v>
      </c>
      <c r="K57" s="965"/>
      <c r="L57" s="924"/>
      <c r="O57" s="951"/>
    </row>
    <row r="58" spans="1:15">
      <c r="A58" s="942" t="s">
        <v>195</v>
      </c>
      <c r="B58" s="1021"/>
      <c r="C58" s="1021"/>
      <c r="D58" s="944" t="s">
        <v>143</v>
      </c>
      <c r="E58" s="945">
        <f>'24'!F58</f>
        <v>29400</v>
      </c>
      <c r="F58" s="1018">
        <v>29579.14</v>
      </c>
      <c r="G58" s="946">
        <f t="shared" si="4"/>
        <v>179.13999999999942</v>
      </c>
      <c r="H58" s="947">
        <f>G58+'24'!H58</f>
        <v>4423.7299999999996</v>
      </c>
      <c r="I58" s="945"/>
      <c r="J58" s="949">
        <f>H58/DAY(B2)</f>
        <v>176.94919999999999</v>
      </c>
      <c r="K58" s="965"/>
      <c r="L58" s="924"/>
      <c r="O58" s="951"/>
    </row>
    <row r="59" spans="1:15">
      <c r="A59" s="967" t="s">
        <v>187</v>
      </c>
      <c r="B59" s="968"/>
      <c r="C59" s="968"/>
      <c r="D59" s="931"/>
      <c r="E59" s="931"/>
      <c r="F59" s="931"/>
      <c r="G59" s="969">
        <f>G49+G50+G51+G52+G53+G54+G55+G56+G57+G58</f>
        <v>12113.589999999953</v>
      </c>
      <c r="H59" s="947">
        <f>G59+'24'!H59</f>
        <v>365794.43000000005</v>
      </c>
      <c r="I59" s="945">
        <f>G7-G60</f>
        <v>330.89999999996508</v>
      </c>
      <c r="J59" s="949">
        <f>H59/DAY(B2)</f>
        <v>14631.777200000002</v>
      </c>
      <c r="K59" s="965"/>
      <c r="L59" s="924"/>
      <c r="O59" s="951"/>
    </row>
    <row r="60" spans="1:15">
      <c r="A60" s="942"/>
      <c r="B60" s="943"/>
      <c r="C60" s="943"/>
      <c r="D60" s="931" t="s">
        <v>196</v>
      </c>
      <c r="E60" s="931"/>
      <c r="F60" s="931"/>
      <c r="G60" s="969">
        <f>G47+G59</f>
        <v>18838.100000000035</v>
      </c>
      <c r="H60" s="947">
        <f>G60+'24'!H60</f>
        <v>478563.34000000014</v>
      </c>
      <c r="I60" s="945">
        <f>G13-G60</f>
        <v>-313.10000000003492</v>
      </c>
      <c r="J60" s="949">
        <f>H60/DAY(B2)</f>
        <v>19142.533600000006</v>
      </c>
      <c r="K60" s="965"/>
      <c r="L60" s="924"/>
      <c r="O60" s="951"/>
    </row>
    <row r="61" spans="1:15">
      <c r="A61" s="1022" t="s">
        <v>197</v>
      </c>
      <c r="B61" s="1023"/>
      <c r="C61" s="1023"/>
      <c r="D61" s="1023"/>
      <c r="E61" s="1024"/>
      <c r="F61" s="1024"/>
      <c r="G61" s="1023"/>
      <c r="H61" s="1023"/>
      <c r="I61" s="1023"/>
      <c r="J61" s="1025"/>
      <c r="K61" s="965"/>
      <c r="L61" s="924"/>
      <c r="O61" s="951"/>
    </row>
    <row r="62" spans="1:15">
      <c r="A62" s="1026" t="s">
        <v>106</v>
      </c>
      <c r="B62" s="1027"/>
      <c r="C62" s="1027"/>
      <c r="D62" s="931" t="s">
        <v>198</v>
      </c>
      <c r="E62" s="945">
        <f>'24'!F62</f>
        <v>20419.18</v>
      </c>
      <c r="F62" s="1028">
        <v>20419.18</v>
      </c>
      <c r="G62" s="946">
        <f t="shared" ref="G62:G69" si="5">F62-E62</f>
        <v>0</v>
      </c>
      <c r="H62" s="947">
        <f>G62+'24'!H62</f>
        <v>0</v>
      </c>
      <c r="I62" s="1029"/>
      <c r="J62" s="949">
        <f>H62/DAY(B2)</f>
        <v>0</v>
      </c>
      <c r="K62" s="965"/>
      <c r="L62" s="924"/>
      <c r="O62" s="951"/>
    </row>
    <row r="63" spans="1:15">
      <c r="A63" s="1026" t="s">
        <v>199</v>
      </c>
      <c r="B63" s="1027"/>
      <c r="C63" s="1027"/>
      <c r="D63" s="931" t="s">
        <v>198</v>
      </c>
      <c r="E63" s="945">
        <f>'24'!F63</f>
        <v>1254</v>
      </c>
      <c r="F63" s="1028">
        <v>1264.31</v>
      </c>
      <c r="G63" s="946">
        <f t="shared" si="5"/>
        <v>10.309999999999945</v>
      </c>
      <c r="H63" s="947">
        <f>G63+'24'!H63</f>
        <v>156.39999999999986</v>
      </c>
      <c r="I63" s="1029"/>
      <c r="J63" s="949">
        <f>H63/DAY(B2)</f>
        <v>6.2559999999999949</v>
      </c>
      <c r="K63" s="965"/>
      <c r="L63" s="924"/>
      <c r="O63" s="951"/>
    </row>
    <row r="64" spans="1:15">
      <c r="A64" s="1507" t="s">
        <v>107</v>
      </c>
      <c r="B64" s="1508"/>
      <c r="C64" s="1509"/>
      <c r="D64" s="944" t="s">
        <v>198</v>
      </c>
      <c r="E64" s="945">
        <f>'24'!F64</f>
        <v>108305</v>
      </c>
      <c r="F64" s="975">
        <v>108728</v>
      </c>
      <c r="G64" s="946">
        <f t="shared" si="5"/>
        <v>423</v>
      </c>
      <c r="H64" s="947">
        <f>G64+'24'!H64</f>
        <v>10304.600000000006</v>
      </c>
      <c r="I64" s="966"/>
      <c r="J64" s="949">
        <f>H64/DAY(B2)</f>
        <v>412.18400000000025</v>
      </c>
      <c r="K64" s="965"/>
      <c r="L64" s="924"/>
      <c r="O64" s="951"/>
    </row>
    <row r="65" spans="1:15">
      <c r="A65" s="1507" t="s">
        <v>108</v>
      </c>
      <c r="B65" s="1508"/>
      <c r="C65" s="1509"/>
      <c r="D65" s="944" t="s">
        <v>198</v>
      </c>
      <c r="E65" s="945">
        <f>'24'!F65</f>
        <v>118952</v>
      </c>
      <c r="F65" s="975">
        <v>119368</v>
      </c>
      <c r="G65" s="946">
        <f t="shared" si="5"/>
        <v>416</v>
      </c>
      <c r="H65" s="947">
        <f>G65+'24'!H65</f>
        <v>10323.880000000005</v>
      </c>
      <c r="I65" s="984"/>
      <c r="J65" s="949">
        <f>H65/DAY(B2)</f>
        <v>412.95520000000016</v>
      </c>
      <c r="K65" s="965"/>
      <c r="L65" s="924"/>
      <c r="O65" s="951"/>
    </row>
    <row r="66" spans="1:15">
      <c r="A66" s="1507" t="s">
        <v>109</v>
      </c>
      <c r="B66" s="1508"/>
      <c r="C66" s="1509"/>
      <c r="D66" s="944" t="s">
        <v>198</v>
      </c>
      <c r="E66" s="945">
        <f>'24'!F66</f>
        <v>11222</v>
      </c>
      <c r="F66" s="975">
        <v>11656.69</v>
      </c>
      <c r="G66" s="946">
        <f t="shared" si="5"/>
        <v>434.69000000000051</v>
      </c>
      <c r="H66" s="947">
        <f>G66+'24'!H66</f>
        <v>9234.6</v>
      </c>
      <c r="I66" s="966"/>
      <c r="J66" s="949">
        <f>H66/DAY(B2)</f>
        <v>369.38400000000001</v>
      </c>
      <c r="K66" s="965"/>
      <c r="L66" s="924"/>
      <c r="O66" s="951"/>
    </row>
    <row r="67" spans="1:15">
      <c r="A67" s="1507" t="s">
        <v>110</v>
      </c>
      <c r="B67" s="1508"/>
      <c r="C67" s="1509"/>
      <c r="D67" s="944" t="s">
        <v>198</v>
      </c>
      <c r="E67" s="945">
        <f>'24'!F67</f>
        <v>183973</v>
      </c>
      <c r="F67" s="975">
        <v>184645</v>
      </c>
      <c r="G67" s="946">
        <f t="shared" si="5"/>
        <v>672</v>
      </c>
      <c r="H67" s="947">
        <f>G67+'24'!H67</f>
        <v>16403.649999999994</v>
      </c>
      <c r="I67" s="984"/>
      <c r="J67" s="949">
        <f>H67/DAY(B2)</f>
        <v>656.14599999999973</v>
      </c>
      <c r="K67" s="972"/>
      <c r="L67" s="924"/>
      <c r="O67" s="951"/>
    </row>
    <row r="68" spans="1:15">
      <c r="A68" s="1507" t="s">
        <v>111</v>
      </c>
      <c r="B68" s="1508"/>
      <c r="C68" s="1509"/>
      <c r="D68" s="944" t="s">
        <v>198</v>
      </c>
      <c r="E68" s="945">
        <f>'24'!F68</f>
        <v>61054</v>
      </c>
      <c r="F68" s="975">
        <v>61404.85</v>
      </c>
      <c r="G68" s="946">
        <f t="shared" si="5"/>
        <v>350.84999999999854</v>
      </c>
      <c r="H68" s="947">
        <f>G68+'24'!H68</f>
        <v>7780.9499999999971</v>
      </c>
      <c r="I68" s="1030"/>
      <c r="J68" s="949">
        <f>H68/DAY(B2)</f>
        <v>311.23799999999989</v>
      </c>
      <c r="K68" s="1031"/>
      <c r="L68" s="924"/>
      <c r="O68" s="951"/>
    </row>
    <row r="69" spans="1:15">
      <c r="A69" s="1507" t="s">
        <v>112</v>
      </c>
      <c r="B69" s="1508"/>
      <c r="C69" s="1509"/>
      <c r="D69" s="944" t="s">
        <v>198</v>
      </c>
      <c r="E69" s="945">
        <f>'24'!F69</f>
        <v>53549</v>
      </c>
      <c r="F69" s="975">
        <v>53853</v>
      </c>
      <c r="G69" s="946">
        <f t="shared" si="5"/>
        <v>304</v>
      </c>
      <c r="H69" s="947">
        <f>G69+'24'!H69</f>
        <v>7333.57</v>
      </c>
      <c r="I69" s="1030"/>
      <c r="J69" s="949">
        <f>H69/DAY(B2)</f>
        <v>293.34280000000001</v>
      </c>
      <c r="K69" s="1032"/>
      <c r="L69" s="924"/>
      <c r="O69" s="951"/>
    </row>
    <row r="70" spans="1:15">
      <c r="A70" s="1527" t="s">
        <v>200</v>
      </c>
      <c r="B70" s="1528"/>
      <c r="C70" s="1529"/>
      <c r="D70" s="944" t="s">
        <v>198</v>
      </c>
      <c r="E70" s="1033"/>
      <c r="F70" s="1034"/>
      <c r="G70" s="1034"/>
      <c r="H70" s="947">
        <f>G70+'13'!H70</f>
        <v>0</v>
      </c>
      <c r="I70" s="1034"/>
      <c r="J70" s="1035"/>
      <c r="K70" s="1032"/>
      <c r="L70" s="924"/>
      <c r="O70" s="951"/>
    </row>
    <row r="71" spans="1:15" ht="22.5">
      <c r="A71" s="1524" t="s">
        <v>201</v>
      </c>
      <c r="B71" s="1525"/>
      <c r="C71" s="1525"/>
      <c r="D71" s="1525"/>
      <c r="E71" s="1525"/>
      <c r="F71" s="1525"/>
      <c r="G71" s="1525"/>
      <c r="H71" s="1525"/>
      <c r="I71" s="1525"/>
      <c r="J71" s="1526"/>
      <c r="K71" s="1031"/>
      <c r="L71" s="924"/>
      <c r="O71" s="951"/>
    </row>
    <row r="72" spans="1:15">
      <c r="A72" s="1507" t="s">
        <v>202</v>
      </c>
      <c r="B72" s="1508"/>
      <c r="C72" s="1509"/>
      <c r="D72" s="944" t="s">
        <v>198</v>
      </c>
      <c r="E72" s="945">
        <f>'24'!F72</f>
        <v>847917</v>
      </c>
      <c r="F72" s="1036">
        <v>847965</v>
      </c>
      <c r="G72" s="946">
        <f t="shared" ref="G72:G84" si="6">F72-E72</f>
        <v>48</v>
      </c>
      <c r="H72" s="947">
        <f>G72+'24'!H72</f>
        <v>1499</v>
      </c>
      <c r="I72" s="966"/>
      <c r="J72" s="949">
        <f>H72/DAY(B2)</f>
        <v>59.96</v>
      </c>
      <c r="K72" s="1032"/>
      <c r="L72" s="924"/>
      <c r="O72" s="951"/>
    </row>
    <row r="73" spans="1:15">
      <c r="A73" s="1507" t="s">
        <v>203</v>
      </c>
      <c r="B73" s="1508"/>
      <c r="C73" s="1509"/>
      <c r="D73" s="944" t="s">
        <v>198</v>
      </c>
      <c r="E73" s="945">
        <f>'24'!F73</f>
        <v>885726</v>
      </c>
      <c r="F73" s="1037">
        <v>885726</v>
      </c>
      <c r="G73" s="946">
        <f t="shared" si="6"/>
        <v>0</v>
      </c>
      <c r="H73" s="947">
        <f>G73+'24'!H73</f>
        <v>945</v>
      </c>
      <c r="I73" s="966"/>
      <c r="J73" s="949">
        <f>H73/DAY(B2)</f>
        <v>37.799999999999997</v>
      </c>
      <c r="K73" s="1031"/>
      <c r="L73" s="924"/>
      <c r="O73" s="951"/>
    </row>
    <row r="74" spans="1:15">
      <c r="A74" s="1507" t="s">
        <v>204</v>
      </c>
      <c r="B74" s="1508"/>
      <c r="C74" s="1509"/>
      <c r="D74" s="944" t="s">
        <v>198</v>
      </c>
      <c r="E74" s="945">
        <f>'24'!F74</f>
        <v>882148</v>
      </c>
      <c r="F74" s="1038">
        <v>882181</v>
      </c>
      <c r="G74" s="946">
        <f t="shared" si="6"/>
        <v>33</v>
      </c>
      <c r="H74" s="947">
        <f>G74+'24'!H74</f>
        <v>866</v>
      </c>
      <c r="I74" s="966"/>
      <c r="J74" s="949">
        <f>H74/DAY(B2)</f>
        <v>34.64</v>
      </c>
      <c r="K74" s="1032"/>
      <c r="L74" s="924"/>
      <c r="O74" s="951"/>
    </row>
    <row r="75" spans="1:15">
      <c r="A75" s="1521" t="s">
        <v>205</v>
      </c>
      <c r="B75" s="1522"/>
      <c r="C75" s="1523"/>
      <c r="D75" s="944" t="s">
        <v>198</v>
      </c>
      <c r="E75" s="945">
        <f>'24'!F75</f>
        <v>736153</v>
      </c>
      <c r="F75" s="1038">
        <v>736353</v>
      </c>
      <c r="G75" s="946">
        <f t="shared" si="6"/>
        <v>200</v>
      </c>
      <c r="H75" s="947">
        <f>G75+'24'!H75</f>
        <v>4712</v>
      </c>
      <c r="I75" s="966"/>
      <c r="J75" s="949">
        <f>H75/DAY(B2)</f>
        <v>188.48</v>
      </c>
      <c r="K75" s="1031"/>
      <c r="L75" s="924"/>
      <c r="O75" s="951"/>
    </row>
    <row r="76" spans="1:15">
      <c r="A76" s="1521" t="s">
        <v>206</v>
      </c>
      <c r="B76" s="1522"/>
      <c r="C76" s="1523"/>
      <c r="D76" s="944" t="s">
        <v>198</v>
      </c>
      <c r="E76" s="945">
        <f>'24'!F76</f>
        <v>686471</v>
      </c>
      <c r="F76" s="1037">
        <v>686566</v>
      </c>
      <c r="G76" s="946">
        <f t="shared" si="6"/>
        <v>95</v>
      </c>
      <c r="H76" s="947">
        <f>G76+'24'!H76</f>
        <v>3467</v>
      </c>
      <c r="I76" s="1009"/>
      <c r="J76" s="949">
        <f>H76/DAY(B2)</f>
        <v>138.68</v>
      </c>
      <c r="K76" s="1031"/>
      <c r="L76" s="924"/>
      <c r="O76" s="951"/>
    </row>
    <row r="77" spans="1:15">
      <c r="A77" s="1507" t="s">
        <v>207</v>
      </c>
      <c r="B77" s="1508"/>
      <c r="C77" s="1509"/>
      <c r="D77" s="944" t="s">
        <v>198</v>
      </c>
      <c r="E77" s="945">
        <f>'24'!F77</f>
        <v>696734</v>
      </c>
      <c r="F77" s="1037">
        <v>696795</v>
      </c>
      <c r="G77" s="946">
        <f t="shared" si="6"/>
        <v>61</v>
      </c>
      <c r="H77" s="947">
        <f>G77+'24'!H77</f>
        <v>1401</v>
      </c>
      <c r="I77" s="1009"/>
      <c r="J77" s="949">
        <f>H77/DAY(B2)</f>
        <v>56.04</v>
      </c>
      <c r="K77" s="1031"/>
      <c r="L77" s="924"/>
      <c r="O77" s="951"/>
    </row>
    <row r="78" spans="1:15">
      <c r="A78" s="1039" t="s">
        <v>208</v>
      </c>
      <c r="B78" s="1248"/>
      <c r="C78" s="1248"/>
      <c r="D78" s="944" t="s">
        <v>198</v>
      </c>
      <c r="E78" s="945">
        <f>'24'!F78</f>
        <v>639294</v>
      </c>
      <c r="F78" s="1038">
        <v>639639</v>
      </c>
      <c r="G78" s="946">
        <f t="shared" si="6"/>
        <v>345</v>
      </c>
      <c r="H78" s="947">
        <f>G78+'24'!H78</f>
        <v>8866</v>
      </c>
      <c r="I78" s="1009"/>
      <c r="J78" s="949">
        <f>H78/DAY(B2)</f>
        <v>354.64</v>
      </c>
      <c r="K78" s="1031"/>
      <c r="L78" s="924"/>
      <c r="O78" s="951"/>
    </row>
    <row r="79" spans="1:15">
      <c r="A79" s="1521" t="s">
        <v>97</v>
      </c>
      <c r="B79" s="1522"/>
      <c r="C79" s="1523"/>
      <c r="D79" s="978" t="s">
        <v>198</v>
      </c>
      <c r="E79" s="945">
        <f>'24'!F79</f>
        <v>808363</v>
      </c>
      <c r="F79" s="1038">
        <v>808559</v>
      </c>
      <c r="G79" s="946">
        <f t="shared" si="6"/>
        <v>196</v>
      </c>
      <c r="H79" s="947">
        <f>G79+'24'!H79</f>
        <v>6788</v>
      </c>
      <c r="I79" s="1009"/>
      <c r="J79" s="949">
        <f>H79/DAY(B2)</f>
        <v>271.52</v>
      </c>
      <c r="K79" s="1031"/>
      <c r="L79" s="924"/>
      <c r="O79" s="951"/>
    </row>
    <row r="80" spans="1:15">
      <c r="A80" s="1521" t="s">
        <v>209</v>
      </c>
      <c r="B80" s="1522"/>
      <c r="C80" s="1523"/>
      <c r="D80" s="978" t="s">
        <v>198</v>
      </c>
      <c r="E80" s="945">
        <f>'24'!F80</f>
        <v>482957</v>
      </c>
      <c r="F80" s="1036">
        <v>483285.56</v>
      </c>
      <c r="G80" s="946">
        <f t="shared" si="6"/>
        <v>328.55999999999767</v>
      </c>
      <c r="H80" s="947">
        <f>G80+'24'!H80</f>
        <v>6073.7199999999721</v>
      </c>
      <c r="I80" s="1009"/>
      <c r="J80" s="949">
        <f>H80/DAY(B2)</f>
        <v>242.94879999999887</v>
      </c>
      <c r="K80" s="1031"/>
      <c r="L80" s="924"/>
      <c r="O80" s="951"/>
    </row>
    <row r="81" spans="1:15">
      <c r="A81" s="1521" t="s">
        <v>210</v>
      </c>
      <c r="B81" s="1522"/>
      <c r="C81" s="1523"/>
      <c r="D81" s="978" t="s">
        <v>198</v>
      </c>
      <c r="E81" s="945">
        <f>'24'!F81</f>
        <v>621979</v>
      </c>
      <c r="F81" s="1037">
        <v>622131.56000000006</v>
      </c>
      <c r="G81" s="946">
        <f t="shared" si="6"/>
        <v>152.56000000005588</v>
      </c>
      <c r="H81" s="947">
        <f>G81+'24'!H81</f>
        <v>2877.5600000000559</v>
      </c>
      <c r="I81" s="1009"/>
      <c r="J81" s="949">
        <f>H81/DAY(B2)</f>
        <v>115.10240000000223</v>
      </c>
      <c r="K81" s="1031"/>
      <c r="L81" s="924"/>
      <c r="O81" s="951"/>
    </row>
    <row r="82" spans="1:15">
      <c r="A82" s="1521" t="s">
        <v>100</v>
      </c>
      <c r="B82" s="1522"/>
      <c r="C82" s="1523"/>
      <c r="D82" s="979" t="s">
        <v>143</v>
      </c>
      <c r="E82" s="945">
        <f>'24'!F82</f>
        <v>105111</v>
      </c>
      <c r="F82" s="1040">
        <v>105169</v>
      </c>
      <c r="G82" s="946">
        <f t="shared" si="6"/>
        <v>58</v>
      </c>
      <c r="H82" s="947">
        <f>G82+'24'!H82</f>
        <v>731</v>
      </c>
      <c r="I82" s="980"/>
      <c r="J82" s="949">
        <f>H82/DAY(B2)</f>
        <v>29.24</v>
      </c>
      <c r="K82" s="1031"/>
      <c r="L82" s="924"/>
      <c r="N82" s="1113">
        <f>371*0.99</f>
        <v>367.29</v>
      </c>
      <c r="O82" s="951"/>
    </row>
    <row r="83" spans="1:15">
      <c r="A83" s="1521" t="s">
        <v>211</v>
      </c>
      <c r="B83" s="1522"/>
      <c r="C83" s="1523"/>
      <c r="D83" s="1041" t="s">
        <v>143</v>
      </c>
      <c r="E83" s="945">
        <f>'24'!F83</f>
        <v>981601</v>
      </c>
      <c r="F83" s="931">
        <v>981841</v>
      </c>
      <c r="G83" s="946">
        <f t="shared" si="6"/>
        <v>240</v>
      </c>
      <c r="H83" s="947">
        <f>G83+'24'!H83</f>
        <v>8370</v>
      </c>
      <c r="I83" s="969"/>
      <c r="J83" s="949">
        <f>H83/DAY(B2)</f>
        <v>334.8</v>
      </c>
      <c r="K83" s="972"/>
      <c r="L83" s="924"/>
      <c r="O83" s="951"/>
    </row>
    <row r="84" spans="1:15">
      <c r="A84" s="1042" t="s">
        <v>212</v>
      </c>
      <c r="B84" s="1043"/>
      <c r="C84" s="1043"/>
      <c r="D84" s="963" t="s">
        <v>143</v>
      </c>
      <c r="E84" s="945">
        <f>'24'!F84</f>
        <v>412393</v>
      </c>
      <c r="F84" s="1044">
        <v>412909</v>
      </c>
      <c r="G84" s="946">
        <f t="shared" si="6"/>
        <v>516</v>
      </c>
      <c r="H84" s="947">
        <f>G84+'24'!H84</f>
        <v>15713</v>
      </c>
      <c r="I84" s="969"/>
      <c r="J84" s="949">
        <f>H84/DAY(B2)</f>
        <v>628.52</v>
      </c>
      <c r="K84" s="1045"/>
      <c r="L84" s="924"/>
      <c r="O84" s="951"/>
    </row>
    <row r="85" spans="1:15" s="1049" customFormat="1">
      <c r="A85" s="1046" t="s">
        <v>213</v>
      </c>
      <c r="B85" s="1047"/>
      <c r="C85" s="1047"/>
      <c r="D85" s="984"/>
      <c r="E85" s="945"/>
      <c r="F85" s="944"/>
      <c r="G85" s="947">
        <f xml:space="preserve"> SUM(G72:G84)</f>
        <v>2273.1200000000536</v>
      </c>
      <c r="H85" s="947">
        <f>G85+'24'!H85</f>
        <v>58079.120000000054</v>
      </c>
      <c r="I85" s="969"/>
      <c r="J85" s="949">
        <f>H85/DAY(B2)</f>
        <v>2323.1648000000023</v>
      </c>
      <c r="K85" s="1045"/>
      <c r="L85" s="1048"/>
      <c r="N85" s="1116"/>
      <c r="O85" s="951"/>
    </row>
    <row r="86" spans="1:15" s="1059" customFormat="1">
      <c r="A86" s="1050" t="s">
        <v>102</v>
      </c>
      <c r="B86" s="1051"/>
      <c r="C86" s="1051"/>
      <c r="D86" s="1052" t="s">
        <v>194</v>
      </c>
      <c r="E86" s="945">
        <f>'24'!F86</f>
        <v>446461</v>
      </c>
      <c r="F86" s="1053">
        <v>446558.69</v>
      </c>
      <c r="G86" s="1054">
        <f t="shared" ref="G86:G90" si="7">F86-E86</f>
        <v>97.690000000002328</v>
      </c>
      <c r="H86" s="1054">
        <f t="shared" ref="H86:H88" si="8">G86</f>
        <v>97.690000000002328</v>
      </c>
      <c r="I86" s="1055"/>
      <c r="J86" s="1056">
        <f>H86/DAY(B2)</f>
        <v>3.9076000000000932</v>
      </c>
      <c r="K86" s="1057"/>
      <c r="L86" s="1058"/>
      <c r="N86" s="1117">
        <f>G86/0.995</f>
        <v>98.180904522615407</v>
      </c>
      <c r="O86" s="951"/>
    </row>
    <row r="87" spans="1:15" s="1059" customFormat="1">
      <c r="A87" s="1050" t="s">
        <v>103</v>
      </c>
      <c r="B87" s="1051"/>
      <c r="C87" s="1051"/>
      <c r="D87" s="1052" t="s">
        <v>194</v>
      </c>
      <c r="E87" s="945">
        <f>'24'!F87</f>
        <v>78279</v>
      </c>
      <c r="F87" s="1053">
        <v>78306.8</v>
      </c>
      <c r="G87" s="1054">
        <f t="shared" si="7"/>
        <v>27.80000000000291</v>
      </c>
      <c r="H87" s="1054">
        <f t="shared" si="8"/>
        <v>27.80000000000291</v>
      </c>
      <c r="I87" s="1055"/>
      <c r="J87" s="1056">
        <f>H87/DAY(B2)</f>
        <v>1.1120000000001165</v>
      </c>
      <c r="K87" s="1057"/>
      <c r="L87" s="1058"/>
      <c r="N87" s="1117"/>
      <c r="O87" s="951"/>
    </row>
    <row r="88" spans="1:15" s="1059" customFormat="1">
      <c r="A88" s="1050" t="s">
        <v>104</v>
      </c>
      <c r="B88" s="1051"/>
      <c r="C88" s="1051"/>
      <c r="D88" s="1052" t="s">
        <v>194</v>
      </c>
      <c r="E88" s="945">
        <f>'24'!F88</f>
        <v>146024</v>
      </c>
      <c r="F88" s="1053">
        <v>146075.76</v>
      </c>
      <c r="G88" s="1054">
        <f t="shared" si="7"/>
        <v>51.760000000009313</v>
      </c>
      <c r="H88" s="1054">
        <f t="shared" si="8"/>
        <v>51.760000000009313</v>
      </c>
      <c r="I88" s="1055"/>
      <c r="J88" s="1056">
        <f>H88/DAY(B2)</f>
        <v>2.0704000000003724</v>
      </c>
      <c r="K88" s="1057"/>
      <c r="L88" s="1058"/>
      <c r="N88" s="1117"/>
      <c r="O88" s="951"/>
    </row>
    <row r="89" spans="1:15" s="1059" customFormat="1">
      <c r="A89" s="1050" t="s">
        <v>215</v>
      </c>
      <c r="B89" s="1051"/>
      <c r="C89" s="1051"/>
      <c r="D89" s="1052" t="s">
        <v>194</v>
      </c>
      <c r="E89" s="945">
        <f>'24'!F89</f>
        <v>59304</v>
      </c>
      <c r="F89" s="1053">
        <v>59361.4</v>
      </c>
      <c r="G89" s="1054">
        <f t="shared" si="7"/>
        <v>57.400000000001455</v>
      </c>
      <c r="H89" s="1054">
        <f>G89</f>
        <v>57.400000000001455</v>
      </c>
      <c r="I89" s="1055"/>
      <c r="J89" s="1056">
        <f>H89/DAY(B2)</f>
        <v>2.296000000000058</v>
      </c>
      <c r="K89" s="1057"/>
      <c r="L89" s="1058"/>
      <c r="N89" s="1124">
        <f>204/205</f>
        <v>0.99512195121951219</v>
      </c>
      <c r="O89" s="951"/>
    </row>
    <row r="90" spans="1:15" s="1059" customFormat="1">
      <c r="A90" s="1050" t="s">
        <v>215</v>
      </c>
      <c r="B90" s="1051"/>
      <c r="C90" s="1051"/>
      <c r="D90" s="1052" t="s">
        <v>194</v>
      </c>
      <c r="E90" s="945">
        <f>'24'!F90</f>
        <v>3047</v>
      </c>
      <c r="F90" s="1053">
        <v>3049</v>
      </c>
      <c r="G90" s="1054">
        <f t="shared" si="7"/>
        <v>2</v>
      </c>
      <c r="H90" s="1054">
        <f>G90</f>
        <v>2</v>
      </c>
      <c r="I90" s="1055"/>
      <c r="J90" s="1056">
        <f>H90/DAY(B2)</f>
        <v>0.08</v>
      </c>
      <c r="K90" s="1057"/>
      <c r="L90" s="1058"/>
      <c r="N90" s="1118"/>
      <c r="O90" s="951"/>
    </row>
    <row r="91" spans="1:15" s="1049" customFormat="1">
      <c r="A91" s="1060" t="s">
        <v>216</v>
      </c>
      <c r="B91" s="939"/>
      <c r="C91" s="939"/>
      <c r="D91" s="939"/>
      <c r="E91" s="939"/>
      <c r="F91" s="939"/>
      <c r="G91" s="983"/>
      <c r="H91" s="939"/>
      <c r="I91" s="939"/>
      <c r="J91" s="940"/>
      <c r="K91" s="1045"/>
      <c r="L91" s="1048"/>
      <c r="N91" s="1116"/>
      <c r="O91" s="951"/>
    </row>
    <row r="92" spans="1:15">
      <c r="A92" s="1501" t="s">
        <v>217</v>
      </c>
      <c r="B92" s="1502"/>
      <c r="C92" s="1503"/>
      <c r="D92" s="944" t="s">
        <v>155</v>
      </c>
      <c r="E92" s="945">
        <f>'24'!F92</f>
        <v>235985</v>
      </c>
      <c r="F92" s="975">
        <v>236081</v>
      </c>
      <c r="G92" s="946">
        <f t="shared" ref="G92:G93" si="9">F92-E92</f>
        <v>96</v>
      </c>
      <c r="H92" s="947">
        <f>G92+'24'!H92</f>
        <v>2179</v>
      </c>
      <c r="I92" s="966"/>
      <c r="J92" s="949">
        <f>H92/DAY(B2)</f>
        <v>87.16</v>
      </c>
      <c r="K92" s="972"/>
      <c r="L92" s="924"/>
      <c r="O92" s="951"/>
    </row>
    <row r="93" spans="1:15">
      <c r="A93" s="1501" t="s">
        <v>218</v>
      </c>
      <c r="B93" s="1502"/>
      <c r="C93" s="1503"/>
      <c r="D93" s="944" t="s">
        <v>155</v>
      </c>
      <c r="E93" s="945">
        <f>'24'!F93</f>
        <v>170202</v>
      </c>
      <c r="F93" s="975">
        <v>170363</v>
      </c>
      <c r="G93" s="946">
        <f t="shared" si="9"/>
        <v>161</v>
      </c>
      <c r="H93" s="947">
        <f>G93+'24'!H93</f>
        <v>3447</v>
      </c>
      <c r="I93" s="966"/>
      <c r="J93" s="949">
        <f>H93/DAY(B2)</f>
        <v>137.88</v>
      </c>
      <c r="K93" s="1045"/>
      <c r="L93" s="924"/>
      <c r="O93" s="951"/>
    </row>
    <row r="94" spans="1:15">
      <c r="A94" s="1510" t="s">
        <v>219</v>
      </c>
      <c r="B94" s="1511"/>
      <c r="C94" s="1512"/>
      <c r="D94" s="944"/>
      <c r="E94" s="945">
        <f>'24'!F94</f>
        <v>0</v>
      </c>
      <c r="F94" s="975"/>
      <c r="G94" s="946">
        <f>G92+G93</f>
        <v>257</v>
      </c>
      <c r="H94" s="947">
        <f>G94+'24'!H94</f>
        <v>5352</v>
      </c>
      <c r="I94" s="966"/>
      <c r="J94" s="949">
        <f>H94/DAY(B2)</f>
        <v>214.08</v>
      </c>
      <c r="K94" s="1045"/>
      <c r="L94" s="924"/>
      <c r="O94" s="951"/>
    </row>
    <row r="95" spans="1:15">
      <c r="A95" s="1501" t="s">
        <v>220</v>
      </c>
      <c r="B95" s="1502"/>
      <c r="C95" s="1503"/>
      <c r="D95" s="944" t="s">
        <v>155</v>
      </c>
      <c r="E95" s="945">
        <f>'24'!F95</f>
        <v>405431</v>
      </c>
      <c r="F95" s="975">
        <v>405514</v>
      </c>
      <c r="G95" s="946">
        <f t="shared" ref="G95:G100" si="10">F95-E95</f>
        <v>83</v>
      </c>
      <c r="H95" s="947">
        <f>G95+'24'!H95</f>
        <v>1849</v>
      </c>
      <c r="I95" s="966"/>
      <c r="J95" s="949">
        <f>H95/DAY(B2)</f>
        <v>73.959999999999994</v>
      </c>
      <c r="K95" s="1045"/>
      <c r="L95" s="924"/>
      <c r="O95" s="951"/>
    </row>
    <row r="96" spans="1:15">
      <c r="A96" s="973" t="s">
        <v>221</v>
      </c>
      <c r="B96" s="974"/>
      <c r="C96" s="974"/>
      <c r="D96" s="944" t="s">
        <v>155</v>
      </c>
      <c r="E96" s="945">
        <f>'24'!F96</f>
        <v>100356</v>
      </c>
      <c r="F96" s="975">
        <v>100380</v>
      </c>
      <c r="G96" s="946">
        <f t="shared" si="10"/>
        <v>24</v>
      </c>
      <c r="H96" s="947">
        <f>G96+'24'!H96</f>
        <v>459</v>
      </c>
      <c r="I96" s="966"/>
      <c r="J96" s="949">
        <f>H96/DAY(B2)</f>
        <v>18.36</v>
      </c>
      <c r="K96" s="941"/>
      <c r="L96" s="924"/>
      <c r="O96" s="951"/>
    </row>
    <row r="97" spans="1:15">
      <c r="A97" s="973" t="s">
        <v>222</v>
      </c>
      <c r="B97" s="974"/>
      <c r="C97" s="974"/>
      <c r="D97" s="944" t="s">
        <v>155</v>
      </c>
      <c r="E97" s="945">
        <f>'24'!F97</f>
        <v>95532</v>
      </c>
      <c r="F97" s="1096">
        <v>95557</v>
      </c>
      <c r="G97" s="946">
        <f t="shared" si="10"/>
        <v>25</v>
      </c>
      <c r="H97" s="947">
        <f>G97+'24'!H97</f>
        <v>530</v>
      </c>
      <c r="I97" s="966"/>
      <c r="J97" s="949">
        <f>H97/DAY(B2)</f>
        <v>21.2</v>
      </c>
      <c r="K97" s="1061"/>
      <c r="L97" s="924"/>
      <c r="O97" s="951"/>
    </row>
    <row r="98" spans="1:15">
      <c r="A98" s="973" t="s">
        <v>223</v>
      </c>
      <c r="B98" s="974"/>
      <c r="C98" s="974"/>
      <c r="D98" s="944" t="s">
        <v>155</v>
      </c>
      <c r="E98" s="945">
        <f>'24'!F98</f>
        <v>145122</v>
      </c>
      <c r="F98" s="975">
        <v>145172</v>
      </c>
      <c r="G98" s="946">
        <f t="shared" si="10"/>
        <v>50</v>
      </c>
      <c r="H98" s="947">
        <f>G98+'24'!H98</f>
        <v>1365</v>
      </c>
      <c r="I98" s="966"/>
      <c r="J98" s="949">
        <f>H98/DAY(B2)</f>
        <v>54.6</v>
      </c>
      <c r="K98" s="1045"/>
      <c r="L98" s="924"/>
      <c r="O98" s="951"/>
    </row>
    <row r="99" spans="1:15">
      <c r="A99" s="973" t="s">
        <v>224</v>
      </c>
      <c r="B99" s="974"/>
      <c r="C99" s="974"/>
      <c r="D99" s="944" t="s">
        <v>155</v>
      </c>
      <c r="E99" s="945">
        <f>'24'!F99</f>
        <v>5826</v>
      </c>
      <c r="F99" s="975">
        <v>5843</v>
      </c>
      <c r="G99" s="946">
        <f t="shared" si="10"/>
        <v>17</v>
      </c>
      <c r="H99" s="947">
        <f>G99+'24'!H99</f>
        <v>341</v>
      </c>
      <c r="I99" s="966"/>
      <c r="J99" s="949">
        <f>H99/DAY(B2)</f>
        <v>13.64</v>
      </c>
      <c r="K99" s="1045"/>
      <c r="L99" s="924"/>
      <c r="O99" s="951"/>
    </row>
    <row r="100" spans="1:15">
      <c r="A100" s="973" t="s">
        <v>225</v>
      </c>
      <c r="B100" s="974"/>
      <c r="C100" s="974"/>
      <c r="D100" s="944" t="s">
        <v>155</v>
      </c>
      <c r="E100" s="945">
        <f>'24'!F100</f>
        <v>4187</v>
      </c>
      <c r="F100" s="975">
        <v>4195</v>
      </c>
      <c r="G100" s="946">
        <f t="shared" si="10"/>
        <v>8</v>
      </c>
      <c r="H100" s="947">
        <f>G100+'24'!H100</f>
        <v>231</v>
      </c>
      <c r="I100" s="966"/>
      <c r="J100" s="949">
        <f>H100/DAY(B2)</f>
        <v>9.24</v>
      </c>
      <c r="K100" s="1045"/>
      <c r="L100" s="924"/>
      <c r="O100" s="951"/>
    </row>
    <row r="101" spans="1:15">
      <c r="A101" s="1510" t="s">
        <v>227</v>
      </c>
      <c r="B101" s="1511"/>
      <c r="C101" s="1512"/>
      <c r="D101" s="978"/>
      <c r="E101" s="978"/>
      <c r="F101" s="978"/>
      <c r="G101" s="1062">
        <f>SUM(G95:G100)</f>
        <v>207</v>
      </c>
      <c r="H101" s="947">
        <f>G101+'24'!H101</f>
        <v>4775</v>
      </c>
      <c r="I101" s="1063"/>
      <c r="J101" s="949">
        <f>H101/DAY(B2)</f>
        <v>191</v>
      </c>
      <c r="K101" s="1045"/>
      <c r="L101" s="924"/>
      <c r="O101" s="951"/>
    </row>
    <row r="102" spans="1:15" s="996" customFormat="1">
      <c r="A102" s="1064" t="s">
        <v>228</v>
      </c>
      <c r="B102" s="1065"/>
      <c r="C102" s="1065"/>
      <c r="D102" s="1066"/>
      <c r="E102" s="1067"/>
      <c r="F102" s="1068"/>
      <c r="G102" s="1069"/>
      <c r="H102" s="1070"/>
      <c r="I102" s="1071"/>
      <c r="J102" s="1072"/>
      <c r="N102" s="1114"/>
      <c r="O102" s="951"/>
    </row>
    <row r="103" spans="1:15" s="996" customFormat="1">
      <c r="A103" s="1518" t="s">
        <v>229</v>
      </c>
      <c r="B103" s="1519"/>
      <c r="C103" s="1073"/>
      <c r="D103" s="1074"/>
      <c r="E103" s="1075"/>
      <c r="F103" s="1075"/>
      <c r="G103" s="1075"/>
      <c r="H103" s="1076"/>
      <c r="I103" s="1075"/>
      <c r="J103" s="1077"/>
      <c r="N103" s="1114"/>
      <c r="O103" s="951"/>
    </row>
    <row r="104" spans="1:15" s="996" customFormat="1">
      <c r="A104" s="1491" t="s">
        <v>230</v>
      </c>
      <c r="B104" s="1492"/>
      <c r="C104" s="1078"/>
      <c r="D104" s="1074" t="s">
        <v>155</v>
      </c>
      <c r="E104" s="1075">
        <f>'24'!F104</f>
        <v>7010</v>
      </c>
      <c r="F104" s="1075">
        <v>7010</v>
      </c>
      <c r="G104" s="1075">
        <f>F104-E104</f>
        <v>0</v>
      </c>
      <c r="H104" s="1076">
        <f>SUM(G104+'1'!G76)</f>
        <v>98</v>
      </c>
      <c r="I104" s="1075"/>
      <c r="J104" s="1077">
        <f>H104/DAY(B2)</f>
        <v>3.92</v>
      </c>
      <c r="N104" s="1114"/>
      <c r="O104" s="951"/>
    </row>
    <row r="105" spans="1:15" s="996" customFormat="1">
      <c r="A105" s="1491" t="s">
        <v>77</v>
      </c>
      <c r="B105" s="1492"/>
      <c r="C105" s="1078"/>
      <c r="D105" s="1074" t="s">
        <v>155</v>
      </c>
      <c r="E105" s="1075">
        <f>'24'!F105</f>
        <v>35103</v>
      </c>
      <c r="F105" s="1079">
        <v>35117</v>
      </c>
      <c r="G105" s="1075">
        <f t="shared" ref="G105:G106" si="11">F105-E105</f>
        <v>14</v>
      </c>
      <c r="H105" s="1076">
        <f>SUM(G105+'1'!G77)</f>
        <v>75</v>
      </c>
      <c r="I105" s="1075"/>
      <c r="J105" s="1077">
        <f>H105/DAY(B2)</f>
        <v>3</v>
      </c>
      <c r="N105" s="1114"/>
      <c r="O105" s="951"/>
    </row>
    <row r="106" spans="1:15" s="996" customFormat="1">
      <c r="A106" s="1491" t="s">
        <v>78</v>
      </c>
      <c r="B106" s="1520"/>
      <c r="C106" s="1492"/>
      <c r="D106" s="1074" t="s">
        <v>155</v>
      </c>
      <c r="E106" s="1075">
        <f>'24'!F106</f>
        <v>19049</v>
      </c>
      <c r="F106" s="1075">
        <v>19056</v>
      </c>
      <c r="G106" s="1075">
        <f t="shared" si="11"/>
        <v>7</v>
      </c>
      <c r="H106" s="1076">
        <f>SUM(G106+'1'!G78)</f>
        <v>376</v>
      </c>
      <c r="I106" s="1075"/>
      <c r="J106" s="1077">
        <f>H106/DAY(B2)</f>
        <v>15.04</v>
      </c>
      <c r="N106" s="1114"/>
      <c r="O106" s="951"/>
    </row>
    <row r="107" spans="1:15" s="996" customFormat="1">
      <c r="A107" s="1493" t="s">
        <v>213</v>
      </c>
      <c r="B107" s="1494"/>
      <c r="C107" s="1078"/>
      <c r="D107" s="1074"/>
      <c r="E107" s="1075">
        <f>'24'!F107</f>
        <v>0</v>
      </c>
      <c r="F107" s="1075"/>
      <c r="G107" s="1075">
        <f>SUM(G104:G106)</f>
        <v>21</v>
      </c>
      <c r="H107" s="1076">
        <f>SUM(G107+'1'!G79)</f>
        <v>208</v>
      </c>
      <c r="I107" s="1075"/>
      <c r="J107" s="1077">
        <f>H107/DAY(B2)</f>
        <v>8.32</v>
      </c>
      <c r="N107" s="1114"/>
      <c r="O107" s="951"/>
    </row>
    <row r="108" spans="1:15" s="996" customFormat="1">
      <c r="A108" s="1499" t="s">
        <v>79</v>
      </c>
      <c r="B108" s="1500"/>
      <c r="C108" s="1078"/>
      <c r="D108" s="1074" t="s">
        <v>155</v>
      </c>
      <c r="E108" s="1075">
        <f>'24'!F108</f>
        <v>0</v>
      </c>
      <c r="F108" s="1075"/>
      <c r="G108" s="1075"/>
      <c r="H108" s="1076"/>
      <c r="I108" s="1075"/>
      <c r="J108" s="1077"/>
      <c r="N108" s="1114"/>
      <c r="O108" s="951"/>
    </row>
    <row r="109" spans="1:15" s="996" customFormat="1">
      <c r="A109" s="1491" t="s">
        <v>231</v>
      </c>
      <c r="B109" s="1492"/>
      <c r="C109" s="1078"/>
      <c r="D109" s="1074" t="s">
        <v>155</v>
      </c>
      <c r="E109" s="1075">
        <f>'24'!F109</f>
        <v>54314</v>
      </c>
      <c r="F109" s="1075">
        <v>54355</v>
      </c>
      <c r="G109" s="1075">
        <f>F109-E109</f>
        <v>41</v>
      </c>
      <c r="H109" s="1076">
        <f>SUM(G109+'1'!G81)</f>
        <v>170</v>
      </c>
      <c r="I109" s="1075"/>
      <c r="J109" s="1077">
        <f>H109/DAY(B2)</f>
        <v>6.8</v>
      </c>
      <c r="N109" s="1114"/>
      <c r="O109" s="951"/>
    </row>
    <row r="110" spans="1:15" s="996" customFormat="1">
      <c r="A110" s="1491" t="s">
        <v>232</v>
      </c>
      <c r="B110" s="1492"/>
      <c r="C110" s="1078"/>
      <c r="D110" s="1074" t="s">
        <v>155</v>
      </c>
      <c r="E110" s="1075">
        <f>'24'!F110</f>
        <v>28121</v>
      </c>
      <c r="F110" s="1075">
        <v>28181</v>
      </c>
      <c r="G110" s="1075">
        <f t="shared" ref="G110:G111" si="12">F110-E110</f>
        <v>60</v>
      </c>
      <c r="H110" s="1076">
        <f>SUM(G110+'1'!G82)</f>
        <v>83</v>
      </c>
      <c r="I110" s="1075"/>
      <c r="J110" s="1077">
        <f>H110/DAY(B2)</f>
        <v>3.32</v>
      </c>
      <c r="N110" s="1114"/>
      <c r="O110" s="951"/>
    </row>
    <row r="111" spans="1:15" s="996" customFormat="1">
      <c r="A111" s="1491" t="s">
        <v>233</v>
      </c>
      <c r="B111" s="1492"/>
      <c r="C111" s="1078"/>
      <c r="D111" s="1074" t="s">
        <v>155</v>
      </c>
      <c r="E111" s="1075">
        <f>'24'!F111</f>
        <v>3707</v>
      </c>
      <c r="F111" s="1075">
        <v>3721</v>
      </c>
      <c r="G111" s="1075">
        <f t="shared" si="12"/>
        <v>14</v>
      </c>
      <c r="H111" s="1076">
        <f>SUM(G111+'1'!G83)</f>
        <v>347</v>
      </c>
      <c r="I111" s="1075"/>
      <c r="J111" s="1077">
        <f>H111/DAY(B2)</f>
        <v>13.88</v>
      </c>
      <c r="N111" s="1114"/>
      <c r="O111" s="951"/>
    </row>
    <row r="112" spans="1:15" s="996" customFormat="1">
      <c r="A112" s="1497" t="s">
        <v>121</v>
      </c>
      <c r="B112" s="1498"/>
      <c r="C112" s="1078"/>
      <c r="D112" s="1074"/>
      <c r="E112" s="1075">
        <f>'24'!F112</f>
        <v>0</v>
      </c>
      <c r="F112" s="1075"/>
      <c r="G112" s="1075">
        <f>SUM(G109:G111)</f>
        <v>115</v>
      </c>
      <c r="H112" s="1076">
        <f>SUM(G112+'1'!G84)</f>
        <v>561</v>
      </c>
      <c r="I112" s="1075"/>
      <c r="J112" s="1077">
        <f>H112/DAY(B2)</f>
        <v>22.44</v>
      </c>
      <c r="N112" s="1114"/>
      <c r="O112" s="951"/>
    </row>
    <row r="113" spans="1:15" s="996" customFormat="1">
      <c r="A113" s="1499" t="s">
        <v>234</v>
      </c>
      <c r="B113" s="1500"/>
      <c r="C113" s="1078"/>
      <c r="D113" s="1074"/>
      <c r="E113" s="1075">
        <f>'24'!F113</f>
        <v>0</v>
      </c>
      <c r="F113" s="1075"/>
      <c r="G113" s="1075"/>
      <c r="H113" s="1076"/>
      <c r="I113" s="1075"/>
      <c r="J113" s="1077">
        <f>H113/DAY(B2)</f>
        <v>0</v>
      </c>
      <c r="N113" s="1114"/>
      <c r="O113" s="951"/>
    </row>
    <row r="114" spans="1:15" s="996" customFormat="1">
      <c r="A114" s="1491" t="s">
        <v>235</v>
      </c>
      <c r="B114" s="1492"/>
      <c r="C114" s="1080"/>
      <c r="D114" s="1074" t="s">
        <v>155</v>
      </c>
      <c r="E114" s="1075">
        <f>'24'!F114</f>
        <v>9629</v>
      </c>
      <c r="F114" s="1079">
        <v>9649</v>
      </c>
      <c r="G114" s="1079">
        <f>F114-E114</f>
        <v>20</v>
      </c>
      <c r="H114" s="1076">
        <f>SUM(G114+'1'!G91)</f>
        <v>20</v>
      </c>
      <c r="I114" s="1075"/>
      <c r="J114" s="1077">
        <f>H114/DAY(B2)</f>
        <v>0.8</v>
      </c>
      <c r="N114" s="1114"/>
      <c r="O114" s="951"/>
    </row>
    <row r="115" spans="1:15" s="996" customFormat="1">
      <c r="A115" s="1491" t="s">
        <v>236</v>
      </c>
      <c r="B115" s="1492"/>
      <c r="C115" s="1080"/>
      <c r="D115" s="1074" t="s">
        <v>155</v>
      </c>
      <c r="E115" s="1075">
        <f>'24'!F115</f>
        <v>7382</v>
      </c>
      <c r="F115" s="1079">
        <v>7388</v>
      </c>
      <c r="G115" s="1079">
        <f t="shared" ref="G115:G116" si="13">F115-E115</f>
        <v>6</v>
      </c>
      <c r="H115" s="1076">
        <f>SUM(G115+'1'!G92)</f>
        <v>139</v>
      </c>
      <c r="I115" s="1075"/>
      <c r="J115" s="1077">
        <f>H115/DAY(B2)</f>
        <v>5.56</v>
      </c>
      <c r="N115" s="1114"/>
      <c r="O115" s="951"/>
    </row>
    <row r="116" spans="1:15" s="996" customFormat="1">
      <c r="A116" s="1491" t="s">
        <v>237</v>
      </c>
      <c r="B116" s="1492"/>
      <c r="C116" s="1080"/>
      <c r="D116" s="1074" t="s">
        <v>155</v>
      </c>
      <c r="E116" s="1079"/>
      <c r="F116" s="1079"/>
      <c r="G116" s="1079">
        <f t="shared" si="13"/>
        <v>0</v>
      </c>
      <c r="H116" s="1076">
        <f>SUM(G116+'1'!G93)</f>
        <v>141</v>
      </c>
      <c r="I116" s="1075"/>
      <c r="J116" s="1077">
        <f>H116/DAY(B2)</f>
        <v>5.64</v>
      </c>
      <c r="N116" s="1114"/>
      <c r="O116" s="951"/>
    </row>
    <row r="117" spans="1:15" s="1082" customFormat="1">
      <c r="A117" s="1493" t="s">
        <v>213</v>
      </c>
      <c r="B117" s="1494"/>
      <c r="C117" s="1080"/>
      <c r="D117" s="1081"/>
      <c r="E117" s="1079"/>
      <c r="F117" s="1079"/>
      <c r="G117" s="1079">
        <f>SUM(G114:G116)</f>
        <v>26</v>
      </c>
      <c r="H117" s="1076">
        <f>SUM(G117+'1'!G95)</f>
        <v>86</v>
      </c>
      <c r="I117" s="1079"/>
      <c r="J117" s="1077">
        <f>H117/DAY(B2)</f>
        <v>3.44</v>
      </c>
      <c r="N117" s="1119"/>
      <c r="O117" s="951"/>
    </row>
    <row r="118" spans="1:15" s="869" customFormat="1">
      <c r="A118" s="1495" t="s">
        <v>238</v>
      </c>
      <c r="B118" s="1496"/>
      <c r="C118" s="1083"/>
      <c r="D118" s="1084" t="s">
        <v>155</v>
      </c>
      <c r="E118" s="1085"/>
      <c r="F118" s="1086">
        <f>SUM(G19+G92)</f>
        <v>149</v>
      </c>
      <c r="G118" s="1086">
        <f>SUM(G19+G92)</f>
        <v>149</v>
      </c>
      <c r="H118" s="1076">
        <f>SUM(G118+'1'!G96)</f>
        <v>182</v>
      </c>
      <c r="I118" s="1085"/>
      <c r="J118" s="1087">
        <f>H118/DAY(B2)</f>
        <v>7.28</v>
      </c>
      <c r="N118" s="1120"/>
      <c r="O118" s="951"/>
    </row>
    <row r="119" spans="1:15" s="869" customFormat="1">
      <c r="A119" s="1495" t="s">
        <v>239</v>
      </c>
      <c r="B119" s="1496"/>
      <c r="C119" s="1083"/>
      <c r="D119" s="1084" t="s">
        <v>155</v>
      </c>
      <c r="E119" s="1085"/>
      <c r="F119" s="1086">
        <f>SUM(G95,G96,G97,G99,G100)</f>
        <v>157</v>
      </c>
      <c r="G119" s="1086">
        <f>SUM(G95,G96,G97,G99,G100)</f>
        <v>157</v>
      </c>
      <c r="H119" s="1076">
        <f>SUM(G119+'1'!G98)</f>
        <v>207</v>
      </c>
      <c r="I119" s="1085"/>
      <c r="J119" s="1087">
        <f>H119/DAY(B2)</f>
        <v>8.2799999999999994</v>
      </c>
      <c r="N119" s="1120"/>
      <c r="O119" s="951"/>
    </row>
    <row r="120" spans="1:15" s="869" customFormat="1">
      <c r="A120" s="1495" t="s">
        <v>240</v>
      </c>
      <c r="B120" s="1496"/>
      <c r="C120" s="1083"/>
      <c r="D120" s="1084" t="s">
        <v>155</v>
      </c>
      <c r="E120" s="1085"/>
      <c r="F120" s="1079">
        <f>SUM(G112)</f>
        <v>115</v>
      </c>
      <c r="G120" s="1079">
        <f>SUM(G112)</f>
        <v>115</v>
      </c>
      <c r="H120" s="1076">
        <f>SUM(G120+'1'!G100)</f>
        <v>132</v>
      </c>
      <c r="I120" s="1085"/>
      <c r="J120" s="1087">
        <f>H120/DAY(B2)</f>
        <v>5.28</v>
      </c>
      <c r="N120" s="1120"/>
      <c r="O120" s="951"/>
    </row>
    <row r="121" spans="1:15" s="996" customFormat="1">
      <c r="A121" s="1489"/>
      <c r="B121" s="1490"/>
      <c r="C121" s="1078"/>
      <c r="D121" s="1073"/>
      <c r="E121" s="1073"/>
      <c r="F121" s="1073" t="s">
        <v>226</v>
      </c>
      <c r="G121" s="1073"/>
      <c r="H121" s="1088"/>
      <c r="I121" s="1073"/>
      <c r="J121" s="1089"/>
      <c r="N121" s="1114"/>
      <c r="O121" s="951"/>
    </row>
    <row r="122" spans="1:15">
      <c r="A122" s="1513" t="s">
        <v>241</v>
      </c>
      <c r="B122" s="1514"/>
      <c r="C122" s="1515"/>
      <c r="D122" s="939"/>
      <c r="E122" s="939"/>
      <c r="F122" s="939"/>
      <c r="G122" s="971"/>
      <c r="H122" s="971"/>
      <c r="I122" s="971"/>
      <c r="J122" s="1090"/>
      <c r="K122" s="1045"/>
      <c r="L122" s="924"/>
      <c r="O122" s="951"/>
    </row>
    <row r="123" spans="1:15">
      <c r="A123" s="973" t="s">
        <v>242</v>
      </c>
      <c r="B123" s="974"/>
      <c r="C123" s="974"/>
      <c r="D123" s="944" t="s">
        <v>152</v>
      </c>
      <c r="E123" s="945">
        <f>'24'!F123</f>
        <v>801487</v>
      </c>
      <c r="F123" s="963">
        <v>801756.21</v>
      </c>
      <c r="G123" s="946">
        <f t="shared" ref="G123:G127" si="14">F123-E123</f>
        <v>269.20999999996275</v>
      </c>
      <c r="H123" s="947">
        <f>G123+'24'!H123</f>
        <v>6332.1599999999162</v>
      </c>
      <c r="I123" s="1063"/>
      <c r="J123" s="949">
        <f>H123/DAY(B2)</f>
        <v>253.28639999999666</v>
      </c>
      <c r="K123" s="1045"/>
      <c r="L123" s="924"/>
      <c r="O123" s="951"/>
    </row>
    <row r="124" spans="1:15">
      <c r="A124" s="973" t="s">
        <v>243</v>
      </c>
      <c r="B124" s="974"/>
      <c r="C124" s="974"/>
      <c r="D124" s="944" t="s">
        <v>152</v>
      </c>
      <c r="E124" s="945">
        <f>'24'!F124</f>
        <v>73582</v>
      </c>
      <c r="F124" s="1091">
        <v>73582</v>
      </c>
      <c r="G124" s="946">
        <f t="shared" si="14"/>
        <v>0</v>
      </c>
      <c r="H124" s="947">
        <f>G124+'24'!H124</f>
        <v>-0.19999999999708962</v>
      </c>
      <c r="I124" s="1063"/>
      <c r="J124" s="949">
        <f>H124/DAY(B2)</f>
        <v>-7.9999999998835846E-3</v>
      </c>
      <c r="K124" s="1045"/>
      <c r="L124" s="924"/>
      <c r="O124" s="951"/>
    </row>
    <row r="125" spans="1:15">
      <c r="A125" s="1507" t="s">
        <v>244</v>
      </c>
      <c r="B125" s="1508"/>
      <c r="C125" s="1509"/>
      <c r="D125" s="944" t="s">
        <v>152</v>
      </c>
      <c r="E125" s="945">
        <f>'24'!F125</f>
        <v>137389.37</v>
      </c>
      <c r="F125" s="963">
        <v>137479</v>
      </c>
      <c r="G125" s="946">
        <f t="shared" si="14"/>
        <v>89.630000000004657</v>
      </c>
      <c r="H125" s="947">
        <f>G125+'24'!H125</f>
        <v>1888.3299999999872</v>
      </c>
      <c r="I125" s="1063"/>
      <c r="J125" s="949">
        <f>H125/DAY(B2)</f>
        <v>75.533199999999482</v>
      </c>
      <c r="K125" s="1045"/>
      <c r="L125" s="924"/>
      <c r="O125" s="951"/>
    </row>
    <row r="126" spans="1:15">
      <c r="A126" s="1092" t="s">
        <v>245</v>
      </c>
      <c r="B126" s="974"/>
      <c r="C126" s="974"/>
      <c r="D126" s="944" t="s">
        <v>152</v>
      </c>
      <c r="E126" s="945">
        <f>'24'!F126</f>
        <v>58180</v>
      </c>
      <c r="F126" s="1091">
        <v>58214</v>
      </c>
      <c r="G126" s="946">
        <f t="shared" si="14"/>
        <v>34</v>
      </c>
      <c r="H126" s="947">
        <f>G126+'24'!H126</f>
        <v>833</v>
      </c>
      <c r="I126" s="1063"/>
      <c r="J126" s="949">
        <f>H126/DAY(B2)</f>
        <v>33.32</v>
      </c>
      <c r="K126" s="1045"/>
      <c r="L126" s="924"/>
      <c r="O126" s="951"/>
    </row>
    <row r="127" spans="1:15">
      <c r="A127" s="1092" t="s">
        <v>246</v>
      </c>
      <c r="B127" s="974"/>
      <c r="C127" s="974"/>
      <c r="D127" s="944" t="s">
        <v>152</v>
      </c>
      <c r="E127" s="945">
        <f>'24'!F127</f>
        <v>8793</v>
      </c>
      <c r="F127" s="1091">
        <v>8796.6</v>
      </c>
      <c r="G127" s="946">
        <f t="shared" si="14"/>
        <v>3.6000000000003638</v>
      </c>
      <c r="H127" s="947">
        <f>G127+'24'!H127</f>
        <v>90.600000000000364</v>
      </c>
      <c r="I127" s="966"/>
      <c r="J127" s="949">
        <f>H127/DAY(B2)</f>
        <v>3.6240000000000148</v>
      </c>
      <c r="K127" s="1045"/>
      <c r="L127" s="924"/>
      <c r="O127" s="951"/>
    </row>
    <row r="128" spans="1:15">
      <c r="A128" s="1092" t="s">
        <v>247</v>
      </c>
      <c r="B128" s="974"/>
      <c r="C128" s="974"/>
      <c r="D128" s="944"/>
      <c r="E128" s="945"/>
      <c r="F128" s="963"/>
      <c r="G128" s="946">
        <f>G15-SUM(G123:G127)</f>
        <v>534.42000000013468</v>
      </c>
      <c r="H128" s="947">
        <f>G128+'24'!H128</f>
        <v>5388.2100000002247</v>
      </c>
      <c r="I128" s="966"/>
      <c r="J128" s="949">
        <f>H128/DAY(B2)</f>
        <v>215.52840000000899</v>
      </c>
      <c r="K128" s="1045"/>
      <c r="L128" s="924"/>
      <c r="O128" s="951"/>
    </row>
    <row r="129" spans="1:16">
      <c r="A129" s="1093" t="s">
        <v>248</v>
      </c>
      <c r="B129" s="938"/>
      <c r="C129" s="938"/>
      <c r="D129" s="938"/>
      <c r="E129" s="938"/>
      <c r="F129" s="938"/>
      <c r="G129" s="1094"/>
      <c r="H129" s="1094"/>
      <c r="I129" s="1094"/>
      <c r="J129" s="1095"/>
      <c r="O129" s="951"/>
    </row>
    <row r="130" spans="1:16">
      <c r="A130" s="973" t="s">
        <v>249</v>
      </c>
      <c r="B130" s="974"/>
      <c r="C130" s="974"/>
      <c r="D130" s="944" t="s">
        <v>250</v>
      </c>
      <c r="E130" s="945">
        <f>'24'!F130</f>
        <v>0</v>
      </c>
      <c r="F130" s="975">
        <v>0</v>
      </c>
      <c r="G130" s="946">
        <f t="shared" ref="G130:G140" si="15">F130-E130</f>
        <v>0</v>
      </c>
      <c r="H130" s="947">
        <f>G130+'24'!H130</f>
        <v>0</v>
      </c>
      <c r="I130" s="966"/>
      <c r="J130" s="949">
        <f>H130/DAY(B2)</f>
        <v>0</v>
      </c>
      <c r="O130" s="951"/>
    </row>
    <row r="131" spans="1:16">
      <c r="A131" s="973" t="s">
        <v>251</v>
      </c>
      <c r="B131" s="974"/>
      <c r="C131" s="974"/>
      <c r="D131" s="944" t="s">
        <v>250</v>
      </c>
      <c r="E131" s="945">
        <f>'24'!F131</f>
        <v>0</v>
      </c>
      <c r="F131" s="975">
        <v>0</v>
      </c>
      <c r="G131" s="946">
        <f t="shared" si="15"/>
        <v>0</v>
      </c>
      <c r="H131" s="947">
        <f>G131+'24'!H131</f>
        <v>0</v>
      </c>
      <c r="I131" s="966"/>
      <c r="J131" s="949">
        <f>H131/DAY(B2)</f>
        <v>0</v>
      </c>
      <c r="O131" s="951"/>
    </row>
    <row r="132" spans="1:16">
      <c r="A132" s="973" t="s">
        <v>252</v>
      </c>
      <c r="B132" s="974"/>
      <c r="C132" s="974"/>
      <c r="D132" s="944" t="s">
        <v>250</v>
      </c>
      <c r="E132" s="945">
        <f>'24'!F132</f>
        <v>38936.559999999998</v>
      </c>
      <c r="F132" s="1096">
        <v>38960.519999999997</v>
      </c>
      <c r="G132" s="946">
        <f t="shared" si="15"/>
        <v>23.959999999999127</v>
      </c>
      <c r="H132" s="947">
        <f>G132+'24'!H132</f>
        <v>131.0399999999936</v>
      </c>
      <c r="I132" s="966"/>
      <c r="J132" s="949">
        <f>H132/DAY(B2)</f>
        <v>5.2415999999997442</v>
      </c>
      <c r="O132" s="951"/>
      <c r="P132" s="911">
        <f>49-24</f>
        <v>25</v>
      </c>
    </row>
    <row r="133" spans="1:16">
      <c r="A133" s="973" t="s">
        <v>253</v>
      </c>
      <c r="B133" s="974"/>
      <c r="C133" s="974"/>
      <c r="D133" s="944" t="s">
        <v>250</v>
      </c>
      <c r="E133" s="945">
        <f>'24'!F133</f>
        <v>299.01</v>
      </c>
      <c r="F133" s="1096">
        <v>299.01</v>
      </c>
      <c r="G133" s="946">
        <f t="shared" si="15"/>
        <v>0</v>
      </c>
      <c r="H133" s="947">
        <f>G133+'24'!H133</f>
        <v>9.9999999999909051E-3</v>
      </c>
      <c r="I133" s="966">
        <f>G130+G131+G132+G133</f>
        <v>23.959999999999127</v>
      </c>
      <c r="J133" s="949">
        <f>H133/DAY(B2)</f>
        <v>3.9999999999963622E-4</v>
      </c>
      <c r="O133" s="951"/>
    </row>
    <row r="134" spans="1:16">
      <c r="A134" s="973" t="s">
        <v>254</v>
      </c>
      <c r="B134" s="974"/>
      <c r="C134" s="974"/>
      <c r="D134" s="944" t="s">
        <v>250</v>
      </c>
      <c r="E134" s="945">
        <f>'24'!F134</f>
        <v>39951.050000000003</v>
      </c>
      <c r="F134" s="1096">
        <v>39951.050000000003</v>
      </c>
      <c r="G134" s="946">
        <f t="shared" si="15"/>
        <v>0</v>
      </c>
      <c r="H134" s="947">
        <f>G134+'24'!H134</f>
        <v>24</v>
      </c>
      <c r="I134" s="966"/>
      <c r="J134" s="949">
        <f>H134/DAY(B2)</f>
        <v>0.96</v>
      </c>
      <c r="O134" s="951"/>
    </row>
    <row r="135" spans="1:16">
      <c r="A135" s="973" t="s">
        <v>255</v>
      </c>
      <c r="B135" s="974"/>
      <c r="C135" s="974"/>
      <c r="D135" s="944" t="s">
        <v>250</v>
      </c>
      <c r="E135" s="945">
        <f>'24'!F135</f>
        <v>32423</v>
      </c>
      <c r="F135" s="1096">
        <v>32423</v>
      </c>
      <c r="G135" s="946">
        <f t="shared" si="15"/>
        <v>0</v>
      </c>
      <c r="H135" s="947">
        <f>G135+'24'!H135</f>
        <v>13</v>
      </c>
      <c r="I135" s="966"/>
      <c r="J135" s="949">
        <f>H135/DAY(B2)</f>
        <v>0.52</v>
      </c>
      <c r="O135" s="951"/>
    </row>
    <row r="136" spans="1:16">
      <c r="A136" s="973" t="s">
        <v>256</v>
      </c>
      <c r="B136" s="974"/>
      <c r="C136" s="974"/>
      <c r="D136" s="944" t="s">
        <v>250</v>
      </c>
      <c r="E136" s="945">
        <f>'24'!F136</f>
        <v>21952.93</v>
      </c>
      <c r="F136" s="1096">
        <v>21961.7</v>
      </c>
      <c r="G136" s="946">
        <f t="shared" si="15"/>
        <v>8.7700000000004366</v>
      </c>
      <c r="H136" s="947">
        <f>G136+'24'!H136</f>
        <v>160</v>
      </c>
      <c r="I136" s="966">
        <f>G134+G135+G136</f>
        <v>8.7700000000004366</v>
      </c>
      <c r="J136" s="949">
        <f>H136/DAY(B2)</f>
        <v>6.4</v>
      </c>
      <c r="O136" s="951"/>
    </row>
    <row r="137" spans="1:16">
      <c r="A137" s="973" t="s">
        <v>257</v>
      </c>
      <c r="B137" s="974"/>
      <c r="C137" s="974"/>
      <c r="D137" s="944" t="s">
        <v>250</v>
      </c>
      <c r="E137" s="945">
        <f>'24'!F137</f>
        <v>25019.94</v>
      </c>
      <c r="F137" s="1096">
        <v>25019.94</v>
      </c>
      <c r="G137" s="946">
        <f t="shared" si="15"/>
        <v>0</v>
      </c>
      <c r="H137" s="947">
        <f>G137+'24'!H137</f>
        <v>8</v>
      </c>
      <c r="I137" s="966"/>
      <c r="J137" s="949">
        <f>H137/DAY(B2)</f>
        <v>0.32</v>
      </c>
      <c r="O137" s="951"/>
    </row>
    <row r="138" spans="1:16">
      <c r="A138" s="973" t="s">
        <v>258</v>
      </c>
      <c r="B138" s="974"/>
      <c r="C138" s="974"/>
      <c r="D138" s="944" t="s">
        <v>250</v>
      </c>
      <c r="E138" s="945">
        <f>'24'!F138</f>
        <v>70057.8</v>
      </c>
      <c r="F138" s="1096">
        <v>70059.78</v>
      </c>
      <c r="G138" s="946">
        <f t="shared" si="15"/>
        <v>1.9799999999959255</v>
      </c>
      <c r="H138" s="947">
        <f>G138+'24'!H138</f>
        <v>16.979999999995925</v>
      </c>
      <c r="I138" s="966">
        <f>G137+G138</f>
        <v>1.9799999999959255</v>
      </c>
      <c r="J138" s="949">
        <f>H138/DAY(B2)</f>
        <v>0.67919999999983705</v>
      </c>
      <c r="O138" s="951"/>
    </row>
    <row r="139" spans="1:16">
      <c r="A139" s="973" t="s">
        <v>259</v>
      </c>
      <c r="B139" s="974"/>
      <c r="C139" s="974"/>
      <c r="D139" s="944" t="s">
        <v>250</v>
      </c>
      <c r="E139" s="945">
        <f>'24'!F139</f>
        <v>1146.44</v>
      </c>
      <c r="F139" s="975">
        <v>1154.28</v>
      </c>
      <c r="G139" s="946">
        <f t="shared" si="15"/>
        <v>7.8399999999999181</v>
      </c>
      <c r="H139" s="947">
        <f>G139+'24'!H139</f>
        <v>91.279999999999973</v>
      </c>
      <c r="I139" s="1097"/>
      <c r="J139" s="949">
        <f>H139/DAY(B2)</f>
        <v>3.6511999999999989</v>
      </c>
      <c r="O139" s="951"/>
    </row>
    <row r="140" spans="1:16">
      <c r="A140" s="973" t="s">
        <v>260</v>
      </c>
      <c r="B140" s="974"/>
      <c r="C140" s="974"/>
      <c r="D140" s="944" t="s">
        <v>250</v>
      </c>
      <c r="E140" s="945">
        <f>'24'!F140</f>
        <v>4333.53</v>
      </c>
      <c r="F140" s="975">
        <v>4333.53</v>
      </c>
      <c r="G140" s="946">
        <f t="shared" si="15"/>
        <v>0</v>
      </c>
      <c r="H140" s="947">
        <f>G140+'24'!H140</f>
        <v>101.11999999999989</v>
      </c>
      <c r="I140" s="1097"/>
      <c r="J140" s="949">
        <f>H140/DAY(B2)</f>
        <v>4.044799999999996</v>
      </c>
      <c r="O140" s="951"/>
    </row>
    <row r="141" spans="1:16">
      <c r="A141" s="1516" t="s">
        <v>261</v>
      </c>
      <c r="B141" s="1517"/>
      <c r="C141" s="939"/>
      <c r="D141" s="939"/>
      <c r="E141" s="939"/>
      <c r="F141" s="939"/>
      <c r="G141" s="971"/>
      <c r="H141" s="971"/>
      <c r="I141" s="971"/>
      <c r="J141" s="1090"/>
      <c r="K141" s="1045"/>
      <c r="L141" s="924"/>
      <c r="O141" s="951"/>
    </row>
    <row r="142" spans="1:16">
      <c r="A142" s="1501" t="s">
        <v>262</v>
      </c>
      <c r="B142" s="1502"/>
      <c r="C142" s="1503"/>
      <c r="D142" s="944" t="s">
        <v>143</v>
      </c>
      <c r="E142" s="944"/>
      <c r="F142" s="944"/>
      <c r="G142" s="947">
        <f>G35+G43+G49+G57</f>
        <v>5440.9200000000419</v>
      </c>
      <c r="H142" s="947">
        <f>G142+'24'!H142</f>
        <v>130652.04000000001</v>
      </c>
      <c r="I142" s="966"/>
      <c r="J142" s="949">
        <f>H142/DAY(B2)</f>
        <v>5226.0816000000004</v>
      </c>
      <c r="K142" s="1045"/>
      <c r="L142" s="924"/>
      <c r="O142" s="951"/>
    </row>
    <row r="143" spans="1:16">
      <c r="A143" s="1501" t="s">
        <v>263</v>
      </c>
      <c r="B143" s="1502"/>
      <c r="C143" s="1503"/>
      <c r="D143" s="944" t="s">
        <v>24</v>
      </c>
      <c r="E143" s="931"/>
      <c r="F143" s="931"/>
      <c r="G143" s="1098">
        <f>G142/G7</f>
        <v>0.2838395325786448</v>
      </c>
      <c r="H143" s="947">
        <f>G143+'24'!H143</f>
        <v>6.5207384067348313</v>
      </c>
      <c r="I143" s="1099"/>
      <c r="J143" s="949">
        <f>H143/DAY(B2)</f>
        <v>0.26082953626939326</v>
      </c>
      <c r="K143" s="1045"/>
      <c r="L143" s="924"/>
      <c r="O143" s="951"/>
    </row>
    <row r="144" spans="1:16">
      <c r="A144" s="1501" t="s">
        <v>264</v>
      </c>
      <c r="B144" s="1502"/>
      <c r="C144" s="1503"/>
      <c r="D144" s="944" t="s">
        <v>143</v>
      </c>
      <c r="E144" s="945"/>
      <c r="F144" s="945"/>
      <c r="G144" s="947">
        <f>G41+G42+G55+G56</f>
        <v>3515.1100000000006</v>
      </c>
      <c r="H144" s="947">
        <f>G144+'24'!H144</f>
        <v>106177.73000000003</v>
      </c>
      <c r="I144" s="966"/>
      <c r="J144" s="949">
        <f>H144/DAY(B2)</f>
        <v>4247.1092000000008</v>
      </c>
      <c r="K144" s="1045"/>
      <c r="L144" s="924"/>
      <c r="O144" s="951"/>
    </row>
    <row r="145" spans="1:15">
      <c r="A145" s="1501" t="s">
        <v>265</v>
      </c>
      <c r="B145" s="1502"/>
      <c r="C145" s="1503"/>
      <c r="D145" s="944" t="s">
        <v>24</v>
      </c>
      <c r="E145" s="945"/>
      <c r="F145" s="945"/>
      <c r="G145" s="1098">
        <f>G144/G7</f>
        <v>0.18337471959935314</v>
      </c>
      <c r="H145" s="947">
        <f>G145+'24'!H145</f>
        <v>5.4246134401758068</v>
      </c>
      <c r="I145" s="1099"/>
      <c r="J145" s="949">
        <f>H145/DAY(B2)</f>
        <v>0.21698453760703226</v>
      </c>
      <c r="K145" s="1045"/>
      <c r="L145" s="924"/>
      <c r="O145" s="951"/>
    </row>
    <row r="146" spans="1:15">
      <c r="A146" s="1501" t="s">
        <v>266</v>
      </c>
      <c r="B146" s="1502"/>
      <c r="C146" s="1503"/>
      <c r="D146" s="944" t="s">
        <v>143</v>
      </c>
      <c r="E146" s="945"/>
      <c r="F146" s="945"/>
      <c r="G146" s="947">
        <f>G39+G53</f>
        <v>4326</v>
      </c>
      <c r="H146" s="947">
        <f>G146+'24'!H146</f>
        <v>102740.03</v>
      </c>
      <c r="I146" s="1100"/>
      <c r="J146" s="949">
        <f>H146/DAY(B2)</f>
        <v>4109.6012000000001</v>
      </c>
      <c r="K146" s="1045"/>
      <c r="L146" s="924"/>
      <c r="O146" s="951"/>
    </row>
    <row r="147" spans="1:15">
      <c r="A147" s="1501" t="s">
        <v>267</v>
      </c>
      <c r="B147" s="1502"/>
      <c r="C147" s="1503"/>
      <c r="D147" s="944" t="s">
        <v>24</v>
      </c>
      <c r="E147" s="945"/>
      <c r="F147" s="945"/>
      <c r="G147" s="1098">
        <f>G146/G7</f>
        <v>0.22567687411967238</v>
      </c>
      <c r="H147" s="947">
        <f>G147+'24'!H147</f>
        <v>5.2610706355017367</v>
      </c>
      <c r="I147" s="1100"/>
      <c r="J147" s="949">
        <f>H147/DAY(B2)</f>
        <v>0.21044282542006948</v>
      </c>
      <c r="O147" s="951"/>
    </row>
    <row r="148" spans="1:15">
      <c r="A148" s="1501" t="s">
        <v>268</v>
      </c>
      <c r="B148" s="1502"/>
      <c r="C148" s="1503"/>
      <c r="D148" s="944" t="s">
        <v>194</v>
      </c>
      <c r="E148" s="945"/>
      <c r="F148" s="945"/>
      <c r="G148" s="947">
        <f>G38+G52</f>
        <v>1825</v>
      </c>
      <c r="H148" s="947">
        <f>G148+'24'!H148</f>
        <v>49262.260000000009</v>
      </c>
      <c r="I148" s="966"/>
      <c r="J148" s="949">
        <f>H148/DAY(B2)</f>
        <v>1970.4904000000004</v>
      </c>
      <c r="K148" s="1101"/>
      <c r="O148" s="951"/>
    </row>
    <row r="149" spans="1:15">
      <c r="A149" s="1501" t="s">
        <v>269</v>
      </c>
      <c r="B149" s="1502"/>
      <c r="C149" s="1503"/>
      <c r="D149" s="944" t="s">
        <v>24</v>
      </c>
      <c r="E149" s="945"/>
      <c r="F149" s="945"/>
      <c r="G149" s="1098">
        <f>G148/G7</f>
        <v>9.5205801032917731E-2</v>
      </c>
      <c r="H149" s="947">
        <f>G149+'24'!H149</f>
        <v>2.5237316613094682</v>
      </c>
      <c r="I149" s="1100"/>
      <c r="J149" s="949">
        <f>H149/DAY(B2)</f>
        <v>0.10094926645237873</v>
      </c>
      <c r="O149" s="951"/>
    </row>
    <row r="150" spans="1:15">
      <c r="A150" s="1501" t="s">
        <v>270</v>
      </c>
      <c r="B150" s="1502"/>
      <c r="C150" s="1503"/>
      <c r="D150" s="944" t="s">
        <v>194</v>
      </c>
      <c r="E150" s="945"/>
      <c r="F150" s="945"/>
      <c r="G150" s="947">
        <f>G36+G50</f>
        <v>1998.0499999999884</v>
      </c>
      <c r="H150" s="947">
        <f>G150+'24'!H150</f>
        <v>44629.169999999984</v>
      </c>
      <c r="I150" s="1100"/>
      <c r="J150" s="949">
        <f>H150/DAY(B2)</f>
        <v>1785.1667999999993</v>
      </c>
      <c r="O150" s="951"/>
    </row>
    <row r="151" spans="1:15">
      <c r="A151" s="1501" t="s">
        <v>271</v>
      </c>
      <c r="B151" s="1502"/>
      <c r="C151" s="1503"/>
      <c r="D151" s="944" t="s">
        <v>24</v>
      </c>
      <c r="E151" s="945"/>
      <c r="F151" s="945"/>
      <c r="G151" s="1098">
        <f>G150/G7</f>
        <v>0.10423339767332612</v>
      </c>
      <c r="H151" s="947">
        <f>G151+'24'!H151</f>
        <v>2.2867628764628689</v>
      </c>
      <c r="I151" s="966"/>
      <c r="J151" s="949">
        <f>H151/DAY(B2)</f>
        <v>9.1470515058514751E-2</v>
      </c>
      <c r="O151" s="951"/>
    </row>
    <row r="152" spans="1:15">
      <c r="A152" s="1501" t="s">
        <v>272</v>
      </c>
      <c r="B152" s="1502"/>
      <c r="C152" s="1503"/>
      <c r="D152" s="944" t="s">
        <v>194</v>
      </c>
      <c r="E152" s="945"/>
      <c r="F152" s="945"/>
      <c r="G152" s="947">
        <f>G37+G51</f>
        <v>1503.8800000000047</v>
      </c>
      <c r="H152" s="947">
        <f>G152+'24'!H152</f>
        <v>36460.770000000004</v>
      </c>
      <c r="I152" s="966"/>
      <c r="J152" s="949">
        <f>H152/DAY(B2)</f>
        <v>1458.4308000000001</v>
      </c>
      <c r="O152" s="951"/>
    </row>
    <row r="153" spans="1:15" ht="21" thickBot="1">
      <c r="A153" s="1504" t="s">
        <v>273</v>
      </c>
      <c r="B153" s="1505"/>
      <c r="C153" s="1506"/>
      <c r="D153" s="1102" t="s">
        <v>24</v>
      </c>
      <c r="E153" s="1103"/>
      <c r="F153" s="1103"/>
      <c r="G153" s="1104">
        <f>G152/G7</f>
        <v>7.8453753456101241E-2</v>
      </c>
      <c r="H153" s="947">
        <f>G153+'24'!H153</f>
        <v>1.8676608261056842</v>
      </c>
      <c r="I153" s="1105"/>
      <c r="J153" s="1106">
        <f>H153/DAY(B2)</f>
        <v>7.4706433044227361E-2</v>
      </c>
      <c r="O153" s="951"/>
    </row>
    <row r="154" spans="1:15">
      <c r="A154" s="1107"/>
      <c r="B154" s="1107"/>
      <c r="C154" s="1107"/>
      <c r="D154" s="1107"/>
      <c r="E154" s="1107"/>
      <c r="F154" s="1107"/>
      <c r="G154" s="1107"/>
      <c r="H154" s="1108"/>
      <c r="I154" s="1107"/>
      <c r="J154" s="1109"/>
      <c r="O154" s="951"/>
    </row>
    <row r="160" spans="1:15">
      <c r="A160" s="1097" t="s">
        <v>274</v>
      </c>
      <c r="B160" s="1097"/>
      <c r="C160" s="1097"/>
      <c r="D160" s="931" t="s">
        <v>198</v>
      </c>
      <c r="E160" s="945">
        <f>'24'!F160</f>
        <v>27861</v>
      </c>
      <c r="F160" s="1122">
        <v>27943.41</v>
      </c>
      <c r="G160" s="946">
        <f t="shared" ref="G160:G163" si="16">F160-E160</f>
        <v>82.409999999999854</v>
      </c>
    </row>
    <row r="161" spans="1:7" ht="21.75" customHeight="1">
      <c r="A161" s="1097" t="s">
        <v>275</v>
      </c>
      <c r="B161" s="1097"/>
      <c r="C161" s="1097"/>
      <c r="D161" s="931" t="s">
        <v>198</v>
      </c>
      <c r="E161" s="945">
        <f>'24'!F161</f>
        <v>39461</v>
      </c>
      <c r="F161" s="1122">
        <v>39928</v>
      </c>
      <c r="G161" s="946">
        <f t="shared" si="16"/>
        <v>467</v>
      </c>
    </row>
    <row r="162" spans="1:7" ht="21.75" customHeight="1">
      <c r="A162" s="1097" t="s">
        <v>276</v>
      </c>
      <c r="B162" s="1097"/>
      <c r="C162" s="1097"/>
      <c r="D162" s="931" t="s">
        <v>198</v>
      </c>
      <c r="E162" s="945">
        <f>'24'!F162</f>
        <v>11157</v>
      </c>
      <c r="F162" s="1122">
        <v>11421.65</v>
      </c>
      <c r="G162" s="946">
        <f t="shared" si="16"/>
        <v>264.64999999999964</v>
      </c>
    </row>
    <row r="163" spans="1:7" ht="21.75" customHeight="1">
      <c r="A163" s="1097" t="s">
        <v>277</v>
      </c>
      <c r="B163" s="1097"/>
      <c r="C163" s="1097"/>
      <c r="D163" s="931" t="s">
        <v>198</v>
      </c>
      <c r="E163" s="945">
        <f>'24'!F163</f>
        <v>4855</v>
      </c>
      <c r="F163" s="1122">
        <v>4876.8500000000004</v>
      </c>
      <c r="G163" s="946">
        <f t="shared" si="16"/>
        <v>21.850000000000364</v>
      </c>
    </row>
    <row r="164" spans="1:7" ht="21.75" customHeight="1">
      <c r="A164" s="1027" t="s">
        <v>106</v>
      </c>
      <c r="B164" s="1027"/>
      <c r="C164" s="1027"/>
      <c r="D164" s="931" t="s">
        <v>198</v>
      </c>
      <c r="E164" s="1028">
        <f>E62</f>
        <v>20419.18</v>
      </c>
      <c r="F164" s="1028">
        <f>F62</f>
        <v>20419.18</v>
      </c>
      <c r="G164" s="946">
        <f t="shared" ref="G164:G171" si="17">F164-E164</f>
        <v>0</v>
      </c>
    </row>
    <row r="165" spans="1:7" ht="21.75" customHeight="1">
      <c r="A165" s="1027" t="s">
        <v>199</v>
      </c>
      <c r="B165" s="1027"/>
      <c r="C165" s="1027"/>
      <c r="D165" s="931" t="s">
        <v>198</v>
      </c>
      <c r="E165" s="1028">
        <f t="shared" ref="E165:E171" si="18">E63</f>
        <v>1254</v>
      </c>
      <c r="F165" s="1028">
        <f t="shared" ref="F165:F171" si="19">F63</f>
        <v>1264.31</v>
      </c>
      <c r="G165" s="946">
        <f t="shared" si="17"/>
        <v>10.309999999999945</v>
      </c>
    </row>
    <row r="166" spans="1:7" ht="21.75" customHeight="1">
      <c r="A166" s="1488" t="s">
        <v>107</v>
      </c>
      <c r="B166" s="1488"/>
      <c r="C166" s="1488"/>
      <c r="D166" s="944" t="s">
        <v>198</v>
      </c>
      <c r="E166" s="1028">
        <f t="shared" si="18"/>
        <v>108305</v>
      </c>
      <c r="F166" s="1028">
        <f t="shared" si="19"/>
        <v>108728</v>
      </c>
      <c r="G166" s="946">
        <f t="shared" si="17"/>
        <v>423</v>
      </c>
    </row>
    <row r="167" spans="1:7" ht="21.75" customHeight="1">
      <c r="A167" s="1488" t="s">
        <v>108</v>
      </c>
      <c r="B167" s="1488"/>
      <c r="C167" s="1488"/>
      <c r="D167" s="944" t="s">
        <v>198</v>
      </c>
      <c r="E167" s="1028">
        <f t="shared" si="18"/>
        <v>118952</v>
      </c>
      <c r="F167" s="1028">
        <f t="shared" si="19"/>
        <v>119368</v>
      </c>
      <c r="G167" s="946">
        <f t="shared" si="17"/>
        <v>416</v>
      </c>
    </row>
    <row r="168" spans="1:7" ht="21.75" customHeight="1">
      <c r="A168" s="1488" t="s">
        <v>109</v>
      </c>
      <c r="B168" s="1488"/>
      <c r="C168" s="1488"/>
      <c r="D168" s="944" t="s">
        <v>198</v>
      </c>
      <c r="E168" s="1028">
        <f t="shared" si="18"/>
        <v>11222</v>
      </c>
      <c r="F168" s="1028">
        <f t="shared" si="19"/>
        <v>11656.69</v>
      </c>
      <c r="G168" s="946">
        <f t="shared" si="17"/>
        <v>434.69000000000051</v>
      </c>
    </row>
    <row r="169" spans="1:7">
      <c r="A169" s="1488" t="s">
        <v>110</v>
      </c>
      <c r="B169" s="1488"/>
      <c r="C169" s="1488"/>
      <c r="D169" s="944" t="s">
        <v>198</v>
      </c>
      <c r="E169" s="1028">
        <f t="shared" si="18"/>
        <v>183973</v>
      </c>
      <c r="F169" s="1028">
        <f t="shared" si="19"/>
        <v>184645</v>
      </c>
      <c r="G169" s="946">
        <f t="shared" si="17"/>
        <v>672</v>
      </c>
    </row>
    <row r="170" spans="1:7" ht="24" customHeight="1">
      <c r="A170" s="1488" t="s">
        <v>111</v>
      </c>
      <c r="B170" s="1488"/>
      <c r="C170" s="1488"/>
      <c r="D170" s="944" t="s">
        <v>198</v>
      </c>
      <c r="E170" s="1028">
        <f t="shared" si="18"/>
        <v>61054</v>
      </c>
      <c r="F170" s="1028">
        <f t="shared" si="19"/>
        <v>61404.85</v>
      </c>
      <c r="G170" s="946">
        <f t="shared" si="17"/>
        <v>350.84999999999854</v>
      </c>
    </row>
    <row r="171" spans="1:7">
      <c r="A171" s="1488" t="s">
        <v>112</v>
      </c>
      <c r="B171" s="1488"/>
      <c r="C171" s="1488"/>
      <c r="D171" s="944" t="s">
        <v>198</v>
      </c>
      <c r="E171" s="1028">
        <f t="shared" si="18"/>
        <v>53549</v>
      </c>
      <c r="F171" s="1028">
        <f t="shared" si="19"/>
        <v>53853</v>
      </c>
      <c r="G171" s="946">
        <f t="shared" si="17"/>
        <v>304</v>
      </c>
    </row>
    <row r="172" spans="1:7">
      <c r="G172" s="1112">
        <f>SUM(G160:G171)</f>
        <v>3446.7599999999989</v>
      </c>
    </row>
    <row r="176" spans="1:7" ht="18.75" customHeight="1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6"/>
  <sheetViews>
    <sheetView view="pageBreakPreview" topLeftCell="A79" zoomScale="70" zoomScaleSheetLayoutView="70" workbookViewId="0">
      <selection activeCell="F112" sqref="F112"/>
    </sheetView>
  </sheetViews>
  <sheetFormatPr defaultColWidth="22.33203125" defaultRowHeight="20.25"/>
  <cols>
    <col min="1" max="1" width="51.21875" style="1110" customWidth="1"/>
    <col min="2" max="2" width="24.88671875" style="1110" customWidth="1"/>
    <col min="3" max="3" width="12.44140625" style="1110" customWidth="1"/>
    <col min="4" max="4" width="13.6640625" style="1110" customWidth="1"/>
    <col min="5" max="5" width="28.109375" style="1110" customWidth="1"/>
    <col min="6" max="6" width="23.77734375" style="1110" customWidth="1"/>
    <col min="7" max="7" width="19.88671875" style="1110" customWidth="1"/>
    <col min="8" max="8" width="39.21875" style="1111" customWidth="1"/>
    <col min="9" max="9" width="12" style="1110" bestFit="1" customWidth="1"/>
    <col min="10" max="10" width="24" style="1112" customWidth="1"/>
    <col min="11" max="11" width="43.21875" style="911" hidden="1" customWidth="1"/>
    <col min="12" max="13" width="0" style="911" hidden="1" customWidth="1"/>
    <col min="14" max="14" width="25.109375" style="1113" customWidth="1"/>
    <col min="15" max="15" width="6.77734375" style="911" bestFit="1" customWidth="1"/>
    <col min="16" max="16384" width="22.33203125" style="911"/>
  </cols>
  <sheetData>
    <row r="1" spans="1:15" ht="20.100000000000001" customHeight="1">
      <c r="A1" s="1530" t="s">
        <v>128</v>
      </c>
      <c r="B1" s="1531"/>
      <c r="C1" s="1531"/>
      <c r="D1" s="1531"/>
      <c r="E1" s="1531"/>
      <c r="F1" s="1531"/>
      <c r="G1" s="1531"/>
      <c r="H1" s="1531"/>
      <c r="I1" s="1531"/>
      <c r="J1" s="1532"/>
    </row>
    <row r="2" spans="1:15" ht="30.75" customHeight="1">
      <c r="A2" s="912" t="s">
        <v>343</v>
      </c>
      <c r="B2" s="1186">
        <v>43856</v>
      </c>
      <c r="C2" s="913" t="s">
        <v>69</v>
      </c>
      <c r="D2" s="1127">
        <v>0.44</v>
      </c>
      <c r="E2" s="915"/>
      <c r="F2" s="915"/>
      <c r="G2" s="915" t="s">
        <v>129</v>
      </c>
      <c r="H2" s="915" t="s">
        <v>6</v>
      </c>
      <c r="I2" s="915" t="s">
        <v>8</v>
      </c>
      <c r="J2" s="916" t="s">
        <v>130</v>
      </c>
    </row>
    <row r="3" spans="1:15" ht="20.100000000000001" customHeight="1">
      <c r="A3" s="917"/>
      <c r="B3" s="918"/>
      <c r="C3" s="913" t="s">
        <v>131</v>
      </c>
      <c r="D3" s="913">
        <v>23</v>
      </c>
      <c r="E3" s="1539" t="s">
        <v>132</v>
      </c>
      <c r="F3" s="1540"/>
      <c r="G3" s="920"/>
      <c r="H3" s="921"/>
      <c r="I3" s="921"/>
      <c r="J3" s="922"/>
      <c r="K3" s="923"/>
      <c r="L3" s="924"/>
    </row>
    <row r="4" spans="1:15" ht="20.100000000000001" customHeight="1">
      <c r="A4" s="925"/>
      <c r="B4" s="926"/>
      <c r="C4" s="913" t="s">
        <v>133</v>
      </c>
      <c r="D4" s="1127">
        <v>0.74</v>
      </c>
      <c r="E4" s="927"/>
      <c r="F4" s="927"/>
      <c r="G4" s="927"/>
      <c r="H4" s="927"/>
      <c r="I4" s="928"/>
      <c r="J4" s="922"/>
      <c r="K4" s="929"/>
      <c r="L4" s="924"/>
    </row>
    <row r="5" spans="1:15" ht="22.5" customHeight="1">
      <c r="A5" s="930" t="s">
        <v>134</v>
      </c>
      <c r="B5" s="931"/>
      <c r="C5" s="931"/>
      <c r="D5" s="931" t="s">
        <v>135</v>
      </c>
      <c r="E5" s="932" t="s">
        <v>136</v>
      </c>
      <c r="F5" s="932" t="s">
        <v>123</v>
      </c>
      <c r="G5" s="933" t="s">
        <v>137</v>
      </c>
      <c r="H5" s="934" t="s">
        <v>138</v>
      </c>
      <c r="I5" s="935" t="s">
        <v>139</v>
      </c>
      <c r="J5" s="936" t="s">
        <v>140</v>
      </c>
      <c r="K5" s="937"/>
      <c r="L5" s="924"/>
    </row>
    <row r="6" spans="1:15" ht="20.100000000000001" customHeight="1">
      <c r="A6" s="1533" t="s">
        <v>141</v>
      </c>
      <c r="B6" s="1534"/>
      <c r="C6" s="1535"/>
      <c r="D6" s="938"/>
      <c r="E6" s="938"/>
      <c r="F6" s="938"/>
      <c r="G6" s="938"/>
      <c r="H6" s="939"/>
      <c r="I6" s="939"/>
      <c r="J6" s="940"/>
      <c r="K6" s="941"/>
      <c r="L6" s="924"/>
    </row>
    <row r="7" spans="1:15" ht="25.5" customHeight="1" thickBot="1">
      <c r="A7" s="942" t="s">
        <v>142</v>
      </c>
      <c r="B7" s="943"/>
      <c r="C7" s="943"/>
      <c r="D7" s="944" t="s">
        <v>143</v>
      </c>
      <c r="E7" s="945">
        <f>'25'!F7</f>
        <v>3774981</v>
      </c>
      <c r="F7" s="945">
        <v>3793979</v>
      </c>
      <c r="G7" s="946">
        <f>F7-E7</f>
        <v>18998</v>
      </c>
      <c r="H7" s="947">
        <f>G7+'25'!H7</f>
        <v>507539</v>
      </c>
      <c r="I7" s="948">
        <f>'1'!I7</f>
        <v>12000</v>
      </c>
      <c r="J7" s="949">
        <f>H7/DAY(B2)</f>
        <v>19520.73076923077</v>
      </c>
      <c r="K7" s="950"/>
      <c r="L7" s="924"/>
      <c r="N7" s="1125"/>
      <c r="O7" s="951"/>
    </row>
    <row r="8" spans="1:15" ht="20.100000000000001" customHeight="1" thickBot="1">
      <c r="A8" s="952" t="s">
        <v>144</v>
      </c>
      <c r="B8" s="953"/>
      <c r="C8" s="954"/>
      <c r="D8" s="955" t="s">
        <v>25</v>
      </c>
      <c r="E8" s="945">
        <f>'25'!F8</f>
        <v>3798556</v>
      </c>
      <c r="F8" s="956">
        <v>3817703</v>
      </c>
      <c r="G8" s="957">
        <f>F8-E8</f>
        <v>19147</v>
      </c>
      <c r="H8" s="947">
        <f>G8+'25'!H8</f>
        <v>511331</v>
      </c>
      <c r="I8" s="958">
        <f>'1'!I8</f>
        <v>12000</v>
      </c>
      <c r="J8" s="949">
        <f>H8/DAY(B2)</f>
        <v>19666.576923076922</v>
      </c>
      <c r="K8" s="950"/>
      <c r="L8" s="959"/>
      <c r="M8" s="960"/>
      <c r="O8" s="951"/>
    </row>
    <row r="9" spans="1:15" ht="20.100000000000001" customHeight="1">
      <c r="A9" s="961" t="s">
        <v>145</v>
      </c>
      <c r="B9" s="962"/>
      <c r="C9" s="962"/>
      <c r="D9" s="944" t="s">
        <v>143</v>
      </c>
      <c r="E9" s="945">
        <f>'25'!F9</f>
        <v>2497166</v>
      </c>
      <c r="F9" s="963">
        <v>2503740</v>
      </c>
      <c r="G9" s="946">
        <f>F9-E9</f>
        <v>6574</v>
      </c>
      <c r="H9" s="947">
        <f>G9+'25'!H9</f>
        <v>98525</v>
      </c>
      <c r="I9" s="964">
        <f>I8-J8</f>
        <v>-7666.576923076922</v>
      </c>
      <c r="J9" s="949">
        <f>H9/DAY(B2)</f>
        <v>3789.4230769230771</v>
      </c>
      <c r="K9" s="965"/>
      <c r="L9" s="924"/>
      <c r="O9" s="951"/>
    </row>
    <row r="10" spans="1:15" ht="20.100000000000001" customHeight="1">
      <c r="A10" s="942" t="s">
        <v>146</v>
      </c>
      <c r="B10" s="943"/>
      <c r="C10" s="943"/>
      <c r="D10" s="944" t="s">
        <v>143</v>
      </c>
      <c r="E10" s="945">
        <f>'25'!F10</f>
        <v>1129479</v>
      </c>
      <c r="F10" s="963">
        <v>1141280</v>
      </c>
      <c r="G10" s="946">
        <f t="shared" ref="G10:G12" si="0">F10-E10</f>
        <v>11801</v>
      </c>
      <c r="H10" s="947">
        <f>G10+'25'!H10</f>
        <v>390758.08999999997</v>
      </c>
      <c r="I10" s="966"/>
      <c r="J10" s="949">
        <f>H10/DAY(B2)</f>
        <v>15029.157307692307</v>
      </c>
      <c r="K10" s="965"/>
      <c r="L10" s="924"/>
      <c r="O10" s="951"/>
    </row>
    <row r="11" spans="1:15" ht="20.100000000000001" customHeight="1">
      <c r="A11" s="942" t="s">
        <v>147</v>
      </c>
      <c r="B11" s="943"/>
      <c r="C11" s="943"/>
      <c r="D11" s="944" t="s">
        <v>143</v>
      </c>
      <c r="E11" s="945">
        <f>'25'!F11</f>
        <v>35390</v>
      </c>
      <c r="F11" s="945">
        <v>35390</v>
      </c>
      <c r="G11" s="946">
        <f t="shared" si="0"/>
        <v>0</v>
      </c>
      <c r="H11" s="947">
        <f>G11+'25'!H11</f>
        <v>0</v>
      </c>
      <c r="I11" s="966"/>
      <c r="J11" s="949">
        <f>H11/DAY(B2)</f>
        <v>0</v>
      </c>
      <c r="K11" s="965"/>
      <c r="L11" s="924">
        <v>1375467</v>
      </c>
      <c r="N11" s="1126"/>
      <c r="O11" s="951"/>
    </row>
    <row r="12" spans="1:15" ht="20.100000000000001" customHeight="1">
      <c r="A12" s="942" t="s">
        <v>148</v>
      </c>
      <c r="B12" s="943"/>
      <c r="C12" s="943"/>
      <c r="D12" s="944" t="s">
        <v>143</v>
      </c>
      <c r="E12" s="945">
        <f>'25'!F12</f>
        <v>37630</v>
      </c>
      <c r="F12" s="963">
        <v>37630</v>
      </c>
      <c r="G12" s="946">
        <f t="shared" si="0"/>
        <v>0</v>
      </c>
      <c r="H12" s="947">
        <f>G12+'25'!H12</f>
        <v>0</v>
      </c>
      <c r="I12" s="966"/>
      <c r="J12" s="949">
        <f>H12/DAY(B2)</f>
        <v>0</v>
      </c>
      <c r="K12" s="965"/>
      <c r="L12" s="924"/>
      <c r="O12" s="951"/>
    </row>
    <row r="13" spans="1:15" ht="20.100000000000001" customHeight="1">
      <c r="A13" s="967" t="s">
        <v>149</v>
      </c>
      <c r="B13" s="968"/>
      <c r="C13" s="968"/>
      <c r="D13" s="944"/>
      <c r="E13" s="945"/>
      <c r="F13" s="945"/>
      <c r="G13" s="969">
        <f>G9+G10+G11+G12</f>
        <v>18375</v>
      </c>
      <c r="H13" s="947">
        <f>G13+'25'!H13</f>
        <v>469762.08999999997</v>
      </c>
      <c r="I13" s="970">
        <f>G7-G13</f>
        <v>623</v>
      </c>
      <c r="J13" s="949">
        <f>H13/DAY(B2)</f>
        <v>18067.772692307692</v>
      </c>
      <c r="K13" s="965"/>
      <c r="L13" s="924"/>
      <c r="O13" s="951"/>
    </row>
    <row r="14" spans="1:15" ht="28.5" customHeight="1">
      <c r="A14" s="1536" t="s">
        <v>150</v>
      </c>
      <c r="B14" s="1537"/>
      <c r="C14" s="1538"/>
      <c r="D14" s="939"/>
      <c r="E14" s="939"/>
      <c r="F14" s="939"/>
      <c r="G14" s="971"/>
      <c r="H14" s="939"/>
      <c r="I14" s="939"/>
      <c r="J14" s="940"/>
      <c r="K14" s="972"/>
      <c r="L14" s="924">
        <v>1679344</v>
      </c>
      <c r="O14" s="951"/>
    </row>
    <row r="15" spans="1:15" ht="30.75" customHeight="1">
      <c r="A15" s="973" t="s">
        <v>151</v>
      </c>
      <c r="B15" s="974"/>
      <c r="C15" s="974"/>
      <c r="D15" s="944" t="s">
        <v>152</v>
      </c>
      <c r="E15" s="945">
        <f>'25'!F15</f>
        <v>1589940.86</v>
      </c>
      <c r="F15" s="975">
        <v>1590796</v>
      </c>
      <c r="G15" s="1123">
        <f>(F15-E15)</f>
        <v>855.13999999989755</v>
      </c>
      <c r="H15" s="947">
        <f>G15+'25'!H15</f>
        <v>21881.899999999907</v>
      </c>
      <c r="I15" s="948">
        <f>'1'!I15</f>
        <v>800</v>
      </c>
      <c r="J15" s="949">
        <f>H15/DAY(B2)</f>
        <v>841.61153846153491</v>
      </c>
      <c r="K15" s="965"/>
      <c r="L15" s="924"/>
      <c r="O15" s="951"/>
    </row>
    <row r="16" spans="1:15" ht="20.100000000000001" customHeight="1">
      <c r="A16" s="976"/>
      <c r="B16" s="977"/>
      <c r="C16" s="977"/>
      <c r="D16" s="978"/>
      <c r="E16" s="979"/>
      <c r="F16" s="979"/>
      <c r="G16" s="946"/>
      <c r="H16" s="980"/>
      <c r="I16" s="981">
        <f>I15-J15</f>
        <v>-41.611538461534906</v>
      </c>
      <c r="J16" s="982"/>
      <c r="K16" s="965"/>
      <c r="L16" s="924">
        <f>L14-L11</f>
        <v>303877</v>
      </c>
      <c r="O16" s="951"/>
    </row>
    <row r="17" spans="1:15" ht="20.100000000000001" customHeight="1">
      <c r="A17" s="1536" t="s">
        <v>153</v>
      </c>
      <c r="B17" s="1537"/>
      <c r="C17" s="1538"/>
      <c r="D17" s="939"/>
      <c r="E17" s="939"/>
      <c r="F17" s="939"/>
      <c r="G17" s="983"/>
      <c r="H17" s="939"/>
      <c r="I17" s="939"/>
      <c r="J17" s="940"/>
      <c r="K17" s="965"/>
      <c r="L17" s="924"/>
      <c r="O17" s="951"/>
    </row>
    <row r="18" spans="1:15" ht="20.100000000000001" customHeight="1">
      <c r="A18" s="1501" t="s">
        <v>154</v>
      </c>
      <c r="B18" s="1502"/>
      <c r="C18" s="1503"/>
      <c r="D18" s="944" t="s">
        <v>155</v>
      </c>
      <c r="E18" s="945">
        <f>'25'!F18</f>
        <v>13</v>
      </c>
      <c r="F18" s="975">
        <v>14</v>
      </c>
      <c r="G18" s="969">
        <f>F18*10</f>
        <v>140</v>
      </c>
      <c r="H18" s="947">
        <f>G18+'25'!H18</f>
        <v>3150</v>
      </c>
      <c r="I18" s="948">
        <f>'1'!I18</f>
        <v>65</v>
      </c>
      <c r="J18" s="949">
        <f>H18/DAY(B2)</f>
        <v>121.15384615384616</v>
      </c>
      <c r="K18" s="965"/>
      <c r="L18" s="924"/>
      <c r="O18" s="951"/>
    </row>
    <row r="19" spans="1:15" ht="20.100000000000001" customHeight="1">
      <c r="A19" s="1501" t="s">
        <v>71</v>
      </c>
      <c r="B19" s="1502"/>
      <c r="C19" s="1503"/>
      <c r="D19" s="944" t="s">
        <v>155</v>
      </c>
      <c r="E19" s="945">
        <f>'25'!F19</f>
        <v>132736</v>
      </c>
      <c r="F19" s="975">
        <v>132785</v>
      </c>
      <c r="G19" s="946">
        <f t="shared" ref="G19" si="1">F19-E19</f>
        <v>49</v>
      </c>
      <c r="H19" s="947">
        <f>G19+'25'!H19</f>
        <v>1292</v>
      </c>
      <c r="I19" s="984"/>
      <c r="J19" s="949">
        <f>H19/DAY(B2)</f>
        <v>49.692307692307693</v>
      </c>
      <c r="K19" s="965"/>
      <c r="L19" s="924">
        <f>L16/26</f>
        <v>11687.576923076924</v>
      </c>
      <c r="O19" s="951"/>
    </row>
    <row r="20" spans="1:15" ht="20.100000000000001" customHeight="1">
      <c r="A20" s="967" t="s">
        <v>156</v>
      </c>
      <c r="B20" s="968"/>
      <c r="C20" s="968"/>
      <c r="D20" s="985"/>
      <c r="E20" s="985"/>
      <c r="F20" s="985"/>
      <c r="G20" s="986">
        <f>G18+G19</f>
        <v>189</v>
      </c>
      <c r="H20" s="947">
        <f>G20+'25'!H20</f>
        <v>4442</v>
      </c>
      <c r="I20" s="987">
        <f>I18-J20</f>
        <v>-105.84615384615384</v>
      </c>
      <c r="J20" s="949">
        <f>H20/DAY(B2)</f>
        <v>170.84615384615384</v>
      </c>
      <c r="K20" s="965"/>
      <c r="L20" s="924"/>
      <c r="O20" s="951"/>
    </row>
    <row r="21" spans="1:15" ht="20.100000000000001" customHeight="1">
      <c r="A21" s="1536" t="s">
        <v>157</v>
      </c>
      <c r="B21" s="1537"/>
      <c r="C21" s="1538"/>
      <c r="D21" s="939"/>
      <c r="E21" s="939"/>
      <c r="F21" s="939"/>
      <c r="G21" s="971"/>
      <c r="H21" s="939"/>
      <c r="I21" s="939"/>
      <c r="J21" s="940"/>
      <c r="K21" s="965"/>
      <c r="L21" s="924" t="e">
        <f>#REF!/G11</f>
        <v>#REF!</v>
      </c>
      <c r="O21" s="951"/>
    </row>
    <row r="22" spans="1:15" ht="20.100000000000001" customHeight="1">
      <c r="A22" s="973" t="s">
        <v>158</v>
      </c>
      <c r="B22" s="974"/>
      <c r="C22" s="974"/>
      <c r="D22" s="944" t="s">
        <v>159</v>
      </c>
      <c r="E22" s="975">
        <f>'25'!F22</f>
        <v>2970</v>
      </c>
      <c r="F22" s="975">
        <v>2970</v>
      </c>
      <c r="G22" s="969">
        <f t="shared" ref="G22:G23" si="2">E22-F22</f>
        <v>0</v>
      </c>
      <c r="H22" s="947">
        <f>G22+'25'!H22</f>
        <v>0</v>
      </c>
      <c r="I22" s="966"/>
      <c r="J22" s="949">
        <f>H22/DAY(B2)</f>
        <v>0</v>
      </c>
      <c r="K22" s="965"/>
      <c r="L22" s="924"/>
      <c r="O22" s="951"/>
    </row>
    <row r="23" spans="1:15" ht="20.100000000000001" customHeight="1">
      <c r="A23" s="973" t="s">
        <v>160</v>
      </c>
      <c r="B23" s="974"/>
      <c r="C23" s="974"/>
      <c r="D23" s="944" t="s">
        <v>159</v>
      </c>
      <c r="E23" s="975">
        <f>'25'!F23</f>
        <v>2000</v>
      </c>
      <c r="F23" s="975">
        <v>2000</v>
      </c>
      <c r="G23" s="969">
        <f t="shared" si="2"/>
        <v>0</v>
      </c>
      <c r="H23" s="947">
        <f>G23+'25'!H23</f>
        <v>0</v>
      </c>
      <c r="I23" s="966"/>
      <c r="J23" s="949">
        <f>H23/DAY(B2)</f>
        <v>0</v>
      </c>
      <c r="K23" s="965"/>
      <c r="L23" s="924"/>
      <c r="O23" s="951"/>
    </row>
    <row r="24" spans="1:15" ht="20.100000000000001" customHeight="1">
      <c r="A24" s="988" t="s">
        <v>161</v>
      </c>
      <c r="B24" s="989"/>
      <c r="C24" s="989"/>
      <c r="D24" s="931" t="s">
        <v>159</v>
      </c>
      <c r="E24" s="975">
        <f>'25'!F24</f>
        <v>4970</v>
      </c>
      <c r="F24" s="990">
        <v>4970</v>
      </c>
      <c r="G24" s="969">
        <f>E24-F24</f>
        <v>0</v>
      </c>
      <c r="H24" s="947">
        <f>G24+'25'!H24</f>
        <v>0</v>
      </c>
      <c r="I24" s="966"/>
      <c r="J24" s="949">
        <f>H24/DAY(B2)</f>
        <v>0</v>
      </c>
      <c r="K24" s="965"/>
      <c r="L24" s="924"/>
      <c r="O24" s="951"/>
    </row>
    <row r="25" spans="1:15" s="996" customFormat="1" ht="18.75" customHeight="1">
      <c r="A25" s="1533" t="s">
        <v>162</v>
      </c>
      <c r="B25" s="1534"/>
      <c r="C25" s="1535"/>
      <c r="D25" s="938"/>
      <c r="E25" s="938"/>
      <c r="F25" s="938"/>
      <c r="G25" s="991"/>
      <c r="H25" s="992"/>
      <c r="I25" s="993"/>
      <c r="J25" s="994"/>
      <c r="K25" s="965"/>
      <c r="L25" s="995"/>
      <c r="N25" s="1114"/>
      <c r="O25" s="951"/>
    </row>
    <row r="26" spans="1:15" s="996" customFormat="1" ht="18.75" customHeight="1">
      <c r="A26" s="997" t="s">
        <v>163</v>
      </c>
      <c r="B26" s="998"/>
      <c r="C26" s="999"/>
      <c r="D26" s="1000" t="s">
        <v>164</v>
      </c>
      <c r="E26" s="1001"/>
      <c r="F26" s="1001"/>
      <c r="G26" s="1002"/>
      <c r="H26" s="947"/>
      <c r="I26" s="1003"/>
      <c r="J26" s="949"/>
      <c r="K26" s="972"/>
      <c r="L26" s="995"/>
      <c r="N26" s="1114"/>
      <c r="O26" s="951"/>
    </row>
    <row r="27" spans="1:15" s="996" customFormat="1" ht="18.75" customHeight="1">
      <c r="A27" s="997" t="s">
        <v>6</v>
      </c>
      <c r="B27" s="998"/>
      <c r="C27" s="999"/>
      <c r="D27" s="1004" t="s">
        <v>25</v>
      </c>
      <c r="E27" s="1005">
        <f>G8</f>
        <v>19147</v>
      </c>
      <c r="F27" s="577">
        <v>9</v>
      </c>
      <c r="G27" s="1007">
        <f>E27*F27</f>
        <v>172323</v>
      </c>
      <c r="H27" s="947">
        <f>G27+'25'!H27</f>
        <v>4620054</v>
      </c>
      <c r="I27" s="1008"/>
      <c r="J27" s="949">
        <f>H27/DAY(B2)</f>
        <v>177694.38461538462</v>
      </c>
      <c r="K27" s="965"/>
      <c r="L27" s="995"/>
      <c r="N27" s="1114"/>
      <c r="O27" s="951"/>
    </row>
    <row r="28" spans="1:15" s="996" customFormat="1" ht="18.75" customHeight="1">
      <c r="A28" s="997" t="s">
        <v>165</v>
      </c>
      <c r="B28" s="998"/>
      <c r="C28" s="999"/>
      <c r="D28" s="1004" t="s">
        <v>166</v>
      </c>
      <c r="E28" s="1005">
        <f>G15</f>
        <v>855.13999999989755</v>
      </c>
      <c r="F28" s="577">
        <v>41</v>
      </c>
      <c r="G28" s="1007">
        <f>E28*F28</f>
        <v>35060.7399999958</v>
      </c>
      <c r="H28" s="947">
        <f>G28+'25'!H28</f>
        <v>895916.5399999962</v>
      </c>
      <c r="I28" s="1009"/>
      <c r="J28" s="949">
        <f>H28/DAY(B2)</f>
        <v>34458.328461538316</v>
      </c>
      <c r="K28" s="965"/>
      <c r="L28" s="995"/>
      <c r="N28" s="1114"/>
      <c r="O28" s="951"/>
    </row>
    <row r="29" spans="1:15" s="996" customFormat="1" ht="18.75" customHeight="1">
      <c r="A29" s="997" t="s">
        <v>167</v>
      </c>
      <c r="B29" s="998"/>
      <c r="C29" s="999"/>
      <c r="D29" s="1004" t="s">
        <v>168</v>
      </c>
      <c r="E29" s="1005">
        <f>G16</f>
        <v>0</v>
      </c>
      <c r="F29" s="1006">
        <v>69</v>
      </c>
      <c r="G29" s="1007">
        <f>E29*F29</f>
        <v>0</v>
      </c>
      <c r="H29" s="947">
        <f>G29+'25'!H29</f>
        <v>0</v>
      </c>
      <c r="I29" s="1009"/>
      <c r="J29" s="949">
        <f>H29/DAY(B2)</f>
        <v>0</v>
      </c>
      <c r="K29" s="965"/>
      <c r="L29" s="995"/>
      <c r="N29" s="1114"/>
      <c r="O29" s="951"/>
    </row>
    <row r="30" spans="1:15" s="996" customFormat="1" ht="18.75" customHeight="1">
      <c r="A30" s="997" t="s">
        <v>169</v>
      </c>
      <c r="B30" s="998"/>
      <c r="C30" s="999"/>
      <c r="D30" s="1004" t="s">
        <v>170</v>
      </c>
      <c r="E30" s="1005">
        <f>G19</f>
        <v>49</v>
      </c>
      <c r="F30" s="1006">
        <v>134</v>
      </c>
      <c r="G30" s="1007">
        <f>E30*F30</f>
        <v>6566</v>
      </c>
      <c r="H30" s="947">
        <f>G30+'25'!H30</f>
        <v>173128</v>
      </c>
      <c r="I30" s="1009"/>
      <c r="J30" s="949">
        <f>H30/DAY(B2)</f>
        <v>6658.7692307692305</v>
      </c>
      <c r="K30" s="965"/>
      <c r="L30" s="995"/>
      <c r="N30" s="1114"/>
      <c r="O30" s="951"/>
    </row>
    <row r="31" spans="1:15" s="996" customFormat="1" ht="18.75" customHeight="1">
      <c r="A31" s="997" t="s">
        <v>171</v>
      </c>
      <c r="B31" s="998"/>
      <c r="C31" s="999"/>
      <c r="D31" s="1004" t="s">
        <v>155</v>
      </c>
      <c r="E31" s="1005">
        <f>G18</f>
        <v>140</v>
      </c>
      <c r="F31" s="1006">
        <v>80</v>
      </c>
      <c r="G31" s="1007">
        <f>E31*F31</f>
        <v>11200</v>
      </c>
      <c r="H31" s="947">
        <f>G31+'25'!H31</f>
        <v>252000</v>
      </c>
      <c r="I31" s="1009"/>
      <c r="J31" s="949"/>
      <c r="K31" s="965"/>
      <c r="L31" s="995"/>
      <c r="N31" s="1114"/>
      <c r="O31" s="951"/>
    </row>
    <row r="32" spans="1:15" s="996" customFormat="1" ht="18.75" customHeight="1">
      <c r="A32" s="1010" t="s">
        <v>172</v>
      </c>
      <c r="B32" s="1011"/>
      <c r="C32" s="1012"/>
      <c r="D32" s="1013"/>
      <c r="E32" s="1013"/>
      <c r="F32" s="1013"/>
      <c r="G32" s="1014">
        <f>G27+G28+G29+G30+G31</f>
        <v>225149.7399999958</v>
      </c>
      <c r="H32" s="947">
        <f>G32+'25'!H32</f>
        <v>5941098.5399999963</v>
      </c>
      <c r="I32" s="1015"/>
      <c r="J32" s="949">
        <f>H32/DAY(B2)</f>
        <v>228503.78999999986</v>
      </c>
      <c r="K32" s="965"/>
      <c r="L32" s="995"/>
      <c r="N32" s="1114"/>
      <c r="O32" s="951"/>
    </row>
    <row r="33" spans="1:15" ht="20.100000000000001" customHeight="1">
      <c r="A33" s="1541" t="s">
        <v>173</v>
      </c>
      <c r="B33" s="1542"/>
      <c r="C33" s="1542"/>
      <c r="D33" s="1542"/>
      <c r="E33" s="1542"/>
      <c r="F33" s="1542"/>
      <c r="G33" s="1542"/>
      <c r="H33" s="1542"/>
      <c r="I33" s="1542"/>
      <c r="J33" s="1543"/>
      <c r="K33" s="965"/>
      <c r="L33" s="924"/>
      <c r="O33" s="951"/>
    </row>
    <row r="34" spans="1:15" ht="20.100000000000001" customHeight="1">
      <c r="A34" s="1016" t="s">
        <v>174</v>
      </c>
      <c r="B34" s="1017"/>
      <c r="C34" s="1017"/>
      <c r="D34" s="939"/>
      <c r="E34" s="938"/>
      <c r="F34" s="938"/>
      <c r="G34" s="939"/>
      <c r="H34" s="939"/>
      <c r="I34" s="939"/>
      <c r="J34" s="940"/>
      <c r="K34" s="965"/>
      <c r="L34" s="924"/>
      <c r="O34" s="951"/>
    </row>
    <row r="35" spans="1:15" ht="20.100000000000001" customHeight="1">
      <c r="A35" s="942" t="s">
        <v>175</v>
      </c>
      <c r="B35" s="943"/>
      <c r="C35" s="943"/>
      <c r="D35" s="944" t="s">
        <v>143</v>
      </c>
      <c r="E35" s="945">
        <f>'25'!F35</f>
        <v>629027.67000000004</v>
      </c>
      <c r="F35" s="1018">
        <v>629027.67000000004</v>
      </c>
      <c r="G35" s="946">
        <f t="shared" ref="G35:G46" si="3">F35-E35</f>
        <v>0</v>
      </c>
      <c r="H35" s="947">
        <f>G35+'25'!H35</f>
        <v>0.67000000004190952</v>
      </c>
      <c r="I35" s="945"/>
      <c r="J35" s="949">
        <f>H35/DAY(B2)</f>
        <v>2.5769230770842675E-2</v>
      </c>
      <c r="K35" s="965"/>
      <c r="L35" s="924"/>
      <c r="O35" s="951"/>
    </row>
    <row r="36" spans="1:15" ht="20.100000000000001" customHeight="1">
      <c r="A36" s="942" t="s">
        <v>176</v>
      </c>
      <c r="B36" s="943"/>
      <c r="C36" s="943"/>
      <c r="D36" s="944" t="s">
        <v>143</v>
      </c>
      <c r="E36" s="945">
        <f>'25'!F36</f>
        <v>272676</v>
      </c>
      <c r="F36" s="1018">
        <v>273424</v>
      </c>
      <c r="G36" s="946">
        <f t="shared" si="3"/>
        <v>748</v>
      </c>
      <c r="H36" s="947">
        <f>G36+'25'!H36</f>
        <v>18332.929999999993</v>
      </c>
      <c r="I36" s="945"/>
      <c r="J36" s="949">
        <f>H36/DAY(B2)</f>
        <v>705.11269230769199</v>
      </c>
      <c r="K36" s="965"/>
      <c r="L36" s="924"/>
      <c r="O36" s="951"/>
    </row>
    <row r="37" spans="1:15" ht="20.100000000000001" customHeight="1">
      <c r="A37" s="942" t="s">
        <v>177</v>
      </c>
      <c r="B37" s="943"/>
      <c r="C37" s="943"/>
      <c r="D37" s="944" t="s">
        <v>143</v>
      </c>
      <c r="E37" s="945">
        <f>'25'!F37</f>
        <v>415066</v>
      </c>
      <c r="F37" s="1018">
        <v>415066</v>
      </c>
      <c r="G37" s="946">
        <f t="shared" si="3"/>
        <v>0</v>
      </c>
      <c r="H37" s="947">
        <f>G37+'25'!H37</f>
        <v>0</v>
      </c>
      <c r="I37" s="945"/>
      <c r="J37" s="949">
        <f>H37/DAY(B2)</f>
        <v>0</v>
      </c>
      <c r="K37" s="965"/>
      <c r="L37" s="924"/>
      <c r="O37" s="951"/>
    </row>
    <row r="38" spans="1:15" ht="20.100000000000001" customHeight="1">
      <c r="A38" s="942" t="s">
        <v>178</v>
      </c>
      <c r="B38" s="943"/>
      <c r="C38" s="943"/>
      <c r="D38" s="944" t="s">
        <v>143</v>
      </c>
      <c r="E38" s="945">
        <f>'25'!F38</f>
        <v>150714.38</v>
      </c>
      <c r="F38" s="934">
        <v>150714</v>
      </c>
      <c r="G38" s="946">
        <f t="shared" si="3"/>
        <v>-0.38000000000465661</v>
      </c>
      <c r="H38" s="947">
        <f>G38+'25'!H38</f>
        <v>0</v>
      </c>
      <c r="I38" s="945"/>
      <c r="J38" s="949">
        <f>H38/DAY(B2)</f>
        <v>0</v>
      </c>
      <c r="K38" s="965"/>
      <c r="L38" s="924"/>
      <c r="O38" s="951"/>
    </row>
    <row r="39" spans="1:15" ht="20.100000000000001" customHeight="1">
      <c r="A39" s="942" t="s">
        <v>179</v>
      </c>
      <c r="B39" s="943"/>
      <c r="C39" s="943"/>
      <c r="D39" s="944" t="s">
        <v>143</v>
      </c>
      <c r="E39" s="945">
        <f>'25'!F39</f>
        <v>912480</v>
      </c>
      <c r="F39" s="1018">
        <v>912480</v>
      </c>
      <c r="G39" s="946">
        <f t="shared" si="3"/>
        <v>0</v>
      </c>
      <c r="H39" s="947">
        <f>G39+'25'!H39</f>
        <v>0</v>
      </c>
      <c r="I39" s="945"/>
      <c r="J39" s="949">
        <f>H39/DAY(B2)</f>
        <v>0</v>
      </c>
      <c r="K39" s="965"/>
      <c r="L39" s="924"/>
      <c r="O39" s="951"/>
    </row>
    <row r="40" spans="1:15" ht="20.100000000000001" customHeight="1">
      <c r="A40" s="1019" t="s">
        <v>180</v>
      </c>
      <c r="B40" s="1020"/>
      <c r="C40" s="1020"/>
      <c r="D40" s="944" t="s">
        <v>143</v>
      </c>
      <c r="E40" s="945">
        <f>'25'!F40</f>
        <v>0</v>
      </c>
      <c r="F40" s="1018">
        <v>0</v>
      </c>
      <c r="G40" s="946">
        <f t="shared" si="3"/>
        <v>0</v>
      </c>
      <c r="H40" s="947">
        <f>G40+'25'!H40</f>
        <v>0</v>
      </c>
      <c r="I40" s="945"/>
      <c r="J40" s="949">
        <f>H40/DAY(B2)</f>
        <v>0</v>
      </c>
      <c r="K40" s="972"/>
      <c r="L40" s="924"/>
      <c r="O40" s="951"/>
    </row>
    <row r="41" spans="1:15" ht="20.100000000000001" customHeight="1">
      <c r="A41" s="942" t="s">
        <v>181</v>
      </c>
      <c r="B41" s="943"/>
      <c r="C41" s="943"/>
      <c r="D41" s="944" t="s">
        <v>143</v>
      </c>
      <c r="E41" s="945">
        <f>'25'!F41</f>
        <v>22539.11</v>
      </c>
      <c r="F41" s="1018">
        <v>26299.49</v>
      </c>
      <c r="G41" s="946">
        <f t="shared" si="3"/>
        <v>3760.380000000001</v>
      </c>
      <c r="H41" s="947">
        <f>G41+'25'!H41</f>
        <v>26299.49</v>
      </c>
      <c r="I41" s="945"/>
      <c r="J41" s="949">
        <f>H41/DAY(B2)</f>
        <v>1011.5188461538462</v>
      </c>
      <c r="K41" s="965"/>
      <c r="L41" s="924"/>
      <c r="O41" s="951"/>
    </row>
    <row r="42" spans="1:15" ht="20.100000000000001" customHeight="1">
      <c r="A42" s="942" t="s">
        <v>182</v>
      </c>
      <c r="B42" s="943"/>
      <c r="C42" s="943"/>
      <c r="D42" s="944" t="s">
        <v>143</v>
      </c>
      <c r="E42" s="945">
        <f>'25'!F42</f>
        <v>58926</v>
      </c>
      <c r="F42" s="1018">
        <v>58926</v>
      </c>
      <c r="G42" s="946">
        <f t="shared" si="3"/>
        <v>0</v>
      </c>
      <c r="H42" s="947">
        <f>G42+'25'!H42</f>
        <v>-8.999999999650754E-2</v>
      </c>
      <c r="I42" s="945"/>
      <c r="J42" s="949">
        <f>H42/DAY(B2)</f>
        <v>-3.4615384614041364E-3</v>
      </c>
      <c r="K42" s="965"/>
      <c r="L42" s="924"/>
      <c r="N42" s="1115">
        <f>3450-G42</f>
        <v>3450</v>
      </c>
      <c r="O42" s="951"/>
    </row>
    <row r="43" spans="1:15" ht="20.100000000000001" customHeight="1">
      <c r="A43" s="942" t="s">
        <v>183</v>
      </c>
      <c r="B43" s="943"/>
      <c r="C43" s="943"/>
      <c r="D43" s="944" t="s">
        <v>143</v>
      </c>
      <c r="E43" s="945">
        <f>'25'!F43</f>
        <v>753864.31</v>
      </c>
      <c r="F43" s="1018">
        <v>756192.85</v>
      </c>
      <c r="G43" s="946">
        <f t="shared" si="3"/>
        <v>2328.5399999999208</v>
      </c>
      <c r="H43" s="947">
        <f>G43+'25'!H43</f>
        <v>57939.419999999925</v>
      </c>
      <c r="I43" s="945"/>
      <c r="J43" s="949">
        <f>H43/DAY(B2)</f>
        <v>2228.4392307692278</v>
      </c>
      <c r="K43" s="965"/>
      <c r="L43" s="924"/>
      <c r="O43" s="951"/>
    </row>
    <row r="44" spans="1:15" ht="20.100000000000001" customHeight="1">
      <c r="A44" s="942" t="s">
        <v>184</v>
      </c>
      <c r="B44" s="943"/>
      <c r="C44" s="943"/>
      <c r="D44" s="944" t="s">
        <v>143</v>
      </c>
      <c r="E44" s="945">
        <f>'25'!F44</f>
        <v>0</v>
      </c>
      <c r="F44" s="1018">
        <v>0</v>
      </c>
      <c r="G44" s="946">
        <f t="shared" si="3"/>
        <v>0</v>
      </c>
      <c r="H44" s="947">
        <f>G44+'25'!H44</f>
        <v>0</v>
      </c>
      <c r="I44" s="945"/>
      <c r="J44" s="949">
        <f>H44/DAY(B2)</f>
        <v>0</v>
      </c>
      <c r="K44" s="965"/>
      <c r="L44" s="924"/>
      <c r="O44" s="951"/>
    </row>
    <row r="45" spans="1:15" ht="20.100000000000001" customHeight="1">
      <c r="A45" s="942" t="s">
        <v>185</v>
      </c>
      <c r="B45" s="943"/>
      <c r="C45" s="943"/>
      <c r="D45" s="944" t="s">
        <v>143</v>
      </c>
      <c r="E45" s="945">
        <f>'25'!F45</f>
        <v>614</v>
      </c>
      <c r="F45" s="1018">
        <v>614</v>
      </c>
      <c r="G45" s="946">
        <f t="shared" si="3"/>
        <v>0</v>
      </c>
      <c r="H45" s="947">
        <f>G45+'25'!H45</f>
        <v>-0.48000000000001819</v>
      </c>
      <c r="I45" s="945"/>
      <c r="J45" s="949">
        <f>H45/DAY(B2)</f>
        <v>-1.8461538461539161E-2</v>
      </c>
      <c r="K45" s="965"/>
      <c r="L45" s="924"/>
      <c r="O45" s="951"/>
    </row>
    <row r="46" spans="1:15" ht="20.100000000000001" customHeight="1">
      <c r="A46" s="942" t="s">
        <v>186</v>
      </c>
      <c r="B46" s="943"/>
      <c r="C46" s="943"/>
      <c r="D46" s="944" t="s">
        <v>143</v>
      </c>
      <c r="E46" s="945">
        <f>'25'!F46</f>
        <v>187</v>
      </c>
      <c r="F46" s="1018">
        <v>187</v>
      </c>
      <c r="G46" s="946">
        <f t="shared" si="3"/>
        <v>0</v>
      </c>
      <c r="H46" s="947">
        <f>G46+'25'!H46</f>
        <v>-0.49000000000000909</v>
      </c>
      <c r="I46" s="945"/>
      <c r="J46" s="949">
        <f>H46/DAY(B2)</f>
        <v>-1.8846153846154196E-2</v>
      </c>
      <c r="K46" s="965"/>
      <c r="L46" s="924"/>
      <c r="O46" s="951"/>
    </row>
    <row r="47" spans="1:15" ht="20.100000000000001" customHeight="1">
      <c r="A47" s="967" t="s">
        <v>187</v>
      </c>
      <c r="B47" s="968"/>
      <c r="C47" s="968"/>
      <c r="D47" s="935"/>
      <c r="E47" s="931"/>
      <c r="F47" s="931"/>
      <c r="G47" s="969">
        <f>G35+G36+G37+G38+G39+G40+G41+G42+G43+G44+G45+G46</f>
        <v>6836.5399999999172</v>
      </c>
      <c r="H47" s="947">
        <f>G47+'25'!H47</f>
        <v>102571.44999999997</v>
      </c>
      <c r="I47" s="945"/>
      <c r="J47" s="949">
        <f>H47/DAY(B2)</f>
        <v>3945.055769230768</v>
      </c>
      <c r="K47" s="965"/>
      <c r="L47" s="924"/>
      <c r="N47" s="1115"/>
      <c r="O47" s="951"/>
    </row>
    <row r="48" spans="1:15" ht="20.100000000000001" customHeight="1">
      <c r="A48" s="1016" t="s">
        <v>188</v>
      </c>
      <c r="B48" s="1017"/>
      <c r="C48" s="1017"/>
      <c r="D48" s="939"/>
      <c r="E48" s="938"/>
      <c r="F48" s="938"/>
      <c r="G48" s="939"/>
      <c r="H48" s="939"/>
      <c r="I48" s="939"/>
      <c r="J48" s="940"/>
      <c r="K48" s="965"/>
      <c r="L48" s="924"/>
      <c r="O48" s="951"/>
    </row>
    <row r="49" spans="1:15" ht="20.100000000000001" customHeight="1">
      <c r="A49" s="942" t="s">
        <v>175</v>
      </c>
      <c r="B49" s="1021"/>
      <c r="C49" s="1021"/>
      <c r="D49" s="944" t="s">
        <v>143</v>
      </c>
      <c r="E49" s="945">
        <f>'25'!F49</f>
        <v>227268.61</v>
      </c>
      <c r="F49" s="1018">
        <v>230467</v>
      </c>
      <c r="G49" s="946">
        <f t="shared" ref="G49:G58" si="4">F49-E49</f>
        <v>3198.390000000014</v>
      </c>
      <c r="H49" s="947">
        <f>G49+'25'!H49</f>
        <v>78062</v>
      </c>
      <c r="I49" s="945"/>
      <c r="J49" s="949">
        <f>H49/DAY(B2)</f>
        <v>3002.3846153846152</v>
      </c>
      <c r="K49" s="965"/>
      <c r="L49" s="924"/>
      <c r="O49" s="951"/>
    </row>
    <row r="50" spans="1:15" ht="20.100000000000001" customHeight="1">
      <c r="A50" s="942" t="s">
        <v>189</v>
      </c>
      <c r="B50" s="1021"/>
      <c r="C50" s="1021"/>
      <c r="D50" s="944" t="s">
        <v>143</v>
      </c>
      <c r="E50" s="945">
        <f>'25'!F50</f>
        <v>361944.67</v>
      </c>
      <c r="F50" s="1018">
        <v>362882.71</v>
      </c>
      <c r="G50" s="946">
        <f t="shared" si="4"/>
        <v>938.04000000003725</v>
      </c>
      <c r="H50" s="947">
        <f>G50+'25'!H50</f>
        <v>26665.280000000028</v>
      </c>
      <c r="I50" s="945"/>
      <c r="J50" s="949">
        <f>H50/DAY(B2)</f>
        <v>1025.5876923076935</v>
      </c>
      <c r="K50" s="965"/>
      <c r="L50" s="924"/>
      <c r="O50" s="951"/>
    </row>
    <row r="51" spans="1:15" ht="20.100000000000001" customHeight="1">
      <c r="A51" s="942" t="s">
        <v>177</v>
      </c>
      <c r="B51" s="1021"/>
      <c r="C51" s="1021"/>
      <c r="D51" s="944" t="s">
        <v>143</v>
      </c>
      <c r="E51" s="945">
        <f>'25'!F51</f>
        <v>101167.88</v>
      </c>
      <c r="F51" s="1018">
        <v>102590</v>
      </c>
      <c r="G51" s="946">
        <f t="shared" si="4"/>
        <v>1422.1199999999953</v>
      </c>
      <c r="H51" s="947">
        <f>G51+'25'!H51</f>
        <v>36431.89</v>
      </c>
      <c r="I51" s="945"/>
      <c r="J51" s="949">
        <f>H51/DAY(B2)</f>
        <v>1401.2265384615384</v>
      </c>
      <c r="K51" s="965"/>
      <c r="L51" s="924"/>
      <c r="O51" s="951"/>
    </row>
    <row r="52" spans="1:15" ht="20.100000000000001" customHeight="1">
      <c r="A52" s="942" t="s">
        <v>190</v>
      </c>
      <c r="B52" s="1021"/>
      <c r="C52" s="1021"/>
      <c r="D52" s="944" t="s">
        <v>143</v>
      </c>
      <c r="E52" s="945">
        <f>'25'!F52</f>
        <v>482441.51</v>
      </c>
      <c r="F52" s="1018">
        <v>484348.63</v>
      </c>
      <c r="G52" s="946">
        <f t="shared" si="4"/>
        <v>1907.1199999999953</v>
      </c>
      <c r="H52" s="947">
        <f>G52+'25'!H52</f>
        <v>49073</v>
      </c>
      <c r="I52" s="945"/>
      <c r="J52" s="949">
        <f>H52/DAY(B2)</f>
        <v>1887.4230769230769</v>
      </c>
      <c r="K52" s="965"/>
      <c r="L52" s="924"/>
      <c r="O52" s="951"/>
    </row>
    <row r="53" spans="1:15" ht="20.100000000000001" customHeight="1">
      <c r="A53" s="942" t="s">
        <v>179</v>
      </c>
      <c r="B53" s="1021"/>
      <c r="C53" s="1021"/>
      <c r="D53" s="944" t="s">
        <v>143</v>
      </c>
      <c r="E53" s="945">
        <f>'25'!F53</f>
        <v>279342</v>
      </c>
      <c r="F53" s="1018">
        <v>283493.84999999998</v>
      </c>
      <c r="G53" s="946">
        <f t="shared" si="4"/>
        <v>4151.8499999999767</v>
      </c>
      <c r="H53" s="947">
        <f>G53+'25'!H53</f>
        <v>102428.87999999998</v>
      </c>
      <c r="I53" s="945"/>
      <c r="J53" s="949">
        <f>H53/DAY(B2)</f>
        <v>3939.5723076923068</v>
      </c>
      <c r="K53" s="965"/>
      <c r="L53" s="924"/>
      <c r="O53" s="951"/>
    </row>
    <row r="54" spans="1:15" ht="20.100000000000001" customHeight="1">
      <c r="A54" s="942" t="s">
        <v>191</v>
      </c>
      <c r="B54" s="1021"/>
      <c r="C54" s="1021"/>
      <c r="D54" s="944" t="s">
        <v>143</v>
      </c>
      <c r="E54" s="945">
        <f>'25'!F54</f>
        <v>6024</v>
      </c>
      <c r="F54" s="1018">
        <v>6070</v>
      </c>
      <c r="G54" s="946">
        <f t="shared" si="4"/>
        <v>46</v>
      </c>
      <c r="H54" s="947">
        <f>G54+'25'!H54</f>
        <v>1423.46</v>
      </c>
      <c r="I54" s="945"/>
      <c r="J54" s="949">
        <f>H54/DAY(B2)</f>
        <v>54.748461538461541</v>
      </c>
      <c r="K54" s="965"/>
      <c r="L54" s="924"/>
      <c r="O54" s="951"/>
    </row>
    <row r="55" spans="1:15" ht="20.100000000000001" customHeight="1">
      <c r="A55" s="942" t="s">
        <v>192</v>
      </c>
      <c r="B55" s="1021"/>
      <c r="C55" s="1021"/>
      <c r="D55" s="944" t="s">
        <v>143</v>
      </c>
      <c r="E55" s="945">
        <f>'25'!F55</f>
        <v>39120.58</v>
      </c>
      <c r="F55" s="1018">
        <v>39120.58</v>
      </c>
      <c r="G55" s="946">
        <f t="shared" si="4"/>
        <v>0</v>
      </c>
      <c r="H55" s="947">
        <f>G55+'25'!H55</f>
        <v>39120.310000000012</v>
      </c>
      <c r="I55" s="945"/>
      <c r="J55" s="949">
        <f>H55/DAY(B2)</f>
        <v>1504.6273076923082</v>
      </c>
      <c r="K55" s="965"/>
      <c r="L55" s="924"/>
      <c r="O55" s="951"/>
    </row>
    <row r="56" spans="1:15" ht="20.100000000000001" customHeight="1">
      <c r="A56" s="942" t="s">
        <v>193</v>
      </c>
      <c r="B56" s="1021"/>
      <c r="C56" s="1021"/>
      <c r="D56" s="944" t="s">
        <v>194</v>
      </c>
      <c r="E56" s="945">
        <f>'25'!F56</f>
        <v>557730.15</v>
      </c>
      <c r="F56" s="1018">
        <v>557730.15</v>
      </c>
      <c r="G56" s="946">
        <f t="shared" si="4"/>
        <v>0</v>
      </c>
      <c r="H56" s="947">
        <f>G56+'25'!H56</f>
        <v>39829.400000000023</v>
      </c>
      <c r="I56" s="945"/>
      <c r="J56" s="949">
        <f>H56/DAY(B2)</f>
        <v>1531.900000000001</v>
      </c>
      <c r="K56" s="941"/>
      <c r="L56" s="924"/>
      <c r="O56" s="951"/>
    </row>
    <row r="57" spans="1:15" ht="20.100000000000001" customHeight="1">
      <c r="A57" s="942" t="s">
        <v>183</v>
      </c>
      <c r="B57" s="1021"/>
      <c r="C57" s="1021"/>
      <c r="D57" s="944" t="s">
        <v>143</v>
      </c>
      <c r="E57" s="945">
        <f>'25'!F57</f>
        <v>0</v>
      </c>
      <c r="F57" s="1018">
        <v>0</v>
      </c>
      <c r="G57" s="946">
        <f t="shared" si="4"/>
        <v>0</v>
      </c>
      <c r="H57" s="947">
        <f>G57+'25'!H57</f>
        <v>0</v>
      </c>
      <c r="I57" s="945"/>
      <c r="J57" s="949">
        <f>H57/DAY(B2)</f>
        <v>0</v>
      </c>
      <c r="K57" s="965"/>
      <c r="L57" s="924"/>
      <c r="O57" s="951"/>
    </row>
    <row r="58" spans="1:15" ht="20.100000000000001" customHeight="1">
      <c r="A58" s="942" t="s">
        <v>195</v>
      </c>
      <c r="B58" s="1021"/>
      <c r="C58" s="1021"/>
      <c r="D58" s="944" t="s">
        <v>143</v>
      </c>
      <c r="E58" s="945">
        <f>'25'!F58</f>
        <v>29579.14</v>
      </c>
      <c r="F58" s="1018">
        <v>29765.38</v>
      </c>
      <c r="G58" s="946">
        <f t="shared" si="4"/>
        <v>186.2400000000016</v>
      </c>
      <c r="H58" s="947">
        <f>G58+'25'!H58</f>
        <v>4609.9700000000012</v>
      </c>
      <c r="I58" s="945"/>
      <c r="J58" s="949">
        <f>H58/DAY(B2)</f>
        <v>177.30653846153851</v>
      </c>
      <c r="K58" s="965"/>
      <c r="L58" s="924"/>
      <c r="O58" s="951"/>
    </row>
    <row r="59" spans="1:15" ht="20.100000000000001" customHeight="1">
      <c r="A59" s="967" t="s">
        <v>187</v>
      </c>
      <c r="B59" s="968"/>
      <c r="C59" s="968"/>
      <c r="D59" s="931"/>
      <c r="E59" s="931"/>
      <c r="F59" s="931"/>
      <c r="G59" s="969">
        <f>G49+G50+G51+G52+G53+G54+G55+G56+G57+G58</f>
        <v>11849.76000000002</v>
      </c>
      <c r="H59" s="947">
        <f>G59+'25'!H59</f>
        <v>377644.19000000006</v>
      </c>
      <c r="I59" s="945">
        <f>G7-G60</f>
        <v>311.70000000006257</v>
      </c>
      <c r="J59" s="949">
        <f>H59/DAY(B2)</f>
        <v>14524.776538461541</v>
      </c>
      <c r="K59" s="965"/>
      <c r="L59" s="924"/>
      <c r="O59" s="951"/>
    </row>
    <row r="60" spans="1:15" ht="20.100000000000001" customHeight="1">
      <c r="A60" s="942"/>
      <c r="B60" s="943"/>
      <c r="C60" s="943"/>
      <c r="D60" s="931" t="s">
        <v>196</v>
      </c>
      <c r="E60" s="931"/>
      <c r="F60" s="931"/>
      <c r="G60" s="969">
        <f>G47+G59</f>
        <v>18686.299999999937</v>
      </c>
      <c r="H60" s="947">
        <f>G60+'25'!H60</f>
        <v>497249.64000000007</v>
      </c>
      <c r="I60" s="945">
        <f>G13-G60</f>
        <v>-311.29999999993743</v>
      </c>
      <c r="J60" s="949">
        <f>H60/DAY(B2)</f>
        <v>19124.986153846156</v>
      </c>
      <c r="K60" s="965"/>
      <c r="L60" s="924"/>
      <c r="O60" s="951"/>
    </row>
    <row r="61" spans="1:15" ht="20.100000000000001" customHeight="1">
      <c r="A61" s="1022" t="s">
        <v>197</v>
      </c>
      <c r="B61" s="1023"/>
      <c r="C61" s="1023"/>
      <c r="D61" s="1023"/>
      <c r="E61" s="1024"/>
      <c r="F61" s="1024"/>
      <c r="G61" s="1023"/>
      <c r="H61" s="1023"/>
      <c r="I61" s="1023"/>
      <c r="J61" s="1025"/>
      <c r="K61" s="965"/>
      <c r="L61" s="924"/>
      <c r="O61" s="951"/>
    </row>
    <row r="62" spans="1:15" ht="20.100000000000001" customHeight="1">
      <c r="A62" s="1026" t="s">
        <v>106</v>
      </c>
      <c r="B62" s="1027"/>
      <c r="C62" s="1027"/>
      <c r="D62" s="931" t="s">
        <v>198</v>
      </c>
      <c r="E62" s="945">
        <f>'25'!F62</f>
        <v>20419.18</v>
      </c>
      <c r="F62" s="1028">
        <v>20419.18</v>
      </c>
      <c r="G62" s="946">
        <f t="shared" ref="G62:G69" si="5">F62-E62</f>
        <v>0</v>
      </c>
      <c r="H62" s="947">
        <f>G62+'25'!H62</f>
        <v>0</v>
      </c>
      <c r="I62" s="1029"/>
      <c r="J62" s="949">
        <f>H62/DAY(B2)</f>
        <v>0</v>
      </c>
      <c r="K62" s="965"/>
      <c r="L62" s="924"/>
      <c r="O62" s="951"/>
    </row>
    <row r="63" spans="1:15" ht="20.100000000000001" customHeight="1">
      <c r="A63" s="1026" t="s">
        <v>199</v>
      </c>
      <c r="B63" s="1027"/>
      <c r="C63" s="1027"/>
      <c r="D63" s="931" t="s">
        <v>198</v>
      </c>
      <c r="E63" s="945">
        <f>'25'!F63</f>
        <v>1264.31</v>
      </c>
      <c r="F63" s="1028">
        <v>1273.71</v>
      </c>
      <c r="G63" s="946">
        <f t="shared" si="5"/>
        <v>9.4000000000000909</v>
      </c>
      <c r="H63" s="947">
        <f>G63+'25'!H63</f>
        <v>165.79999999999995</v>
      </c>
      <c r="I63" s="1029"/>
      <c r="J63" s="949">
        <f>H63/DAY(B2)</f>
        <v>6.3769230769230756</v>
      </c>
      <c r="K63" s="965"/>
      <c r="L63" s="924"/>
      <c r="O63" s="951"/>
    </row>
    <row r="64" spans="1:15" ht="20.100000000000001" customHeight="1">
      <c r="A64" s="1507" t="s">
        <v>107</v>
      </c>
      <c r="B64" s="1508"/>
      <c r="C64" s="1509"/>
      <c r="D64" s="944" t="s">
        <v>198</v>
      </c>
      <c r="E64" s="945">
        <f>'25'!F64</f>
        <v>108728</v>
      </c>
      <c r="F64" s="975">
        <v>109117</v>
      </c>
      <c r="G64" s="946">
        <f t="shared" si="5"/>
        <v>389</v>
      </c>
      <c r="H64" s="947">
        <f>G64+'25'!H64</f>
        <v>10693.600000000006</v>
      </c>
      <c r="I64" s="966"/>
      <c r="J64" s="949">
        <f>H64/DAY(B2)</f>
        <v>411.29230769230793</v>
      </c>
      <c r="K64" s="965"/>
      <c r="L64" s="924"/>
      <c r="O64" s="951"/>
    </row>
    <row r="65" spans="1:15" ht="20.100000000000001" customHeight="1">
      <c r="A65" s="1507" t="s">
        <v>108</v>
      </c>
      <c r="B65" s="1508"/>
      <c r="C65" s="1509"/>
      <c r="D65" s="944" t="s">
        <v>198</v>
      </c>
      <c r="E65" s="945">
        <f>'25'!F65</f>
        <v>119368</v>
      </c>
      <c r="F65" s="975">
        <v>119779.76</v>
      </c>
      <c r="G65" s="946">
        <f t="shared" si="5"/>
        <v>411.75999999999476</v>
      </c>
      <c r="H65" s="947">
        <f>G65+'25'!H65</f>
        <v>10735.64</v>
      </c>
      <c r="I65" s="984"/>
      <c r="J65" s="949">
        <f>H65/DAY(B2)</f>
        <v>412.90923076923076</v>
      </c>
      <c r="K65" s="965"/>
      <c r="L65" s="924"/>
      <c r="O65" s="951"/>
    </row>
    <row r="66" spans="1:15" ht="20.100000000000001" customHeight="1">
      <c r="A66" s="1507" t="s">
        <v>109</v>
      </c>
      <c r="B66" s="1508"/>
      <c r="C66" s="1509"/>
      <c r="D66" s="944" t="s">
        <v>198</v>
      </c>
      <c r="E66" s="945">
        <f>'25'!F66</f>
        <v>11656.69</v>
      </c>
      <c r="F66" s="975">
        <v>12070.5</v>
      </c>
      <c r="G66" s="946">
        <f t="shared" si="5"/>
        <v>413.80999999999949</v>
      </c>
      <c r="H66" s="947">
        <f>G66+'25'!H66</f>
        <v>9648.41</v>
      </c>
      <c r="I66" s="966"/>
      <c r="J66" s="949">
        <f>H66/DAY(B2)</f>
        <v>371.09269230769229</v>
      </c>
      <c r="K66" s="965"/>
      <c r="L66" s="924"/>
      <c r="O66" s="951"/>
    </row>
    <row r="67" spans="1:15" ht="20.100000000000001" customHeight="1">
      <c r="A67" s="1507" t="s">
        <v>110</v>
      </c>
      <c r="B67" s="1508"/>
      <c r="C67" s="1509"/>
      <c r="D67" s="944" t="s">
        <v>198</v>
      </c>
      <c r="E67" s="945">
        <f>'25'!F67</f>
        <v>184645</v>
      </c>
      <c r="F67" s="975">
        <v>185312.69</v>
      </c>
      <c r="G67" s="946">
        <f t="shared" si="5"/>
        <v>667.69000000000233</v>
      </c>
      <c r="H67" s="947">
        <f>G67+'25'!H67</f>
        <v>17071.339999999997</v>
      </c>
      <c r="I67" s="984"/>
      <c r="J67" s="949">
        <f>H67/DAY(B2)</f>
        <v>656.58999999999992</v>
      </c>
      <c r="K67" s="972"/>
      <c r="L67" s="924"/>
      <c r="O67" s="951"/>
    </row>
    <row r="68" spans="1:15" ht="20.100000000000001" customHeight="1">
      <c r="A68" s="1507" t="s">
        <v>111</v>
      </c>
      <c r="B68" s="1508"/>
      <c r="C68" s="1509"/>
      <c r="D68" s="944" t="s">
        <v>198</v>
      </c>
      <c r="E68" s="945">
        <f>'25'!F68</f>
        <v>61404.85</v>
      </c>
      <c r="F68" s="975">
        <v>61723.94</v>
      </c>
      <c r="G68" s="946">
        <f t="shared" si="5"/>
        <v>319.09000000000378</v>
      </c>
      <c r="H68" s="947">
        <f>G68+'25'!H68</f>
        <v>8100.0400000000009</v>
      </c>
      <c r="I68" s="1030"/>
      <c r="J68" s="949">
        <f>H68/DAY(B2)</f>
        <v>311.54000000000002</v>
      </c>
      <c r="K68" s="1031"/>
      <c r="L68" s="924"/>
      <c r="O68" s="951"/>
    </row>
    <row r="69" spans="1:15" ht="20.100000000000001" customHeight="1">
      <c r="A69" s="1507" t="s">
        <v>112</v>
      </c>
      <c r="B69" s="1508"/>
      <c r="C69" s="1509"/>
      <c r="D69" s="944" t="s">
        <v>198</v>
      </c>
      <c r="E69" s="945">
        <f>'25'!F69</f>
        <v>53853</v>
      </c>
      <c r="F69" s="975">
        <v>54165</v>
      </c>
      <c r="G69" s="946">
        <f t="shared" si="5"/>
        <v>312</v>
      </c>
      <c r="H69" s="947">
        <f>G69+'25'!H69</f>
        <v>7645.57</v>
      </c>
      <c r="I69" s="1030"/>
      <c r="J69" s="949">
        <f>H69/DAY(B2)</f>
        <v>294.06038461538458</v>
      </c>
      <c r="K69" s="1032"/>
      <c r="L69" s="924"/>
      <c r="O69" s="951"/>
    </row>
    <row r="70" spans="1:15" ht="20.100000000000001" customHeight="1">
      <c r="A70" s="1527" t="s">
        <v>200</v>
      </c>
      <c r="B70" s="1528"/>
      <c r="C70" s="1529"/>
      <c r="D70" s="944" t="s">
        <v>198</v>
      </c>
      <c r="E70" s="1033"/>
      <c r="F70" s="1034"/>
      <c r="G70" s="1034"/>
      <c r="H70" s="947">
        <f>G70+'13'!H70</f>
        <v>0</v>
      </c>
      <c r="I70" s="1034"/>
      <c r="J70" s="1035"/>
      <c r="K70" s="1032"/>
      <c r="L70" s="924"/>
      <c r="O70" s="951"/>
    </row>
    <row r="71" spans="1:15" ht="20.100000000000001" customHeight="1">
      <c r="A71" s="1524" t="s">
        <v>201</v>
      </c>
      <c r="B71" s="1525"/>
      <c r="C71" s="1525"/>
      <c r="D71" s="1525"/>
      <c r="E71" s="1525"/>
      <c r="F71" s="1525"/>
      <c r="G71" s="1525"/>
      <c r="H71" s="1525"/>
      <c r="I71" s="1525"/>
      <c r="J71" s="1526"/>
      <c r="K71" s="1031"/>
      <c r="L71" s="924"/>
      <c r="O71" s="951"/>
    </row>
    <row r="72" spans="1:15" ht="20.100000000000001" customHeight="1">
      <c r="A72" s="1507" t="s">
        <v>202</v>
      </c>
      <c r="B72" s="1508"/>
      <c r="C72" s="1509"/>
      <c r="D72" s="944" t="s">
        <v>198</v>
      </c>
      <c r="E72" s="945">
        <f>'25'!F72</f>
        <v>847965</v>
      </c>
      <c r="F72" s="1036">
        <v>848048</v>
      </c>
      <c r="G72" s="946">
        <f t="shared" ref="G72:G84" si="6">F72-E72</f>
        <v>83</v>
      </c>
      <c r="H72" s="947">
        <f>G72+'25'!H72</f>
        <v>1582</v>
      </c>
      <c r="I72" s="966"/>
      <c r="J72" s="949">
        <f>H72/DAY(B2)</f>
        <v>60.846153846153847</v>
      </c>
      <c r="K72" s="1032"/>
      <c r="L72" s="924"/>
      <c r="O72" s="951"/>
    </row>
    <row r="73" spans="1:15" ht="20.100000000000001" customHeight="1">
      <c r="A73" s="1507" t="s">
        <v>203</v>
      </c>
      <c r="B73" s="1508"/>
      <c r="C73" s="1509"/>
      <c r="D73" s="944" t="s">
        <v>198</v>
      </c>
      <c r="E73" s="945">
        <f>'25'!F73</f>
        <v>885726</v>
      </c>
      <c r="F73" s="1037">
        <v>885727</v>
      </c>
      <c r="G73" s="946">
        <f t="shared" si="6"/>
        <v>1</v>
      </c>
      <c r="H73" s="947">
        <f>G73+'25'!H73</f>
        <v>946</v>
      </c>
      <c r="I73" s="966"/>
      <c r="J73" s="949">
        <f>H73/DAY(B2)</f>
        <v>36.384615384615387</v>
      </c>
      <c r="K73" s="1031"/>
      <c r="L73" s="924"/>
      <c r="O73" s="951"/>
    </row>
    <row r="74" spans="1:15" ht="20.100000000000001" customHeight="1">
      <c r="A74" s="1507" t="s">
        <v>204</v>
      </c>
      <c r="B74" s="1508"/>
      <c r="C74" s="1509"/>
      <c r="D74" s="944" t="s">
        <v>198</v>
      </c>
      <c r="E74" s="945">
        <f>'25'!F74</f>
        <v>882181</v>
      </c>
      <c r="F74" s="1038">
        <v>882212</v>
      </c>
      <c r="G74" s="946">
        <f t="shared" si="6"/>
        <v>31</v>
      </c>
      <c r="H74" s="947">
        <f>G74+'25'!H74</f>
        <v>897</v>
      </c>
      <c r="I74" s="966"/>
      <c r="J74" s="949">
        <f>H74/DAY(B2)</f>
        <v>34.5</v>
      </c>
      <c r="K74" s="1032"/>
      <c r="L74" s="924"/>
      <c r="O74" s="951"/>
    </row>
    <row r="75" spans="1:15" ht="20.100000000000001" customHeight="1">
      <c r="A75" s="1521" t="s">
        <v>205</v>
      </c>
      <c r="B75" s="1522"/>
      <c r="C75" s="1523"/>
      <c r="D75" s="944" t="s">
        <v>198</v>
      </c>
      <c r="E75" s="945">
        <f>'25'!F75</f>
        <v>736353</v>
      </c>
      <c r="F75" s="1038">
        <v>736551</v>
      </c>
      <c r="G75" s="946">
        <f t="shared" si="6"/>
        <v>198</v>
      </c>
      <c r="H75" s="947">
        <f>G75+'25'!H75</f>
        <v>4910</v>
      </c>
      <c r="I75" s="966"/>
      <c r="J75" s="949">
        <f>H75/DAY(B2)</f>
        <v>188.84615384615384</v>
      </c>
      <c r="K75" s="1031"/>
      <c r="L75" s="924"/>
      <c r="O75" s="951"/>
    </row>
    <row r="76" spans="1:15" ht="20.100000000000001" customHeight="1">
      <c r="A76" s="1521" t="s">
        <v>206</v>
      </c>
      <c r="B76" s="1522"/>
      <c r="C76" s="1523"/>
      <c r="D76" s="944" t="s">
        <v>198</v>
      </c>
      <c r="E76" s="945">
        <f>'25'!F76</f>
        <v>686566</v>
      </c>
      <c r="F76" s="1037">
        <v>686645</v>
      </c>
      <c r="G76" s="946">
        <f t="shared" si="6"/>
        <v>79</v>
      </c>
      <c r="H76" s="947">
        <f>G76+'25'!H76</f>
        <v>3546</v>
      </c>
      <c r="I76" s="1009"/>
      <c r="J76" s="949">
        <f>H76/DAY(B2)</f>
        <v>136.38461538461539</v>
      </c>
      <c r="K76" s="1031"/>
      <c r="L76" s="924"/>
      <c r="O76" s="951"/>
    </row>
    <row r="77" spans="1:15" ht="20.100000000000001" customHeight="1">
      <c r="A77" s="1507" t="s">
        <v>207</v>
      </c>
      <c r="B77" s="1508"/>
      <c r="C77" s="1509"/>
      <c r="D77" s="944" t="s">
        <v>198</v>
      </c>
      <c r="E77" s="945">
        <f>'25'!F77</f>
        <v>696795</v>
      </c>
      <c r="F77" s="1037">
        <v>696846</v>
      </c>
      <c r="G77" s="946">
        <f t="shared" si="6"/>
        <v>51</v>
      </c>
      <c r="H77" s="947">
        <f>G77+'25'!H77</f>
        <v>1452</v>
      </c>
      <c r="I77" s="1009"/>
      <c r="J77" s="949">
        <f>H77/DAY(B2)</f>
        <v>55.846153846153847</v>
      </c>
      <c r="K77" s="1031"/>
      <c r="L77" s="924"/>
      <c r="O77" s="951"/>
    </row>
    <row r="78" spans="1:15" ht="18.75" customHeight="1">
      <c r="A78" s="1039" t="s">
        <v>208</v>
      </c>
      <c r="B78" s="1248"/>
      <c r="C78" s="1248"/>
      <c r="D78" s="944" t="s">
        <v>198</v>
      </c>
      <c r="E78" s="945">
        <f>'25'!F78</f>
        <v>639639</v>
      </c>
      <c r="F78" s="1038">
        <v>640010</v>
      </c>
      <c r="G78" s="946">
        <f t="shared" si="6"/>
        <v>371</v>
      </c>
      <c r="H78" s="947">
        <f>G78+'25'!H78</f>
        <v>9237</v>
      </c>
      <c r="I78" s="1009"/>
      <c r="J78" s="949">
        <f>H78/DAY(B2)</f>
        <v>355.26923076923077</v>
      </c>
      <c r="K78" s="1031"/>
      <c r="L78" s="924"/>
      <c r="O78" s="951"/>
    </row>
    <row r="79" spans="1:15" ht="20.100000000000001" customHeight="1">
      <c r="A79" s="1521" t="s">
        <v>97</v>
      </c>
      <c r="B79" s="1522"/>
      <c r="C79" s="1523"/>
      <c r="D79" s="978" t="s">
        <v>198</v>
      </c>
      <c r="E79" s="945">
        <f>'25'!F79</f>
        <v>808559</v>
      </c>
      <c r="F79" s="1038">
        <v>808754</v>
      </c>
      <c r="G79" s="946">
        <f t="shared" si="6"/>
        <v>195</v>
      </c>
      <c r="H79" s="947">
        <f>G79+'25'!H79</f>
        <v>6983</v>
      </c>
      <c r="I79" s="1009"/>
      <c r="J79" s="949">
        <f>H79/DAY(B2)</f>
        <v>268.57692307692309</v>
      </c>
      <c r="K79" s="1031"/>
      <c r="L79" s="924"/>
      <c r="O79" s="951"/>
    </row>
    <row r="80" spans="1:15" ht="20.100000000000001" customHeight="1">
      <c r="A80" s="1521" t="s">
        <v>209</v>
      </c>
      <c r="B80" s="1522"/>
      <c r="C80" s="1523"/>
      <c r="D80" s="978" t="s">
        <v>198</v>
      </c>
      <c r="E80" s="945">
        <f>'25'!F80</f>
        <v>483285.56</v>
      </c>
      <c r="F80" s="1037">
        <v>483563.88</v>
      </c>
      <c r="G80" s="946">
        <f t="shared" si="6"/>
        <v>278.32000000000698</v>
      </c>
      <c r="H80" s="947">
        <f>G80+'25'!H80</f>
        <v>6352.039999999979</v>
      </c>
      <c r="I80" s="1009"/>
      <c r="J80" s="949">
        <f>H80/DAY(B2)</f>
        <v>244.30923076922997</v>
      </c>
      <c r="K80" s="1031"/>
      <c r="L80" s="924"/>
      <c r="O80" s="951"/>
    </row>
    <row r="81" spans="1:15" ht="20.100000000000001" customHeight="1">
      <c r="A81" s="1521" t="s">
        <v>210</v>
      </c>
      <c r="B81" s="1522"/>
      <c r="C81" s="1523"/>
      <c r="D81" s="978" t="s">
        <v>198</v>
      </c>
      <c r="E81" s="945">
        <f>'25'!F81</f>
        <v>622131.56000000006</v>
      </c>
      <c r="F81" s="1037">
        <v>622261.64</v>
      </c>
      <c r="G81" s="946">
        <f t="shared" si="6"/>
        <v>130.07999999995809</v>
      </c>
      <c r="H81" s="947">
        <f>G81+'25'!H81</f>
        <v>3007.640000000014</v>
      </c>
      <c r="I81" s="1009"/>
      <c r="J81" s="949">
        <f>H81/DAY(B2)</f>
        <v>115.67846153846207</v>
      </c>
      <c r="K81" s="1031"/>
      <c r="L81" s="924"/>
      <c r="O81" s="951"/>
    </row>
    <row r="82" spans="1:15" ht="20.100000000000001" customHeight="1">
      <c r="A82" s="1521" t="s">
        <v>100</v>
      </c>
      <c r="B82" s="1522"/>
      <c r="C82" s="1523"/>
      <c r="D82" s="979" t="s">
        <v>143</v>
      </c>
      <c r="E82" s="945">
        <f>'25'!F82</f>
        <v>105169</v>
      </c>
      <c r="F82" s="1040">
        <v>105224.59</v>
      </c>
      <c r="G82" s="946">
        <f t="shared" si="6"/>
        <v>55.589999999996508</v>
      </c>
      <c r="H82" s="947">
        <f>G82+'25'!H82</f>
        <v>786.58999999999651</v>
      </c>
      <c r="I82" s="980"/>
      <c r="J82" s="949">
        <f>H82/DAY(B2)</f>
        <v>30.253461538461405</v>
      </c>
      <c r="K82" s="1031"/>
      <c r="L82" s="924"/>
      <c r="O82" s="951"/>
    </row>
    <row r="83" spans="1:15" ht="20.100000000000001" customHeight="1">
      <c r="A83" s="1521" t="s">
        <v>211</v>
      </c>
      <c r="B83" s="1522"/>
      <c r="C83" s="1523"/>
      <c r="D83" s="1041" t="s">
        <v>143</v>
      </c>
      <c r="E83" s="945">
        <f>'25'!F83</f>
        <v>981841</v>
      </c>
      <c r="F83" s="931">
        <v>982067</v>
      </c>
      <c r="G83" s="946">
        <f t="shared" si="6"/>
        <v>226</v>
      </c>
      <c r="H83" s="947">
        <f>G83+'25'!H83</f>
        <v>8596</v>
      </c>
      <c r="I83" s="969"/>
      <c r="J83" s="949">
        <f>H83/DAY(B2)</f>
        <v>330.61538461538464</v>
      </c>
      <c r="K83" s="972"/>
      <c r="L83" s="924"/>
      <c r="O83" s="951"/>
    </row>
    <row r="84" spans="1:15" ht="20.100000000000001" customHeight="1">
      <c r="A84" s="1042" t="s">
        <v>212</v>
      </c>
      <c r="B84" s="1043"/>
      <c r="C84" s="1043"/>
      <c r="D84" s="963" t="s">
        <v>143</v>
      </c>
      <c r="E84" s="945">
        <f>'25'!F84</f>
        <v>412909</v>
      </c>
      <c r="F84" s="1044">
        <v>413437</v>
      </c>
      <c r="G84" s="946">
        <f t="shared" si="6"/>
        <v>528</v>
      </c>
      <c r="H84" s="947">
        <f>G84+'25'!H84</f>
        <v>16241</v>
      </c>
      <c r="I84" s="969"/>
      <c r="J84" s="949">
        <f>H84/DAY(B2)</f>
        <v>624.65384615384619</v>
      </c>
      <c r="K84" s="1045"/>
      <c r="L84" s="924"/>
      <c r="O84" s="951"/>
    </row>
    <row r="85" spans="1:15" s="1049" customFormat="1" ht="20.100000000000001" customHeight="1">
      <c r="A85" s="1046" t="s">
        <v>213</v>
      </c>
      <c r="B85" s="1047"/>
      <c r="C85" s="1047"/>
      <c r="D85" s="984"/>
      <c r="E85" s="945">
        <f>'25'!F85</f>
        <v>0</v>
      </c>
      <c r="F85" s="944"/>
      <c r="G85" s="947">
        <f xml:space="preserve"> SUM(G72:G84)</f>
        <v>2226.9899999999616</v>
      </c>
      <c r="H85" s="947">
        <f>G85+'25'!H85</f>
        <v>60306.110000000015</v>
      </c>
      <c r="I85" s="969"/>
      <c r="J85" s="949">
        <f>H85/DAY(B2)</f>
        <v>2319.4657692307696</v>
      </c>
      <c r="K85" s="1045"/>
      <c r="L85" s="1048"/>
      <c r="N85" s="1116"/>
      <c r="O85" s="951"/>
    </row>
    <row r="86" spans="1:15" s="1059" customFormat="1">
      <c r="A86" s="1050" t="s">
        <v>102</v>
      </c>
      <c r="B86" s="1051"/>
      <c r="C86" s="1051"/>
      <c r="D86" s="1052" t="s">
        <v>194</v>
      </c>
      <c r="E86" s="945">
        <f>'25'!F86</f>
        <v>446558.69</v>
      </c>
      <c r="F86" s="1053">
        <v>446593</v>
      </c>
      <c r="G86" s="1054">
        <f t="shared" ref="G86:G90" si="7">F86-E86</f>
        <v>34.309999999997672</v>
      </c>
      <c r="H86" s="1054">
        <f t="shared" ref="H86:H88" si="8">G86</f>
        <v>34.309999999997672</v>
      </c>
      <c r="I86" s="1055"/>
      <c r="J86" s="1056">
        <f>H86/DAY(B2)</f>
        <v>1.3196153846152952</v>
      </c>
      <c r="K86" s="1057"/>
      <c r="L86" s="1058"/>
      <c r="N86" s="1117"/>
      <c r="O86" s="951"/>
    </row>
    <row r="87" spans="1:15" s="1059" customFormat="1">
      <c r="A87" s="1050" t="s">
        <v>103</v>
      </c>
      <c r="B87" s="1051"/>
      <c r="C87" s="1051"/>
      <c r="D87" s="1052" t="s">
        <v>194</v>
      </c>
      <c r="E87" s="945">
        <f>'25'!F87</f>
        <v>78306.8</v>
      </c>
      <c r="F87" s="1053">
        <v>78317.8</v>
      </c>
      <c r="G87" s="1054">
        <f t="shared" si="7"/>
        <v>11</v>
      </c>
      <c r="H87" s="1054">
        <f t="shared" si="8"/>
        <v>11</v>
      </c>
      <c r="I87" s="1055"/>
      <c r="J87" s="1056">
        <f>H87/DAY(B2)</f>
        <v>0.42307692307692307</v>
      </c>
      <c r="K87" s="1057"/>
      <c r="L87" s="1058"/>
      <c r="N87" s="1117"/>
      <c r="O87" s="951"/>
    </row>
    <row r="88" spans="1:15" s="1059" customFormat="1">
      <c r="A88" s="1050" t="s">
        <v>104</v>
      </c>
      <c r="B88" s="1051"/>
      <c r="C88" s="1051"/>
      <c r="D88" s="1052" t="s">
        <v>194</v>
      </c>
      <c r="E88" s="945">
        <f>'25'!F88</f>
        <v>146075.76</v>
      </c>
      <c r="F88" s="1053">
        <v>146111</v>
      </c>
      <c r="G88" s="1054">
        <f t="shared" si="7"/>
        <v>35.239999999990687</v>
      </c>
      <c r="H88" s="1054">
        <f t="shared" si="8"/>
        <v>35.239999999990687</v>
      </c>
      <c r="I88" s="1055"/>
      <c r="J88" s="1056">
        <f>H88/DAY(B2)</f>
        <v>1.3553846153842573</v>
      </c>
      <c r="K88" s="1057"/>
      <c r="L88" s="1058"/>
      <c r="N88" s="1117"/>
      <c r="O88" s="951"/>
    </row>
    <row r="89" spans="1:15" s="1059" customFormat="1">
      <c r="A89" s="1050" t="s">
        <v>215</v>
      </c>
      <c r="B89" s="1051"/>
      <c r="C89" s="1051"/>
      <c r="D89" s="1052" t="s">
        <v>194</v>
      </c>
      <c r="E89" s="945">
        <f>'25'!F89</f>
        <v>59361.4</v>
      </c>
      <c r="F89" s="1053">
        <v>59414</v>
      </c>
      <c r="G89" s="1054">
        <f t="shared" si="7"/>
        <v>52.599999999998545</v>
      </c>
      <c r="H89" s="1054">
        <f>G89</f>
        <v>52.599999999998545</v>
      </c>
      <c r="I89" s="1055"/>
      <c r="J89" s="1056">
        <f>H89/DAY(B2)</f>
        <v>2.023076923076867</v>
      </c>
      <c r="K89" s="1057"/>
      <c r="L89" s="1058"/>
      <c r="N89" s="1124"/>
      <c r="O89" s="951"/>
    </row>
    <row r="90" spans="1:15" s="1059" customFormat="1">
      <c r="A90" s="1050" t="s">
        <v>215</v>
      </c>
      <c r="B90" s="1051"/>
      <c r="C90" s="1051"/>
      <c r="D90" s="1052" t="s">
        <v>194</v>
      </c>
      <c r="E90" s="945">
        <f>'25'!F90</f>
        <v>3049</v>
      </c>
      <c r="F90" s="1053">
        <v>3049.4</v>
      </c>
      <c r="G90" s="1054">
        <f t="shared" si="7"/>
        <v>0.40000000000009095</v>
      </c>
      <c r="H90" s="1054">
        <f>G90</f>
        <v>0.40000000000009095</v>
      </c>
      <c r="I90" s="1055"/>
      <c r="J90" s="1056">
        <f>H90/DAY(B2)</f>
        <v>1.5384615384618883E-2</v>
      </c>
      <c r="K90" s="1057"/>
      <c r="L90" s="1058"/>
      <c r="N90" s="1118"/>
      <c r="O90" s="951"/>
    </row>
    <row r="91" spans="1:15" s="1049" customFormat="1" ht="20.100000000000001" customHeight="1">
      <c r="A91" s="1060" t="s">
        <v>216</v>
      </c>
      <c r="B91" s="939"/>
      <c r="C91" s="939"/>
      <c r="D91" s="939"/>
      <c r="E91" s="939"/>
      <c r="F91" s="939"/>
      <c r="G91" s="983"/>
      <c r="H91" s="939"/>
      <c r="I91" s="939"/>
      <c r="J91" s="940"/>
      <c r="K91" s="1045"/>
      <c r="L91" s="1048"/>
      <c r="N91" s="1116"/>
      <c r="O91" s="951"/>
    </row>
    <row r="92" spans="1:15" ht="20.100000000000001" customHeight="1">
      <c r="A92" s="1501" t="s">
        <v>217</v>
      </c>
      <c r="B92" s="1502"/>
      <c r="C92" s="1503"/>
      <c r="D92" s="944" t="s">
        <v>155</v>
      </c>
      <c r="E92" s="945">
        <f>'25'!F92</f>
        <v>236081</v>
      </c>
      <c r="F92" s="975">
        <v>236189</v>
      </c>
      <c r="G92" s="946">
        <f t="shared" ref="G92:G93" si="9">F92-E92</f>
        <v>108</v>
      </c>
      <c r="H92" s="947">
        <f>G92+'25'!H92</f>
        <v>2287</v>
      </c>
      <c r="I92" s="966"/>
      <c r="J92" s="949">
        <f>H92/DAY(B2)</f>
        <v>87.961538461538467</v>
      </c>
      <c r="K92" s="972"/>
      <c r="L92" s="924"/>
      <c r="O92" s="951"/>
    </row>
    <row r="93" spans="1:15" ht="20.100000000000001" customHeight="1">
      <c r="A93" s="1501" t="s">
        <v>218</v>
      </c>
      <c r="B93" s="1502"/>
      <c r="C93" s="1503"/>
      <c r="D93" s="944" t="s">
        <v>155</v>
      </c>
      <c r="E93" s="945">
        <f>'25'!F93</f>
        <v>170363</v>
      </c>
      <c r="F93" s="975">
        <v>170468</v>
      </c>
      <c r="G93" s="946">
        <f t="shared" si="9"/>
        <v>105</v>
      </c>
      <c r="H93" s="947">
        <f>G93+'25'!H93</f>
        <v>3552</v>
      </c>
      <c r="I93" s="966"/>
      <c r="J93" s="949">
        <f>H93/DAY(B2)</f>
        <v>136.61538461538461</v>
      </c>
      <c r="K93" s="1045"/>
      <c r="L93" s="924"/>
      <c r="O93" s="951"/>
    </row>
    <row r="94" spans="1:15" ht="20.100000000000001" customHeight="1">
      <c r="A94" s="1510" t="s">
        <v>219</v>
      </c>
      <c r="B94" s="1511"/>
      <c r="C94" s="1512"/>
      <c r="D94" s="944"/>
      <c r="E94" s="945">
        <f>'25'!F94</f>
        <v>0</v>
      </c>
      <c r="F94" s="975"/>
      <c r="G94" s="946">
        <f>G92+G93</f>
        <v>213</v>
      </c>
      <c r="H94" s="947">
        <f>G94+'25'!H94</f>
        <v>5565</v>
      </c>
      <c r="I94" s="966"/>
      <c r="J94" s="949">
        <f>H94/DAY(B2)</f>
        <v>214.03846153846155</v>
      </c>
      <c r="K94" s="1045"/>
      <c r="L94" s="924"/>
      <c r="O94" s="951"/>
    </row>
    <row r="95" spans="1:15" ht="20.100000000000001" customHeight="1">
      <c r="A95" s="1501" t="s">
        <v>220</v>
      </c>
      <c r="B95" s="1502"/>
      <c r="C95" s="1503"/>
      <c r="D95" s="944" t="s">
        <v>155</v>
      </c>
      <c r="E95" s="945">
        <f>'25'!F95</f>
        <v>405514</v>
      </c>
      <c r="F95" s="975">
        <v>405574</v>
      </c>
      <c r="G95" s="946">
        <f t="shared" ref="G95:G100" si="10">F95-E95</f>
        <v>60</v>
      </c>
      <c r="H95" s="947">
        <f>G95+'25'!H95</f>
        <v>1909</v>
      </c>
      <c r="I95" s="966"/>
      <c r="J95" s="949">
        <f>H95/DAY(B2)</f>
        <v>73.42307692307692</v>
      </c>
      <c r="K95" s="1045"/>
      <c r="L95" s="924"/>
      <c r="O95" s="951"/>
    </row>
    <row r="96" spans="1:15" ht="20.100000000000001" customHeight="1">
      <c r="A96" s="973" t="s">
        <v>221</v>
      </c>
      <c r="B96" s="974"/>
      <c r="C96" s="974"/>
      <c r="D96" s="944" t="s">
        <v>155</v>
      </c>
      <c r="E96" s="945">
        <f>'25'!F96</f>
        <v>100380</v>
      </c>
      <c r="F96" s="975">
        <v>100399</v>
      </c>
      <c r="G96" s="946">
        <f t="shared" si="10"/>
        <v>19</v>
      </c>
      <c r="H96" s="947">
        <f>G96+'25'!H96</f>
        <v>478</v>
      </c>
      <c r="I96" s="966"/>
      <c r="J96" s="949">
        <f>H96/DAY(B2)</f>
        <v>18.384615384615383</v>
      </c>
      <c r="K96" s="941"/>
      <c r="L96" s="924"/>
      <c r="O96" s="951"/>
    </row>
    <row r="97" spans="1:15" ht="20.100000000000001" customHeight="1">
      <c r="A97" s="973" t="s">
        <v>222</v>
      </c>
      <c r="B97" s="974"/>
      <c r="C97" s="974"/>
      <c r="D97" s="944" t="s">
        <v>155</v>
      </c>
      <c r="E97" s="945">
        <f>'25'!F97</f>
        <v>95557</v>
      </c>
      <c r="F97" s="975">
        <v>95582</v>
      </c>
      <c r="G97" s="946">
        <f t="shared" si="10"/>
        <v>25</v>
      </c>
      <c r="H97" s="947">
        <f>G97+'25'!H97</f>
        <v>555</v>
      </c>
      <c r="I97" s="966"/>
      <c r="J97" s="949">
        <f>H97/DAY(B2)</f>
        <v>21.346153846153847</v>
      </c>
      <c r="K97" s="1061"/>
      <c r="L97" s="924"/>
      <c r="O97" s="951"/>
    </row>
    <row r="98" spans="1:15" ht="20.100000000000001" customHeight="1">
      <c r="A98" s="973" t="s">
        <v>223</v>
      </c>
      <c r="B98" s="974"/>
      <c r="C98" s="974"/>
      <c r="D98" s="944" t="s">
        <v>155</v>
      </c>
      <c r="E98" s="945">
        <f>'25'!F98</f>
        <v>145172</v>
      </c>
      <c r="F98" s="975">
        <v>145234</v>
      </c>
      <c r="G98" s="946">
        <f t="shared" si="10"/>
        <v>62</v>
      </c>
      <c r="H98" s="947">
        <f>G98+'25'!H98</f>
        <v>1427</v>
      </c>
      <c r="I98" s="966"/>
      <c r="J98" s="949">
        <f>H98/DAY(B2)</f>
        <v>54.884615384615387</v>
      </c>
      <c r="K98" s="1045"/>
      <c r="L98" s="924"/>
      <c r="O98" s="951"/>
    </row>
    <row r="99" spans="1:15" ht="20.100000000000001" customHeight="1">
      <c r="A99" s="973" t="s">
        <v>224</v>
      </c>
      <c r="B99" s="974"/>
      <c r="C99" s="974"/>
      <c r="D99" s="944" t="s">
        <v>155</v>
      </c>
      <c r="E99" s="945">
        <f>'25'!F99</f>
        <v>5843</v>
      </c>
      <c r="F99" s="975">
        <v>5882</v>
      </c>
      <c r="G99" s="946">
        <f t="shared" si="10"/>
        <v>39</v>
      </c>
      <c r="H99" s="947">
        <f>G99+'25'!H99</f>
        <v>380</v>
      </c>
      <c r="I99" s="966"/>
      <c r="J99" s="949">
        <f>H99/DAY(B2)</f>
        <v>14.615384615384615</v>
      </c>
      <c r="K99" s="1045"/>
      <c r="L99" s="924"/>
      <c r="O99" s="951"/>
    </row>
    <row r="100" spans="1:15" ht="20.100000000000001" customHeight="1">
      <c r="A100" s="973" t="s">
        <v>225</v>
      </c>
      <c r="B100" s="974"/>
      <c r="C100" s="974"/>
      <c r="D100" s="944" t="s">
        <v>155</v>
      </c>
      <c r="E100" s="945">
        <f>'25'!F100</f>
        <v>4195</v>
      </c>
      <c r="F100" s="975">
        <v>4205</v>
      </c>
      <c r="G100" s="946">
        <f t="shared" si="10"/>
        <v>10</v>
      </c>
      <c r="H100" s="947">
        <f>G100+'25'!H100</f>
        <v>241</v>
      </c>
      <c r="I100" s="966"/>
      <c r="J100" s="949">
        <f>H100/DAY(B2)</f>
        <v>9.2692307692307701</v>
      </c>
      <c r="K100" s="1045"/>
      <c r="L100" s="924"/>
      <c r="O100" s="951"/>
    </row>
    <row r="101" spans="1:15" ht="20.100000000000001" customHeight="1">
      <c r="A101" s="1510" t="s">
        <v>227</v>
      </c>
      <c r="B101" s="1511"/>
      <c r="C101" s="1512"/>
      <c r="D101" s="978"/>
      <c r="E101" s="978"/>
      <c r="F101" s="978"/>
      <c r="G101" s="1062">
        <f>SUM(G95:G100)</f>
        <v>215</v>
      </c>
      <c r="H101" s="947">
        <f>G101+'25'!H101</f>
        <v>4990</v>
      </c>
      <c r="I101" s="1063"/>
      <c r="J101" s="949">
        <f>H101/DAY(B2)</f>
        <v>191.92307692307693</v>
      </c>
      <c r="K101" s="1045"/>
      <c r="L101" s="924"/>
      <c r="O101" s="951"/>
    </row>
    <row r="102" spans="1:15" s="996" customFormat="1" ht="25.5" customHeight="1">
      <c r="A102" s="1064" t="s">
        <v>228</v>
      </c>
      <c r="B102" s="1065"/>
      <c r="C102" s="1065"/>
      <c r="D102" s="1066"/>
      <c r="E102" s="1067"/>
      <c r="F102" s="1068"/>
      <c r="G102" s="1069"/>
      <c r="H102" s="1070"/>
      <c r="I102" s="1071"/>
      <c r="J102" s="1072"/>
      <c r="N102" s="1114"/>
      <c r="O102" s="951"/>
    </row>
    <row r="103" spans="1:15" s="996" customFormat="1" ht="21.75" customHeight="1">
      <c r="A103" s="1518" t="s">
        <v>229</v>
      </c>
      <c r="B103" s="1519"/>
      <c r="C103" s="1073"/>
      <c r="D103" s="1074"/>
      <c r="E103" s="1075"/>
      <c r="F103" s="1075"/>
      <c r="G103" s="1075"/>
      <c r="H103" s="1076"/>
      <c r="I103" s="1075"/>
      <c r="J103" s="1077"/>
      <c r="N103" s="1114"/>
      <c r="O103" s="951"/>
    </row>
    <row r="104" spans="1:15" s="996" customFormat="1" ht="21.75" customHeight="1">
      <c r="A104" s="1491" t="s">
        <v>230</v>
      </c>
      <c r="B104" s="1492"/>
      <c r="C104" s="1078"/>
      <c r="D104" s="1074" t="s">
        <v>155</v>
      </c>
      <c r="E104" s="1075">
        <f>'25'!F104</f>
        <v>7010</v>
      </c>
      <c r="F104" s="1075">
        <v>7010</v>
      </c>
      <c r="G104" s="1075">
        <f>F104-E104</f>
        <v>0</v>
      </c>
      <c r="H104" s="1076">
        <f>SUM(G104+'1'!G76)</f>
        <v>98</v>
      </c>
      <c r="I104" s="1075"/>
      <c r="J104" s="1077">
        <f>H104/DAY(B2)</f>
        <v>3.7692307692307692</v>
      </c>
      <c r="N104" s="1114"/>
      <c r="O104" s="951"/>
    </row>
    <row r="105" spans="1:15" s="996" customFormat="1" ht="21.75" customHeight="1">
      <c r="A105" s="1491" t="s">
        <v>77</v>
      </c>
      <c r="B105" s="1492"/>
      <c r="C105" s="1078"/>
      <c r="D105" s="1074" t="s">
        <v>155</v>
      </c>
      <c r="E105" s="1075">
        <f>'25'!F105</f>
        <v>35117</v>
      </c>
      <c r="F105" s="1079">
        <v>35124</v>
      </c>
      <c r="G105" s="1075">
        <f t="shared" ref="G105:G106" si="11">F105-E105</f>
        <v>7</v>
      </c>
      <c r="H105" s="1076">
        <f>SUM(G105+'1'!G77)</f>
        <v>68</v>
      </c>
      <c r="I105" s="1075"/>
      <c r="J105" s="1077">
        <f>H105/DAY(B2)</f>
        <v>2.6153846153846154</v>
      </c>
      <c r="N105" s="1114"/>
      <c r="O105" s="951"/>
    </row>
    <row r="106" spans="1:15" s="996" customFormat="1" ht="21.75" customHeight="1">
      <c r="A106" s="1491" t="s">
        <v>78</v>
      </c>
      <c r="B106" s="1520"/>
      <c r="C106" s="1492"/>
      <c r="D106" s="1074" t="s">
        <v>155</v>
      </c>
      <c r="E106" s="1075">
        <f>'25'!F106</f>
        <v>19056</v>
      </c>
      <c r="F106" s="1075">
        <v>19059</v>
      </c>
      <c r="G106" s="1075">
        <f t="shared" si="11"/>
        <v>3</v>
      </c>
      <c r="H106" s="1076">
        <f>SUM(G106+'1'!G78)</f>
        <v>372</v>
      </c>
      <c r="I106" s="1075"/>
      <c r="J106" s="1077">
        <f>H106/DAY(B2)</f>
        <v>14.307692307692308</v>
      </c>
      <c r="N106" s="1114"/>
      <c r="O106" s="951"/>
    </row>
    <row r="107" spans="1:15" s="996" customFormat="1" ht="21.75" customHeight="1">
      <c r="A107" s="1493" t="s">
        <v>213</v>
      </c>
      <c r="B107" s="1494"/>
      <c r="C107" s="1078"/>
      <c r="D107" s="1074"/>
      <c r="E107" s="1075">
        <f>'25'!F107</f>
        <v>0</v>
      </c>
      <c r="F107" s="1075"/>
      <c r="G107" s="1075">
        <f>SUM(G104:G106)</f>
        <v>10</v>
      </c>
      <c r="H107" s="1076">
        <f>SUM(G107+'1'!G79)</f>
        <v>197</v>
      </c>
      <c r="I107" s="1075"/>
      <c r="J107" s="1077">
        <f>H107/DAY(B2)</f>
        <v>7.5769230769230766</v>
      </c>
      <c r="N107" s="1114"/>
      <c r="O107" s="951"/>
    </row>
    <row r="108" spans="1:15" s="996" customFormat="1" ht="21.75" customHeight="1">
      <c r="A108" s="1499" t="s">
        <v>79</v>
      </c>
      <c r="B108" s="1500"/>
      <c r="C108" s="1078"/>
      <c r="D108" s="1074" t="s">
        <v>155</v>
      </c>
      <c r="E108" s="1075">
        <f>'25'!F108</f>
        <v>0</v>
      </c>
      <c r="F108" s="1075"/>
      <c r="G108" s="1075"/>
      <c r="H108" s="1076"/>
      <c r="I108" s="1075"/>
      <c r="J108" s="1077"/>
      <c r="N108" s="1114"/>
      <c r="O108" s="951"/>
    </row>
    <row r="109" spans="1:15" s="996" customFormat="1" ht="21.75" customHeight="1">
      <c r="A109" s="1491" t="s">
        <v>231</v>
      </c>
      <c r="B109" s="1492"/>
      <c r="C109" s="1078"/>
      <c r="D109" s="1074" t="s">
        <v>155</v>
      </c>
      <c r="E109" s="1075">
        <f>'25'!F109</f>
        <v>54355</v>
      </c>
      <c r="F109" s="1075">
        <v>54397</v>
      </c>
      <c r="G109" s="1075">
        <f>F109-E109</f>
        <v>42</v>
      </c>
      <c r="H109" s="1076">
        <f>SUM(G109+'1'!G81)</f>
        <v>171</v>
      </c>
      <c r="I109" s="1075"/>
      <c r="J109" s="1077">
        <f>H109/DAY(B2)</f>
        <v>6.5769230769230766</v>
      </c>
      <c r="N109" s="1114"/>
      <c r="O109" s="951"/>
    </row>
    <row r="110" spans="1:15" s="996" customFormat="1" ht="21.75" customHeight="1">
      <c r="A110" s="1491" t="s">
        <v>232</v>
      </c>
      <c r="B110" s="1492"/>
      <c r="C110" s="1078"/>
      <c r="D110" s="1074" t="s">
        <v>155</v>
      </c>
      <c r="E110" s="1075">
        <f>'25'!F110</f>
        <v>28181</v>
      </c>
      <c r="F110" s="1075">
        <v>28241</v>
      </c>
      <c r="G110" s="1075">
        <f t="shared" ref="G110:G111" si="12">F110-E110</f>
        <v>60</v>
      </c>
      <c r="H110" s="1076">
        <f>SUM(G110+'1'!G82)</f>
        <v>83</v>
      </c>
      <c r="I110" s="1075"/>
      <c r="J110" s="1077">
        <f>H110/DAY(B2)</f>
        <v>3.1923076923076925</v>
      </c>
      <c r="N110" s="1114"/>
      <c r="O110" s="951"/>
    </row>
    <row r="111" spans="1:15" s="996" customFormat="1" ht="21.75" customHeight="1">
      <c r="A111" s="1491" t="s">
        <v>233</v>
      </c>
      <c r="B111" s="1492"/>
      <c r="C111" s="1078"/>
      <c r="D111" s="1074" t="s">
        <v>155</v>
      </c>
      <c r="E111" s="1075">
        <f>'25'!F111</f>
        <v>3721</v>
      </c>
      <c r="F111" s="1075">
        <v>3721</v>
      </c>
      <c r="G111" s="1075">
        <f t="shared" si="12"/>
        <v>0</v>
      </c>
      <c r="H111" s="1076">
        <f>SUM(G111+'1'!G83)</f>
        <v>333</v>
      </c>
      <c r="I111" s="1075"/>
      <c r="J111" s="1077">
        <f>H111/DAY(B2)</f>
        <v>12.807692307692308</v>
      </c>
      <c r="N111" s="1114"/>
      <c r="O111" s="951"/>
    </row>
    <row r="112" spans="1:15" s="996" customFormat="1" ht="21.75" customHeight="1">
      <c r="A112" s="1497" t="s">
        <v>121</v>
      </c>
      <c r="B112" s="1498"/>
      <c r="C112" s="1078"/>
      <c r="D112" s="1074"/>
      <c r="E112" s="1075">
        <f>'25'!F112</f>
        <v>0</v>
      </c>
      <c r="F112" s="1075"/>
      <c r="G112" s="1075">
        <f>SUM(G109:G111)</f>
        <v>102</v>
      </c>
      <c r="H112" s="1076">
        <f>SUM(G112+'1'!G84)</f>
        <v>548</v>
      </c>
      <c r="I112" s="1075"/>
      <c r="J112" s="1077">
        <f>H112/DAY(B2)</f>
        <v>21.076923076923077</v>
      </c>
      <c r="N112" s="1114"/>
      <c r="O112" s="951"/>
    </row>
    <row r="113" spans="1:15" s="996" customFormat="1" ht="21.75" customHeight="1">
      <c r="A113" s="1499" t="s">
        <v>234</v>
      </c>
      <c r="B113" s="1500"/>
      <c r="C113" s="1078"/>
      <c r="D113" s="1074"/>
      <c r="E113" s="1075">
        <f>'25'!F113</f>
        <v>0</v>
      </c>
      <c r="F113" s="1075"/>
      <c r="G113" s="1075"/>
      <c r="H113" s="1076"/>
      <c r="I113" s="1075"/>
      <c r="J113" s="1077">
        <f>H113/DAY(B2)</f>
        <v>0</v>
      </c>
      <c r="N113" s="1114"/>
      <c r="O113" s="951"/>
    </row>
    <row r="114" spans="1:15" s="996" customFormat="1" ht="21.75" customHeight="1">
      <c r="A114" s="1491" t="s">
        <v>235</v>
      </c>
      <c r="B114" s="1492"/>
      <c r="C114" s="1080"/>
      <c r="D114" s="1074" t="s">
        <v>155</v>
      </c>
      <c r="E114" s="1075">
        <f>'25'!F114</f>
        <v>9649</v>
      </c>
      <c r="F114" s="1079">
        <v>9693</v>
      </c>
      <c r="G114" s="1079">
        <f>F114-E114</f>
        <v>44</v>
      </c>
      <c r="H114" s="1076">
        <f>SUM(G114+'1'!G91)</f>
        <v>44</v>
      </c>
      <c r="I114" s="1075"/>
      <c r="J114" s="1077">
        <f>H114/DAY(B2)</f>
        <v>1.6923076923076923</v>
      </c>
      <c r="N114" s="1114"/>
      <c r="O114" s="951"/>
    </row>
    <row r="115" spans="1:15" s="996" customFormat="1" ht="21.75" customHeight="1">
      <c r="A115" s="1491" t="s">
        <v>236</v>
      </c>
      <c r="B115" s="1492"/>
      <c r="C115" s="1080"/>
      <c r="D115" s="1074" t="s">
        <v>155</v>
      </c>
      <c r="E115" s="1075">
        <f>'25'!F115</f>
        <v>7388</v>
      </c>
      <c r="F115" s="1079">
        <v>7398</v>
      </c>
      <c r="G115" s="1079">
        <f t="shared" ref="G115:G116" si="13">F115-E115</f>
        <v>10</v>
      </c>
      <c r="H115" s="1076">
        <f>SUM(G115+'1'!G92)</f>
        <v>143</v>
      </c>
      <c r="I115" s="1075"/>
      <c r="J115" s="1077">
        <f>H115/DAY(B2)</f>
        <v>5.5</v>
      </c>
      <c r="N115" s="1114"/>
      <c r="O115" s="951"/>
    </row>
    <row r="116" spans="1:15" s="996" customFormat="1" ht="21.75" customHeight="1">
      <c r="A116" s="1491" t="s">
        <v>237</v>
      </c>
      <c r="B116" s="1492"/>
      <c r="C116" s="1080"/>
      <c r="D116" s="1074" t="s">
        <v>155</v>
      </c>
      <c r="E116" s="1079"/>
      <c r="F116" s="1079"/>
      <c r="G116" s="1079">
        <f t="shared" si="13"/>
        <v>0</v>
      </c>
      <c r="H116" s="1076">
        <f>SUM(G116+'1'!G93)</f>
        <v>141</v>
      </c>
      <c r="I116" s="1075"/>
      <c r="J116" s="1077">
        <f>H116/DAY(B2)</f>
        <v>5.4230769230769234</v>
      </c>
      <c r="N116" s="1114"/>
      <c r="O116" s="951"/>
    </row>
    <row r="117" spans="1:15" s="1082" customFormat="1">
      <c r="A117" s="1493" t="s">
        <v>213</v>
      </c>
      <c r="B117" s="1494"/>
      <c r="C117" s="1080"/>
      <c r="D117" s="1081"/>
      <c r="E117" s="1079"/>
      <c r="F117" s="1079"/>
      <c r="G117" s="1079">
        <f>SUM(G114:G116)</f>
        <v>54</v>
      </c>
      <c r="H117" s="1076">
        <f>SUM(G117+'1'!G95)</f>
        <v>114</v>
      </c>
      <c r="I117" s="1079"/>
      <c r="J117" s="1077">
        <f>H117/DAY(B2)</f>
        <v>4.384615384615385</v>
      </c>
      <c r="N117" s="1119"/>
      <c r="O117" s="951"/>
    </row>
    <row r="118" spans="1:15" s="869" customFormat="1">
      <c r="A118" s="1495" t="s">
        <v>238</v>
      </c>
      <c r="B118" s="1496"/>
      <c r="C118" s="1083"/>
      <c r="D118" s="1084" t="s">
        <v>155</v>
      </c>
      <c r="E118" s="1085"/>
      <c r="F118" s="1086">
        <f>SUM(G19+G92)</f>
        <v>157</v>
      </c>
      <c r="G118" s="1086">
        <f>SUM(G19+G92)</f>
        <v>157</v>
      </c>
      <c r="H118" s="1076">
        <f>SUM(G118+'1'!G96)</f>
        <v>190</v>
      </c>
      <c r="I118" s="1085"/>
      <c r="J118" s="1087">
        <f>H118/DAY(B2)</f>
        <v>7.3076923076923075</v>
      </c>
      <c r="N118" s="1120"/>
      <c r="O118" s="951"/>
    </row>
    <row r="119" spans="1:15" s="869" customFormat="1">
      <c r="A119" s="1495" t="s">
        <v>239</v>
      </c>
      <c r="B119" s="1496"/>
      <c r="C119" s="1083"/>
      <c r="D119" s="1084" t="s">
        <v>155</v>
      </c>
      <c r="E119" s="1085"/>
      <c r="F119" s="1086">
        <f>SUM(G95,G96,G97,G99,G100)</f>
        <v>153</v>
      </c>
      <c r="G119" s="1086">
        <f>SUM(G95,G96,G97,G99,G100)</f>
        <v>153</v>
      </c>
      <c r="H119" s="1076">
        <f>SUM(G119+'1'!G98)</f>
        <v>203</v>
      </c>
      <c r="I119" s="1085"/>
      <c r="J119" s="1087">
        <f>H119/DAY(B2)</f>
        <v>7.8076923076923075</v>
      </c>
      <c r="N119" s="1120"/>
      <c r="O119" s="951"/>
    </row>
    <row r="120" spans="1:15" s="869" customFormat="1">
      <c r="A120" s="1495" t="s">
        <v>240</v>
      </c>
      <c r="B120" s="1496"/>
      <c r="C120" s="1083"/>
      <c r="D120" s="1084" t="s">
        <v>155</v>
      </c>
      <c r="E120" s="1085"/>
      <c r="F120" s="1079">
        <f>SUM(G112)</f>
        <v>102</v>
      </c>
      <c r="G120" s="1079">
        <f>SUM(G112)</f>
        <v>102</v>
      </c>
      <c r="H120" s="1076">
        <f>SUM(G120+'1'!G100)</f>
        <v>119</v>
      </c>
      <c r="I120" s="1085"/>
      <c r="J120" s="1087">
        <f>H120/DAY(B2)</f>
        <v>4.5769230769230766</v>
      </c>
      <c r="N120" s="1120"/>
      <c r="O120" s="951"/>
    </row>
    <row r="121" spans="1:15" s="996" customFormat="1" ht="18.75" customHeight="1">
      <c r="A121" s="1489"/>
      <c r="B121" s="1490"/>
      <c r="C121" s="1078"/>
      <c r="D121" s="1073"/>
      <c r="E121" s="1073"/>
      <c r="F121" s="1073" t="s">
        <v>226</v>
      </c>
      <c r="G121" s="1073"/>
      <c r="H121" s="1088"/>
      <c r="I121" s="1073"/>
      <c r="J121" s="1089"/>
      <c r="N121" s="1114"/>
      <c r="O121" s="951"/>
    </row>
    <row r="122" spans="1:15" ht="20.100000000000001" customHeight="1">
      <c r="A122" s="1513" t="s">
        <v>241</v>
      </c>
      <c r="B122" s="1514"/>
      <c r="C122" s="1515"/>
      <c r="D122" s="939"/>
      <c r="E122" s="939"/>
      <c r="F122" s="939"/>
      <c r="G122" s="971"/>
      <c r="H122" s="971"/>
      <c r="I122" s="971"/>
      <c r="J122" s="1090"/>
      <c r="K122" s="1045"/>
      <c r="L122" s="924"/>
      <c r="O122" s="951"/>
    </row>
    <row r="123" spans="1:15" ht="22.5" customHeight="1">
      <c r="A123" s="973" t="s">
        <v>242</v>
      </c>
      <c r="B123" s="974"/>
      <c r="C123" s="974"/>
      <c r="D123" s="944" t="s">
        <v>152</v>
      </c>
      <c r="E123" s="945">
        <f>'25'!F123</f>
        <v>801756.21</v>
      </c>
      <c r="F123" s="963">
        <v>802022.35</v>
      </c>
      <c r="G123" s="946">
        <f t="shared" ref="G123:G127" si="14">F123-E123</f>
        <v>266.14000000001397</v>
      </c>
      <c r="H123" s="947">
        <f>G123+'25'!H123</f>
        <v>6598.2999999999302</v>
      </c>
      <c r="I123" s="1063"/>
      <c r="J123" s="949">
        <f>H123/DAY(B2)</f>
        <v>253.78076923076654</v>
      </c>
      <c r="K123" s="1045"/>
      <c r="L123" s="924"/>
      <c r="O123" s="951"/>
    </row>
    <row r="124" spans="1:15" ht="22.5" customHeight="1">
      <c r="A124" s="973" t="s">
        <v>243</v>
      </c>
      <c r="B124" s="974"/>
      <c r="C124" s="974"/>
      <c r="D124" s="944" t="s">
        <v>152</v>
      </c>
      <c r="E124" s="945">
        <f>'25'!F124</f>
        <v>73582</v>
      </c>
      <c r="F124" s="1091">
        <v>73582</v>
      </c>
      <c r="G124" s="946">
        <f t="shared" si="14"/>
        <v>0</v>
      </c>
      <c r="H124" s="947">
        <f>G124+'25'!H124</f>
        <v>-0.19999999999708962</v>
      </c>
      <c r="I124" s="1063"/>
      <c r="J124" s="949">
        <f>H124/DAY(B2)</f>
        <v>-7.6923076921957545E-3</v>
      </c>
      <c r="K124" s="1045"/>
      <c r="L124" s="924"/>
      <c r="O124" s="951"/>
    </row>
    <row r="125" spans="1:15" ht="22.5" customHeight="1">
      <c r="A125" s="1507" t="s">
        <v>244</v>
      </c>
      <c r="B125" s="1508"/>
      <c r="C125" s="1509"/>
      <c r="D125" s="944" t="s">
        <v>152</v>
      </c>
      <c r="E125" s="945">
        <f>'25'!F125</f>
        <v>137479</v>
      </c>
      <c r="F125" s="963">
        <v>137549.56</v>
      </c>
      <c r="G125" s="946">
        <f t="shared" si="14"/>
        <v>70.559999999997672</v>
      </c>
      <c r="H125" s="947">
        <f>G125+'25'!H125</f>
        <v>1958.8899999999849</v>
      </c>
      <c r="I125" s="1063"/>
      <c r="J125" s="949">
        <f>H125/DAY(B2)</f>
        <v>75.341923076922498</v>
      </c>
      <c r="K125" s="1045"/>
      <c r="L125" s="924"/>
      <c r="O125" s="951"/>
    </row>
    <row r="126" spans="1:15" ht="20.100000000000001" customHeight="1">
      <c r="A126" s="1092" t="s">
        <v>245</v>
      </c>
      <c r="B126" s="974"/>
      <c r="C126" s="974"/>
      <c r="D126" s="944" t="s">
        <v>152</v>
      </c>
      <c r="E126" s="945">
        <f>'25'!F126</f>
        <v>58214</v>
      </c>
      <c r="F126" s="1091">
        <v>58247</v>
      </c>
      <c r="G126" s="946">
        <f t="shared" si="14"/>
        <v>33</v>
      </c>
      <c r="H126" s="947">
        <f>G126+'25'!H126</f>
        <v>866</v>
      </c>
      <c r="I126" s="1063"/>
      <c r="J126" s="949">
        <f>H126/DAY(B2)</f>
        <v>33.307692307692307</v>
      </c>
      <c r="K126" s="1045"/>
      <c r="L126" s="924"/>
      <c r="O126" s="951"/>
    </row>
    <row r="127" spans="1:15" ht="20.100000000000001" customHeight="1">
      <c r="A127" s="1092" t="s">
        <v>246</v>
      </c>
      <c r="B127" s="974"/>
      <c r="C127" s="974"/>
      <c r="D127" s="944" t="s">
        <v>152</v>
      </c>
      <c r="E127" s="945">
        <f>'25'!F127</f>
        <v>8796.6</v>
      </c>
      <c r="F127" s="1091">
        <v>8800</v>
      </c>
      <c r="G127" s="946">
        <f t="shared" si="14"/>
        <v>3.3999999999996362</v>
      </c>
      <c r="H127" s="947">
        <f>G127+'25'!H127</f>
        <v>94</v>
      </c>
      <c r="I127" s="966"/>
      <c r="J127" s="949">
        <f>H127/DAY(B2)</f>
        <v>3.6153846153846154</v>
      </c>
      <c r="K127" s="1045"/>
      <c r="L127" s="924"/>
      <c r="O127" s="951"/>
    </row>
    <row r="128" spans="1:15" ht="21.75" customHeight="1">
      <c r="A128" s="1092" t="s">
        <v>247</v>
      </c>
      <c r="B128" s="974"/>
      <c r="C128" s="974"/>
      <c r="D128" s="944"/>
      <c r="E128" s="945"/>
      <c r="F128" s="963"/>
      <c r="G128" s="946">
        <f>G15-SUM(G123:G127)</f>
        <v>482.03999999988628</v>
      </c>
      <c r="H128" s="947">
        <f>G128+'25'!H128</f>
        <v>5870.250000000111</v>
      </c>
      <c r="I128" s="966"/>
      <c r="J128" s="949">
        <f>H128/DAY(B2)</f>
        <v>225.77884615385042</v>
      </c>
      <c r="K128" s="1045"/>
      <c r="L128" s="924"/>
      <c r="O128" s="951"/>
    </row>
    <row r="129" spans="1:15">
      <c r="A129" s="1093" t="s">
        <v>248</v>
      </c>
      <c r="B129" s="938"/>
      <c r="C129" s="938"/>
      <c r="D129" s="938"/>
      <c r="E129" s="938"/>
      <c r="F129" s="938"/>
      <c r="G129" s="1094"/>
      <c r="H129" s="1094"/>
      <c r="I129" s="1094"/>
      <c r="J129" s="1095"/>
      <c r="O129" s="951"/>
    </row>
    <row r="130" spans="1:15">
      <c r="A130" s="973" t="s">
        <v>249</v>
      </c>
      <c r="B130" s="974"/>
      <c r="C130" s="974"/>
      <c r="D130" s="944" t="s">
        <v>250</v>
      </c>
      <c r="E130" s="945">
        <f>'25'!F130</f>
        <v>0</v>
      </c>
      <c r="F130" s="975">
        <v>0</v>
      </c>
      <c r="G130" s="946">
        <f t="shared" ref="G130:G140" si="15">F130-E130</f>
        <v>0</v>
      </c>
      <c r="H130" s="947">
        <f>G130+'25'!H130</f>
        <v>0</v>
      </c>
      <c r="I130" s="966"/>
      <c r="J130" s="949">
        <f>H130/DAY(B2)</f>
        <v>0</v>
      </c>
      <c r="O130" s="951"/>
    </row>
    <row r="131" spans="1:15">
      <c r="A131" s="973" t="s">
        <v>251</v>
      </c>
      <c r="B131" s="974"/>
      <c r="C131" s="974"/>
      <c r="D131" s="944" t="s">
        <v>250</v>
      </c>
      <c r="E131" s="945">
        <f>'25'!F131</f>
        <v>0</v>
      </c>
      <c r="F131" s="975">
        <v>0</v>
      </c>
      <c r="G131" s="946">
        <f t="shared" si="15"/>
        <v>0</v>
      </c>
      <c r="H131" s="947">
        <f>G131+'25'!H131</f>
        <v>0</v>
      </c>
      <c r="I131" s="966"/>
      <c r="J131" s="949">
        <f>H131/DAY(B2)</f>
        <v>0</v>
      </c>
      <c r="O131" s="951"/>
    </row>
    <row r="132" spans="1:15">
      <c r="A132" s="973" t="s">
        <v>252</v>
      </c>
      <c r="B132" s="974"/>
      <c r="C132" s="974"/>
      <c r="D132" s="944" t="s">
        <v>250</v>
      </c>
      <c r="E132" s="945">
        <f>'25'!F132</f>
        <v>38960.519999999997</v>
      </c>
      <c r="F132" s="1096">
        <v>38984.400000000001</v>
      </c>
      <c r="G132" s="946">
        <f t="shared" si="15"/>
        <v>23.880000000004657</v>
      </c>
      <c r="H132" s="947">
        <f>G132+'25'!H132</f>
        <v>154.91999999999825</v>
      </c>
      <c r="I132" s="966"/>
      <c r="J132" s="949">
        <f>H132/DAY(B2)</f>
        <v>5.9584615384614716</v>
      </c>
      <c r="O132" s="951"/>
    </row>
    <row r="133" spans="1:15">
      <c r="A133" s="973" t="s">
        <v>253</v>
      </c>
      <c r="B133" s="974"/>
      <c r="C133" s="974"/>
      <c r="D133" s="944" t="s">
        <v>250</v>
      </c>
      <c r="E133" s="945">
        <f>'25'!F133</f>
        <v>299.01</v>
      </c>
      <c r="F133" s="1096">
        <v>299</v>
      </c>
      <c r="G133" s="946">
        <f t="shared" si="15"/>
        <v>-9.9999999999909051E-3</v>
      </c>
      <c r="H133" s="947">
        <f>G133+'25'!H133</f>
        <v>0</v>
      </c>
      <c r="I133" s="966">
        <f>G130+G131+G132+G133</f>
        <v>23.870000000004666</v>
      </c>
      <c r="J133" s="949">
        <f>H133/DAY(B2)</f>
        <v>0</v>
      </c>
      <c r="O133" s="951"/>
    </row>
    <row r="134" spans="1:15">
      <c r="A134" s="973" t="s">
        <v>254</v>
      </c>
      <c r="B134" s="974"/>
      <c r="C134" s="974"/>
      <c r="D134" s="944" t="s">
        <v>250</v>
      </c>
      <c r="E134" s="945">
        <f>'25'!F134</f>
        <v>39951.050000000003</v>
      </c>
      <c r="F134" s="1096">
        <v>39951</v>
      </c>
      <c r="G134" s="946">
        <f t="shared" si="15"/>
        <v>-5.0000000002910383E-2</v>
      </c>
      <c r="H134" s="947">
        <f>G134+'25'!H134</f>
        <v>23.94999999999709</v>
      </c>
      <c r="I134" s="966"/>
      <c r="J134" s="949">
        <f>H134/DAY(B2)</f>
        <v>0.92115384615373419</v>
      </c>
      <c r="O134" s="951"/>
    </row>
    <row r="135" spans="1:15">
      <c r="A135" s="973" t="s">
        <v>255</v>
      </c>
      <c r="B135" s="974"/>
      <c r="C135" s="974"/>
      <c r="D135" s="944" t="s">
        <v>250</v>
      </c>
      <c r="E135" s="945">
        <f>'25'!F135</f>
        <v>32423</v>
      </c>
      <c r="F135" s="1096">
        <v>32423</v>
      </c>
      <c r="G135" s="946">
        <f t="shared" si="15"/>
        <v>0</v>
      </c>
      <c r="H135" s="947">
        <f>G135+'25'!H135</f>
        <v>13</v>
      </c>
      <c r="I135" s="966"/>
      <c r="J135" s="949">
        <f>H135/DAY(B2)</f>
        <v>0.5</v>
      </c>
      <c r="O135" s="951"/>
    </row>
    <row r="136" spans="1:15">
      <c r="A136" s="973" t="s">
        <v>256</v>
      </c>
      <c r="B136" s="974"/>
      <c r="C136" s="974"/>
      <c r="D136" s="944" t="s">
        <v>250</v>
      </c>
      <c r="E136" s="945">
        <f>'25'!F136</f>
        <v>21961.7</v>
      </c>
      <c r="F136" s="1096">
        <v>21970.38</v>
      </c>
      <c r="G136" s="946">
        <f t="shared" si="15"/>
        <v>8.680000000000291</v>
      </c>
      <c r="H136" s="947">
        <f>G136+'25'!H136</f>
        <v>168.68000000000029</v>
      </c>
      <c r="I136" s="966">
        <f>G134+G135+G136</f>
        <v>8.6299999999973807</v>
      </c>
      <c r="J136" s="949">
        <f>H136/DAY(B2)</f>
        <v>6.4876923076923187</v>
      </c>
      <c r="O136" s="951"/>
    </row>
    <row r="137" spans="1:15">
      <c r="A137" s="973" t="s">
        <v>257</v>
      </c>
      <c r="B137" s="974"/>
      <c r="C137" s="974"/>
      <c r="D137" s="944" t="s">
        <v>250</v>
      </c>
      <c r="E137" s="945">
        <f>'25'!F137</f>
        <v>25019.94</v>
      </c>
      <c r="F137" s="1096">
        <v>25019.94</v>
      </c>
      <c r="G137" s="946">
        <f t="shared" si="15"/>
        <v>0</v>
      </c>
      <c r="H137" s="947">
        <f>G137+'25'!H137</f>
        <v>8</v>
      </c>
      <c r="I137" s="966"/>
      <c r="J137" s="949">
        <f>H137/DAY(B2)</f>
        <v>0.30769230769230771</v>
      </c>
      <c r="O137" s="951"/>
    </row>
    <row r="138" spans="1:15">
      <c r="A138" s="973" t="s">
        <v>258</v>
      </c>
      <c r="B138" s="974"/>
      <c r="C138" s="974"/>
      <c r="D138" s="944" t="s">
        <v>250</v>
      </c>
      <c r="E138" s="945">
        <f>'25'!F138</f>
        <v>70059.78</v>
      </c>
      <c r="F138" s="1096">
        <v>70059.78</v>
      </c>
      <c r="G138" s="946">
        <f t="shared" si="15"/>
        <v>0</v>
      </c>
      <c r="H138" s="947">
        <f>G138+'25'!H138</f>
        <v>16.979999999995925</v>
      </c>
      <c r="I138" s="966">
        <f>G137+G138</f>
        <v>0</v>
      </c>
      <c r="J138" s="949">
        <f>H138/DAY(B2)</f>
        <v>0.65307692307676635</v>
      </c>
      <c r="O138" s="951"/>
    </row>
    <row r="139" spans="1:15">
      <c r="A139" s="973" t="s">
        <v>259</v>
      </c>
      <c r="B139" s="974"/>
      <c r="C139" s="974"/>
      <c r="D139" s="944" t="s">
        <v>250</v>
      </c>
      <c r="E139" s="945">
        <f>'25'!F139</f>
        <v>1154.28</v>
      </c>
      <c r="F139" s="975">
        <v>1162.04</v>
      </c>
      <c r="G139" s="946">
        <f t="shared" si="15"/>
        <v>7.7599999999999909</v>
      </c>
      <c r="H139" s="947">
        <f>G139+'25'!H139</f>
        <v>99.039999999999964</v>
      </c>
      <c r="I139" s="1097"/>
      <c r="J139" s="949">
        <f>H139/DAY(B2)</f>
        <v>3.8092307692307679</v>
      </c>
      <c r="O139" s="951"/>
    </row>
    <row r="140" spans="1:15">
      <c r="A140" s="973" t="s">
        <v>260</v>
      </c>
      <c r="B140" s="974"/>
      <c r="C140" s="974"/>
      <c r="D140" s="944" t="s">
        <v>250</v>
      </c>
      <c r="E140" s="945">
        <f>'25'!F140</f>
        <v>4333.53</v>
      </c>
      <c r="F140" s="975">
        <v>4333.53</v>
      </c>
      <c r="G140" s="946">
        <f t="shared" si="15"/>
        <v>0</v>
      </c>
      <c r="H140" s="947">
        <f>G140+'25'!H140</f>
        <v>101.11999999999989</v>
      </c>
      <c r="I140" s="1097"/>
      <c r="J140" s="949">
        <f>H140/DAY(B2)</f>
        <v>3.8892307692307648</v>
      </c>
      <c r="O140" s="951"/>
    </row>
    <row r="141" spans="1:15">
      <c r="A141" s="1516" t="s">
        <v>261</v>
      </c>
      <c r="B141" s="1517"/>
      <c r="C141" s="939"/>
      <c r="D141" s="939"/>
      <c r="E141" s="939"/>
      <c r="F141" s="939"/>
      <c r="G141" s="971"/>
      <c r="H141" s="971"/>
      <c r="I141" s="971"/>
      <c r="J141" s="1090"/>
      <c r="K141" s="1045"/>
      <c r="L141" s="924"/>
      <c r="O141" s="951"/>
    </row>
    <row r="142" spans="1:15">
      <c r="A142" s="1501" t="s">
        <v>262</v>
      </c>
      <c r="B142" s="1502"/>
      <c r="C142" s="1503"/>
      <c r="D142" s="944" t="s">
        <v>143</v>
      </c>
      <c r="E142" s="944"/>
      <c r="F142" s="944"/>
      <c r="G142" s="947">
        <f>G35+G43+G49+G57</f>
        <v>5526.9299999999348</v>
      </c>
      <c r="H142" s="947">
        <f>G142+'25'!H142</f>
        <v>136178.96999999994</v>
      </c>
      <c r="I142" s="966"/>
      <c r="J142" s="949">
        <f>H142/DAY(B2)</f>
        <v>5237.6526923076899</v>
      </c>
      <c r="K142" s="1045"/>
      <c r="L142" s="924"/>
      <c r="O142" s="951"/>
    </row>
    <row r="143" spans="1:15">
      <c r="A143" s="1501" t="s">
        <v>263</v>
      </c>
      <c r="B143" s="1502"/>
      <c r="C143" s="1503"/>
      <c r="D143" s="944" t="s">
        <v>24</v>
      </c>
      <c r="E143" s="931"/>
      <c r="F143" s="931"/>
      <c r="G143" s="1098">
        <f>G142/G7</f>
        <v>0.29092167596588769</v>
      </c>
      <c r="H143" s="947">
        <f>G143+'25'!H143</f>
        <v>6.811660082700719</v>
      </c>
      <c r="I143" s="1099"/>
      <c r="J143" s="949">
        <f>H143/DAY(B2)</f>
        <v>0.26198692625771997</v>
      </c>
      <c r="K143" s="1045"/>
      <c r="L143" s="924"/>
      <c r="O143" s="951"/>
    </row>
    <row r="144" spans="1:15">
      <c r="A144" s="1501" t="s">
        <v>264</v>
      </c>
      <c r="B144" s="1502"/>
      <c r="C144" s="1503"/>
      <c r="D144" s="944" t="s">
        <v>143</v>
      </c>
      <c r="E144" s="945"/>
      <c r="F144" s="945"/>
      <c r="G144" s="947">
        <f>G41+G42+G55+G56</f>
        <v>3760.380000000001</v>
      </c>
      <c r="H144" s="947">
        <f>G144+'25'!H144</f>
        <v>109938.11000000003</v>
      </c>
      <c r="I144" s="966"/>
      <c r="J144" s="949">
        <f>H144/DAY(B2)</f>
        <v>4228.3888461538472</v>
      </c>
      <c r="K144" s="1045"/>
      <c r="L144" s="924"/>
      <c r="O144" s="951"/>
    </row>
    <row r="145" spans="1:15" ht="20.100000000000001" customHeight="1">
      <c r="A145" s="1501" t="s">
        <v>265</v>
      </c>
      <c r="B145" s="1502"/>
      <c r="C145" s="1503"/>
      <c r="D145" s="944" t="s">
        <v>24</v>
      </c>
      <c r="E145" s="945"/>
      <c r="F145" s="945"/>
      <c r="G145" s="1098">
        <f>G144/G7</f>
        <v>0.19793557216549115</v>
      </c>
      <c r="H145" s="947">
        <f>G145+'25'!H145</f>
        <v>5.622549012341298</v>
      </c>
      <c r="I145" s="1099"/>
      <c r="J145" s="949">
        <f>H145/DAY(B2)</f>
        <v>0.21625188509004992</v>
      </c>
      <c r="K145" s="1045"/>
      <c r="L145" s="924"/>
      <c r="O145" s="951"/>
    </row>
    <row r="146" spans="1:15" ht="20.100000000000001" customHeight="1">
      <c r="A146" s="1501" t="s">
        <v>266</v>
      </c>
      <c r="B146" s="1502"/>
      <c r="C146" s="1503"/>
      <c r="D146" s="944" t="s">
        <v>143</v>
      </c>
      <c r="E146" s="945"/>
      <c r="F146" s="945"/>
      <c r="G146" s="947">
        <f>G39+G53</f>
        <v>4151.8499999999767</v>
      </c>
      <c r="H146" s="947">
        <f>G146+'25'!H146</f>
        <v>106891.87999999998</v>
      </c>
      <c r="I146" s="1100"/>
      <c r="J146" s="949">
        <f>H146/DAY(B2)</f>
        <v>4111.2261538461526</v>
      </c>
      <c r="K146" s="1045"/>
      <c r="L146" s="924"/>
      <c r="O146" s="951"/>
    </row>
    <row r="147" spans="1:15" ht="20.100000000000001" customHeight="1">
      <c r="A147" s="1501" t="s">
        <v>267</v>
      </c>
      <c r="B147" s="1502"/>
      <c r="C147" s="1503"/>
      <c r="D147" s="944" t="s">
        <v>24</v>
      </c>
      <c r="E147" s="945"/>
      <c r="F147" s="945"/>
      <c r="G147" s="1098">
        <f>G146/G7</f>
        <v>0.21854142541320015</v>
      </c>
      <c r="H147" s="947">
        <f>G147+'25'!H147</f>
        <v>5.4796120609149366</v>
      </c>
      <c r="I147" s="1100"/>
      <c r="J147" s="949">
        <f>H147/DAY(B2)</f>
        <v>0.21075431003518988</v>
      </c>
      <c r="O147" s="951"/>
    </row>
    <row r="148" spans="1:15" ht="20.100000000000001" customHeight="1">
      <c r="A148" s="1501" t="s">
        <v>268</v>
      </c>
      <c r="B148" s="1502"/>
      <c r="C148" s="1503"/>
      <c r="D148" s="944" t="s">
        <v>194</v>
      </c>
      <c r="E148" s="945"/>
      <c r="F148" s="945"/>
      <c r="G148" s="947">
        <f>G38+G52</f>
        <v>1906.7399999999907</v>
      </c>
      <c r="H148" s="947">
        <f>G148+'25'!H148</f>
        <v>51169</v>
      </c>
      <c r="I148" s="966"/>
      <c r="J148" s="949">
        <f>H148/DAY(B2)</f>
        <v>1968.0384615384614</v>
      </c>
      <c r="K148" s="1101"/>
      <c r="O148" s="951"/>
    </row>
    <row r="149" spans="1:15" ht="20.100000000000001" customHeight="1">
      <c r="A149" s="1501" t="s">
        <v>269</v>
      </c>
      <c r="B149" s="1502"/>
      <c r="C149" s="1503"/>
      <c r="D149" s="944" t="s">
        <v>24</v>
      </c>
      <c r="E149" s="945"/>
      <c r="F149" s="945"/>
      <c r="G149" s="1098">
        <f>G148/G7</f>
        <v>0.10036530161069537</v>
      </c>
      <c r="H149" s="947">
        <f>G149+'25'!H149</f>
        <v>2.6240969629201638</v>
      </c>
      <c r="I149" s="1100"/>
      <c r="J149" s="949">
        <f>H149/DAY(B2)</f>
        <v>0.10092680626616014</v>
      </c>
      <c r="O149" s="951"/>
    </row>
    <row r="150" spans="1:15" ht="20.100000000000001" customHeight="1">
      <c r="A150" s="1501" t="s">
        <v>270</v>
      </c>
      <c r="B150" s="1502"/>
      <c r="C150" s="1503"/>
      <c r="D150" s="944" t="s">
        <v>194</v>
      </c>
      <c r="E150" s="945"/>
      <c r="F150" s="945"/>
      <c r="G150" s="947">
        <f>G36+G50</f>
        <v>1686.0400000000373</v>
      </c>
      <c r="H150" s="947">
        <f>G150+'25'!H150</f>
        <v>46315.210000000021</v>
      </c>
      <c r="I150" s="1100"/>
      <c r="J150" s="949">
        <f>H150/DAY(B2)</f>
        <v>1781.3542307692317</v>
      </c>
      <c r="O150" s="951"/>
    </row>
    <row r="151" spans="1:15" ht="20.100000000000001" customHeight="1">
      <c r="A151" s="1501" t="s">
        <v>271</v>
      </c>
      <c r="B151" s="1502"/>
      <c r="C151" s="1503"/>
      <c r="D151" s="944" t="s">
        <v>24</v>
      </c>
      <c r="E151" s="945"/>
      <c r="F151" s="945"/>
      <c r="G151" s="1098">
        <f>G150/G7</f>
        <v>8.874828929361181E-2</v>
      </c>
      <c r="H151" s="947">
        <f>G151+'25'!H151</f>
        <v>2.3755111657564809</v>
      </c>
      <c r="I151" s="966"/>
      <c r="J151" s="949">
        <f>H151/DAY(B2)</f>
        <v>9.1365814067556964E-2</v>
      </c>
      <c r="O151" s="951"/>
    </row>
    <row r="152" spans="1:15" ht="20.100000000000001" customHeight="1">
      <c r="A152" s="1501" t="s">
        <v>272</v>
      </c>
      <c r="B152" s="1502"/>
      <c r="C152" s="1503"/>
      <c r="D152" s="944" t="s">
        <v>194</v>
      </c>
      <c r="E152" s="945"/>
      <c r="F152" s="945"/>
      <c r="G152" s="947">
        <f>G37+G51</f>
        <v>1422.1199999999953</v>
      </c>
      <c r="H152" s="947">
        <f>G152+'25'!H152</f>
        <v>37882.89</v>
      </c>
      <c r="I152" s="966"/>
      <c r="J152" s="949">
        <f>H152/DAY(B2)</f>
        <v>1457.0342307692308</v>
      </c>
      <c r="O152" s="951"/>
    </row>
    <row r="153" spans="1:15" ht="20.100000000000001" customHeight="1" thickBot="1">
      <c r="A153" s="1504" t="s">
        <v>273</v>
      </c>
      <c r="B153" s="1505"/>
      <c r="C153" s="1506"/>
      <c r="D153" s="1102" t="s">
        <v>24</v>
      </c>
      <c r="E153" s="1103"/>
      <c r="F153" s="1103"/>
      <c r="G153" s="1104">
        <f>G152/G7</f>
        <v>7.485630066322746E-2</v>
      </c>
      <c r="H153" s="947">
        <f>G153+'25'!H153</f>
        <v>1.9425171267689116</v>
      </c>
      <c r="I153" s="1105"/>
      <c r="J153" s="1106">
        <f>H153/DAY(B2)</f>
        <v>7.4712197183419676E-2</v>
      </c>
      <c r="O153" s="951"/>
    </row>
    <row r="154" spans="1:15" ht="44.25" customHeight="1">
      <c r="A154" s="1107"/>
      <c r="B154" s="1107"/>
      <c r="C154" s="1107"/>
      <c r="D154" s="1107"/>
      <c r="E154" s="1107"/>
      <c r="F154" s="1107"/>
      <c r="G154" s="1107"/>
      <c r="H154" s="1108"/>
      <c r="I154" s="1107"/>
      <c r="J154" s="1109"/>
      <c r="O154" s="951"/>
    </row>
    <row r="155" spans="1:15" ht="21.75" customHeight="1"/>
    <row r="156" spans="1:15" ht="21.75" customHeight="1"/>
    <row r="157" spans="1:15" ht="21.75" customHeight="1"/>
    <row r="158" spans="1:15" ht="21.75" customHeight="1"/>
    <row r="159" spans="1:15" ht="21.75" customHeight="1"/>
    <row r="160" spans="1:15" ht="21.75" customHeight="1">
      <c r="A160" s="1097" t="s">
        <v>274</v>
      </c>
      <c r="B160" s="1097"/>
      <c r="C160" s="1097"/>
      <c r="D160" s="931" t="s">
        <v>198</v>
      </c>
      <c r="E160" s="945">
        <f>'25'!F160</f>
        <v>27943.41</v>
      </c>
      <c r="F160" s="1122">
        <v>28023.95</v>
      </c>
      <c r="G160" s="946">
        <f t="shared" ref="G160:G163" si="16">F160-E160</f>
        <v>80.540000000000873</v>
      </c>
    </row>
    <row r="161" spans="1:7" ht="21.75" customHeight="1">
      <c r="A161" s="1097" t="s">
        <v>275</v>
      </c>
      <c r="B161" s="1097"/>
      <c r="C161" s="1097"/>
      <c r="D161" s="931" t="s">
        <v>198</v>
      </c>
      <c r="E161" s="945">
        <f>'25'!F161</f>
        <v>39928</v>
      </c>
      <c r="F161" s="1122">
        <v>40378</v>
      </c>
      <c r="G161" s="946">
        <f t="shared" si="16"/>
        <v>450</v>
      </c>
    </row>
    <row r="162" spans="1:7" ht="21.75" customHeight="1">
      <c r="A162" s="1097" t="s">
        <v>276</v>
      </c>
      <c r="B162" s="1097"/>
      <c r="C162" s="1097"/>
      <c r="D162" s="931" t="s">
        <v>198</v>
      </c>
      <c r="E162" s="945">
        <f>'25'!F162</f>
        <v>11421.65</v>
      </c>
      <c r="F162" s="1122">
        <v>11645</v>
      </c>
      <c r="G162" s="946">
        <f t="shared" si="16"/>
        <v>223.35000000000036</v>
      </c>
    </row>
    <row r="163" spans="1:7" ht="21.75" customHeight="1">
      <c r="A163" s="1097" t="s">
        <v>277</v>
      </c>
      <c r="B163" s="1097"/>
      <c r="C163" s="1097"/>
      <c r="D163" s="931" t="s">
        <v>198</v>
      </c>
      <c r="E163" s="945">
        <f>'25'!F163</f>
        <v>4876.8500000000004</v>
      </c>
      <c r="F163" s="1122">
        <v>4903.9799999999996</v>
      </c>
      <c r="G163" s="946">
        <f t="shared" si="16"/>
        <v>27.1299999999992</v>
      </c>
    </row>
    <row r="164" spans="1:7" ht="21.75" customHeight="1">
      <c r="A164" s="1027" t="s">
        <v>106</v>
      </c>
      <c r="B164" s="1027"/>
      <c r="C164" s="1027"/>
      <c r="D164" s="931" t="s">
        <v>198</v>
      </c>
      <c r="E164" s="1028">
        <f>E62</f>
        <v>20419.18</v>
      </c>
      <c r="F164" s="1028">
        <f>F62</f>
        <v>20419.18</v>
      </c>
      <c r="G164" s="946">
        <f t="shared" ref="G164:G171" si="17">F164-E164</f>
        <v>0</v>
      </c>
    </row>
    <row r="165" spans="1:7" ht="21.75" customHeight="1">
      <c r="A165" s="1027" t="s">
        <v>199</v>
      </c>
      <c r="B165" s="1027"/>
      <c r="C165" s="1027"/>
      <c r="D165" s="931" t="s">
        <v>198</v>
      </c>
      <c r="E165" s="1028">
        <f t="shared" ref="E165:E171" si="18">E63</f>
        <v>1264.31</v>
      </c>
      <c r="F165" s="1028">
        <f t="shared" ref="F165:F171" si="19">F63</f>
        <v>1273.71</v>
      </c>
      <c r="G165" s="946">
        <f t="shared" si="17"/>
        <v>9.4000000000000909</v>
      </c>
    </row>
    <row r="166" spans="1:7" ht="21.75" customHeight="1">
      <c r="A166" s="1488" t="s">
        <v>107</v>
      </c>
      <c r="B166" s="1488"/>
      <c r="C166" s="1488"/>
      <c r="D166" s="944" t="s">
        <v>198</v>
      </c>
      <c r="E166" s="1028">
        <f t="shared" si="18"/>
        <v>108728</v>
      </c>
      <c r="F166" s="1028">
        <f t="shared" si="19"/>
        <v>109117</v>
      </c>
      <c r="G166" s="946">
        <f t="shared" si="17"/>
        <v>389</v>
      </c>
    </row>
    <row r="167" spans="1:7" ht="21.75" customHeight="1">
      <c r="A167" s="1488" t="s">
        <v>108</v>
      </c>
      <c r="B167" s="1488"/>
      <c r="C167" s="1488"/>
      <c r="D167" s="944" t="s">
        <v>198</v>
      </c>
      <c r="E167" s="1028">
        <f t="shared" si="18"/>
        <v>119368</v>
      </c>
      <c r="F167" s="1028">
        <f t="shared" si="19"/>
        <v>119779.76</v>
      </c>
      <c r="G167" s="946">
        <f t="shared" si="17"/>
        <v>411.75999999999476</v>
      </c>
    </row>
    <row r="168" spans="1:7" ht="21.75" customHeight="1">
      <c r="A168" s="1488" t="s">
        <v>109</v>
      </c>
      <c r="B168" s="1488"/>
      <c r="C168" s="1488"/>
      <c r="D168" s="944" t="s">
        <v>198</v>
      </c>
      <c r="E168" s="1028">
        <f t="shared" si="18"/>
        <v>11656.69</v>
      </c>
      <c r="F168" s="1028">
        <f t="shared" si="19"/>
        <v>12070.5</v>
      </c>
      <c r="G168" s="946">
        <f t="shared" si="17"/>
        <v>413.80999999999949</v>
      </c>
    </row>
    <row r="169" spans="1:7" ht="21.75" customHeight="1">
      <c r="A169" s="1488" t="s">
        <v>110</v>
      </c>
      <c r="B169" s="1488"/>
      <c r="C169" s="1488"/>
      <c r="D169" s="944" t="s">
        <v>198</v>
      </c>
      <c r="E169" s="1028">
        <f t="shared" si="18"/>
        <v>184645</v>
      </c>
      <c r="F169" s="1028">
        <f t="shared" si="19"/>
        <v>185312.69</v>
      </c>
      <c r="G169" s="946">
        <f t="shared" si="17"/>
        <v>667.69000000000233</v>
      </c>
    </row>
    <row r="170" spans="1:7" ht="24" customHeight="1">
      <c r="A170" s="1488" t="s">
        <v>111</v>
      </c>
      <c r="B170" s="1488"/>
      <c r="C170" s="1488"/>
      <c r="D170" s="944" t="s">
        <v>198</v>
      </c>
      <c r="E170" s="1028">
        <f t="shared" si="18"/>
        <v>61404.85</v>
      </c>
      <c r="F170" s="1028">
        <f t="shared" si="19"/>
        <v>61723.94</v>
      </c>
      <c r="G170" s="946">
        <f t="shared" si="17"/>
        <v>319.09000000000378</v>
      </c>
    </row>
    <row r="171" spans="1:7">
      <c r="A171" s="1488" t="s">
        <v>112</v>
      </c>
      <c r="B171" s="1488"/>
      <c r="C171" s="1488"/>
      <c r="D171" s="944" t="s">
        <v>198</v>
      </c>
      <c r="E171" s="1028">
        <f t="shared" si="18"/>
        <v>53853</v>
      </c>
      <c r="F171" s="1028">
        <f t="shared" si="19"/>
        <v>54165</v>
      </c>
      <c r="G171" s="946">
        <f t="shared" si="17"/>
        <v>312</v>
      </c>
    </row>
    <row r="172" spans="1:7">
      <c r="G172" s="1112">
        <f>SUM(G160:G171)</f>
        <v>3303.7700000000009</v>
      </c>
    </row>
    <row r="176" spans="1:7" ht="18.75" customHeight="1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O172"/>
  <sheetViews>
    <sheetView view="pageBreakPreview" topLeftCell="A88" zoomScale="55" zoomScaleSheetLayoutView="55" workbookViewId="0">
      <selection activeCell="F112" sqref="F112"/>
    </sheetView>
  </sheetViews>
  <sheetFormatPr defaultColWidth="22.33203125" defaultRowHeight="29.2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2" width="0" style="407" hidden="1" customWidth="1"/>
    <col min="13" max="13" width="4.44140625" style="407" customWidth="1"/>
    <col min="14" max="14" width="25.5546875" style="407" customWidth="1"/>
    <col min="15" max="16384" width="22.33203125" style="407"/>
  </cols>
  <sheetData>
    <row r="1" spans="1:14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4" s="281" customFormat="1" ht="27">
      <c r="A2" s="652" t="s">
        <v>328</v>
      </c>
      <c r="B2" s="1186">
        <v>43857</v>
      </c>
      <c r="C2" s="1254" t="s">
        <v>69</v>
      </c>
      <c r="D2" s="688">
        <v>0.49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4" s="281" customFormat="1" ht="27">
      <c r="A3" s="647"/>
      <c r="B3" s="691"/>
      <c r="C3" s="1254" t="s">
        <v>131</v>
      </c>
      <c r="D3" s="689">
        <v>22</v>
      </c>
      <c r="E3" s="1408" t="s">
        <v>132</v>
      </c>
      <c r="F3" s="1409"/>
      <c r="G3" s="538"/>
      <c r="H3" s="539"/>
      <c r="I3" s="539"/>
      <c r="J3" s="692"/>
      <c r="K3" s="402"/>
      <c r="L3" s="293"/>
    </row>
    <row r="4" spans="1:14" s="281" customFormat="1" ht="27">
      <c r="A4" s="653"/>
      <c r="B4" s="693"/>
      <c r="C4" s="1254" t="s">
        <v>133</v>
      </c>
      <c r="D4" s="688">
        <v>0.76</v>
      </c>
      <c r="E4" s="540"/>
      <c r="F4" s="540"/>
      <c r="G4" s="540"/>
      <c r="H4" s="540"/>
      <c r="I4" s="541"/>
      <c r="J4" s="692"/>
      <c r="K4" s="403"/>
      <c r="L4" s="293"/>
    </row>
    <row r="5" spans="1:14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4">
      <c r="A6" s="1402" t="s">
        <v>141</v>
      </c>
      <c r="B6" s="1403"/>
      <c r="C6" s="1404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>
      <c r="A7" s="757" t="s">
        <v>142</v>
      </c>
      <c r="B7" s="758"/>
      <c r="C7" s="758"/>
      <c r="D7" s="715" t="s">
        <v>143</v>
      </c>
      <c r="E7" s="710">
        <f>'26'!F7</f>
        <v>3793979</v>
      </c>
      <c r="F7" s="531">
        <v>3812715</v>
      </c>
      <c r="G7" s="759">
        <f>F7-E7</f>
        <v>18736</v>
      </c>
      <c r="H7" s="760">
        <f>G7+'26'!H7</f>
        <v>526275</v>
      </c>
      <c r="I7" s="761">
        <f>'1'!I7</f>
        <v>12000</v>
      </c>
      <c r="J7" s="762">
        <f>H7/DAY(B2)</f>
        <v>19491.666666666668</v>
      </c>
      <c r="K7" s="626"/>
      <c r="L7" s="408">
        <v>1375467</v>
      </c>
      <c r="M7" s="407">
        <v>1691553</v>
      </c>
      <c r="N7" s="413">
        <f>M7-L7</f>
        <v>316086</v>
      </c>
    </row>
    <row r="8" spans="1:14" ht="27.75" thickBot="1">
      <c r="A8" s="763" t="s">
        <v>144</v>
      </c>
      <c r="B8" s="764"/>
      <c r="C8" s="765"/>
      <c r="D8" s="766" t="s">
        <v>25</v>
      </c>
      <c r="E8" s="710">
        <f>'26'!F8</f>
        <v>3817703</v>
      </c>
      <c r="F8" s="551">
        <v>3836612</v>
      </c>
      <c r="G8" s="770">
        <f>F8-E8</f>
        <v>18909</v>
      </c>
      <c r="H8" s="760">
        <f>G8+'26'!H8</f>
        <v>530240</v>
      </c>
      <c r="I8" s="767">
        <f>'1'!I8</f>
        <v>12000</v>
      </c>
      <c r="J8" s="762">
        <f>H8/DAY(B2)</f>
        <v>19638.518518518518</v>
      </c>
      <c r="K8" s="626"/>
      <c r="L8" s="464"/>
      <c r="M8" s="479"/>
      <c r="N8" s="785"/>
    </row>
    <row r="9" spans="1:14">
      <c r="A9" s="768" t="s">
        <v>145</v>
      </c>
      <c r="B9" s="769"/>
      <c r="C9" s="769"/>
      <c r="D9" s="715" t="s">
        <v>143</v>
      </c>
      <c r="E9" s="712">
        <f>'26'!F9</f>
        <v>2503740</v>
      </c>
      <c r="F9" s="554">
        <v>2510077</v>
      </c>
      <c r="G9" s="783">
        <f t="shared" ref="G9:G12" si="0">F9-E9</f>
        <v>6337</v>
      </c>
      <c r="H9" s="760">
        <f>G9+'26'!H9</f>
        <v>104862</v>
      </c>
      <c r="I9" s="771">
        <f>I8-J8</f>
        <v>-7638.5185185185182</v>
      </c>
      <c r="J9" s="762">
        <f>H9/DAY(B2)</f>
        <v>3883.7777777777778</v>
      </c>
      <c r="K9" s="467"/>
      <c r="L9" s="408"/>
      <c r="N9" s="413"/>
    </row>
    <row r="10" spans="1:14">
      <c r="A10" s="757" t="s">
        <v>146</v>
      </c>
      <c r="B10" s="758"/>
      <c r="C10" s="758"/>
      <c r="D10" s="715" t="s">
        <v>143</v>
      </c>
      <c r="E10" s="712">
        <f>'26'!F10</f>
        <v>1141280</v>
      </c>
      <c r="F10" s="554">
        <v>1153011</v>
      </c>
      <c r="G10" s="770">
        <f t="shared" si="0"/>
        <v>11731</v>
      </c>
      <c r="H10" s="760">
        <f>G10+'26'!H10</f>
        <v>402489.08999999997</v>
      </c>
      <c r="I10" s="772"/>
      <c r="J10" s="762">
        <f>H10/DAY(B2)</f>
        <v>14907.003333333332</v>
      </c>
      <c r="K10" s="467"/>
      <c r="L10" s="408"/>
      <c r="N10" s="413"/>
    </row>
    <row r="11" spans="1:14">
      <c r="A11" s="757" t="s">
        <v>147</v>
      </c>
      <c r="B11" s="758"/>
      <c r="C11" s="758"/>
      <c r="D11" s="715" t="s">
        <v>143</v>
      </c>
      <c r="E11" s="710">
        <f>'26'!F11</f>
        <v>35390</v>
      </c>
      <c r="F11" s="531">
        <v>35390</v>
      </c>
      <c r="G11" s="770">
        <f t="shared" si="0"/>
        <v>0</v>
      </c>
      <c r="H11" s="760">
        <f>G11+'26'!H11</f>
        <v>0</v>
      </c>
      <c r="I11" s="772"/>
      <c r="J11" s="762">
        <f>H11/DAY(B2)</f>
        <v>0</v>
      </c>
      <c r="K11" s="467"/>
      <c r="L11" s="408"/>
      <c r="N11" s="413"/>
    </row>
    <row r="12" spans="1:14">
      <c r="A12" s="757" t="s">
        <v>148</v>
      </c>
      <c r="B12" s="758"/>
      <c r="C12" s="758"/>
      <c r="D12" s="715" t="s">
        <v>143</v>
      </c>
      <c r="E12" s="712">
        <f>'26'!F12</f>
        <v>37630</v>
      </c>
      <c r="F12" s="554">
        <v>37630</v>
      </c>
      <c r="G12" s="770">
        <f t="shared" si="0"/>
        <v>0</v>
      </c>
      <c r="H12" s="760">
        <f>G12+'26'!H12</f>
        <v>0</v>
      </c>
      <c r="I12" s="772"/>
      <c r="J12" s="762">
        <f>H12/DAY(B2)</f>
        <v>0</v>
      </c>
      <c r="K12" s="467"/>
      <c r="L12" s="408"/>
      <c r="N12" s="413"/>
    </row>
    <row r="13" spans="1:14">
      <c r="A13" s="773" t="s">
        <v>149</v>
      </c>
      <c r="B13" s="774"/>
      <c r="C13" s="774"/>
      <c r="D13" s="715"/>
      <c r="E13" s="710"/>
      <c r="F13" s="531"/>
      <c r="G13" s="775">
        <f>G9+G10+G11+G12</f>
        <v>18068</v>
      </c>
      <c r="H13" s="760">
        <f>G13+'26'!H13</f>
        <v>487830.08999999997</v>
      </c>
      <c r="I13" s="776">
        <f>G7-G13</f>
        <v>668</v>
      </c>
      <c r="J13" s="762">
        <f>H13/DAY(B2)</f>
        <v>18067.781111111111</v>
      </c>
      <c r="K13" s="467"/>
      <c r="L13" s="408"/>
      <c r="N13" s="413"/>
    </row>
    <row r="14" spans="1:14">
      <c r="A14" s="1405" t="s">
        <v>150</v>
      </c>
      <c r="B14" s="1406"/>
      <c r="C14" s="1407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>
      <c r="A15" s="746" t="s">
        <v>151</v>
      </c>
      <c r="B15" s="747"/>
      <c r="C15" s="747"/>
      <c r="D15" s="748" t="s">
        <v>152</v>
      </c>
      <c r="E15" s="749">
        <f>'26'!F15</f>
        <v>1590796</v>
      </c>
      <c r="F15" s="781">
        <v>1591639.94</v>
      </c>
      <c r="G15" s="745">
        <f>(F15-E15)</f>
        <v>843.93999999994412</v>
      </c>
      <c r="H15" s="751">
        <f>G15+'26'!H15</f>
        <v>22725.839999999851</v>
      </c>
      <c r="I15" s="752">
        <v>800</v>
      </c>
      <c r="J15" s="753">
        <f>H15/DAY(B2)</f>
        <v>841.69777777777222</v>
      </c>
      <c r="K15" s="467"/>
      <c r="L15" s="408"/>
      <c r="N15" s="413"/>
    </row>
    <row r="16" spans="1:14">
      <c r="A16" s="754"/>
      <c r="B16" s="755"/>
      <c r="C16" s="755"/>
      <c r="D16" s="748"/>
      <c r="E16" s="749"/>
      <c r="F16" s="781"/>
      <c r="G16" s="750"/>
      <c r="H16" s="751"/>
      <c r="I16" s="756">
        <f>I15-J15</f>
        <v>-41.697777777772217</v>
      </c>
      <c r="J16" s="753"/>
      <c r="K16" s="467"/>
      <c r="L16" s="408"/>
      <c r="N16" s="413"/>
    </row>
    <row r="17" spans="1:14">
      <c r="A17" s="1405" t="s">
        <v>153</v>
      </c>
      <c r="B17" s="1406"/>
      <c r="C17" s="1407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>
      <c r="A18" s="1431" t="s">
        <v>154</v>
      </c>
      <c r="B18" s="1432"/>
      <c r="C18" s="1433"/>
      <c r="D18" s="715" t="s">
        <v>155</v>
      </c>
      <c r="E18" s="712">
        <f>'26'!F18</f>
        <v>14</v>
      </c>
      <c r="F18" s="554">
        <v>12</v>
      </c>
      <c r="G18" s="775">
        <f>F18*10</f>
        <v>120</v>
      </c>
      <c r="H18" s="760">
        <f>G18+'26'!H18</f>
        <v>3270</v>
      </c>
      <c r="I18" s="761">
        <f>'1'!I18</f>
        <v>65</v>
      </c>
      <c r="J18" s="762">
        <f>H18/DAY(B2)</f>
        <v>121.11111111111111</v>
      </c>
      <c r="K18" s="467"/>
      <c r="L18" s="408"/>
      <c r="N18" s="413"/>
    </row>
    <row r="19" spans="1:14" ht="27.75">
      <c r="A19" s="1431" t="s">
        <v>71</v>
      </c>
      <c r="B19" s="1432"/>
      <c r="C19" s="1433"/>
      <c r="D19" s="715" t="s">
        <v>155</v>
      </c>
      <c r="E19" s="712">
        <f>'26'!F19</f>
        <v>132785</v>
      </c>
      <c r="F19" s="554">
        <v>132839</v>
      </c>
      <c r="G19" s="770">
        <f t="shared" ref="G19" si="1">F19-E19</f>
        <v>54</v>
      </c>
      <c r="H19" s="760">
        <f>G19+'26'!H19</f>
        <v>1346</v>
      </c>
      <c r="I19" s="777"/>
      <c r="J19" s="762">
        <f>H19/DAY(B2)</f>
        <v>49.851851851851855</v>
      </c>
      <c r="K19" s="467"/>
      <c r="L19" s="408"/>
      <c r="N19" s="413"/>
    </row>
    <row r="20" spans="1:14">
      <c r="A20" s="773" t="s">
        <v>156</v>
      </c>
      <c r="B20" s="774"/>
      <c r="C20" s="774"/>
      <c r="D20" s="715"/>
      <c r="E20" s="715"/>
      <c r="F20" s="599"/>
      <c r="G20" s="778">
        <f>G18+G19</f>
        <v>174</v>
      </c>
      <c r="H20" s="760">
        <f>G20+'26'!H20</f>
        <v>4616</v>
      </c>
      <c r="I20" s="779">
        <f>I18-J20</f>
        <v>-105.96296296296296</v>
      </c>
      <c r="J20" s="762">
        <f>H20/DAY(B2)</f>
        <v>170.96296296296296</v>
      </c>
      <c r="K20" s="467"/>
      <c r="L20" s="408"/>
      <c r="N20" s="413"/>
    </row>
    <row r="21" spans="1:14">
      <c r="A21" s="1405" t="s">
        <v>157</v>
      </c>
      <c r="B21" s="1406"/>
      <c r="C21" s="1407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>
      <c r="A22" s="1252" t="s">
        <v>158</v>
      </c>
      <c r="B22" s="666"/>
      <c r="C22" s="666"/>
      <c r="D22" s="599" t="s">
        <v>159</v>
      </c>
      <c r="E22" s="560">
        <f>'26'!F22</f>
        <v>2970</v>
      </c>
      <c r="F22" s="554">
        <v>2970</v>
      </c>
      <c r="G22" s="557">
        <f t="shared" ref="G22" si="2">(F22-E22)</f>
        <v>0</v>
      </c>
      <c r="H22" s="536">
        <f>G22+'26'!H22</f>
        <v>0</v>
      </c>
      <c r="I22" s="556"/>
      <c r="J22" s="629">
        <f>H22/DAY(B2)</f>
        <v>0</v>
      </c>
      <c r="K22" s="467"/>
      <c r="L22" s="408"/>
      <c r="N22" s="413"/>
    </row>
    <row r="23" spans="1:14">
      <c r="A23" s="1252" t="s">
        <v>160</v>
      </c>
      <c r="B23" s="666"/>
      <c r="C23" s="666"/>
      <c r="D23" s="599" t="s">
        <v>159</v>
      </c>
      <c r="E23" s="560">
        <f>'26'!F23</f>
        <v>2000</v>
      </c>
      <c r="F23" s="554">
        <v>1900</v>
      </c>
      <c r="G23" s="557">
        <v>0</v>
      </c>
      <c r="H23" s="536">
        <f>G23+'26'!H23</f>
        <v>0</v>
      </c>
      <c r="I23" s="556"/>
      <c r="J23" s="629">
        <f>H23/DAY(B2)</f>
        <v>0</v>
      </c>
      <c r="K23" s="467"/>
      <c r="L23" s="408"/>
      <c r="N23" s="413"/>
    </row>
    <row r="24" spans="1:14">
      <c r="A24" s="667" t="s">
        <v>161</v>
      </c>
      <c r="B24" s="668"/>
      <c r="C24" s="668"/>
      <c r="D24" s="587" t="s">
        <v>159</v>
      </c>
      <c r="E24" s="569">
        <f>'26'!F24</f>
        <v>4970</v>
      </c>
      <c r="F24" s="561">
        <v>4970</v>
      </c>
      <c r="G24" s="557">
        <v>0</v>
      </c>
      <c r="H24" s="536">
        <f>G24+'26'!H24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>
      <c r="A26" s="669" t="s">
        <v>163</v>
      </c>
      <c r="B26" s="670"/>
      <c r="C26" s="671"/>
      <c r="D26" s="695" t="s">
        <v>164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>
      <c r="A27" s="669" t="s">
        <v>6</v>
      </c>
      <c r="B27" s="670"/>
      <c r="C27" s="671"/>
      <c r="D27" s="696" t="s">
        <v>25</v>
      </c>
      <c r="E27" s="780">
        <f>G8</f>
        <v>18909</v>
      </c>
      <c r="F27" s="577">
        <v>9</v>
      </c>
      <c r="G27" s="578">
        <f>E27*F27</f>
        <v>170181</v>
      </c>
      <c r="H27" s="536">
        <f>G27+'26'!H27</f>
        <v>4790235</v>
      </c>
      <c r="I27" s="579"/>
      <c r="J27" s="629">
        <f>H27/DAY(B2)</f>
        <v>177416.11111111112</v>
      </c>
      <c r="K27" s="404"/>
      <c r="L27" s="484"/>
      <c r="N27" s="413"/>
    </row>
    <row r="28" spans="1:14" s="481" customFormat="1" ht="27.75">
      <c r="A28" s="669" t="s">
        <v>165</v>
      </c>
      <c r="B28" s="670"/>
      <c r="C28" s="671"/>
      <c r="D28" s="696" t="s">
        <v>166</v>
      </c>
      <c r="E28" s="780">
        <f>G15</f>
        <v>843.93999999994412</v>
      </c>
      <c r="F28" s="577">
        <v>41</v>
      </c>
      <c r="G28" s="578">
        <f>E28*F28</f>
        <v>34601.539999997709</v>
      </c>
      <c r="H28" s="536">
        <f>G28+'26'!H28</f>
        <v>930518.0799999939</v>
      </c>
      <c r="I28" s="581"/>
      <c r="J28" s="629">
        <f>H28/DAY(B2)</f>
        <v>34463.632592592367</v>
      </c>
      <c r="K28" s="404"/>
      <c r="L28" s="484"/>
      <c r="N28" s="413"/>
    </row>
    <row r="29" spans="1:14" s="481" customFormat="1" ht="27.75">
      <c r="A29" s="669" t="s">
        <v>167</v>
      </c>
      <c r="B29" s="670"/>
      <c r="C29" s="671"/>
      <c r="D29" s="696" t="s">
        <v>168</v>
      </c>
      <c r="E29" s="780">
        <f>G24</f>
        <v>0</v>
      </c>
      <c r="F29" s="577">
        <v>69</v>
      </c>
      <c r="G29" s="578">
        <f>E29*F29</f>
        <v>0</v>
      </c>
      <c r="H29" s="536">
        <f>G29+'26'!H29</f>
        <v>0</v>
      </c>
      <c r="I29" s="581"/>
      <c r="J29" s="629">
        <f>H29/DAY(B2)</f>
        <v>0</v>
      </c>
      <c r="K29" s="404"/>
      <c r="L29" s="484"/>
      <c r="N29" s="413"/>
    </row>
    <row r="30" spans="1:14" s="481" customFormat="1" ht="27.75">
      <c r="A30" s="669" t="s">
        <v>169</v>
      </c>
      <c r="B30" s="670"/>
      <c r="C30" s="671"/>
      <c r="D30" s="696" t="s">
        <v>170</v>
      </c>
      <c r="E30" s="780">
        <f>G19</f>
        <v>54</v>
      </c>
      <c r="F30" s="577">
        <v>134</v>
      </c>
      <c r="G30" s="578">
        <f>E30*F30</f>
        <v>7236</v>
      </c>
      <c r="H30" s="536">
        <f>G30+'26'!H30</f>
        <v>180364</v>
      </c>
      <c r="I30" s="581"/>
      <c r="J30" s="629">
        <f>H30/DAY(B2)</f>
        <v>6680.1481481481478</v>
      </c>
      <c r="K30" s="404"/>
      <c r="L30" s="484"/>
      <c r="N30" s="413"/>
    </row>
    <row r="31" spans="1:14" s="481" customFormat="1" ht="27.75">
      <c r="A31" s="669" t="s">
        <v>171</v>
      </c>
      <c r="B31" s="670"/>
      <c r="C31" s="671"/>
      <c r="D31" s="696" t="s">
        <v>155</v>
      </c>
      <c r="E31" s="780">
        <f>G18</f>
        <v>120</v>
      </c>
      <c r="F31" s="577">
        <v>80</v>
      </c>
      <c r="G31" s="578">
        <f>E31*F31</f>
        <v>9600</v>
      </c>
      <c r="H31" s="536">
        <f>G31+'26'!H31</f>
        <v>261600</v>
      </c>
      <c r="I31" s="581"/>
      <c r="J31" s="629"/>
      <c r="K31" s="404"/>
      <c r="L31" s="484"/>
      <c r="N31" s="413"/>
    </row>
    <row r="32" spans="1:14" s="481" customFormat="1" ht="27.75">
      <c r="A32" s="672" t="s">
        <v>172</v>
      </c>
      <c r="B32" s="673"/>
      <c r="C32" s="674"/>
      <c r="D32" s="583"/>
      <c r="E32" s="583"/>
      <c r="F32" s="600"/>
      <c r="G32" s="584">
        <f>G27+G28+G29+G30+G31</f>
        <v>221618.53999999771</v>
      </c>
      <c r="H32" s="536">
        <f>G32+'26'!H32</f>
        <v>6162717.0799999945</v>
      </c>
      <c r="I32" s="585"/>
      <c r="J32" s="629">
        <f>H32/DAY(B2)</f>
        <v>228248.78074074053</v>
      </c>
      <c r="K32" s="404"/>
      <c r="L32" s="484"/>
      <c r="N32" s="413"/>
    </row>
    <row r="33" spans="1:14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413"/>
    </row>
    <row r="34" spans="1:14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>
      <c r="A35" s="655" t="s">
        <v>175</v>
      </c>
      <c r="B35" s="656"/>
      <c r="C35" s="656"/>
      <c r="D35" s="599" t="s">
        <v>143</v>
      </c>
      <c r="E35" s="586">
        <f>'26'!F35</f>
        <v>629027.67000000004</v>
      </c>
      <c r="F35" s="586">
        <v>629027.67000000004</v>
      </c>
      <c r="G35" s="549">
        <f t="shared" ref="G35:G46" si="3">F35-E35</f>
        <v>0</v>
      </c>
      <c r="H35" s="536">
        <f>G35+'26'!H35</f>
        <v>0.67000000004190952</v>
      </c>
      <c r="I35" s="531"/>
      <c r="J35" s="629">
        <f>H35/DAY(B2)</f>
        <v>2.481481481636702E-2</v>
      </c>
      <c r="K35" s="467"/>
      <c r="L35" s="408"/>
      <c r="N35" s="413"/>
    </row>
    <row r="36" spans="1:14">
      <c r="A36" s="655" t="s">
        <v>176</v>
      </c>
      <c r="B36" s="656"/>
      <c r="C36" s="656"/>
      <c r="D36" s="599" t="s">
        <v>143</v>
      </c>
      <c r="E36" s="586">
        <f>'26'!F36</f>
        <v>273424</v>
      </c>
      <c r="F36" s="586">
        <v>274050.73</v>
      </c>
      <c r="G36" s="549">
        <f t="shared" si="3"/>
        <v>626.72999999998137</v>
      </c>
      <c r="H36" s="536">
        <f>G36+'26'!H36</f>
        <v>18959.659999999974</v>
      </c>
      <c r="I36" s="531"/>
      <c r="J36" s="629">
        <f>H36/DAY(B2)</f>
        <v>702.20962962962869</v>
      </c>
      <c r="K36" s="467"/>
      <c r="L36" s="408"/>
      <c r="N36" s="705"/>
    </row>
    <row r="37" spans="1:14">
      <c r="A37" s="655" t="s">
        <v>177</v>
      </c>
      <c r="B37" s="656"/>
      <c r="C37" s="656"/>
      <c r="D37" s="599" t="s">
        <v>143</v>
      </c>
      <c r="E37" s="586">
        <f>'26'!F37</f>
        <v>415066</v>
      </c>
      <c r="F37" s="586">
        <v>415066</v>
      </c>
      <c r="G37" s="549">
        <f t="shared" si="3"/>
        <v>0</v>
      </c>
      <c r="H37" s="536">
        <f>G37+'26'!H37</f>
        <v>0</v>
      </c>
      <c r="I37" s="531"/>
      <c r="J37" s="629">
        <f>H37/DAY(B2)</f>
        <v>0</v>
      </c>
      <c r="K37" s="467"/>
      <c r="L37" s="408"/>
      <c r="N37" s="706"/>
    </row>
    <row r="38" spans="1:14">
      <c r="A38" s="655" t="s">
        <v>178</v>
      </c>
      <c r="B38" s="656"/>
      <c r="C38" s="656"/>
      <c r="D38" s="599" t="s">
        <v>143</v>
      </c>
      <c r="E38" s="586">
        <f>'26'!F38</f>
        <v>150714</v>
      </c>
      <c r="F38" s="545">
        <v>150714</v>
      </c>
      <c r="G38" s="549">
        <f t="shared" si="3"/>
        <v>0</v>
      </c>
      <c r="H38" s="536">
        <f>G38+'26'!H38</f>
        <v>0</v>
      </c>
      <c r="I38" s="531"/>
      <c r="J38" s="629">
        <f>H38/DAY(B2)</f>
        <v>0</v>
      </c>
      <c r="K38" s="467"/>
      <c r="L38" s="408"/>
      <c r="N38" s="413"/>
    </row>
    <row r="39" spans="1:14">
      <c r="A39" s="655" t="s">
        <v>179</v>
      </c>
      <c r="B39" s="656"/>
      <c r="C39" s="656"/>
      <c r="D39" s="599" t="s">
        <v>143</v>
      </c>
      <c r="E39" s="586">
        <f>'26'!F39</f>
        <v>912480</v>
      </c>
      <c r="F39" s="586">
        <v>912480</v>
      </c>
      <c r="G39" s="549">
        <f t="shared" si="3"/>
        <v>0</v>
      </c>
      <c r="H39" s="536">
        <f>G39+'26'!H39</f>
        <v>0</v>
      </c>
      <c r="I39" s="531"/>
      <c r="J39" s="629">
        <f>H39/DAY(B2)</f>
        <v>0</v>
      </c>
      <c r="K39" s="467"/>
      <c r="L39" s="408"/>
      <c r="N39" s="413"/>
    </row>
    <row r="40" spans="1:14">
      <c r="A40" s="676" t="s">
        <v>180</v>
      </c>
      <c r="B40" s="677"/>
      <c r="C40" s="677"/>
      <c r="D40" s="599" t="s">
        <v>143</v>
      </c>
      <c r="E40" s="586">
        <f>'26'!F40</f>
        <v>0</v>
      </c>
      <c r="F40" s="586">
        <v>0</v>
      </c>
      <c r="G40" s="549">
        <f t="shared" si="3"/>
        <v>0</v>
      </c>
      <c r="H40" s="536">
        <f>G40+'26'!H40</f>
        <v>0</v>
      </c>
      <c r="I40" s="531"/>
      <c r="J40" s="629">
        <f>H40/DAY(B2)</f>
        <v>0</v>
      </c>
      <c r="K40" s="468"/>
      <c r="L40" s="408"/>
      <c r="N40" s="413"/>
    </row>
    <row r="41" spans="1:14">
      <c r="A41" s="655" t="s">
        <v>181</v>
      </c>
      <c r="B41" s="656"/>
      <c r="C41" s="656"/>
      <c r="D41" s="599" t="s">
        <v>143</v>
      </c>
      <c r="E41" s="586">
        <f>'26'!F41</f>
        <v>26299.49</v>
      </c>
      <c r="F41" s="586">
        <v>29963</v>
      </c>
      <c r="G41" s="549">
        <f t="shared" si="3"/>
        <v>3663.5099999999984</v>
      </c>
      <c r="H41" s="536">
        <f>G41+'26'!H41</f>
        <v>29963</v>
      </c>
      <c r="I41" s="531"/>
      <c r="J41" s="629">
        <f>H41/DAY(B2)</f>
        <v>1109.7407407407406</v>
      </c>
      <c r="K41" s="467"/>
      <c r="L41" s="408"/>
      <c r="N41" s="413"/>
    </row>
    <row r="42" spans="1:14">
      <c r="A42" s="655" t="s">
        <v>182</v>
      </c>
      <c r="B42" s="656"/>
      <c r="C42" s="656"/>
      <c r="D42" s="599" t="s">
        <v>143</v>
      </c>
      <c r="E42" s="586">
        <f>'26'!F42</f>
        <v>58926</v>
      </c>
      <c r="F42" s="586">
        <v>58926</v>
      </c>
      <c r="G42" s="549">
        <f t="shared" si="3"/>
        <v>0</v>
      </c>
      <c r="H42" s="536">
        <f>G42+'26'!H42</f>
        <v>-8.999999999650754E-2</v>
      </c>
      <c r="I42" s="531"/>
      <c r="J42" s="629">
        <f>H42/DAY(B2)</f>
        <v>-3.333333333203983E-3</v>
      </c>
      <c r="K42" s="467"/>
      <c r="L42" s="408"/>
      <c r="N42" s="413"/>
    </row>
    <row r="43" spans="1:14">
      <c r="A43" s="655" t="s">
        <v>183</v>
      </c>
      <c r="B43" s="656"/>
      <c r="C43" s="656"/>
      <c r="D43" s="599" t="s">
        <v>143</v>
      </c>
      <c r="E43" s="586">
        <f>'26'!F43</f>
        <v>756192.85</v>
      </c>
      <c r="F43" s="586">
        <v>758512.95</v>
      </c>
      <c r="G43" s="549">
        <f t="shared" si="3"/>
        <v>2320.0999999999767</v>
      </c>
      <c r="H43" s="536">
        <f>G43+'26'!H43</f>
        <v>60259.519999999902</v>
      </c>
      <c r="I43" s="531"/>
      <c r="J43" s="629">
        <f>H43/DAY(B2)</f>
        <v>2231.8340740740705</v>
      </c>
      <c r="K43" s="467"/>
      <c r="L43" s="408"/>
      <c r="N43" s="413"/>
    </row>
    <row r="44" spans="1:14">
      <c r="A44" s="655" t="s">
        <v>184</v>
      </c>
      <c r="B44" s="656"/>
      <c r="C44" s="656"/>
      <c r="D44" s="599" t="s">
        <v>143</v>
      </c>
      <c r="E44" s="586">
        <f>'26'!F44</f>
        <v>0</v>
      </c>
      <c r="F44" s="586">
        <v>0</v>
      </c>
      <c r="G44" s="549">
        <f t="shared" si="3"/>
        <v>0</v>
      </c>
      <c r="H44" s="536">
        <f>G44+'26'!H44</f>
        <v>0</v>
      </c>
      <c r="I44" s="531"/>
      <c r="J44" s="629">
        <f>H44/DAY(B2)</f>
        <v>0</v>
      </c>
      <c r="K44" s="467"/>
      <c r="L44" s="408"/>
      <c r="N44" s="413"/>
    </row>
    <row r="45" spans="1:14">
      <c r="A45" s="655" t="s">
        <v>185</v>
      </c>
      <c r="B45" s="656"/>
      <c r="C45" s="656"/>
      <c r="D45" s="599" t="s">
        <v>143</v>
      </c>
      <c r="E45" s="586">
        <f>'26'!F45</f>
        <v>614</v>
      </c>
      <c r="F45" s="586">
        <v>614</v>
      </c>
      <c r="G45" s="549">
        <f t="shared" si="3"/>
        <v>0</v>
      </c>
      <c r="H45" s="536">
        <f>G45+'26'!H45</f>
        <v>-0.48000000000001819</v>
      </c>
      <c r="I45" s="531"/>
      <c r="J45" s="629">
        <f>H45/DAY(B2)</f>
        <v>-1.7777777777778451E-2</v>
      </c>
      <c r="K45" s="467"/>
      <c r="L45" s="408"/>
      <c r="N45" s="413"/>
    </row>
    <row r="46" spans="1:14">
      <c r="A46" s="655" t="s">
        <v>186</v>
      </c>
      <c r="B46" s="656"/>
      <c r="C46" s="656"/>
      <c r="D46" s="599" t="s">
        <v>143</v>
      </c>
      <c r="E46" s="586">
        <f>'26'!F46</f>
        <v>187</v>
      </c>
      <c r="F46" s="586">
        <v>187</v>
      </c>
      <c r="G46" s="549">
        <f t="shared" si="3"/>
        <v>0</v>
      </c>
      <c r="H46" s="536">
        <f>G46+'26'!H46</f>
        <v>-0.49000000000000909</v>
      </c>
      <c r="I46" s="531"/>
      <c r="J46" s="629">
        <f>H46/DAY(B2)</f>
        <v>-1.8148148148148486E-2</v>
      </c>
      <c r="K46" s="467"/>
      <c r="L46" s="408"/>
      <c r="N46" s="413"/>
    </row>
    <row r="47" spans="1:14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6610.3399999999565</v>
      </c>
      <c r="H47" s="536">
        <f>G47+'26'!H47</f>
        <v>109181.78999999992</v>
      </c>
      <c r="I47" s="531"/>
      <c r="J47" s="629">
        <f>H47/DAY(B2)</f>
        <v>4043.7699999999973</v>
      </c>
      <c r="K47" s="467"/>
      <c r="L47" s="408"/>
      <c r="N47" s="413"/>
    </row>
    <row r="48" spans="1:14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>
      <c r="A49" s="655" t="s">
        <v>175</v>
      </c>
      <c r="B49" s="678"/>
      <c r="C49" s="678"/>
      <c r="D49" s="599" t="s">
        <v>143</v>
      </c>
      <c r="E49" s="586">
        <f>'26'!F49</f>
        <v>230467</v>
      </c>
      <c r="F49" s="586">
        <v>233654.45</v>
      </c>
      <c r="G49" s="549">
        <f t="shared" ref="G49:G58" si="4">F49-E49</f>
        <v>3187.4500000000116</v>
      </c>
      <c r="H49" s="536">
        <f>G49+'26'!H49</f>
        <v>81249.450000000012</v>
      </c>
      <c r="I49" s="531"/>
      <c r="J49" s="629">
        <f>H49/DAY(B2)</f>
        <v>3009.2388888888895</v>
      </c>
      <c r="K49" s="467"/>
      <c r="L49" s="408"/>
      <c r="N49" s="413"/>
    </row>
    <row r="50" spans="1:14">
      <c r="A50" s="655" t="s">
        <v>189</v>
      </c>
      <c r="B50" s="678"/>
      <c r="C50" s="678"/>
      <c r="D50" s="599" t="s">
        <v>143</v>
      </c>
      <c r="E50" s="586">
        <f>'26'!F50</f>
        <v>362882.71</v>
      </c>
      <c r="F50" s="586">
        <v>363910</v>
      </c>
      <c r="G50" s="549">
        <f t="shared" si="4"/>
        <v>1027.289999999979</v>
      </c>
      <c r="H50" s="536">
        <f>G50+'26'!H50</f>
        <v>27692.570000000007</v>
      </c>
      <c r="I50" s="531"/>
      <c r="J50" s="629">
        <f>H50/DAY(B2)</f>
        <v>1025.650740740741</v>
      </c>
      <c r="K50" s="467"/>
      <c r="L50" s="408"/>
      <c r="N50" s="413"/>
    </row>
    <row r="51" spans="1:14">
      <c r="A51" s="655" t="s">
        <v>177</v>
      </c>
      <c r="B51" s="678"/>
      <c r="C51" s="678"/>
      <c r="D51" s="599" t="s">
        <v>143</v>
      </c>
      <c r="E51" s="586">
        <f>'26'!F51</f>
        <v>102590</v>
      </c>
      <c r="F51" s="586">
        <v>104026.54</v>
      </c>
      <c r="G51" s="549">
        <f t="shared" si="4"/>
        <v>1436.5399999999936</v>
      </c>
      <c r="H51" s="536">
        <f>G51+'26'!H51</f>
        <v>37868.429999999993</v>
      </c>
      <c r="I51" s="531"/>
      <c r="J51" s="629">
        <f>H51/DAY(B2)</f>
        <v>1402.5344444444443</v>
      </c>
      <c r="K51" s="467"/>
      <c r="L51" s="408"/>
      <c r="N51" s="413"/>
    </row>
    <row r="52" spans="1:14">
      <c r="A52" s="655" t="s">
        <v>190</v>
      </c>
      <c r="B52" s="678"/>
      <c r="C52" s="678"/>
      <c r="D52" s="599" t="s">
        <v>143</v>
      </c>
      <c r="E52" s="586">
        <f>'26'!F52</f>
        <v>484348.63</v>
      </c>
      <c r="F52" s="586">
        <v>486112.79</v>
      </c>
      <c r="G52" s="549">
        <f t="shared" si="4"/>
        <v>1764.1599999999744</v>
      </c>
      <c r="H52" s="536">
        <f>G52+'26'!H52</f>
        <v>50837.159999999974</v>
      </c>
      <c r="I52" s="531"/>
      <c r="J52" s="629">
        <f>H52/DAY(B2)</f>
        <v>1882.8577777777768</v>
      </c>
      <c r="K52" s="467"/>
      <c r="L52" s="408"/>
      <c r="N52" s="413"/>
    </row>
    <row r="53" spans="1:14">
      <c r="A53" s="655" t="s">
        <v>179</v>
      </c>
      <c r="B53" s="678"/>
      <c r="C53" s="678"/>
      <c r="D53" s="599" t="s">
        <v>143</v>
      </c>
      <c r="E53" s="586">
        <f>'26'!F53</f>
        <v>283493.84999999998</v>
      </c>
      <c r="F53" s="586">
        <v>287574</v>
      </c>
      <c r="G53" s="549">
        <f t="shared" si="4"/>
        <v>4080.1500000000233</v>
      </c>
      <c r="H53" s="536">
        <f>G53+'26'!H53</f>
        <v>106509.03</v>
      </c>
      <c r="I53" s="531"/>
      <c r="J53" s="629">
        <f>H53/DAY(B2)</f>
        <v>3944.778888888889</v>
      </c>
      <c r="K53" s="467"/>
      <c r="L53" s="408"/>
      <c r="N53" s="413"/>
    </row>
    <row r="54" spans="1:14">
      <c r="A54" s="655" t="s">
        <v>191</v>
      </c>
      <c r="B54" s="678"/>
      <c r="C54" s="678"/>
      <c r="D54" s="599" t="s">
        <v>143</v>
      </c>
      <c r="E54" s="586">
        <f>'26'!F54</f>
        <v>6070</v>
      </c>
      <c r="F54" s="586">
        <v>6126.55</v>
      </c>
      <c r="G54" s="549">
        <f t="shared" si="4"/>
        <v>56.550000000000182</v>
      </c>
      <c r="H54" s="536">
        <f>G54+'26'!H54</f>
        <v>1480.0100000000002</v>
      </c>
      <c r="I54" s="531"/>
      <c r="J54" s="629">
        <f>H54/DAY(B2)</f>
        <v>54.815185185185193</v>
      </c>
      <c r="K54" s="467"/>
      <c r="L54" s="408"/>
      <c r="N54" s="413"/>
    </row>
    <row r="55" spans="1:14">
      <c r="A55" s="655" t="s">
        <v>192</v>
      </c>
      <c r="B55" s="678"/>
      <c r="C55" s="678"/>
      <c r="D55" s="599" t="s">
        <v>143</v>
      </c>
      <c r="E55" s="586">
        <f>'26'!F55</f>
        <v>39120.58</v>
      </c>
      <c r="F55" s="734">
        <v>39120.58</v>
      </c>
      <c r="G55" s="733">
        <f t="shared" si="4"/>
        <v>0</v>
      </c>
      <c r="H55" s="805">
        <f>G55+'26'!H55</f>
        <v>39120.310000000012</v>
      </c>
      <c r="I55" s="806"/>
      <c r="J55" s="807">
        <f>H55/DAY(B2)</f>
        <v>1448.9003703703709</v>
      </c>
      <c r="K55" s="467"/>
      <c r="L55" s="408"/>
      <c r="N55" s="413"/>
    </row>
    <row r="56" spans="1:14">
      <c r="A56" s="655" t="s">
        <v>193</v>
      </c>
      <c r="B56" s="678"/>
      <c r="C56" s="678"/>
      <c r="D56" s="599" t="s">
        <v>194</v>
      </c>
      <c r="E56" s="586">
        <f>'26'!F56</f>
        <v>557730.15</v>
      </c>
      <c r="F56" s="734">
        <v>557730.15</v>
      </c>
      <c r="G56" s="549">
        <f t="shared" si="4"/>
        <v>0</v>
      </c>
      <c r="H56" s="536">
        <f>G56+'26'!H56</f>
        <v>39829.400000000023</v>
      </c>
      <c r="I56" s="531"/>
      <c r="J56" s="629">
        <f>H56/DAY(B2)</f>
        <v>1475.1629629629638</v>
      </c>
      <c r="K56" s="466"/>
      <c r="L56" s="408"/>
      <c r="N56" s="413"/>
    </row>
    <row r="57" spans="1:14">
      <c r="A57" s="655" t="s">
        <v>183</v>
      </c>
      <c r="B57" s="678"/>
      <c r="C57" s="678"/>
      <c r="D57" s="599" t="s">
        <v>143</v>
      </c>
      <c r="E57" s="586">
        <f>'26'!F57</f>
        <v>0</v>
      </c>
      <c r="F57" s="586">
        <v>0</v>
      </c>
      <c r="G57" s="549">
        <f t="shared" si="4"/>
        <v>0</v>
      </c>
      <c r="H57" s="536">
        <f>G57+'26'!H57</f>
        <v>0</v>
      </c>
      <c r="I57" s="531"/>
      <c r="J57" s="629">
        <f>H57/DAY(B2)</f>
        <v>0</v>
      </c>
      <c r="K57" s="467"/>
      <c r="L57" s="408"/>
      <c r="N57" s="413"/>
    </row>
    <row r="58" spans="1:14">
      <c r="A58" s="655" t="s">
        <v>195</v>
      </c>
      <c r="B58" s="678"/>
      <c r="C58" s="678"/>
      <c r="D58" s="599" t="s">
        <v>143</v>
      </c>
      <c r="E58" s="586">
        <f>'26'!F58</f>
        <v>29765.38</v>
      </c>
      <c r="F58" s="734">
        <v>30038</v>
      </c>
      <c r="G58" s="549">
        <f t="shared" si="4"/>
        <v>272.61999999999898</v>
      </c>
      <c r="H58" s="536">
        <f>G58+'26'!H58</f>
        <v>4882.59</v>
      </c>
      <c r="I58" s="531"/>
      <c r="J58" s="629">
        <f>H58/DAY(B2)</f>
        <v>180.83666666666667</v>
      </c>
      <c r="K58" s="467"/>
      <c r="L58" s="408"/>
      <c r="N58" s="413"/>
    </row>
    <row r="59" spans="1:14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11824.75999999998</v>
      </c>
      <c r="H59" s="536">
        <f>G59+'26'!H59</f>
        <v>389468.95000000007</v>
      </c>
      <c r="I59" s="531">
        <f>G7-G60</f>
        <v>300.9000000000633</v>
      </c>
      <c r="J59" s="629">
        <f>H59/DAY(B2)</f>
        <v>14424.775925925929</v>
      </c>
      <c r="K59" s="467"/>
      <c r="L59" s="408"/>
      <c r="N59" s="413"/>
    </row>
    <row r="60" spans="1:14">
      <c r="A60" s="655"/>
      <c r="B60" s="656"/>
      <c r="C60" s="656"/>
      <c r="D60" s="587" t="s">
        <v>196</v>
      </c>
      <c r="E60" s="587"/>
      <c r="F60" s="587"/>
      <c r="G60" s="557">
        <f>G47+G59</f>
        <v>18435.099999999937</v>
      </c>
      <c r="H60" s="536">
        <f>G60+'26'!H60</f>
        <v>515684.74</v>
      </c>
      <c r="I60" s="531">
        <f>G13-G60</f>
        <v>-367.0999999999367</v>
      </c>
      <c r="J60" s="629">
        <f>H60/DAY(B2)</f>
        <v>19099.434814814813</v>
      </c>
      <c r="K60" s="467"/>
      <c r="L60" s="408"/>
      <c r="N60" s="413"/>
    </row>
    <row r="61" spans="1:14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>
      <c r="A62" s="680" t="s">
        <v>106</v>
      </c>
      <c r="B62" s="681"/>
      <c r="C62" s="681"/>
      <c r="D62" s="587" t="s">
        <v>198</v>
      </c>
      <c r="E62" s="590">
        <f>'26'!F62</f>
        <v>20419.18</v>
      </c>
      <c r="F62" s="590">
        <v>20419.18</v>
      </c>
      <c r="G62" s="549">
        <f t="shared" ref="G62:G69" si="5">F62-E62</f>
        <v>0</v>
      </c>
      <c r="H62" s="536">
        <f>G62+'26'!H62</f>
        <v>0</v>
      </c>
      <c r="I62" s="591"/>
      <c r="J62" s="629">
        <f>H62/DAY(B2)</f>
        <v>0</v>
      </c>
      <c r="K62" s="467"/>
      <c r="L62" s="408"/>
      <c r="N62" s="413"/>
    </row>
    <row r="63" spans="1:14">
      <c r="A63" s="680" t="s">
        <v>199</v>
      </c>
      <c r="B63" s="681"/>
      <c r="C63" s="681"/>
      <c r="D63" s="587" t="s">
        <v>198</v>
      </c>
      <c r="E63" s="590">
        <f>'26'!F63</f>
        <v>1273.71</v>
      </c>
      <c r="F63" s="590">
        <v>1283</v>
      </c>
      <c r="G63" s="549">
        <f t="shared" si="5"/>
        <v>9.2899999999999636</v>
      </c>
      <c r="H63" s="536">
        <f>G63+'26'!H63</f>
        <v>175.08999999999992</v>
      </c>
      <c r="I63" s="591"/>
      <c r="J63" s="629">
        <f>H63/DAY(B2)</f>
        <v>6.4848148148148121</v>
      </c>
      <c r="K63" s="467"/>
      <c r="L63" s="408"/>
      <c r="N63" s="413"/>
    </row>
    <row r="64" spans="1:14" ht="27.75">
      <c r="A64" s="1367" t="s">
        <v>107</v>
      </c>
      <c r="B64" s="1368"/>
      <c r="C64" s="1369"/>
      <c r="D64" s="599" t="s">
        <v>198</v>
      </c>
      <c r="E64" s="590">
        <f>'26'!F64</f>
        <v>109117</v>
      </c>
      <c r="F64" s="554">
        <v>109552.79</v>
      </c>
      <c r="G64" s="549">
        <f t="shared" si="5"/>
        <v>435.7899999999936</v>
      </c>
      <c r="H64" s="536">
        <f>G64+'26'!H64</f>
        <v>11129.39</v>
      </c>
      <c r="I64" s="556"/>
      <c r="J64" s="629">
        <f>H64/DAY(B2)</f>
        <v>412.19962962962961</v>
      </c>
      <c r="K64" s="467"/>
      <c r="L64" s="408"/>
      <c r="N64" s="413"/>
    </row>
    <row r="65" spans="1:14" ht="27.75">
      <c r="A65" s="1367" t="s">
        <v>108</v>
      </c>
      <c r="B65" s="1368"/>
      <c r="C65" s="1369"/>
      <c r="D65" s="599" t="s">
        <v>198</v>
      </c>
      <c r="E65" s="590">
        <f>'26'!F65</f>
        <v>119779.76</v>
      </c>
      <c r="F65" s="732">
        <v>120175</v>
      </c>
      <c r="G65" s="549">
        <f t="shared" si="5"/>
        <v>395.24000000000524</v>
      </c>
      <c r="H65" s="536">
        <f>G65+'26'!H65</f>
        <v>11130.880000000005</v>
      </c>
      <c r="I65" s="565"/>
      <c r="J65" s="629">
        <f>H65/DAY(B2)</f>
        <v>412.25481481481501</v>
      </c>
      <c r="K65" s="467"/>
      <c r="L65" s="408"/>
      <c r="N65" s="413"/>
    </row>
    <row r="66" spans="1:14" ht="27.75">
      <c r="A66" s="1367" t="s">
        <v>109</v>
      </c>
      <c r="B66" s="1368"/>
      <c r="C66" s="1369"/>
      <c r="D66" s="599" t="s">
        <v>198</v>
      </c>
      <c r="E66" s="590">
        <f>'26'!F66</f>
        <v>12070.5</v>
      </c>
      <c r="F66" s="554">
        <v>12487.61</v>
      </c>
      <c r="G66" s="549">
        <f t="shared" si="5"/>
        <v>417.11000000000058</v>
      </c>
      <c r="H66" s="536">
        <f>G66+'26'!H66</f>
        <v>10065.52</v>
      </c>
      <c r="I66" s="556"/>
      <c r="J66" s="629">
        <f>H66/DAY(B2)</f>
        <v>372.79703703703706</v>
      </c>
      <c r="K66" s="467"/>
      <c r="L66" s="408"/>
      <c r="N66" s="413"/>
    </row>
    <row r="67" spans="1:14" ht="27.75">
      <c r="A67" s="1367" t="s">
        <v>110</v>
      </c>
      <c r="B67" s="1368"/>
      <c r="C67" s="1369"/>
      <c r="D67" s="599" t="s">
        <v>198</v>
      </c>
      <c r="E67" s="590">
        <f>'26'!F67</f>
        <v>185312.69</v>
      </c>
      <c r="F67" s="554">
        <v>185945</v>
      </c>
      <c r="G67" s="549">
        <f t="shared" si="5"/>
        <v>632.30999999999767</v>
      </c>
      <c r="H67" s="536">
        <f>G67+'26'!H67</f>
        <v>17703.649999999994</v>
      </c>
      <c r="I67" s="565"/>
      <c r="J67" s="629">
        <f>H67/DAY(B2)</f>
        <v>655.69074074074058</v>
      </c>
      <c r="K67" s="468"/>
      <c r="L67" s="408"/>
      <c r="N67" s="413"/>
    </row>
    <row r="68" spans="1:14" ht="27.75">
      <c r="A68" s="1367" t="s">
        <v>111</v>
      </c>
      <c r="B68" s="1368"/>
      <c r="C68" s="1369"/>
      <c r="D68" s="599" t="s">
        <v>198</v>
      </c>
      <c r="E68" s="590">
        <f>'26'!F68</f>
        <v>61723.94</v>
      </c>
      <c r="F68" s="554">
        <v>62030</v>
      </c>
      <c r="G68" s="549">
        <f t="shared" si="5"/>
        <v>306.05999999999767</v>
      </c>
      <c r="H68" s="536">
        <f>G68+'26'!H68</f>
        <v>8406.0999999999985</v>
      </c>
      <c r="I68" s="592"/>
      <c r="J68" s="629">
        <f>H68/DAY(B2)</f>
        <v>311.33703703703696</v>
      </c>
      <c r="K68" s="469"/>
      <c r="L68" s="408"/>
      <c r="N68" s="413"/>
    </row>
    <row r="69" spans="1:14" ht="27.75">
      <c r="A69" s="1367" t="s">
        <v>112</v>
      </c>
      <c r="B69" s="1368"/>
      <c r="C69" s="1369"/>
      <c r="D69" s="599" t="s">
        <v>198</v>
      </c>
      <c r="E69" s="590">
        <f>'26'!F69</f>
        <v>54165</v>
      </c>
      <c r="F69" s="554">
        <v>54472.81</v>
      </c>
      <c r="G69" s="549">
        <f t="shared" si="5"/>
        <v>307.80999999999767</v>
      </c>
      <c r="H69" s="536">
        <f>G69+'26'!H69</f>
        <v>7953.3799999999974</v>
      </c>
      <c r="I69" s="592"/>
      <c r="J69" s="629">
        <f>H69/DAY(B2)</f>
        <v>294.56962962962956</v>
      </c>
      <c r="K69" s="470"/>
      <c r="L69" s="408"/>
      <c r="N69" s="413"/>
    </row>
    <row r="70" spans="1:14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</row>
    <row r="71" spans="1:14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413"/>
    </row>
    <row r="72" spans="1:14" ht="27.75">
      <c r="A72" s="1367" t="s">
        <v>202</v>
      </c>
      <c r="B72" s="1368"/>
      <c r="C72" s="1369"/>
      <c r="D72" s="599" t="s">
        <v>198</v>
      </c>
      <c r="E72" s="595">
        <f>'26'!F72</f>
        <v>848048</v>
      </c>
      <c r="F72" s="735">
        <v>848139</v>
      </c>
      <c r="G72" s="549">
        <f t="shared" ref="G72:G84" si="6">F72-E72</f>
        <v>91</v>
      </c>
      <c r="H72" s="536">
        <f>G72+'26'!H72</f>
        <v>1673</v>
      </c>
      <c r="I72" s="556"/>
      <c r="J72" s="629">
        <f>H72/DAY(B2)</f>
        <v>61.962962962962962</v>
      </c>
      <c r="K72" s="470"/>
      <c r="L72" s="408"/>
      <c r="N72" s="413"/>
    </row>
    <row r="73" spans="1:14" ht="27.75">
      <c r="A73" s="1367" t="s">
        <v>203</v>
      </c>
      <c r="B73" s="1368"/>
      <c r="C73" s="1369"/>
      <c r="D73" s="599" t="s">
        <v>198</v>
      </c>
      <c r="E73" s="595">
        <f>'26'!F73</f>
        <v>885727</v>
      </c>
      <c r="F73" s="736">
        <v>885727</v>
      </c>
      <c r="G73" s="733">
        <f t="shared" si="6"/>
        <v>0</v>
      </c>
      <c r="H73" s="536">
        <f>G73+'26'!H73</f>
        <v>946</v>
      </c>
      <c r="I73" s="556"/>
      <c r="J73" s="629">
        <f>H73/DAY(B2)</f>
        <v>35.037037037037038</v>
      </c>
      <c r="K73" s="469"/>
      <c r="L73" s="408"/>
      <c r="N73" s="413"/>
    </row>
    <row r="74" spans="1:14" ht="27.75">
      <c r="A74" s="1367" t="s">
        <v>204</v>
      </c>
      <c r="B74" s="1368"/>
      <c r="C74" s="1369"/>
      <c r="D74" s="599" t="s">
        <v>198</v>
      </c>
      <c r="E74" s="595">
        <f>'26'!F74</f>
        <v>882212</v>
      </c>
      <c r="F74" s="736">
        <v>882243</v>
      </c>
      <c r="G74" s="549">
        <f t="shared" si="6"/>
        <v>31</v>
      </c>
      <c r="H74" s="536">
        <f>G74+'26'!H74</f>
        <v>928</v>
      </c>
      <c r="I74" s="556"/>
      <c r="J74" s="629">
        <f>H74/DAY(B2)</f>
        <v>34.370370370370374</v>
      </c>
      <c r="K74" s="470"/>
      <c r="L74" s="408"/>
      <c r="N74" s="413"/>
    </row>
    <row r="75" spans="1:14" ht="27.75">
      <c r="A75" s="1364" t="s">
        <v>205</v>
      </c>
      <c r="B75" s="1365"/>
      <c r="C75" s="1366"/>
      <c r="D75" s="599" t="s">
        <v>198</v>
      </c>
      <c r="E75" s="595">
        <f>'26'!F75</f>
        <v>736551</v>
      </c>
      <c r="F75" s="735">
        <v>736737</v>
      </c>
      <c r="G75" s="549">
        <f t="shared" si="6"/>
        <v>186</v>
      </c>
      <c r="H75" s="536">
        <f>G75+'26'!H75</f>
        <v>5096</v>
      </c>
      <c r="I75" s="556"/>
      <c r="J75" s="629">
        <f>H75/DAY(B2)</f>
        <v>188.74074074074073</v>
      </c>
      <c r="K75" s="469"/>
      <c r="L75" s="408"/>
      <c r="N75" s="413"/>
    </row>
    <row r="76" spans="1:14" ht="27.75">
      <c r="A76" s="1364" t="s">
        <v>206</v>
      </c>
      <c r="B76" s="1365"/>
      <c r="C76" s="1366"/>
      <c r="D76" s="599" t="s">
        <v>198</v>
      </c>
      <c r="E76" s="595">
        <f>'26'!F76</f>
        <v>686645</v>
      </c>
      <c r="F76" s="736">
        <v>686721</v>
      </c>
      <c r="G76" s="549">
        <f t="shared" si="6"/>
        <v>76</v>
      </c>
      <c r="H76" s="536">
        <f>G76+'26'!H76</f>
        <v>3622</v>
      </c>
      <c r="I76" s="581"/>
      <c r="J76" s="629">
        <f>H76/DAY(B2)</f>
        <v>134.14814814814815</v>
      </c>
      <c r="K76" s="469"/>
      <c r="L76" s="408"/>
      <c r="N76" s="413"/>
    </row>
    <row r="77" spans="1:14" ht="27.75">
      <c r="A77" s="1367" t="s">
        <v>207</v>
      </c>
      <c r="B77" s="1368"/>
      <c r="C77" s="1369"/>
      <c r="D77" s="599" t="s">
        <v>198</v>
      </c>
      <c r="E77" s="595">
        <f>'26'!F77</f>
        <v>696846</v>
      </c>
      <c r="F77" s="736">
        <v>696898</v>
      </c>
      <c r="G77" s="733">
        <f t="shared" si="6"/>
        <v>52</v>
      </c>
      <c r="H77" s="536">
        <f>G77+'26'!H77</f>
        <v>1504</v>
      </c>
      <c r="I77" s="581"/>
      <c r="J77" s="629">
        <f>H77/DAY(B2)</f>
        <v>55.703703703703702</v>
      </c>
      <c r="K77" s="469"/>
      <c r="L77" s="408"/>
      <c r="N77" s="413"/>
    </row>
    <row r="78" spans="1:14" ht="27.75">
      <c r="A78" s="1255" t="s">
        <v>208</v>
      </c>
      <c r="B78" s="1226"/>
      <c r="C78" s="1226"/>
      <c r="D78" s="599" t="s">
        <v>198</v>
      </c>
      <c r="E78" s="595">
        <f>'26'!F78</f>
        <v>640010</v>
      </c>
      <c r="F78" s="735">
        <v>640348</v>
      </c>
      <c r="G78" s="549">
        <f t="shared" si="6"/>
        <v>338</v>
      </c>
      <c r="H78" s="536">
        <f>G78+'26'!H78</f>
        <v>9575</v>
      </c>
      <c r="I78" s="581"/>
      <c r="J78" s="629">
        <f>H78/DAY(B2)</f>
        <v>354.62962962962962</v>
      </c>
      <c r="K78" s="469"/>
      <c r="L78" s="408"/>
      <c r="N78" s="413"/>
    </row>
    <row r="79" spans="1:14" ht="27.75">
      <c r="A79" s="1364" t="s">
        <v>97</v>
      </c>
      <c r="B79" s="1365"/>
      <c r="C79" s="1366"/>
      <c r="D79" s="600" t="s">
        <v>198</v>
      </c>
      <c r="E79" s="595">
        <f>'26'!F79</f>
        <v>808754</v>
      </c>
      <c r="F79" s="735">
        <v>808948</v>
      </c>
      <c r="G79" s="549">
        <f t="shared" si="6"/>
        <v>194</v>
      </c>
      <c r="H79" s="536">
        <f>G79+'26'!H79</f>
        <v>7177</v>
      </c>
      <c r="I79" s="581"/>
      <c r="J79" s="629">
        <f>H79/DAY(B2)</f>
        <v>265.81481481481484</v>
      </c>
      <c r="K79" s="469"/>
      <c r="L79" s="408"/>
      <c r="N79" s="413"/>
    </row>
    <row r="80" spans="1:14" ht="27.75">
      <c r="A80" s="1364" t="s">
        <v>209</v>
      </c>
      <c r="B80" s="1365"/>
      <c r="C80" s="1366"/>
      <c r="D80" s="600" t="s">
        <v>198</v>
      </c>
      <c r="E80" s="595">
        <f>'26'!F80</f>
        <v>483563.88</v>
      </c>
      <c r="F80" s="736">
        <v>483852</v>
      </c>
      <c r="G80" s="549">
        <f t="shared" si="6"/>
        <v>288.11999999999534</v>
      </c>
      <c r="H80" s="536">
        <f>G80+'26'!H80</f>
        <v>6640.1599999999744</v>
      </c>
      <c r="I80" s="581"/>
      <c r="J80" s="629">
        <f>H80/DAY(B2)</f>
        <v>245.93185185185089</v>
      </c>
      <c r="K80" s="469"/>
      <c r="L80" s="408"/>
      <c r="N80" s="413"/>
    </row>
    <row r="81" spans="1:15" ht="27.75">
      <c r="A81" s="1364" t="s">
        <v>210</v>
      </c>
      <c r="B81" s="1365"/>
      <c r="C81" s="1366"/>
      <c r="D81" s="600" t="s">
        <v>198</v>
      </c>
      <c r="E81" s="595">
        <f>'26'!F81</f>
        <v>622261.64</v>
      </c>
      <c r="F81" s="736">
        <v>622369</v>
      </c>
      <c r="G81" s="549">
        <f t="shared" si="6"/>
        <v>107.35999999998603</v>
      </c>
      <c r="H81" s="536">
        <f>G81+'26'!H81</f>
        <v>3115</v>
      </c>
      <c r="I81" s="581"/>
      <c r="J81" s="629">
        <f>H81/DAY(B2)</f>
        <v>115.37037037037037</v>
      </c>
      <c r="K81" s="469"/>
      <c r="L81" s="408"/>
      <c r="N81" s="413"/>
    </row>
    <row r="82" spans="1:15" ht="27.75">
      <c r="A82" s="1364" t="s">
        <v>100</v>
      </c>
      <c r="B82" s="1365"/>
      <c r="C82" s="1366"/>
      <c r="D82" s="561" t="s">
        <v>143</v>
      </c>
      <c r="E82" s="595">
        <f>'26'!F82</f>
        <v>105224.59</v>
      </c>
      <c r="F82" s="732">
        <v>105271.72</v>
      </c>
      <c r="G82" s="549">
        <f t="shared" si="6"/>
        <v>47.130000000004657</v>
      </c>
      <c r="H82" s="536">
        <f>G82+'26'!H82</f>
        <v>833.72000000000116</v>
      </c>
      <c r="I82" s="562"/>
      <c r="J82" s="629">
        <f>H82/DAY(B2)</f>
        <v>30.878518518518561</v>
      </c>
      <c r="K82" s="469"/>
      <c r="L82" s="408"/>
      <c r="N82" s="413"/>
    </row>
    <row r="83" spans="1:15" ht="27.75">
      <c r="A83" s="1364" t="s">
        <v>211</v>
      </c>
      <c r="B83" s="1365"/>
      <c r="C83" s="1366"/>
      <c r="D83" s="697" t="s">
        <v>143</v>
      </c>
      <c r="E83" s="595">
        <f>'26'!F83</f>
        <v>982067</v>
      </c>
      <c r="F83" s="697">
        <v>982274</v>
      </c>
      <c r="G83" s="549">
        <f t="shared" si="6"/>
        <v>207</v>
      </c>
      <c r="H83" s="536">
        <f>G83+'26'!H83</f>
        <v>8803</v>
      </c>
      <c r="I83" s="557"/>
      <c r="J83" s="629">
        <f>H83/DAY(B2)</f>
        <v>326.03703703703701</v>
      </c>
      <c r="K83" s="468"/>
      <c r="L83" s="408"/>
      <c r="N83" s="413"/>
    </row>
    <row r="84" spans="1:15">
      <c r="A84" s="1256" t="s">
        <v>212</v>
      </c>
      <c r="B84" s="648"/>
      <c r="C84" s="648"/>
      <c r="D84" s="554" t="s">
        <v>143</v>
      </c>
      <c r="E84" s="595">
        <f>'26'!F84</f>
        <v>413437</v>
      </c>
      <c r="F84" s="600">
        <v>413993</v>
      </c>
      <c r="G84" s="549">
        <f t="shared" si="6"/>
        <v>556</v>
      </c>
      <c r="H84" s="536">
        <f>G84+'26'!H84</f>
        <v>16797</v>
      </c>
      <c r="I84" s="557"/>
      <c r="J84" s="629">
        <f>H84/DAY(B2)</f>
        <v>622.11111111111109</v>
      </c>
      <c r="K84" s="411"/>
      <c r="L84" s="408"/>
      <c r="N84" s="413"/>
    </row>
    <row r="85" spans="1:15" s="410" customFormat="1">
      <c r="A85" s="682" t="s">
        <v>213</v>
      </c>
      <c r="B85" s="649"/>
      <c r="C85" s="649"/>
      <c r="D85" s="565"/>
      <c r="E85" s="704">
        <f>'26'!F85</f>
        <v>0</v>
      </c>
      <c r="F85" s="599"/>
      <c r="G85" s="536">
        <f xml:space="preserve"> SUM(G72:G84)</f>
        <v>2173.609999999986</v>
      </c>
      <c r="H85" s="536">
        <f>G85+'26'!H85</f>
        <v>62479.72</v>
      </c>
      <c r="I85" s="557"/>
      <c r="J85" s="629">
        <f>H85/DAY(B2)</f>
        <v>2314.0637037037036</v>
      </c>
      <c r="K85" s="411"/>
      <c r="L85" s="409"/>
      <c r="N85" s="413"/>
    </row>
    <row r="86" spans="1:15" s="835" customFormat="1">
      <c r="A86" s="830" t="s">
        <v>102</v>
      </c>
      <c r="B86" s="831"/>
      <c r="C86" s="831"/>
      <c r="D86" s="832" t="s">
        <v>194</v>
      </c>
      <c r="E86" s="704">
        <f>'26'!F86</f>
        <v>446593</v>
      </c>
      <c r="F86" s="728">
        <v>446695</v>
      </c>
      <c r="G86" s="805">
        <f>F86-E86</f>
        <v>102</v>
      </c>
      <c r="H86" s="805">
        <f t="shared" ref="H86:H88" si="7">G86</f>
        <v>102</v>
      </c>
      <c r="I86" s="733"/>
      <c r="J86" s="807">
        <f>H86/DAY(B2)</f>
        <v>3.7777777777777777</v>
      </c>
      <c r="K86" s="833"/>
      <c r="L86" s="834"/>
      <c r="O86" s="813"/>
    </row>
    <row r="87" spans="1:15" s="835" customFormat="1">
      <c r="A87" s="830" t="s">
        <v>103</v>
      </c>
      <c r="B87" s="831"/>
      <c r="C87" s="831"/>
      <c r="D87" s="832" t="s">
        <v>194</v>
      </c>
      <c r="E87" s="704">
        <f>'26'!F87</f>
        <v>78317.8</v>
      </c>
      <c r="F87" s="728">
        <v>78346.8</v>
      </c>
      <c r="G87" s="805">
        <f t="shared" ref="G87:G90" si="8">F87-E87</f>
        <v>29</v>
      </c>
      <c r="H87" s="805">
        <f t="shared" si="7"/>
        <v>29</v>
      </c>
      <c r="I87" s="733"/>
      <c r="J87" s="807">
        <f>H87/DAY(B2)</f>
        <v>1.0740740740740742</v>
      </c>
      <c r="K87" s="833"/>
      <c r="L87" s="834"/>
      <c r="O87" s="813"/>
    </row>
    <row r="88" spans="1:15" s="835" customFormat="1">
      <c r="A88" s="830" t="s">
        <v>104</v>
      </c>
      <c r="B88" s="831"/>
      <c r="C88" s="831"/>
      <c r="D88" s="832" t="s">
        <v>194</v>
      </c>
      <c r="E88" s="704">
        <f>'26'!F88</f>
        <v>146111</v>
      </c>
      <c r="F88" s="728">
        <v>146228</v>
      </c>
      <c r="G88" s="805">
        <f t="shared" si="8"/>
        <v>117</v>
      </c>
      <c r="H88" s="805">
        <f t="shared" si="7"/>
        <v>117</v>
      </c>
      <c r="I88" s="733"/>
      <c r="J88" s="807">
        <f>H88/DAY(B2)</f>
        <v>4.333333333333333</v>
      </c>
      <c r="K88" s="833"/>
      <c r="L88" s="834"/>
      <c r="O88" s="813"/>
    </row>
    <row r="89" spans="1:15" s="835" customFormat="1">
      <c r="A89" s="830" t="s">
        <v>215</v>
      </c>
      <c r="B89" s="831"/>
      <c r="C89" s="831"/>
      <c r="D89" s="832" t="s">
        <v>194</v>
      </c>
      <c r="E89" s="704">
        <f>'26'!F89</f>
        <v>59414</v>
      </c>
      <c r="F89" s="728">
        <v>59477</v>
      </c>
      <c r="G89" s="805">
        <f t="shared" si="8"/>
        <v>63</v>
      </c>
      <c r="H89" s="805">
        <f>G89</f>
        <v>63</v>
      </c>
      <c r="I89" s="733"/>
      <c r="J89" s="807">
        <f>H89/DAY(B2)</f>
        <v>2.3333333333333335</v>
      </c>
      <c r="K89" s="833"/>
      <c r="L89" s="834"/>
      <c r="N89" s="881"/>
      <c r="O89" s="413"/>
    </row>
    <row r="90" spans="1:15" s="835" customFormat="1">
      <c r="A90" s="830" t="s">
        <v>215</v>
      </c>
      <c r="B90" s="831"/>
      <c r="C90" s="831"/>
      <c r="D90" s="832" t="s">
        <v>194</v>
      </c>
      <c r="E90" s="704">
        <f>'26'!F90</f>
        <v>3049.4</v>
      </c>
      <c r="F90" s="728">
        <v>3054</v>
      </c>
      <c r="G90" s="805">
        <f t="shared" si="8"/>
        <v>4.5999999999999091</v>
      </c>
      <c r="H90" s="805">
        <f>G90</f>
        <v>4.5999999999999091</v>
      </c>
      <c r="I90" s="733"/>
      <c r="J90" s="807">
        <f>H90/DAY(B2)</f>
        <v>0.17037037037036701</v>
      </c>
      <c r="K90" s="833"/>
      <c r="L90" s="834"/>
      <c r="N90" s="881"/>
      <c r="O90" s="413"/>
    </row>
    <row r="91" spans="1:15" s="410" customFormat="1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>
      <c r="A92" s="1388" t="s">
        <v>217</v>
      </c>
      <c r="B92" s="1389"/>
      <c r="C92" s="1390"/>
      <c r="D92" s="599" t="s">
        <v>155</v>
      </c>
      <c r="E92" s="560">
        <f>'26'!F92</f>
        <v>236189</v>
      </c>
      <c r="F92" s="554">
        <v>236279</v>
      </c>
      <c r="G92" s="549">
        <f t="shared" ref="G92:G93" si="9">F92-E92</f>
        <v>90</v>
      </c>
      <c r="H92" s="536">
        <f>G92+'26'!H92</f>
        <v>2377</v>
      </c>
      <c r="I92" s="556"/>
      <c r="J92" s="629">
        <f>H92/DAY(B2)</f>
        <v>88.037037037037038</v>
      </c>
      <c r="K92" s="468"/>
      <c r="L92" s="408"/>
      <c r="N92" s="413"/>
    </row>
    <row r="93" spans="1:15" ht="27.75">
      <c r="A93" s="1388" t="s">
        <v>218</v>
      </c>
      <c r="B93" s="1389"/>
      <c r="C93" s="1390"/>
      <c r="D93" s="599" t="s">
        <v>155</v>
      </c>
      <c r="E93" s="560">
        <f>'26'!F93</f>
        <v>170468</v>
      </c>
      <c r="F93" s="561">
        <v>170581</v>
      </c>
      <c r="G93" s="549">
        <f t="shared" si="9"/>
        <v>113</v>
      </c>
      <c r="H93" s="536">
        <f>G93+'26'!H93</f>
        <v>3665</v>
      </c>
      <c r="I93" s="556"/>
      <c r="J93" s="629">
        <f>H93/DAY(B2)</f>
        <v>135.74074074074073</v>
      </c>
      <c r="K93" s="411"/>
      <c r="L93" s="408"/>
      <c r="N93" s="413"/>
    </row>
    <row r="94" spans="1:15">
      <c r="A94" s="1419" t="s">
        <v>219</v>
      </c>
      <c r="B94" s="1420"/>
      <c r="C94" s="1421"/>
      <c r="D94" s="599"/>
      <c r="E94" s="560">
        <f>'26'!F94</f>
        <v>0</v>
      </c>
      <c r="F94" s="554"/>
      <c r="G94" s="549">
        <f>G92+G93</f>
        <v>203</v>
      </c>
      <c r="H94" s="536">
        <f>G94+'26'!H94</f>
        <v>5768</v>
      </c>
      <c r="I94" s="556"/>
      <c r="J94" s="629">
        <f>H94/DAY(B2)</f>
        <v>213.62962962962962</v>
      </c>
      <c r="K94" s="411"/>
      <c r="L94" s="408"/>
      <c r="N94" s="413"/>
    </row>
    <row r="95" spans="1:15" ht="27.75">
      <c r="A95" s="1388" t="s">
        <v>220</v>
      </c>
      <c r="B95" s="1389"/>
      <c r="C95" s="1390"/>
      <c r="D95" s="599" t="s">
        <v>155</v>
      </c>
      <c r="E95" s="560">
        <f>'26'!F95</f>
        <v>405574</v>
      </c>
      <c r="F95" s="554">
        <v>405645</v>
      </c>
      <c r="G95" s="549">
        <f t="shared" ref="G95:G100" si="10">F95-E95</f>
        <v>71</v>
      </c>
      <c r="H95" s="536">
        <f>G95+'26'!H95</f>
        <v>1980</v>
      </c>
      <c r="I95" s="556"/>
      <c r="J95" s="629">
        <f>H95/DAY(B2)</f>
        <v>73.333333333333329</v>
      </c>
      <c r="K95" s="411"/>
      <c r="L95" s="408"/>
      <c r="N95" s="413"/>
    </row>
    <row r="96" spans="1:15" ht="27.75">
      <c r="A96" s="1252" t="s">
        <v>221</v>
      </c>
      <c r="B96" s="1253"/>
      <c r="C96" s="1253"/>
      <c r="D96" s="599" t="s">
        <v>155</v>
      </c>
      <c r="E96" s="560">
        <f>'26'!F96</f>
        <v>100399</v>
      </c>
      <c r="F96" s="554">
        <v>100414</v>
      </c>
      <c r="G96" s="549">
        <f t="shared" si="10"/>
        <v>15</v>
      </c>
      <c r="H96" s="536">
        <f>G96+'26'!H96</f>
        <v>493</v>
      </c>
      <c r="I96" s="556"/>
      <c r="J96" s="629">
        <f>H96/DAY(B2)</f>
        <v>18.25925925925926</v>
      </c>
      <c r="K96" s="466"/>
      <c r="L96" s="408"/>
      <c r="N96" s="413"/>
    </row>
    <row r="97" spans="1:14" ht="27.75">
      <c r="A97" s="1252" t="s">
        <v>222</v>
      </c>
      <c r="B97" s="1253"/>
      <c r="C97" s="1253"/>
      <c r="D97" s="599" t="s">
        <v>155</v>
      </c>
      <c r="E97" s="560">
        <f>'26'!F97</f>
        <v>95582</v>
      </c>
      <c r="F97" s="554">
        <v>95595</v>
      </c>
      <c r="G97" s="549">
        <f t="shared" si="10"/>
        <v>13</v>
      </c>
      <c r="H97" s="536">
        <f>G97+'26'!H97</f>
        <v>568</v>
      </c>
      <c r="I97" s="556"/>
      <c r="J97" s="629">
        <f>H97/DAY(B2)</f>
        <v>21.037037037037038</v>
      </c>
      <c r="K97" s="471"/>
      <c r="L97" s="408"/>
      <c r="N97" s="910"/>
    </row>
    <row r="98" spans="1:14" ht="27.75">
      <c r="A98" s="1252" t="s">
        <v>223</v>
      </c>
      <c r="B98" s="1253"/>
      <c r="C98" s="1253"/>
      <c r="D98" s="599" t="s">
        <v>155</v>
      </c>
      <c r="E98" s="560">
        <f>'26'!F98</f>
        <v>145234</v>
      </c>
      <c r="F98" s="554">
        <v>145298</v>
      </c>
      <c r="G98" s="549">
        <f t="shared" si="10"/>
        <v>64</v>
      </c>
      <c r="H98" s="536">
        <f>G98+'26'!H98</f>
        <v>1491</v>
      </c>
      <c r="I98" s="556"/>
      <c r="J98" s="629">
        <f>H98/DAY(B2)</f>
        <v>55.222222222222221</v>
      </c>
      <c r="K98" s="411"/>
      <c r="L98" s="408"/>
      <c r="N98" s="1136"/>
    </row>
    <row r="99" spans="1:14" ht="27.75">
      <c r="A99" s="1252" t="s">
        <v>224</v>
      </c>
      <c r="B99" s="1253"/>
      <c r="C99" s="1253"/>
      <c r="D99" s="599" t="s">
        <v>155</v>
      </c>
      <c r="E99" s="560">
        <f>'26'!F99</f>
        <v>5882</v>
      </c>
      <c r="F99" s="554">
        <v>5914</v>
      </c>
      <c r="G99" s="549">
        <f t="shared" si="10"/>
        <v>32</v>
      </c>
      <c r="H99" s="536">
        <f>G99+'26'!H99</f>
        <v>412</v>
      </c>
      <c r="I99" s="556"/>
      <c r="J99" s="629">
        <f>H99/DAY(B2)</f>
        <v>15.25925925925926</v>
      </c>
      <c r="K99" s="411"/>
      <c r="L99" s="408"/>
      <c r="N99" s="910"/>
    </row>
    <row r="100" spans="1:14" ht="27.75">
      <c r="A100" s="1252" t="s">
        <v>225</v>
      </c>
      <c r="B100" s="1253"/>
      <c r="C100" s="1253"/>
      <c r="D100" s="599" t="s">
        <v>155</v>
      </c>
      <c r="E100" s="560">
        <f>'26'!F100</f>
        <v>4205</v>
      </c>
      <c r="F100" s="554">
        <v>4210</v>
      </c>
      <c r="G100" s="549">
        <f t="shared" si="10"/>
        <v>5</v>
      </c>
      <c r="H100" s="536">
        <f>G100+'26'!H100</f>
        <v>246</v>
      </c>
      <c r="I100" s="556"/>
      <c r="J100" s="629">
        <f>H100/DAY(B2)</f>
        <v>9.1111111111111107</v>
      </c>
      <c r="K100" s="411"/>
      <c r="L100" s="408"/>
      <c r="N100" s="910"/>
    </row>
    <row r="101" spans="1:14">
      <c r="A101" s="1419" t="s">
        <v>227</v>
      </c>
      <c r="B101" s="1420"/>
      <c r="C101" s="1421"/>
      <c r="D101" s="600"/>
      <c r="E101" s="600"/>
      <c r="F101" s="600"/>
      <c r="G101" s="601">
        <f>SUM(G95:G100)</f>
        <v>200</v>
      </c>
      <c r="H101" s="536">
        <f>G101+'26'!H101</f>
        <v>5190</v>
      </c>
      <c r="I101" s="602"/>
      <c r="J101" s="629">
        <f>H101/DAY(B2)</f>
        <v>192.22222222222223</v>
      </c>
      <c r="K101" s="411"/>
      <c r="L101" s="408"/>
      <c r="N101" s="910"/>
    </row>
    <row r="102" spans="1:14" s="481" customFormat="1" ht="27">
      <c r="A102" s="684" t="s">
        <v>228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>
      <c r="A103" s="1422" t="s">
        <v>229</v>
      </c>
      <c r="B103" s="1423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>
      <c r="A104" s="1380" t="s">
        <v>230</v>
      </c>
      <c r="B104" s="1381"/>
      <c r="C104" s="1251"/>
      <c r="D104" s="699" t="s">
        <v>155</v>
      </c>
      <c r="E104" s="608">
        <f>'26'!F104</f>
        <v>7010</v>
      </c>
      <c r="F104" s="739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3.6296296296296298</v>
      </c>
      <c r="N104" s="413"/>
    </row>
    <row r="105" spans="1:14" s="481" customFormat="1" ht="27.75">
      <c r="A105" s="1380" t="s">
        <v>77</v>
      </c>
      <c r="B105" s="1381"/>
      <c r="C105" s="1251"/>
      <c r="D105" s="699" t="s">
        <v>155</v>
      </c>
      <c r="E105" s="608">
        <f>'26'!F105</f>
        <v>35124</v>
      </c>
      <c r="F105" s="908">
        <v>35136</v>
      </c>
      <c r="G105" s="608">
        <f t="shared" ref="G105:G106" si="11">F105-E105</f>
        <v>12</v>
      </c>
      <c r="H105" s="609">
        <f>SUM(G105+'1'!G77)</f>
        <v>73</v>
      </c>
      <c r="I105" s="608"/>
      <c r="J105" s="635">
        <f>H105/DAY(B2)</f>
        <v>2.7037037037037037</v>
      </c>
      <c r="N105" s="413"/>
    </row>
    <row r="106" spans="1:14" s="481" customFormat="1" ht="27.75">
      <c r="A106" s="1380" t="s">
        <v>78</v>
      </c>
      <c r="B106" s="1424"/>
      <c r="C106" s="1381"/>
      <c r="D106" s="699" t="s">
        <v>155</v>
      </c>
      <c r="E106" s="608">
        <f>'26'!F106</f>
        <v>19059</v>
      </c>
      <c r="F106" s="740">
        <v>19066</v>
      </c>
      <c r="G106" s="608">
        <f t="shared" si="11"/>
        <v>7</v>
      </c>
      <c r="H106" s="609">
        <f>SUM(G106+'1'!G78)</f>
        <v>376</v>
      </c>
      <c r="I106" s="608"/>
      <c r="J106" s="635">
        <f>H106/DAY(B2)</f>
        <v>13.925925925925926</v>
      </c>
      <c r="N106" s="413"/>
    </row>
    <row r="107" spans="1:14" s="481" customFormat="1" ht="27.75">
      <c r="A107" s="1382" t="s">
        <v>213</v>
      </c>
      <c r="B107" s="1383"/>
      <c r="C107" s="1251"/>
      <c r="D107" s="699"/>
      <c r="E107" s="608">
        <f>'26'!F107</f>
        <v>0</v>
      </c>
      <c r="F107" s="740"/>
      <c r="G107" s="608">
        <f>SUM(G104:G106)</f>
        <v>19</v>
      </c>
      <c r="H107" s="609">
        <f>SUM(G107+'1'!G79)</f>
        <v>206</v>
      </c>
      <c r="I107" s="608"/>
      <c r="J107" s="635">
        <f>H107/DAY(B2)</f>
        <v>7.6296296296296298</v>
      </c>
      <c r="N107" s="413"/>
    </row>
    <row r="108" spans="1:14" s="481" customFormat="1" ht="27.75">
      <c r="A108" s="1386" t="s">
        <v>79</v>
      </c>
      <c r="B108" s="1387"/>
      <c r="C108" s="1251"/>
      <c r="D108" s="699" t="s">
        <v>155</v>
      </c>
      <c r="E108" s="608">
        <f>'26'!F108</f>
        <v>0</v>
      </c>
      <c r="F108" s="740"/>
      <c r="G108" s="608"/>
      <c r="H108" s="609"/>
      <c r="I108" s="608"/>
      <c r="J108" s="635"/>
      <c r="N108" s="413"/>
    </row>
    <row r="109" spans="1:14" s="481" customFormat="1" ht="27.75">
      <c r="A109" s="1380" t="s">
        <v>231</v>
      </c>
      <c r="B109" s="1381"/>
      <c r="C109" s="1251"/>
      <c r="D109" s="699" t="s">
        <v>155</v>
      </c>
      <c r="E109" s="608">
        <f>'26'!F109</f>
        <v>54397</v>
      </c>
      <c r="F109" s="908">
        <v>54439</v>
      </c>
      <c r="G109" s="608">
        <f>F109-E109</f>
        <v>42</v>
      </c>
      <c r="H109" s="609">
        <f>SUM(G109+'1'!G81)</f>
        <v>171</v>
      </c>
      <c r="I109" s="608"/>
      <c r="J109" s="635">
        <f>H109/DAY(B2)</f>
        <v>6.333333333333333</v>
      </c>
      <c r="N109" s="413"/>
    </row>
    <row r="110" spans="1:14" s="481" customFormat="1" ht="27.75">
      <c r="A110" s="1380" t="s">
        <v>232</v>
      </c>
      <c r="B110" s="1381"/>
      <c r="C110" s="1251"/>
      <c r="D110" s="699" t="s">
        <v>155</v>
      </c>
      <c r="E110" s="608">
        <f>'26'!F110</f>
        <v>28241</v>
      </c>
      <c r="F110" s="908">
        <v>28300</v>
      </c>
      <c r="G110" s="608">
        <f t="shared" ref="G110:G111" si="12">F110-E110</f>
        <v>59</v>
      </c>
      <c r="H110" s="609">
        <f>SUM(G110+'1'!G82)</f>
        <v>82</v>
      </c>
      <c r="I110" s="608"/>
      <c r="J110" s="635">
        <f>H110/DAY(B2)</f>
        <v>3.0370370370370372</v>
      </c>
      <c r="N110" s="413"/>
    </row>
    <row r="111" spans="1:14" s="481" customFormat="1" ht="27.75">
      <c r="A111" s="1380" t="s">
        <v>233</v>
      </c>
      <c r="B111" s="1381"/>
      <c r="C111" s="1251"/>
      <c r="D111" s="699" t="s">
        <v>155</v>
      </c>
      <c r="E111" s="608">
        <f>'26'!F111</f>
        <v>3721</v>
      </c>
      <c r="F111" s="740">
        <v>3726</v>
      </c>
      <c r="G111" s="610">
        <f t="shared" si="12"/>
        <v>5</v>
      </c>
      <c r="H111" s="609">
        <f>SUM(G111+'1'!G83)</f>
        <v>338</v>
      </c>
      <c r="I111" s="608"/>
      <c r="J111" s="635">
        <f>H111/DAY(B2)</f>
        <v>12.518518518518519</v>
      </c>
      <c r="N111" s="413"/>
    </row>
    <row r="112" spans="1:14" s="481" customFormat="1" ht="27.75">
      <c r="A112" s="1382" t="s">
        <v>121</v>
      </c>
      <c r="B112" s="1383"/>
      <c r="C112" s="1251"/>
      <c r="D112" s="699"/>
      <c r="E112" s="608">
        <f>'26'!F112</f>
        <v>0</v>
      </c>
      <c r="F112" s="740"/>
      <c r="G112" s="608">
        <f>SUM(G109:G111)</f>
        <v>106</v>
      </c>
      <c r="H112" s="609">
        <f>SUM(G112+'1'!G84)</f>
        <v>552</v>
      </c>
      <c r="I112" s="608"/>
      <c r="J112" s="635">
        <f>H112/DAY(B2)</f>
        <v>20.444444444444443</v>
      </c>
      <c r="N112" s="413"/>
    </row>
    <row r="113" spans="1:14" s="481" customFormat="1" ht="27.75">
      <c r="A113" s="1386" t="s">
        <v>234</v>
      </c>
      <c r="B113" s="1387"/>
      <c r="C113" s="1251"/>
      <c r="D113" s="699"/>
      <c r="E113" s="608">
        <f>'26'!F113</f>
        <v>0</v>
      </c>
      <c r="F113" s="740"/>
      <c r="G113" s="608"/>
      <c r="H113" s="609"/>
      <c r="I113" s="608"/>
      <c r="J113" s="635">
        <f>H113/DAY(B2)</f>
        <v>0</v>
      </c>
      <c r="N113" s="413"/>
    </row>
    <row r="114" spans="1:14" s="481" customFormat="1" ht="27.75">
      <c r="A114" s="1380" t="s">
        <v>235</v>
      </c>
      <c r="B114" s="1381"/>
      <c r="C114" s="651"/>
      <c r="D114" s="699" t="s">
        <v>155</v>
      </c>
      <c r="E114" s="608">
        <f>'26'!F114</f>
        <v>9693</v>
      </c>
      <c r="F114" s="740">
        <v>9730</v>
      </c>
      <c r="G114" s="610">
        <f>F114-E114</f>
        <v>37</v>
      </c>
      <c r="H114" s="609">
        <f>SUM(G114+'1'!G91)</f>
        <v>37</v>
      </c>
      <c r="I114" s="608"/>
      <c r="J114" s="635">
        <f>H114/DAY(B2)</f>
        <v>1.3703703703703705</v>
      </c>
      <c r="N114" s="413"/>
    </row>
    <row r="115" spans="1:14" s="481" customFormat="1" ht="27.75">
      <c r="A115" s="1380" t="s">
        <v>236</v>
      </c>
      <c r="B115" s="1381"/>
      <c r="C115" s="651"/>
      <c r="D115" s="699" t="s">
        <v>155</v>
      </c>
      <c r="E115" s="608">
        <f>'26'!F115</f>
        <v>7398</v>
      </c>
      <c r="F115" s="740">
        <v>7403</v>
      </c>
      <c r="G115" s="610">
        <f t="shared" ref="G115:G116" si="13">F115-E115</f>
        <v>5</v>
      </c>
      <c r="H115" s="609">
        <f>SUM(G115+'1'!G92)</f>
        <v>138</v>
      </c>
      <c r="I115" s="608"/>
      <c r="J115" s="635">
        <f>H115/DAY(B2)</f>
        <v>5.1111111111111107</v>
      </c>
      <c r="N115" s="413"/>
    </row>
    <row r="116" spans="1:14" s="481" customFormat="1" ht="27.75">
      <c r="A116" s="1380" t="s">
        <v>237</v>
      </c>
      <c r="B116" s="1381"/>
      <c r="C116" s="651"/>
      <c r="D116" s="699" t="s">
        <v>155</v>
      </c>
      <c r="E116" s="610"/>
      <c r="F116" s="740"/>
      <c r="G116" s="610">
        <f t="shared" si="13"/>
        <v>0</v>
      </c>
      <c r="H116" s="609">
        <f>SUM(G116+'1'!G93)</f>
        <v>141</v>
      </c>
      <c r="I116" s="608"/>
      <c r="J116" s="635">
        <f>H116/DAY(B2)</f>
        <v>5.2222222222222223</v>
      </c>
      <c r="N116" s="413"/>
    </row>
    <row r="117" spans="1:14" s="494" customFormat="1" ht="27.75">
      <c r="A117" s="1382" t="s">
        <v>213</v>
      </c>
      <c r="B117" s="1383"/>
      <c r="C117" s="651"/>
      <c r="D117" s="700"/>
      <c r="E117" s="610"/>
      <c r="F117" s="740"/>
      <c r="G117" s="610">
        <f>SUM(G114:G116)</f>
        <v>42</v>
      </c>
      <c r="H117" s="609">
        <f>SUM(G117+'1'!G95)</f>
        <v>102</v>
      </c>
      <c r="I117" s="610"/>
      <c r="J117" s="635">
        <f>H117/DAY(B2)</f>
        <v>3.7777777777777777</v>
      </c>
      <c r="N117" s="413"/>
    </row>
    <row r="118" spans="1:14" s="495" customFormat="1" ht="27.75">
      <c r="A118" s="1376" t="s">
        <v>238</v>
      </c>
      <c r="B118" s="1377"/>
      <c r="C118" s="1249"/>
      <c r="D118" s="701" t="s">
        <v>155</v>
      </c>
      <c r="E118" s="612"/>
      <c r="F118" s="741">
        <f>SUM(G19+G92)</f>
        <v>144</v>
      </c>
      <c r="G118" s="612">
        <f>SUM(G19+G92)</f>
        <v>144</v>
      </c>
      <c r="H118" s="609">
        <f>SUM(G118+'1'!G96)</f>
        <v>177</v>
      </c>
      <c r="I118" s="611"/>
      <c r="J118" s="636">
        <f>H118/DAY(B2)</f>
        <v>6.5555555555555554</v>
      </c>
      <c r="N118" s="413"/>
    </row>
    <row r="119" spans="1:14" s="495" customFormat="1" ht="27.75">
      <c r="A119" s="1376" t="s">
        <v>239</v>
      </c>
      <c r="B119" s="1377"/>
      <c r="C119" s="1249"/>
      <c r="D119" s="701" t="s">
        <v>155</v>
      </c>
      <c r="E119" s="612"/>
      <c r="F119" s="741">
        <f>SUM(G95,G96,G97,G99,G100)</f>
        <v>136</v>
      </c>
      <c r="G119" s="612">
        <f>SUM(G95,G96,G97,G99,G100)</f>
        <v>136</v>
      </c>
      <c r="H119" s="609">
        <f>SUM(G119+'1'!G98)</f>
        <v>186</v>
      </c>
      <c r="I119" s="611"/>
      <c r="J119" s="636">
        <f>H119/DAY(B2)</f>
        <v>6.8888888888888893</v>
      </c>
      <c r="N119" s="413"/>
    </row>
    <row r="120" spans="1:14" s="495" customFormat="1" ht="27.75">
      <c r="A120" s="1376" t="s">
        <v>240</v>
      </c>
      <c r="B120" s="1377"/>
      <c r="C120" s="1249"/>
      <c r="D120" s="701" t="s">
        <v>155</v>
      </c>
      <c r="E120" s="610"/>
      <c r="F120" s="740">
        <f>SUM(G112)</f>
        <v>106</v>
      </c>
      <c r="G120" s="610">
        <f>SUM(G112)</f>
        <v>106</v>
      </c>
      <c r="H120" s="609">
        <f>SUM(G120+'1'!G100)</f>
        <v>123</v>
      </c>
      <c r="I120" s="611"/>
      <c r="J120" s="636">
        <f>H120/DAY(B2)</f>
        <v>4.5555555555555554</v>
      </c>
      <c r="N120" s="413"/>
    </row>
    <row r="121" spans="1:14" s="481" customFormat="1" ht="27.75">
      <c r="A121" s="1378"/>
      <c r="B121" s="1379"/>
      <c r="C121" s="1250"/>
      <c r="D121" s="637"/>
      <c r="E121" s="637"/>
      <c r="F121" s="742" t="s">
        <v>226</v>
      </c>
      <c r="G121" s="637"/>
      <c r="H121" s="638"/>
      <c r="I121" s="637"/>
      <c r="J121" s="639"/>
      <c r="N121" s="413"/>
    </row>
    <row r="122" spans="1:14">
      <c r="A122" s="1416" t="s">
        <v>241</v>
      </c>
      <c r="B122" s="1417"/>
      <c r="C122" s="1418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>
      <c r="A123" s="1252" t="s">
        <v>242</v>
      </c>
      <c r="B123" s="1253"/>
      <c r="C123" s="1253"/>
      <c r="D123" s="599" t="s">
        <v>152</v>
      </c>
      <c r="E123" s="554">
        <f>'26'!F123</f>
        <v>802022.35</v>
      </c>
      <c r="F123" s="554">
        <v>802272.96</v>
      </c>
      <c r="G123" s="549">
        <f t="shared" ref="G123:G127" si="14">F123-E123</f>
        <v>250.60999999998603</v>
      </c>
      <c r="H123" s="536">
        <f>G123+'26'!H123</f>
        <v>6848.9099999999162</v>
      </c>
      <c r="I123" s="602">
        <f>G123/5</f>
        <v>50.121999999997207</v>
      </c>
      <c r="J123" s="629">
        <f>H123/DAY(B2)</f>
        <v>253.66333333333023</v>
      </c>
      <c r="K123" s="411"/>
      <c r="L123" s="408"/>
      <c r="N123" s="413"/>
    </row>
    <row r="124" spans="1:14" ht="27.75">
      <c r="A124" s="1252" t="s">
        <v>243</v>
      </c>
      <c r="B124" s="1253"/>
      <c r="C124" s="1253"/>
      <c r="D124" s="599" t="s">
        <v>152</v>
      </c>
      <c r="E124" s="554">
        <f>'26'!F124</f>
        <v>73582</v>
      </c>
      <c r="F124" s="703">
        <v>73582</v>
      </c>
      <c r="G124" s="549">
        <f t="shared" si="14"/>
        <v>0</v>
      </c>
      <c r="H124" s="536">
        <f>G124+'26'!H124</f>
        <v>-0.19999999999708962</v>
      </c>
      <c r="I124" s="602"/>
      <c r="J124" s="629">
        <f>H124/DAY(B2)</f>
        <v>-7.4074074072996154E-3</v>
      </c>
      <c r="K124" s="411"/>
      <c r="L124" s="408"/>
      <c r="N124" s="413"/>
    </row>
    <row r="125" spans="1:14" ht="27.75">
      <c r="A125" s="1367" t="s">
        <v>244</v>
      </c>
      <c r="B125" s="1368"/>
      <c r="C125" s="1369"/>
      <c r="D125" s="599" t="s">
        <v>152</v>
      </c>
      <c r="E125" s="554">
        <f>'26'!F125</f>
        <v>137549.56</v>
      </c>
      <c r="F125" s="561">
        <v>137610</v>
      </c>
      <c r="G125" s="549">
        <f t="shared" si="14"/>
        <v>60.440000000002328</v>
      </c>
      <c r="H125" s="536">
        <f>G125+'26'!H125</f>
        <v>2019.3299999999872</v>
      </c>
      <c r="I125" s="602"/>
      <c r="J125" s="629">
        <f>H125/DAY(B2)</f>
        <v>74.789999999999523</v>
      </c>
      <c r="K125" s="411"/>
      <c r="L125" s="408"/>
      <c r="N125" s="413"/>
    </row>
    <row r="126" spans="1:14" ht="27.75">
      <c r="A126" s="686" t="s">
        <v>245</v>
      </c>
      <c r="B126" s="1253"/>
      <c r="C126" s="1253"/>
      <c r="D126" s="599" t="s">
        <v>152</v>
      </c>
      <c r="E126" s="554">
        <f>'26'!F126</f>
        <v>58247</v>
      </c>
      <c r="F126" s="703">
        <v>58268</v>
      </c>
      <c r="G126" s="549">
        <f t="shared" si="14"/>
        <v>21</v>
      </c>
      <c r="H126" s="536">
        <f>G126+'26'!H126</f>
        <v>887</v>
      </c>
      <c r="I126" s="602"/>
      <c r="J126" s="629">
        <f>H126/DAY(B2)</f>
        <v>32.851851851851855</v>
      </c>
      <c r="K126" s="411"/>
      <c r="L126" s="408"/>
      <c r="N126" s="413"/>
    </row>
    <row r="127" spans="1:14" ht="27.75">
      <c r="A127" s="686" t="s">
        <v>246</v>
      </c>
      <c r="B127" s="1253"/>
      <c r="C127" s="1253"/>
      <c r="D127" s="599" t="s">
        <v>152</v>
      </c>
      <c r="E127" s="554">
        <f>'26'!F127</f>
        <v>8800</v>
      </c>
      <c r="F127" s="703">
        <v>8803</v>
      </c>
      <c r="G127" s="549">
        <f t="shared" si="14"/>
        <v>3</v>
      </c>
      <c r="H127" s="536">
        <f>G127+'26'!H127</f>
        <v>97</v>
      </c>
      <c r="I127" s="556"/>
      <c r="J127" s="629">
        <f>H127/DAY(B2)</f>
        <v>3.5925925925925926</v>
      </c>
      <c r="K127" s="411"/>
      <c r="L127" s="408"/>
      <c r="N127" s="413"/>
    </row>
    <row r="128" spans="1:14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508.88999999995576</v>
      </c>
      <c r="H128" s="536">
        <f>G128+'26'!H128</f>
        <v>6379.1400000000667</v>
      </c>
      <c r="I128" s="556"/>
      <c r="J128" s="629">
        <f>H128/DAY(B2)</f>
        <v>236.26444444444692</v>
      </c>
      <c r="K128" s="391"/>
      <c r="L128" s="293"/>
      <c r="N128" s="413"/>
    </row>
    <row r="129" spans="1:14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>
      <c r="A130" s="1252" t="s">
        <v>249</v>
      </c>
      <c r="B130" s="1253"/>
      <c r="C130" s="1253"/>
      <c r="D130" s="599" t="s">
        <v>250</v>
      </c>
      <c r="E130" s="560">
        <f>'26'!F130</f>
        <v>0</v>
      </c>
      <c r="F130" s="554">
        <v>0</v>
      </c>
      <c r="G130" s="549">
        <f t="shared" ref="G130:G140" si="15">F130-E130</f>
        <v>0</v>
      </c>
      <c r="H130" s="536">
        <f>G130+'26'!H130</f>
        <v>0</v>
      </c>
      <c r="I130" s="556"/>
      <c r="J130" s="629">
        <f>H130/DAY(B2)</f>
        <v>0</v>
      </c>
      <c r="N130" s="413"/>
    </row>
    <row r="131" spans="1:14" ht="27.75">
      <c r="A131" s="1252" t="s">
        <v>251</v>
      </c>
      <c r="B131" s="1253"/>
      <c r="C131" s="1253"/>
      <c r="D131" s="599" t="s">
        <v>250</v>
      </c>
      <c r="E131" s="560">
        <f>'26'!F131</f>
        <v>0</v>
      </c>
      <c r="F131" s="554">
        <v>0</v>
      </c>
      <c r="G131" s="549">
        <f t="shared" si="15"/>
        <v>0</v>
      </c>
      <c r="H131" s="536">
        <f>G131+'26'!H131</f>
        <v>0</v>
      </c>
      <c r="I131" s="556"/>
      <c r="J131" s="629">
        <f>H131/DAY(B2)</f>
        <v>0</v>
      </c>
      <c r="N131" s="413"/>
    </row>
    <row r="132" spans="1:14" ht="27.75">
      <c r="A132" s="1252" t="s">
        <v>252</v>
      </c>
      <c r="B132" s="1253"/>
      <c r="C132" s="1253"/>
      <c r="D132" s="599" t="s">
        <v>250</v>
      </c>
      <c r="E132" s="560">
        <f>'26'!F132</f>
        <v>38984.400000000001</v>
      </c>
      <c r="F132" s="561">
        <v>39008.67</v>
      </c>
      <c r="G132" s="549">
        <f t="shared" si="15"/>
        <v>24.269999999996799</v>
      </c>
      <c r="H132" s="536">
        <f>G132+'26'!H132</f>
        <v>179.18999999999505</v>
      </c>
      <c r="I132" s="556"/>
      <c r="J132" s="629">
        <f>H132/DAY(B2)</f>
        <v>6.6366666666664837</v>
      </c>
      <c r="N132" s="413"/>
    </row>
    <row r="133" spans="1:14" ht="27.75">
      <c r="A133" s="1252" t="s">
        <v>253</v>
      </c>
      <c r="B133" s="1253"/>
      <c r="C133" s="1253"/>
      <c r="D133" s="599" t="s">
        <v>250</v>
      </c>
      <c r="E133" s="560">
        <f>'26'!F133</f>
        <v>299</v>
      </c>
      <c r="F133" s="732">
        <v>299</v>
      </c>
      <c r="G133" s="549">
        <f t="shared" si="15"/>
        <v>0</v>
      </c>
      <c r="H133" s="536">
        <f>G133+'26'!H133</f>
        <v>0</v>
      </c>
      <c r="I133" s="556">
        <f>G130+G131+G132+G133</f>
        <v>24.269999999996799</v>
      </c>
      <c r="J133" s="629">
        <f>H133/DAY(B2)</f>
        <v>0</v>
      </c>
      <c r="N133" s="413"/>
    </row>
    <row r="134" spans="1:14" ht="27.75">
      <c r="A134" s="1252" t="s">
        <v>254</v>
      </c>
      <c r="B134" s="1253"/>
      <c r="C134" s="1253"/>
      <c r="D134" s="599" t="s">
        <v>250</v>
      </c>
      <c r="E134" s="560">
        <f>'26'!F134</f>
        <v>39951</v>
      </c>
      <c r="F134" s="561">
        <v>39951</v>
      </c>
      <c r="G134" s="549">
        <f t="shared" si="15"/>
        <v>0</v>
      </c>
      <c r="H134" s="536">
        <f>G134+'26'!H134</f>
        <v>23.94999999999709</v>
      </c>
      <c r="I134" s="556"/>
      <c r="J134" s="629">
        <f>H134/DAY(B2)</f>
        <v>0.88703703703692927</v>
      </c>
      <c r="N134" s="413"/>
    </row>
    <row r="135" spans="1:14" ht="27.75">
      <c r="A135" s="1252" t="s">
        <v>255</v>
      </c>
      <c r="B135" s="1253"/>
      <c r="C135" s="1253"/>
      <c r="D135" s="599" t="s">
        <v>250</v>
      </c>
      <c r="E135" s="560">
        <f>'26'!F135</f>
        <v>32423</v>
      </c>
      <c r="F135" s="561">
        <v>32423</v>
      </c>
      <c r="G135" s="549">
        <f t="shared" si="15"/>
        <v>0</v>
      </c>
      <c r="H135" s="536">
        <f>G135+'26'!H135</f>
        <v>13</v>
      </c>
      <c r="I135" s="556"/>
      <c r="J135" s="629">
        <f>H135/DAY(B2)</f>
        <v>0.48148148148148145</v>
      </c>
      <c r="N135" s="413"/>
    </row>
    <row r="136" spans="1:14" ht="27.75">
      <c r="A136" s="1252" t="s">
        <v>256</v>
      </c>
      <c r="B136" s="1253"/>
      <c r="C136" s="1253"/>
      <c r="D136" s="599" t="s">
        <v>250</v>
      </c>
      <c r="E136" s="560">
        <f>'26'!F136</f>
        <v>21970.38</v>
      </c>
      <c r="F136" s="561">
        <v>21979.81</v>
      </c>
      <c r="G136" s="549">
        <f t="shared" si="15"/>
        <v>9.430000000000291</v>
      </c>
      <c r="H136" s="536">
        <f>G136+'26'!H136</f>
        <v>178.11000000000058</v>
      </c>
      <c r="I136" s="556">
        <f>G134+G135+G136</f>
        <v>9.430000000000291</v>
      </c>
      <c r="J136" s="629">
        <f>H136/DAY(B2)</f>
        <v>6.596666666666688</v>
      </c>
      <c r="N136" s="413"/>
    </row>
    <row r="137" spans="1:14" ht="27.75">
      <c r="A137" s="1252" t="s">
        <v>257</v>
      </c>
      <c r="B137" s="1253"/>
      <c r="C137" s="1253"/>
      <c r="D137" s="599" t="s">
        <v>250</v>
      </c>
      <c r="E137" s="560">
        <f>'26'!F137</f>
        <v>25019.94</v>
      </c>
      <c r="F137" s="732">
        <v>25019.94</v>
      </c>
      <c r="G137" s="549">
        <f t="shared" si="15"/>
        <v>0</v>
      </c>
      <c r="H137" s="536">
        <f>G137+'26'!H137</f>
        <v>8</v>
      </c>
      <c r="I137" s="556"/>
      <c r="J137" s="629">
        <f>H137/DAY(B2)</f>
        <v>0.29629629629629628</v>
      </c>
      <c r="N137" s="413"/>
    </row>
    <row r="138" spans="1:14" ht="27.75">
      <c r="A138" s="1252" t="s">
        <v>258</v>
      </c>
      <c r="B138" s="1253"/>
      <c r="C138" s="1253"/>
      <c r="D138" s="599" t="s">
        <v>250</v>
      </c>
      <c r="E138" s="560">
        <f>'26'!F138</f>
        <v>70059.78</v>
      </c>
      <c r="F138" s="561">
        <v>70059.78</v>
      </c>
      <c r="G138" s="549">
        <f t="shared" si="15"/>
        <v>0</v>
      </c>
      <c r="H138" s="536">
        <f>G138+'26'!H138</f>
        <v>16.979999999995925</v>
      </c>
      <c r="I138" s="556">
        <f>G137+G138</f>
        <v>0</v>
      </c>
      <c r="J138" s="629">
        <f>H138/DAY(B2)</f>
        <v>0.62888888888873795</v>
      </c>
      <c r="N138" s="413"/>
    </row>
    <row r="139" spans="1:14" ht="27.75">
      <c r="A139" s="1252" t="s">
        <v>259</v>
      </c>
      <c r="B139" s="1253"/>
      <c r="C139" s="1253"/>
      <c r="D139" s="599" t="s">
        <v>250</v>
      </c>
      <c r="E139" s="560">
        <f>'26'!F139</f>
        <v>1162.04</v>
      </c>
      <c r="F139" s="561">
        <v>1169.32</v>
      </c>
      <c r="G139" s="549">
        <f t="shared" si="15"/>
        <v>7.2799999999999727</v>
      </c>
      <c r="H139" s="536">
        <f>G139+'26'!H139</f>
        <v>106.31999999999994</v>
      </c>
      <c r="I139" s="619"/>
      <c r="J139" s="629">
        <f>H139/DAY(B2)</f>
        <v>3.9377777777777756</v>
      </c>
      <c r="N139" s="413"/>
    </row>
    <row r="140" spans="1:14" ht="27.75">
      <c r="A140" s="1252" t="s">
        <v>260</v>
      </c>
      <c r="B140" s="1253"/>
      <c r="C140" s="1253"/>
      <c r="D140" s="599" t="s">
        <v>250</v>
      </c>
      <c r="E140" s="560">
        <f>'26'!F140</f>
        <v>4333.53</v>
      </c>
      <c r="F140" s="554">
        <v>4333.53</v>
      </c>
      <c r="G140" s="549">
        <f t="shared" si="15"/>
        <v>0</v>
      </c>
      <c r="H140" s="536">
        <f>G140+'26'!H140</f>
        <v>101.11999999999989</v>
      </c>
      <c r="I140" s="619"/>
      <c r="J140" s="629">
        <f>H140/DAY(B2)</f>
        <v>3.7451851851851812</v>
      </c>
      <c r="N140" s="413"/>
    </row>
    <row r="141" spans="1:14">
      <c r="A141" s="1397" t="s">
        <v>261</v>
      </c>
      <c r="B141" s="1398"/>
      <c r="C141" s="1258"/>
      <c r="D141" s="548"/>
      <c r="E141" s="548"/>
      <c r="F141" s="548" t="s">
        <v>226</v>
      </c>
      <c r="G141" s="559"/>
      <c r="H141" s="559"/>
      <c r="I141" s="559"/>
      <c r="J141" s="640"/>
      <c r="K141" s="411"/>
      <c r="L141" s="408"/>
      <c r="N141" s="413"/>
    </row>
    <row r="142" spans="1:14" ht="27.75">
      <c r="A142" s="1388" t="s">
        <v>262</v>
      </c>
      <c r="B142" s="1389"/>
      <c r="C142" s="1390"/>
      <c r="D142" s="599" t="s">
        <v>143</v>
      </c>
      <c r="E142" s="599"/>
      <c r="F142" s="599"/>
      <c r="G142" s="536">
        <f>G35+G43+G49+G57</f>
        <v>5507.5499999999884</v>
      </c>
      <c r="H142" s="536">
        <f>G142+'26'!H142</f>
        <v>141686.51999999993</v>
      </c>
      <c r="I142" s="556"/>
      <c r="J142" s="629">
        <f>H142/DAY(B2)</f>
        <v>5247.6488888888862</v>
      </c>
      <c r="K142" s="411"/>
      <c r="L142" s="408"/>
      <c r="N142" s="413"/>
    </row>
    <row r="143" spans="1:14" ht="27.75">
      <c r="A143" s="1388" t="s">
        <v>263</v>
      </c>
      <c r="B143" s="1389"/>
      <c r="C143" s="1390"/>
      <c r="D143" s="599" t="s">
        <v>24</v>
      </c>
      <c r="E143" s="587"/>
      <c r="F143" s="587"/>
      <c r="G143" s="620">
        <f>G142/G7</f>
        <v>0.2939554867634494</v>
      </c>
      <c r="H143" s="536">
        <f>G143+'26'!H143</f>
        <v>7.1056155694641685</v>
      </c>
      <c r="I143" s="621"/>
      <c r="J143" s="629">
        <f>H143/DAY(B2)</f>
        <v>0.2631709470171914</v>
      </c>
      <c r="K143" s="411"/>
      <c r="L143" s="408"/>
      <c r="N143" s="413"/>
    </row>
    <row r="144" spans="1:14" ht="27.75">
      <c r="A144" s="1388" t="s">
        <v>264</v>
      </c>
      <c r="B144" s="1389"/>
      <c r="C144" s="1390"/>
      <c r="D144" s="599" t="s">
        <v>143</v>
      </c>
      <c r="E144" s="531"/>
      <c r="F144" s="531"/>
      <c r="G144" s="536">
        <f>G41+G42+G55+G56</f>
        <v>3663.5099999999984</v>
      </c>
      <c r="H144" s="536">
        <f>G144+'26'!H144</f>
        <v>113601.62000000002</v>
      </c>
      <c r="I144" s="556"/>
      <c r="J144" s="629">
        <f>H144/DAY(B2)</f>
        <v>4207.4674074074082</v>
      </c>
      <c r="K144" s="411"/>
      <c r="L144" s="408"/>
      <c r="N144" s="413"/>
    </row>
    <row r="145" spans="1:14" ht="27.75">
      <c r="A145" s="1388" t="s">
        <v>265</v>
      </c>
      <c r="B145" s="1389"/>
      <c r="C145" s="1390"/>
      <c r="D145" s="599" t="s">
        <v>24</v>
      </c>
      <c r="E145" s="531"/>
      <c r="F145" s="531"/>
      <c r="G145" s="620">
        <f>G144/G7</f>
        <v>0.1955331981212638</v>
      </c>
      <c r="H145" s="536">
        <f>G145+'26'!H145</f>
        <v>5.8180822104625616</v>
      </c>
      <c r="I145" s="621"/>
      <c r="J145" s="629">
        <f>H145/DAY(B2)</f>
        <v>0.21548452631342821</v>
      </c>
      <c r="K145" s="411"/>
      <c r="L145" s="408"/>
      <c r="N145" s="413"/>
    </row>
    <row r="146" spans="1:14" ht="27.75">
      <c r="A146" s="1388" t="s">
        <v>266</v>
      </c>
      <c r="B146" s="1389"/>
      <c r="C146" s="1390"/>
      <c r="D146" s="599" t="s">
        <v>143</v>
      </c>
      <c r="E146" s="531"/>
      <c r="F146" s="531"/>
      <c r="G146" s="536">
        <f>G39+G53</f>
        <v>4080.1500000000233</v>
      </c>
      <c r="H146" s="536">
        <f>G146+'26'!H146</f>
        <v>110972.03</v>
      </c>
      <c r="I146" s="622"/>
      <c r="J146" s="629">
        <f>H146/DAY(B2)</f>
        <v>4110.0751851851855</v>
      </c>
      <c r="K146" s="411"/>
      <c r="L146" s="408"/>
      <c r="N146" s="413"/>
    </row>
    <row r="147" spans="1:14" ht="27.75">
      <c r="A147" s="1388" t="s">
        <v>267</v>
      </c>
      <c r="B147" s="1389"/>
      <c r="C147" s="1390"/>
      <c r="D147" s="599" t="s">
        <v>24</v>
      </c>
      <c r="E147" s="531"/>
      <c r="F147" s="531"/>
      <c r="G147" s="620">
        <f>G146/G7</f>
        <v>0.21777060204953155</v>
      </c>
      <c r="H147" s="536">
        <f>G147+'26'!H147</f>
        <v>5.6973826629644684</v>
      </c>
      <c r="I147" s="622"/>
      <c r="J147" s="629">
        <f>H147/DAY(B2)</f>
        <v>0.21101417270238773</v>
      </c>
      <c r="N147" s="413"/>
    </row>
    <row r="148" spans="1:14" ht="27.75">
      <c r="A148" s="1388" t="s">
        <v>268</v>
      </c>
      <c r="B148" s="1389"/>
      <c r="C148" s="1390"/>
      <c r="D148" s="599" t="s">
        <v>194</v>
      </c>
      <c r="E148" s="531"/>
      <c r="F148" s="531"/>
      <c r="G148" s="536">
        <f>G38+G52</f>
        <v>1764.1599999999744</v>
      </c>
      <c r="H148" s="536">
        <f>G148+'26'!H148</f>
        <v>52933.159999999974</v>
      </c>
      <c r="I148" s="556"/>
      <c r="J148" s="629">
        <f>H148/DAY(B2)</f>
        <v>1960.4874074074064</v>
      </c>
      <c r="K148" s="412"/>
      <c r="N148" s="413"/>
    </row>
    <row r="149" spans="1:14" ht="27.75">
      <c r="A149" s="1388" t="s">
        <v>269</v>
      </c>
      <c r="B149" s="1389"/>
      <c r="C149" s="1390"/>
      <c r="D149" s="599" t="s">
        <v>24</v>
      </c>
      <c r="E149" s="531"/>
      <c r="F149" s="531"/>
      <c r="G149" s="620">
        <f>G148/G7</f>
        <v>9.4158838599486247E-2</v>
      </c>
      <c r="H149" s="536">
        <f>G149+'26'!H149</f>
        <v>2.7182558015196499</v>
      </c>
      <c r="I149" s="622"/>
      <c r="J149" s="629">
        <f>H149/DAY(B2)</f>
        <v>0.10067614079702407</v>
      </c>
      <c r="N149" s="413"/>
    </row>
    <row r="150" spans="1:14" ht="27.75">
      <c r="A150" s="1388" t="s">
        <v>270</v>
      </c>
      <c r="B150" s="1389"/>
      <c r="C150" s="1390"/>
      <c r="D150" s="599" t="s">
        <v>194</v>
      </c>
      <c r="E150" s="531"/>
      <c r="F150" s="531"/>
      <c r="G150" s="536">
        <f>G36+G50</f>
        <v>1654.0199999999604</v>
      </c>
      <c r="H150" s="536">
        <f>G150+'26'!H150</f>
        <v>47969.229999999981</v>
      </c>
      <c r="I150" s="622"/>
      <c r="J150" s="629">
        <f>H150/DAY(B2)</f>
        <v>1776.6381481481474</v>
      </c>
      <c r="N150" s="413"/>
    </row>
    <row r="151" spans="1:14" ht="27.75">
      <c r="A151" s="1388" t="s">
        <v>271</v>
      </c>
      <c r="B151" s="1389"/>
      <c r="C151" s="1390"/>
      <c r="D151" s="599" t="s">
        <v>24</v>
      </c>
      <c r="E151" s="531"/>
      <c r="F151" s="531"/>
      <c r="G151" s="620">
        <f>G150/G7</f>
        <v>8.8280315969254938E-2</v>
      </c>
      <c r="H151" s="536">
        <f>G151+'26'!H151</f>
        <v>2.4637914817257358</v>
      </c>
      <c r="I151" s="556"/>
      <c r="J151" s="629">
        <f>H151/DAY(B2)</f>
        <v>9.1251536360212437E-2</v>
      </c>
      <c r="N151" s="413"/>
    </row>
    <row r="152" spans="1:14" ht="27.75">
      <c r="A152" s="1388" t="s">
        <v>272</v>
      </c>
      <c r="B152" s="1389"/>
      <c r="C152" s="1390"/>
      <c r="D152" s="599" t="s">
        <v>194</v>
      </c>
      <c r="E152" s="531"/>
      <c r="F152" s="531"/>
      <c r="G152" s="536">
        <f>G37+G51</f>
        <v>1436.5399999999936</v>
      </c>
      <c r="H152" s="536">
        <f>G152+'26'!H152</f>
        <v>39319.429999999993</v>
      </c>
      <c r="I152" s="556"/>
      <c r="J152" s="629">
        <f>H152/DAY(B2)</f>
        <v>1456.2751851851849</v>
      </c>
      <c r="N152" s="413"/>
    </row>
    <row r="153" spans="1:14" ht="28.5" thickBot="1">
      <c r="A153" s="1394" t="s">
        <v>273</v>
      </c>
      <c r="B153" s="1395"/>
      <c r="C153" s="1396"/>
      <c r="D153" s="702" t="s">
        <v>24</v>
      </c>
      <c r="E153" s="642"/>
      <c r="F153" s="642"/>
      <c r="G153" s="643">
        <f>G152/G7</f>
        <v>7.6672715627668322E-2</v>
      </c>
      <c r="H153" s="536">
        <f>G153+'26'!H153</f>
        <v>2.0191898423965799</v>
      </c>
      <c r="I153" s="645"/>
      <c r="J153" s="646">
        <f>H153/DAY(B2)</f>
        <v>7.4784808977651107E-2</v>
      </c>
      <c r="N153" s="413"/>
    </row>
    <row r="154" spans="1:14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60" spans="1:14">
      <c r="A160" s="889" t="s">
        <v>274</v>
      </c>
      <c r="B160" s="890"/>
      <c r="C160" s="890"/>
      <c r="D160" s="587" t="s">
        <v>198</v>
      </c>
      <c r="E160" s="618">
        <f>'26'!F160</f>
        <v>28023.95</v>
      </c>
      <c r="F160" s="739">
        <v>28105.57</v>
      </c>
      <c r="G160" s="549">
        <f t="shared" ref="G160:G163" si="16">F160-E160</f>
        <v>81.619999999998981</v>
      </c>
    </row>
    <row r="161" spans="1:7">
      <c r="A161" s="889" t="s">
        <v>275</v>
      </c>
      <c r="B161" s="890"/>
      <c r="C161" s="890"/>
      <c r="D161" s="587" t="s">
        <v>198</v>
      </c>
      <c r="E161" s="618">
        <f>'26'!F161</f>
        <v>40378</v>
      </c>
      <c r="F161" s="739">
        <v>40826.79</v>
      </c>
      <c r="G161" s="549">
        <f t="shared" si="16"/>
        <v>448.79000000000087</v>
      </c>
    </row>
    <row r="162" spans="1:7">
      <c r="A162" s="889" t="s">
        <v>276</v>
      </c>
      <c r="B162" s="890"/>
      <c r="C162" s="890"/>
      <c r="D162" s="587" t="s">
        <v>198</v>
      </c>
      <c r="E162" s="618">
        <f>'26'!F162</f>
        <v>11645</v>
      </c>
      <c r="F162" s="739">
        <v>11859.34</v>
      </c>
      <c r="G162" s="549">
        <f t="shared" si="16"/>
        <v>214.34000000000015</v>
      </c>
    </row>
    <row r="163" spans="1:7">
      <c r="A163" s="889" t="s">
        <v>277</v>
      </c>
      <c r="B163" s="890"/>
      <c r="C163" s="890"/>
      <c r="D163" s="587" t="s">
        <v>198</v>
      </c>
      <c r="E163" s="618">
        <f>'26'!F163</f>
        <v>4903.9799999999996</v>
      </c>
      <c r="F163" s="739">
        <v>4929.76</v>
      </c>
      <c r="G163" s="549">
        <f t="shared" si="16"/>
        <v>25.780000000000655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:E171" si="18">E63</f>
        <v>1273.71</v>
      </c>
      <c r="F165" s="590">
        <f t="shared" ref="F165:F171" si="19">F63</f>
        <v>1283</v>
      </c>
      <c r="G165" s="549">
        <f t="shared" si="17"/>
        <v>9.2899999999999636</v>
      </c>
    </row>
    <row r="166" spans="1:7" ht="27.75">
      <c r="A166" s="1363" t="s">
        <v>107</v>
      </c>
      <c r="B166" s="1363"/>
      <c r="C166" s="1363"/>
      <c r="D166" s="599" t="s">
        <v>198</v>
      </c>
      <c r="E166" s="590">
        <f t="shared" si="18"/>
        <v>109117</v>
      </c>
      <c r="F166" s="590">
        <f t="shared" si="19"/>
        <v>109552.79</v>
      </c>
      <c r="G166" s="549">
        <f t="shared" si="17"/>
        <v>435.7899999999936</v>
      </c>
    </row>
    <row r="167" spans="1:7" ht="27.75">
      <c r="A167" s="1363" t="s">
        <v>108</v>
      </c>
      <c r="B167" s="1363"/>
      <c r="C167" s="1363"/>
      <c r="D167" s="599" t="s">
        <v>198</v>
      </c>
      <c r="E167" s="590">
        <f t="shared" si="18"/>
        <v>119779.76</v>
      </c>
      <c r="F167" s="590">
        <f t="shared" si="19"/>
        <v>120175</v>
      </c>
      <c r="G167" s="549">
        <f t="shared" si="17"/>
        <v>395.24000000000524</v>
      </c>
    </row>
    <row r="168" spans="1:7" ht="27.75">
      <c r="A168" s="1363" t="s">
        <v>109</v>
      </c>
      <c r="B168" s="1363"/>
      <c r="C168" s="1363"/>
      <c r="D168" s="599" t="s">
        <v>198</v>
      </c>
      <c r="E168" s="590">
        <f t="shared" si="18"/>
        <v>12070.5</v>
      </c>
      <c r="F168" s="590">
        <f t="shared" si="19"/>
        <v>12487.61</v>
      </c>
      <c r="G168" s="549">
        <f t="shared" si="17"/>
        <v>417.11000000000058</v>
      </c>
    </row>
    <row r="169" spans="1:7" ht="27.75">
      <c r="A169" s="1363" t="s">
        <v>110</v>
      </c>
      <c r="B169" s="1363"/>
      <c r="C169" s="1363"/>
      <c r="D169" s="599" t="s">
        <v>198</v>
      </c>
      <c r="E169" s="590">
        <f t="shared" si="18"/>
        <v>185312.69</v>
      </c>
      <c r="F169" s="590">
        <f t="shared" si="19"/>
        <v>185945</v>
      </c>
      <c r="G169" s="549">
        <f t="shared" si="17"/>
        <v>632.30999999999767</v>
      </c>
    </row>
    <row r="170" spans="1:7" ht="27.75">
      <c r="A170" s="1363" t="s">
        <v>111</v>
      </c>
      <c r="B170" s="1363"/>
      <c r="C170" s="1363"/>
      <c r="D170" s="599" t="s">
        <v>198</v>
      </c>
      <c r="E170" s="590">
        <f t="shared" si="18"/>
        <v>61723.94</v>
      </c>
      <c r="F170" s="590">
        <f t="shared" si="19"/>
        <v>62030</v>
      </c>
      <c r="G170" s="549">
        <f t="shared" si="17"/>
        <v>306.05999999999767</v>
      </c>
    </row>
    <row r="171" spans="1:7" ht="27.75">
      <c r="A171" s="1363" t="s">
        <v>112</v>
      </c>
      <c r="B171" s="1363"/>
      <c r="C171" s="1363"/>
      <c r="D171" s="599" t="s">
        <v>198</v>
      </c>
      <c r="E171" s="590">
        <f t="shared" si="18"/>
        <v>54165</v>
      </c>
      <c r="F171" s="590">
        <f t="shared" si="19"/>
        <v>54472.81</v>
      </c>
      <c r="G171" s="549">
        <f t="shared" si="17"/>
        <v>307.80999999999767</v>
      </c>
    </row>
    <row r="172" spans="1:7">
      <c r="G172" s="616">
        <f>SUM(G160:G171)</f>
        <v>3274.1399999999931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172"/>
  <sheetViews>
    <sheetView view="pageBreakPreview" zoomScale="55" zoomScaleNormal="80" zoomScaleSheetLayoutView="55" workbookViewId="0">
      <selection activeCell="F89" sqref="F89"/>
    </sheetView>
  </sheetViews>
  <sheetFormatPr defaultColWidth="22.33203125" defaultRowHeight="29.25"/>
  <cols>
    <col min="1" max="1" width="51.21875" style="530" customWidth="1"/>
    <col min="2" max="2" width="25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56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1211" customWidth="1"/>
    <col min="15" max="17" width="22.33203125" style="870"/>
    <col min="18" max="16384" width="22.33203125" style="407"/>
  </cols>
  <sheetData>
    <row r="1" spans="1:17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7" s="281" customFormat="1" ht="27">
      <c r="A2" s="652" t="s">
        <v>344</v>
      </c>
      <c r="B2" s="912">
        <v>43858</v>
      </c>
      <c r="C2" s="1254" t="s">
        <v>69</v>
      </c>
      <c r="D2" s="688">
        <v>0.52</v>
      </c>
      <c r="E2" s="836"/>
      <c r="F2" s="836"/>
      <c r="G2" s="537" t="s">
        <v>129</v>
      </c>
      <c r="H2" s="537" t="s">
        <v>6</v>
      </c>
      <c r="I2" s="537" t="s">
        <v>8</v>
      </c>
      <c r="J2" s="690" t="s">
        <v>130</v>
      </c>
      <c r="N2" s="1211"/>
      <c r="O2" s="870"/>
      <c r="P2" s="870"/>
      <c r="Q2" s="870"/>
    </row>
    <row r="3" spans="1:17" s="281" customFormat="1" ht="27">
      <c r="A3" s="647"/>
      <c r="B3" s="691"/>
      <c r="C3" s="1254" t="s">
        <v>131</v>
      </c>
      <c r="D3" s="689">
        <v>23</v>
      </c>
      <c r="E3" s="1408" t="s">
        <v>132</v>
      </c>
      <c r="F3" s="1409"/>
      <c r="G3" s="538"/>
      <c r="H3" s="539"/>
      <c r="I3" s="539"/>
      <c r="J3" s="692"/>
      <c r="K3" s="402"/>
      <c r="L3" s="293"/>
      <c r="N3" s="1211"/>
      <c r="O3" s="870"/>
      <c r="P3" s="870"/>
      <c r="Q3" s="870"/>
    </row>
    <row r="4" spans="1:17" s="281" customFormat="1" ht="27">
      <c r="A4" s="653"/>
      <c r="B4" s="693"/>
      <c r="C4" s="1254" t="s">
        <v>133</v>
      </c>
      <c r="D4" s="688">
        <v>0.77</v>
      </c>
      <c r="E4" s="539"/>
      <c r="F4" s="539"/>
      <c r="G4" s="540"/>
      <c r="H4" s="540"/>
      <c r="I4" s="541"/>
      <c r="J4" s="692"/>
      <c r="K4" s="403"/>
      <c r="L4" s="293"/>
      <c r="N4" s="1211"/>
      <c r="O4" s="870"/>
      <c r="P4" s="872"/>
      <c r="Q4" s="870"/>
    </row>
    <row r="5" spans="1:17">
      <c r="A5" s="654" t="s">
        <v>134</v>
      </c>
      <c r="B5" s="535"/>
      <c r="C5" s="535"/>
      <c r="D5" s="587" t="s">
        <v>135</v>
      </c>
      <c r="E5" s="590" t="s">
        <v>136</v>
      </c>
      <c r="F5" s="590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P5" s="872"/>
    </row>
    <row r="6" spans="1:17">
      <c r="A6" s="1402" t="s">
        <v>141</v>
      </c>
      <c r="B6" s="1403"/>
      <c r="C6" s="1404"/>
      <c r="D6" s="547"/>
      <c r="E6" s="571"/>
      <c r="F6" s="571"/>
      <c r="G6" s="547"/>
      <c r="H6" s="548"/>
      <c r="I6" s="548"/>
      <c r="J6" s="628"/>
      <c r="K6" s="466"/>
      <c r="L6" s="408"/>
      <c r="M6" s="407">
        <v>1691553</v>
      </c>
    </row>
    <row r="7" spans="1:17" ht="30" thickBot="1">
      <c r="A7" s="757" t="s">
        <v>142</v>
      </c>
      <c r="B7" s="758"/>
      <c r="C7" s="758"/>
      <c r="D7" s="715" t="s">
        <v>143</v>
      </c>
      <c r="E7" s="760">
        <f>'27'!F7</f>
        <v>3812715</v>
      </c>
      <c r="F7" s="536">
        <v>3832072</v>
      </c>
      <c r="G7" s="759">
        <f>F7-E7</f>
        <v>19357</v>
      </c>
      <c r="H7" s="760">
        <f>G7+'27'!H7</f>
        <v>545632</v>
      </c>
      <c r="I7" s="761">
        <f>'1'!I7</f>
        <v>12000</v>
      </c>
      <c r="J7" s="762">
        <f>H7/DAY(B2)</f>
        <v>19486.857142857141</v>
      </c>
      <c r="K7" s="626"/>
      <c r="L7" s="408"/>
      <c r="N7" s="1212">
        <f>F7-'1'!E7</f>
        <v>545632</v>
      </c>
    </row>
    <row r="8" spans="1:17" ht="27.75" thickBot="1">
      <c r="A8" s="763" t="s">
        <v>144</v>
      </c>
      <c r="B8" s="764"/>
      <c r="C8" s="765"/>
      <c r="D8" s="766" t="s">
        <v>25</v>
      </c>
      <c r="E8" s="760">
        <f>'27'!F8</f>
        <v>3836612</v>
      </c>
      <c r="F8" s="837">
        <v>3856131</v>
      </c>
      <c r="G8" s="770">
        <f>F8-E8</f>
        <v>19519</v>
      </c>
      <c r="H8" s="760">
        <f>G8+'27'!H8</f>
        <v>549759</v>
      </c>
      <c r="I8" s="767">
        <f>'1'!I8</f>
        <v>12000</v>
      </c>
      <c r="J8" s="762">
        <f>H8/DAY(B2)</f>
        <v>19634.25</v>
      </c>
      <c r="K8" s="626"/>
      <c r="L8" s="464">
        <v>1375467</v>
      </c>
      <c r="M8" s="479">
        <v>1703438</v>
      </c>
      <c r="N8" s="1212">
        <f>F8-'1'!E8</f>
        <v>549759</v>
      </c>
    </row>
    <row r="9" spans="1:17">
      <c r="A9" s="768" t="s">
        <v>145</v>
      </c>
      <c r="B9" s="769"/>
      <c r="C9" s="769"/>
      <c r="D9" s="715" t="s">
        <v>143</v>
      </c>
      <c r="E9" s="760">
        <f>'27'!F9</f>
        <v>2510077</v>
      </c>
      <c r="F9" s="838">
        <v>2516698.5</v>
      </c>
      <c r="G9" s="783">
        <f t="shared" ref="G9:G12" si="0">F9-E9</f>
        <v>6621.5</v>
      </c>
      <c r="H9" s="760">
        <f>G9+'27'!H9</f>
        <v>111483.5</v>
      </c>
      <c r="I9" s="771">
        <f>I8-J8</f>
        <v>-7634.25</v>
      </c>
      <c r="J9" s="762">
        <f>H9/DAY(B2)</f>
        <v>3981.5535714285716</v>
      </c>
      <c r="K9" s="467"/>
      <c r="L9" s="408"/>
      <c r="N9" s="1212">
        <f>F9-'1'!E9</f>
        <v>111483.5</v>
      </c>
    </row>
    <row r="10" spans="1:17">
      <c r="A10" s="757" t="s">
        <v>146</v>
      </c>
      <c r="B10" s="758"/>
      <c r="C10" s="758"/>
      <c r="D10" s="715" t="s">
        <v>143</v>
      </c>
      <c r="E10" s="760">
        <f>'27'!F10</f>
        <v>1153011</v>
      </c>
      <c r="F10" s="838">
        <v>1165093.3999999999</v>
      </c>
      <c r="G10" s="770">
        <f t="shared" si="0"/>
        <v>12082.399999999907</v>
      </c>
      <c r="H10" s="760">
        <f>G10+'27'!H10</f>
        <v>414571.48999999987</v>
      </c>
      <c r="I10" s="772"/>
      <c r="J10" s="762">
        <f>H10/DAY(B2)</f>
        <v>14806.124642857138</v>
      </c>
      <c r="K10" s="467"/>
      <c r="L10" s="408"/>
      <c r="M10" s="407">
        <f>170</f>
        <v>170</v>
      </c>
      <c r="N10" s="1212">
        <f>F10-'1'!E10</f>
        <v>414571.48999999987</v>
      </c>
    </row>
    <row r="11" spans="1:17">
      <c r="A11" s="757" t="s">
        <v>147</v>
      </c>
      <c r="B11" s="758"/>
      <c r="C11" s="758"/>
      <c r="D11" s="715" t="s">
        <v>143</v>
      </c>
      <c r="E11" s="760">
        <f>'27'!F11</f>
        <v>35390</v>
      </c>
      <c r="F11" s="536">
        <v>35390</v>
      </c>
      <c r="G11" s="770">
        <f t="shared" si="0"/>
        <v>0</v>
      </c>
      <c r="H11" s="760">
        <f>G11+'27'!H11</f>
        <v>0</v>
      </c>
      <c r="I11" s="772"/>
      <c r="J11" s="762">
        <f>H11/DAY(B2)</f>
        <v>0</v>
      </c>
      <c r="K11" s="467"/>
      <c r="L11" s="408"/>
      <c r="N11" s="1212">
        <f>F11-'1'!E11</f>
        <v>0</v>
      </c>
    </row>
    <row r="12" spans="1:17">
      <c r="A12" s="757" t="s">
        <v>148</v>
      </c>
      <c r="B12" s="758"/>
      <c r="C12" s="758"/>
      <c r="D12" s="715" t="s">
        <v>143</v>
      </c>
      <c r="E12" s="760">
        <f>'27'!F12</f>
        <v>37630</v>
      </c>
      <c r="F12" s="838">
        <v>37630</v>
      </c>
      <c r="G12" s="770">
        <f t="shared" si="0"/>
        <v>0</v>
      </c>
      <c r="H12" s="760">
        <f>G12+'27'!H12</f>
        <v>0</v>
      </c>
      <c r="I12" s="772"/>
      <c r="J12" s="762">
        <f>H12/DAY(B2)</f>
        <v>0</v>
      </c>
      <c r="K12" s="467"/>
      <c r="L12" s="408"/>
      <c r="N12" s="1212">
        <f>F12-'1'!E12</f>
        <v>0</v>
      </c>
    </row>
    <row r="13" spans="1:17">
      <c r="A13" s="773" t="s">
        <v>149</v>
      </c>
      <c r="B13" s="774"/>
      <c r="C13" s="774"/>
      <c r="D13" s="715"/>
      <c r="E13" s="760"/>
      <c r="F13" s="536"/>
      <c r="G13" s="775">
        <f>G9+G10+G11+G12</f>
        <v>18703.899999999907</v>
      </c>
      <c r="H13" s="760">
        <f>G13+'27'!H13</f>
        <v>506533.98999999987</v>
      </c>
      <c r="I13" s="776">
        <f>G7-G13</f>
        <v>653.10000000009313</v>
      </c>
      <c r="J13" s="762">
        <f>H13/DAY(B2)</f>
        <v>18090.499642857139</v>
      </c>
      <c r="K13" s="467"/>
      <c r="L13" s="408"/>
      <c r="N13" s="1212">
        <f>F13-'1'!E13</f>
        <v>0</v>
      </c>
    </row>
    <row r="14" spans="1:17">
      <c r="A14" s="1405" t="s">
        <v>150</v>
      </c>
      <c r="B14" s="1406"/>
      <c r="C14" s="1407"/>
      <c r="D14" s="548"/>
      <c r="E14" s="839"/>
      <c r="F14" s="839"/>
      <c r="G14" s="559"/>
      <c r="H14" s="548"/>
      <c r="I14" s="548"/>
      <c r="J14" s="628"/>
      <c r="K14" s="468"/>
      <c r="L14" s="408"/>
      <c r="N14" s="1212">
        <f>F14-'1'!E14</f>
        <v>0</v>
      </c>
    </row>
    <row r="15" spans="1:17">
      <c r="A15" s="746" t="s">
        <v>151</v>
      </c>
      <c r="B15" s="747"/>
      <c r="C15" s="747"/>
      <c r="D15" s="748" t="s">
        <v>152</v>
      </c>
      <c r="E15" s="857">
        <f>'27'!F15</f>
        <v>1591639.94</v>
      </c>
      <c r="F15" s="840">
        <v>1592074</v>
      </c>
      <c r="G15" s="745">
        <f>(F15-E15)</f>
        <v>434.06000000005588</v>
      </c>
      <c r="H15" s="1197">
        <f>G15+'27'!H15</f>
        <v>23159.899999999907</v>
      </c>
      <c r="I15" s="1198">
        <v>800</v>
      </c>
      <c r="J15" s="1199">
        <f>H15/DAY(B2)</f>
        <v>827.13928571428244</v>
      </c>
      <c r="K15" s="467"/>
      <c r="L15" s="408"/>
      <c r="N15" s="1212">
        <f>F15-'1'!E15</f>
        <v>23159.899999999907</v>
      </c>
    </row>
    <row r="16" spans="1:17">
      <c r="A16" s="754"/>
      <c r="B16" s="755"/>
      <c r="C16" s="755"/>
      <c r="D16" s="748"/>
      <c r="E16" s="857"/>
      <c r="F16" s="840"/>
      <c r="G16" s="750"/>
      <c r="H16" s="1197"/>
      <c r="I16" s="1200">
        <f>I15-J15</f>
        <v>-27.139285714282437</v>
      </c>
      <c r="J16" s="1199"/>
      <c r="K16" s="467"/>
      <c r="L16" s="408"/>
      <c r="N16" s="1212">
        <f>F16-'1'!E16</f>
        <v>0</v>
      </c>
    </row>
    <row r="17" spans="1:17">
      <c r="A17" s="1405" t="s">
        <v>153</v>
      </c>
      <c r="B17" s="1406"/>
      <c r="C17" s="1407"/>
      <c r="D17" s="548"/>
      <c r="E17" s="839"/>
      <c r="F17" s="839"/>
      <c r="G17" s="564"/>
      <c r="H17" s="548"/>
      <c r="I17" s="548"/>
      <c r="J17" s="628"/>
      <c r="K17" s="467"/>
      <c r="L17" s="408"/>
      <c r="N17" s="1212">
        <f>F17-'1'!E17</f>
        <v>0</v>
      </c>
    </row>
    <row r="18" spans="1:17" ht="27.75">
      <c r="A18" s="1431" t="s">
        <v>154</v>
      </c>
      <c r="B18" s="1432"/>
      <c r="C18" s="1433"/>
      <c r="D18" s="715" t="s">
        <v>155</v>
      </c>
      <c r="E18" s="858">
        <f>'27'!F18</f>
        <v>12</v>
      </c>
      <c r="F18" s="838">
        <v>12</v>
      </c>
      <c r="G18" s="775">
        <f>F18*10</f>
        <v>120</v>
      </c>
      <c r="H18" s="760">
        <f>G18+'27'!H18</f>
        <v>3390</v>
      </c>
      <c r="I18" s="761">
        <f>'1'!I18</f>
        <v>65</v>
      </c>
      <c r="J18" s="762">
        <f>H18/DAY(B2)</f>
        <v>121.07142857142857</v>
      </c>
      <c r="K18" s="467"/>
      <c r="L18" s="408"/>
      <c r="N18" s="1212">
        <f>F18-'1'!E18</f>
        <v>-1</v>
      </c>
    </row>
    <row r="19" spans="1:17" ht="27.75">
      <c r="A19" s="1431" t="s">
        <v>71</v>
      </c>
      <c r="B19" s="1432"/>
      <c r="C19" s="1433"/>
      <c r="D19" s="715" t="s">
        <v>155</v>
      </c>
      <c r="E19" s="858">
        <f>'27'!F19</f>
        <v>132839</v>
      </c>
      <c r="F19" s="838">
        <v>132892</v>
      </c>
      <c r="G19" s="770">
        <f t="shared" ref="G19" si="1">F19-E19</f>
        <v>53</v>
      </c>
      <c r="H19" s="760">
        <f>G19+'27'!H19</f>
        <v>1399</v>
      </c>
      <c r="I19" s="777"/>
      <c r="J19" s="762">
        <f>H19/DAY(B2)</f>
        <v>49.964285714285715</v>
      </c>
      <c r="K19" s="467"/>
      <c r="L19" s="408"/>
      <c r="N19" s="1212">
        <f>F19-'1'!E19</f>
        <v>1399</v>
      </c>
    </row>
    <row r="20" spans="1:17">
      <c r="A20" s="773" t="s">
        <v>156</v>
      </c>
      <c r="B20" s="774"/>
      <c r="C20" s="774"/>
      <c r="D20" s="715"/>
      <c r="E20" s="760"/>
      <c r="F20" s="536"/>
      <c r="G20" s="778">
        <f>G18+G19</f>
        <v>173</v>
      </c>
      <c r="H20" s="760">
        <f>G20+'27'!H20</f>
        <v>4789</v>
      </c>
      <c r="I20" s="779">
        <f>I18-J20</f>
        <v>-106.03571428571428</v>
      </c>
      <c r="J20" s="762">
        <f>H20/DAY(B2)</f>
        <v>171.03571428571428</v>
      </c>
      <c r="K20" s="467"/>
      <c r="L20" s="408"/>
      <c r="N20" s="1212">
        <f>F20-'1'!E20</f>
        <v>0</v>
      </c>
    </row>
    <row r="21" spans="1:17">
      <c r="A21" s="1405" t="s">
        <v>157</v>
      </c>
      <c r="B21" s="1406"/>
      <c r="C21" s="1407"/>
      <c r="D21" s="548"/>
      <c r="E21" s="839"/>
      <c r="F21" s="839"/>
      <c r="G21" s="559"/>
      <c r="H21" s="548"/>
      <c r="I21" s="548"/>
      <c r="J21" s="628"/>
      <c r="K21" s="467"/>
      <c r="L21" s="408"/>
      <c r="N21" s="1212">
        <f>F21-'1'!E21</f>
        <v>0</v>
      </c>
    </row>
    <row r="22" spans="1:17">
      <c r="A22" s="1252" t="s">
        <v>158</v>
      </c>
      <c r="B22" s="666"/>
      <c r="C22" s="666"/>
      <c r="D22" s="599" t="s">
        <v>159</v>
      </c>
      <c r="E22" s="859">
        <f>'27'!F22</f>
        <v>2970</v>
      </c>
      <c r="F22" s="838">
        <v>2970</v>
      </c>
      <c r="G22" s="557">
        <f t="shared" ref="G22" si="2">(F22-E22)</f>
        <v>0</v>
      </c>
      <c r="H22" s="536">
        <f>G22+'27'!H22</f>
        <v>0</v>
      </c>
      <c r="I22" s="556"/>
      <c r="J22" s="629">
        <f>H22/DAY(B2)</f>
        <v>0</v>
      </c>
      <c r="K22" s="467"/>
      <c r="L22" s="408"/>
      <c r="N22" s="1212">
        <f>F22-'1'!E22</f>
        <v>720</v>
      </c>
    </row>
    <row r="23" spans="1:17">
      <c r="A23" s="1252" t="s">
        <v>160</v>
      </c>
      <c r="B23" s="666"/>
      <c r="C23" s="666"/>
      <c r="D23" s="599" t="s">
        <v>159</v>
      </c>
      <c r="E23" s="859">
        <f>'27'!F23</f>
        <v>1900</v>
      </c>
      <c r="F23" s="838">
        <v>1900</v>
      </c>
      <c r="G23" s="557">
        <v>0</v>
      </c>
      <c r="H23" s="536">
        <f>G23+'27'!H23</f>
        <v>0</v>
      </c>
      <c r="I23" s="556"/>
      <c r="J23" s="629">
        <f>H23/DAY(B2)</f>
        <v>0</v>
      </c>
      <c r="K23" s="467"/>
      <c r="L23" s="408"/>
      <c r="N23" s="1212">
        <f>F23-'1'!E23</f>
        <v>-100</v>
      </c>
    </row>
    <row r="24" spans="1:17">
      <c r="A24" s="667" t="s">
        <v>161</v>
      </c>
      <c r="B24" s="668"/>
      <c r="C24" s="668"/>
      <c r="D24" s="587" t="s">
        <v>159</v>
      </c>
      <c r="E24" s="860">
        <f>'27'!F24</f>
        <v>4970</v>
      </c>
      <c r="F24" s="841">
        <v>4970</v>
      </c>
      <c r="G24" s="557">
        <v>0</v>
      </c>
      <c r="H24" s="536">
        <f>G24+'27'!H24</f>
        <v>0</v>
      </c>
      <c r="I24" s="556"/>
      <c r="J24" s="629">
        <f>H24/DAY(B2)</f>
        <v>0</v>
      </c>
      <c r="K24" s="467"/>
      <c r="L24" s="408"/>
      <c r="N24" s="1212">
        <f>F24-'1'!E24</f>
        <v>720</v>
      </c>
    </row>
    <row r="25" spans="1:17" s="481" customFormat="1" ht="27">
      <c r="A25" s="1410" t="s">
        <v>162</v>
      </c>
      <c r="B25" s="1411"/>
      <c r="C25" s="1412"/>
      <c r="D25" s="547"/>
      <c r="E25" s="571"/>
      <c r="F25" s="571"/>
      <c r="G25" s="570"/>
      <c r="H25" s="571"/>
      <c r="I25" s="572"/>
      <c r="J25" s="631"/>
      <c r="K25" s="404"/>
      <c r="L25" s="484"/>
      <c r="N25" s="1212">
        <f>F25-'1'!E25</f>
        <v>0</v>
      </c>
      <c r="O25" s="870"/>
      <c r="P25" s="870"/>
      <c r="Q25" s="870"/>
    </row>
    <row r="26" spans="1:17" s="481" customFormat="1" ht="27">
      <c r="A26" s="669" t="s">
        <v>163</v>
      </c>
      <c r="B26" s="670"/>
      <c r="C26" s="671"/>
      <c r="D26" s="695" t="s">
        <v>164</v>
      </c>
      <c r="E26" s="861"/>
      <c r="F26" s="536"/>
      <c r="G26" s="574"/>
      <c r="H26" s="536"/>
      <c r="I26" s="575"/>
      <c r="J26" s="629"/>
      <c r="K26" s="405"/>
      <c r="L26" s="484"/>
      <c r="N26" s="1212">
        <f>F26-'1'!E26</f>
        <v>0</v>
      </c>
      <c r="O26" s="870"/>
      <c r="P26" s="870"/>
      <c r="Q26" s="870"/>
    </row>
    <row r="27" spans="1:17" s="481" customFormat="1" ht="27">
      <c r="A27" s="669" t="s">
        <v>6</v>
      </c>
      <c r="B27" s="670"/>
      <c r="C27" s="671"/>
      <c r="D27" s="696" t="s">
        <v>25</v>
      </c>
      <c r="E27" s="780">
        <f>G8</f>
        <v>19519</v>
      </c>
      <c r="F27" s="577">
        <v>9</v>
      </c>
      <c r="G27" s="578">
        <f>E27*F27</f>
        <v>175671</v>
      </c>
      <c r="H27" s="536">
        <f>G27+'27'!H27</f>
        <v>4965906</v>
      </c>
      <c r="I27" s="579"/>
      <c r="J27" s="629">
        <f>H27/DAY(B2)</f>
        <v>177353.78571428571</v>
      </c>
      <c r="K27" s="404"/>
      <c r="L27" s="484"/>
      <c r="N27" s="1212">
        <f>F27-'1'!E27</f>
        <v>-20374</v>
      </c>
      <c r="O27" s="870"/>
      <c r="P27" s="870"/>
      <c r="Q27" s="870"/>
    </row>
    <row r="28" spans="1:17" s="481" customFormat="1" ht="27">
      <c r="A28" s="669" t="s">
        <v>165</v>
      </c>
      <c r="B28" s="670"/>
      <c r="C28" s="671"/>
      <c r="D28" s="696" t="s">
        <v>166</v>
      </c>
      <c r="E28" s="780">
        <f>G15</f>
        <v>434.06000000005588</v>
      </c>
      <c r="F28" s="577">
        <v>41</v>
      </c>
      <c r="G28" s="578">
        <f>E28*F28</f>
        <v>17796.460000002291</v>
      </c>
      <c r="H28" s="536">
        <f>G28+'27'!H28</f>
        <v>948314.5399999962</v>
      </c>
      <c r="I28" s="581"/>
      <c r="J28" s="629">
        <f>H28/DAY(B2)</f>
        <v>33868.37642857129</v>
      </c>
      <c r="K28" s="404"/>
      <c r="L28" s="484"/>
      <c r="N28" s="1212">
        <f>F28-'1'!E28</f>
        <v>-652.89999999990687</v>
      </c>
      <c r="O28" s="870"/>
      <c r="P28" s="870"/>
      <c r="Q28" s="870"/>
    </row>
    <row r="29" spans="1:17" s="481" customFormat="1" ht="27">
      <c r="A29" s="669" t="s">
        <v>167</v>
      </c>
      <c r="B29" s="670"/>
      <c r="C29" s="671"/>
      <c r="D29" s="696" t="s">
        <v>168</v>
      </c>
      <c r="E29" s="780">
        <f>G24</f>
        <v>0</v>
      </c>
      <c r="F29" s="780">
        <v>69</v>
      </c>
      <c r="G29" s="578">
        <f>E29*F29</f>
        <v>0</v>
      </c>
      <c r="H29" s="536">
        <f>G29+'27'!H29</f>
        <v>0</v>
      </c>
      <c r="I29" s="581"/>
      <c r="J29" s="629">
        <f>H29/DAY(B2)</f>
        <v>0</v>
      </c>
      <c r="K29" s="404"/>
      <c r="L29" s="484"/>
      <c r="N29" s="1212">
        <f>F29-'1'!E29</f>
        <v>69</v>
      </c>
      <c r="O29" s="870"/>
      <c r="P29" s="870"/>
      <c r="Q29" s="870"/>
    </row>
    <row r="30" spans="1:17" s="481" customFormat="1" ht="27">
      <c r="A30" s="669" t="s">
        <v>169</v>
      </c>
      <c r="B30" s="670"/>
      <c r="C30" s="671"/>
      <c r="D30" s="696" t="s">
        <v>170</v>
      </c>
      <c r="E30" s="780">
        <f>G19</f>
        <v>53</v>
      </c>
      <c r="F30" s="780">
        <v>134</v>
      </c>
      <c r="G30" s="578">
        <f>E30*F30</f>
        <v>7102</v>
      </c>
      <c r="H30" s="536">
        <f>G30+'27'!H30</f>
        <v>187466</v>
      </c>
      <c r="I30" s="581"/>
      <c r="J30" s="629">
        <f>H30/DAY(B2)</f>
        <v>6695.2142857142853</v>
      </c>
      <c r="K30" s="404"/>
      <c r="L30" s="484"/>
      <c r="N30" s="1212">
        <f>F30-'1'!E30</f>
        <v>87</v>
      </c>
      <c r="O30" s="870"/>
      <c r="P30" s="870"/>
      <c r="Q30" s="870"/>
    </row>
    <row r="31" spans="1:17" s="481" customFormat="1" ht="27">
      <c r="A31" s="669" t="s">
        <v>171</v>
      </c>
      <c r="B31" s="670"/>
      <c r="C31" s="671"/>
      <c r="D31" s="696" t="s">
        <v>155</v>
      </c>
      <c r="E31" s="780">
        <f>G18</f>
        <v>120</v>
      </c>
      <c r="F31" s="780">
        <v>80</v>
      </c>
      <c r="G31" s="578">
        <f>E31*F31</f>
        <v>9600</v>
      </c>
      <c r="H31" s="536">
        <f>G31+'27'!H31</f>
        <v>271200</v>
      </c>
      <c r="I31" s="581"/>
      <c r="J31" s="629"/>
      <c r="K31" s="404"/>
      <c r="L31" s="484"/>
      <c r="N31" s="1212">
        <f>F31-'1'!E31</f>
        <v>-70</v>
      </c>
      <c r="O31" s="870"/>
      <c r="P31" s="870"/>
      <c r="Q31" s="870"/>
    </row>
    <row r="32" spans="1:17" s="481" customFormat="1" ht="27">
      <c r="A32" s="672" t="s">
        <v>172</v>
      </c>
      <c r="B32" s="673"/>
      <c r="C32" s="674"/>
      <c r="D32" s="583"/>
      <c r="E32" s="862"/>
      <c r="F32" s="562"/>
      <c r="G32" s="584">
        <f>G27+G28+G29+G30+G31</f>
        <v>210169.46000000229</v>
      </c>
      <c r="H32" s="536">
        <f>G32+'27'!H32</f>
        <v>6372886.5399999972</v>
      </c>
      <c r="I32" s="585"/>
      <c r="J32" s="629">
        <f>H32/DAY(B2)</f>
        <v>227603.09071428562</v>
      </c>
      <c r="K32" s="404"/>
      <c r="L32" s="484"/>
      <c r="N32" s="1212">
        <f>F32-'1'!E32</f>
        <v>0</v>
      </c>
      <c r="O32" s="870"/>
      <c r="P32" s="870"/>
      <c r="Q32" s="870"/>
    </row>
    <row r="33" spans="1:14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1212">
        <f>F33-'1'!E33</f>
        <v>0</v>
      </c>
    </row>
    <row r="34" spans="1:14">
      <c r="A34" s="675" t="s">
        <v>174</v>
      </c>
      <c r="B34" s="1257"/>
      <c r="C34" s="1257"/>
      <c r="D34" s="548"/>
      <c r="E34" s="571"/>
      <c r="F34" s="571"/>
      <c r="G34" s="548"/>
      <c r="H34" s="548"/>
      <c r="I34" s="548"/>
      <c r="J34" s="628"/>
      <c r="K34" s="467"/>
      <c r="L34" s="408"/>
      <c r="N34" s="1212">
        <f>F34-'1'!E34</f>
        <v>0</v>
      </c>
    </row>
    <row r="35" spans="1:14">
      <c r="A35" s="655" t="s">
        <v>175</v>
      </c>
      <c r="B35" s="656"/>
      <c r="C35" s="656"/>
      <c r="D35" s="599" t="s">
        <v>143</v>
      </c>
      <c r="E35" s="842">
        <f>'27'!F35</f>
        <v>629027.67000000004</v>
      </c>
      <c r="F35" s="842">
        <v>629028</v>
      </c>
      <c r="G35" s="549">
        <f t="shared" ref="G35:G46" si="3">F35-E35</f>
        <v>0.32999999995809048</v>
      </c>
      <c r="H35" s="536">
        <f>G35+'27'!H35</f>
        <v>1</v>
      </c>
      <c r="I35" s="531"/>
      <c r="J35" s="629">
        <f>H35/DAY(B2)</f>
        <v>3.5714285714285712E-2</v>
      </c>
      <c r="K35" s="467"/>
      <c r="L35" s="408"/>
      <c r="N35" s="1212">
        <f>F35-'1'!E35</f>
        <v>1</v>
      </c>
    </row>
    <row r="36" spans="1:14">
      <c r="A36" s="655" t="s">
        <v>176</v>
      </c>
      <c r="B36" s="656"/>
      <c r="C36" s="656"/>
      <c r="D36" s="599" t="s">
        <v>143</v>
      </c>
      <c r="E36" s="842">
        <f>'27'!F36</f>
        <v>274050.73</v>
      </c>
      <c r="F36" s="842">
        <v>274786</v>
      </c>
      <c r="G36" s="549">
        <f t="shared" si="3"/>
        <v>735.27000000001863</v>
      </c>
      <c r="H36" s="536">
        <f>G36+'27'!H36</f>
        <v>19694.929999999993</v>
      </c>
      <c r="I36" s="531"/>
      <c r="J36" s="629">
        <f>H36/DAY(B2)</f>
        <v>703.39035714285694</v>
      </c>
      <c r="K36" s="467"/>
      <c r="L36" s="408"/>
      <c r="N36" s="1212">
        <f>F36-'1'!E36</f>
        <v>19694.929999999993</v>
      </c>
    </row>
    <row r="37" spans="1:14">
      <c r="A37" s="655" t="s">
        <v>177</v>
      </c>
      <c r="B37" s="656"/>
      <c r="C37" s="656"/>
      <c r="D37" s="599" t="s">
        <v>143</v>
      </c>
      <c r="E37" s="842">
        <f>'27'!F37</f>
        <v>415066</v>
      </c>
      <c r="F37" s="842">
        <v>415066</v>
      </c>
      <c r="G37" s="549">
        <f t="shared" si="3"/>
        <v>0</v>
      </c>
      <c r="H37" s="536">
        <f>G37+'27'!H37</f>
        <v>0</v>
      </c>
      <c r="I37" s="531"/>
      <c r="J37" s="629">
        <f>H37/DAY(B2)</f>
        <v>0</v>
      </c>
      <c r="K37" s="467"/>
      <c r="L37" s="408"/>
      <c r="N37" s="1212">
        <f>F37-'1'!E37</f>
        <v>0</v>
      </c>
    </row>
    <row r="38" spans="1:14">
      <c r="A38" s="655" t="s">
        <v>178</v>
      </c>
      <c r="B38" s="656"/>
      <c r="C38" s="656"/>
      <c r="D38" s="599" t="s">
        <v>143</v>
      </c>
      <c r="E38" s="842">
        <f>'27'!F38</f>
        <v>150714</v>
      </c>
      <c r="F38" s="546">
        <v>150714</v>
      </c>
      <c r="G38" s="549">
        <f t="shared" si="3"/>
        <v>0</v>
      </c>
      <c r="H38" s="536">
        <f>G38+'27'!H38</f>
        <v>0</v>
      </c>
      <c r="I38" s="531"/>
      <c r="J38" s="629">
        <f>H38/DAY(B2)</f>
        <v>0</v>
      </c>
      <c r="K38" s="467"/>
      <c r="L38" s="408"/>
      <c r="N38" s="1212">
        <f>F38-'1'!E38</f>
        <v>0</v>
      </c>
    </row>
    <row r="39" spans="1:14">
      <c r="A39" s="655" t="s">
        <v>179</v>
      </c>
      <c r="B39" s="656"/>
      <c r="C39" s="656"/>
      <c r="D39" s="599" t="s">
        <v>143</v>
      </c>
      <c r="E39" s="842">
        <f>'27'!F39</f>
        <v>912480</v>
      </c>
      <c r="F39" s="842">
        <v>912480</v>
      </c>
      <c r="G39" s="549">
        <f>F39-E39</f>
        <v>0</v>
      </c>
      <c r="H39" s="536">
        <f>G39+'27'!H39</f>
        <v>0</v>
      </c>
      <c r="I39" s="531"/>
      <c r="J39" s="629">
        <f>H39/DAY(B2)</f>
        <v>0</v>
      </c>
      <c r="K39" s="467"/>
      <c r="L39" s="408"/>
      <c r="N39" s="1212">
        <f>F39-'1'!E39</f>
        <v>0</v>
      </c>
    </row>
    <row r="40" spans="1:14">
      <c r="A40" s="676" t="s">
        <v>180</v>
      </c>
      <c r="B40" s="677"/>
      <c r="C40" s="677"/>
      <c r="D40" s="599" t="s">
        <v>143</v>
      </c>
      <c r="E40" s="842">
        <f>'27'!F40</f>
        <v>0</v>
      </c>
      <c r="F40" s="842">
        <v>0</v>
      </c>
      <c r="G40" s="549">
        <f t="shared" si="3"/>
        <v>0</v>
      </c>
      <c r="H40" s="536">
        <f>G40+'27'!H40</f>
        <v>0</v>
      </c>
      <c r="I40" s="531"/>
      <c r="J40" s="629">
        <f>H40/DAY(B2)</f>
        <v>0</v>
      </c>
      <c r="K40" s="468"/>
      <c r="L40" s="408"/>
      <c r="N40" s="1212">
        <f>F40-'1'!E40</f>
        <v>0</v>
      </c>
    </row>
    <row r="41" spans="1:14">
      <c r="A41" s="655" t="s">
        <v>181</v>
      </c>
      <c r="B41" s="656"/>
      <c r="C41" s="656"/>
      <c r="D41" s="599" t="s">
        <v>143</v>
      </c>
      <c r="E41" s="842">
        <f>'27'!F41</f>
        <v>29963</v>
      </c>
      <c r="F41" s="842">
        <v>33797.56</v>
      </c>
      <c r="G41" s="549">
        <f t="shared" si="3"/>
        <v>3834.5599999999977</v>
      </c>
      <c r="H41" s="536">
        <f>G41+'27'!H41</f>
        <v>33797.56</v>
      </c>
      <c r="I41" s="531"/>
      <c r="J41" s="629">
        <f>H41/DAY(B2)</f>
        <v>1207.0557142857142</v>
      </c>
      <c r="K41" s="467"/>
      <c r="L41" s="408"/>
      <c r="N41" s="1212">
        <f>F41-'1'!E41</f>
        <v>-266330.39</v>
      </c>
    </row>
    <row r="42" spans="1:14">
      <c r="A42" s="655" t="s">
        <v>182</v>
      </c>
      <c r="B42" s="656"/>
      <c r="C42" s="656"/>
      <c r="D42" s="599" t="s">
        <v>143</v>
      </c>
      <c r="E42" s="842">
        <f>'27'!F42</f>
        <v>58926</v>
      </c>
      <c r="F42" s="842">
        <v>58926</v>
      </c>
      <c r="G42" s="549">
        <f t="shared" si="3"/>
        <v>0</v>
      </c>
      <c r="H42" s="536">
        <f>G42+'27'!H42</f>
        <v>-8.999999999650754E-2</v>
      </c>
      <c r="I42" s="531"/>
      <c r="J42" s="629">
        <f>H42/DAY(B2)</f>
        <v>-3.2142857141609837E-3</v>
      </c>
      <c r="K42" s="467"/>
      <c r="L42" s="408"/>
      <c r="N42" s="1212">
        <f>F42-'1'!E42</f>
        <v>-8.999999999650754E-2</v>
      </c>
    </row>
    <row r="43" spans="1:14">
      <c r="A43" s="655" t="s">
        <v>183</v>
      </c>
      <c r="B43" s="656"/>
      <c r="C43" s="656"/>
      <c r="D43" s="599" t="s">
        <v>143</v>
      </c>
      <c r="E43" s="842">
        <f>'27'!F43</f>
        <v>758512.95</v>
      </c>
      <c r="F43" s="842">
        <v>760836</v>
      </c>
      <c r="G43" s="549">
        <f t="shared" si="3"/>
        <v>2323.0500000000466</v>
      </c>
      <c r="H43" s="536">
        <f>G43+'27'!H43</f>
        <v>62582.569999999949</v>
      </c>
      <c r="I43" s="531"/>
      <c r="J43" s="629">
        <f>H43/DAY(B2)</f>
        <v>2235.091785714284</v>
      </c>
      <c r="K43" s="467"/>
      <c r="L43" s="408"/>
      <c r="N43" s="1212">
        <f>F43-'1'!E43</f>
        <v>62582.569999999949</v>
      </c>
    </row>
    <row r="44" spans="1:14">
      <c r="A44" s="655" t="s">
        <v>184</v>
      </c>
      <c r="B44" s="656"/>
      <c r="C44" s="656"/>
      <c r="D44" s="599" t="s">
        <v>143</v>
      </c>
      <c r="E44" s="842">
        <f>'27'!F44</f>
        <v>0</v>
      </c>
      <c r="F44" s="842">
        <v>0</v>
      </c>
      <c r="G44" s="549">
        <f t="shared" si="3"/>
        <v>0</v>
      </c>
      <c r="H44" s="536">
        <f>G44+'27'!H44</f>
        <v>0</v>
      </c>
      <c r="I44" s="531"/>
      <c r="J44" s="629">
        <f>H44/DAY(B2)</f>
        <v>0</v>
      </c>
      <c r="K44" s="467"/>
      <c r="L44" s="408"/>
      <c r="N44" s="1212">
        <f>F44-'1'!E44</f>
        <v>0</v>
      </c>
    </row>
    <row r="45" spans="1:14">
      <c r="A45" s="655" t="s">
        <v>185</v>
      </c>
      <c r="B45" s="656"/>
      <c r="C45" s="656"/>
      <c r="D45" s="599" t="s">
        <v>143</v>
      </c>
      <c r="E45" s="842">
        <f>'27'!F45</f>
        <v>614</v>
      </c>
      <c r="F45" s="842">
        <v>614</v>
      </c>
      <c r="G45" s="549">
        <f t="shared" si="3"/>
        <v>0</v>
      </c>
      <c r="H45" s="536">
        <f>G45+'27'!H45</f>
        <v>-0.48000000000001819</v>
      </c>
      <c r="I45" s="531"/>
      <c r="J45" s="629">
        <f>H45/DAY(B2)</f>
        <v>-1.7142857142857792E-2</v>
      </c>
      <c r="K45" s="467"/>
      <c r="L45" s="408"/>
      <c r="N45" s="1212">
        <f>F45-'1'!E45</f>
        <v>-0.48000000000001819</v>
      </c>
    </row>
    <row r="46" spans="1:14">
      <c r="A46" s="655" t="s">
        <v>186</v>
      </c>
      <c r="B46" s="656"/>
      <c r="C46" s="656"/>
      <c r="D46" s="599" t="s">
        <v>143</v>
      </c>
      <c r="E46" s="842">
        <f>'27'!F46</f>
        <v>187</v>
      </c>
      <c r="F46" s="842">
        <v>187</v>
      </c>
      <c r="G46" s="549">
        <f t="shared" si="3"/>
        <v>0</v>
      </c>
      <c r="H46" s="536">
        <f>G46+'27'!H46</f>
        <v>-0.49000000000000909</v>
      </c>
      <c r="I46" s="531"/>
      <c r="J46" s="629">
        <f>H46/DAY(B2)</f>
        <v>-1.7500000000000324E-2</v>
      </c>
      <c r="K46" s="467"/>
      <c r="L46" s="408"/>
      <c r="N46" s="1212">
        <f>F46-'1'!E46</f>
        <v>-0.49000000000000909</v>
      </c>
    </row>
    <row r="47" spans="1:14">
      <c r="A47" s="662" t="s">
        <v>187</v>
      </c>
      <c r="B47" s="663"/>
      <c r="C47" s="663"/>
      <c r="D47" s="546"/>
      <c r="E47" s="546"/>
      <c r="F47" s="546"/>
      <c r="G47" s="557">
        <f>G35+G36+G37+G38+G39+G40+G41+G42+G43+G44+G45+G46</f>
        <v>6893.210000000021</v>
      </c>
      <c r="H47" s="536">
        <f>G47+'27'!H47</f>
        <v>116074.99999999994</v>
      </c>
      <c r="I47" s="531"/>
      <c r="J47" s="629">
        <f>H47/DAY(B2)</f>
        <v>4145.5357142857119</v>
      </c>
      <c r="K47" s="467"/>
      <c r="L47" s="408"/>
      <c r="N47" s="1212">
        <f>F47-'1'!E47</f>
        <v>0</v>
      </c>
    </row>
    <row r="48" spans="1:14">
      <c r="A48" s="675" t="s">
        <v>188</v>
      </c>
      <c r="B48" s="1257"/>
      <c r="C48" s="1257"/>
      <c r="D48" s="548"/>
      <c r="E48" s="571"/>
      <c r="F48" s="571"/>
      <c r="G48" s="548"/>
      <c r="H48" s="548"/>
      <c r="I48" s="548"/>
      <c r="J48" s="628"/>
      <c r="K48" s="467"/>
      <c r="L48" s="408"/>
      <c r="N48" s="1212">
        <f>F48-'1'!E48</f>
        <v>0</v>
      </c>
    </row>
    <row r="49" spans="1:14">
      <c r="A49" s="655" t="s">
        <v>175</v>
      </c>
      <c r="B49" s="678"/>
      <c r="C49" s="678"/>
      <c r="D49" s="599" t="s">
        <v>143</v>
      </c>
      <c r="E49" s="842">
        <f>'27'!F49</f>
        <v>233654.45</v>
      </c>
      <c r="F49" s="842">
        <v>236927</v>
      </c>
      <c r="G49" s="549">
        <f t="shared" ref="G49:G58" si="4">F49-E49</f>
        <v>3272.5499999999884</v>
      </c>
      <c r="H49" s="536">
        <f>G49+'27'!H49</f>
        <v>84522</v>
      </c>
      <c r="I49" s="531"/>
      <c r="J49" s="629">
        <f>H49/DAY(B2)</f>
        <v>3018.6428571428573</v>
      </c>
      <c r="K49" s="467"/>
      <c r="L49" s="408"/>
      <c r="N49" s="1212">
        <f>F49-'1'!E49</f>
        <v>87368</v>
      </c>
    </row>
    <row r="50" spans="1:14">
      <c r="A50" s="655" t="s">
        <v>189</v>
      </c>
      <c r="B50" s="678"/>
      <c r="C50" s="678"/>
      <c r="D50" s="599" t="s">
        <v>143</v>
      </c>
      <c r="E50" s="842">
        <f>'27'!F50</f>
        <v>363910</v>
      </c>
      <c r="F50" s="842">
        <v>365372</v>
      </c>
      <c r="G50" s="549">
        <f t="shared" si="4"/>
        <v>1462</v>
      </c>
      <c r="H50" s="536">
        <f>G50+'27'!H50</f>
        <v>29154.570000000007</v>
      </c>
      <c r="I50" s="531"/>
      <c r="J50" s="629">
        <f>H50/DAY(B2)</f>
        <v>1041.2346428571432</v>
      </c>
      <c r="K50" s="467"/>
      <c r="L50" s="408"/>
      <c r="N50" s="1212">
        <f>F50-'1'!E50</f>
        <v>30471.570000000007</v>
      </c>
    </row>
    <row r="51" spans="1:14">
      <c r="A51" s="655" t="s">
        <v>177</v>
      </c>
      <c r="B51" s="678"/>
      <c r="C51" s="678"/>
      <c r="D51" s="599" t="s">
        <v>143</v>
      </c>
      <c r="E51" s="842">
        <f>'27'!F51</f>
        <v>104026.54</v>
      </c>
      <c r="F51" s="842">
        <v>105472</v>
      </c>
      <c r="G51" s="549">
        <f t="shared" si="4"/>
        <v>1445.4600000000064</v>
      </c>
      <c r="H51" s="536">
        <f>G51+'27'!H51</f>
        <v>39313.89</v>
      </c>
      <c r="I51" s="531"/>
      <c r="J51" s="629">
        <f>H51/DAY(B2)</f>
        <v>1404.0674999999999</v>
      </c>
      <c r="K51" s="467"/>
      <c r="L51" s="408"/>
      <c r="N51" s="1212">
        <f>F51-'1'!E51</f>
        <v>40764.89</v>
      </c>
    </row>
    <row r="52" spans="1:14">
      <c r="A52" s="655" t="s">
        <v>190</v>
      </c>
      <c r="B52" s="678"/>
      <c r="C52" s="678"/>
      <c r="D52" s="599" t="s">
        <v>143</v>
      </c>
      <c r="E52" s="842">
        <f>'27'!F52</f>
        <v>486112.79</v>
      </c>
      <c r="F52" s="842">
        <v>487847</v>
      </c>
      <c r="G52" s="549">
        <f t="shared" si="4"/>
        <v>1734.210000000021</v>
      </c>
      <c r="H52" s="536">
        <f>G52+'27'!H52</f>
        <v>52571.369999999995</v>
      </c>
      <c r="I52" s="531"/>
      <c r="J52" s="629">
        <f>H52/DAY(B2)</f>
        <v>1877.5489285714284</v>
      </c>
      <c r="K52" s="467"/>
      <c r="L52" s="408"/>
      <c r="N52" s="1212">
        <f>F52-'1'!E52</f>
        <v>54667.369999999995</v>
      </c>
    </row>
    <row r="53" spans="1:14">
      <c r="A53" s="655" t="s">
        <v>179</v>
      </c>
      <c r="B53" s="678"/>
      <c r="C53" s="678"/>
      <c r="D53" s="599" t="s">
        <v>143</v>
      </c>
      <c r="E53" s="842">
        <f>'27'!F53</f>
        <v>287574</v>
      </c>
      <c r="F53" s="842">
        <v>291747</v>
      </c>
      <c r="G53" s="549">
        <f t="shared" si="4"/>
        <v>4173</v>
      </c>
      <c r="H53" s="536">
        <f>G53+'27'!H53</f>
        <v>110682.03</v>
      </c>
      <c r="I53" s="531"/>
      <c r="J53" s="629">
        <f>H53/DAY(B2)</f>
        <v>3952.9296428571429</v>
      </c>
      <c r="K53" s="467"/>
      <c r="L53" s="408"/>
      <c r="N53" s="1212">
        <f>F53-'1'!E53</f>
        <v>115145.03</v>
      </c>
    </row>
    <row r="54" spans="1:14">
      <c r="A54" s="655" t="s">
        <v>191</v>
      </c>
      <c r="B54" s="678"/>
      <c r="C54" s="678"/>
      <c r="D54" s="599" t="s">
        <v>143</v>
      </c>
      <c r="E54" s="842">
        <f>'27'!F54</f>
        <v>6126.55</v>
      </c>
      <c r="F54" s="842">
        <v>6177</v>
      </c>
      <c r="G54" s="549">
        <f t="shared" si="4"/>
        <v>50.449999999999818</v>
      </c>
      <c r="H54" s="536">
        <f>G54+'27'!H54</f>
        <v>1530.46</v>
      </c>
      <c r="I54" s="531"/>
      <c r="J54" s="629">
        <f>H54/DAY(B2)</f>
        <v>54.659285714285716</v>
      </c>
      <c r="K54" s="467"/>
      <c r="L54" s="408"/>
      <c r="N54" s="1212">
        <f>F54-'1'!E54</f>
        <v>1587.46</v>
      </c>
    </row>
    <row r="55" spans="1:14">
      <c r="A55" s="655" t="s">
        <v>192</v>
      </c>
      <c r="B55" s="678"/>
      <c r="C55" s="678"/>
      <c r="D55" s="599" t="s">
        <v>143</v>
      </c>
      <c r="E55" s="842">
        <f>'27'!F55</f>
        <v>39120.58</v>
      </c>
      <c r="F55" s="843">
        <v>39121</v>
      </c>
      <c r="G55" s="733">
        <f t="shared" si="4"/>
        <v>0.41999999999825377</v>
      </c>
      <c r="H55" s="805">
        <f>G55+'27'!H55</f>
        <v>39120.73000000001</v>
      </c>
      <c r="I55" s="806"/>
      <c r="J55" s="807">
        <f>H55/DAY(B2)</f>
        <v>1397.168928571429</v>
      </c>
      <c r="K55" s="467"/>
      <c r="L55" s="408"/>
      <c r="N55" s="1212">
        <f>F55-'1'!E55</f>
        <v>-119372</v>
      </c>
    </row>
    <row r="56" spans="1:14">
      <c r="A56" s="655" t="s">
        <v>193</v>
      </c>
      <c r="B56" s="678"/>
      <c r="C56" s="678"/>
      <c r="D56" s="599" t="s">
        <v>194</v>
      </c>
      <c r="E56" s="842">
        <f>'27'!F56</f>
        <v>557730.15</v>
      </c>
      <c r="F56" s="843">
        <v>557730</v>
      </c>
      <c r="G56" s="549">
        <f t="shared" si="4"/>
        <v>-0.15000000002328306</v>
      </c>
      <c r="H56" s="536">
        <f>G56+'27'!H56</f>
        <v>39829.25</v>
      </c>
      <c r="I56" s="531"/>
      <c r="J56" s="629">
        <f>H56/DAY(B2)</f>
        <v>1422.4732142857142</v>
      </c>
      <c r="K56" s="466"/>
      <c r="L56" s="408"/>
      <c r="N56" s="1212">
        <f>F56-'1'!E56</f>
        <v>44518.25</v>
      </c>
    </row>
    <row r="57" spans="1:14">
      <c r="A57" s="655" t="s">
        <v>183</v>
      </c>
      <c r="B57" s="678"/>
      <c r="C57" s="678"/>
      <c r="D57" s="599" t="s">
        <v>143</v>
      </c>
      <c r="E57" s="842">
        <f>'27'!F57</f>
        <v>0</v>
      </c>
      <c r="F57" s="842">
        <v>0</v>
      </c>
      <c r="G57" s="549">
        <f t="shared" si="4"/>
        <v>0</v>
      </c>
      <c r="H57" s="536">
        <f>G57+'27'!H57</f>
        <v>0</v>
      </c>
      <c r="I57" s="531"/>
      <c r="J57" s="629">
        <f>H57/DAY(B2)</f>
        <v>0</v>
      </c>
      <c r="K57" s="467"/>
      <c r="L57" s="408"/>
      <c r="N57" s="1212">
        <f>F57-'1'!E57</f>
        <v>0</v>
      </c>
    </row>
    <row r="58" spans="1:14">
      <c r="A58" s="655" t="s">
        <v>195</v>
      </c>
      <c r="B58" s="678"/>
      <c r="C58" s="678"/>
      <c r="D58" s="599" t="s">
        <v>143</v>
      </c>
      <c r="E58" s="842">
        <f>'27'!F58</f>
        <v>30038</v>
      </c>
      <c r="F58" s="1346">
        <v>30038</v>
      </c>
      <c r="G58" s="549">
        <f t="shared" si="4"/>
        <v>0</v>
      </c>
      <c r="H58" s="536">
        <f>G58+'27'!H58</f>
        <v>4882.59</v>
      </c>
      <c r="I58" s="531"/>
      <c r="J58" s="629">
        <f>H58/DAY(B2)</f>
        <v>174.37821428571428</v>
      </c>
      <c r="K58" s="467"/>
      <c r="L58" s="408"/>
      <c r="N58" s="1212">
        <f>F58-'1'!E58</f>
        <v>4997.59</v>
      </c>
    </row>
    <row r="59" spans="1:14">
      <c r="A59" s="662" t="s">
        <v>187</v>
      </c>
      <c r="B59" s="663"/>
      <c r="C59" s="663"/>
      <c r="D59" s="587"/>
      <c r="E59" s="546"/>
      <c r="F59" s="546"/>
      <c r="G59" s="557">
        <f>G49+G50+G51+G52+G53+G54+G55+G56+G57+G58</f>
        <v>12137.939999999991</v>
      </c>
      <c r="H59" s="536">
        <f>G59+'27'!H59</f>
        <v>401606.89000000007</v>
      </c>
      <c r="I59" s="531">
        <f>G7-G60</f>
        <v>325.84999999998763</v>
      </c>
      <c r="J59" s="629">
        <f>H59/DAY(B2)</f>
        <v>14343.103214285717</v>
      </c>
      <c r="K59" s="467"/>
      <c r="L59" s="408"/>
      <c r="N59" s="1212">
        <f>F59-'1'!E59</f>
        <v>0</v>
      </c>
    </row>
    <row r="60" spans="1:14">
      <c r="A60" s="655"/>
      <c r="B60" s="656"/>
      <c r="C60" s="656"/>
      <c r="D60" s="587" t="s">
        <v>196</v>
      </c>
      <c r="E60" s="546"/>
      <c r="F60" s="546"/>
      <c r="G60" s="557">
        <f>G47+G59</f>
        <v>19031.150000000012</v>
      </c>
      <c r="H60" s="536">
        <f>G60+'27'!H60</f>
        <v>534715.89</v>
      </c>
      <c r="I60" s="531">
        <f>G13-G60</f>
        <v>-327.2500000001055</v>
      </c>
      <c r="J60" s="629">
        <f>H60/DAY(B2)</f>
        <v>19096.996071428573</v>
      </c>
      <c r="K60" s="467"/>
      <c r="L60" s="408"/>
      <c r="N60" s="1212">
        <f>F60-'1'!E60</f>
        <v>0</v>
      </c>
    </row>
    <row r="61" spans="1:14">
      <c r="A61" s="679" t="s">
        <v>197</v>
      </c>
      <c r="B61" s="529"/>
      <c r="C61" s="529"/>
      <c r="D61" s="589"/>
      <c r="E61" s="844"/>
      <c r="F61" s="844"/>
      <c r="G61" s="589"/>
      <c r="H61" s="589"/>
      <c r="I61" s="589"/>
      <c r="J61" s="632"/>
      <c r="K61" s="467"/>
      <c r="L61" s="408"/>
      <c r="N61" s="1212">
        <f>F61-'1'!E61</f>
        <v>0</v>
      </c>
    </row>
    <row r="62" spans="1:14">
      <c r="A62" s="680" t="s">
        <v>106</v>
      </c>
      <c r="B62" s="681"/>
      <c r="C62" s="681"/>
      <c r="D62" s="587" t="s">
        <v>198</v>
      </c>
      <c r="E62" s="590">
        <f>'27'!F62</f>
        <v>20419.18</v>
      </c>
      <c r="F62" s="590">
        <v>20419.187000000002</v>
      </c>
      <c r="G62" s="549">
        <f t="shared" ref="G62:G69" si="5">F62-E62</f>
        <v>7.0000000014260877E-3</v>
      </c>
      <c r="H62" s="536">
        <f>G62+'27'!H62</f>
        <v>7.0000000014260877E-3</v>
      </c>
      <c r="I62" s="591"/>
      <c r="J62" s="629">
        <f>H62/DAY(B2)</f>
        <v>2.500000000509317E-4</v>
      </c>
      <c r="K62" s="467"/>
      <c r="L62" s="408"/>
      <c r="N62" s="1212">
        <f>F62-'1'!E62</f>
        <v>7.0000000014260877E-3</v>
      </c>
    </row>
    <row r="63" spans="1:14">
      <c r="A63" s="680" t="s">
        <v>199</v>
      </c>
      <c r="B63" s="681"/>
      <c r="C63" s="681"/>
      <c r="D63" s="587" t="s">
        <v>198</v>
      </c>
      <c r="E63" s="590">
        <f>'27'!F63</f>
        <v>1283</v>
      </c>
      <c r="F63" s="590">
        <v>1293.6600000000001</v>
      </c>
      <c r="G63" s="549">
        <f t="shared" si="5"/>
        <v>10.660000000000082</v>
      </c>
      <c r="H63" s="536">
        <f>G63+'27'!H63</f>
        <v>185.75</v>
      </c>
      <c r="I63" s="591"/>
      <c r="J63" s="629">
        <f>H63/DAY(B2)</f>
        <v>6.6339285714285712</v>
      </c>
      <c r="K63" s="467"/>
      <c r="L63" s="408"/>
      <c r="N63" s="1212">
        <f>F63-'1'!E63</f>
        <v>185.75</v>
      </c>
    </row>
    <row r="64" spans="1:14" ht="27.75">
      <c r="A64" s="1367" t="s">
        <v>107</v>
      </c>
      <c r="B64" s="1368"/>
      <c r="C64" s="1369"/>
      <c r="D64" s="599" t="s">
        <v>198</v>
      </c>
      <c r="E64" s="590">
        <f>'27'!F64</f>
        <v>109552.79</v>
      </c>
      <c r="F64" s="838">
        <v>110016</v>
      </c>
      <c r="G64" s="549">
        <f t="shared" si="5"/>
        <v>463.2100000000064</v>
      </c>
      <c r="H64" s="536">
        <f>G64+'27'!H64</f>
        <v>11592.600000000006</v>
      </c>
      <c r="I64" s="556"/>
      <c r="J64" s="629">
        <f>H64/DAY(B2)</f>
        <v>414.02142857142877</v>
      </c>
      <c r="K64" s="467"/>
      <c r="L64" s="408"/>
      <c r="N64" s="1212">
        <f>F64-'1'!E64</f>
        <v>11592.600000000006</v>
      </c>
    </row>
    <row r="65" spans="1:14" ht="27.75">
      <c r="A65" s="1367" t="s">
        <v>108</v>
      </c>
      <c r="B65" s="1368"/>
      <c r="C65" s="1369"/>
      <c r="D65" s="599" t="s">
        <v>198</v>
      </c>
      <c r="E65" s="590">
        <f>'27'!F65</f>
        <v>120175</v>
      </c>
      <c r="F65" s="845">
        <v>120566.18</v>
      </c>
      <c r="G65" s="549">
        <f t="shared" si="5"/>
        <v>391.17999999999302</v>
      </c>
      <c r="H65" s="536">
        <f>G65+'27'!H65</f>
        <v>11522.059999999998</v>
      </c>
      <c r="I65" s="565"/>
      <c r="J65" s="629">
        <f>H65/DAY(B2)</f>
        <v>411.50214285714276</v>
      </c>
      <c r="K65" s="467"/>
      <c r="L65" s="408"/>
      <c r="N65" s="1212">
        <f>F65-'1'!E65</f>
        <v>11522.059999999998</v>
      </c>
    </row>
    <row r="66" spans="1:14" ht="27.75">
      <c r="A66" s="1367" t="s">
        <v>109</v>
      </c>
      <c r="B66" s="1368"/>
      <c r="C66" s="1369"/>
      <c r="D66" s="599" t="s">
        <v>198</v>
      </c>
      <c r="E66" s="590">
        <f>'27'!F66</f>
        <v>12487.61</v>
      </c>
      <c r="F66" s="838">
        <v>12904</v>
      </c>
      <c r="G66" s="549">
        <f t="shared" si="5"/>
        <v>416.38999999999942</v>
      </c>
      <c r="H66" s="536">
        <f>G66+'27'!H66</f>
        <v>10481.91</v>
      </c>
      <c r="I66" s="556"/>
      <c r="J66" s="629">
        <f>H66/DAY(B2)</f>
        <v>374.35392857142858</v>
      </c>
      <c r="K66" s="467"/>
      <c r="L66" s="408"/>
      <c r="N66" s="1212">
        <f>F66-'1'!E66</f>
        <v>10481.91</v>
      </c>
    </row>
    <row r="67" spans="1:14" ht="27.75">
      <c r="A67" s="1367" t="s">
        <v>110</v>
      </c>
      <c r="B67" s="1368"/>
      <c r="C67" s="1369"/>
      <c r="D67" s="599" t="s">
        <v>198</v>
      </c>
      <c r="E67" s="590">
        <f>'27'!F67</f>
        <v>185945</v>
      </c>
      <c r="F67" s="838">
        <v>186593</v>
      </c>
      <c r="G67" s="549">
        <f t="shared" si="5"/>
        <v>648</v>
      </c>
      <c r="H67" s="536">
        <f>G67+'27'!H67</f>
        <v>18351.649999999994</v>
      </c>
      <c r="I67" s="565"/>
      <c r="J67" s="629">
        <f>H67/DAY(B2)</f>
        <v>655.41607142857117</v>
      </c>
      <c r="K67" s="468"/>
      <c r="L67" s="408"/>
      <c r="N67" s="1212">
        <f>F67-'1'!E67</f>
        <v>18351.649999999994</v>
      </c>
    </row>
    <row r="68" spans="1:14" ht="27.75">
      <c r="A68" s="1367" t="s">
        <v>111</v>
      </c>
      <c r="B68" s="1368"/>
      <c r="C68" s="1369"/>
      <c r="D68" s="599" t="s">
        <v>198</v>
      </c>
      <c r="E68" s="590">
        <f>'27'!F68</f>
        <v>62030</v>
      </c>
      <c r="F68" s="838">
        <v>62358</v>
      </c>
      <c r="G68" s="549">
        <f t="shared" si="5"/>
        <v>328</v>
      </c>
      <c r="H68" s="536">
        <f>G68+'27'!H68</f>
        <v>8734.0999999999985</v>
      </c>
      <c r="I68" s="592"/>
      <c r="J68" s="629">
        <f>H68/DAY(B2)</f>
        <v>311.93214285714282</v>
      </c>
      <c r="K68" s="469"/>
      <c r="L68" s="408"/>
      <c r="N68" s="1212">
        <f>F68-'1'!E68</f>
        <v>8734.0999999999985</v>
      </c>
    </row>
    <row r="69" spans="1:14" ht="27.75">
      <c r="A69" s="1367" t="s">
        <v>112</v>
      </c>
      <c r="B69" s="1368"/>
      <c r="C69" s="1369"/>
      <c r="D69" s="599" t="s">
        <v>198</v>
      </c>
      <c r="E69" s="590">
        <f>'27'!F69</f>
        <v>54472.81</v>
      </c>
      <c r="F69" s="838">
        <v>54778</v>
      </c>
      <c r="G69" s="549">
        <f t="shared" si="5"/>
        <v>305.19000000000233</v>
      </c>
      <c r="H69" s="536">
        <f>G69+'27'!H69</f>
        <v>8258.57</v>
      </c>
      <c r="I69" s="592"/>
      <c r="J69" s="629">
        <f>H69/DAY(B2)</f>
        <v>294.94892857142855</v>
      </c>
      <c r="K69" s="470"/>
      <c r="L69" s="408"/>
      <c r="N69" s="1212">
        <f>F69-'1'!E69</f>
        <v>8258.57</v>
      </c>
    </row>
    <row r="70" spans="1:14" ht="27.75">
      <c r="A70" s="1391" t="s">
        <v>200</v>
      </c>
      <c r="B70" s="1392"/>
      <c r="C70" s="1393"/>
      <c r="D70" s="599" t="s">
        <v>198</v>
      </c>
      <c r="E70" s="846"/>
      <c r="F70" s="846"/>
      <c r="G70" s="594"/>
      <c r="H70" s="536">
        <f>G70+'13'!H70</f>
        <v>0</v>
      </c>
      <c r="I70" s="594"/>
      <c r="J70" s="633"/>
      <c r="K70" s="470"/>
      <c r="L70" s="408"/>
      <c r="N70" s="1212">
        <f>F70-'1'!E70</f>
        <v>0</v>
      </c>
    </row>
    <row r="71" spans="1:14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1212">
        <f>F71-'1'!E71</f>
        <v>0</v>
      </c>
    </row>
    <row r="72" spans="1:14" ht="27.75">
      <c r="A72" s="1367" t="s">
        <v>202</v>
      </c>
      <c r="B72" s="1368"/>
      <c r="C72" s="1369"/>
      <c r="D72" s="599" t="s">
        <v>198</v>
      </c>
      <c r="E72" s="863">
        <f>'27'!F72</f>
        <v>848139</v>
      </c>
      <c r="F72" s="847">
        <v>848208</v>
      </c>
      <c r="G72" s="549">
        <f t="shared" ref="G72:G84" si="6">F72-E72</f>
        <v>69</v>
      </c>
      <c r="H72" s="536">
        <f>G72+'27'!H72</f>
        <v>1742</v>
      </c>
      <c r="I72" s="556"/>
      <c r="J72" s="629">
        <f>H72/DAY(B2)</f>
        <v>62.214285714285715</v>
      </c>
      <c r="K72" s="470"/>
      <c r="L72" s="408"/>
      <c r="N72" s="1212">
        <f>F72-'1'!E72</f>
        <v>1808</v>
      </c>
    </row>
    <row r="73" spans="1:14" ht="27.75">
      <c r="A73" s="1367" t="s">
        <v>203</v>
      </c>
      <c r="B73" s="1368"/>
      <c r="C73" s="1369"/>
      <c r="D73" s="599" t="s">
        <v>198</v>
      </c>
      <c r="E73" s="863">
        <f>'27'!F73</f>
        <v>885727</v>
      </c>
      <c r="F73" s="848">
        <v>885727</v>
      </c>
      <c r="G73" s="733">
        <f t="shared" si="6"/>
        <v>0</v>
      </c>
      <c r="H73" s="536">
        <f>G73+'27'!H73</f>
        <v>946</v>
      </c>
      <c r="I73" s="556"/>
      <c r="J73" s="629">
        <f>H73/DAY(B2)</f>
        <v>33.785714285714285</v>
      </c>
      <c r="K73" s="469"/>
      <c r="L73" s="408"/>
      <c r="N73" s="1212">
        <f>F73-'1'!E73</f>
        <v>54</v>
      </c>
    </row>
    <row r="74" spans="1:14" ht="27.75">
      <c r="A74" s="1367" t="s">
        <v>204</v>
      </c>
      <c r="B74" s="1368"/>
      <c r="C74" s="1369"/>
      <c r="D74" s="599" t="s">
        <v>198</v>
      </c>
      <c r="E74" s="863">
        <f>'27'!F74</f>
        <v>882243</v>
      </c>
      <c r="F74" s="848">
        <v>882274</v>
      </c>
      <c r="G74" s="549">
        <f t="shared" si="6"/>
        <v>31</v>
      </c>
      <c r="H74" s="536">
        <f>G74+'27'!H74</f>
        <v>959</v>
      </c>
      <c r="I74" s="556"/>
      <c r="J74" s="629">
        <f>H74/DAY(B2)</f>
        <v>34.25</v>
      </c>
      <c r="K74" s="470"/>
      <c r="L74" s="408"/>
      <c r="N74" s="1212">
        <f>F74-'1'!E74</f>
        <v>959</v>
      </c>
    </row>
    <row r="75" spans="1:14" ht="27.75">
      <c r="A75" s="1364" t="s">
        <v>205</v>
      </c>
      <c r="B75" s="1365"/>
      <c r="C75" s="1366"/>
      <c r="D75" s="599" t="s">
        <v>198</v>
      </c>
      <c r="E75" s="863">
        <f>'27'!F75</f>
        <v>736737</v>
      </c>
      <c r="F75" s="848">
        <v>736927</v>
      </c>
      <c r="G75" s="549">
        <f t="shared" si="6"/>
        <v>190</v>
      </c>
      <c r="H75" s="536">
        <f>G75+'27'!H75</f>
        <v>5286</v>
      </c>
      <c r="I75" s="556"/>
      <c r="J75" s="629">
        <f>H75/DAY(B2)</f>
        <v>188.78571428571428</v>
      </c>
      <c r="K75" s="469"/>
      <c r="L75" s="408"/>
      <c r="N75" s="1212">
        <f>F75-'1'!E75</f>
        <v>5286</v>
      </c>
    </row>
    <row r="76" spans="1:14" ht="27.75">
      <c r="A76" s="1364" t="s">
        <v>206</v>
      </c>
      <c r="B76" s="1365"/>
      <c r="C76" s="1366"/>
      <c r="D76" s="599" t="s">
        <v>198</v>
      </c>
      <c r="E76" s="863">
        <f>'27'!F76</f>
        <v>686721</v>
      </c>
      <c r="F76" s="848">
        <v>686795</v>
      </c>
      <c r="G76" s="549">
        <f t="shared" si="6"/>
        <v>74</v>
      </c>
      <c r="H76" s="536">
        <f>G76+'27'!H76</f>
        <v>3696</v>
      </c>
      <c r="I76" s="581"/>
      <c r="J76" s="629">
        <f>H76/DAY(B2)</f>
        <v>132</v>
      </c>
      <c r="K76" s="469"/>
      <c r="L76" s="408"/>
      <c r="N76" s="1212">
        <f>F76-'1'!E76</f>
        <v>2529</v>
      </c>
    </row>
    <row r="77" spans="1:14" ht="27.75">
      <c r="A77" s="1367" t="s">
        <v>207</v>
      </c>
      <c r="B77" s="1368"/>
      <c r="C77" s="1369"/>
      <c r="D77" s="599" t="s">
        <v>198</v>
      </c>
      <c r="E77" s="863">
        <f>'27'!F77</f>
        <v>696898</v>
      </c>
      <c r="F77" s="848">
        <v>696952</v>
      </c>
      <c r="G77" s="733">
        <f t="shared" si="6"/>
        <v>54</v>
      </c>
      <c r="H77" s="536">
        <f>G77+'27'!H77</f>
        <v>1558</v>
      </c>
      <c r="I77" s="581"/>
      <c r="J77" s="629">
        <f>H77/DAY(B2)</f>
        <v>55.642857142857146</v>
      </c>
      <c r="K77" s="469"/>
      <c r="L77" s="408"/>
      <c r="N77" s="1212">
        <f>F77-'1'!E77</f>
        <v>1558</v>
      </c>
    </row>
    <row r="78" spans="1:14" ht="27.75">
      <c r="A78" s="1255" t="s">
        <v>208</v>
      </c>
      <c r="B78" s="1226"/>
      <c r="C78" s="1226"/>
      <c r="D78" s="599" t="s">
        <v>198</v>
      </c>
      <c r="E78" s="863">
        <f>'27'!F78</f>
        <v>640348</v>
      </c>
      <c r="F78" s="848">
        <v>640706</v>
      </c>
      <c r="G78" s="733">
        <f t="shared" si="6"/>
        <v>358</v>
      </c>
      <c r="H78" s="536">
        <f>G78+'27'!H78</f>
        <v>9933</v>
      </c>
      <c r="I78" s="581"/>
      <c r="J78" s="629">
        <f>H78/DAY(B2)</f>
        <v>354.75</v>
      </c>
      <c r="K78" s="469"/>
      <c r="L78" s="408"/>
      <c r="N78" s="1212">
        <f>F78-'1'!E78</f>
        <v>9933</v>
      </c>
    </row>
    <row r="79" spans="1:14" ht="27.75">
      <c r="A79" s="1364" t="s">
        <v>97</v>
      </c>
      <c r="B79" s="1365"/>
      <c r="C79" s="1366"/>
      <c r="D79" s="600" t="s">
        <v>198</v>
      </c>
      <c r="E79" s="863">
        <f>'27'!F79</f>
        <v>808948</v>
      </c>
      <c r="F79" s="849">
        <v>809124</v>
      </c>
      <c r="G79" s="549">
        <f t="shared" si="6"/>
        <v>176</v>
      </c>
      <c r="H79" s="536">
        <f>G79+'27'!H79</f>
        <v>7353</v>
      </c>
      <c r="I79" s="581"/>
      <c r="J79" s="629">
        <f>H79/DAY(B2)</f>
        <v>262.60714285714283</v>
      </c>
      <c r="K79" s="469"/>
      <c r="L79" s="408"/>
      <c r="N79" s="1212">
        <f>F79-'1'!E79</f>
        <v>5281</v>
      </c>
    </row>
    <row r="80" spans="1:14" ht="27.75">
      <c r="A80" s="1364" t="s">
        <v>209</v>
      </c>
      <c r="B80" s="1365"/>
      <c r="C80" s="1366"/>
      <c r="D80" s="600" t="s">
        <v>198</v>
      </c>
      <c r="E80" s="863">
        <f>'27'!F80</f>
        <v>483852</v>
      </c>
      <c r="F80" s="848">
        <v>484187</v>
      </c>
      <c r="G80" s="549">
        <f t="shared" si="6"/>
        <v>335</v>
      </c>
      <c r="H80" s="536">
        <f>G80+'27'!H80</f>
        <v>6975.1599999999744</v>
      </c>
      <c r="I80" s="581"/>
      <c r="J80" s="629">
        <f>H80/DAY(B2)</f>
        <v>249.11285714285623</v>
      </c>
      <c r="K80" s="469"/>
      <c r="L80" s="408"/>
      <c r="N80" s="1212">
        <f>F80-'1'!E80</f>
        <v>8656</v>
      </c>
    </row>
    <row r="81" spans="1:17" ht="27.75">
      <c r="A81" s="1364" t="s">
        <v>210</v>
      </c>
      <c r="B81" s="1365"/>
      <c r="C81" s="1366"/>
      <c r="D81" s="600" t="s">
        <v>198</v>
      </c>
      <c r="E81" s="863">
        <f>'27'!F81</f>
        <v>622369</v>
      </c>
      <c r="F81" s="848">
        <v>622474</v>
      </c>
      <c r="G81" s="549">
        <f t="shared" si="6"/>
        <v>105</v>
      </c>
      <c r="H81" s="536">
        <f>G81+'27'!H81</f>
        <v>3220</v>
      </c>
      <c r="I81" s="581"/>
      <c r="J81" s="629">
        <f>H81/DAY(B2)</f>
        <v>115</v>
      </c>
      <c r="K81" s="469"/>
      <c r="L81" s="408"/>
      <c r="N81" s="1212">
        <f>F81-'1'!E81</f>
        <v>3220</v>
      </c>
    </row>
    <row r="82" spans="1:17" ht="27.75">
      <c r="A82" s="1364" t="s">
        <v>100</v>
      </c>
      <c r="B82" s="1365"/>
      <c r="C82" s="1366"/>
      <c r="D82" s="561" t="s">
        <v>143</v>
      </c>
      <c r="E82" s="863">
        <f>'27'!F82</f>
        <v>105271.72</v>
      </c>
      <c r="F82" s="845">
        <v>105280.37</v>
      </c>
      <c r="G82" s="549">
        <f t="shared" si="6"/>
        <v>8.6499999999941792</v>
      </c>
      <c r="H82" s="536">
        <f>G82+'27'!H82</f>
        <v>842.36999999999534</v>
      </c>
      <c r="I82" s="562"/>
      <c r="J82" s="629">
        <f>H82/DAY(B2)</f>
        <v>30.08464285714269</v>
      </c>
      <c r="K82" s="469"/>
      <c r="L82" s="408"/>
      <c r="N82" s="1212">
        <f>F82-'1'!E82</f>
        <v>842.36999999999534</v>
      </c>
    </row>
    <row r="83" spans="1:17" ht="27.75">
      <c r="A83" s="1364" t="s">
        <v>211</v>
      </c>
      <c r="B83" s="1365"/>
      <c r="C83" s="1366"/>
      <c r="D83" s="697" t="s">
        <v>143</v>
      </c>
      <c r="E83" s="863">
        <f>'27'!F83</f>
        <v>982274</v>
      </c>
      <c r="F83" s="546">
        <v>982567</v>
      </c>
      <c r="G83" s="549">
        <f t="shared" si="6"/>
        <v>293</v>
      </c>
      <c r="H83" s="536">
        <f>G83+'27'!H83</f>
        <v>9096</v>
      </c>
      <c r="I83" s="557"/>
      <c r="J83" s="629">
        <f>H83/DAY(B2)</f>
        <v>324.85714285714283</v>
      </c>
      <c r="K83" s="468"/>
      <c r="L83" s="408"/>
      <c r="N83" s="1212">
        <f>F83-'1'!E83</f>
        <v>9096</v>
      </c>
    </row>
    <row r="84" spans="1:17">
      <c r="A84" s="1256" t="s">
        <v>212</v>
      </c>
      <c r="B84" s="648"/>
      <c r="C84" s="648"/>
      <c r="D84" s="554" t="s">
        <v>143</v>
      </c>
      <c r="E84" s="863">
        <f>'27'!F84</f>
        <v>413993</v>
      </c>
      <c r="F84" s="805">
        <v>414533</v>
      </c>
      <c r="G84" s="549">
        <f t="shared" si="6"/>
        <v>540</v>
      </c>
      <c r="H84" s="536">
        <f>G84+'27'!H84</f>
        <v>17337</v>
      </c>
      <c r="I84" s="557"/>
      <c r="J84" s="629">
        <f>H84/DAY(B2)</f>
        <v>619.17857142857144</v>
      </c>
      <c r="K84" s="411"/>
      <c r="L84" s="408"/>
      <c r="N84" s="1212">
        <f>F84-'1'!E84</f>
        <v>17337</v>
      </c>
    </row>
    <row r="85" spans="1:17" s="410" customFormat="1">
      <c r="A85" s="682" t="s">
        <v>213</v>
      </c>
      <c r="B85" s="649"/>
      <c r="C85" s="649"/>
      <c r="D85" s="565"/>
      <c r="E85" s="805">
        <f>'27'!F85</f>
        <v>0</v>
      </c>
      <c r="F85" s="536"/>
      <c r="G85" s="536">
        <f xml:space="preserve"> SUM(G72:G84)</f>
        <v>2233.6499999999942</v>
      </c>
      <c r="H85" s="536">
        <f>G85+'27'!H85</f>
        <v>64713.369999999995</v>
      </c>
      <c r="I85" s="557"/>
      <c r="J85" s="629">
        <f>H85/DAY(B2)</f>
        <v>2311.1917857142857</v>
      </c>
      <c r="K85" s="411"/>
      <c r="L85" s="409"/>
      <c r="N85" s="1212">
        <f>F85-'1'!E85</f>
        <v>0</v>
      </c>
      <c r="O85" s="870"/>
      <c r="P85" s="870"/>
      <c r="Q85" s="870"/>
    </row>
    <row r="86" spans="1:17" s="835" customFormat="1">
      <c r="A86" s="830" t="s">
        <v>102</v>
      </c>
      <c r="B86" s="831"/>
      <c r="C86" s="831"/>
      <c r="D86" s="832" t="s">
        <v>194</v>
      </c>
      <c r="E86" s="805">
        <f>'27'!F86</f>
        <v>446695</v>
      </c>
      <c r="F86" s="850">
        <v>446801</v>
      </c>
      <c r="G86" s="805">
        <f t="shared" ref="G86:G88" si="7">F86-E86</f>
        <v>106</v>
      </c>
      <c r="H86" s="805">
        <f t="shared" ref="H86:H88" si="8">G86</f>
        <v>106</v>
      </c>
      <c r="I86" s="733"/>
      <c r="J86" s="807">
        <f>H86/DAY(B2)</f>
        <v>3.7857142857142856</v>
      </c>
      <c r="K86" s="833"/>
      <c r="L86" s="834"/>
      <c r="N86" s="1212">
        <f>F86-'1'!E86</f>
        <v>2492</v>
      </c>
      <c r="O86" s="870"/>
      <c r="P86" s="870"/>
      <c r="Q86" s="871"/>
    </row>
    <row r="87" spans="1:17" s="835" customFormat="1">
      <c r="A87" s="830" t="s">
        <v>103</v>
      </c>
      <c r="B87" s="831"/>
      <c r="C87" s="831"/>
      <c r="D87" s="832" t="s">
        <v>194</v>
      </c>
      <c r="E87" s="805">
        <f>'27'!F87</f>
        <v>78346.8</v>
      </c>
      <c r="F87" s="850">
        <v>78375.899999999994</v>
      </c>
      <c r="G87" s="805">
        <f t="shared" si="7"/>
        <v>29.099999999991269</v>
      </c>
      <c r="H87" s="805">
        <f t="shared" si="8"/>
        <v>29.099999999991269</v>
      </c>
      <c r="I87" s="733"/>
      <c r="J87" s="807">
        <f>H87/DAY(B2)</f>
        <v>1.0392857142854024</v>
      </c>
      <c r="K87" s="833"/>
      <c r="L87" s="834"/>
      <c r="N87" s="1212">
        <f>F87-'1'!E87</f>
        <v>632.89999999999418</v>
      </c>
      <c r="O87" s="870"/>
      <c r="P87" s="870"/>
      <c r="Q87" s="871"/>
    </row>
    <row r="88" spans="1:17" s="835" customFormat="1">
      <c r="A88" s="830" t="s">
        <v>104</v>
      </c>
      <c r="B88" s="831"/>
      <c r="C88" s="831"/>
      <c r="D88" s="832" t="s">
        <v>194</v>
      </c>
      <c r="E88" s="805">
        <f>'27'!F88</f>
        <v>146228</v>
      </c>
      <c r="F88" s="850">
        <v>146266</v>
      </c>
      <c r="G88" s="805">
        <f t="shared" si="7"/>
        <v>38</v>
      </c>
      <c r="H88" s="805">
        <f t="shared" si="8"/>
        <v>38</v>
      </c>
      <c r="I88" s="733"/>
      <c r="J88" s="807">
        <f>H88/DAY(B2)</f>
        <v>1.3571428571428572</v>
      </c>
      <c r="K88" s="833"/>
      <c r="L88" s="834"/>
      <c r="N88" s="1212">
        <f>F88-'1'!E88</f>
        <v>1719</v>
      </c>
      <c r="O88" s="870"/>
      <c r="P88" s="870"/>
      <c r="Q88" s="871"/>
    </row>
    <row r="89" spans="1:17" s="835" customFormat="1">
      <c r="A89" s="830" t="s">
        <v>215</v>
      </c>
      <c r="B89" s="831"/>
      <c r="C89" s="831"/>
      <c r="D89" s="832" t="s">
        <v>194</v>
      </c>
      <c r="E89" s="805">
        <f>'27'!F89</f>
        <v>59477</v>
      </c>
      <c r="F89" s="850">
        <v>59582</v>
      </c>
      <c r="G89" s="805">
        <f t="shared" ref="G89:G90" si="9">F89-E89</f>
        <v>105</v>
      </c>
      <c r="H89" s="805">
        <f t="shared" ref="H89:H90" si="10">G89</f>
        <v>105</v>
      </c>
      <c r="I89" s="733"/>
      <c r="J89" s="807">
        <f>H89/DAY(B2)</f>
        <v>3.75</v>
      </c>
      <c r="K89" s="833"/>
      <c r="L89" s="834"/>
      <c r="N89" s="1212">
        <f>F89-'1'!E89</f>
        <v>1892.9000000000015</v>
      </c>
      <c r="O89" s="413"/>
    </row>
    <row r="90" spans="1:17" s="835" customFormat="1">
      <c r="A90" s="830" t="s">
        <v>215</v>
      </c>
      <c r="B90" s="831"/>
      <c r="C90" s="831"/>
      <c r="D90" s="832" t="s">
        <v>194</v>
      </c>
      <c r="E90" s="805">
        <f>'27'!F90</f>
        <v>3054</v>
      </c>
      <c r="F90" s="850">
        <v>3057.8</v>
      </c>
      <c r="G90" s="805">
        <f t="shared" si="9"/>
        <v>3.8000000000001819</v>
      </c>
      <c r="H90" s="805">
        <f t="shared" si="10"/>
        <v>3.8000000000001819</v>
      </c>
      <c r="I90" s="733"/>
      <c r="J90" s="807">
        <f>H90/DAY(B2)</f>
        <v>0.1357142857142922</v>
      </c>
      <c r="K90" s="833"/>
      <c r="L90" s="834"/>
      <c r="N90" s="1212">
        <f>F90-'1'!E90</f>
        <v>75.200000000000273</v>
      </c>
      <c r="O90" s="413"/>
    </row>
    <row r="91" spans="1:17" s="410" customFormat="1">
      <c r="A91" s="683" t="s">
        <v>216</v>
      </c>
      <c r="B91" s="1258"/>
      <c r="C91" s="1258"/>
      <c r="D91" s="548"/>
      <c r="E91" s="839"/>
      <c r="F91" s="839"/>
      <c r="G91" s="564"/>
      <c r="H91" s="548"/>
      <c r="I91" s="548"/>
      <c r="J91" s="628"/>
      <c r="K91" s="411"/>
      <c r="L91" s="409"/>
      <c r="N91" s="1212">
        <f>F91-'1'!E91</f>
        <v>0</v>
      </c>
      <c r="O91" s="870"/>
      <c r="P91" s="870"/>
      <c r="Q91" s="870"/>
    </row>
    <row r="92" spans="1:17" ht="27.75">
      <c r="A92" s="1388" t="s">
        <v>217</v>
      </c>
      <c r="B92" s="1389"/>
      <c r="C92" s="1390"/>
      <c r="D92" s="599" t="s">
        <v>155</v>
      </c>
      <c r="E92" s="859">
        <f>'27'!F92</f>
        <v>236279</v>
      </c>
      <c r="F92" s="838">
        <v>236336</v>
      </c>
      <c r="G92" s="549">
        <f t="shared" ref="G92:G93" si="11">F92-E92</f>
        <v>57</v>
      </c>
      <c r="H92" s="536">
        <f>G92+'27'!H92</f>
        <v>2434</v>
      </c>
      <c r="I92" s="556"/>
      <c r="J92" s="629">
        <f>H92/DAY(B2)</f>
        <v>86.928571428571431</v>
      </c>
      <c r="K92" s="468"/>
      <c r="L92" s="408"/>
      <c r="N92" s="1212">
        <f>F92-'1'!E92</f>
        <v>2434</v>
      </c>
    </row>
    <row r="93" spans="1:17" ht="27.75">
      <c r="A93" s="1388" t="s">
        <v>218</v>
      </c>
      <c r="B93" s="1389"/>
      <c r="C93" s="1390"/>
      <c r="D93" s="599" t="s">
        <v>155</v>
      </c>
      <c r="E93" s="859">
        <f>'27'!F93</f>
        <v>170581</v>
      </c>
      <c r="F93" s="838">
        <v>170681</v>
      </c>
      <c r="G93" s="549">
        <f t="shared" si="11"/>
        <v>100</v>
      </c>
      <c r="H93" s="536">
        <f>G93+'27'!H93</f>
        <v>3765</v>
      </c>
      <c r="I93" s="556"/>
      <c r="J93" s="629">
        <f>H93/DAY(B2)</f>
        <v>134.46428571428572</v>
      </c>
      <c r="K93" s="411"/>
      <c r="L93" s="408"/>
      <c r="N93" s="1212">
        <f>F93-'1'!E93</f>
        <v>3765</v>
      </c>
    </row>
    <row r="94" spans="1:17">
      <c r="A94" s="1419" t="s">
        <v>219</v>
      </c>
      <c r="B94" s="1420"/>
      <c r="C94" s="1421"/>
      <c r="D94" s="599"/>
      <c r="E94" s="859">
        <f>'27'!F94</f>
        <v>0</v>
      </c>
      <c r="F94" s="838"/>
      <c r="G94" s="549">
        <f>G92+G93</f>
        <v>157</v>
      </c>
      <c r="H94" s="536">
        <f>G94+'27'!H94</f>
        <v>5925</v>
      </c>
      <c r="I94" s="556"/>
      <c r="J94" s="629">
        <f>H94/DAY(B2)</f>
        <v>211.60714285714286</v>
      </c>
      <c r="K94" s="411"/>
      <c r="L94" s="408"/>
      <c r="N94" s="1212">
        <f>F94-'1'!E94</f>
        <v>0</v>
      </c>
    </row>
    <row r="95" spans="1:17" ht="27.75">
      <c r="A95" s="1388" t="s">
        <v>220</v>
      </c>
      <c r="B95" s="1389"/>
      <c r="C95" s="1390"/>
      <c r="D95" s="599" t="s">
        <v>155</v>
      </c>
      <c r="E95" s="859">
        <f>'27'!F95</f>
        <v>405645</v>
      </c>
      <c r="F95" s="838">
        <v>405688</v>
      </c>
      <c r="G95" s="549">
        <f t="shared" ref="G95:G100" si="12">F95-E95</f>
        <v>43</v>
      </c>
      <c r="H95" s="536">
        <f>G95+'27'!H95</f>
        <v>2023</v>
      </c>
      <c r="I95" s="556"/>
      <c r="J95" s="629">
        <f>H95/DAY(B2)</f>
        <v>72.25</v>
      </c>
      <c r="K95" s="411"/>
      <c r="L95" s="408"/>
      <c r="N95" s="1212">
        <f>F95-'1'!E95</f>
        <v>2023</v>
      </c>
    </row>
    <row r="96" spans="1:17" ht="27.75">
      <c r="A96" s="1252" t="s">
        <v>221</v>
      </c>
      <c r="B96" s="1253"/>
      <c r="C96" s="1253"/>
      <c r="D96" s="599" t="s">
        <v>155</v>
      </c>
      <c r="E96" s="859">
        <f>'27'!F96</f>
        <v>100414</v>
      </c>
      <c r="F96" s="838">
        <v>100437</v>
      </c>
      <c r="G96" s="549">
        <f t="shared" si="12"/>
        <v>23</v>
      </c>
      <c r="H96" s="536">
        <f>G96+'27'!H96</f>
        <v>516</v>
      </c>
      <c r="I96" s="556"/>
      <c r="J96" s="629">
        <f>H96/DAY(B2)</f>
        <v>18.428571428571427</v>
      </c>
      <c r="K96" s="466"/>
      <c r="L96" s="408"/>
      <c r="N96" s="1212">
        <f>F96-'1'!E96</f>
        <v>516</v>
      </c>
    </row>
    <row r="97" spans="1:17" ht="27.75">
      <c r="A97" s="1252" t="s">
        <v>222</v>
      </c>
      <c r="B97" s="1253"/>
      <c r="C97" s="1253"/>
      <c r="D97" s="599" t="s">
        <v>155</v>
      </c>
      <c r="E97" s="859">
        <f>'27'!F97</f>
        <v>95595</v>
      </c>
      <c r="F97" s="838">
        <v>95606</v>
      </c>
      <c r="G97" s="549">
        <f t="shared" si="12"/>
        <v>11</v>
      </c>
      <c r="H97" s="536">
        <f>G97+'27'!H97</f>
        <v>579</v>
      </c>
      <c r="I97" s="556"/>
      <c r="J97" s="629">
        <f>H97/DAY(B2)</f>
        <v>20.678571428571427</v>
      </c>
      <c r="K97" s="471"/>
      <c r="L97" s="408"/>
      <c r="N97" s="1212">
        <f>F97-'1'!E97</f>
        <v>579</v>
      </c>
    </row>
    <row r="98" spans="1:17" ht="27.75">
      <c r="A98" s="1252" t="s">
        <v>223</v>
      </c>
      <c r="B98" s="1253"/>
      <c r="C98" s="1253"/>
      <c r="D98" s="599" t="s">
        <v>155</v>
      </c>
      <c r="E98" s="859">
        <f>'27'!F98</f>
        <v>145298</v>
      </c>
      <c r="F98" s="838">
        <v>145357</v>
      </c>
      <c r="G98" s="549">
        <f t="shared" si="12"/>
        <v>59</v>
      </c>
      <c r="H98" s="536">
        <f>G98+'27'!H98</f>
        <v>1550</v>
      </c>
      <c r="I98" s="556"/>
      <c r="J98" s="629">
        <f>H98/DAY(B2)</f>
        <v>55.357142857142854</v>
      </c>
      <c r="K98" s="411"/>
      <c r="L98" s="408"/>
      <c r="N98" s="1212">
        <f>F98-'1'!E98</f>
        <v>1550</v>
      </c>
    </row>
    <row r="99" spans="1:17" ht="27.75">
      <c r="A99" s="1252" t="s">
        <v>224</v>
      </c>
      <c r="B99" s="1253"/>
      <c r="C99" s="1253"/>
      <c r="D99" s="599" t="s">
        <v>155</v>
      </c>
      <c r="E99" s="859">
        <f>'27'!F99</f>
        <v>5914</v>
      </c>
      <c r="F99" s="838">
        <v>5936</v>
      </c>
      <c r="G99" s="549">
        <f t="shared" si="12"/>
        <v>22</v>
      </c>
      <c r="H99" s="536">
        <f>G99+'27'!H99</f>
        <v>434</v>
      </c>
      <c r="I99" s="556"/>
      <c r="J99" s="629">
        <f>H99/DAY(B2)</f>
        <v>15.5</v>
      </c>
      <c r="K99" s="411"/>
      <c r="L99" s="408"/>
      <c r="N99" s="1212">
        <f>F99-'1'!E99</f>
        <v>434</v>
      </c>
    </row>
    <row r="100" spans="1:17" ht="27.75">
      <c r="A100" s="1252" t="s">
        <v>225</v>
      </c>
      <c r="B100" s="1253"/>
      <c r="C100" s="1253"/>
      <c r="D100" s="599" t="s">
        <v>155</v>
      </c>
      <c r="E100" s="859">
        <f>'27'!F100</f>
        <v>4210</v>
      </c>
      <c r="F100" s="838">
        <v>4218</v>
      </c>
      <c r="G100" s="549">
        <f t="shared" si="12"/>
        <v>8</v>
      </c>
      <c r="H100" s="536">
        <f>G100+'27'!H100</f>
        <v>254</v>
      </c>
      <c r="I100" s="556"/>
      <c r="J100" s="629">
        <f>H100/DAY(B2)</f>
        <v>9.0714285714285712</v>
      </c>
      <c r="K100" s="411"/>
      <c r="L100" s="408"/>
      <c r="N100" s="1212">
        <f>F100-'1'!E100</f>
        <v>254</v>
      </c>
    </row>
    <row r="101" spans="1:17">
      <c r="A101" s="1419" t="s">
        <v>227</v>
      </c>
      <c r="B101" s="1420"/>
      <c r="C101" s="1421"/>
      <c r="D101" s="600"/>
      <c r="E101" s="562"/>
      <c r="F101" s="562"/>
      <c r="G101" s="601">
        <f>SUM(G95:G100)</f>
        <v>166</v>
      </c>
      <c r="H101" s="536">
        <f>G101+'27'!H101</f>
        <v>5356</v>
      </c>
      <c r="I101" s="602"/>
      <c r="J101" s="629">
        <f>H101/DAY(B2)</f>
        <v>191.28571428571428</v>
      </c>
      <c r="K101" s="411"/>
      <c r="L101" s="408"/>
      <c r="N101" s="1212">
        <f>F101-'1'!E101</f>
        <v>0</v>
      </c>
    </row>
    <row r="102" spans="1:17" s="481" customFormat="1" ht="27">
      <c r="A102" s="684" t="s">
        <v>228</v>
      </c>
      <c r="B102" s="685"/>
      <c r="C102" s="685"/>
      <c r="D102" s="698"/>
      <c r="E102" s="865"/>
      <c r="F102" s="851"/>
      <c r="G102" s="605"/>
      <c r="H102" s="606"/>
      <c r="I102" s="607"/>
      <c r="J102" s="634"/>
      <c r="N102" s="1212">
        <f>F102-'1'!E102</f>
        <v>0</v>
      </c>
      <c r="O102" s="870"/>
      <c r="P102" s="870"/>
      <c r="Q102" s="870"/>
    </row>
    <row r="103" spans="1:17" s="481" customFormat="1" ht="27">
      <c r="A103" s="1422" t="s">
        <v>229</v>
      </c>
      <c r="B103" s="1423"/>
      <c r="C103" s="650"/>
      <c r="D103" s="699"/>
      <c r="E103" s="609"/>
      <c r="F103" s="852"/>
      <c r="G103" s="608"/>
      <c r="H103" s="609"/>
      <c r="I103" s="608"/>
      <c r="J103" s="635"/>
      <c r="N103" s="1212">
        <f>F103-'1'!E103</f>
        <v>0</v>
      </c>
      <c r="O103" s="870"/>
      <c r="P103" s="870"/>
      <c r="Q103" s="870"/>
    </row>
    <row r="104" spans="1:17" s="481" customFormat="1" ht="27">
      <c r="A104" s="1380" t="s">
        <v>230</v>
      </c>
      <c r="B104" s="1381"/>
      <c r="C104" s="1251"/>
      <c r="D104" s="699" t="s">
        <v>155</v>
      </c>
      <c r="E104" s="609">
        <f>'27'!F104</f>
        <v>7010</v>
      </c>
      <c r="F104" s="852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3.5</v>
      </c>
      <c r="N104" s="1212">
        <f>F104-'1'!E104</f>
        <v>0</v>
      </c>
      <c r="O104" s="870"/>
      <c r="P104" s="870"/>
      <c r="Q104" s="870"/>
    </row>
    <row r="105" spans="1:17" s="481" customFormat="1" ht="27">
      <c r="A105" s="1380" t="s">
        <v>77</v>
      </c>
      <c r="B105" s="1381"/>
      <c r="C105" s="1251"/>
      <c r="D105" s="699" t="s">
        <v>155</v>
      </c>
      <c r="E105" s="609">
        <f>'27'!F105</f>
        <v>35136</v>
      </c>
      <c r="F105" s="741">
        <v>35136</v>
      </c>
      <c r="G105" s="608">
        <f t="shared" ref="G105" si="13">F105-E105</f>
        <v>0</v>
      </c>
      <c r="H105" s="609">
        <f>SUM(G105+'1'!G77)</f>
        <v>61</v>
      </c>
      <c r="I105" s="608"/>
      <c r="J105" s="635">
        <f>H105/DAY(B2)</f>
        <v>2.1785714285714284</v>
      </c>
      <c r="N105" s="1212">
        <f>F105-'1'!E105</f>
        <v>211</v>
      </c>
      <c r="O105" s="870"/>
      <c r="P105" s="870"/>
      <c r="Q105" s="870"/>
    </row>
    <row r="106" spans="1:17" s="481" customFormat="1" ht="27">
      <c r="A106" s="1380" t="s">
        <v>78</v>
      </c>
      <c r="B106" s="1424"/>
      <c r="C106" s="1381"/>
      <c r="D106" s="699" t="s">
        <v>155</v>
      </c>
      <c r="E106" s="609">
        <f>'27'!F106</f>
        <v>19066</v>
      </c>
      <c r="F106" s="741">
        <v>19066</v>
      </c>
      <c r="G106" s="608">
        <f>F106-E106</f>
        <v>0</v>
      </c>
      <c r="H106" s="609">
        <f>SUM(G106+'1'!G78)</f>
        <v>369</v>
      </c>
      <c r="I106" s="608"/>
      <c r="J106" s="635">
        <f>H106/DAY(B2)</f>
        <v>13.178571428571429</v>
      </c>
      <c r="N106" s="1212">
        <f>F106-'1'!E106</f>
        <v>177</v>
      </c>
      <c r="O106" s="870"/>
      <c r="P106" s="870"/>
      <c r="Q106" s="870"/>
    </row>
    <row r="107" spans="1:17" s="481" customFormat="1" ht="27">
      <c r="A107" s="1382" t="s">
        <v>213</v>
      </c>
      <c r="B107" s="1383"/>
      <c r="C107" s="1251"/>
      <c r="D107" s="699"/>
      <c r="E107" s="609">
        <f>'27'!F107</f>
        <v>0</v>
      </c>
      <c r="F107" s="741"/>
      <c r="G107" s="608">
        <f>SUM(G104:G106)</f>
        <v>0</v>
      </c>
      <c r="H107" s="609">
        <f>SUM(G107+'1'!G79)</f>
        <v>187</v>
      </c>
      <c r="I107" s="608"/>
      <c r="J107" s="635">
        <f>H107/DAY(B2)</f>
        <v>6.6785714285714288</v>
      </c>
      <c r="N107" s="1212">
        <f>F107-'1'!E107</f>
        <v>0</v>
      </c>
      <c r="O107" s="870"/>
      <c r="P107" s="870"/>
      <c r="Q107" s="870"/>
    </row>
    <row r="108" spans="1:17" s="481" customFormat="1" ht="27">
      <c r="A108" s="1386" t="s">
        <v>79</v>
      </c>
      <c r="B108" s="1387"/>
      <c r="C108" s="1251"/>
      <c r="D108" s="699" t="s">
        <v>155</v>
      </c>
      <c r="E108" s="609">
        <f>'27'!F108</f>
        <v>0</v>
      </c>
      <c r="F108" s="741"/>
      <c r="G108" s="608"/>
      <c r="H108" s="609"/>
      <c r="I108" s="608"/>
      <c r="J108" s="635"/>
      <c r="N108" s="1212">
        <f>F108-'1'!E108</f>
        <v>0</v>
      </c>
      <c r="O108" s="870"/>
      <c r="P108" s="870"/>
      <c r="Q108" s="870"/>
    </row>
    <row r="109" spans="1:17" s="481" customFormat="1" ht="27">
      <c r="A109" s="1380" t="s">
        <v>231</v>
      </c>
      <c r="B109" s="1381"/>
      <c r="C109" s="1251"/>
      <c r="D109" s="699" t="s">
        <v>155</v>
      </c>
      <c r="E109" s="609">
        <f>'27'!F109</f>
        <v>54439</v>
      </c>
      <c r="F109" s="741">
        <v>54502</v>
      </c>
      <c r="G109" s="608">
        <f>F109-E109</f>
        <v>63</v>
      </c>
      <c r="H109" s="609">
        <f>SUM(G109+'1'!G81)</f>
        <v>192</v>
      </c>
      <c r="I109" s="608"/>
      <c r="J109" s="635">
        <f>H109/DAY(B2)</f>
        <v>6.8571428571428568</v>
      </c>
      <c r="N109" s="1212">
        <f>F109-'1'!E109</f>
        <v>1487</v>
      </c>
      <c r="O109" s="870"/>
      <c r="P109" s="870"/>
      <c r="Q109" s="870"/>
    </row>
    <row r="110" spans="1:17" s="481" customFormat="1" ht="27">
      <c r="A110" s="1380" t="s">
        <v>232</v>
      </c>
      <c r="B110" s="1381"/>
      <c r="C110" s="1251"/>
      <c r="D110" s="699" t="s">
        <v>155</v>
      </c>
      <c r="E110" s="609">
        <f>'27'!F110</f>
        <v>28300</v>
      </c>
      <c r="F110" s="741">
        <v>28348</v>
      </c>
      <c r="G110" s="608">
        <f t="shared" ref="G110:G111" si="14">F110-E110</f>
        <v>48</v>
      </c>
      <c r="H110" s="609">
        <f>SUM(G110+'1'!G82)</f>
        <v>71</v>
      </c>
      <c r="I110" s="608"/>
      <c r="J110" s="635">
        <f>H110/DAY(B2)</f>
        <v>2.5357142857142856</v>
      </c>
      <c r="N110" s="1212">
        <f>F110-'1'!E110</f>
        <v>1445</v>
      </c>
      <c r="O110" s="870"/>
      <c r="P110" s="870"/>
      <c r="Q110" s="870"/>
    </row>
    <row r="111" spans="1:17" s="481" customFormat="1" ht="27">
      <c r="A111" s="1380" t="s">
        <v>233</v>
      </c>
      <c r="B111" s="1381"/>
      <c r="C111" s="1251"/>
      <c r="D111" s="699" t="s">
        <v>155</v>
      </c>
      <c r="E111" s="609">
        <f>'27'!F111</f>
        <v>3726</v>
      </c>
      <c r="F111" s="741">
        <v>3726</v>
      </c>
      <c r="G111" s="610">
        <f t="shared" si="14"/>
        <v>0</v>
      </c>
      <c r="H111" s="609">
        <f>SUM(G111+'1'!G83)</f>
        <v>333</v>
      </c>
      <c r="I111" s="608"/>
      <c r="J111" s="635">
        <f>H111/DAY(B2)</f>
        <v>11.892857142857142</v>
      </c>
      <c r="N111" s="1212">
        <f>F111-'1'!E111</f>
        <v>159</v>
      </c>
      <c r="O111" s="870"/>
      <c r="P111" s="870"/>
      <c r="Q111" s="870"/>
    </row>
    <row r="112" spans="1:17" s="481" customFormat="1" ht="27">
      <c r="A112" s="1382" t="s">
        <v>121</v>
      </c>
      <c r="B112" s="1383"/>
      <c r="C112" s="1251"/>
      <c r="D112" s="699"/>
      <c r="E112" s="609">
        <f>'27'!F112</f>
        <v>0</v>
      </c>
      <c r="F112" s="741"/>
      <c r="G112" s="608">
        <f>SUM(G109:G111)</f>
        <v>111</v>
      </c>
      <c r="H112" s="609">
        <f>SUM(G112+'1'!G84)</f>
        <v>557</v>
      </c>
      <c r="I112" s="608"/>
      <c r="J112" s="635">
        <f>H112/DAY(B2)</f>
        <v>19.892857142857142</v>
      </c>
      <c r="N112" s="1212">
        <f>F112-'1'!E112</f>
        <v>0</v>
      </c>
      <c r="O112" s="870"/>
      <c r="P112" s="870"/>
      <c r="Q112" s="870"/>
    </row>
    <row r="113" spans="1:17" s="481" customFormat="1" ht="27">
      <c r="A113" s="1386" t="s">
        <v>234</v>
      </c>
      <c r="B113" s="1387"/>
      <c r="C113" s="1251"/>
      <c r="D113" s="699"/>
      <c r="E113" s="609">
        <f>'27'!F113</f>
        <v>0</v>
      </c>
      <c r="F113" s="741"/>
      <c r="G113" s="608"/>
      <c r="H113" s="609"/>
      <c r="I113" s="608"/>
      <c r="J113" s="635">
        <f>H113/DAY(B2)</f>
        <v>0</v>
      </c>
      <c r="N113" s="1212">
        <f>F113-'1'!E113</f>
        <v>0</v>
      </c>
      <c r="O113" s="870"/>
      <c r="P113" s="870"/>
      <c r="Q113" s="870"/>
    </row>
    <row r="114" spans="1:17" s="481" customFormat="1" ht="27">
      <c r="A114" s="1380" t="s">
        <v>235</v>
      </c>
      <c r="B114" s="1381"/>
      <c r="C114" s="651"/>
      <c r="D114" s="699" t="s">
        <v>155</v>
      </c>
      <c r="E114" s="609">
        <f>'27'!F114</f>
        <v>9730</v>
      </c>
      <c r="F114" s="741">
        <v>9755</v>
      </c>
      <c r="G114" s="610">
        <f>F114-E114</f>
        <v>25</v>
      </c>
      <c r="H114" s="609">
        <f>SUM(G114+'1'!G91)</f>
        <v>25</v>
      </c>
      <c r="I114" s="608"/>
      <c r="J114" s="635">
        <f>H114/DAY(B2)</f>
        <v>0.8928571428571429</v>
      </c>
      <c r="N114" s="1212">
        <f>F114-'1'!E114</f>
        <v>515</v>
      </c>
      <c r="O114" s="870"/>
      <c r="P114" s="870"/>
      <c r="Q114" s="870"/>
    </row>
    <row r="115" spans="1:17" s="481" customFormat="1" ht="27">
      <c r="A115" s="1380" t="s">
        <v>236</v>
      </c>
      <c r="B115" s="1381"/>
      <c r="C115" s="651"/>
      <c r="D115" s="699" t="s">
        <v>155</v>
      </c>
      <c r="E115" s="609">
        <f>'27'!F115</f>
        <v>7403</v>
      </c>
      <c r="F115" s="741">
        <v>7410</v>
      </c>
      <c r="G115" s="610">
        <f t="shared" ref="G115:G116" si="15">F115-E115</f>
        <v>7</v>
      </c>
      <c r="H115" s="609">
        <f>SUM(G115+'1'!G92)</f>
        <v>140</v>
      </c>
      <c r="I115" s="608"/>
      <c r="J115" s="635">
        <f>H115/DAY(B2)</f>
        <v>5</v>
      </c>
      <c r="N115" s="1212">
        <f>F115-'1'!E115</f>
        <v>221</v>
      </c>
      <c r="O115" s="870"/>
      <c r="P115" s="870"/>
      <c r="Q115" s="870"/>
    </row>
    <row r="116" spans="1:17" s="481" customFormat="1" ht="27">
      <c r="A116" s="1380" t="s">
        <v>237</v>
      </c>
      <c r="B116" s="1381"/>
      <c r="C116" s="651"/>
      <c r="D116" s="699" t="s">
        <v>155</v>
      </c>
      <c r="E116" s="612"/>
      <c r="F116" s="741"/>
      <c r="G116" s="610">
        <f t="shared" si="15"/>
        <v>0</v>
      </c>
      <c r="H116" s="609">
        <f>SUM(G116+'1'!G93)</f>
        <v>141</v>
      </c>
      <c r="I116" s="608"/>
      <c r="J116" s="635">
        <f>H116/DAY(B2)</f>
        <v>5.0357142857142856</v>
      </c>
      <c r="N116" s="1212">
        <f>F116-'1'!E116</f>
        <v>0</v>
      </c>
      <c r="O116" s="870"/>
      <c r="P116" s="870"/>
      <c r="Q116" s="870"/>
    </row>
    <row r="117" spans="1:17" s="494" customFormat="1" ht="27">
      <c r="A117" s="1382" t="s">
        <v>213</v>
      </c>
      <c r="B117" s="1383"/>
      <c r="C117" s="651"/>
      <c r="D117" s="700"/>
      <c r="E117" s="612"/>
      <c r="F117" s="741"/>
      <c r="G117" s="610">
        <f>SUM(G114:G116)</f>
        <v>32</v>
      </c>
      <c r="H117" s="609">
        <f>SUM(G117+'1'!G95)</f>
        <v>92</v>
      </c>
      <c r="I117" s="610"/>
      <c r="J117" s="635">
        <f>H117/DAY(B2)</f>
        <v>3.2857142857142856</v>
      </c>
      <c r="N117" s="1212">
        <f>F117-'1'!E117</f>
        <v>0</v>
      </c>
      <c r="O117" s="870"/>
      <c r="P117" s="870"/>
      <c r="Q117" s="871"/>
    </row>
    <row r="118" spans="1:17" s="495" customFormat="1" ht="27">
      <c r="A118" s="1376" t="s">
        <v>238</v>
      </c>
      <c r="B118" s="1377"/>
      <c r="C118" s="1249"/>
      <c r="D118" s="701" t="s">
        <v>155</v>
      </c>
      <c r="E118" s="612"/>
      <c r="F118" s="741">
        <f>SUM(G19+G92)</f>
        <v>110</v>
      </c>
      <c r="G118" s="612">
        <f>SUM(G19+G92)</f>
        <v>110</v>
      </c>
      <c r="H118" s="609">
        <f>SUM(G118+'1'!G96)</f>
        <v>143</v>
      </c>
      <c r="I118" s="611"/>
      <c r="J118" s="636">
        <f>H118/DAY(B2)</f>
        <v>5.1071428571428568</v>
      </c>
      <c r="N118" s="1212">
        <f>F118-'1'!E118</f>
        <v>-365465</v>
      </c>
      <c r="O118" s="870"/>
      <c r="P118" s="870"/>
      <c r="Q118" s="871"/>
    </row>
    <row r="119" spans="1:17" s="495" customFormat="1" ht="27">
      <c r="A119" s="1376" t="s">
        <v>239</v>
      </c>
      <c r="B119" s="1377"/>
      <c r="C119" s="1249"/>
      <c r="D119" s="701" t="s">
        <v>155</v>
      </c>
      <c r="E119" s="612"/>
      <c r="F119" s="741">
        <f>SUM(G95,G96,G97,G99,G100)</f>
        <v>107</v>
      </c>
      <c r="G119" s="612">
        <f>SUM(G95,G96,G97,G99,G100)</f>
        <v>107</v>
      </c>
      <c r="H119" s="609">
        <f>SUM(G119+'1'!G98)</f>
        <v>157</v>
      </c>
      <c r="I119" s="611"/>
      <c r="J119" s="636">
        <f>H119/DAY(B2)</f>
        <v>5.6071428571428568</v>
      </c>
      <c r="N119" s="1212">
        <f>F119-'1'!E119</f>
        <v>-608149</v>
      </c>
      <c r="O119" s="870"/>
      <c r="P119" s="870"/>
      <c r="Q119" s="871"/>
    </row>
    <row r="120" spans="1:17" s="495" customFormat="1" ht="27">
      <c r="A120" s="1376" t="s">
        <v>240</v>
      </c>
      <c r="B120" s="1377"/>
      <c r="C120" s="1249"/>
      <c r="D120" s="701" t="s">
        <v>155</v>
      </c>
      <c r="E120" s="612"/>
      <c r="F120" s="741">
        <f>SUM(G112)</f>
        <v>111</v>
      </c>
      <c r="G120" s="610">
        <f>SUM(G112)</f>
        <v>111</v>
      </c>
      <c r="H120" s="609">
        <f>SUM(G120+'1'!G100)</f>
        <v>128</v>
      </c>
      <c r="I120" s="611"/>
      <c r="J120" s="636">
        <f>H120/DAY(B2)</f>
        <v>4.5714285714285712</v>
      </c>
      <c r="N120" s="1212">
        <f>F120-'1'!E120</f>
        <v>111</v>
      </c>
      <c r="O120" s="870"/>
      <c r="P120" s="870"/>
      <c r="Q120" s="871"/>
    </row>
    <row r="121" spans="1:17" s="481" customFormat="1" ht="27">
      <c r="A121" s="1378"/>
      <c r="B121" s="1379"/>
      <c r="C121" s="1250"/>
      <c r="D121" s="637"/>
      <c r="E121" s="866"/>
      <c r="F121" s="853" t="s">
        <v>226</v>
      </c>
      <c r="G121" s="637"/>
      <c r="H121" s="638"/>
      <c r="I121" s="637"/>
      <c r="J121" s="639"/>
      <c r="N121" s="1212" t="e">
        <f>F121-'1'!E121</f>
        <v>#VALUE!</v>
      </c>
      <c r="O121" s="870"/>
      <c r="P121" s="870"/>
      <c r="Q121" s="870"/>
    </row>
    <row r="122" spans="1:17">
      <c r="A122" s="1416" t="s">
        <v>241</v>
      </c>
      <c r="B122" s="1417"/>
      <c r="C122" s="1418"/>
      <c r="D122" s="548"/>
      <c r="E122" s="839"/>
      <c r="F122" s="839"/>
      <c r="G122" s="559"/>
      <c r="H122" s="559"/>
      <c r="I122" s="559"/>
      <c r="J122" s="640"/>
      <c r="K122" s="411"/>
      <c r="L122" s="408"/>
      <c r="N122" s="1212">
        <f>F122-'1'!E122</f>
        <v>0</v>
      </c>
    </row>
    <row r="123" spans="1:17" ht="27.75">
      <c r="A123" s="1252" t="s">
        <v>242</v>
      </c>
      <c r="B123" s="1253"/>
      <c r="C123" s="1253"/>
      <c r="D123" s="599" t="s">
        <v>152</v>
      </c>
      <c r="E123" s="838">
        <f>'27'!F123</f>
        <v>802272.96</v>
      </c>
      <c r="F123" s="838">
        <v>802540</v>
      </c>
      <c r="G123" s="549">
        <f t="shared" ref="G123:G127" si="16">F123-E123</f>
        <v>267.04000000003725</v>
      </c>
      <c r="H123" s="536">
        <f>G123+'27'!H123</f>
        <v>7115.9499999999534</v>
      </c>
      <c r="I123" s="602"/>
      <c r="J123" s="629">
        <f>H123/DAY(B2)</f>
        <v>254.14107142856977</v>
      </c>
      <c r="K123" s="411"/>
      <c r="L123" s="408"/>
      <c r="N123" s="1212">
        <f>F123-'1'!E123</f>
        <v>7115.9499999999534</v>
      </c>
    </row>
    <row r="124" spans="1:17" ht="27.75">
      <c r="A124" s="1252" t="s">
        <v>243</v>
      </c>
      <c r="B124" s="1253"/>
      <c r="C124" s="1253"/>
      <c r="D124" s="599" t="s">
        <v>152</v>
      </c>
      <c r="E124" s="838">
        <f>'27'!F124</f>
        <v>73582</v>
      </c>
      <c r="F124" s="854">
        <v>73582</v>
      </c>
      <c r="G124" s="549">
        <f t="shared" si="16"/>
        <v>0</v>
      </c>
      <c r="H124" s="536">
        <f>G124+'27'!H124</f>
        <v>-0.19999999999708962</v>
      </c>
      <c r="I124" s="602"/>
      <c r="J124" s="629">
        <f>H124/DAY(B2)</f>
        <v>-7.1428571427532006E-3</v>
      </c>
      <c r="K124" s="411"/>
      <c r="L124" s="408"/>
      <c r="N124" s="1212">
        <f>F124-'1'!E124</f>
        <v>-0.19999999999708962</v>
      </c>
    </row>
    <row r="125" spans="1:17" ht="27.75">
      <c r="A125" s="1367" t="s">
        <v>244</v>
      </c>
      <c r="B125" s="1368"/>
      <c r="C125" s="1369"/>
      <c r="D125" s="599" t="s">
        <v>152</v>
      </c>
      <c r="E125" s="838">
        <f>'27'!F125</f>
        <v>137610</v>
      </c>
      <c r="F125" s="838">
        <v>137669</v>
      </c>
      <c r="G125" s="549">
        <f t="shared" si="16"/>
        <v>59</v>
      </c>
      <c r="H125" s="536">
        <f>G125+'27'!H125</f>
        <v>2078.3299999999872</v>
      </c>
      <c r="I125" s="602"/>
      <c r="J125" s="629">
        <f>H125/DAY(B2)</f>
        <v>74.226071428570975</v>
      </c>
      <c r="K125" s="411"/>
      <c r="L125" s="408"/>
      <c r="N125" s="1212">
        <f>F125-'1'!E125</f>
        <v>2078.3299999999872</v>
      </c>
    </row>
    <row r="126" spans="1:17" ht="27.75">
      <c r="A126" s="686" t="s">
        <v>245</v>
      </c>
      <c r="B126" s="1253"/>
      <c r="C126" s="1253"/>
      <c r="D126" s="599" t="s">
        <v>152</v>
      </c>
      <c r="E126" s="838">
        <f>'27'!F126</f>
        <v>58268</v>
      </c>
      <c r="F126" s="854">
        <v>58288</v>
      </c>
      <c r="G126" s="549">
        <f t="shared" si="16"/>
        <v>20</v>
      </c>
      <c r="H126" s="536">
        <f>G126+'27'!H126</f>
        <v>907</v>
      </c>
      <c r="I126" s="602"/>
      <c r="J126" s="629">
        <f>H126/DAY(B2)</f>
        <v>32.392857142857146</v>
      </c>
      <c r="K126" s="411"/>
      <c r="L126" s="408"/>
      <c r="N126" s="1212">
        <f>F126-'1'!E126</f>
        <v>907</v>
      </c>
    </row>
    <row r="127" spans="1:17" ht="27.75">
      <c r="A127" s="686" t="s">
        <v>246</v>
      </c>
      <c r="B127" s="1253"/>
      <c r="C127" s="1253"/>
      <c r="D127" s="599" t="s">
        <v>152</v>
      </c>
      <c r="E127" s="838">
        <f>'27'!F127</f>
        <v>8803</v>
      </c>
      <c r="F127" s="854">
        <v>8805</v>
      </c>
      <c r="G127" s="549">
        <f t="shared" si="16"/>
        <v>2</v>
      </c>
      <c r="H127" s="536">
        <f>G127+'27'!H127</f>
        <v>99</v>
      </c>
      <c r="I127" s="556"/>
      <c r="J127" s="629">
        <f>H127/DAY(B2)</f>
        <v>3.5357142857142856</v>
      </c>
      <c r="K127" s="411"/>
      <c r="L127" s="408"/>
      <c r="N127" s="1212">
        <f>F127-'1'!E127</f>
        <v>99</v>
      </c>
    </row>
    <row r="128" spans="1:17" s="281" customFormat="1" ht="27">
      <c r="A128" s="686" t="s">
        <v>247</v>
      </c>
      <c r="B128" s="1253"/>
      <c r="C128" s="1253"/>
      <c r="D128" s="599"/>
      <c r="E128" s="838"/>
      <c r="F128" s="838"/>
      <c r="G128" s="549">
        <f>G15-SUM(G123:G127)</f>
        <v>86.020000000018626</v>
      </c>
      <c r="H128" s="536"/>
      <c r="I128" s="556"/>
      <c r="J128" s="629"/>
      <c r="K128" s="391"/>
      <c r="L128" s="293"/>
      <c r="N128" s="1212">
        <f>F128-'1'!E128</f>
        <v>0</v>
      </c>
      <c r="O128" s="870"/>
      <c r="P128" s="870"/>
      <c r="Q128" s="870"/>
    </row>
    <row r="129" spans="1:12">
      <c r="A129" s="687" t="s">
        <v>248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>
      <c r="A130" s="1252" t="s">
        <v>249</v>
      </c>
      <c r="B130" s="1253"/>
      <c r="C130" s="1253"/>
      <c r="D130" s="599" t="s">
        <v>250</v>
      </c>
      <c r="E130" s="859">
        <f>'27'!F130</f>
        <v>0</v>
      </c>
      <c r="F130" s="838">
        <v>0</v>
      </c>
      <c r="G130" s="549">
        <f t="shared" ref="G130:G140" si="17">F130-E130</f>
        <v>0</v>
      </c>
      <c r="H130" s="536">
        <f>G130+'27'!H130</f>
        <v>0</v>
      </c>
      <c r="I130" s="556"/>
      <c r="J130" s="629">
        <f>H130/DAY(B2)</f>
        <v>0</v>
      </c>
    </row>
    <row r="131" spans="1:12" ht="27.75">
      <c r="A131" s="1252" t="s">
        <v>251</v>
      </c>
      <c r="B131" s="1253"/>
      <c r="C131" s="1253"/>
      <c r="D131" s="599" t="s">
        <v>250</v>
      </c>
      <c r="E131" s="859">
        <f>'27'!F131</f>
        <v>0</v>
      </c>
      <c r="F131" s="838">
        <v>0</v>
      </c>
      <c r="G131" s="549">
        <f t="shared" si="17"/>
        <v>0</v>
      </c>
      <c r="H131" s="536">
        <f>G131+'27'!H131</f>
        <v>0</v>
      </c>
      <c r="I131" s="556"/>
      <c r="J131" s="629">
        <f>H131/DAY(B2)</f>
        <v>0</v>
      </c>
    </row>
    <row r="132" spans="1:12" ht="27.75">
      <c r="A132" s="1252" t="s">
        <v>252</v>
      </c>
      <c r="B132" s="1253"/>
      <c r="C132" s="1253"/>
      <c r="D132" s="599" t="s">
        <v>250</v>
      </c>
      <c r="E132" s="868">
        <f>'27'!F132</f>
        <v>39008.67</v>
      </c>
      <c r="F132" s="854">
        <v>39032.480000000003</v>
      </c>
      <c r="G132" s="549">
        <f t="shared" si="17"/>
        <v>23.810000000004948</v>
      </c>
      <c r="H132" s="536">
        <f>G132+'27'!H132</f>
        <v>203</v>
      </c>
      <c r="I132" s="556"/>
      <c r="J132" s="629">
        <f>H132/DAY(B2)</f>
        <v>7.25</v>
      </c>
    </row>
    <row r="133" spans="1:12" ht="27.75">
      <c r="A133" s="1252" t="s">
        <v>253</v>
      </c>
      <c r="B133" s="1253"/>
      <c r="C133" s="1253"/>
      <c r="D133" s="599" t="s">
        <v>250</v>
      </c>
      <c r="E133" s="868">
        <f>'27'!F133</f>
        <v>299</v>
      </c>
      <c r="F133" s="854">
        <v>299</v>
      </c>
      <c r="G133" s="549">
        <f t="shared" si="17"/>
        <v>0</v>
      </c>
      <c r="H133" s="536">
        <f>G133+'27'!H133</f>
        <v>0</v>
      </c>
      <c r="I133" s="556">
        <f>G130+G131+G132+G133</f>
        <v>23.810000000004948</v>
      </c>
      <c r="J133" s="629">
        <f>H133/DAY(B2)</f>
        <v>0</v>
      </c>
    </row>
    <row r="134" spans="1:12" ht="27.75">
      <c r="A134" s="1252" t="s">
        <v>254</v>
      </c>
      <c r="B134" s="1253"/>
      <c r="C134" s="1253"/>
      <c r="D134" s="599" t="s">
        <v>250</v>
      </c>
      <c r="E134" s="868">
        <f>'27'!F134</f>
        <v>39951</v>
      </c>
      <c r="F134" s="854">
        <v>39951</v>
      </c>
      <c r="G134" s="549">
        <f t="shared" si="17"/>
        <v>0</v>
      </c>
      <c r="H134" s="536">
        <f>G134+'27'!H134</f>
        <v>23.94999999999709</v>
      </c>
      <c r="I134" s="556"/>
      <c r="J134" s="629">
        <f>H134/DAY(B2)</f>
        <v>0.8553571428570389</v>
      </c>
    </row>
    <row r="135" spans="1:12" ht="27.75">
      <c r="A135" s="1252" t="s">
        <v>255</v>
      </c>
      <c r="B135" s="1253"/>
      <c r="C135" s="1253"/>
      <c r="D135" s="599" t="s">
        <v>250</v>
      </c>
      <c r="E135" s="867">
        <f>'27'!F135</f>
        <v>32423</v>
      </c>
      <c r="F135" s="845">
        <v>32423</v>
      </c>
      <c r="G135" s="549">
        <f t="shared" si="17"/>
        <v>0</v>
      </c>
      <c r="H135" s="536">
        <f>G135+'27'!H135</f>
        <v>13</v>
      </c>
      <c r="I135" s="556"/>
      <c r="J135" s="629">
        <f>H135/DAY(B2)</f>
        <v>0.4642857142857143</v>
      </c>
    </row>
    <row r="136" spans="1:12" ht="27.75">
      <c r="A136" s="1252" t="s">
        <v>256</v>
      </c>
      <c r="B136" s="1253"/>
      <c r="C136" s="1253"/>
      <c r="D136" s="599" t="s">
        <v>250</v>
      </c>
      <c r="E136" s="867">
        <f>'27'!F136</f>
        <v>21979.81</v>
      </c>
      <c r="F136" s="845">
        <v>21979.8</v>
      </c>
      <c r="G136" s="549">
        <f t="shared" si="17"/>
        <v>-1.0000000002037268E-2</v>
      </c>
      <c r="H136" s="536">
        <f>G136+'27'!H136</f>
        <v>178.09999999999854</v>
      </c>
      <c r="I136" s="556">
        <f>G134+G135+G136</f>
        <v>-1.0000000002037268E-2</v>
      </c>
      <c r="J136" s="629">
        <f>H136/DAY(B2)</f>
        <v>6.3607142857142334</v>
      </c>
    </row>
    <row r="137" spans="1:12" ht="27.75">
      <c r="A137" s="1252" t="s">
        <v>257</v>
      </c>
      <c r="B137" s="1253"/>
      <c r="C137" s="1253"/>
      <c r="D137" s="599" t="s">
        <v>250</v>
      </c>
      <c r="E137" s="867">
        <f>'27'!F137</f>
        <v>25019.94</v>
      </c>
      <c r="F137" s="845">
        <v>25019.94</v>
      </c>
      <c r="G137" s="549">
        <f t="shared" si="17"/>
        <v>0</v>
      </c>
      <c r="H137" s="536">
        <f>G137+'27'!H137</f>
        <v>8</v>
      </c>
      <c r="I137" s="556"/>
      <c r="J137" s="629">
        <f>H137/DAY(B2)</f>
        <v>0.2857142857142857</v>
      </c>
    </row>
    <row r="138" spans="1:12" ht="27.75">
      <c r="A138" s="1252" t="s">
        <v>258</v>
      </c>
      <c r="B138" s="1253"/>
      <c r="C138" s="1253"/>
      <c r="D138" s="599" t="s">
        <v>250</v>
      </c>
      <c r="E138" s="867">
        <f>'27'!F138</f>
        <v>70059.78</v>
      </c>
      <c r="F138" s="845">
        <v>70059.78</v>
      </c>
      <c r="G138" s="549">
        <f t="shared" si="17"/>
        <v>0</v>
      </c>
      <c r="H138" s="536">
        <f>G138+'27'!H138</f>
        <v>16.979999999995925</v>
      </c>
      <c r="I138" s="556">
        <f>G137+G138</f>
        <v>0</v>
      </c>
      <c r="J138" s="629">
        <f>H138/DAY(B2)</f>
        <v>0.60642857142842588</v>
      </c>
    </row>
    <row r="139" spans="1:12" ht="27.75">
      <c r="A139" s="1252" t="s">
        <v>259</v>
      </c>
      <c r="B139" s="1253"/>
      <c r="C139" s="1253"/>
      <c r="D139" s="599" t="s">
        <v>250</v>
      </c>
      <c r="E139" s="868">
        <f>'27'!F139</f>
        <v>1169.32</v>
      </c>
      <c r="F139" s="854">
        <v>1177.29</v>
      </c>
      <c r="G139" s="549">
        <f t="shared" si="17"/>
        <v>7.9700000000000273</v>
      </c>
      <c r="H139" s="536">
        <f>G139+'27'!H139</f>
        <v>114.28999999999996</v>
      </c>
      <c r="I139" s="619"/>
      <c r="J139" s="629">
        <f>H139/DAY(B2)</f>
        <v>4.0817857142857132</v>
      </c>
    </row>
    <row r="140" spans="1:12" ht="27.75">
      <c r="A140" s="1252" t="s">
        <v>260</v>
      </c>
      <c r="B140" s="1253"/>
      <c r="C140" s="1253"/>
      <c r="D140" s="599" t="s">
        <v>250</v>
      </c>
      <c r="E140" s="867">
        <f>'27'!F140</f>
        <v>4333.53</v>
      </c>
      <c r="F140" s="838">
        <v>4334</v>
      </c>
      <c r="G140" s="549">
        <f t="shared" si="17"/>
        <v>0.47000000000025466</v>
      </c>
      <c r="H140" s="536">
        <f>G140+'27'!H140</f>
        <v>101.59000000000015</v>
      </c>
      <c r="I140" s="619"/>
      <c r="J140" s="629">
        <f>H140/DAY(B2)</f>
        <v>3.6282142857142907</v>
      </c>
    </row>
    <row r="141" spans="1:12">
      <c r="A141" s="1397" t="s">
        <v>261</v>
      </c>
      <c r="B141" s="1398"/>
      <c r="C141" s="1258"/>
      <c r="D141" s="548"/>
      <c r="E141" s="839"/>
      <c r="F141" s="839"/>
      <c r="G141" s="559"/>
      <c r="H141" s="559"/>
      <c r="I141" s="559"/>
      <c r="J141" s="640"/>
      <c r="K141" s="411"/>
      <c r="L141" s="408"/>
    </row>
    <row r="142" spans="1:12" ht="27.75">
      <c r="A142" s="1388" t="s">
        <v>262</v>
      </c>
      <c r="B142" s="1389"/>
      <c r="C142" s="1390"/>
      <c r="D142" s="599" t="s">
        <v>143</v>
      </c>
      <c r="E142" s="536"/>
      <c r="F142" s="536"/>
      <c r="G142" s="536">
        <f>G35+G43+G49+G57</f>
        <v>5595.929999999993</v>
      </c>
      <c r="H142" s="536">
        <f>G142+'27'!H142</f>
        <v>147282.44999999992</v>
      </c>
      <c r="I142" s="556"/>
      <c r="J142" s="629">
        <f>H142/DAY(B2)</f>
        <v>5260.0874999999969</v>
      </c>
      <c r="K142" s="411"/>
      <c r="L142" s="408"/>
    </row>
    <row r="143" spans="1:12" ht="27.75">
      <c r="A143" s="1388" t="s">
        <v>263</v>
      </c>
      <c r="B143" s="1389"/>
      <c r="C143" s="1390"/>
      <c r="D143" s="599" t="s">
        <v>24</v>
      </c>
      <c r="E143" s="546"/>
      <c r="F143" s="546"/>
      <c r="G143" s="620">
        <f>G142/G7</f>
        <v>0.28909076819755092</v>
      </c>
      <c r="H143" s="536">
        <f>G143+'27'!H143</f>
        <v>7.3947063376617193</v>
      </c>
      <c r="I143" s="621"/>
      <c r="J143" s="629">
        <f>H143/DAY(B2)</f>
        <v>0.26409665491648998</v>
      </c>
      <c r="K143" s="411"/>
      <c r="L143" s="408"/>
    </row>
    <row r="144" spans="1:12" ht="27.75">
      <c r="A144" s="1388" t="s">
        <v>264</v>
      </c>
      <c r="B144" s="1389"/>
      <c r="C144" s="1390"/>
      <c r="D144" s="599" t="s">
        <v>143</v>
      </c>
      <c r="E144" s="536"/>
      <c r="F144" s="536"/>
      <c r="G144" s="536">
        <f>G41+G42+G55+G56</f>
        <v>3834.8299999999726</v>
      </c>
      <c r="H144" s="536">
        <f>G144+'27'!H144</f>
        <v>117436.45</v>
      </c>
      <c r="I144" s="556"/>
      <c r="J144" s="629">
        <f>H144/DAY(B2)</f>
        <v>4194.1589285714281</v>
      </c>
      <c r="K144" s="411"/>
      <c r="L144" s="408"/>
    </row>
    <row r="145" spans="1:12" ht="27.75">
      <c r="A145" s="1388" t="s">
        <v>265</v>
      </c>
      <c r="B145" s="1389"/>
      <c r="C145" s="1390"/>
      <c r="D145" s="599" t="s">
        <v>24</v>
      </c>
      <c r="E145" s="536"/>
      <c r="F145" s="536"/>
      <c r="G145" s="620">
        <f>G144/G7</f>
        <v>0.19811076096502417</v>
      </c>
      <c r="H145" s="536">
        <f>G145+'27'!H145</f>
        <v>6.0161929714275857</v>
      </c>
      <c r="I145" s="621"/>
      <c r="J145" s="629">
        <f>H145/DAY(B2)</f>
        <v>0.21486403469384235</v>
      </c>
      <c r="K145" s="411"/>
      <c r="L145" s="408"/>
    </row>
    <row r="146" spans="1:12" ht="27.75">
      <c r="A146" s="1388" t="s">
        <v>266</v>
      </c>
      <c r="B146" s="1389"/>
      <c r="C146" s="1390"/>
      <c r="D146" s="599" t="s">
        <v>143</v>
      </c>
      <c r="E146" s="536"/>
      <c r="F146" s="536"/>
      <c r="G146" s="536">
        <f>G39+G53</f>
        <v>4173</v>
      </c>
      <c r="H146" s="536">
        <f>G146+'27'!H146</f>
        <v>115145.03</v>
      </c>
      <c r="I146" s="622"/>
      <c r="J146" s="629">
        <f>H146/DAY(B2)</f>
        <v>4112.3225000000002</v>
      </c>
      <c r="K146" s="411"/>
      <c r="L146" s="408"/>
    </row>
    <row r="147" spans="1:12" ht="27.75">
      <c r="A147" s="1388" t="s">
        <v>267</v>
      </c>
      <c r="B147" s="1389"/>
      <c r="C147" s="1390"/>
      <c r="D147" s="599" t="s">
        <v>24</v>
      </c>
      <c r="E147" s="536"/>
      <c r="F147" s="536"/>
      <c r="G147" s="620">
        <f>G146/G7</f>
        <v>0.21558092679650773</v>
      </c>
      <c r="H147" s="536">
        <f>G147+'27'!H147</f>
        <v>5.9129635897609765</v>
      </c>
      <c r="I147" s="622"/>
      <c r="J147" s="629">
        <f>H147/DAY(B2)</f>
        <v>0.21117727106289202</v>
      </c>
    </row>
    <row r="148" spans="1:12" ht="27.75">
      <c r="A148" s="1388" t="s">
        <v>268</v>
      </c>
      <c r="B148" s="1389"/>
      <c r="C148" s="1390"/>
      <c r="D148" s="599" t="s">
        <v>194</v>
      </c>
      <c r="E148" s="536"/>
      <c r="F148" s="536"/>
      <c r="G148" s="536">
        <f>G38+G52</f>
        <v>1734.210000000021</v>
      </c>
      <c r="H148" s="536">
        <f>G148+'27'!H148</f>
        <v>54667.369999999995</v>
      </c>
      <c r="I148" s="556"/>
      <c r="J148" s="629">
        <f>H148/DAY(B2)</f>
        <v>1952.4060714285713</v>
      </c>
      <c r="K148" s="412"/>
    </row>
    <row r="149" spans="1:12" ht="27.75">
      <c r="A149" s="1388" t="s">
        <v>269</v>
      </c>
      <c r="B149" s="1389"/>
      <c r="C149" s="1390"/>
      <c r="D149" s="599" t="s">
        <v>24</v>
      </c>
      <c r="E149" s="536"/>
      <c r="F149" s="536"/>
      <c r="G149" s="620">
        <f>G148/G7</f>
        <v>8.9590845688899162E-2</v>
      </c>
      <c r="H149" s="536">
        <f>G149+'27'!H149</f>
        <v>2.807846647208549</v>
      </c>
      <c r="I149" s="622"/>
      <c r="J149" s="629">
        <f>H149/DAY(B2)</f>
        <v>0.10028023740030532</v>
      </c>
    </row>
    <row r="150" spans="1:12" ht="27.75">
      <c r="A150" s="1388" t="s">
        <v>270</v>
      </c>
      <c r="B150" s="1389"/>
      <c r="C150" s="1390"/>
      <c r="D150" s="599" t="s">
        <v>194</v>
      </c>
      <c r="E150" s="536"/>
      <c r="F150" s="536"/>
      <c r="G150" s="536">
        <f>G36+G50</f>
        <v>2197.2700000000186</v>
      </c>
      <c r="H150" s="536">
        <f>G150+'27'!H150</f>
        <v>50166.5</v>
      </c>
      <c r="I150" s="622"/>
      <c r="J150" s="629">
        <f>H150/DAY(B2)</f>
        <v>1791.6607142857142</v>
      </c>
    </row>
    <row r="151" spans="1:12" ht="27.75">
      <c r="A151" s="1388" t="s">
        <v>271</v>
      </c>
      <c r="B151" s="1389"/>
      <c r="C151" s="1390"/>
      <c r="D151" s="599" t="s">
        <v>24</v>
      </c>
      <c r="E151" s="536"/>
      <c r="F151" s="536"/>
      <c r="G151" s="620">
        <f>G150/G7</f>
        <v>0.11351294105491649</v>
      </c>
      <c r="H151" s="536">
        <f>G151+'27'!H151</f>
        <v>2.5773044227806521</v>
      </c>
      <c r="I151" s="556"/>
      <c r="J151" s="629">
        <f>H151/DAY(B2)</f>
        <v>9.2046586527880433E-2</v>
      </c>
    </row>
    <row r="152" spans="1:12" ht="27.75">
      <c r="A152" s="1388" t="s">
        <v>272</v>
      </c>
      <c r="B152" s="1389"/>
      <c r="C152" s="1390"/>
      <c r="D152" s="599" t="s">
        <v>194</v>
      </c>
      <c r="E152" s="536"/>
      <c r="F152" s="536"/>
      <c r="G152" s="536">
        <f>G37+G51</f>
        <v>1445.4600000000064</v>
      </c>
      <c r="H152" s="536">
        <f>G152+'27'!H152</f>
        <v>40764.89</v>
      </c>
      <c r="I152" s="556"/>
      <c r="J152" s="629">
        <f>H152/DAY(B2)</f>
        <v>1455.8889285714286</v>
      </c>
    </row>
    <row r="153" spans="1:12" ht="28.5" thickBot="1">
      <c r="A153" s="1394" t="s">
        <v>273</v>
      </c>
      <c r="B153" s="1395"/>
      <c r="C153" s="1396"/>
      <c r="D153" s="702" t="s">
        <v>24</v>
      </c>
      <c r="E153" s="644"/>
      <c r="F153" s="644"/>
      <c r="G153" s="643">
        <f>G152/G7</f>
        <v>7.4673761429973978E-2</v>
      </c>
      <c r="H153" s="536">
        <f>G153+'27'!H153</f>
        <v>2.0938636038265539</v>
      </c>
      <c r="I153" s="645"/>
      <c r="J153" s="646">
        <f>H153/DAY(B2)</f>
        <v>7.4780842993805496E-2</v>
      </c>
    </row>
    <row r="154" spans="1:12">
      <c r="A154" s="542"/>
      <c r="B154" s="532"/>
      <c r="C154" s="532"/>
      <c r="D154" s="623"/>
      <c r="E154" s="625"/>
      <c r="F154" s="855"/>
      <c r="G154" s="623"/>
      <c r="H154" s="624"/>
      <c r="I154" s="623"/>
      <c r="J154" s="625"/>
    </row>
    <row r="160" spans="1:12">
      <c r="A160" s="889" t="s">
        <v>274</v>
      </c>
      <c r="B160" s="890"/>
      <c r="C160" s="890"/>
      <c r="D160" s="587" t="s">
        <v>198</v>
      </c>
      <c r="E160" s="867">
        <f>'27'!F160</f>
        <v>28105.57</v>
      </c>
      <c r="F160" s="739">
        <v>28185.9</v>
      </c>
      <c r="G160" s="549">
        <f t="shared" ref="G160:G163" si="18">F160-E160</f>
        <v>80.330000000001746</v>
      </c>
    </row>
    <row r="161" spans="1:7">
      <c r="A161" s="889" t="s">
        <v>275</v>
      </c>
      <c r="B161" s="890"/>
      <c r="C161" s="890"/>
      <c r="D161" s="587" t="s">
        <v>198</v>
      </c>
      <c r="E161" s="867">
        <f>'27'!F161</f>
        <v>40826.79</v>
      </c>
      <c r="F161" s="739">
        <v>41255.49</v>
      </c>
      <c r="G161" s="549">
        <f t="shared" si="18"/>
        <v>428.69999999999709</v>
      </c>
    </row>
    <row r="162" spans="1:7">
      <c r="A162" s="889" t="s">
        <v>276</v>
      </c>
      <c r="B162" s="890"/>
      <c r="C162" s="890"/>
      <c r="D162" s="587" t="s">
        <v>198</v>
      </c>
      <c r="E162" s="867">
        <f>'27'!F162</f>
        <v>11859.34</v>
      </c>
      <c r="F162" s="739">
        <v>12092</v>
      </c>
      <c r="G162" s="549">
        <f t="shared" si="18"/>
        <v>232.65999999999985</v>
      </c>
    </row>
    <row r="163" spans="1:7">
      <c r="A163" s="889" t="s">
        <v>277</v>
      </c>
      <c r="B163" s="890"/>
      <c r="C163" s="890"/>
      <c r="D163" s="587" t="s">
        <v>198</v>
      </c>
      <c r="E163" s="867">
        <f>'27'!F163</f>
        <v>4929.76</v>
      </c>
      <c r="F163" s="739">
        <v>4939.6899999999996</v>
      </c>
      <c r="G163" s="549">
        <f t="shared" si="18"/>
        <v>9.9299999999993815</v>
      </c>
    </row>
    <row r="164" spans="1:7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20419.187000000002</v>
      </c>
      <c r="G164" s="549">
        <f t="shared" ref="G164:G171" si="19">F164-E164</f>
        <v>7.0000000014260877E-3</v>
      </c>
    </row>
    <row r="165" spans="1:7">
      <c r="A165" s="891" t="s">
        <v>199</v>
      </c>
      <c r="B165" s="681"/>
      <c r="C165" s="681"/>
      <c r="D165" s="587" t="s">
        <v>198</v>
      </c>
      <c r="E165" s="590">
        <f t="shared" ref="E165:E171" si="20">E63</f>
        <v>1283</v>
      </c>
      <c r="F165" s="590">
        <f t="shared" ref="F165:F171" si="21">F63</f>
        <v>1293.6600000000001</v>
      </c>
      <c r="G165" s="549">
        <f t="shared" si="19"/>
        <v>10.660000000000082</v>
      </c>
    </row>
    <row r="166" spans="1:7" ht="27.75">
      <c r="A166" s="1363" t="s">
        <v>107</v>
      </c>
      <c r="B166" s="1363"/>
      <c r="C166" s="1363"/>
      <c r="D166" s="599" t="s">
        <v>198</v>
      </c>
      <c r="E166" s="590">
        <f t="shared" si="20"/>
        <v>109552.79</v>
      </c>
      <c r="F166" s="590">
        <f t="shared" si="21"/>
        <v>110016</v>
      </c>
      <c r="G166" s="549">
        <f t="shared" si="19"/>
        <v>463.2100000000064</v>
      </c>
    </row>
    <row r="167" spans="1:7" ht="27.75">
      <c r="A167" s="1363" t="s">
        <v>108</v>
      </c>
      <c r="B167" s="1363"/>
      <c r="C167" s="1363"/>
      <c r="D167" s="599" t="s">
        <v>198</v>
      </c>
      <c r="E167" s="590">
        <f t="shared" si="20"/>
        <v>120175</v>
      </c>
      <c r="F167" s="590">
        <f t="shared" si="21"/>
        <v>120566.18</v>
      </c>
      <c r="G167" s="549">
        <f t="shared" si="19"/>
        <v>391.17999999999302</v>
      </c>
    </row>
    <row r="168" spans="1:7" ht="27.75">
      <c r="A168" s="1363" t="s">
        <v>109</v>
      </c>
      <c r="B168" s="1363"/>
      <c r="C168" s="1363"/>
      <c r="D168" s="599" t="s">
        <v>198</v>
      </c>
      <c r="E168" s="590">
        <f t="shared" si="20"/>
        <v>12487.61</v>
      </c>
      <c r="F168" s="590">
        <f t="shared" si="21"/>
        <v>12904</v>
      </c>
      <c r="G168" s="549">
        <f t="shared" si="19"/>
        <v>416.38999999999942</v>
      </c>
    </row>
    <row r="169" spans="1:7" ht="27.75">
      <c r="A169" s="1363" t="s">
        <v>110</v>
      </c>
      <c r="B169" s="1363"/>
      <c r="C169" s="1363"/>
      <c r="D169" s="599" t="s">
        <v>198</v>
      </c>
      <c r="E169" s="590">
        <f t="shared" si="20"/>
        <v>185945</v>
      </c>
      <c r="F169" s="590">
        <f t="shared" si="21"/>
        <v>186593</v>
      </c>
      <c r="G169" s="549">
        <f t="shared" si="19"/>
        <v>648</v>
      </c>
    </row>
    <row r="170" spans="1:7" ht="27.75">
      <c r="A170" s="1363" t="s">
        <v>111</v>
      </c>
      <c r="B170" s="1363"/>
      <c r="C170" s="1363"/>
      <c r="D170" s="599" t="s">
        <v>198</v>
      </c>
      <c r="E170" s="590">
        <f t="shared" si="20"/>
        <v>62030</v>
      </c>
      <c r="F170" s="590">
        <f t="shared" si="21"/>
        <v>62358</v>
      </c>
      <c r="G170" s="549">
        <f t="shared" si="19"/>
        <v>328</v>
      </c>
    </row>
    <row r="171" spans="1:7" ht="27.75">
      <c r="A171" s="1363" t="s">
        <v>112</v>
      </c>
      <c r="B171" s="1363"/>
      <c r="C171" s="1363"/>
      <c r="D171" s="599" t="s">
        <v>198</v>
      </c>
      <c r="E171" s="590">
        <f t="shared" si="20"/>
        <v>54472.81</v>
      </c>
      <c r="F171" s="590">
        <f t="shared" si="21"/>
        <v>54778</v>
      </c>
      <c r="G171" s="549">
        <f t="shared" si="19"/>
        <v>305.19000000000233</v>
      </c>
    </row>
    <row r="172" spans="1:7">
      <c r="G172" s="616">
        <f>SUM(G160:G171)</f>
        <v>3314.2570000000005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zoomScale="55" zoomScaleNormal="78" zoomScaleSheetLayoutView="55" workbookViewId="0">
      <selection activeCell="E7" sqref="E7"/>
    </sheetView>
  </sheetViews>
  <sheetFormatPr defaultColWidth="22.33203125" defaultRowHeight="29.2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56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5" width="22.33203125" style="870"/>
    <col min="16" max="16384" width="22.33203125" style="407"/>
  </cols>
  <sheetData>
    <row r="1" spans="1:15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5" s="281" customFormat="1" ht="27">
      <c r="A2" s="652" t="s">
        <v>284</v>
      </c>
      <c r="B2" s="1186">
        <v>43859</v>
      </c>
      <c r="C2" s="1254" t="s">
        <v>69</v>
      </c>
      <c r="D2" s="688">
        <v>0.66</v>
      </c>
      <c r="E2" s="836"/>
      <c r="F2" s="836"/>
      <c r="G2" s="537" t="s">
        <v>129</v>
      </c>
      <c r="H2" s="537" t="s">
        <v>6</v>
      </c>
      <c r="I2" s="537" t="s">
        <v>8</v>
      </c>
      <c r="J2" s="690" t="s">
        <v>130</v>
      </c>
      <c r="N2" s="870"/>
      <c r="O2" s="870"/>
    </row>
    <row r="3" spans="1:15" s="281" customFormat="1" ht="27">
      <c r="A3" s="647"/>
      <c r="B3" s="691"/>
      <c r="C3" s="1254" t="s">
        <v>131</v>
      </c>
      <c r="D3" s="689">
        <v>24</v>
      </c>
      <c r="E3" s="1408" t="s">
        <v>132</v>
      </c>
      <c r="F3" s="1409"/>
      <c r="G3" s="538"/>
      <c r="H3" s="539"/>
      <c r="I3" s="539"/>
      <c r="J3" s="692"/>
      <c r="K3" s="402"/>
      <c r="L3" s="293"/>
      <c r="N3" s="870"/>
      <c r="O3" s="870"/>
    </row>
    <row r="4" spans="1:15" s="281" customFormat="1" ht="27">
      <c r="A4" s="653"/>
      <c r="B4" s="693"/>
      <c r="C4" s="1254" t="s">
        <v>133</v>
      </c>
      <c r="D4" s="688">
        <v>0.78</v>
      </c>
      <c r="E4" s="539"/>
      <c r="F4" s="539"/>
      <c r="G4" s="540"/>
      <c r="H4" s="540"/>
      <c r="I4" s="541"/>
      <c r="J4" s="692"/>
      <c r="K4" s="403"/>
      <c r="L4" s="293"/>
      <c r="N4" s="872"/>
      <c r="O4" s="870"/>
    </row>
    <row r="5" spans="1:15">
      <c r="A5" s="654" t="s">
        <v>134</v>
      </c>
      <c r="B5" s="535"/>
      <c r="C5" s="535"/>
      <c r="D5" s="587" t="s">
        <v>135</v>
      </c>
      <c r="E5" s="590" t="s">
        <v>136</v>
      </c>
      <c r="F5" s="590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  <c r="N5" s="872"/>
    </row>
    <row r="6" spans="1:15">
      <c r="A6" s="1402" t="s">
        <v>141</v>
      </c>
      <c r="B6" s="1403"/>
      <c r="C6" s="1404"/>
      <c r="D6" s="547"/>
      <c r="E6" s="571"/>
      <c r="F6" s="571"/>
      <c r="G6" s="547"/>
      <c r="H6" s="548"/>
      <c r="I6" s="548"/>
      <c r="J6" s="628"/>
      <c r="K6" s="466"/>
      <c r="L6" s="408"/>
    </row>
    <row r="7" spans="1:15" ht="30" thickBot="1">
      <c r="A7" s="757" t="s">
        <v>142</v>
      </c>
      <c r="B7" s="758"/>
      <c r="C7" s="758"/>
      <c r="D7" s="715" t="s">
        <v>143</v>
      </c>
      <c r="E7" s="760">
        <f>'28'!F7</f>
        <v>3832072</v>
      </c>
      <c r="F7" s="536">
        <v>3850820</v>
      </c>
      <c r="G7" s="759">
        <f>F7-E7</f>
        <v>18748</v>
      </c>
      <c r="H7" s="760">
        <f>G7+'28'!H7</f>
        <v>564380</v>
      </c>
      <c r="I7" s="761">
        <f>'1'!I7</f>
        <v>12000</v>
      </c>
      <c r="J7" s="762">
        <f>H7/DAY(B2)</f>
        <v>19461.379310344826</v>
      </c>
      <c r="K7" s="626">
        <v>1703438</v>
      </c>
      <c r="L7" s="408">
        <v>1715917</v>
      </c>
      <c r="O7" s="873"/>
    </row>
    <row r="8" spans="1:15" ht="27.75" thickBot="1">
      <c r="A8" s="763" t="s">
        <v>144</v>
      </c>
      <c r="B8" s="764"/>
      <c r="C8" s="765"/>
      <c r="D8" s="766" t="s">
        <v>25</v>
      </c>
      <c r="E8" s="760">
        <f>'28'!F8</f>
        <v>3856131</v>
      </c>
      <c r="F8" s="837">
        <v>3875075</v>
      </c>
      <c r="G8" s="770">
        <f>F8-E8</f>
        <v>18944</v>
      </c>
      <c r="H8" s="760">
        <f>G8+'28'!H8</f>
        <v>568703</v>
      </c>
      <c r="I8" s="767"/>
      <c r="J8" s="762">
        <f>H8/DAY(B2)</f>
        <v>19610.448275862069</v>
      </c>
      <c r="K8" s="626">
        <v>1375467</v>
      </c>
      <c r="L8" s="464"/>
      <c r="M8" s="479"/>
      <c r="O8" s="873"/>
    </row>
    <row r="9" spans="1:15">
      <c r="A9" s="768" t="s">
        <v>145</v>
      </c>
      <c r="B9" s="769"/>
      <c r="C9" s="769"/>
      <c r="D9" s="715" t="s">
        <v>143</v>
      </c>
      <c r="E9" s="760">
        <f>'28'!F9</f>
        <v>2516698.5</v>
      </c>
      <c r="F9" s="838">
        <v>2522775</v>
      </c>
      <c r="G9" s="783">
        <f t="shared" ref="G9:G12" si="0">F9-E9</f>
        <v>6076.5</v>
      </c>
      <c r="H9" s="760">
        <f>G9+'28'!H9</f>
        <v>117560</v>
      </c>
      <c r="I9" s="771">
        <f>I7-J7</f>
        <v>-7461.3793103448261</v>
      </c>
      <c r="J9" s="762">
        <f>H9/DAY(B2)</f>
        <v>4053.7931034482758</v>
      </c>
      <c r="K9" s="467"/>
      <c r="L9" s="408"/>
      <c r="O9" s="873"/>
    </row>
    <row r="10" spans="1:15">
      <c r="A10" s="757" t="s">
        <v>146</v>
      </c>
      <c r="B10" s="758"/>
      <c r="C10" s="758"/>
      <c r="D10" s="715" t="s">
        <v>143</v>
      </c>
      <c r="E10" s="760">
        <f>'28'!F10</f>
        <v>1165093.3999999999</v>
      </c>
      <c r="F10" s="838">
        <v>1177122</v>
      </c>
      <c r="G10" s="770">
        <f t="shared" si="0"/>
        <v>12028.600000000093</v>
      </c>
      <c r="H10" s="760">
        <f>G10+'28'!H10</f>
        <v>426600.08999999997</v>
      </c>
      <c r="I10" s="772"/>
      <c r="J10" s="762">
        <f>H10/DAY(B2)</f>
        <v>14710.347931034481</v>
      </c>
      <c r="K10" s="467"/>
      <c r="L10" s="408"/>
    </row>
    <row r="11" spans="1:15">
      <c r="A11" s="757" t="s">
        <v>147</v>
      </c>
      <c r="B11" s="758"/>
      <c r="C11" s="758"/>
      <c r="D11" s="715" t="s">
        <v>143</v>
      </c>
      <c r="E11" s="760">
        <f>'28'!F11</f>
        <v>35390</v>
      </c>
      <c r="F11" s="536">
        <v>35390</v>
      </c>
      <c r="G11" s="770">
        <f t="shared" si="0"/>
        <v>0</v>
      </c>
      <c r="H11" s="760">
        <f>G11+'28'!H11</f>
        <v>0</v>
      </c>
      <c r="I11" s="772"/>
      <c r="J11" s="762">
        <f>H11/DAY(B2)</f>
        <v>0</v>
      </c>
      <c r="K11" s="467"/>
      <c r="L11" s="408"/>
    </row>
    <row r="12" spans="1:15">
      <c r="A12" s="757" t="s">
        <v>148</v>
      </c>
      <c r="B12" s="758"/>
      <c r="C12" s="758"/>
      <c r="D12" s="1207" t="s">
        <v>143</v>
      </c>
      <c r="E12" s="1201">
        <f>'28'!F12</f>
        <v>37630</v>
      </c>
      <c r="F12" s="838">
        <v>37630</v>
      </c>
      <c r="G12" s="770">
        <f t="shared" si="0"/>
        <v>0</v>
      </c>
      <c r="H12" s="760">
        <f>G12+'28'!H12</f>
        <v>0</v>
      </c>
      <c r="I12" s="772"/>
      <c r="J12" s="762">
        <f>H12/DAY(B2)</f>
        <v>0</v>
      </c>
      <c r="K12" s="467"/>
      <c r="L12" s="408"/>
    </row>
    <row r="13" spans="1:15">
      <c r="A13" s="773" t="s">
        <v>149</v>
      </c>
      <c r="B13" s="774"/>
      <c r="C13" s="774"/>
      <c r="D13" s="1207"/>
      <c r="E13" s="1201"/>
      <c r="F13" s="536"/>
      <c r="G13" s="775">
        <f>G9+G10+G11+G12</f>
        <v>18105.100000000093</v>
      </c>
      <c r="H13" s="1201">
        <f>G13+'28'!H13</f>
        <v>524639.09</v>
      </c>
      <c r="I13" s="1202">
        <f>G7-G13</f>
        <v>642.89999999990687</v>
      </c>
      <c r="J13" s="1203">
        <f>H13/DAY(B2)</f>
        <v>18091.003103448274</v>
      </c>
      <c r="K13" s="467"/>
      <c r="L13" s="408"/>
    </row>
    <row r="14" spans="1:15">
      <c r="A14" s="1405" t="s">
        <v>150</v>
      </c>
      <c r="B14" s="1406"/>
      <c r="C14" s="1407"/>
      <c r="D14" s="1204"/>
      <c r="E14" s="1208"/>
      <c r="F14" s="839"/>
      <c r="G14" s="559"/>
      <c r="H14" s="1204"/>
      <c r="I14" s="1204"/>
      <c r="J14" s="1205"/>
      <c r="K14" s="468"/>
      <c r="L14" s="408"/>
    </row>
    <row r="15" spans="1:15">
      <c r="A15" s="746" t="s">
        <v>151</v>
      </c>
      <c r="B15" s="747"/>
      <c r="C15" s="747"/>
      <c r="D15" s="1209" t="s">
        <v>152</v>
      </c>
      <c r="E15" s="1210">
        <f>'28'!F15</f>
        <v>1592074</v>
      </c>
      <c r="F15" s="840">
        <v>1592900.97</v>
      </c>
      <c r="G15" s="745">
        <f>(F15-E15)</f>
        <v>826.96999999997206</v>
      </c>
      <c r="H15" s="1197">
        <f>G15+'28'!H15</f>
        <v>23986.869999999879</v>
      </c>
      <c r="I15" s="1198">
        <f>'1'!I15</f>
        <v>800</v>
      </c>
      <c r="J15" s="1199">
        <f>H15/DAY(B2)</f>
        <v>827.13344827585786</v>
      </c>
      <c r="K15" s="467"/>
      <c r="L15" s="408"/>
    </row>
    <row r="16" spans="1:15">
      <c r="A16" s="754"/>
      <c r="B16" s="755"/>
      <c r="C16" s="755"/>
      <c r="D16" s="1209"/>
      <c r="E16" s="1210"/>
      <c r="F16" s="840"/>
      <c r="G16" s="750"/>
      <c r="H16" s="1197"/>
      <c r="I16" s="1200">
        <f>I15-J15</f>
        <v>-27.133448275857859</v>
      </c>
      <c r="J16" s="1199"/>
      <c r="K16" s="467"/>
      <c r="L16" s="408"/>
    </row>
    <row r="17" spans="1:15">
      <c r="A17" s="1405" t="s">
        <v>153</v>
      </c>
      <c r="B17" s="1406"/>
      <c r="C17" s="1407"/>
      <c r="D17" s="1204"/>
      <c r="E17" s="1208"/>
      <c r="F17" s="839"/>
      <c r="G17" s="564"/>
      <c r="H17" s="1204"/>
      <c r="I17" s="1204"/>
      <c r="J17" s="1205"/>
      <c r="K17" s="467"/>
      <c r="L17" s="408"/>
    </row>
    <row r="18" spans="1:15" ht="27.75">
      <c r="A18" s="1431" t="s">
        <v>154</v>
      </c>
      <c r="B18" s="1432"/>
      <c r="C18" s="1433"/>
      <c r="D18" s="715" t="s">
        <v>155</v>
      </c>
      <c r="E18" s="858">
        <f>'28'!F18</f>
        <v>12</v>
      </c>
      <c r="F18" s="838">
        <v>10</v>
      </c>
      <c r="G18" s="775">
        <f>F18*10</f>
        <v>100</v>
      </c>
      <c r="H18" s="1201">
        <f>G18+'28'!H18</f>
        <v>3490</v>
      </c>
      <c r="I18" s="1206">
        <f>'1'!I18</f>
        <v>65</v>
      </c>
      <c r="J18" s="1203">
        <f>H18/DAY(B2)</f>
        <v>120.34482758620689</v>
      </c>
      <c r="K18" s="467"/>
      <c r="L18" s="408"/>
    </row>
    <row r="19" spans="1:15" ht="27.75">
      <c r="A19" s="1431" t="s">
        <v>71</v>
      </c>
      <c r="B19" s="1432"/>
      <c r="C19" s="1433"/>
      <c r="D19" s="715" t="s">
        <v>155</v>
      </c>
      <c r="E19" s="858">
        <f>'28'!F19</f>
        <v>132892</v>
      </c>
      <c r="F19" s="838">
        <v>132943</v>
      </c>
      <c r="G19" s="770">
        <f t="shared" ref="G19" si="1">F19-E19</f>
        <v>51</v>
      </c>
      <c r="H19" s="760">
        <f>G19+'28'!H19</f>
        <v>1450</v>
      </c>
      <c r="I19" s="777"/>
      <c r="J19" s="762">
        <f>H19/DAY(B2)</f>
        <v>50</v>
      </c>
      <c r="K19" s="467"/>
      <c r="L19" s="408"/>
    </row>
    <row r="20" spans="1:15">
      <c r="A20" s="773" t="s">
        <v>156</v>
      </c>
      <c r="B20" s="774"/>
      <c r="C20" s="774"/>
      <c r="D20" s="715"/>
      <c r="E20" s="760"/>
      <c r="F20" s="536"/>
      <c r="G20" s="778">
        <f>G18+G19</f>
        <v>151</v>
      </c>
      <c r="H20" s="760">
        <f>G20+'28'!H20</f>
        <v>4940</v>
      </c>
      <c r="I20" s="779">
        <f>I18-J20</f>
        <v>-105.34482758620689</v>
      </c>
      <c r="J20" s="762">
        <f>H20/DAY(B2)</f>
        <v>170.34482758620689</v>
      </c>
      <c r="K20" s="467"/>
      <c r="L20" s="408"/>
    </row>
    <row r="21" spans="1:15">
      <c r="A21" s="1405" t="s">
        <v>157</v>
      </c>
      <c r="B21" s="1406"/>
      <c r="C21" s="1407"/>
      <c r="D21" s="548"/>
      <c r="E21" s="839"/>
      <c r="F21" s="839"/>
      <c r="G21" s="559"/>
      <c r="H21" s="548"/>
      <c r="I21" s="548"/>
      <c r="J21" s="628"/>
      <c r="K21" s="467"/>
      <c r="L21" s="408"/>
    </row>
    <row r="22" spans="1:15">
      <c r="A22" s="1252" t="s">
        <v>158</v>
      </c>
      <c r="B22" s="666"/>
      <c r="C22" s="666"/>
      <c r="D22" s="599" t="s">
        <v>159</v>
      </c>
      <c r="E22" s="859">
        <f>'28'!F22</f>
        <v>2970</v>
      </c>
      <c r="F22" s="838">
        <v>2970</v>
      </c>
      <c r="G22" s="557">
        <f t="shared" ref="G22" si="2">(F22-E22)</f>
        <v>0</v>
      </c>
      <c r="H22" s="536">
        <f>G22+'28'!H22</f>
        <v>0</v>
      </c>
      <c r="I22" s="556"/>
      <c r="J22" s="629">
        <f>H22/DAY(B2)</f>
        <v>0</v>
      </c>
      <c r="K22" s="467"/>
      <c r="L22" s="408"/>
    </row>
    <row r="23" spans="1:15">
      <c r="A23" s="1252" t="s">
        <v>160</v>
      </c>
      <c r="B23" s="666"/>
      <c r="C23" s="666"/>
      <c r="D23" s="599" t="s">
        <v>159</v>
      </c>
      <c r="E23" s="859">
        <f>'28'!F23</f>
        <v>1900</v>
      </c>
      <c r="F23" s="838">
        <v>1900</v>
      </c>
      <c r="G23" s="557">
        <v>0</v>
      </c>
      <c r="H23" s="536">
        <f>G23+'28'!H23</f>
        <v>0</v>
      </c>
      <c r="I23" s="556"/>
      <c r="J23" s="629">
        <f>H23/DAY(B2)</f>
        <v>0</v>
      </c>
      <c r="K23" s="467"/>
      <c r="L23" s="408"/>
    </row>
    <row r="24" spans="1:15">
      <c r="A24" s="667" t="s">
        <v>161</v>
      </c>
      <c r="B24" s="668"/>
      <c r="C24" s="668"/>
      <c r="D24" s="587" t="s">
        <v>159</v>
      </c>
      <c r="E24" s="860">
        <f>'28'!F24</f>
        <v>4970</v>
      </c>
      <c r="F24" s="841">
        <v>4970</v>
      </c>
      <c r="G24" s="557">
        <v>0</v>
      </c>
      <c r="H24" s="536">
        <f>G24+'28'!H24</f>
        <v>0</v>
      </c>
      <c r="I24" s="556"/>
      <c r="J24" s="629">
        <f>H24/DAY(B2)</f>
        <v>0</v>
      </c>
      <c r="K24" s="467"/>
      <c r="L24" s="408"/>
    </row>
    <row r="25" spans="1:15" s="481" customFormat="1" ht="27">
      <c r="A25" s="1410" t="s">
        <v>162</v>
      </c>
      <c r="B25" s="1411"/>
      <c r="C25" s="1412"/>
      <c r="D25" s="547"/>
      <c r="E25" s="571"/>
      <c r="F25" s="571"/>
      <c r="G25" s="570"/>
      <c r="H25" s="571"/>
      <c r="I25" s="572"/>
      <c r="J25" s="631"/>
      <c r="K25" s="404"/>
      <c r="L25" s="484"/>
      <c r="N25" s="870"/>
      <c r="O25" s="870"/>
    </row>
    <row r="26" spans="1:15" s="481" customFormat="1" ht="27">
      <c r="A26" s="669" t="s">
        <v>163</v>
      </c>
      <c r="B26" s="670"/>
      <c r="C26" s="671"/>
      <c r="D26" s="695" t="s">
        <v>164</v>
      </c>
      <c r="E26" s="861"/>
      <c r="F26" s="536"/>
      <c r="G26" s="574"/>
      <c r="H26" s="536"/>
      <c r="I26" s="575"/>
      <c r="J26" s="629"/>
      <c r="K26" s="405"/>
      <c r="L26" s="484"/>
      <c r="N26" s="870"/>
      <c r="O26" s="870"/>
    </row>
    <row r="27" spans="1:15" s="481" customFormat="1" ht="27">
      <c r="A27" s="669" t="s">
        <v>6</v>
      </c>
      <c r="B27" s="670"/>
      <c r="C27" s="671"/>
      <c r="D27" s="696" t="s">
        <v>25</v>
      </c>
      <c r="E27" s="780">
        <f>G8</f>
        <v>18944</v>
      </c>
      <c r="F27" s="577">
        <v>9</v>
      </c>
      <c r="G27" s="578">
        <f>E27*F27</f>
        <v>170496</v>
      </c>
      <c r="H27" s="536">
        <f>G27+'28'!H27</f>
        <v>5136402</v>
      </c>
      <c r="I27" s="579"/>
      <c r="J27" s="629">
        <f>H27/DAY(B2)</f>
        <v>177117.31034482759</v>
      </c>
      <c r="K27" s="404"/>
      <c r="L27" s="484"/>
      <c r="N27" s="870"/>
      <c r="O27" s="870"/>
    </row>
    <row r="28" spans="1:15" s="481" customFormat="1" ht="27">
      <c r="A28" s="669" t="s">
        <v>165</v>
      </c>
      <c r="B28" s="670"/>
      <c r="C28" s="671"/>
      <c r="D28" s="696" t="s">
        <v>166</v>
      </c>
      <c r="E28" s="780">
        <f>G15</f>
        <v>826.96999999997206</v>
      </c>
      <c r="F28" s="577">
        <v>41</v>
      </c>
      <c r="G28" s="578">
        <f>E28*F28</f>
        <v>33905.769999998854</v>
      </c>
      <c r="H28" s="536">
        <f>G28+'28'!H28</f>
        <v>982220.30999999505</v>
      </c>
      <c r="I28" s="581"/>
      <c r="J28" s="629">
        <f>H28/DAY(B2)</f>
        <v>33869.665862068796</v>
      </c>
      <c r="K28" s="404"/>
      <c r="L28" s="484"/>
      <c r="N28" s="870"/>
      <c r="O28" s="870"/>
    </row>
    <row r="29" spans="1:15" s="481" customFormat="1" ht="27">
      <c r="A29" s="669" t="s">
        <v>167</v>
      </c>
      <c r="B29" s="670"/>
      <c r="C29" s="671"/>
      <c r="D29" s="696" t="s">
        <v>168</v>
      </c>
      <c r="E29" s="780">
        <f>G24</f>
        <v>0</v>
      </c>
      <c r="F29" s="780">
        <v>69</v>
      </c>
      <c r="G29" s="578">
        <f>E29*F29</f>
        <v>0</v>
      </c>
      <c r="H29" s="536">
        <f>G29+'28'!H29</f>
        <v>0</v>
      </c>
      <c r="I29" s="581"/>
      <c r="J29" s="629">
        <f>H29/DAY(B2)</f>
        <v>0</v>
      </c>
      <c r="K29" s="404"/>
      <c r="L29" s="484"/>
      <c r="N29" s="870"/>
      <c r="O29" s="870"/>
    </row>
    <row r="30" spans="1:15" s="481" customFormat="1" ht="27">
      <c r="A30" s="669" t="s">
        <v>169</v>
      </c>
      <c r="B30" s="670"/>
      <c r="C30" s="671"/>
      <c r="D30" s="696" t="s">
        <v>170</v>
      </c>
      <c r="E30" s="780">
        <f>G19</f>
        <v>51</v>
      </c>
      <c r="F30" s="780">
        <v>134</v>
      </c>
      <c r="G30" s="578">
        <f>E30*F30</f>
        <v>6834</v>
      </c>
      <c r="H30" s="536">
        <f>G30+'28'!H30</f>
        <v>194300</v>
      </c>
      <c r="I30" s="581"/>
      <c r="J30" s="629">
        <f>H30/DAY(B2)</f>
        <v>6700</v>
      </c>
      <c r="K30" s="404"/>
      <c r="L30" s="484"/>
      <c r="N30" s="870"/>
      <c r="O30" s="870"/>
    </row>
    <row r="31" spans="1:15" s="481" customFormat="1" ht="27">
      <c r="A31" s="669" t="s">
        <v>171</v>
      </c>
      <c r="B31" s="670"/>
      <c r="C31" s="671"/>
      <c r="D31" s="696" t="s">
        <v>155</v>
      </c>
      <c r="E31" s="780">
        <f>G18</f>
        <v>100</v>
      </c>
      <c r="F31" s="780">
        <v>80</v>
      </c>
      <c r="G31" s="578">
        <f>E31*F31</f>
        <v>8000</v>
      </c>
      <c r="H31" s="536">
        <f>G31+'28'!H31</f>
        <v>279200</v>
      </c>
      <c r="I31" s="581"/>
      <c r="J31" s="629"/>
      <c r="K31" s="404"/>
      <c r="L31" s="484"/>
      <c r="N31" s="870"/>
      <c r="O31" s="870"/>
    </row>
    <row r="32" spans="1:15" s="481" customFormat="1" ht="27">
      <c r="A32" s="672" t="s">
        <v>172</v>
      </c>
      <c r="B32" s="673"/>
      <c r="C32" s="674"/>
      <c r="D32" s="583"/>
      <c r="E32" s="862"/>
      <c r="F32" s="562"/>
      <c r="G32" s="584">
        <f>G27+G28+G29+G30+G31</f>
        <v>219235.76999999885</v>
      </c>
      <c r="H32" s="536">
        <f>G32+'28'!H32</f>
        <v>6592122.3099999959</v>
      </c>
      <c r="I32" s="585"/>
      <c r="J32" s="629">
        <f>H32/DAY(B2)</f>
        <v>227314.56241379297</v>
      </c>
      <c r="K32" s="404"/>
      <c r="L32" s="484"/>
      <c r="N32" s="870"/>
      <c r="O32" s="870"/>
    </row>
    <row r="33" spans="1:15" ht="25.5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</row>
    <row r="34" spans="1:15">
      <c r="A34" s="675" t="s">
        <v>174</v>
      </c>
      <c r="B34" s="1257"/>
      <c r="C34" s="1257"/>
      <c r="D34" s="548"/>
      <c r="E34" s="571"/>
      <c r="F34" s="571"/>
      <c r="G34" s="548"/>
      <c r="H34" s="548"/>
      <c r="I34" s="548"/>
      <c r="J34" s="628"/>
      <c r="K34" s="467"/>
      <c r="L34" s="408"/>
    </row>
    <row r="35" spans="1:15">
      <c r="A35" s="655" t="s">
        <v>175</v>
      </c>
      <c r="B35" s="656"/>
      <c r="C35" s="656"/>
      <c r="D35" s="599" t="s">
        <v>143</v>
      </c>
      <c r="E35" s="842">
        <f>'28'!F35</f>
        <v>629028</v>
      </c>
      <c r="F35" s="842">
        <v>629028</v>
      </c>
      <c r="G35" s="549">
        <f t="shared" ref="G35:G46" si="3">F35-E35</f>
        <v>0</v>
      </c>
      <c r="H35" s="536">
        <f>G35+'28'!H35</f>
        <v>1</v>
      </c>
      <c r="I35" s="531"/>
      <c r="J35" s="629">
        <f>H35/DAY(B2)</f>
        <v>3.4482758620689655E-2</v>
      </c>
      <c r="K35" s="467"/>
      <c r="L35" s="408"/>
    </row>
    <row r="36" spans="1:15">
      <c r="A36" s="655" t="s">
        <v>176</v>
      </c>
      <c r="B36" s="656"/>
      <c r="C36" s="656"/>
      <c r="D36" s="599" t="s">
        <v>143</v>
      </c>
      <c r="E36" s="842">
        <f>'28'!F36</f>
        <v>274786</v>
      </c>
      <c r="F36" s="842">
        <v>275372.73</v>
      </c>
      <c r="G36" s="549">
        <f t="shared" si="3"/>
        <v>586.72999999998137</v>
      </c>
      <c r="H36" s="536">
        <f>G36+'28'!H36</f>
        <v>20281.659999999974</v>
      </c>
      <c r="I36" s="531"/>
      <c r="J36" s="629">
        <f>H36/DAY(B2)</f>
        <v>699.36758620689568</v>
      </c>
      <c r="K36" s="467"/>
      <c r="L36" s="408"/>
    </row>
    <row r="37" spans="1:15" s="480" customFormat="1">
      <c r="A37" s="1213" t="s">
        <v>177</v>
      </c>
      <c r="B37" s="1217"/>
      <c r="C37" s="1217"/>
      <c r="D37" s="704" t="s">
        <v>143</v>
      </c>
      <c r="E37" s="843">
        <f>'28'!F37</f>
        <v>415066</v>
      </c>
      <c r="F37" s="843">
        <v>415066</v>
      </c>
      <c r="G37" s="733">
        <f t="shared" si="3"/>
        <v>0</v>
      </c>
      <c r="H37" s="805">
        <f>G37+'28'!H37</f>
        <v>0</v>
      </c>
      <c r="I37" s="806"/>
      <c r="J37" s="807">
        <f>H37/DAY(B2)</f>
        <v>0</v>
      </c>
      <c r="K37" s="1215"/>
      <c r="L37" s="1216"/>
      <c r="N37" s="871"/>
      <c r="O37" s="871"/>
    </row>
    <row r="38" spans="1:15" s="480" customFormat="1">
      <c r="A38" s="1213" t="s">
        <v>178</v>
      </c>
      <c r="B38" s="1217"/>
      <c r="C38" s="1217"/>
      <c r="D38" s="704" t="s">
        <v>143</v>
      </c>
      <c r="E38" s="843">
        <f>'28'!F38</f>
        <v>150714</v>
      </c>
      <c r="F38" s="1218">
        <v>150714</v>
      </c>
      <c r="G38" s="733">
        <f t="shared" si="3"/>
        <v>0</v>
      </c>
      <c r="H38" s="805">
        <f>G38+'28'!H38</f>
        <v>0</v>
      </c>
      <c r="I38" s="806"/>
      <c r="J38" s="807">
        <f>H38/DAY(B2)</f>
        <v>0</v>
      </c>
      <c r="K38" s="1215"/>
      <c r="L38" s="1216"/>
      <c r="N38" s="871"/>
      <c r="O38" s="871"/>
    </row>
    <row r="39" spans="1:15" s="480" customFormat="1">
      <c r="A39" s="1213" t="s">
        <v>179</v>
      </c>
      <c r="B39" s="1217"/>
      <c r="C39" s="1217"/>
      <c r="D39" s="704" t="s">
        <v>143</v>
      </c>
      <c r="E39" s="843">
        <f>'28'!F39</f>
        <v>912480</v>
      </c>
      <c r="F39" s="843">
        <v>912480</v>
      </c>
      <c r="G39" s="733">
        <f t="shared" si="3"/>
        <v>0</v>
      </c>
      <c r="H39" s="805">
        <f>G39+'28'!H39</f>
        <v>0</v>
      </c>
      <c r="I39" s="806"/>
      <c r="J39" s="807">
        <f>H39/DAY(B2)</f>
        <v>0</v>
      </c>
      <c r="K39" s="1215"/>
      <c r="L39" s="1216"/>
      <c r="N39" s="871"/>
      <c r="O39" s="871"/>
    </row>
    <row r="40" spans="1:15" s="480" customFormat="1">
      <c r="A40" s="1219" t="s">
        <v>180</v>
      </c>
      <c r="B40" s="1220"/>
      <c r="C40" s="1220"/>
      <c r="D40" s="704" t="s">
        <v>143</v>
      </c>
      <c r="E40" s="843">
        <f>'28'!F40</f>
        <v>0</v>
      </c>
      <c r="F40" s="843">
        <v>0</v>
      </c>
      <c r="G40" s="733">
        <f t="shared" si="3"/>
        <v>0</v>
      </c>
      <c r="H40" s="805">
        <f>G40+'28'!H40</f>
        <v>0</v>
      </c>
      <c r="I40" s="806"/>
      <c r="J40" s="807">
        <f>H40/DAY(B2)</f>
        <v>0</v>
      </c>
      <c r="K40" s="1221"/>
      <c r="L40" s="1216"/>
      <c r="N40" s="871"/>
      <c r="O40" s="871"/>
    </row>
    <row r="41" spans="1:15" s="480" customFormat="1">
      <c r="A41" s="1213" t="s">
        <v>181</v>
      </c>
      <c r="B41" s="1217"/>
      <c r="C41" s="1217"/>
      <c r="D41" s="704" t="s">
        <v>143</v>
      </c>
      <c r="E41" s="843">
        <f>'28'!F41</f>
        <v>33797.56</v>
      </c>
      <c r="F41" s="843">
        <v>37220</v>
      </c>
      <c r="G41" s="733">
        <f>F41-E41</f>
        <v>3422.4400000000023</v>
      </c>
      <c r="H41" s="805">
        <f>G41+'28'!H41</f>
        <v>37220</v>
      </c>
      <c r="I41" s="806"/>
      <c r="J41" s="807">
        <f>H41/DAY(B2)</f>
        <v>1283.4482758620691</v>
      </c>
      <c r="K41" s="1215"/>
      <c r="L41" s="1216"/>
      <c r="N41" s="871"/>
      <c r="O41" s="871"/>
    </row>
    <row r="42" spans="1:15">
      <c r="A42" s="655" t="s">
        <v>182</v>
      </c>
      <c r="B42" s="656"/>
      <c r="C42" s="656"/>
      <c r="D42" s="599" t="s">
        <v>143</v>
      </c>
      <c r="E42" s="842">
        <f>'28'!F42</f>
        <v>58926</v>
      </c>
      <c r="F42" s="842">
        <v>58926</v>
      </c>
      <c r="G42" s="549">
        <f t="shared" si="3"/>
        <v>0</v>
      </c>
      <c r="H42" s="536">
        <f>G42+'28'!H42</f>
        <v>-8.999999999650754E-2</v>
      </c>
      <c r="I42" s="531"/>
      <c r="J42" s="629">
        <f>H42/DAY(B2)</f>
        <v>-3.1034482757416391E-3</v>
      </c>
      <c r="K42" s="467"/>
      <c r="L42" s="408"/>
    </row>
    <row r="43" spans="1:15">
      <c r="A43" s="655" t="s">
        <v>183</v>
      </c>
      <c r="B43" s="656"/>
      <c r="C43" s="656"/>
      <c r="D43" s="599" t="s">
        <v>143</v>
      </c>
      <c r="E43" s="842">
        <f>'28'!F43</f>
        <v>760836</v>
      </c>
      <c r="F43" s="842">
        <v>763162.63</v>
      </c>
      <c r="G43" s="549">
        <f t="shared" si="3"/>
        <v>2326.6300000000047</v>
      </c>
      <c r="H43" s="536">
        <f>G43+'28'!H43</f>
        <v>64909.199999999953</v>
      </c>
      <c r="I43" s="531"/>
      <c r="J43" s="629">
        <f>H43/DAY(B2)</f>
        <v>2238.2482758620672</v>
      </c>
      <c r="K43" s="467"/>
      <c r="L43" s="408"/>
    </row>
    <row r="44" spans="1:15">
      <c r="A44" s="655" t="s">
        <v>184</v>
      </c>
      <c r="B44" s="656"/>
      <c r="C44" s="656"/>
      <c r="D44" s="599" t="s">
        <v>143</v>
      </c>
      <c r="E44" s="842">
        <f>'28'!F44</f>
        <v>0</v>
      </c>
      <c r="F44" s="842">
        <v>0</v>
      </c>
      <c r="G44" s="549">
        <f t="shared" si="3"/>
        <v>0</v>
      </c>
      <c r="H44" s="536">
        <f>G44+'28'!H44</f>
        <v>0</v>
      </c>
      <c r="I44" s="531"/>
      <c r="J44" s="629">
        <f>H44/DAY(B2)</f>
        <v>0</v>
      </c>
      <c r="K44" s="467"/>
      <c r="L44" s="408"/>
    </row>
    <row r="45" spans="1:15">
      <c r="A45" s="655" t="s">
        <v>185</v>
      </c>
      <c r="B45" s="656"/>
      <c r="C45" s="656"/>
      <c r="D45" s="599" t="s">
        <v>143</v>
      </c>
      <c r="E45" s="842">
        <f>'28'!F45</f>
        <v>614</v>
      </c>
      <c r="F45" s="842">
        <v>614.48</v>
      </c>
      <c r="G45" s="549">
        <f t="shared" si="3"/>
        <v>0.48000000000001819</v>
      </c>
      <c r="H45" s="536">
        <f>G45+'28'!H45</f>
        <v>0</v>
      </c>
      <c r="I45" s="531"/>
      <c r="J45" s="629">
        <f>H45/DAY(B2)</f>
        <v>0</v>
      </c>
      <c r="K45" s="467"/>
      <c r="L45" s="408"/>
    </row>
    <row r="46" spans="1:15">
      <c r="A46" s="655" t="s">
        <v>186</v>
      </c>
      <c r="B46" s="656"/>
      <c r="C46" s="656"/>
      <c r="D46" s="599" t="s">
        <v>143</v>
      </c>
      <c r="E46" s="842">
        <f>'28'!F46</f>
        <v>187</v>
      </c>
      <c r="F46" s="842">
        <v>187.49</v>
      </c>
      <c r="G46" s="549">
        <f t="shared" si="3"/>
        <v>0.49000000000000909</v>
      </c>
      <c r="H46" s="536">
        <f>G46+'28'!H46</f>
        <v>0</v>
      </c>
      <c r="I46" s="531"/>
      <c r="J46" s="629">
        <f>H46/DAY(B2)</f>
        <v>0</v>
      </c>
      <c r="K46" s="467"/>
      <c r="L46" s="408"/>
    </row>
    <row r="47" spans="1:15">
      <c r="A47" s="662" t="s">
        <v>187</v>
      </c>
      <c r="B47" s="663"/>
      <c r="C47" s="663"/>
      <c r="D47" s="546"/>
      <c r="E47" s="546"/>
      <c r="F47" s="546"/>
      <c r="G47" s="557">
        <f>G35+G36+G37+G38+G39+G40+G41+G42+G43+G44+G45+G46</f>
        <v>6336.7699999999877</v>
      </c>
      <c r="H47" s="536">
        <f>G47+'28'!H47</f>
        <v>122411.76999999993</v>
      </c>
      <c r="I47" s="531"/>
      <c r="J47" s="629">
        <f>H47/DAY(B2)</f>
        <v>4221.0955172413769</v>
      </c>
      <c r="K47" s="467"/>
      <c r="L47" s="408"/>
    </row>
    <row r="48" spans="1:15">
      <c r="A48" s="675" t="s">
        <v>188</v>
      </c>
      <c r="B48" s="1257"/>
      <c r="C48" s="1257"/>
      <c r="D48" s="548"/>
      <c r="E48" s="571"/>
      <c r="F48" s="571"/>
      <c r="G48" s="548"/>
      <c r="H48" s="548"/>
      <c r="I48" s="548"/>
      <c r="J48" s="628"/>
      <c r="K48" s="467"/>
      <c r="L48" s="408"/>
    </row>
    <row r="49" spans="1:15" s="480" customFormat="1">
      <c r="A49" s="1213" t="s">
        <v>175</v>
      </c>
      <c r="B49" s="1214"/>
      <c r="C49" s="1214"/>
      <c r="D49" s="704" t="s">
        <v>143</v>
      </c>
      <c r="E49" s="843">
        <f>'28'!F49</f>
        <v>236927</v>
      </c>
      <c r="F49" s="843">
        <v>239985.55</v>
      </c>
      <c r="G49" s="733">
        <f t="shared" ref="G49:G58" si="4">F49-E49</f>
        <v>3058.5499999999884</v>
      </c>
      <c r="H49" s="805">
        <f>G49+'28'!H49</f>
        <v>87580.549999999988</v>
      </c>
      <c r="I49" s="806"/>
      <c r="J49" s="807">
        <f>H49/DAY(B2)</f>
        <v>3020.0189655172408</v>
      </c>
      <c r="K49" s="1215"/>
      <c r="L49" s="1216"/>
      <c r="N49" s="871"/>
      <c r="O49" s="871"/>
    </row>
    <row r="50" spans="1:15" s="480" customFormat="1">
      <c r="A50" s="1213" t="s">
        <v>189</v>
      </c>
      <c r="B50" s="1214" t="s">
        <v>295</v>
      </c>
      <c r="C50" s="1214"/>
      <c r="D50" s="704" t="s">
        <v>143</v>
      </c>
      <c r="E50" s="843">
        <f>'28'!F50</f>
        <v>365372</v>
      </c>
      <c r="F50" s="843">
        <v>366480.97</v>
      </c>
      <c r="G50" s="733">
        <f t="shared" si="4"/>
        <v>1108.9699999999721</v>
      </c>
      <c r="H50" s="805">
        <f>G50+'28'!H50</f>
        <v>30263.539999999979</v>
      </c>
      <c r="I50" s="806"/>
      <c r="J50" s="807">
        <f>H50/DAY(B2)</f>
        <v>1043.5703448275856</v>
      </c>
      <c r="K50" s="1215"/>
      <c r="L50" s="1216"/>
      <c r="N50" s="871"/>
      <c r="O50" s="871"/>
    </row>
    <row r="51" spans="1:15" s="480" customFormat="1">
      <c r="A51" s="1213" t="s">
        <v>177</v>
      </c>
      <c r="B51" s="1214"/>
      <c r="C51" s="1214"/>
      <c r="D51" s="704" t="s">
        <v>143</v>
      </c>
      <c r="E51" s="843">
        <f>'28'!F51</f>
        <v>105472</v>
      </c>
      <c r="F51" s="843">
        <v>107035</v>
      </c>
      <c r="G51" s="733">
        <f t="shared" si="4"/>
        <v>1563</v>
      </c>
      <c r="H51" s="805">
        <f>G51+'28'!H51</f>
        <v>40876.89</v>
      </c>
      <c r="I51" s="806"/>
      <c r="J51" s="807">
        <f>H51/DAY(B2)</f>
        <v>1409.5479310344826</v>
      </c>
      <c r="K51" s="1215"/>
      <c r="L51" s="1216"/>
      <c r="N51" s="871"/>
      <c r="O51" s="871"/>
    </row>
    <row r="52" spans="1:15" s="480" customFormat="1">
      <c r="A52" s="1213" t="s">
        <v>190</v>
      </c>
      <c r="B52" s="1214"/>
      <c r="C52" s="1214"/>
      <c r="D52" s="704" t="s">
        <v>143</v>
      </c>
      <c r="E52" s="843">
        <f>'28'!F52</f>
        <v>487847</v>
      </c>
      <c r="F52" s="843">
        <v>489802</v>
      </c>
      <c r="G52" s="733">
        <f t="shared" si="4"/>
        <v>1955</v>
      </c>
      <c r="H52" s="805">
        <f>G52+'28'!H52</f>
        <v>54526.369999999995</v>
      </c>
      <c r="I52" s="806"/>
      <c r="J52" s="807">
        <f>H52/DAY(B2)</f>
        <v>1880.2196551724137</v>
      </c>
      <c r="K52" s="1215"/>
      <c r="L52" s="1216"/>
      <c r="N52" s="871"/>
      <c r="O52" s="871"/>
    </row>
    <row r="53" spans="1:15" s="480" customFormat="1">
      <c r="A53" s="1213" t="s">
        <v>179</v>
      </c>
      <c r="B53" s="1214"/>
      <c r="C53" s="1214"/>
      <c r="D53" s="704" t="s">
        <v>143</v>
      </c>
      <c r="E53" s="843">
        <f>'28'!F53</f>
        <v>291747</v>
      </c>
      <c r="F53" s="843">
        <v>295932.96999999997</v>
      </c>
      <c r="G53" s="733">
        <f t="shared" si="4"/>
        <v>4185.9699999999721</v>
      </c>
      <c r="H53" s="805">
        <f>G53+'28'!H53</f>
        <v>114867.99999999997</v>
      </c>
      <c r="I53" s="806"/>
      <c r="J53" s="807">
        <f>H53/DAY(B2)</f>
        <v>3960.9655172413782</v>
      </c>
      <c r="K53" s="1215"/>
      <c r="L53" s="1216"/>
      <c r="N53" s="871"/>
      <c r="O53" s="871"/>
    </row>
    <row r="54" spans="1:15">
      <c r="A54" s="655" t="s">
        <v>191</v>
      </c>
      <c r="B54" s="678"/>
      <c r="C54" s="678"/>
      <c r="D54" s="599" t="s">
        <v>143</v>
      </c>
      <c r="E54" s="843">
        <f>'28'!F54</f>
        <v>6177</v>
      </c>
      <c r="F54" s="842">
        <v>6228.8</v>
      </c>
      <c r="G54" s="549">
        <f t="shared" si="4"/>
        <v>51.800000000000182</v>
      </c>
      <c r="H54" s="536">
        <f>G54+'28'!H54</f>
        <v>1582.2600000000002</v>
      </c>
      <c r="I54" s="531"/>
      <c r="J54" s="629">
        <f>H54/DAY(B2)</f>
        <v>54.560689655172425</v>
      </c>
      <c r="K54" s="467"/>
      <c r="L54" s="408"/>
    </row>
    <row r="55" spans="1:15">
      <c r="A55" s="655" t="s">
        <v>192</v>
      </c>
      <c r="B55" s="678"/>
      <c r="C55" s="678"/>
      <c r="D55" s="599" t="s">
        <v>143</v>
      </c>
      <c r="E55" s="843">
        <f>'28'!F55</f>
        <v>39121</v>
      </c>
      <c r="F55" s="843">
        <v>39121</v>
      </c>
      <c r="G55" s="733">
        <f t="shared" si="4"/>
        <v>0</v>
      </c>
      <c r="H55" s="805">
        <f>G55+'28'!H55</f>
        <v>39120.73000000001</v>
      </c>
      <c r="I55" s="806"/>
      <c r="J55" s="807">
        <f>H55/DAY(B2)</f>
        <v>1348.9906896551727</v>
      </c>
      <c r="K55" s="467"/>
      <c r="L55" s="408"/>
    </row>
    <row r="56" spans="1:15">
      <c r="A56" s="655" t="s">
        <v>193</v>
      </c>
      <c r="B56" s="678"/>
      <c r="C56" s="678"/>
      <c r="D56" s="599" t="s">
        <v>194</v>
      </c>
      <c r="E56" s="843">
        <f>'28'!F56</f>
        <v>557730</v>
      </c>
      <c r="F56" s="843">
        <v>557730</v>
      </c>
      <c r="G56" s="549">
        <f t="shared" si="4"/>
        <v>0</v>
      </c>
      <c r="H56" s="536">
        <f>G56+'28'!H56</f>
        <v>39829.25</v>
      </c>
      <c r="I56" s="531"/>
      <c r="J56" s="629">
        <f>H56/DAY(B2)</f>
        <v>1373.4224137931035</v>
      </c>
      <c r="K56" s="466"/>
      <c r="L56" s="408"/>
    </row>
    <row r="57" spans="1:15">
      <c r="A57" s="655" t="s">
        <v>183</v>
      </c>
      <c r="B57" s="678"/>
      <c r="C57" s="678"/>
      <c r="D57" s="599" t="s">
        <v>143</v>
      </c>
      <c r="E57" s="843">
        <f>'28'!F57</f>
        <v>0</v>
      </c>
      <c r="F57" s="842">
        <v>0</v>
      </c>
      <c r="G57" s="549">
        <f t="shared" si="4"/>
        <v>0</v>
      </c>
      <c r="H57" s="536">
        <f>G57+'28'!H57</f>
        <v>0</v>
      </c>
      <c r="I57" s="531"/>
      <c r="J57" s="629">
        <f>H57/DAY(B2)</f>
        <v>0</v>
      </c>
      <c r="K57" s="467"/>
      <c r="L57" s="408"/>
    </row>
    <row r="58" spans="1:15">
      <c r="A58" s="655" t="s">
        <v>195</v>
      </c>
      <c r="B58" s="678"/>
      <c r="C58" s="678"/>
      <c r="D58" s="599" t="s">
        <v>143</v>
      </c>
      <c r="E58" s="843">
        <f>'28'!F58</f>
        <v>30038</v>
      </c>
      <c r="F58" s="843">
        <v>30214.39</v>
      </c>
      <c r="G58" s="549">
        <f t="shared" si="4"/>
        <v>176.38999999999942</v>
      </c>
      <c r="H58" s="536">
        <f>G58+'28'!H58</f>
        <v>5058.9799999999996</v>
      </c>
      <c r="I58" s="531"/>
      <c r="J58" s="629">
        <f>H58/DAY(B2)</f>
        <v>174.44758620689655</v>
      </c>
      <c r="K58" s="467"/>
      <c r="L58" s="408"/>
    </row>
    <row r="59" spans="1:15">
      <c r="A59" s="662">
        <v>1</v>
      </c>
      <c r="B59" s="663"/>
      <c r="C59" s="663"/>
      <c r="D59" s="587"/>
      <c r="E59" s="546"/>
      <c r="F59" s="546"/>
      <c r="G59" s="557">
        <f>G49+G50+G51+G52+G53+G54+G55+G56+G57+G58</f>
        <v>12099.679999999931</v>
      </c>
      <c r="H59" s="536">
        <f>G59+'28'!H59</f>
        <v>413706.57</v>
      </c>
      <c r="I59" s="531">
        <f>G7-G60</f>
        <v>311.55000000008295</v>
      </c>
      <c r="J59" s="629">
        <f>H59/DAY(B2)</f>
        <v>14265.743793103449</v>
      </c>
      <c r="K59" s="467"/>
      <c r="L59" s="408"/>
      <c r="O59" s="870">
        <f>159+122+341+154</f>
        <v>776</v>
      </c>
    </row>
    <row r="60" spans="1:15">
      <c r="A60" s="655"/>
      <c r="B60" s="656"/>
      <c r="C60" s="656"/>
      <c r="D60" s="587" t="s">
        <v>196</v>
      </c>
      <c r="E60" s="546"/>
      <c r="F60" s="546"/>
      <c r="G60" s="557">
        <f>G47+G59</f>
        <v>18436.449999999917</v>
      </c>
      <c r="H60" s="536">
        <f>G60+'28'!H60</f>
        <v>553152.34</v>
      </c>
      <c r="I60" s="531">
        <f>G13-G60</f>
        <v>-331.34999999982392</v>
      </c>
      <c r="J60" s="629">
        <f>H60/DAY(B2)</f>
        <v>19074.218620689655</v>
      </c>
      <c r="K60" s="467"/>
      <c r="L60" s="408"/>
    </row>
    <row r="61" spans="1:15">
      <c r="A61" s="679" t="s">
        <v>197</v>
      </c>
      <c r="B61" s="529"/>
      <c r="C61" s="529"/>
      <c r="D61" s="589"/>
      <c r="E61" s="844"/>
      <c r="F61" s="844"/>
      <c r="G61" s="589"/>
      <c r="H61" s="589"/>
      <c r="I61" s="589"/>
      <c r="J61" s="632"/>
      <c r="K61" s="467"/>
      <c r="L61" s="408"/>
    </row>
    <row r="62" spans="1:15">
      <c r="A62" s="680" t="s">
        <v>106</v>
      </c>
      <c r="B62" s="681"/>
      <c r="C62" s="681"/>
      <c r="D62" s="587" t="s">
        <v>198</v>
      </c>
      <c r="E62" s="590">
        <f>'28'!F62</f>
        <v>20419.187000000002</v>
      </c>
      <c r="F62" s="590">
        <v>20419.18</v>
      </c>
      <c r="G62" s="549">
        <f t="shared" ref="G62:G69" si="5">F62-E62</f>
        <v>-7.0000000014260877E-3</v>
      </c>
      <c r="H62" s="536">
        <f>G62+'28'!H62</f>
        <v>0</v>
      </c>
      <c r="I62" s="591"/>
      <c r="J62" s="629">
        <f>H62/DAY(B2)</f>
        <v>0</v>
      </c>
      <c r="K62" s="467"/>
      <c r="L62" s="408"/>
    </row>
    <row r="63" spans="1:15">
      <c r="A63" s="680" t="s">
        <v>199</v>
      </c>
      <c r="B63" s="681"/>
      <c r="C63" s="681"/>
      <c r="D63" s="587" t="s">
        <v>198</v>
      </c>
      <c r="E63" s="590">
        <f>'28'!F63</f>
        <v>1293.6600000000001</v>
      </c>
      <c r="F63" s="590">
        <v>1305.8900000000001</v>
      </c>
      <c r="G63" s="549">
        <f t="shared" si="5"/>
        <v>12.230000000000018</v>
      </c>
      <c r="H63" s="536">
        <f>G63+'28'!H63</f>
        <v>197.98000000000002</v>
      </c>
      <c r="I63" s="591"/>
      <c r="J63" s="629">
        <f>H63/DAY(B2)</f>
        <v>6.8268965517241389</v>
      </c>
      <c r="K63" s="467"/>
      <c r="L63" s="408"/>
    </row>
    <row r="64" spans="1:15" ht="27.75">
      <c r="A64" s="1367" t="s">
        <v>107</v>
      </c>
      <c r="B64" s="1368"/>
      <c r="C64" s="1369"/>
      <c r="D64" s="599" t="s">
        <v>198</v>
      </c>
      <c r="E64" s="590">
        <f>'28'!F64</f>
        <v>110016</v>
      </c>
      <c r="F64" s="838">
        <v>110461.4</v>
      </c>
      <c r="G64" s="549">
        <f t="shared" si="5"/>
        <v>445.39999999999418</v>
      </c>
      <c r="H64" s="536">
        <f>G64+'28'!H64</f>
        <v>12038</v>
      </c>
      <c r="I64" s="556"/>
      <c r="J64" s="629">
        <f>H64/DAY(B2)</f>
        <v>415.10344827586209</v>
      </c>
      <c r="K64" s="467"/>
      <c r="L64" s="408"/>
    </row>
    <row r="65" spans="1:12" ht="27.75">
      <c r="A65" s="1367" t="s">
        <v>108</v>
      </c>
      <c r="B65" s="1368"/>
      <c r="C65" s="1369"/>
      <c r="D65" s="599" t="s">
        <v>198</v>
      </c>
      <c r="E65" s="590">
        <f>'28'!F65</f>
        <v>120566.18</v>
      </c>
      <c r="F65" s="845">
        <v>120948.65</v>
      </c>
      <c r="G65" s="549">
        <f t="shared" si="5"/>
        <v>382.47000000000116</v>
      </c>
      <c r="H65" s="536">
        <f>G65+'28'!H65</f>
        <v>11904.529999999999</v>
      </c>
      <c r="I65" s="565"/>
      <c r="J65" s="629">
        <f>H65/DAY(B2)</f>
        <v>410.5010344827586</v>
      </c>
      <c r="K65" s="467"/>
      <c r="L65" s="408"/>
    </row>
    <row r="66" spans="1:12" ht="27.75">
      <c r="A66" s="1367" t="s">
        <v>109</v>
      </c>
      <c r="B66" s="1368"/>
      <c r="C66" s="1369"/>
      <c r="D66" s="599" t="s">
        <v>198</v>
      </c>
      <c r="E66" s="590">
        <f>'28'!F66</f>
        <v>12904</v>
      </c>
      <c r="F66" s="838">
        <v>13320.84</v>
      </c>
      <c r="G66" s="549">
        <f t="shared" si="5"/>
        <v>416.84000000000015</v>
      </c>
      <c r="H66" s="536">
        <f>G66+'28'!H66</f>
        <v>10898.75</v>
      </c>
      <c r="I66" s="556"/>
      <c r="J66" s="629">
        <f>H66/DAY(B2)</f>
        <v>375.81896551724139</v>
      </c>
      <c r="K66" s="467"/>
      <c r="L66" s="408"/>
    </row>
    <row r="67" spans="1:12" ht="27.75">
      <c r="A67" s="1367" t="s">
        <v>110</v>
      </c>
      <c r="B67" s="1368"/>
      <c r="C67" s="1369"/>
      <c r="D67" s="599" t="s">
        <v>198</v>
      </c>
      <c r="E67" s="590">
        <f>'28'!F67</f>
        <v>186593</v>
      </c>
      <c r="F67" s="838">
        <v>187269.37</v>
      </c>
      <c r="G67" s="549">
        <f t="shared" si="5"/>
        <v>676.36999999999534</v>
      </c>
      <c r="H67" s="536">
        <f>G67+'28'!H67</f>
        <v>19028.01999999999</v>
      </c>
      <c r="I67" s="565"/>
      <c r="J67" s="629">
        <f>H67/DAY(B2)</f>
        <v>656.13862068965477</v>
      </c>
      <c r="K67" s="468"/>
      <c r="L67" s="408"/>
    </row>
    <row r="68" spans="1:12" ht="27.75">
      <c r="A68" s="1367" t="s">
        <v>111</v>
      </c>
      <c r="B68" s="1368"/>
      <c r="C68" s="1369"/>
      <c r="D68" s="599" t="s">
        <v>198</v>
      </c>
      <c r="E68" s="590">
        <f>'28'!F68</f>
        <v>62358</v>
      </c>
      <c r="F68" s="838">
        <v>62687.79</v>
      </c>
      <c r="G68" s="549">
        <f t="shared" si="5"/>
        <v>329.79000000000087</v>
      </c>
      <c r="H68" s="536">
        <f>G68+'28'!H68</f>
        <v>9063.89</v>
      </c>
      <c r="I68" s="592"/>
      <c r="J68" s="629">
        <f>H68/DAY(B2)</f>
        <v>312.54793103448276</v>
      </c>
      <c r="K68" s="469"/>
      <c r="L68" s="408"/>
    </row>
    <row r="69" spans="1:12" ht="27.75">
      <c r="A69" s="1367" t="s">
        <v>112</v>
      </c>
      <c r="B69" s="1368"/>
      <c r="C69" s="1369"/>
      <c r="D69" s="599" t="s">
        <v>198</v>
      </c>
      <c r="E69" s="590">
        <f>'28'!F69</f>
        <v>54778</v>
      </c>
      <c r="F69" s="838">
        <v>55093</v>
      </c>
      <c r="G69" s="549">
        <f t="shared" si="5"/>
        <v>315</v>
      </c>
      <c r="H69" s="536">
        <f>G69+'28'!H69</f>
        <v>8573.57</v>
      </c>
      <c r="I69" s="592"/>
      <c r="J69" s="629">
        <f>H69/DAY(B2)</f>
        <v>295.6403448275862</v>
      </c>
      <c r="K69" s="470"/>
      <c r="L69" s="408"/>
    </row>
    <row r="70" spans="1:12" ht="27.75">
      <c r="A70" s="1391" t="s">
        <v>200</v>
      </c>
      <c r="B70" s="1392"/>
      <c r="C70" s="1393"/>
      <c r="D70" s="599" t="s">
        <v>198</v>
      </c>
      <c r="E70" s="846"/>
      <c r="F70" s="846"/>
      <c r="G70" s="594"/>
      <c r="H70" s="536">
        <f>G70+'13'!H70</f>
        <v>0</v>
      </c>
      <c r="I70" s="594"/>
      <c r="J70" s="633"/>
      <c r="K70" s="470"/>
      <c r="L70" s="408"/>
    </row>
    <row r="71" spans="1:12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</row>
    <row r="72" spans="1:12" ht="27.75">
      <c r="A72" s="1367" t="s">
        <v>202</v>
      </c>
      <c r="B72" s="1368"/>
      <c r="C72" s="1369"/>
      <c r="D72" s="599" t="s">
        <v>198</v>
      </c>
      <c r="E72" s="863">
        <f>'28'!F72</f>
        <v>848208</v>
      </c>
      <c r="F72" s="847">
        <v>848280</v>
      </c>
      <c r="G72" s="549">
        <f t="shared" ref="G72:G84" si="6">F72-E72</f>
        <v>72</v>
      </c>
      <c r="H72" s="536">
        <f>G72+'28'!H72</f>
        <v>1814</v>
      </c>
      <c r="I72" s="556"/>
      <c r="J72" s="629">
        <f>H72/DAY(B2)</f>
        <v>62.551724137931032</v>
      </c>
      <c r="K72" s="470"/>
      <c r="L72" s="408"/>
    </row>
    <row r="73" spans="1:12" ht="27.75">
      <c r="A73" s="1367" t="s">
        <v>203</v>
      </c>
      <c r="B73" s="1368"/>
      <c r="C73" s="1369"/>
      <c r="D73" s="599" t="s">
        <v>198</v>
      </c>
      <c r="E73" s="863">
        <f>'28'!F73</f>
        <v>885727</v>
      </c>
      <c r="F73" s="848">
        <v>885728</v>
      </c>
      <c r="G73" s="733">
        <f>F73-E73</f>
        <v>1</v>
      </c>
      <c r="H73" s="536">
        <f>G73+'28'!H73</f>
        <v>947</v>
      </c>
      <c r="I73" s="556"/>
      <c r="J73" s="629">
        <f>H73/DAY(B2)</f>
        <v>32.655172413793103</v>
      </c>
      <c r="K73" s="469"/>
      <c r="L73" s="408"/>
    </row>
    <row r="74" spans="1:12" ht="27.75">
      <c r="A74" s="1367" t="s">
        <v>204</v>
      </c>
      <c r="B74" s="1368"/>
      <c r="C74" s="1369"/>
      <c r="D74" s="599" t="s">
        <v>198</v>
      </c>
      <c r="E74" s="863">
        <f>'28'!F74</f>
        <v>882274</v>
      </c>
      <c r="F74" s="848">
        <v>882303</v>
      </c>
      <c r="G74" s="549">
        <f t="shared" si="6"/>
        <v>29</v>
      </c>
      <c r="H74" s="536">
        <f>G74+'28'!H74</f>
        <v>988</v>
      </c>
      <c r="I74" s="556"/>
      <c r="J74" s="629">
        <f>H74/DAY(B2)</f>
        <v>34.068965517241381</v>
      </c>
      <c r="K74" s="470"/>
      <c r="L74" s="408"/>
    </row>
    <row r="75" spans="1:12" ht="27.75">
      <c r="A75" s="1364" t="s">
        <v>205</v>
      </c>
      <c r="B75" s="1365"/>
      <c r="C75" s="1366"/>
      <c r="D75" s="599" t="s">
        <v>198</v>
      </c>
      <c r="E75" s="863">
        <f>'28'!F75</f>
        <v>736927</v>
      </c>
      <c r="F75" s="848">
        <v>737120</v>
      </c>
      <c r="G75" s="549">
        <f t="shared" si="6"/>
        <v>193</v>
      </c>
      <c r="H75" s="536">
        <f>G75+'28'!H75</f>
        <v>5479</v>
      </c>
      <c r="I75" s="556"/>
      <c r="J75" s="629">
        <f>H75/DAY(B2)</f>
        <v>188.93103448275863</v>
      </c>
      <c r="K75" s="469"/>
      <c r="L75" s="408"/>
    </row>
    <row r="76" spans="1:12" ht="27.75">
      <c r="A76" s="1364" t="s">
        <v>206</v>
      </c>
      <c r="B76" s="1365"/>
      <c r="C76" s="1366"/>
      <c r="D76" s="599" t="s">
        <v>198</v>
      </c>
      <c r="E76" s="863">
        <f>'28'!F76</f>
        <v>686795</v>
      </c>
      <c r="F76" s="848">
        <v>686870</v>
      </c>
      <c r="G76" s="549">
        <f t="shared" si="6"/>
        <v>75</v>
      </c>
      <c r="H76" s="536">
        <f>G76+'28'!H76</f>
        <v>3771</v>
      </c>
      <c r="I76" s="581"/>
      <c r="J76" s="629">
        <f>H76/DAY(B2)</f>
        <v>130.0344827586207</v>
      </c>
      <c r="K76" s="469"/>
      <c r="L76" s="408"/>
    </row>
    <row r="77" spans="1:12" ht="27.75">
      <c r="A77" s="1367" t="s">
        <v>207</v>
      </c>
      <c r="B77" s="1368"/>
      <c r="C77" s="1369"/>
      <c r="D77" s="599" t="s">
        <v>198</v>
      </c>
      <c r="E77" s="863">
        <f>'28'!F77</f>
        <v>696952</v>
      </c>
      <c r="F77" s="848">
        <v>697002</v>
      </c>
      <c r="G77" s="733">
        <f t="shared" si="6"/>
        <v>50</v>
      </c>
      <c r="H77" s="536">
        <f>G77+'28'!H77</f>
        <v>1608</v>
      </c>
      <c r="I77" s="581"/>
      <c r="J77" s="629">
        <f>H77/DAY(B2)</f>
        <v>55.448275862068968</v>
      </c>
      <c r="K77" s="469"/>
      <c r="L77" s="408"/>
    </row>
    <row r="78" spans="1:12" ht="27.75">
      <c r="A78" s="1255" t="s">
        <v>208</v>
      </c>
      <c r="B78" s="1226"/>
      <c r="C78" s="1226"/>
      <c r="D78" s="599" t="s">
        <v>198</v>
      </c>
      <c r="E78" s="863">
        <f>'28'!F78</f>
        <v>640706</v>
      </c>
      <c r="F78" s="848">
        <v>641105</v>
      </c>
      <c r="G78" s="733">
        <f t="shared" si="6"/>
        <v>399</v>
      </c>
      <c r="H78" s="536">
        <f>G78+'28'!H78</f>
        <v>10332</v>
      </c>
      <c r="I78" s="581"/>
      <c r="J78" s="629">
        <f>H78/DAY(B2)</f>
        <v>356.27586206896552</v>
      </c>
      <c r="K78" s="469"/>
      <c r="L78" s="408"/>
    </row>
    <row r="79" spans="1:12" ht="27.75">
      <c r="A79" s="1364" t="s">
        <v>97</v>
      </c>
      <c r="B79" s="1365"/>
      <c r="C79" s="1366"/>
      <c r="D79" s="600" t="s">
        <v>198</v>
      </c>
      <c r="E79" s="863">
        <f>'28'!F79</f>
        <v>809124</v>
      </c>
      <c r="F79" s="849">
        <v>809323</v>
      </c>
      <c r="G79" s="549">
        <f t="shared" si="6"/>
        <v>199</v>
      </c>
      <c r="H79" s="536">
        <f>G79+'28'!H79</f>
        <v>7552</v>
      </c>
      <c r="I79" s="581"/>
      <c r="J79" s="629">
        <f>H79/DAY(B2)</f>
        <v>260.41379310344826</v>
      </c>
      <c r="K79" s="469"/>
      <c r="L79" s="408"/>
    </row>
    <row r="80" spans="1:12" ht="27.75">
      <c r="A80" s="1364" t="s">
        <v>209</v>
      </c>
      <c r="B80" s="1365"/>
      <c r="C80" s="1366"/>
      <c r="D80" s="600" t="s">
        <v>198</v>
      </c>
      <c r="E80" s="863">
        <f>'28'!F80</f>
        <v>484187</v>
      </c>
      <c r="F80" s="848">
        <v>484503</v>
      </c>
      <c r="G80" s="549">
        <f t="shared" si="6"/>
        <v>316</v>
      </c>
      <c r="H80" s="536">
        <f>G80+'28'!H80</f>
        <v>7291.1599999999744</v>
      </c>
      <c r="I80" s="581"/>
      <c r="J80" s="629">
        <f>H80/DAY(B2)</f>
        <v>251.4193103448267</v>
      </c>
      <c r="K80" s="469"/>
      <c r="L80" s="408"/>
    </row>
    <row r="81" spans="1:15" ht="27.75">
      <c r="A81" s="1364" t="s">
        <v>210</v>
      </c>
      <c r="B81" s="1365"/>
      <c r="C81" s="1366"/>
      <c r="D81" s="600" t="s">
        <v>198</v>
      </c>
      <c r="E81" s="863">
        <f>'28'!F81</f>
        <v>622474</v>
      </c>
      <c r="F81" s="848">
        <v>622568</v>
      </c>
      <c r="G81" s="549">
        <f t="shared" si="6"/>
        <v>94</v>
      </c>
      <c r="H81" s="536">
        <f>G81+'28'!H81</f>
        <v>3314</v>
      </c>
      <c r="I81" s="581"/>
      <c r="J81" s="629">
        <f>H81/DAY(B2)</f>
        <v>114.27586206896552</v>
      </c>
      <c r="K81" s="469"/>
      <c r="L81" s="408"/>
    </row>
    <row r="82" spans="1:15" ht="27.75">
      <c r="A82" s="1364" t="s">
        <v>100</v>
      </c>
      <c r="B82" s="1365"/>
      <c r="C82" s="1366"/>
      <c r="D82" s="561" t="s">
        <v>143</v>
      </c>
      <c r="E82" s="863">
        <f>'28'!F82</f>
        <v>105280.37</v>
      </c>
      <c r="F82" s="845">
        <v>105339.54</v>
      </c>
      <c r="G82" s="549">
        <f t="shared" si="6"/>
        <v>59.169999999998254</v>
      </c>
      <c r="H82" s="536">
        <f>G82+'28'!H82</f>
        <v>901.5399999999936</v>
      </c>
      <c r="I82" s="562"/>
      <c r="J82" s="629">
        <f>H82/DAY(B2)</f>
        <v>31.087586206896329</v>
      </c>
      <c r="K82" s="469"/>
      <c r="L82" s="408"/>
    </row>
    <row r="83" spans="1:15" ht="27.75">
      <c r="A83" s="1364" t="s">
        <v>211</v>
      </c>
      <c r="B83" s="1365"/>
      <c r="C83" s="1366"/>
      <c r="D83" s="697" t="s">
        <v>143</v>
      </c>
      <c r="E83" s="863">
        <f>'28'!F83</f>
        <v>982567</v>
      </c>
      <c r="F83" s="546">
        <v>982952</v>
      </c>
      <c r="G83" s="549">
        <f t="shared" si="6"/>
        <v>385</v>
      </c>
      <c r="H83" s="536">
        <f>G83+'28'!H83</f>
        <v>9481</v>
      </c>
      <c r="I83" s="557"/>
      <c r="J83" s="629">
        <f>H83/DAY(B2)</f>
        <v>326.93103448275861</v>
      </c>
      <c r="K83" s="468"/>
      <c r="L83" s="408"/>
    </row>
    <row r="84" spans="1:15">
      <c r="A84" s="1256" t="s">
        <v>212</v>
      </c>
      <c r="B84" s="648"/>
      <c r="C84" s="648"/>
      <c r="D84" s="554" t="s">
        <v>143</v>
      </c>
      <c r="E84" s="863">
        <f>'28'!F84</f>
        <v>414533</v>
      </c>
      <c r="F84" s="805">
        <v>415080</v>
      </c>
      <c r="G84" s="549">
        <f t="shared" si="6"/>
        <v>547</v>
      </c>
      <c r="H84" s="536">
        <f>G84+'28'!H84</f>
        <v>17884</v>
      </c>
      <c r="I84" s="557"/>
      <c r="J84" s="629">
        <f>H84/DAY(B2)</f>
        <v>616.68965517241384</v>
      </c>
      <c r="K84" s="411"/>
      <c r="L84" s="408"/>
    </row>
    <row r="85" spans="1:15" s="410" customFormat="1">
      <c r="A85" s="682" t="s">
        <v>213</v>
      </c>
      <c r="B85" s="649"/>
      <c r="C85" s="649"/>
      <c r="D85" s="565"/>
      <c r="E85" s="805">
        <f>'28'!F85</f>
        <v>0</v>
      </c>
      <c r="F85" s="536"/>
      <c r="G85" s="536">
        <f xml:space="preserve"> SUM(G72:G84)</f>
        <v>2419.1699999999983</v>
      </c>
      <c r="H85" s="536">
        <f>G85+'28'!H85</f>
        <v>67132.539999999994</v>
      </c>
      <c r="I85" s="557"/>
      <c r="J85" s="629">
        <f>H85/DAY(B2)</f>
        <v>2314.9151724137928</v>
      </c>
      <c r="K85" s="411"/>
      <c r="L85" s="409"/>
      <c r="N85" s="870"/>
      <c r="O85" s="870"/>
    </row>
    <row r="86" spans="1:15" s="835" customFormat="1">
      <c r="A86" s="830" t="s">
        <v>102</v>
      </c>
      <c r="B86" s="831"/>
      <c r="C86" s="831"/>
      <c r="D86" s="832" t="s">
        <v>194</v>
      </c>
      <c r="E86" s="805">
        <f>'28'!F86</f>
        <v>446801</v>
      </c>
      <c r="F86" s="850">
        <v>446888</v>
      </c>
      <c r="G86" s="805">
        <f t="shared" ref="G86:G90" si="7">F86-E86</f>
        <v>87</v>
      </c>
      <c r="H86" s="805">
        <f t="shared" ref="H86:H88" si="8">G86</f>
        <v>87</v>
      </c>
      <c r="I86" s="733"/>
      <c r="J86" s="807">
        <f>H86/DAY(B2)</f>
        <v>3</v>
      </c>
      <c r="K86" s="833"/>
      <c r="L86" s="834"/>
      <c r="N86" s="871"/>
      <c r="O86" s="871"/>
    </row>
    <row r="87" spans="1:15" s="835" customFormat="1">
      <c r="A87" s="830" t="s">
        <v>103</v>
      </c>
      <c r="B87" s="831"/>
      <c r="C87" s="831"/>
      <c r="D87" s="832" t="s">
        <v>194</v>
      </c>
      <c r="E87" s="805">
        <f>'28'!F87</f>
        <v>78375.899999999994</v>
      </c>
      <c r="F87" s="850">
        <v>78411</v>
      </c>
      <c r="G87" s="805">
        <f t="shared" si="7"/>
        <v>35.100000000005821</v>
      </c>
      <c r="H87" s="805">
        <f t="shared" si="8"/>
        <v>35.100000000005821</v>
      </c>
      <c r="I87" s="733"/>
      <c r="J87" s="807">
        <f>H87/DAY(B2)</f>
        <v>1.2103448275864077</v>
      </c>
      <c r="K87" s="833"/>
      <c r="L87" s="834"/>
      <c r="N87" s="871"/>
      <c r="O87" s="871"/>
    </row>
    <row r="88" spans="1:15" s="835" customFormat="1">
      <c r="A88" s="830" t="s">
        <v>104</v>
      </c>
      <c r="B88" s="831"/>
      <c r="C88" s="831"/>
      <c r="D88" s="832" t="s">
        <v>194</v>
      </c>
      <c r="E88" s="805">
        <f>'28'!F88</f>
        <v>146266</v>
      </c>
      <c r="F88" s="850">
        <v>146382.95000000001</v>
      </c>
      <c r="G88" s="805">
        <f t="shared" si="7"/>
        <v>116.95000000001164</v>
      </c>
      <c r="H88" s="805">
        <f t="shared" si="8"/>
        <v>116.95000000001164</v>
      </c>
      <c r="I88" s="733"/>
      <c r="J88" s="807">
        <f>H88/DAY(B2)</f>
        <v>4.032758620690057</v>
      </c>
      <c r="K88" s="833"/>
      <c r="L88" s="834"/>
      <c r="N88" s="871">
        <f>122+359</f>
        <v>481</v>
      </c>
      <c r="O88" s="871"/>
    </row>
    <row r="89" spans="1:15" s="835" customFormat="1">
      <c r="A89" s="830" t="s">
        <v>215</v>
      </c>
      <c r="B89" s="831"/>
      <c r="C89" s="831"/>
      <c r="D89" s="832" t="s">
        <v>194</v>
      </c>
      <c r="E89" s="805">
        <f>'28'!F89</f>
        <v>59582</v>
      </c>
      <c r="F89" s="728">
        <v>59670.8</v>
      </c>
      <c r="G89" s="805">
        <f t="shared" si="7"/>
        <v>88.80000000000291</v>
      </c>
      <c r="H89" s="805">
        <f>G89</f>
        <v>88.80000000000291</v>
      </c>
      <c r="I89" s="733"/>
      <c r="J89" s="807">
        <f>H89/DAY(B2)</f>
        <v>3.0620689655173416</v>
      </c>
      <c r="K89" s="833"/>
      <c r="L89" s="834"/>
    </row>
    <row r="90" spans="1:15" s="835" customFormat="1">
      <c r="A90" s="830" t="s">
        <v>215</v>
      </c>
      <c r="B90" s="831"/>
      <c r="C90" s="831"/>
      <c r="D90" s="832" t="s">
        <v>194</v>
      </c>
      <c r="E90" s="805">
        <f>'28'!F90</f>
        <v>3057.8</v>
      </c>
      <c r="F90" s="728">
        <v>3061.9</v>
      </c>
      <c r="G90" s="805">
        <f t="shared" si="7"/>
        <v>4.0999999999999091</v>
      </c>
      <c r="H90" s="805">
        <f>G90</f>
        <v>4.0999999999999091</v>
      </c>
      <c r="I90" s="733"/>
      <c r="J90" s="807">
        <f>H90/DAY(B2)</f>
        <v>0.14137931034482445</v>
      </c>
      <c r="K90" s="833"/>
      <c r="L90" s="834"/>
    </row>
    <row r="91" spans="1:15" s="410" customFormat="1">
      <c r="A91" s="683" t="s">
        <v>216</v>
      </c>
      <c r="B91" s="1258"/>
      <c r="C91" s="1258"/>
      <c r="D91" s="548"/>
      <c r="E91" s="839"/>
      <c r="F91" s="839"/>
      <c r="G91" s="564"/>
      <c r="H91" s="548"/>
      <c r="I91" s="548"/>
      <c r="J91" s="628"/>
      <c r="K91" s="411"/>
      <c r="L91" s="409"/>
      <c r="N91" s="870"/>
      <c r="O91" s="870"/>
    </row>
    <row r="92" spans="1:15" ht="27.75">
      <c r="A92" s="1388" t="s">
        <v>217</v>
      </c>
      <c r="B92" s="1389"/>
      <c r="C92" s="1390"/>
      <c r="D92" s="599" t="s">
        <v>155</v>
      </c>
      <c r="E92" s="859">
        <f>'28'!F92</f>
        <v>236336</v>
      </c>
      <c r="F92" s="838">
        <v>236405</v>
      </c>
      <c r="G92" s="549">
        <f t="shared" ref="G92:G93" si="9">F92-E92</f>
        <v>69</v>
      </c>
      <c r="H92" s="536">
        <f>G92+'28'!H92</f>
        <v>2503</v>
      </c>
      <c r="I92" s="556"/>
      <c r="J92" s="629">
        <f>H92/DAY(B2)</f>
        <v>86.310344827586206</v>
      </c>
      <c r="K92" s="468"/>
      <c r="L92" s="408"/>
    </row>
    <row r="93" spans="1:15" ht="27.75">
      <c r="A93" s="1388" t="s">
        <v>218</v>
      </c>
      <c r="B93" s="1389"/>
      <c r="C93" s="1390"/>
      <c r="D93" s="599" t="s">
        <v>155</v>
      </c>
      <c r="E93" s="859">
        <f>'28'!F93</f>
        <v>170681</v>
      </c>
      <c r="F93" s="838">
        <v>170864</v>
      </c>
      <c r="G93" s="549">
        <f t="shared" si="9"/>
        <v>183</v>
      </c>
      <c r="H93" s="536">
        <f>G93+'28'!H93</f>
        <v>3948</v>
      </c>
      <c r="I93" s="556"/>
      <c r="J93" s="629">
        <f>H93/DAY(B2)</f>
        <v>136.13793103448276</v>
      </c>
      <c r="K93" s="411"/>
      <c r="L93" s="408"/>
    </row>
    <row r="94" spans="1:15">
      <c r="A94" s="1419" t="s">
        <v>219</v>
      </c>
      <c r="B94" s="1420"/>
      <c r="C94" s="1421"/>
      <c r="D94" s="599"/>
      <c r="E94" s="859"/>
      <c r="F94" s="838"/>
      <c r="G94" s="549">
        <f>G92+G93</f>
        <v>252</v>
      </c>
      <c r="H94" s="536">
        <f>G94+'28'!H94</f>
        <v>6177</v>
      </c>
      <c r="I94" s="556"/>
      <c r="J94" s="629">
        <f>H94/DAY(B2)</f>
        <v>213</v>
      </c>
      <c r="K94" s="411"/>
      <c r="L94" s="408"/>
    </row>
    <row r="95" spans="1:15" ht="27.75">
      <c r="A95" s="1388" t="s">
        <v>220</v>
      </c>
      <c r="B95" s="1389"/>
      <c r="C95" s="1390"/>
      <c r="D95" s="599" t="s">
        <v>155</v>
      </c>
      <c r="E95" s="859">
        <f>'28'!F95</f>
        <v>405688</v>
      </c>
      <c r="F95" s="838">
        <v>405753</v>
      </c>
      <c r="G95" s="549">
        <f t="shared" ref="G95:G100" si="10">F95-E95</f>
        <v>65</v>
      </c>
      <c r="H95" s="536">
        <f>G95+'28'!H95</f>
        <v>2088</v>
      </c>
      <c r="I95" s="556"/>
      <c r="J95" s="629">
        <f>H95/DAY(B2)</f>
        <v>72</v>
      </c>
      <c r="K95" s="411"/>
      <c r="L95" s="408"/>
    </row>
    <row r="96" spans="1:15" ht="27.75">
      <c r="A96" s="1252" t="s">
        <v>221</v>
      </c>
      <c r="B96" s="1253"/>
      <c r="C96" s="1253"/>
      <c r="D96" s="599" t="s">
        <v>155</v>
      </c>
      <c r="E96" s="859">
        <f>'28'!F96</f>
        <v>100437</v>
      </c>
      <c r="F96" s="838">
        <v>100470</v>
      </c>
      <c r="G96" s="549">
        <f t="shared" si="10"/>
        <v>33</v>
      </c>
      <c r="H96" s="536">
        <f>G96+'28'!H96</f>
        <v>549</v>
      </c>
      <c r="I96" s="556"/>
      <c r="J96" s="629">
        <f>H96/DAY(B2)</f>
        <v>18.931034482758619</v>
      </c>
      <c r="K96" s="466"/>
      <c r="L96" s="408"/>
    </row>
    <row r="97" spans="1:15" ht="27.75">
      <c r="A97" s="1252" t="s">
        <v>222</v>
      </c>
      <c r="B97" s="1253"/>
      <c r="C97" s="1253"/>
      <c r="D97" s="599" t="s">
        <v>155</v>
      </c>
      <c r="E97" s="859">
        <f>'28'!F97</f>
        <v>95606</v>
      </c>
      <c r="F97" s="838">
        <v>95625</v>
      </c>
      <c r="G97" s="549">
        <f t="shared" si="10"/>
        <v>19</v>
      </c>
      <c r="H97" s="536">
        <f>G97+'28'!H97</f>
        <v>598</v>
      </c>
      <c r="I97" s="556"/>
      <c r="J97" s="629">
        <f>H97/DAY(B2)</f>
        <v>20.620689655172413</v>
      </c>
      <c r="K97" s="471"/>
      <c r="L97" s="408"/>
    </row>
    <row r="98" spans="1:15" ht="27.75">
      <c r="A98" s="1252" t="s">
        <v>223</v>
      </c>
      <c r="B98" s="1253"/>
      <c r="C98" s="1253"/>
      <c r="D98" s="599" t="s">
        <v>155</v>
      </c>
      <c r="E98" s="859">
        <f>'28'!F98</f>
        <v>145357</v>
      </c>
      <c r="F98" s="838">
        <v>145422</v>
      </c>
      <c r="G98" s="549">
        <f t="shared" si="10"/>
        <v>65</v>
      </c>
      <c r="H98" s="536">
        <f>G98+'28'!H98</f>
        <v>1615</v>
      </c>
      <c r="I98" s="556"/>
      <c r="J98" s="629">
        <f>H98/DAY(B2)</f>
        <v>55.689655172413794</v>
      </c>
      <c r="K98" s="411"/>
      <c r="L98" s="408"/>
    </row>
    <row r="99" spans="1:15" ht="27.75">
      <c r="A99" s="1252" t="s">
        <v>224</v>
      </c>
      <c r="B99" s="1253"/>
      <c r="C99" s="1253"/>
      <c r="D99" s="599" t="s">
        <v>155</v>
      </c>
      <c r="E99" s="859">
        <f>'28'!F99</f>
        <v>5936</v>
      </c>
      <c r="F99" s="838">
        <v>5946</v>
      </c>
      <c r="G99" s="549">
        <f t="shared" si="10"/>
        <v>10</v>
      </c>
      <c r="H99" s="536">
        <f>G99+'28'!H99</f>
        <v>444</v>
      </c>
      <c r="I99" s="556"/>
      <c r="J99" s="629">
        <f>H99/DAY(B2)</f>
        <v>15.310344827586206</v>
      </c>
      <c r="K99" s="411"/>
      <c r="L99" s="408"/>
    </row>
    <row r="100" spans="1:15" ht="27.75">
      <c r="A100" s="1252" t="s">
        <v>225</v>
      </c>
      <c r="B100" s="1253"/>
      <c r="C100" s="1253"/>
      <c r="D100" s="599" t="s">
        <v>155</v>
      </c>
      <c r="E100" s="859">
        <f>'28'!F100</f>
        <v>4218</v>
      </c>
      <c r="F100" s="838">
        <v>4225</v>
      </c>
      <c r="G100" s="549">
        <f t="shared" si="10"/>
        <v>7</v>
      </c>
      <c r="H100" s="536">
        <f>G100+'28'!H100</f>
        <v>261</v>
      </c>
      <c r="I100" s="556"/>
      <c r="J100" s="629">
        <f>H100/DAY(B2)</f>
        <v>9</v>
      </c>
      <c r="K100" s="411"/>
      <c r="L100" s="408"/>
    </row>
    <row r="101" spans="1:15">
      <c r="A101" s="1419" t="s">
        <v>227</v>
      </c>
      <c r="B101" s="1420"/>
      <c r="C101" s="1421"/>
      <c r="D101" s="600"/>
      <c r="E101" s="562"/>
      <c r="F101" s="562"/>
      <c r="G101" s="601">
        <f>SUM(G95:G100)</f>
        <v>199</v>
      </c>
      <c r="H101" s="536">
        <f>G101+'28'!H101</f>
        <v>5555</v>
      </c>
      <c r="I101" s="602"/>
      <c r="J101" s="629">
        <f>H101/DAY(B2)</f>
        <v>191.55172413793105</v>
      </c>
      <c r="K101" s="411"/>
      <c r="L101" s="408"/>
    </row>
    <row r="102" spans="1:15" s="481" customFormat="1" ht="27">
      <c r="A102" s="684" t="s">
        <v>228</v>
      </c>
      <c r="B102" s="685"/>
      <c r="C102" s="685"/>
      <c r="D102" s="698"/>
      <c r="E102" s="865"/>
      <c r="F102" s="851"/>
      <c r="G102" s="605"/>
      <c r="H102" s="606"/>
      <c r="I102" s="607"/>
      <c r="J102" s="634"/>
      <c r="N102" s="870"/>
      <c r="O102" s="870"/>
    </row>
    <row r="103" spans="1:15" s="481" customFormat="1" ht="27">
      <c r="A103" s="1422" t="s">
        <v>229</v>
      </c>
      <c r="B103" s="1423"/>
      <c r="C103" s="650"/>
      <c r="D103" s="699"/>
      <c r="E103" s="609"/>
      <c r="F103" s="852"/>
      <c r="G103" s="608"/>
      <c r="H103" s="609"/>
      <c r="I103" s="608"/>
      <c r="J103" s="635"/>
      <c r="N103" s="870"/>
      <c r="O103" s="870"/>
    </row>
    <row r="104" spans="1:15" s="481" customFormat="1" ht="27">
      <c r="A104" s="1380" t="s">
        <v>230</v>
      </c>
      <c r="B104" s="1381"/>
      <c r="C104" s="1251"/>
      <c r="D104" s="699" t="s">
        <v>155</v>
      </c>
      <c r="E104" s="609">
        <f>'28'!F104</f>
        <v>7010</v>
      </c>
      <c r="F104" s="852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3.3793103448275863</v>
      </c>
      <c r="N104" s="870"/>
      <c r="O104" s="870"/>
    </row>
    <row r="105" spans="1:15" s="481" customFormat="1" ht="27">
      <c r="A105" s="1380" t="s">
        <v>77</v>
      </c>
      <c r="B105" s="1381"/>
      <c r="C105" s="1251"/>
      <c r="D105" s="699" t="s">
        <v>155</v>
      </c>
      <c r="E105" s="609">
        <f>'28'!F105</f>
        <v>35136</v>
      </c>
      <c r="F105" s="741">
        <v>35146</v>
      </c>
      <c r="G105" s="608">
        <f t="shared" ref="G105:G106" si="11">F105-E105</f>
        <v>10</v>
      </c>
      <c r="H105" s="609">
        <f>SUM(G105+'1'!G77)</f>
        <v>71</v>
      </c>
      <c r="I105" s="608"/>
      <c r="J105" s="635">
        <f>H105/DAY(B2)</f>
        <v>2.4482758620689653</v>
      </c>
      <c r="N105" s="870"/>
      <c r="O105" s="870"/>
    </row>
    <row r="106" spans="1:15" s="481" customFormat="1" ht="27">
      <c r="A106" s="1380" t="s">
        <v>78</v>
      </c>
      <c r="B106" s="1424"/>
      <c r="C106" s="1381"/>
      <c r="D106" s="699" t="s">
        <v>155</v>
      </c>
      <c r="E106" s="609">
        <f>'28'!F106</f>
        <v>19066</v>
      </c>
      <c r="F106" s="741">
        <v>19070</v>
      </c>
      <c r="G106" s="608">
        <f t="shared" si="11"/>
        <v>4</v>
      </c>
      <c r="H106" s="609">
        <f>SUM(G106+'1'!G78)</f>
        <v>373</v>
      </c>
      <c r="I106" s="608"/>
      <c r="J106" s="635">
        <f>H106/DAY(B2)</f>
        <v>12.862068965517242</v>
      </c>
      <c r="N106" s="870"/>
      <c r="O106" s="870"/>
    </row>
    <row r="107" spans="1:15" s="481" customFormat="1" ht="27">
      <c r="A107" s="1382" t="s">
        <v>213</v>
      </c>
      <c r="B107" s="1383"/>
      <c r="C107" s="1251"/>
      <c r="D107" s="699"/>
      <c r="E107" s="609">
        <f>'28'!F107</f>
        <v>0</v>
      </c>
      <c r="F107" s="741"/>
      <c r="G107" s="608">
        <f>SUM(G104:G106)</f>
        <v>14</v>
      </c>
      <c r="H107" s="609">
        <f>SUM(G107+'1'!G79)</f>
        <v>201</v>
      </c>
      <c r="I107" s="608"/>
      <c r="J107" s="635">
        <f>H107/DAY(B2)</f>
        <v>6.931034482758621</v>
      </c>
      <c r="N107" s="870"/>
      <c r="O107" s="870"/>
    </row>
    <row r="108" spans="1:15" s="481" customFormat="1" ht="27">
      <c r="A108" s="1386" t="s">
        <v>79</v>
      </c>
      <c r="B108" s="1387"/>
      <c r="C108" s="1251"/>
      <c r="D108" s="699" t="s">
        <v>155</v>
      </c>
      <c r="E108" s="609">
        <f>'28'!F108</f>
        <v>0</v>
      </c>
      <c r="F108" s="741"/>
      <c r="G108" s="608"/>
      <c r="H108" s="609"/>
      <c r="I108" s="608"/>
      <c r="J108" s="635"/>
      <c r="N108" s="870"/>
      <c r="O108" s="870"/>
    </row>
    <row r="109" spans="1:15" s="481" customFormat="1" ht="27">
      <c r="A109" s="1380" t="s">
        <v>231</v>
      </c>
      <c r="B109" s="1381"/>
      <c r="C109" s="1251"/>
      <c r="D109" s="699" t="s">
        <v>155</v>
      </c>
      <c r="E109" s="609">
        <f>'28'!F109</f>
        <v>54502</v>
      </c>
      <c r="F109" s="741">
        <v>54545</v>
      </c>
      <c r="G109" s="608">
        <f>F109-E109</f>
        <v>43</v>
      </c>
      <c r="H109" s="609">
        <f>SUM(G109+'1'!G81)</f>
        <v>172</v>
      </c>
      <c r="I109" s="608"/>
      <c r="J109" s="635">
        <f>H109/DAY(B2)</f>
        <v>5.931034482758621</v>
      </c>
      <c r="N109" s="870"/>
      <c r="O109" s="870"/>
    </row>
    <row r="110" spans="1:15" s="481" customFormat="1" ht="27">
      <c r="A110" s="1380" t="s">
        <v>232</v>
      </c>
      <c r="B110" s="1381"/>
      <c r="C110" s="1251"/>
      <c r="D110" s="699" t="s">
        <v>155</v>
      </c>
      <c r="E110" s="609">
        <f>'28'!F110</f>
        <v>28348</v>
      </c>
      <c r="F110" s="741">
        <v>28383</v>
      </c>
      <c r="G110" s="608">
        <f t="shared" ref="G110:G111" si="12">F110-E110</f>
        <v>35</v>
      </c>
      <c r="H110" s="609">
        <f>SUM(G110+'1'!G82)</f>
        <v>58</v>
      </c>
      <c r="I110" s="608"/>
      <c r="J110" s="635">
        <f>H110/DAY(B2)</f>
        <v>2</v>
      </c>
      <c r="N110" s="870"/>
      <c r="O110" s="870"/>
    </row>
    <row r="111" spans="1:15" s="481" customFormat="1" ht="27">
      <c r="A111" s="1380" t="s">
        <v>233</v>
      </c>
      <c r="B111" s="1381"/>
      <c r="C111" s="1251"/>
      <c r="D111" s="699" t="s">
        <v>155</v>
      </c>
      <c r="E111" s="609">
        <f>'28'!F111</f>
        <v>3726</v>
      </c>
      <c r="F111" s="741">
        <v>3726</v>
      </c>
      <c r="G111" s="610">
        <f t="shared" si="12"/>
        <v>0</v>
      </c>
      <c r="H111" s="609">
        <f>SUM(G111+'1'!G83)</f>
        <v>333</v>
      </c>
      <c r="I111" s="608"/>
      <c r="J111" s="635">
        <f>H111/DAY(B2)</f>
        <v>11.482758620689655</v>
      </c>
      <c r="N111" s="870"/>
      <c r="O111" s="870"/>
    </row>
    <row r="112" spans="1:15" s="481" customFormat="1" ht="27">
      <c r="A112" s="1382" t="s">
        <v>121</v>
      </c>
      <c r="B112" s="1383"/>
      <c r="C112" s="1251"/>
      <c r="D112" s="699"/>
      <c r="E112" s="609">
        <f>'28'!F112</f>
        <v>0</v>
      </c>
      <c r="F112" s="741"/>
      <c r="G112" s="608">
        <f>SUM(G109:G111)</f>
        <v>78</v>
      </c>
      <c r="H112" s="609">
        <f>SUM(G112+'1'!G84)</f>
        <v>524</v>
      </c>
      <c r="I112" s="608"/>
      <c r="J112" s="635">
        <f>H112/DAY(B2)</f>
        <v>18.068965517241381</v>
      </c>
      <c r="N112" s="870"/>
      <c r="O112" s="870"/>
    </row>
    <row r="113" spans="1:15" s="481" customFormat="1" ht="27">
      <c r="A113" s="1386" t="s">
        <v>234</v>
      </c>
      <c r="B113" s="1387"/>
      <c r="C113" s="1251"/>
      <c r="D113" s="699"/>
      <c r="E113" s="609">
        <f>'28'!F113</f>
        <v>0</v>
      </c>
      <c r="F113" s="741"/>
      <c r="G113" s="608"/>
      <c r="H113" s="609"/>
      <c r="I113" s="608"/>
      <c r="J113" s="635">
        <f>H113/DAY(B2)</f>
        <v>0</v>
      </c>
      <c r="N113" s="870"/>
      <c r="O113" s="870"/>
    </row>
    <row r="114" spans="1:15" s="481" customFormat="1" ht="27">
      <c r="A114" s="1380" t="s">
        <v>235</v>
      </c>
      <c r="B114" s="1381"/>
      <c r="C114" s="651"/>
      <c r="D114" s="699" t="s">
        <v>155</v>
      </c>
      <c r="E114" s="609">
        <f>'28'!F114</f>
        <v>9755</v>
      </c>
      <c r="F114" s="741">
        <v>9768</v>
      </c>
      <c r="G114" s="610">
        <f>F114-E114</f>
        <v>13</v>
      </c>
      <c r="H114" s="609">
        <f>SUM(G114+'1'!G91)</f>
        <v>13</v>
      </c>
      <c r="I114" s="608"/>
      <c r="J114" s="635">
        <f>H114/DAY(B2)</f>
        <v>0.44827586206896552</v>
      </c>
      <c r="N114" s="870"/>
      <c r="O114" s="870"/>
    </row>
    <row r="115" spans="1:15" s="481" customFormat="1" ht="27">
      <c r="A115" s="1380" t="s">
        <v>236</v>
      </c>
      <c r="B115" s="1381"/>
      <c r="C115" s="651"/>
      <c r="D115" s="699" t="s">
        <v>155</v>
      </c>
      <c r="E115" s="609">
        <f>'28'!F115</f>
        <v>7410</v>
      </c>
      <c r="F115" s="741">
        <v>7415</v>
      </c>
      <c r="G115" s="610">
        <f t="shared" ref="G115:G116" si="13">F115-E115</f>
        <v>5</v>
      </c>
      <c r="H115" s="609">
        <f>SUM(G115+'1'!G92)</f>
        <v>138</v>
      </c>
      <c r="I115" s="608"/>
      <c r="J115" s="635">
        <f>H115/DAY(B2)</f>
        <v>4.7586206896551726</v>
      </c>
      <c r="N115" s="870"/>
      <c r="O115" s="870"/>
    </row>
    <row r="116" spans="1:15" s="481" customFormat="1" ht="27">
      <c r="A116" s="1380" t="s">
        <v>237</v>
      </c>
      <c r="B116" s="1381"/>
      <c r="C116" s="651"/>
      <c r="D116" s="699" t="s">
        <v>155</v>
      </c>
      <c r="E116" s="612"/>
      <c r="F116" s="741"/>
      <c r="G116" s="610">
        <f t="shared" si="13"/>
        <v>0</v>
      </c>
      <c r="H116" s="609">
        <f>SUM(G116+'1'!G93)</f>
        <v>141</v>
      </c>
      <c r="I116" s="608"/>
      <c r="J116" s="635">
        <f>H116/DAY(B2)</f>
        <v>4.8620689655172411</v>
      </c>
      <c r="N116" s="870"/>
      <c r="O116" s="870"/>
    </row>
    <row r="117" spans="1:15" s="494" customFormat="1" ht="27">
      <c r="A117" s="1382" t="s">
        <v>213</v>
      </c>
      <c r="B117" s="1383"/>
      <c r="C117" s="651"/>
      <c r="D117" s="700"/>
      <c r="E117" s="612"/>
      <c r="F117" s="741"/>
      <c r="G117" s="610">
        <f>SUM(G114:G116)</f>
        <v>18</v>
      </c>
      <c r="H117" s="609">
        <f>SUM(G117+'1'!G95)</f>
        <v>78</v>
      </c>
      <c r="I117" s="610"/>
      <c r="J117" s="635">
        <f>H117/DAY(B2)</f>
        <v>2.6896551724137931</v>
      </c>
      <c r="N117" s="870"/>
      <c r="O117" s="871"/>
    </row>
    <row r="118" spans="1:15" s="495" customFormat="1" ht="27">
      <c r="A118" s="1376" t="s">
        <v>238</v>
      </c>
      <c r="B118" s="1377"/>
      <c r="C118" s="1249"/>
      <c r="D118" s="701" t="s">
        <v>155</v>
      </c>
      <c r="E118" s="612"/>
      <c r="F118" s="741">
        <f>SUM(G19+G92)</f>
        <v>120</v>
      </c>
      <c r="G118" s="612">
        <f>SUM(G19+G92)</f>
        <v>120</v>
      </c>
      <c r="H118" s="609">
        <f>SUM(G118+'1'!G96)</f>
        <v>153</v>
      </c>
      <c r="I118" s="611"/>
      <c r="J118" s="636">
        <f>H118/DAY(B2)</f>
        <v>5.2758620689655169</v>
      </c>
      <c r="N118" s="870"/>
      <c r="O118" s="871"/>
    </row>
    <row r="119" spans="1:15" s="495" customFormat="1" ht="27">
      <c r="A119" s="1376" t="s">
        <v>239</v>
      </c>
      <c r="B119" s="1377"/>
      <c r="C119" s="1249"/>
      <c r="D119" s="701" t="s">
        <v>155</v>
      </c>
      <c r="E119" s="612"/>
      <c r="F119" s="741">
        <f>SUM(G95,G96,G97,G99,G100)</f>
        <v>134</v>
      </c>
      <c r="G119" s="612">
        <f>SUM(G95,G96,G97,G99,G100)</f>
        <v>134</v>
      </c>
      <c r="H119" s="609">
        <f>SUM(G119+'1'!G98)</f>
        <v>184</v>
      </c>
      <c r="I119" s="611"/>
      <c r="J119" s="636">
        <f>H119/DAY(B2)</f>
        <v>6.3448275862068968</v>
      </c>
      <c r="N119" s="870"/>
      <c r="O119" s="871"/>
    </row>
    <row r="120" spans="1:15" s="495" customFormat="1" ht="27">
      <c r="A120" s="1376" t="s">
        <v>240</v>
      </c>
      <c r="B120" s="1377"/>
      <c r="C120" s="1249"/>
      <c r="D120" s="701" t="s">
        <v>155</v>
      </c>
      <c r="E120" s="612"/>
      <c r="F120" s="741">
        <f>SUM(G112)</f>
        <v>78</v>
      </c>
      <c r="G120" s="610">
        <f>SUM(G112)</f>
        <v>78</v>
      </c>
      <c r="H120" s="609">
        <f>SUM(G120+'1'!G100)</f>
        <v>95</v>
      </c>
      <c r="I120" s="611"/>
      <c r="J120" s="636">
        <f>H120/DAY(B2)</f>
        <v>3.2758620689655173</v>
      </c>
      <c r="N120" s="870"/>
      <c r="O120" s="871"/>
    </row>
    <row r="121" spans="1:15" s="481" customFormat="1" ht="27">
      <c r="A121" s="1378"/>
      <c r="B121" s="1379"/>
      <c r="C121" s="1250"/>
      <c r="D121" s="637"/>
      <c r="E121" s="866"/>
      <c r="F121" s="853" t="s">
        <v>226</v>
      </c>
      <c r="G121" s="637"/>
      <c r="H121" s="638"/>
      <c r="I121" s="637"/>
      <c r="J121" s="639"/>
      <c r="N121" s="870"/>
      <c r="O121" s="870"/>
    </row>
    <row r="122" spans="1:15">
      <c r="A122" s="1416" t="s">
        <v>241</v>
      </c>
      <c r="B122" s="1417"/>
      <c r="C122" s="1418"/>
      <c r="D122" s="548"/>
      <c r="E122" s="839"/>
      <c r="F122" s="839"/>
      <c r="G122" s="559"/>
      <c r="H122" s="559"/>
      <c r="I122" s="559"/>
      <c r="J122" s="640"/>
      <c r="K122" s="411"/>
      <c r="L122" s="408"/>
    </row>
    <row r="123" spans="1:15" ht="27.75">
      <c r="A123" s="1252" t="s">
        <v>242</v>
      </c>
      <c r="B123" s="1253"/>
      <c r="C123" s="1253"/>
      <c r="D123" s="599" t="s">
        <v>152</v>
      </c>
      <c r="E123" s="838">
        <f>'28'!F123</f>
        <v>802540</v>
      </c>
      <c r="F123" s="838">
        <v>802782.99</v>
      </c>
      <c r="G123" s="549">
        <f t="shared" ref="G123:G127" si="14">F123-E123</f>
        <v>242.98999999999069</v>
      </c>
      <c r="H123" s="536">
        <f>G123+'28'!H123</f>
        <v>7358.9399999999441</v>
      </c>
      <c r="I123" s="602"/>
      <c r="J123" s="629">
        <f>H123/DAY(B2)</f>
        <v>253.75655172413602</v>
      </c>
      <c r="K123" s="411"/>
      <c r="L123" s="408"/>
    </row>
    <row r="124" spans="1:15" ht="27.75">
      <c r="A124" s="1252" t="s">
        <v>243</v>
      </c>
      <c r="B124" s="1253"/>
      <c r="C124" s="1253"/>
      <c r="D124" s="599" t="s">
        <v>152</v>
      </c>
      <c r="E124" s="838">
        <f>'28'!F124</f>
        <v>73582</v>
      </c>
      <c r="F124" s="854">
        <v>73582</v>
      </c>
      <c r="G124" s="549">
        <f t="shared" si="14"/>
        <v>0</v>
      </c>
      <c r="H124" s="536">
        <f>G124+'28'!H124</f>
        <v>-0.19999999999708962</v>
      </c>
      <c r="I124" s="602"/>
      <c r="J124" s="629">
        <f>H124/DAY(B2)</f>
        <v>-6.8965517240375728E-3</v>
      </c>
      <c r="K124" s="411"/>
      <c r="L124" s="408"/>
    </row>
    <row r="125" spans="1:15" ht="27.75">
      <c r="A125" s="1367" t="s">
        <v>244</v>
      </c>
      <c r="B125" s="1368"/>
      <c r="C125" s="1369"/>
      <c r="D125" s="599" t="s">
        <v>152</v>
      </c>
      <c r="E125" s="838">
        <f>'28'!F125</f>
        <v>137669</v>
      </c>
      <c r="F125" s="838">
        <v>137739.76999999999</v>
      </c>
      <c r="G125" s="549">
        <f t="shared" si="14"/>
        <v>70.769999999989523</v>
      </c>
      <c r="H125" s="536">
        <f>G125+'28'!H125</f>
        <v>2149.0999999999767</v>
      </c>
      <c r="I125" s="602"/>
      <c r="J125" s="629">
        <f>H125/DAY(B2)</f>
        <v>74.106896551723338</v>
      </c>
      <c r="K125" s="411"/>
      <c r="L125" s="408"/>
    </row>
    <row r="126" spans="1:15" ht="27.75">
      <c r="A126" s="686" t="s">
        <v>245</v>
      </c>
      <c r="B126" s="1253"/>
      <c r="C126" s="1253"/>
      <c r="D126" s="599" t="s">
        <v>152</v>
      </c>
      <c r="E126" s="838">
        <f>'28'!F126</f>
        <v>58288</v>
      </c>
      <c r="F126" s="854">
        <v>58320</v>
      </c>
      <c r="G126" s="549">
        <f t="shared" si="14"/>
        <v>32</v>
      </c>
      <c r="H126" s="536">
        <f>G126+'28'!H126</f>
        <v>939</v>
      </c>
      <c r="I126" s="602"/>
      <c r="J126" s="629">
        <f>H126/DAY(B2)</f>
        <v>32.379310344827587</v>
      </c>
      <c r="K126" s="411"/>
      <c r="L126" s="408"/>
    </row>
    <row r="127" spans="1:15" ht="27.75">
      <c r="A127" s="686" t="s">
        <v>246</v>
      </c>
      <c r="B127" s="1253"/>
      <c r="C127" s="1253"/>
      <c r="D127" s="599" t="s">
        <v>152</v>
      </c>
      <c r="E127" s="838">
        <f>'28'!F127</f>
        <v>8805</v>
      </c>
      <c r="F127" s="854">
        <v>8807</v>
      </c>
      <c r="G127" s="549">
        <f t="shared" si="14"/>
        <v>2</v>
      </c>
      <c r="H127" s="536">
        <f>G127+'28'!H127</f>
        <v>101</v>
      </c>
      <c r="I127" s="556"/>
      <c r="J127" s="629">
        <f>H127/DAY(B2)</f>
        <v>3.4827586206896552</v>
      </c>
      <c r="K127" s="411"/>
      <c r="L127" s="408"/>
    </row>
    <row r="128" spans="1:15" s="281" customFormat="1" ht="27">
      <c r="A128" s="686" t="s">
        <v>247</v>
      </c>
      <c r="B128" s="1253"/>
      <c r="C128" s="1253"/>
      <c r="D128" s="599"/>
      <c r="E128" s="838"/>
      <c r="F128" s="838"/>
      <c r="G128" s="549">
        <f>G15-SUM(G123:G127)</f>
        <v>479.20999999999185</v>
      </c>
      <c r="H128" s="536"/>
      <c r="I128" s="556"/>
      <c r="J128" s="629"/>
      <c r="K128" s="391"/>
      <c r="L128" s="293"/>
      <c r="N128" s="870"/>
      <c r="O128" s="870"/>
    </row>
    <row r="129" spans="1:12">
      <c r="A129" s="687" t="s">
        <v>248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>
      <c r="A130" s="1252" t="s">
        <v>249</v>
      </c>
      <c r="B130" s="1253"/>
      <c r="C130" s="1253"/>
      <c r="D130" s="599" t="s">
        <v>250</v>
      </c>
      <c r="E130" s="859">
        <f>'28'!F130</f>
        <v>0</v>
      </c>
      <c r="F130" s="838">
        <v>0</v>
      </c>
      <c r="G130" s="549">
        <f t="shared" ref="G130:G140" si="15">F130-E130</f>
        <v>0</v>
      </c>
      <c r="H130" s="536">
        <f>G130+'28'!H130</f>
        <v>0</v>
      </c>
      <c r="I130" s="556"/>
      <c r="J130" s="629">
        <f>H130/DAY(B2)</f>
        <v>0</v>
      </c>
    </row>
    <row r="131" spans="1:12" ht="27.75">
      <c r="A131" s="1252" t="s">
        <v>251</v>
      </c>
      <c r="B131" s="1253"/>
      <c r="C131" s="1253"/>
      <c r="D131" s="599" t="s">
        <v>250</v>
      </c>
      <c r="E131" s="859">
        <f>'28'!F131</f>
        <v>0</v>
      </c>
      <c r="F131" s="838">
        <v>0</v>
      </c>
      <c r="G131" s="549">
        <f t="shared" si="15"/>
        <v>0</v>
      </c>
      <c r="H131" s="536">
        <f>G131+'28'!H131</f>
        <v>0</v>
      </c>
      <c r="I131" s="556"/>
      <c r="J131" s="629">
        <f>H131/DAY(B2)</f>
        <v>0</v>
      </c>
    </row>
    <row r="132" spans="1:12" ht="27.75">
      <c r="A132" s="1252" t="s">
        <v>252</v>
      </c>
      <c r="B132" s="1253"/>
      <c r="C132" s="1253"/>
      <c r="D132" s="599" t="s">
        <v>250</v>
      </c>
      <c r="E132" s="868">
        <f>'28'!F132</f>
        <v>39032.480000000003</v>
      </c>
      <c r="F132" s="854">
        <v>39056.54</v>
      </c>
      <c r="G132" s="549">
        <f t="shared" si="15"/>
        <v>24.059999999997672</v>
      </c>
      <c r="H132" s="536">
        <f>G132+'28'!H132</f>
        <v>227.05999999999767</v>
      </c>
      <c r="I132" s="556"/>
      <c r="J132" s="629">
        <f>H132/DAY(B2)</f>
        <v>7.8296551724137124</v>
      </c>
    </row>
    <row r="133" spans="1:12" ht="27.75">
      <c r="A133" s="1252" t="s">
        <v>253</v>
      </c>
      <c r="B133" s="1253"/>
      <c r="C133" s="1253"/>
      <c r="D133" s="599" t="s">
        <v>250</v>
      </c>
      <c r="E133" s="868">
        <f>'28'!F133</f>
        <v>299</v>
      </c>
      <c r="F133" s="854">
        <v>299</v>
      </c>
      <c r="G133" s="549">
        <f t="shared" si="15"/>
        <v>0</v>
      </c>
      <c r="H133" s="536">
        <f>G133+'28'!H133</f>
        <v>0</v>
      </c>
      <c r="I133" s="556">
        <f>G130+G131+G132+G133</f>
        <v>24.059999999997672</v>
      </c>
      <c r="J133" s="629">
        <f>H133/DAY(B2)</f>
        <v>0</v>
      </c>
    </row>
    <row r="134" spans="1:12" ht="27.75">
      <c r="A134" s="1252" t="s">
        <v>254</v>
      </c>
      <c r="B134" s="1253"/>
      <c r="C134" s="1253"/>
      <c r="D134" s="599" t="s">
        <v>250</v>
      </c>
      <c r="E134" s="868">
        <f>'28'!F134</f>
        <v>39951</v>
      </c>
      <c r="F134" s="854">
        <v>39951</v>
      </c>
      <c r="G134" s="549">
        <f t="shared" si="15"/>
        <v>0</v>
      </c>
      <c r="H134" s="536">
        <f>G134+'28'!H134</f>
        <v>23.94999999999709</v>
      </c>
      <c r="I134" s="556"/>
      <c r="J134" s="629">
        <f>H134/DAY(B2)</f>
        <v>0.82586206896541692</v>
      </c>
    </row>
    <row r="135" spans="1:12" ht="27.75">
      <c r="A135" s="1252" t="s">
        <v>255</v>
      </c>
      <c r="B135" s="1253"/>
      <c r="C135" s="1253"/>
      <c r="D135" s="599" t="s">
        <v>250</v>
      </c>
      <c r="E135" s="864">
        <f>'28'!F135</f>
        <v>32423</v>
      </c>
      <c r="F135" s="841">
        <v>32423</v>
      </c>
      <c r="G135" s="549">
        <f t="shared" si="15"/>
        <v>0</v>
      </c>
      <c r="H135" s="536">
        <f>G135+'28'!H135</f>
        <v>13</v>
      </c>
      <c r="I135" s="556"/>
      <c r="J135" s="629">
        <f>H135/DAY(B2)</f>
        <v>0.44827586206896552</v>
      </c>
    </row>
    <row r="136" spans="1:12" ht="27.75">
      <c r="A136" s="1252" t="s">
        <v>256</v>
      </c>
      <c r="B136" s="1253"/>
      <c r="C136" s="1253"/>
      <c r="D136" s="599" t="s">
        <v>250</v>
      </c>
      <c r="E136" s="867">
        <f>'28'!F136</f>
        <v>21979.8</v>
      </c>
      <c r="F136" s="845">
        <v>21988.73</v>
      </c>
      <c r="G136" s="549">
        <f t="shared" si="15"/>
        <v>8.930000000000291</v>
      </c>
      <c r="H136" s="536">
        <f>G136+'28'!H136</f>
        <v>187.02999999999884</v>
      </c>
      <c r="I136" s="556">
        <f>G134+G135+G136</f>
        <v>8.930000000000291</v>
      </c>
      <c r="J136" s="629">
        <f>H136/DAY(B2)</f>
        <v>6.4493103448275457</v>
      </c>
    </row>
    <row r="137" spans="1:12" ht="27.75">
      <c r="A137" s="1252" t="s">
        <v>257</v>
      </c>
      <c r="B137" s="1253"/>
      <c r="C137" s="1253"/>
      <c r="D137" s="599" t="s">
        <v>250</v>
      </c>
      <c r="E137" s="867">
        <f>'28'!F137</f>
        <v>25019.94</v>
      </c>
      <c r="F137" s="845">
        <v>25019.94</v>
      </c>
      <c r="G137" s="549">
        <f t="shared" si="15"/>
        <v>0</v>
      </c>
      <c r="H137" s="536">
        <f>G137+'28'!H137</f>
        <v>8</v>
      </c>
      <c r="I137" s="556"/>
      <c r="J137" s="629">
        <f>H137/DAY(B2)</f>
        <v>0.27586206896551724</v>
      </c>
    </row>
    <row r="138" spans="1:12" ht="27.75">
      <c r="A138" s="1252" t="s">
        <v>258</v>
      </c>
      <c r="B138" s="1253"/>
      <c r="C138" s="1253"/>
      <c r="D138" s="599" t="s">
        <v>250</v>
      </c>
      <c r="E138" s="867">
        <f>'28'!F138</f>
        <v>70059.78</v>
      </c>
      <c r="F138" s="845">
        <v>70059.78</v>
      </c>
      <c r="G138" s="549">
        <f t="shared" si="15"/>
        <v>0</v>
      </c>
      <c r="H138" s="536">
        <f>G138+'28'!H138</f>
        <v>16.979999999995925</v>
      </c>
      <c r="I138" s="556">
        <f>G137+G138</f>
        <v>0</v>
      </c>
      <c r="J138" s="629">
        <f>H138/DAY(B2)</f>
        <v>0.58551724137916983</v>
      </c>
    </row>
    <row r="139" spans="1:12" ht="27.75">
      <c r="A139" s="1252" t="s">
        <v>259</v>
      </c>
      <c r="B139" s="1253"/>
      <c r="C139" s="1253"/>
      <c r="D139" s="599" t="s">
        <v>250</v>
      </c>
      <c r="E139" s="868">
        <f>'28'!F139</f>
        <v>1177.29</v>
      </c>
      <c r="F139" s="854">
        <v>1184.42</v>
      </c>
      <c r="G139" s="549">
        <f t="shared" si="15"/>
        <v>7.1300000000001091</v>
      </c>
      <c r="H139" s="536">
        <f>G139+'28'!H139</f>
        <v>121.42000000000007</v>
      </c>
      <c r="I139" s="619"/>
      <c r="J139" s="629">
        <f>H139/DAY(B2)</f>
        <v>4.1868965517241401</v>
      </c>
    </row>
    <row r="140" spans="1:12" ht="27.75">
      <c r="A140" s="1252" t="s">
        <v>260</v>
      </c>
      <c r="B140" s="1253"/>
      <c r="C140" s="1253"/>
      <c r="D140" s="599" t="s">
        <v>250</v>
      </c>
      <c r="E140" s="867">
        <f>'28'!F140</f>
        <v>4334</v>
      </c>
      <c r="F140" s="838">
        <v>4334</v>
      </c>
      <c r="G140" s="549">
        <f t="shared" si="15"/>
        <v>0</v>
      </c>
      <c r="H140" s="536">
        <f>G140+'28'!H140</f>
        <v>101.59000000000015</v>
      </c>
      <c r="I140" s="619"/>
      <c r="J140" s="629">
        <f>H140/DAY(B2)</f>
        <v>3.5031034482758669</v>
      </c>
    </row>
    <row r="141" spans="1:12">
      <c r="A141" s="1397" t="s">
        <v>261</v>
      </c>
      <c r="B141" s="1398"/>
      <c r="C141" s="1258"/>
      <c r="D141" s="548"/>
      <c r="E141" s="839"/>
      <c r="F141" s="839"/>
      <c r="G141" s="559"/>
      <c r="H141" s="559"/>
      <c r="I141" s="559"/>
      <c r="J141" s="640"/>
      <c r="K141" s="411"/>
      <c r="L141" s="408"/>
    </row>
    <row r="142" spans="1:12" ht="27.75">
      <c r="A142" s="1388" t="s">
        <v>262</v>
      </c>
      <c r="B142" s="1389"/>
      <c r="C142" s="1390"/>
      <c r="D142" s="599" t="s">
        <v>143</v>
      </c>
      <c r="E142" s="536"/>
      <c r="F142" s="536"/>
      <c r="G142" s="536">
        <f>G35+G43+G49+G57</f>
        <v>5385.179999999993</v>
      </c>
      <c r="H142" s="536">
        <f>G142+'28'!H142</f>
        <v>152667.62999999992</v>
      </c>
      <c r="I142" s="556"/>
      <c r="J142" s="629">
        <f>H142/DAY(B2)</f>
        <v>5264.4010344827557</v>
      </c>
      <c r="K142" s="411"/>
      <c r="L142" s="408"/>
    </row>
    <row r="143" spans="1:12" ht="27.75">
      <c r="A143" s="1388" t="s">
        <v>263</v>
      </c>
      <c r="B143" s="1389"/>
      <c r="C143" s="1390"/>
      <c r="D143" s="599" t="s">
        <v>24</v>
      </c>
      <c r="E143" s="546"/>
      <c r="F143" s="546"/>
      <c r="G143" s="620">
        <f>G142/G7</f>
        <v>0.28724023895882189</v>
      </c>
      <c r="H143" s="536">
        <f>G143+'28'!H143</f>
        <v>7.6819465766205415</v>
      </c>
      <c r="I143" s="621"/>
      <c r="J143" s="629">
        <f>H143/DAY(B2)</f>
        <v>0.26489470953863936</v>
      </c>
      <c r="K143" s="411"/>
      <c r="L143" s="408"/>
    </row>
    <row r="144" spans="1:12" ht="27.75">
      <c r="A144" s="1388" t="s">
        <v>264</v>
      </c>
      <c r="B144" s="1389"/>
      <c r="C144" s="1390"/>
      <c r="D144" s="599" t="s">
        <v>143</v>
      </c>
      <c r="E144" s="536"/>
      <c r="F144" s="536"/>
      <c r="G144" s="536">
        <f>G41+G42+G55+G56</f>
        <v>3422.4400000000023</v>
      </c>
      <c r="H144" s="536">
        <f>G144+'28'!H144</f>
        <v>120858.89</v>
      </c>
      <c r="I144" s="556"/>
      <c r="J144" s="629">
        <f>H144/DAY(B2)</f>
        <v>4167.5479310344826</v>
      </c>
      <c r="K144" s="411"/>
      <c r="L144" s="408"/>
    </row>
    <row r="145" spans="1:12" ht="27.75">
      <c r="A145" s="1388" t="s">
        <v>265</v>
      </c>
      <c r="B145" s="1389"/>
      <c r="C145" s="1390"/>
      <c r="D145" s="599" t="s">
        <v>24</v>
      </c>
      <c r="E145" s="536"/>
      <c r="F145" s="536"/>
      <c r="G145" s="620">
        <f>G144/G7</f>
        <v>0.18254960529123118</v>
      </c>
      <c r="H145" s="536">
        <f>G145+'28'!H145</f>
        <v>6.1987425767188169</v>
      </c>
      <c r="I145" s="621"/>
      <c r="J145" s="629">
        <f>H145/DAY(B2)</f>
        <v>0.2137497440247868</v>
      </c>
      <c r="K145" s="411"/>
      <c r="L145" s="408"/>
    </row>
    <row r="146" spans="1:12" ht="27.75">
      <c r="A146" s="1388" t="s">
        <v>266</v>
      </c>
      <c r="B146" s="1389"/>
      <c r="C146" s="1390"/>
      <c r="D146" s="599" t="s">
        <v>143</v>
      </c>
      <c r="E146" s="536"/>
      <c r="F146" s="536"/>
      <c r="G146" s="536">
        <f>G39+G53</f>
        <v>4185.9699999999721</v>
      </c>
      <c r="H146" s="536">
        <f>G146+'28'!H146</f>
        <v>119330.99999999997</v>
      </c>
      <c r="I146" s="622"/>
      <c r="J146" s="629">
        <f>H146/DAY(B2)</f>
        <v>4114.8620689655163</v>
      </c>
      <c r="K146" s="411"/>
      <c r="L146" s="408"/>
    </row>
    <row r="147" spans="1:12" ht="27.75">
      <c r="A147" s="1388" t="s">
        <v>267</v>
      </c>
      <c r="B147" s="1389"/>
      <c r="C147" s="1390"/>
      <c r="D147" s="599" t="s">
        <v>24</v>
      </c>
      <c r="E147" s="536"/>
      <c r="F147" s="536"/>
      <c r="G147" s="620">
        <f>G146/G7</f>
        <v>0.22327554939193364</v>
      </c>
      <c r="H147" s="536">
        <f>G147+'28'!H147</f>
        <v>6.1362391391529103</v>
      </c>
      <c r="I147" s="622"/>
      <c r="J147" s="629">
        <f>H147/DAY(B2)</f>
        <v>0.2115944530742383</v>
      </c>
    </row>
    <row r="148" spans="1:12" ht="27.75">
      <c r="A148" s="1388" t="s">
        <v>268</v>
      </c>
      <c r="B148" s="1389"/>
      <c r="C148" s="1390"/>
      <c r="D148" s="599" t="s">
        <v>194</v>
      </c>
      <c r="E148" s="536"/>
      <c r="F148" s="536"/>
      <c r="G148" s="536">
        <f>G38+G52</f>
        <v>1955</v>
      </c>
      <c r="H148" s="536">
        <f>G148+'28'!H148</f>
        <v>56622.369999999995</v>
      </c>
      <c r="I148" s="556"/>
      <c r="J148" s="629">
        <f>H148/DAY(B2)</f>
        <v>1952.495517241379</v>
      </c>
      <c r="K148" s="412"/>
    </row>
    <row r="149" spans="1:12" ht="27.75">
      <c r="A149" s="1388" t="s">
        <v>269</v>
      </c>
      <c r="B149" s="1389"/>
      <c r="C149" s="1390"/>
      <c r="D149" s="599" t="s">
        <v>24</v>
      </c>
      <c r="E149" s="536"/>
      <c r="F149" s="536"/>
      <c r="G149" s="620">
        <f>G148/G7</f>
        <v>0.10427778963089396</v>
      </c>
      <c r="H149" s="536">
        <f>G149+'28'!H149</f>
        <v>2.9121244368394432</v>
      </c>
      <c r="I149" s="622"/>
      <c r="J149" s="629">
        <f>H149/DAY(B2)</f>
        <v>0.10041808402894632</v>
      </c>
    </row>
    <row r="150" spans="1:12" ht="27.75">
      <c r="A150" s="1388" t="s">
        <v>270</v>
      </c>
      <c r="B150" s="1389"/>
      <c r="C150" s="1390"/>
      <c r="D150" s="599" t="s">
        <v>194</v>
      </c>
      <c r="E150" s="536"/>
      <c r="F150" s="536"/>
      <c r="G150" s="536">
        <f>G36+G50</f>
        <v>1695.6999999999534</v>
      </c>
      <c r="H150" s="536">
        <f>G150+'28'!H150</f>
        <v>51862.199999999953</v>
      </c>
      <c r="I150" s="622"/>
      <c r="J150" s="629">
        <f>H150/DAY(B2)</f>
        <v>1788.3517241379295</v>
      </c>
    </row>
    <row r="151" spans="1:12" ht="27.75">
      <c r="A151" s="1388" t="s">
        <v>271</v>
      </c>
      <c r="B151" s="1389"/>
      <c r="C151" s="1390"/>
      <c r="D151" s="599" t="s">
        <v>24</v>
      </c>
      <c r="E151" s="536"/>
      <c r="F151" s="536"/>
      <c r="G151" s="620">
        <f>G150/G7</f>
        <v>9.0446981011305383E-2</v>
      </c>
      <c r="H151" s="536">
        <f>G151+'28'!H151</f>
        <v>2.6677514037919576</v>
      </c>
      <c r="I151" s="556"/>
      <c r="J151" s="629">
        <f>H151/DAY(B2)</f>
        <v>9.1991427716964058E-2</v>
      </c>
    </row>
    <row r="152" spans="1:12" ht="27.75">
      <c r="A152" s="1388" t="s">
        <v>272</v>
      </c>
      <c r="B152" s="1389"/>
      <c r="C152" s="1390"/>
      <c r="D152" s="599" t="s">
        <v>194</v>
      </c>
      <c r="E152" s="536"/>
      <c r="F152" s="536"/>
      <c r="G152" s="536">
        <f>G37+G51</f>
        <v>1563</v>
      </c>
      <c r="H152" s="536">
        <f>G152+'28'!H152</f>
        <v>42327.89</v>
      </c>
      <c r="I152" s="556"/>
      <c r="J152" s="629">
        <f>H152/DAY(B2)</f>
        <v>1459.5824137931033</v>
      </c>
    </row>
    <row r="153" spans="1:12" ht="28.5" thickBot="1">
      <c r="A153" s="1394" t="s">
        <v>273</v>
      </c>
      <c r="B153" s="1395"/>
      <c r="C153" s="1396"/>
      <c r="D153" s="702" t="s">
        <v>24</v>
      </c>
      <c r="E153" s="644"/>
      <c r="F153" s="644"/>
      <c r="G153" s="643">
        <f>G152/G7</f>
        <v>8.3368892681886062E-2</v>
      </c>
      <c r="H153" s="536">
        <f>G153+'28'!H153</f>
        <v>2.1772324965084398</v>
      </c>
      <c r="I153" s="645"/>
      <c r="J153" s="646">
        <f>H153/DAY(B2)</f>
        <v>7.5076982638222059E-2</v>
      </c>
    </row>
    <row r="154" spans="1:12">
      <c r="A154" s="542"/>
      <c r="B154" s="532"/>
      <c r="C154" s="532"/>
      <c r="D154" s="623"/>
      <c r="E154" s="625"/>
      <c r="F154" s="855"/>
      <c r="G154" s="623"/>
      <c r="H154" s="624"/>
      <c r="I154" s="623"/>
      <c r="J154" s="625"/>
    </row>
    <row r="160" spans="1:12">
      <c r="A160" s="899" t="s">
        <v>274</v>
      </c>
      <c r="B160" s="900"/>
      <c r="C160" s="900"/>
      <c r="D160" s="697" t="s">
        <v>198</v>
      </c>
      <c r="E160" s="864">
        <f>'28'!F160</f>
        <v>28185.9</v>
      </c>
      <c r="F160" s="908">
        <v>28266.89</v>
      </c>
      <c r="G160" s="549">
        <f t="shared" ref="G160:G163" si="16">F160-E160</f>
        <v>80.989999999997963</v>
      </c>
    </row>
    <row r="161" spans="1:7">
      <c r="A161" s="899" t="s">
        <v>275</v>
      </c>
      <c r="B161" s="900"/>
      <c r="C161" s="900"/>
      <c r="D161" s="697" t="s">
        <v>198</v>
      </c>
      <c r="E161" s="864">
        <f>'28'!F161</f>
        <v>41255.49</v>
      </c>
      <c r="F161" s="908">
        <v>41680.800000000003</v>
      </c>
      <c r="G161" s="549">
        <f t="shared" si="16"/>
        <v>425.31000000000495</v>
      </c>
    </row>
    <row r="162" spans="1:7">
      <c r="A162" s="899" t="s">
        <v>276</v>
      </c>
      <c r="B162" s="900"/>
      <c r="C162" s="900"/>
      <c r="D162" s="697" t="s">
        <v>198</v>
      </c>
      <c r="E162" s="864">
        <f>'28'!F162</f>
        <v>12092</v>
      </c>
      <c r="F162" s="908">
        <v>12319</v>
      </c>
      <c r="G162" s="549">
        <f t="shared" si="16"/>
        <v>227</v>
      </c>
    </row>
    <row r="163" spans="1:7">
      <c r="A163" s="899" t="s">
        <v>277</v>
      </c>
      <c r="B163" s="900"/>
      <c r="C163" s="900"/>
      <c r="D163" s="697" t="s">
        <v>198</v>
      </c>
      <c r="E163" s="864">
        <f>'28'!F163</f>
        <v>4939.6899999999996</v>
      </c>
      <c r="F163" s="908">
        <v>4960.6400000000003</v>
      </c>
      <c r="G163" s="549">
        <f t="shared" si="16"/>
        <v>20.950000000000728</v>
      </c>
    </row>
    <row r="164" spans="1:7">
      <c r="A164" s="901" t="s">
        <v>106</v>
      </c>
      <c r="B164" s="902"/>
      <c r="C164" s="902"/>
      <c r="D164" s="697" t="s">
        <v>198</v>
      </c>
      <c r="E164" s="590">
        <f>E62</f>
        <v>20419.187000000002</v>
      </c>
      <c r="F164" s="590">
        <f>F62</f>
        <v>20419.18</v>
      </c>
      <c r="G164" s="549">
        <f t="shared" ref="G164:G171" si="17">F164-E164</f>
        <v>-7.0000000014260877E-3</v>
      </c>
    </row>
    <row r="165" spans="1:7">
      <c r="A165" s="901" t="s">
        <v>199</v>
      </c>
      <c r="B165" s="902"/>
      <c r="C165" s="902"/>
      <c r="D165" s="697" t="s">
        <v>198</v>
      </c>
      <c r="E165" s="590">
        <f t="shared" ref="E165:E171" si="18">E63</f>
        <v>1293.6600000000001</v>
      </c>
      <c r="F165" s="590">
        <f t="shared" ref="F165:F171" si="19">F63</f>
        <v>1305.8900000000001</v>
      </c>
      <c r="G165" s="549">
        <f t="shared" si="17"/>
        <v>12.230000000000018</v>
      </c>
    </row>
    <row r="166" spans="1:7" ht="27.75">
      <c r="A166" s="1434" t="s">
        <v>107</v>
      </c>
      <c r="B166" s="1434"/>
      <c r="C166" s="1434"/>
      <c r="D166" s="600" t="s">
        <v>198</v>
      </c>
      <c r="E166" s="590">
        <f t="shared" si="18"/>
        <v>110016</v>
      </c>
      <c r="F166" s="590">
        <f t="shared" si="19"/>
        <v>110461.4</v>
      </c>
      <c r="G166" s="549">
        <f t="shared" si="17"/>
        <v>445.39999999999418</v>
      </c>
    </row>
    <row r="167" spans="1:7" ht="27.75">
      <c r="A167" s="1434" t="s">
        <v>108</v>
      </c>
      <c r="B167" s="1434"/>
      <c r="C167" s="1434"/>
      <c r="D167" s="600" t="s">
        <v>198</v>
      </c>
      <c r="E167" s="590">
        <f t="shared" si="18"/>
        <v>120566.18</v>
      </c>
      <c r="F167" s="590">
        <f t="shared" si="19"/>
        <v>120948.65</v>
      </c>
      <c r="G167" s="549">
        <f t="shared" si="17"/>
        <v>382.47000000000116</v>
      </c>
    </row>
    <row r="168" spans="1:7" ht="27.75">
      <c r="A168" s="1434" t="s">
        <v>109</v>
      </c>
      <c r="B168" s="1434"/>
      <c r="C168" s="1434"/>
      <c r="D168" s="600" t="s">
        <v>198</v>
      </c>
      <c r="E168" s="590">
        <f t="shared" si="18"/>
        <v>12904</v>
      </c>
      <c r="F168" s="590">
        <f t="shared" si="19"/>
        <v>13320.84</v>
      </c>
      <c r="G168" s="549">
        <f t="shared" si="17"/>
        <v>416.84000000000015</v>
      </c>
    </row>
    <row r="169" spans="1:7" ht="27.75">
      <c r="A169" s="1434" t="s">
        <v>110</v>
      </c>
      <c r="B169" s="1434"/>
      <c r="C169" s="1434"/>
      <c r="D169" s="600" t="s">
        <v>198</v>
      </c>
      <c r="E169" s="590">
        <f t="shared" si="18"/>
        <v>186593</v>
      </c>
      <c r="F169" s="590">
        <f t="shared" si="19"/>
        <v>187269.37</v>
      </c>
      <c r="G169" s="549">
        <f t="shared" si="17"/>
        <v>676.36999999999534</v>
      </c>
    </row>
    <row r="170" spans="1:7" ht="27.75">
      <c r="A170" s="1434" t="s">
        <v>111</v>
      </c>
      <c r="B170" s="1434"/>
      <c r="C170" s="1434"/>
      <c r="D170" s="600" t="s">
        <v>198</v>
      </c>
      <c r="E170" s="590">
        <f t="shared" si="18"/>
        <v>62358</v>
      </c>
      <c r="F170" s="590">
        <f t="shared" si="19"/>
        <v>62687.79</v>
      </c>
      <c r="G170" s="549">
        <f t="shared" si="17"/>
        <v>329.79000000000087</v>
      </c>
    </row>
    <row r="171" spans="1:7" ht="27.75">
      <c r="A171" s="1434" t="s">
        <v>112</v>
      </c>
      <c r="B171" s="1434"/>
      <c r="C171" s="1434"/>
      <c r="D171" s="600" t="s">
        <v>198</v>
      </c>
      <c r="E171" s="590">
        <f t="shared" si="18"/>
        <v>54778</v>
      </c>
      <c r="F171" s="590">
        <f t="shared" si="19"/>
        <v>55093</v>
      </c>
      <c r="G171" s="549">
        <f t="shared" si="17"/>
        <v>315</v>
      </c>
    </row>
    <row r="172" spans="1:7">
      <c r="A172" s="903"/>
      <c r="B172" s="904"/>
      <c r="C172" s="904"/>
      <c r="D172" s="905"/>
      <c r="E172" s="907"/>
      <c r="F172" s="1137"/>
      <c r="G172" s="907">
        <f>SUM(G160:G171)</f>
        <v>3332.3429999999939</v>
      </c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72"/>
  <sheetViews>
    <sheetView view="pageBreakPreview" topLeftCell="A88" zoomScale="60" zoomScaleNormal="55" workbookViewId="0">
      <selection activeCell="F28" sqref="F28"/>
    </sheetView>
  </sheetViews>
  <sheetFormatPr defaultColWidth="22.33203125" defaultRowHeight="21.95" customHeight="1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2.109375" style="614" customWidth="1"/>
    <col min="6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2.33203125" style="407"/>
    <col min="15" max="15" width="22.33203125" style="408"/>
    <col min="16" max="16384" width="22.33203125" style="407"/>
  </cols>
  <sheetData>
    <row r="1" spans="1:15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5" s="281" customFormat="1" ht="27">
      <c r="A2" s="652" t="s">
        <v>296</v>
      </c>
      <c r="B2" s="1222">
        <v>44104</v>
      </c>
      <c r="C2" s="1254" t="s">
        <v>69</v>
      </c>
      <c r="D2" s="688">
        <v>0.3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  <c r="O2" s="293"/>
    </row>
    <row r="3" spans="1:15" s="281" customFormat="1" ht="27">
      <c r="A3" s="647"/>
      <c r="B3" s="691"/>
      <c r="C3" s="1254" t="s">
        <v>131</v>
      </c>
      <c r="D3" s="689">
        <v>30</v>
      </c>
      <c r="E3" s="1558" t="s">
        <v>132</v>
      </c>
      <c r="F3" s="1558"/>
      <c r="G3" s="538"/>
      <c r="H3" s="539"/>
      <c r="I3" s="539"/>
      <c r="J3" s="692"/>
      <c r="K3" s="402"/>
      <c r="L3" s="293"/>
      <c r="O3" s="1129"/>
    </row>
    <row r="4" spans="1:15" s="281" customFormat="1" ht="27">
      <c r="A4" s="653"/>
      <c r="B4" s="693"/>
      <c r="C4" s="1254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O4" s="293"/>
    </row>
    <row r="5" spans="1:15" ht="21.95" customHeight="1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ht="21.95" customHeight="1">
      <c r="A6" s="1559" t="s">
        <v>141</v>
      </c>
      <c r="B6" s="1560"/>
      <c r="C6" s="1560"/>
      <c r="D6" s="547"/>
      <c r="E6" s="547"/>
      <c r="F6" s="547"/>
      <c r="G6" s="547"/>
      <c r="H6" s="548"/>
      <c r="I6" s="548"/>
      <c r="J6" s="628"/>
      <c r="K6" s="466"/>
      <c r="L6" s="408"/>
      <c r="O6" s="1130"/>
    </row>
    <row r="7" spans="1:15" ht="21.95" customHeight="1" thickBot="1">
      <c r="A7" s="655" t="s">
        <v>142</v>
      </c>
      <c r="B7" s="656"/>
      <c r="C7" s="656"/>
      <c r="D7" s="599" t="s">
        <v>143</v>
      </c>
      <c r="E7" s="531">
        <f>'29'!F7</f>
        <v>3850820</v>
      </c>
      <c r="F7" s="531">
        <v>1536438</v>
      </c>
      <c r="G7" s="874">
        <f>F7-E7</f>
        <v>-2314382</v>
      </c>
      <c r="H7" s="536">
        <f>G7+'29'!H7</f>
        <v>-1750002</v>
      </c>
      <c r="I7" s="550">
        <f>'1'!I7</f>
        <v>12000</v>
      </c>
      <c r="J7" s="629">
        <f>H7/DAY(B2)</f>
        <v>-58333.4</v>
      </c>
      <c r="K7" s="626">
        <v>1375467</v>
      </c>
      <c r="L7" s="408"/>
      <c r="N7" s="479">
        <f>F7-'1'!E7</f>
        <v>-1750002</v>
      </c>
      <c r="O7" s="910"/>
    </row>
    <row r="8" spans="1:15" ht="21.95" customHeight="1" thickBot="1">
      <c r="A8" s="657" t="s">
        <v>144</v>
      </c>
      <c r="B8" s="658"/>
      <c r="C8" s="659"/>
      <c r="D8" s="694" t="s">
        <v>25</v>
      </c>
      <c r="E8" s="551">
        <f>'29'!F8</f>
        <v>3875075</v>
      </c>
      <c r="F8" s="551">
        <v>1544066</v>
      </c>
      <c r="G8" s="552">
        <f>F8-E8</f>
        <v>-2331009</v>
      </c>
      <c r="H8" s="536">
        <f>G8+'29'!H8</f>
        <v>-1762306</v>
      </c>
      <c r="I8" s="553"/>
      <c r="J8" s="629">
        <f>H8/DAY(B2)</f>
        <v>-58743.533333333333</v>
      </c>
      <c r="K8" s="626">
        <v>1715917</v>
      </c>
      <c r="L8" s="464">
        <v>1728480</v>
      </c>
      <c r="M8" s="479">
        <f>L8-K8</f>
        <v>12563</v>
      </c>
      <c r="N8" s="479">
        <f>F8-'1'!E8</f>
        <v>-1762306</v>
      </c>
      <c r="O8" s="910"/>
    </row>
    <row r="9" spans="1:15" ht="21.95" customHeight="1">
      <c r="A9" s="660" t="s">
        <v>145</v>
      </c>
      <c r="B9" s="661"/>
      <c r="C9" s="661"/>
      <c r="D9" s="599" t="s">
        <v>143</v>
      </c>
      <c r="E9" s="531">
        <f>'29'!F9</f>
        <v>2522775</v>
      </c>
      <c r="F9" s="554">
        <v>1468112</v>
      </c>
      <c r="G9" s="549">
        <f t="shared" ref="G9:G12" si="0">F9-E9</f>
        <v>-1054663</v>
      </c>
      <c r="H9" s="536">
        <f>G9+'29'!H9</f>
        <v>-937103</v>
      </c>
      <c r="I9" s="555">
        <f>I7-J7</f>
        <v>70333.399999999994</v>
      </c>
      <c r="J9" s="629">
        <f>H9/DAY(B2)</f>
        <v>-31236.766666666666</v>
      </c>
      <c r="K9" s="467">
        <f>K8-100</f>
        <v>1715817</v>
      </c>
      <c r="L9" s="408"/>
      <c r="N9" s="479">
        <f>F9-'1'!E9</f>
        <v>-937103</v>
      </c>
      <c r="O9" s="910"/>
    </row>
    <row r="10" spans="1:15" ht="21.95" customHeight="1">
      <c r="A10" s="655" t="s">
        <v>146</v>
      </c>
      <c r="B10" s="656"/>
      <c r="C10" s="656"/>
      <c r="D10" s="599" t="s">
        <v>143</v>
      </c>
      <c r="E10" s="531">
        <f>'29'!F10</f>
        <v>1177122</v>
      </c>
      <c r="F10" s="554">
        <v>454609.79</v>
      </c>
      <c r="G10" s="549">
        <f t="shared" si="0"/>
        <v>-722512.21</v>
      </c>
      <c r="H10" s="536">
        <f>G10+'29'!H10</f>
        <v>-295912.12</v>
      </c>
      <c r="I10" s="556"/>
      <c r="J10" s="629">
        <f>H10/DAY(B2)</f>
        <v>-9863.7373333333326</v>
      </c>
      <c r="K10" s="467"/>
      <c r="L10" s="408"/>
      <c r="N10" s="479">
        <f>F10-'1'!E10</f>
        <v>-295912.12000000005</v>
      </c>
      <c r="O10" s="910"/>
    </row>
    <row r="11" spans="1:15" ht="21.95" customHeight="1">
      <c r="A11" s="655" t="s">
        <v>147</v>
      </c>
      <c r="B11" s="656"/>
      <c r="C11" s="656"/>
      <c r="D11" s="599" t="s">
        <v>143</v>
      </c>
      <c r="E11" s="531">
        <f>'29'!F11</f>
        <v>35390</v>
      </c>
      <c r="F11" s="531">
        <v>34310</v>
      </c>
      <c r="G11" s="549">
        <f t="shared" si="0"/>
        <v>-1080</v>
      </c>
      <c r="H11" s="536">
        <f>G11+'29'!H11</f>
        <v>-1080</v>
      </c>
      <c r="I11" s="556"/>
      <c r="J11" s="629">
        <f>H11/DAY(B2)</f>
        <v>-36</v>
      </c>
      <c r="K11" s="467"/>
      <c r="L11" s="408"/>
      <c r="N11" s="479">
        <f>F11-'1'!E11</f>
        <v>-1080</v>
      </c>
      <c r="O11" s="910"/>
    </row>
    <row r="12" spans="1:15" ht="21.95" customHeight="1">
      <c r="A12" s="655" t="s">
        <v>148</v>
      </c>
      <c r="B12" s="656"/>
      <c r="C12" s="656"/>
      <c r="D12" s="599" t="s">
        <v>143</v>
      </c>
      <c r="E12" s="531">
        <f>'29'!F12</f>
        <v>37630</v>
      </c>
      <c r="F12" s="554">
        <v>37630</v>
      </c>
      <c r="G12" s="549">
        <f t="shared" si="0"/>
        <v>0</v>
      </c>
      <c r="H12" s="536">
        <f>G12+'29'!H12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910"/>
    </row>
    <row r="13" spans="1:15" ht="21.95" customHeight="1">
      <c r="A13" s="662" t="s">
        <v>149</v>
      </c>
      <c r="B13" s="663"/>
      <c r="C13" s="663"/>
      <c r="D13" s="599"/>
      <c r="E13" s="531"/>
      <c r="F13" s="531"/>
      <c r="G13" s="557">
        <f>G9+G10+G11+G12</f>
        <v>-1778255.21</v>
      </c>
      <c r="H13" s="536">
        <f>G13+'29'!H13</f>
        <v>-1253616.1200000001</v>
      </c>
      <c r="I13" s="558">
        <f>G7-G13</f>
        <v>-536126.79</v>
      </c>
      <c r="J13" s="629">
        <f>H13/DAY(B2)</f>
        <v>-41787.204000000005</v>
      </c>
      <c r="K13" s="467"/>
      <c r="L13" s="408"/>
      <c r="N13" s="479">
        <f>F13-'1'!E13</f>
        <v>0</v>
      </c>
      <c r="O13" s="910"/>
    </row>
    <row r="14" spans="1:15" ht="29.25">
      <c r="A14" s="1561" t="s">
        <v>150</v>
      </c>
      <c r="B14" s="1562"/>
      <c r="C14" s="1562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910"/>
    </row>
    <row r="15" spans="1:15" ht="21.95" customHeight="1">
      <c r="A15" s="1252" t="s">
        <v>151</v>
      </c>
      <c r="B15" s="666"/>
      <c r="C15" s="666"/>
      <c r="D15" s="599" t="s">
        <v>152</v>
      </c>
      <c r="E15" s="531">
        <f>'29'!F15</f>
        <v>1592900.97</v>
      </c>
      <c r="F15" s="560">
        <v>1515258.7779999999</v>
      </c>
      <c r="G15" s="874">
        <f>(F15-E15)</f>
        <v>-77642.192000000039</v>
      </c>
      <c r="H15" s="536">
        <f>G15+'29'!H15</f>
        <v>-53655.32200000016</v>
      </c>
      <c r="I15" s="550">
        <f>'1'!I15</f>
        <v>800</v>
      </c>
      <c r="J15" s="629">
        <f>H15/DAY(B2)</f>
        <v>-1788.5107333333387</v>
      </c>
      <c r="K15" s="467"/>
      <c r="L15" s="408"/>
      <c r="N15" s="479">
        <f>F15-'1'!E15</f>
        <v>-53655.32200000016</v>
      </c>
      <c r="O15" s="910"/>
    </row>
    <row r="16" spans="1:15" ht="21.95" customHeight="1">
      <c r="A16" s="664"/>
      <c r="B16" s="665"/>
      <c r="C16" s="665"/>
      <c r="D16" s="600"/>
      <c r="E16" s="561"/>
      <c r="F16" s="561"/>
      <c r="G16" s="549"/>
      <c r="H16" s="562"/>
      <c r="I16" s="563">
        <f>I15-J15</f>
        <v>2588.510733333339</v>
      </c>
      <c r="J16" s="630"/>
      <c r="K16" s="467"/>
      <c r="L16" s="408"/>
      <c r="N16" s="479">
        <f>F16-'1'!E16</f>
        <v>0</v>
      </c>
      <c r="O16" s="910"/>
    </row>
    <row r="17" spans="1:15" ht="29.25">
      <c r="A17" s="1561" t="s">
        <v>153</v>
      </c>
      <c r="B17" s="1562"/>
      <c r="C17" s="1562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910"/>
    </row>
    <row r="18" spans="1:15" ht="27.75">
      <c r="A18" s="1556" t="s">
        <v>154</v>
      </c>
      <c r="B18" s="1557"/>
      <c r="C18" s="1557"/>
      <c r="D18" s="599" t="s">
        <v>155</v>
      </c>
      <c r="E18" s="531">
        <f>'29'!F18</f>
        <v>10</v>
      </c>
      <c r="F18" s="560">
        <v>6</v>
      </c>
      <c r="G18" s="557">
        <f>F18*10</f>
        <v>60</v>
      </c>
      <c r="H18" s="536">
        <f>G18+'29'!H18</f>
        <v>3550</v>
      </c>
      <c r="I18" s="550">
        <f>'1'!I18</f>
        <v>65</v>
      </c>
      <c r="J18" s="629">
        <f>H18/DAY(B2)</f>
        <v>118.33333333333333</v>
      </c>
      <c r="K18" s="467"/>
      <c r="L18" s="408"/>
      <c r="N18" s="479">
        <f>F18-'1'!E18</f>
        <v>-7</v>
      </c>
      <c r="O18" s="910"/>
    </row>
    <row r="19" spans="1:15" ht="27.75">
      <c r="A19" s="1556" t="s">
        <v>71</v>
      </c>
      <c r="B19" s="1557"/>
      <c r="C19" s="1557"/>
      <c r="D19" s="599" t="s">
        <v>155</v>
      </c>
      <c r="E19" s="531">
        <f>'29'!F19</f>
        <v>132943</v>
      </c>
      <c r="F19" s="560">
        <v>126510</v>
      </c>
      <c r="G19" s="549">
        <f t="shared" ref="G19" si="1">F19-E19</f>
        <v>-6433</v>
      </c>
      <c r="H19" s="536">
        <f>G19+'29'!H19</f>
        <v>-4983</v>
      </c>
      <c r="I19" s="565"/>
      <c r="J19" s="629">
        <f>H19/DAY(B2)</f>
        <v>-166.1</v>
      </c>
      <c r="K19" s="467"/>
      <c r="L19" s="408"/>
      <c r="N19" s="479">
        <f>F19-'1'!E19</f>
        <v>-4983</v>
      </c>
      <c r="O19" s="910"/>
    </row>
    <row r="20" spans="1:15" ht="21.95" customHeight="1">
      <c r="A20" s="662" t="s">
        <v>156</v>
      </c>
      <c r="B20" s="663"/>
      <c r="C20" s="663"/>
      <c r="D20" s="566"/>
      <c r="E20" s="566"/>
      <c r="F20" s="566"/>
      <c r="G20" s="1128">
        <f>G18+G19</f>
        <v>-6373</v>
      </c>
      <c r="H20" s="536">
        <f>G20+'29'!H20</f>
        <v>-1433</v>
      </c>
      <c r="I20" s="568">
        <f>I18-J20</f>
        <v>112.76666666666667</v>
      </c>
      <c r="J20" s="629">
        <f>H20/DAY(B2)</f>
        <v>-47.766666666666666</v>
      </c>
      <c r="K20" s="467"/>
      <c r="L20" s="408"/>
      <c r="N20" s="479">
        <f>F20-'1'!E20</f>
        <v>0</v>
      </c>
      <c r="O20" s="910"/>
    </row>
    <row r="21" spans="1:15" ht="29.25">
      <c r="A21" s="1561" t="s">
        <v>157</v>
      </c>
      <c r="B21" s="1562"/>
      <c r="C21" s="1562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910"/>
    </row>
    <row r="22" spans="1:15" ht="21.95" customHeight="1">
      <c r="A22" s="1252" t="s">
        <v>158</v>
      </c>
      <c r="B22" s="666"/>
      <c r="C22" s="666"/>
      <c r="D22" s="599" t="s">
        <v>159</v>
      </c>
      <c r="E22" s="560">
        <v>2250</v>
      </c>
      <c r="F22" s="560">
        <v>2250</v>
      </c>
      <c r="G22" s="557">
        <f t="shared" ref="G22" si="2">(F22-E22)</f>
        <v>0</v>
      </c>
      <c r="H22" s="536">
        <f>G22+'29'!H22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910"/>
    </row>
    <row r="23" spans="1:15" ht="21.95" customHeight="1">
      <c r="A23" s="1252" t="s">
        <v>160</v>
      </c>
      <c r="B23" s="666"/>
      <c r="C23" s="666"/>
      <c r="D23" s="599" t="s">
        <v>159</v>
      </c>
      <c r="E23" s="560">
        <v>2000</v>
      </c>
      <c r="F23" s="560">
        <v>2000</v>
      </c>
      <c r="G23" s="557">
        <v>0</v>
      </c>
      <c r="H23" s="536">
        <f>G23+'29'!H23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910"/>
    </row>
    <row r="24" spans="1:15" ht="21.95" customHeight="1">
      <c r="A24" s="667" t="s">
        <v>161</v>
      </c>
      <c r="B24" s="668"/>
      <c r="C24" s="668"/>
      <c r="D24" s="587" t="s">
        <v>159</v>
      </c>
      <c r="E24" s="569">
        <v>4250</v>
      </c>
      <c r="F24" s="569">
        <v>4250</v>
      </c>
      <c r="G24" s="557">
        <v>0</v>
      </c>
      <c r="H24" s="536">
        <f>G24+'29'!H24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910"/>
    </row>
    <row r="25" spans="1:15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910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910"/>
    </row>
    <row r="27" spans="1:15" s="481" customFormat="1" ht="27.75">
      <c r="A27" s="669" t="s">
        <v>6</v>
      </c>
      <c r="B27" s="670"/>
      <c r="C27" s="671"/>
      <c r="D27" s="696" t="s">
        <v>25</v>
      </c>
      <c r="E27" s="576">
        <f>G8</f>
        <v>-2331009</v>
      </c>
      <c r="F27" s="577">
        <v>9</v>
      </c>
      <c r="G27" s="1131">
        <f>E27*F27</f>
        <v>-20979081</v>
      </c>
      <c r="H27" s="536">
        <f>G27+'29'!H27</f>
        <v>-15842679</v>
      </c>
      <c r="I27" s="579"/>
      <c r="J27" s="629">
        <f>H27/DAY(B2)</f>
        <v>-528089.30000000005</v>
      </c>
      <c r="K27" s="404"/>
      <c r="L27" s="484"/>
      <c r="N27" s="479"/>
      <c r="O27" s="910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80">
        <f>G15</f>
        <v>-77642.192000000039</v>
      </c>
      <c r="F28" s="577">
        <v>41</v>
      </c>
      <c r="G28" s="1131">
        <f>E28*F28</f>
        <v>-3183329.8720000014</v>
      </c>
      <c r="H28" s="536">
        <f>G28+'29'!H28</f>
        <v>-2201109.5620000064</v>
      </c>
      <c r="I28" s="581"/>
      <c r="J28" s="629">
        <f>H28/DAY(B2)</f>
        <v>-73370.318733333552</v>
      </c>
      <c r="K28" s="404"/>
      <c r="L28" s="484"/>
      <c r="N28" s="479"/>
      <c r="O28" s="910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82">
        <f>G24</f>
        <v>0</v>
      </c>
      <c r="F29" s="577">
        <v>69</v>
      </c>
      <c r="G29" s="1131">
        <f>E29*F29</f>
        <v>0</v>
      </c>
      <c r="H29" s="536">
        <f>G29+'29'!H29</f>
        <v>0</v>
      </c>
      <c r="I29" s="581"/>
      <c r="J29" s="629">
        <f>H29/DAY(B2)</f>
        <v>0</v>
      </c>
      <c r="K29" s="404"/>
      <c r="L29" s="484"/>
      <c r="N29" s="479"/>
      <c r="O29" s="910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82">
        <f>G19</f>
        <v>-6433</v>
      </c>
      <c r="F30" s="577">
        <v>134</v>
      </c>
      <c r="G30" s="1131">
        <f>E30*F30</f>
        <v>-862022</v>
      </c>
      <c r="H30" s="536">
        <f>G30+'29'!H30</f>
        <v>-667722</v>
      </c>
      <c r="I30" s="581"/>
      <c r="J30" s="629">
        <f>H30/DAY(B2)</f>
        <v>-22257.4</v>
      </c>
      <c r="K30" s="404"/>
      <c r="L30" s="484"/>
      <c r="N30" s="479"/>
      <c r="O30" s="910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82">
        <f>G18</f>
        <v>60</v>
      </c>
      <c r="F31" s="577">
        <v>80</v>
      </c>
      <c r="G31" s="1131">
        <f>E31*F31</f>
        <v>4800</v>
      </c>
      <c r="H31" s="536">
        <f>G31+'29'!H31</f>
        <v>284000</v>
      </c>
      <c r="I31" s="581"/>
      <c r="J31" s="629"/>
      <c r="K31" s="404"/>
      <c r="L31" s="484"/>
      <c r="N31" s="479"/>
      <c r="O31" s="910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-25019632.872000001</v>
      </c>
      <c r="H32" s="536">
        <f>G32+'29'!H32</f>
        <v>-18427510.562000006</v>
      </c>
      <c r="I32" s="585"/>
      <c r="J32" s="629">
        <f>H32/DAY(B2)</f>
        <v>-614250.35206666694</v>
      </c>
      <c r="K32" s="404"/>
      <c r="L32" s="484"/>
      <c r="N32" s="479"/>
      <c r="O32" s="910"/>
    </row>
    <row r="33" spans="1:15" ht="25.5">
      <c r="A33" s="1566" t="s">
        <v>173</v>
      </c>
      <c r="B33" s="1567"/>
      <c r="C33" s="1567"/>
      <c r="D33" s="1567"/>
      <c r="E33" s="1567"/>
      <c r="F33" s="1567"/>
      <c r="G33" s="1567"/>
      <c r="H33" s="1567"/>
      <c r="I33" s="1567"/>
      <c r="J33" s="1568"/>
      <c r="K33" s="467"/>
      <c r="L33" s="408"/>
      <c r="N33" s="479"/>
      <c r="O33" s="910"/>
    </row>
    <row r="34" spans="1:15" ht="21.95" customHeight="1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79"/>
      <c r="O34" s="910"/>
    </row>
    <row r="35" spans="1:15" ht="21.95" customHeight="1">
      <c r="A35" s="655" t="s">
        <v>175</v>
      </c>
      <c r="B35" s="656"/>
      <c r="C35" s="656"/>
      <c r="D35" s="599" t="s">
        <v>143</v>
      </c>
      <c r="E35" s="531">
        <f>'29'!F35</f>
        <v>629028</v>
      </c>
      <c r="F35" s="586">
        <v>533661.31000000006</v>
      </c>
      <c r="G35" s="549">
        <f t="shared" ref="G35:G46" si="3">F35-E35</f>
        <v>-95366.689999999944</v>
      </c>
      <c r="H35" s="536">
        <f>G35+'29'!H35</f>
        <v>-95365.689999999944</v>
      </c>
      <c r="I35" s="531"/>
      <c r="J35" s="629">
        <f>H35/DAY(B2)</f>
        <v>-3178.8563333333313</v>
      </c>
      <c r="K35" s="467"/>
      <c r="L35" s="408"/>
      <c r="N35" s="479">
        <f>F35-'1'!E35</f>
        <v>-95365.689999999944</v>
      </c>
      <c r="O35" s="910"/>
    </row>
    <row r="36" spans="1:15" ht="21.95" customHeight="1">
      <c r="A36" s="655" t="s">
        <v>176</v>
      </c>
      <c r="B36" s="656"/>
      <c r="C36" s="656"/>
      <c r="D36" s="599" t="s">
        <v>143</v>
      </c>
      <c r="E36" s="531">
        <f>'29'!F36</f>
        <v>275372.73</v>
      </c>
      <c r="F36" s="586">
        <v>192167.25</v>
      </c>
      <c r="G36" s="549">
        <f t="shared" si="3"/>
        <v>-83205.479999999981</v>
      </c>
      <c r="H36" s="536">
        <f>G36+'29'!H36</f>
        <v>-62923.820000000007</v>
      </c>
      <c r="I36" s="531"/>
      <c r="J36" s="629">
        <f>H36/DAY(B2)</f>
        <v>-2097.4606666666668</v>
      </c>
      <c r="K36" s="467"/>
      <c r="L36" s="408"/>
      <c r="N36" s="479">
        <f>F36-'1'!E36</f>
        <v>-62923.820000000007</v>
      </c>
      <c r="O36" s="910"/>
    </row>
    <row r="37" spans="1:15" ht="21.95" customHeight="1">
      <c r="A37" s="655" t="s">
        <v>177</v>
      </c>
      <c r="B37" s="656"/>
      <c r="C37" s="656"/>
      <c r="D37" s="599" t="s">
        <v>143</v>
      </c>
      <c r="E37" s="531">
        <f>'29'!F37</f>
        <v>415066</v>
      </c>
      <c r="F37" s="586">
        <v>354233.35</v>
      </c>
      <c r="G37" s="549">
        <f t="shared" si="3"/>
        <v>-60832.650000000023</v>
      </c>
      <c r="H37" s="536">
        <f>G37+'29'!H37</f>
        <v>-60832.650000000023</v>
      </c>
      <c r="I37" s="531"/>
      <c r="J37" s="629">
        <f>H37/DAY(B2)</f>
        <v>-2027.7550000000008</v>
      </c>
      <c r="K37" s="467"/>
      <c r="L37" s="408"/>
      <c r="N37" s="479">
        <f>F37-'1'!E37</f>
        <v>-60832.650000000023</v>
      </c>
      <c r="O37" s="910"/>
    </row>
    <row r="38" spans="1:15" ht="21.95" customHeight="1">
      <c r="A38" s="655" t="s">
        <v>178</v>
      </c>
      <c r="B38" s="656"/>
      <c r="C38" s="656"/>
      <c r="D38" s="599" t="s">
        <v>143</v>
      </c>
      <c r="E38" s="531">
        <f>'29'!F38</f>
        <v>150714</v>
      </c>
      <c r="F38" s="545">
        <v>150714</v>
      </c>
      <c r="G38" s="549">
        <f t="shared" si="3"/>
        <v>0</v>
      </c>
      <c r="H38" s="536">
        <f>G38+'29'!H38</f>
        <v>0</v>
      </c>
      <c r="I38" s="531"/>
      <c r="J38" s="629">
        <f>H38/DAY(B2)</f>
        <v>0</v>
      </c>
      <c r="K38" s="467"/>
      <c r="L38" s="408"/>
      <c r="N38" s="479"/>
      <c r="O38" s="910"/>
    </row>
    <row r="39" spans="1:15" ht="21.95" customHeight="1">
      <c r="A39" s="655" t="s">
        <v>179</v>
      </c>
      <c r="B39" s="656"/>
      <c r="C39" s="656"/>
      <c r="D39" s="599" t="s">
        <v>143</v>
      </c>
      <c r="E39" s="531">
        <f>'29'!F39</f>
        <v>912480</v>
      </c>
      <c r="F39" s="586">
        <v>763443.99</v>
      </c>
      <c r="G39" s="549">
        <f t="shared" si="3"/>
        <v>-149036.01</v>
      </c>
      <c r="H39" s="536">
        <f>G39+'29'!H39</f>
        <v>-149036.01</v>
      </c>
      <c r="I39" s="531"/>
      <c r="J39" s="629">
        <f>H39/DAY(B2)</f>
        <v>-4967.8670000000002</v>
      </c>
      <c r="K39" s="467"/>
      <c r="L39" s="408"/>
      <c r="N39" s="479">
        <f>F39-'1'!E39</f>
        <v>-149036.01</v>
      </c>
      <c r="O39" s="910"/>
    </row>
    <row r="40" spans="1:15" ht="21.95" customHeight="1">
      <c r="A40" s="676" t="s">
        <v>180</v>
      </c>
      <c r="B40" s="677"/>
      <c r="C40" s="677"/>
      <c r="D40" s="599" t="s">
        <v>143</v>
      </c>
      <c r="E40" s="531">
        <f>'29'!F40</f>
        <v>0</v>
      </c>
      <c r="F40" s="586">
        <v>0</v>
      </c>
      <c r="G40" s="549">
        <f t="shared" si="3"/>
        <v>0</v>
      </c>
      <c r="H40" s="536">
        <f>G40+'29'!H40</f>
        <v>0</v>
      </c>
      <c r="I40" s="531"/>
      <c r="J40" s="629">
        <f>H40/DAY(B2)</f>
        <v>0</v>
      </c>
      <c r="K40" s="468"/>
      <c r="L40" s="408"/>
      <c r="N40" s="479">
        <f>F40-'1'!E40</f>
        <v>0</v>
      </c>
      <c r="O40" s="910"/>
    </row>
    <row r="41" spans="1:15" ht="21.95" customHeight="1">
      <c r="A41" s="655" t="s">
        <v>181</v>
      </c>
      <c r="B41" s="656"/>
      <c r="C41" s="656"/>
      <c r="D41" s="599" t="s">
        <v>143</v>
      </c>
      <c r="E41" s="531">
        <f>'29'!F41</f>
        <v>37220</v>
      </c>
      <c r="F41" s="586">
        <v>300127.95</v>
      </c>
      <c r="G41" s="549">
        <f t="shared" si="3"/>
        <v>262907.95</v>
      </c>
      <c r="H41" s="536">
        <f>G41+'29'!H41</f>
        <v>300127.95</v>
      </c>
      <c r="I41" s="531"/>
      <c r="J41" s="629">
        <f>H41/DAY(B2)</f>
        <v>10004.265000000001</v>
      </c>
      <c r="K41" s="467"/>
      <c r="L41" s="408"/>
      <c r="N41" s="479">
        <f>F41-'1'!E41</f>
        <v>0</v>
      </c>
      <c r="O41" s="910"/>
    </row>
    <row r="42" spans="1:15" ht="21.95" customHeight="1">
      <c r="A42" s="655" t="s">
        <v>182</v>
      </c>
      <c r="B42" s="656"/>
      <c r="C42" s="656"/>
      <c r="D42" s="599" t="s">
        <v>143</v>
      </c>
      <c r="E42" s="531">
        <f>'29'!F42</f>
        <v>58926</v>
      </c>
      <c r="F42" s="586">
        <v>240313.17</v>
      </c>
      <c r="G42" s="549">
        <f t="shared" si="3"/>
        <v>181387.17</v>
      </c>
      <c r="H42" s="536">
        <f>G42+'29'!H42</f>
        <v>181387.08000000002</v>
      </c>
      <c r="I42" s="531"/>
      <c r="J42" s="629">
        <f>H42/DAY(B2)</f>
        <v>6046.2360000000008</v>
      </c>
      <c r="K42" s="467"/>
      <c r="L42" s="408"/>
      <c r="N42" s="479">
        <f>F42-'1'!E42</f>
        <v>181387.08000000002</v>
      </c>
      <c r="O42" s="910"/>
    </row>
    <row r="43" spans="1:15" ht="21.95" customHeight="1">
      <c r="A43" s="655" t="s">
        <v>183</v>
      </c>
      <c r="B43" s="656"/>
      <c r="C43" s="656"/>
      <c r="D43" s="599" t="s">
        <v>143</v>
      </c>
      <c r="E43" s="531">
        <f>'29'!F43</f>
        <v>763162.63</v>
      </c>
      <c r="F43" s="586">
        <v>486223.43</v>
      </c>
      <c r="G43" s="549">
        <f t="shared" si="3"/>
        <v>-276939.2</v>
      </c>
      <c r="H43" s="536">
        <f>G43+'29'!H43</f>
        <v>-212030.00000000006</v>
      </c>
      <c r="I43" s="531"/>
      <c r="J43" s="629">
        <f>H43/DAY(B2)</f>
        <v>-7067.6666666666688</v>
      </c>
      <c r="K43" s="467"/>
      <c r="L43" s="408"/>
      <c r="N43" s="479">
        <f>F43-'1'!E43</f>
        <v>-212030.00000000006</v>
      </c>
      <c r="O43" s="910"/>
    </row>
    <row r="44" spans="1:15" ht="21.95" customHeight="1">
      <c r="A44" s="655" t="s">
        <v>184</v>
      </c>
      <c r="B44" s="656"/>
      <c r="C44" s="656"/>
      <c r="D44" s="599" t="s">
        <v>143</v>
      </c>
      <c r="E44" s="531">
        <f>'29'!F44</f>
        <v>0</v>
      </c>
      <c r="F44" s="586">
        <v>0</v>
      </c>
      <c r="G44" s="549">
        <f t="shared" si="3"/>
        <v>0</v>
      </c>
      <c r="H44" s="536">
        <f>G44+'29'!H44</f>
        <v>0</v>
      </c>
      <c r="I44" s="531"/>
      <c r="J44" s="629">
        <f>H44/DAY(B2)</f>
        <v>0</v>
      </c>
      <c r="K44" s="467"/>
      <c r="L44" s="408"/>
      <c r="N44" s="479">
        <f>F44-'1'!E44</f>
        <v>0</v>
      </c>
      <c r="O44" s="910"/>
    </row>
    <row r="45" spans="1:15" ht="21.95" customHeight="1">
      <c r="A45" s="655" t="s">
        <v>185</v>
      </c>
      <c r="B45" s="656"/>
      <c r="C45" s="656"/>
      <c r="D45" s="599" t="s">
        <v>143</v>
      </c>
      <c r="E45" s="531">
        <f>'29'!F45</f>
        <v>614.48</v>
      </c>
      <c r="F45" s="586">
        <v>614.48</v>
      </c>
      <c r="G45" s="549">
        <f t="shared" si="3"/>
        <v>0</v>
      </c>
      <c r="H45" s="536">
        <f>G45+'29'!H45</f>
        <v>0</v>
      </c>
      <c r="I45" s="531"/>
      <c r="J45" s="629">
        <f>H45/DAY(B2)</f>
        <v>0</v>
      </c>
      <c r="K45" s="467"/>
      <c r="L45" s="408"/>
      <c r="N45" s="479">
        <f>F45-'1'!E45</f>
        <v>0</v>
      </c>
      <c r="O45" s="910"/>
    </row>
    <row r="46" spans="1:15" ht="21.95" customHeight="1">
      <c r="A46" s="655" t="s">
        <v>186</v>
      </c>
      <c r="B46" s="656"/>
      <c r="C46" s="656"/>
      <c r="D46" s="599" t="s">
        <v>143</v>
      </c>
      <c r="E46" s="531">
        <f>'29'!F46</f>
        <v>187.49</v>
      </c>
      <c r="F46" s="586">
        <v>187.49</v>
      </c>
      <c r="G46" s="549">
        <f t="shared" si="3"/>
        <v>0</v>
      </c>
      <c r="H46" s="536">
        <f>G46+'29'!H46</f>
        <v>0</v>
      </c>
      <c r="I46" s="531"/>
      <c r="J46" s="629">
        <f>H46/DAY(B2)</f>
        <v>0</v>
      </c>
      <c r="K46" s="467"/>
      <c r="L46" s="408"/>
      <c r="N46" s="479">
        <f>F46-'1'!E46</f>
        <v>0</v>
      </c>
      <c r="O46" s="910"/>
    </row>
    <row r="47" spans="1:15" ht="21.95" customHeight="1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-221084.90999999995</v>
      </c>
      <c r="H47" s="536">
        <f>G47+'29'!H47</f>
        <v>-98673.140000000014</v>
      </c>
      <c r="I47" s="531"/>
      <c r="J47" s="629">
        <f>H47/DAY(B2)</f>
        <v>-3289.1046666666671</v>
      </c>
      <c r="K47" s="467"/>
      <c r="L47" s="408"/>
      <c r="N47" s="479">
        <f>F47-'1'!E47</f>
        <v>0</v>
      </c>
      <c r="O47" s="910"/>
    </row>
    <row r="48" spans="1:15" ht="29.2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O48" s="910"/>
    </row>
    <row r="49" spans="1:15" ht="29.25">
      <c r="A49" s="655" t="s">
        <v>175</v>
      </c>
      <c r="B49" s="678"/>
      <c r="C49" s="678"/>
      <c r="D49" s="599" t="s">
        <v>143</v>
      </c>
      <c r="E49" s="531">
        <f>'29'!F49</f>
        <v>239985.55</v>
      </c>
      <c r="F49" s="586">
        <v>11728.852000000001</v>
      </c>
      <c r="G49" s="549">
        <f t="shared" ref="G49:G58" si="4">F49-E49</f>
        <v>-228256.69799999997</v>
      </c>
      <c r="H49" s="536">
        <f>G49+'29'!H49</f>
        <v>-140676.14799999999</v>
      </c>
      <c r="I49" s="531"/>
      <c r="J49" s="629">
        <f>H49/DAY(B2)</f>
        <v>-4689.2049333333325</v>
      </c>
      <c r="K49" s="467"/>
      <c r="L49" s="408"/>
      <c r="O49" s="910"/>
    </row>
    <row r="50" spans="1:15" ht="29.25">
      <c r="A50" s="655" t="s">
        <v>189</v>
      </c>
      <c r="B50" s="678"/>
      <c r="C50" s="678"/>
      <c r="D50" s="599" t="s">
        <v>143</v>
      </c>
      <c r="E50" s="531">
        <f>'29'!F50</f>
        <v>366480.97</v>
      </c>
      <c r="F50" s="586">
        <v>233047.87</v>
      </c>
      <c r="G50" s="549">
        <f t="shared" si="4"/>
        <v>-133433.09999999998</v>
      </c>
      <c r="H50" s="536">
        <f>G50+'29'!H50</f>
        <v>-103169.56</v>
      </c>
      <c r="I50" s="531"/>
      <c r="J50" s="629">
        <f>H50/DAY(B2)</f>
        <v>-3438.9853333333331</v>
      </c>
      <c r="K50" s="467"/>
      <c r="L50" s="408"/>
      <c r="O50" s="910"/>
    </row>
    <row r="51" spans="1:15" ht="29.25">
      <c r="A51" s="655" t="s">
        <v>177</v>
      </c>
      <c r="B51" s="678"/>
      <c r="C51" s="678"/>
      <c r="D51" s="599" t="s">
        <v>143</v>
      </c>
      <c r="E51" s="531">
        <f>'29'!F51</f>
        <v>107035</v>
      </c>
      <c r="F51" s="586">
        <v>0</v>
      </c>
      <c r="G51" s="549">
        <f t="shared" si="4"/>
        <v>-107035</v>
      </c>
      <c r="H51" s="536">
        <f>G51+'29'!H51</f>
        <v>-66158.11</v>
      </c>
      <c r="I51" s="531"/>
      <c r="J51" s="629">
        <f>H51/DAY(B2)</f>
        <v>-2205.2703333333334</v>
      </c>
      <c r="K51" s="467"/>
      <c r="L51" s="408"/>
      <c r="O51" s="910"/>
    </row>
    <row r="52" spans="1:15" ht="29.25">
      <c r="A52" s="655" t="s">
        <v>190</v>
      </c>
      <c r="B52" s="678"/>
      <c r="C52" s="678"/>
      <c r="D52" s="599" t="s">
        <v>143</v>
      </c>
      <c r="E52" s="531">
        <f>'29'!F52</f>
        <v>489802</v>
      </c>
      <c r="F52" s="586">
        <v>272256.13</v>
      </c>
      <c r="G52" s="549">
        <f t="shared" si="4"/>
        <v>-217545.87</v>
      </c>
      <c r="H52" s="536">
        <f>G52+'29'!H52</f>
        <v>-163019.5</v>
      </c>
      <c r="I52" s="531"/>
      <c r="J52" s="629">
        <f>H52/DAY(B2)</f>
        <v>-5433.9833333333336</v>
      </c>
      <c r="K52" s="467"/>
      <c r="L52" s="408"/>
      <c r="O52" s="910"/>
    </row>
    <row r="53" spans="1:15" ht="29.25">
      <c r="A53" s="655" t="s">
        <v>179</v>
      </c>
      <c r="B53" s="678"/>
      <c r="C53" s="678"/>
      <c r="D53" s="599" t="s">
        <v>143</v>
      </c>
      <c r="E53" s="531">
        <f>'29'!F53</f>
        <v>295932.96999999997</v>
      </c>
      <c r="F53" s="586">
        <v>16071</v>
      </c>
      <c r="G53" s="549">
        <f t="shared" si="4"/>
        <v>-279861.96999999997</v>
      </c>
      <c r="H53" s="536">
        <f>G53+'29'!H53</f>
        <v>-164993.97</v>
      </c>
      <c r="I53" s="531"/>
      <c r="J53" s="629">
        <f>H53/DAY(B2)</f>
        <v>-5499.799</v>
      </c>
      <c r="K53" s="467"/>
      <c r="L53" s="408"/>
      <c r="O53" s="910"/>
    </row>
    <row r="54" spans="1:15" ht="29.25">
      <c r="A54" s="655" t="s">
        <v>191</v>
      </c>
      <c r="B54" s="678"/>
      <c r="C54" s="678"/>
      <c r="D54" s="599" t="s">
        <v>143</v>
      </c>
      <c r="E54" s="531">
        <f>'29'!F54</f>
        <v>6228.8</v>
      </c>
      <c r="F54" s="586">
        <v>0</v>
      </c>
      <c r="G54" s="549">
        <f t="shared" si="4"/>
        <v>-6228.8</v>
      </c>
      <c r="H54" s="536">
        <f>G54+'29'!H54</f>
        <v>-4646.54</v>
      </c>
      <c r="I54" s="531"/>
      <c r="J54" s="629">
        <f>H54/DAY(B2)</f>
        <v>-154.88466666666667</v>
      </c>
      <c r="K54" s="467"/>
      <c r="L54" s="408"/>
      <c r="O54" s="910"/>
    </row>
    <row r="55" spans="1:15" ht="29.25">
      <c r="A55" s="655" t="s">
        <v>192</v>
      </c>
      <c r="B55" s="678"/>
      <c r="C55" s="678"/>
      <c r="D55" s="599" t="s">
        <v>143</v>
      </c>
      <c r="E55" s="531">
        <f>'29'!F55</f>
        <v>39121</v>
      </c>
      <c r="F55" s="586">
        <v>158493</v>
      </c>
      <c r="G55" s="549">
        <f t="shared" si="4"/>
        <v>119372</v>
      </c>
      <c r="H55" s="536">
        <f>G55+'29'!H55</f>
        <v>158492.73000000001</v>
      </c>
      <c r="I55" s="531"/>
      <c r="J55" s="629">
        <f>H55/DAY(B2)</f>
        <v>5283.0910000000003</v>
      </c>
      <c r="K55" s="467"/>
      <c r="L55" s="408"/>
      <c r="O55" s="910"/>
    </row>
    <row r="56" spans="1:15" ht="29.25">
      <c r="A56" s="655" t="s">
        <v>193</v>
      </c>
      <c r="B56" s="678"/>
      <c r="C56" s="678"/>
      <c r="D56" s="599" t="s">
        <v>194</v>
      </c>
      <c r="E56" s="531">
        <f>'29'!F56</f>
        <v>557730</v>
      </c>
      <c r="F56" s="586">
        <v>300833</v>
      </c>
      <c r="G56" s="549">
        <f t="shared" si="4"/>
        <v>-256897</v>
      </c>
      <c r="H56" s="536">
        <f>G56+'29'!H56</f>
        <v>-217067.75</v>
      </c>
      <c r="I56" s="531"/>
      <c r="J56" s="629">
        <f>H56/DAY(B2)</f>
        <v>-7235.5916666666662</v>
      </c>
      <c r="K56" s="466"/>
      <c r="L56" s="408"/>
      <c r="O56" s="910"/>
    </row>
    <row r="57" spans="1:15" ht="29.25">
      <c r="A57" s="655" t="s">
        <v>183</v>
      </c>
      <c r="B57" s="678"/>
      <c r="C57" s="678"/>
      <c r="D57" s="599" t="s">
        <v>143</v>
      </c>
      <c r="E57" s="531">
        <f>'29'!F57</f>
        <v>0</v>
      </c>
      <c r="F57" s="586">
        <v>0</v>
      </c>
      <c r="G57" s="549">
        <f t="shared" si="4"/>
        <v>0</v>
      </c>
      <c r="H57" s="536">
        <f>G57+'29'!H57</f>
        <v>0</v>
      </c>
      <c r="I57" s="531"/>
      <c r="J57" s="629">
        <f>H57/DAY(B2)</f>
        <v>0</v>
      </c>
      <c r="K57" s="467"/>
      <c r="L57" s="408"/>
      <c r="O57" s="910"/>
    </row>
    <row r="58" spans="1:15" ht="29.25">
      <c r="A58" s="655" t="s">
        <v>195</v>
      </c>
      <c r="B58" s="678"/>
      <c r="C58" s="678"/>
      <c r="D58" s="599" t="s">
        <v>143</v>
      </c>
      <c r="E58" s="531">
        <f>'29'!F58</f>
        <v>30214.39</v>
      </c>
      <c r="F58" s="586">
        <v>15542.326999999999</v>
      </c>
      <c r="G58" s="549">
        <f t="shared" si="4"/>
        <v>-14672.063</v>
      </c>
      <c r="H58" s="536">
        <f>G58+'29'!H58</f>
        <v>-9613.0830000000005</v>
      </c>
      <c r="I58" s="531"/>
      <c r="J58" s="629">
        <f>H58/DAY(B2)</f>
        <v>-320.43610000000001</v>
      </c>
      <c r="K58" s="467"/>
      <c r="L58" s="408"/>
      <c r="O58" s="910"/>
    </row>
    <row r="59" spans="1:15" ht="29.2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-1124558.5010000002</v>
      </c>
      <c r="H59" s="536">
        <f>G59+'29'!H59</f>
        <v>-710851.9310000001</v>
      </c>
      <c r="I59" s="531">
        <f>G7-G60</f>
        <v>-968738.58899999992</v>
      </c>
      <c r="J59" s="629">
        <f>H59/DAY(B2)</f>
        <v>-23695.064366666669</v>
      </c>
      <c r="K59" s="467"/>
      <c r="L59" s="408"/>
      <c r="O59" s="910"/>
    </row>
    <row r="60" spans="1:15" ht="29.25">
      <c r="A60" s="655"/>
      <c r="B60" s="656"/>
      <c r="C60" s="656"/>
      <c r="D60" s="587" t="s">
        <v>196</v>
      </c>
      <c r="E60" s="587"/>
      <c r="F60" s="587"/>
      <c r="G60" s="557">
        <f>G47+G59</f>
        <v>-1345643.4110000001</v>
      </c>
      <c r="H60" s="536">
        <f>G60+'29'!H60</f>
        <v>-792491.07100000011</v>
      </c>
      <c r="I60" s="531">
        <f>G13-G60</f>
        <v>-432611.79899999988</v>
      </c>
      <c r="J60" s="629">
        <f>H60/DAY(B2)</f>
        <v>-26416.369033333336</v>
      </c>
      <c r="K60" s="467"/>
      <c r="L60" s="408"/>
      <c r="O60" s="910"/>
    </row>
    <row r="61" spans="1:15" ht="29.2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910"/>
    </row>
    <row r="62" spans="1:15" ht="29.25">
      <c r="A62" s="680" t="s">
        <v>106</v>
      </c>
      <c r="B62" s="681"/>
      <c r="C62" s="681"/>
      <c r="D62" s="587" t="s">
        <v>198</v>
      </c>
      <c r="E62" s="531">
        <f>'29'!F62</f>
        <v>20419.18</v>
      </c>
      <c r="F62" s="590">
        <v>20419.18</v>
      </c>
      <c r="G62" s="549">
        <f t="shared" ref="G62:G69" si="5">F62-E62</f>
        <v>0</v>
      </c>
      <c r="H62" s="536">
        <f>G62+'29'!H62</f>
        <v>0</v>
      </c>
      <c r="I62" s="591"/>
      <c r="J62" s="629">
        <f>H62/DAY(B2)</f>
        <v>0</v>
      </c>
      <c r="K62" s="467"/>
      <c r="L62" s="408"/>
      <c r="O62" s="910"/>
    </row>
    <row r="63" spans="1:15" ht="29.25">
      <c r="A63" s="680" t="s">
        <v>199</v>
      </c>
      <c r="B63" s="681"/>
      <c r="C63" s="681"/>
      <c r="D63" s="587" t="s">
        <v>198</v>
      </c>
      <c r="E63" s="531">
        <f>'29'!F63</f>
        <v>1305.8900000000001</v>
      </c>
      <c r="F63" s="590">
        <v>14160.48</v>
      </c>
      <c r="G63" s="549">
        <f t="shared" si="5"/>
        <v>12854.59</v>
      </c>
      <c r="H63" s="536">
        <f>G63+'29'!H63</f>
        <v>13052.57</v>
      </c>
      <c r="I63" s="591"/>
      <c r="J63" s="629">
        <f>H63/DAY(B2)</f>
        <v>435.08566666666667</v>
      </c>
      <c r="K63" s="467"/>
      <c r="L63" s="408"/>
      <c r="O63" s="910"/>
    </row>
    <row r="64" spans="1:15" ht="27.75">
      <c r="A64" s="1569" t="s">
        <v>107</v>
      </c>
      <c r="B64" s="1363"/>
      <c r="C64" s="1363"/>
      <c r="D64" s="599" t="s">
        <v>198</v>
      </c>
      <c r="E64" s="531">
        <f>'29'!F64</f>
        <v>110461.4</v>
      </c>
      <c r="F64" s="560">
        <v>67022.811000000002</v>
      </c>
      <c r="G64" s="549">
        <f t="shared" si="5"/>
        <v>-43438.588999999993</v>
      </c>
      <c r="H64" s="536">
        <f>G64+'29'!H64</f>
        <v>-31400.588999999993</v>
      </c>
      <c r="I64" s="556"/>
      <c r="J64" s="629">
        <f>H64/DAY(B2)</f>
        <v>-1046.6862999999998</v>
      </c>
      <c r="K64" s="467"/>
      <c r="L64" s="408"/>
      <c r="O64" s="910"/>
    </row>
    <row r="65" spans="1:15" ht="27.75">
      <c r="A65" s="1569" t="s">
        <v>108</v>
      </c>
      <c r="B65" s="1363"/>
      <c r="C65" s="1363"/>
      <c r="D65" s="599" t="s">
        <v>198</v>
      </c>
      <c r="E65" s="531">
        <f>'29'!F65</f>
        <v>120948.65</v>
      </c>
      <c r="F65" s="560">
        <v>73461.070999999996</v>
      </c>
      <c r="G65" s="549">
        <f t="shared" si="5"/>
        <v>-47487.578999999998</v>
      </c>
      <c r="H65" s="536">
        <f>G65+'29'!H65</f>
        <v>-35583.048999999999</v>
      </c>
      <c r="I65" s="565"/>
      <c r="J65" s="629">
        <f>H65/DAY(B2)</f>
        <v>-1186.1016333333332</v>
      </c>
      <c r="K65" s="467"/>
      <c r="L65" s="408"/>
      <c r="O65" s="910"/>
    </row>
    <row r="66" spans="1:15" ht="27.75">
      <c r="A66" s="1569" t="s">
        <v>109</v>
      </c>
      <c r="B66" s="1363"/>
      <c r="C66" s="1363"/>
      <c r="D66" s="599" t="s">
        <v>198</v>
      </c>
      <c r="E66" s="531">
        <f>'29'!F66</f>
        <v>13320.84</v>
      </c>
      <c r="F66" s="560">
        <v>66512.134999999995</v>
      </c>
      <c r="G66" s="549">
        <f t="shared" si="5"/>
        <v>53191.294999999998</v>
      </c>
      <c r="H66" s="536">
        <f>G66+'29'!H66</f>
        <v>64090.044999999998</v>
      </c>
      <c r="I66" s="556"/>
      <c r="J66" s="629">
        <f>H66/DAY(B2)</f>
        <v>2136.3348333333333</v>
      </c>
      <c r="K66" s="467"/>
      <c r="L66" s="408"/>
      <c r="O66" s="910"/>
    </row>
    <row r="67" spans="1:15" ht="27.75">
      <c r="A67" s="1569" t="s">
        <v>110</v>
      </c>
      <c r="B67" s="1363"/>
      <c r="C67" s="1363"/>
      <c r="D67" s="599" t="s">
        <v>198</v>
      </c>
      <c r="E67" s="531">
        <f>'29'!F67</f>
        <v>187269.37</v>
      </c>
      <c r="F67" s="560">
        <v>109625.57</v>
      </c>
      <c r="G67" s="549">
        <f t="shared" si="5"/>
        <v>-77643.799999999988</v>
      </c>
      <c r="H67" s="536">
        <f>G67+'29'!H67</f>
        <v>-58615.78</v>
      </c>
      <c r="I67" s="565"/>
      <c r="J67" s="629">
        <f>H67/DAY(B2)</f>
        <v>-1953.8593333333333</v>
      </c>
      <c r="K67" s="468"/>
      <c r="L67" s="408"/>
      <c r="O67" s="910"/>
    </row>
    <row r="68" spans="1:15" ht="27.75">
      <c r="A68" s="1569" t="s">
        <v>111</v>
      </c>
      <c r="B68" s="1363"/>
      <c r="C68" s="1363"/>
      <c r="D68" s="599" t="s">
        <v>198</v>
      </c>
      <c r="E68" s="531">
        <f>'29'!F68</f>
        <v>62687.79</v>
      </c>
      <c r="F68" s="560">
        <v>24601.942999999999</v>
      </c>
      <c r="G68" s="549">
        <f t="shared" si="5"/>
        <v>-38085.847000000002</v>
      </c>
      <c r="H68" s="536">
        <f>G68+'29'!H68</f>
        <v>-29021.957000000002</v>
      </c>
      <c r="I68" s="592"/>
      <c r="J68" s="629">
        <f>H68/DAY(B2)</f>
        <v>-967.39856666666674</v>
      </c>
      <c r="K68" s="469"/>
      <c r="L68" s="408"/>
      <c r="O68" s="910"/>
    </row>
    <row r="69" spans="1:15" ht="27.75">
      <c r="A69" s="1569" t="s">
        <v>112</v>
      </c>
      <c r="B69" s="1363"/>
      <c r="C69" s="1363"/>
      <c r="D69" s="599" t="s">
        <v>198</v>
      </c>
      <c r="E69" s="531">
        <f>'29'!F69</f>
        <v>55093</v>
      </c>
      <c r="F69" s="560">
        <v>22940.190999999999</v>
      </c>
      <c r="G69" s="549">
        <f t="shared" si="5"/>
        <v>-32152.809000000001</v>
      </c>
      <c r="H69" s="536">
        <f>G69+'29'!H69</f>
        <v>-23579.239000000001</v>
      </c>
      <c r="I69" s="592"/>
      <c r="J69" s="629">
        <f>H69/DAY(B2)</f>
        <v>-785.97463333333337</v>
      </c>
      <c r="K69" s="470"/>
      <c r="L69" s="408"/>
      <c r="O69" s="910"/>
    </row>
    <row r="70" spans="1:15" ht="27.75">
      <c r="A70" s="1570" t="s">
        <v>200</v>
      </c>
      <c r="B70" s="1434"/>
      <c r="C70" s="1434"/>
      <c r="D70" s="599" t="s">
        <v>198</v>
      </c>
      <c r="E70" s="593"/>
      <c r="F70" s="594"/>
      <c r="G70" s="594"/>
      <c r="H70" s="536">
        <f>G70+'29'!H70</f>
        <v>0</v>
      </c>
      <c r="I70" s="594"/>
      <c r="J70" s="633"/>
      <c r="K70" s="470"/>
      <c r="L70" s="408"/>
      <c r="O70" s="910"/>
    </row>
    <row r="71" spans="1:15" ht="31.5">
      <c r="A71" s="1563" t="s">
        <v>201</v>
      </c>
      <c r="B71" s="1564"/>
      <c r="C71" s="1564"/>
      <c r="D71" s="1564"/>
      <c r="E71" s="1564"/>
      <c r="F71" s="1564"/>
      <c r="G71" s="1564"/>
      <c r="H71" s="1564"/>
      <c r="I71" s="1564"/>
      <c r="J71" s="1565"/>
      <c r="K71" s="469"/>
      <c r="L71" s="408"/>
      <c r="O71" s="910"/>
    </row>
    <row r="72" spans="1:15" ht="27.75">
      <c r="A72" s="1569" t="s">
        <v>202</v>
      </c>
      <c r="B72" s="1363"/>
      <c r="C72" s="1363"/>
      <c r="D72" s="599" t="s">
        <v>198</v>
      </c>
      <c r="E72" s="531">
        <f>'29'!F72</f>
        <v>848280</v>
      </c>
      <c r="F72" s="595">
        <v>843676</v>
      </c>
      <c r="G72" s="549">
        <f t="shared" ref="G72:G84" si="6">F72-E72</f>
        <v>-4604</v>
      </c>
      <c r="H72" s="536">
        <f>G72+'29'!H72</f>
        <v>-2790</v>
      </c>
      <c r="I72" s="556"/>
      <c r="J72" s="629">
        <f>H72/DAY(B2)</f>
        <v>-93</v>
      </c>
      <c r="K72" s="470"/>
      <c r="L72" s="408"/>
      <c r="O72" s="910"/>
    </row>
    <row r="73" spans="1:15" ht="27.75">
      <c r="A73" s="1569" t="s">
        <v>203</v>
      </c>
      <c r="B73" s="1363"/>
      <c r="C73" s="1363"/>
      <c r="D73" s="599" t="s">
        <v>198</v>
      </c>
      <c r="E73" s="531">
        <f>'29'!F73</f>
        <v>885728</v>
      </c>
      <c r="F73" s="596">
        <v>885178</v>
      </c>
      <c r="G73" s="549">
        <f t="shared" si="6"/>
        <v>-550</v>
      </c>
      <c r="H73" s="536">
        <f>G73+'29'!H73</f>
        <v>397</v>
      </c>
      <c r="I73" s="556"/>
      <c r="J73" s="629">
        <f>H73/DAY(B2)</f>
        <v>13.233333333333333</v>
      </c>
      <c r="K73" s="469"/>
      <c r="L73" s="408"/>
      <c r="O73" s="910"/>
    </row>
    <row r="74" spans="1:15" ht="27.75">
      <c r="A74" s="1569" t="s">
        <v>204</v>
      </c>
      <c r="B74" s="1363"/>
      <c r="C74" s="1363"/>
      <c r="D74" s="599" t="s">
        <v>198</v>
      </c>
      <c r="E74" s="531">
        <f>'29'!F74</f>
        <v>882303</v>
      </c>
      <c r="F74" s="597">
        <v>879133</v>
      </c>
      <c r="G74" s="549">
        <f t="shared" si="6"/>
        <v>-3170</v>
      </c>
      <c r="H74" s="536">
        <f>G74+'29'!H74</f>
        <v>-2182</v>
      </c>
      <c r="I74" s="556"/>
      <c r="J74" s="629">
        <f>H74/DAY(B2)</f>
        <v>-72.733333333333334</v>
      </c>
      <c r="K74" s="470"/>
      <c r="L74" s="408"/>
      <c r="O74" s="910"/>
    </row>
    <row r="75" spans="1:15" ht="27.75">
      <c r="A75" s="1571" t="s">
        <v>205</v>
      </c>
      <c r="B75" s="1572"/>
      <c r="C75" s="1572"/>
      <c r="D75" s="599" t="s">
        <v>198</v>
      </c>
      <c r="E75" s="531">
        <f>'29'!F75</f>
        <v>737120</v>
      </c>
      <c r="F75" s="597">
        <v>717374</v>
      </c>
      <c r="G75" s="549">
        <f t="shared" si="6"/>
        <v>-19746</v>
      </c>
      <c r="H75" s="536">
        <f>G75+'29'!H75</f>
        <v>-14267</v>
      </c>
      <c r="I75" s="556"/>
      <c r="J75" s="629">
        <f>H75/DAY(B2)</f>
        <v>-475.56666666666666</v>
      </c>
      <c r="K75" s="469"/>
      <c r="L75" s="408"/>
      <c r="O75" s="910"/>
    </row>
    <row r="76" spans="1:15" ht="27.75">
      <c r="A76" s="1571" t="s">
        <v>206</v>
      </c>
      <c r="B76" s="1572"/>
      <c r="C76" s="1572"/>
      <c r="D76" s="599" t="s">
        <v>198</v>
      </c>
      <c r="E76" s="531">
        <f>'29'!F76</f>
        <v>686870</v>
      </c>
      <c r="F76" s="596">
        <v>678015</v>
      </c>
      <c r="G76" s="549">
        <f t="shared" si="6"/>
        <v>-8855</v>
      </c>
      <c r="H76" s="536">
        <f>G76+'29'!H76</f>
        <v>-5084</v>
      </c>
      <c r="I76" s="581"/>
      <c r="J76" s="629">
        <f>H76/DAY(B2)</f>
        <v>-169.46666666666667</v>
      </c>
      <c r="K76" s="469"/>
      <c r="L76" s="408"/>
      <c r="O76" s="910"/>
    </row>
    <row r="77" spans="1:15" ht="27.75">
      <c r="A77" s="1569" t="s">
        <v>207</v>
      </c>
      <c r="B77" s="1363"/>
      <c r="C77" s="1363"/>
      <c r="D77" s="599" t="s">
        <v>198</v>
      </c>
      <c r="E77" s="531">
        <f>'29'!F77</f>
        <v>697002</v>
      </c>
      <c r="F77" s="597">
        <v>690871</v>
      </c>
      <c r="G77" s="549">
        <f t="shared" si="6"/>
        <v>-6131</v>
      </c>
      <c r="H77" s="536">
        <f>G77+'29'!H77</f>
        <v>-4523</v>
      </c>
      <c r="I77" s="581"/>
      <c r="J77" s="629">
        <f>H77/DAY(B2)</f>
        <v>-150.76666666666668</v>
      </c>
      <c r="K77" s="469"/>
      <c r="L77" s="408"/>
      <c r="O77" s="910"/>
    </row>
    <row r="78" spans="1:15" ht="27.75">
      <c r="A78" s="1255" t="s">
        <v>208</v>
      </c>
      <c r="B78" s="1226"/>
      <c r="C78" s="1226"/>
      <c r="D78" s="599" t="s">
        <v>198</v>
      </c>
      <c r="E78" s="531">
        <f>'29'!F78</f>
        <v>641105</v>
      </c>
      <c r="F78" s="597">
        <v>601708</v>
      </c>
      <c r="G78" s="549">
        <f t="shared" si="6"/>
        <v>-39397</v>
      </c>
      <c r="H78" s="536">
        <f>G78+'29'!H78</f>
        <v>-29065</v>
      </c>
      <c r="I78" s="581"/>
      <c r="J78" s="629">
        <f>H78/DAY(B2)</f>
        <v>-968.83333333333337</v>
      </c>
      <c r="K78" s="469"/>
      <c r="L78" s="408"/>
      <c r="O78" s="910"/>
    </row>
    <row r="79" spans="1:15" ht="27.75">
      <c r="A79" s="1571" t="s">
        <v>97</v>
      </c>
      <c r="B79" s="1572"/>
      <c r="C79" s="1572"/>
      <c r="D79" s="600" t="s">
        <v>198</v>
      </c>
      <c r="E79" s="531">
        <f>'29'!F79</f>
        <v>809323</v>
      </c>
      <c r="F79" s="597">
        <v>788182</v>
      </c>
      <c r="G79" s="549">
        <f t="shared" si="6"/>
        <v>-21141</v>
      </c>
      <c r="H79" s="536">
        <f>G79+'29'!H79</f>
        <v>-13589</v>
      </c>
      <c r="I79" s="581"/>
      <c r="J79" s="629">
        <f>H79/DAY(B2)</f>
        <v>-452.96666666666664</v>
      </c>
      <c r="K79" s="469"/>
      <c r="L79" s="408"/>
      <c r="O79" s="910"/>
    </row>
    <row r="80" spans="1:15" ht="27.75">
      <c r="A80" s="1571" t="s">
        <v>209</v>
      </c>
      <c r="B80" s="1572"/>
      <c r="C80" s="1572"/>
      <c r="D80" s="600" t="s">
        <v>198</v>
      </c>
      <c r="E80" s="531">
        <f>'29'!F80</f>
        <v>484503</v>
      </c>
      <c r="F80" s="596">
        <v>448900.76</v>
      </c>
      <c r="G80" s="549">
        <f t="shared" si="6"/>
        <v>-35602.239999999991</v>
      </c>
      <c r="H80" s="536">
        <f>G80+'29'!H80</f>
        <v>-28311.080000000016</v>
      </c>
      <c r="I80" s="581"/>
      <c r="J80" s="629">
        <f>H80/DAY(B2)</f>
        <v>-943.70266666666726</v>
      </c>
      <c r="K80" s="469"/>
      <c r="L80" s="408"/>
      <c r="O80" s="910"/>
    </row>
    <row r="81" spans="1:15" ht="27.75">
      <c r="A81" s="1571" t="s">
        <v>210</v>
      </c>
      <c r="B81" s="1572"/>
      <c r="C81" s="1572"/>
      <c r="D81" s="600" t="s">
        <v>198</v>
      </c>
      <c r="E81" s="531">
        <f>'29'!F81</f>
        <v>622568</v>
      </c>
      <c r="F81" s="596">
        <v>607544.4</v>
      </c>
      <c r="G81" s="549">
        <f t="shared" si="6"/>
        <v>-15023.599999999977</v>
      </c>
      <c r="H81" s="536">
        <f>G81+'29'!H81</f>
        <v>-11709.599999999977</v>
      </c>
      <c r="I81" s="581"/>
      <c r="J81" s="629">
        <f>H81/DAY(B2)</f>
        <v>-390.3199999999992</v>
      </c>
      <c r="K81" s="469"/>
      <c r="L81" s="408"/>
      <c r="O81" s="910"/>
    </row>
    <row r="82" spans="1:15" ht="27.75">
      <c r="A82" s="1571" t="s">
        <v>100</v>
      </c>
      <c r="B82" s="1572"/>
      <c r="C82" s="1572"/>
      <c r="D82" s="561" t="s">
        <v>143</v>
      </c>
      <c r="E82" s="531">
        <f>'29'!F82</f>
        <v>105339.54</v>
      </c>
      <c r="F82" s="598">
        <v>102422.18</v>
      </c>
      <c r="G82" s="549">
        <f t="shared" si="6"/>
        <v>-2917.3600000000006</v>
      </c>
      <c r="H82" s="536">
        <f>G82+'29'!H82</f>
        <v>-2015.820000000007</v>
      </c>
      <c r="I82" s="562"/>
      <c r="J82" s="629">
        <f>H82/DAY(B2)</f>
        <v>-67.19400000000023</v>
      </c>
      <c r="K82" s="469"/>
      <c r="L82" s="408"/>
      <c r="O82" s="910"/>
    </row>
    <row r="83" spans="1:15" ht="27.75">
      <c r="A83" s="1571" t="s">
        <v>211</v>
      </c>
      <c r="B83" s="1572"/>
      <c r="C83" s="1572"/>
      <c r="D83" s="697" t="s">
        <v>143</v>
      </c>
      <c r="E83" s="531">
        <f>'29'!F83</f>
        <v>982952</v>
      </c>
      <c r="F83" s="587">
        <v>944076</v>
      </c>
      <c r="G83" s="549">
        <f t="shared" si="6"/>
        <v>-38876</v>
      </c>
      <c r="H83" s="536">
        <f>G83+'29'!H83</f>
        <v>-29395</v>
      </c>
      <c r="I83" s="557"/>
      <c r="J83" s="629">
        <f>H83/DAY(B2)</f>
        <v>-979.83333333333337</v>
      </c>
      <c r="K83" s="468"/>
      <c r="L83" s="408"/>
      <c r="O83" s="910"/>
    </row>
    <row r="84" spans="1:15" ht="29.25">
      <c r="A84" s="1256" t="s">
        <v>212</v>
      </c>
      <c r="B84" s="648"/>
      <c r="C84" s="648"/>
      <c r="D84" s="554" t="s">
        <v>143</v>
      </c>
      <c r="E84" s="531">
        <f>'29'!F84</f>
        <v>415080</v>
      </c>
      <c r="F84" s="599">
        <v>350985</v>
      </c>
      <c r="G84" s="549">
        <f t="shared" si="6"/>
        <v>-64095</v>
      </c>
      <c r="H84" s="536">
        <f>G84+'29'!H84</f>
        <v>-46211</v>
      </c>
      <c r="I84" s="557"/>
      <c r="J84" s="629">
        <f>H84/DAY(B2)</f>
        <v>-1540.3666666666666</v>
      </c>
      <c r="K84" s="411"/>
      <c r="L84" s="408"/>
      <c r="O84" s="910"/>
    </row>
    <row r="85" spans="1:15" s="410" customFormat="1" ht="21.95" customHeight="1">
      <c r="A85" s="682" t="s">
        <v>213</v>
      </c>
      <c r="B85" s="649"/>
      <c r="C85" s="649"/>
      <c r="D85" s="565"/>
      <c r="E85" s="531">
        <f>'29'!F85</f>
        <v>0</v>
      </c>
      <c r="F85" s="599"/>
      <c r="G85" s="536">
        <f xml:space="preserve"> SUM(G72:G84)</f>
        <v>-260108.19999999995</v>
      </c>
      <c r="H85" s="536">
        <f>G85+'29'!H85</f>
        <v>-192975.65999999997</v>
      </c>
      <c r="I85" s="557"/>
      <c r="J85" s="629">
        <f>H85/DAY(B2)</f>
        <v>-6432.521999999999</v>
      </c>
      <c r="K85" s="411"/>
      <c r="L85" s="409"/>
      <c r="O85" s="910"/>
    </row>
    <row r="86" spans="1:15" s="835" customFormat="1" ht="29.25">
      <c r="A86" s="830" t="s">
        <v>102</v>
      </c>
      <c r="B86" s="831"/>
      <c r="C86" s="831"/>
      <c r="D86" s="832" t="s">
        <v>194</v>
      </c>
      <c r="E86" s="531">
        <f>'29'!F86</f>
        <v>446888</v>
      </c>
      <c r="F86" s="728">
        <v>432846.52</v>
      </c>
      <c r="G86" s="805">
        <f t="shared" ref="G86:G90" si="7">F86-E86</f>
        <v>-14041.479999999981</v>
      </c>
      <c r="H86" s="805">
        <f t="shared" ref="H86:H88" si="8">G86</f>
        <v>-14041.479999999981</v>
      </c>
      <c r="I86" s="733"/>
      <c r="J86" s="807">
        <f>H86/DAY(B2)</f>
        <v>-468.0493333333327</v>
      </c>
      <c r="K86" s="833"/>
      <c r="L86" s="834"/>
      <c r="O86" s="910"/>
    </row>
    <row r="87" spans="1:15" s="835" customFormat="1" ht="27.75" customHeight="1">
      <c r="A87" s="830" t="s">
        <v>103</v>
      </c>
      <c r="B87" s="831"/>
      <c r="C87" s="831"/>
      <c r="D87" s="832" t="s">
        <v>194</v>
      </c>
      <c r="E87" s="531">
        <f>'29'!F87</f>
        <v>78411</v>
      </c>
      <c r="F87" s="728">
        <v>75262.100000000006</v>
      </c>
      <c r="G87" s="805">
        <f t="shared" si="7"/>
        <v>-3148.8999999999942</v>
      </c>
      <c r="H87" s="805">
        <f t="shared" si="8"/>
        <v>-3148.8999999999942</v>
      </c>
      <c r="I87" s="733"/>
      <c r="J87" s="807">
        <f>H87/DAY(B2)</f>
        <v>-104.96333333333314</v>
      </c>
      <c r="K87" s="833"/>
      <c r="L87" s="834"/>
      <c r="O87" s="910"/>
    </row>
    <row r="88" spans="1:15" s="835" customFormat="1" ht="29.25">
      <c r="A88" s="830" t="s">
        <v>104</v>
      </c>
      <c r="B88" s="831"/>
      <c r="C88" s="831"/>
      <c r="D88" s="832" t="s">
        <v>194</v>
      </c>
      <c r="E88" s="531">
        <f>'29'!F88</f>
        <v>146382.95000000001</v>
      </c>
      <c r="F88" s="728">
        <v>137891.53</v>
      </c>
      <c r="G88" s="805">
        <f t="shared" si="7"/>
        <v>-8491.4200000000128</v>
      </c>
      <c r="H88" s="805">
        <f t="shared" si="8"/>
        <v>-8491.4200000000128</v>
      </c>
      <c r="I88" s="733"/>
      <c r="J88" s="807">
        <f>H88/DAY(B2)</f>
        <v>-283.04733333333377</v>
      </c>
      <c r="K88" s="833"/>
      <c r="L88" s="834"/>
      <c r="O88" s="910"/>
    </row>
    <row r="89" spans="1:15" s="835" customFormat="1" ht="29.25">
      <c r="A89" s="830" t="s">
        <v>215</v>
      </c>
      <c r="B89" s="831"/>
      <c r="C89" s="831"/>
      <c r="D89" s="832" t="s">
        <v>194</v>
      </c>
      <c r="E89" s="531">
        <f>'29'!F89</f>
        <v>59670.8</v>
      </c>
      <c r="F89" s="728">
        <v>52355.7</v>
      </c>
      <c r="G89" s="805">
        <f t="shared" si="7"/>
        <v>-7315.1000000000058</v>
      </c>
      <c r="H89" s="805">
        <f>G89</f>
        <v>-7315.1000000000058</v>
      </c>
      <c r="I89" s="733"/>
      <c r="J89" s="807">
        <f>H89/DAY(B2)</f>
        <v>-243.83666666666687</v>
      </c>
      <c r="K89" s="833"/>
      <c r="L89" s="834"/>
      <c r="N89" s="881"/>
      <c r="O89" s="910"/>
    </row>
    <row r="90" spans="1:15" s="835" customFormat="1" ht="29.25">
      <c r="A90" s="830" t="s">
        <v>215</v>
      </c>
      <c r="B90" s="831"/>
      <c r="C90" s="831"/>
      <c r="D90" s="832" t="s">
        <v>194</v>
      </c>
      <c r="E90" s="531">
        <f>'29'!F90</f>
        <v>3061.9</v>
      </c>
      <c r="F90" s="728">
        <v>2699.1</v>
      </c>
      <c r="G90" s="805">
        <f t="shared" si="7"/>
        <v>-362.80000000000018</v>
      </c>
      <c r="H90" s="805">
        <f>G90</f>
        <v>-362.80000000000018</v>
      </c>
      <c r="I90" s="733"/>
      <c r="J90" s="807">
        <f>H90/DAY(B2)</f>
        <v>-12.093333333333339</v>
      </c>
      <c r="K90" s="833"/>
      <c r="L90" s="834"/>
      <c r="N90" s="881"/>
      <c r="O90" s="910"/>
    </row>
    <row r="91" spans="1:15" s="410" customFormat="1" ht="29.25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O91" s="910"/>
    </row>
    <row r="92" spans="1:15" ht="27.75">
      <c r="A92" s="1556" t="s">
        <v>217</v>
      </c>
      <c r="B92" s="1557"/>
      <c r="C92" s="1557"/>
      <c r="D92" s="599" t="s">
        <v>155</v>
      </c>
      <c r="E92" s="531">
        <f>'29'!F92</f>
        <v>236405</v>
      </c>
      <c r="F92" s="560">
        <v>227382</v>
      </c>
      <c r="G92" s="549">
        <f t="shared" ref="G92:G93" si="9">F92-E92</f>
        <v>-9023</v>
      </c>
      <c r="H92" s="536">
        <f>G92+'29'!H92</f>
        <v>-6520</v>
      </c>
      <c r="I92" s="556"/>
      <c r="J92" s="629">
        <f>H92/DAY(B2)</f>
        <v>-217.33333333333334</v>
      </c>
      <c r="K92" s="468"/>
      <c r="L92" s="408"/>
      <c r="O92" s="910"/>
    </row>
    <row r="93" spans="1:15" ht="27.75">
      <c r="A93" s="1556" t="s">
        <v>218</v>
      </c>
      <c r="B93" s="1557"/>
      <c r="C93" s="1557"/>
      <c r="D93" s="599" t="s">
        <v>155</v>
      </c>
      <c r="E93" s="531">
        <f>'29'!F93</f>
        <v>170864</v>
      </c>
      <c r="F93" s="560">
        <v>155071</v>
      </c>
      <c r="G93" s="549">
        <f t="shared" si="9"/>
        <v>-15793</v>
      </c>
      <c r="H93" s="536">
        <f>G93+'29'!H93</f>
        <v>-11845</v>
      </c>
      <c r="I93" s="556"/>
      <c r="J93" s="629">
        <f>H93/DAY(B2)</f>
        <v>-394.83333333333331</v>
      </c>
      <c r="K93" s="411"/>
      <c r="L93" s="408"/>
      <c r="O93" s="910"/>
    </row>
    <row r="94" spans="1:15" ht="29.25">
      <c r="A94" s="1573" t="s">
        <v>219</v>
      </c>
      <c r="B94" s="1574"/>
      <c r="C94" s="1574"/>
      <c r="D94" s="599"/>
      <c r="E94" s="531"/>
      <c r="F94" s="560"/>
      <c r="G94" s="549">
        <f>G92+G93</f>
        <v>-24816</v>
      </c>
      <c r="H94" s="536">
        <f>G94+'29'!H94</f>
        <v>-18639</v>
      </c>
      <c r="I94" s="556"/>
      <c r="J94" s="629">
        <f>H94/DAY(B2)</f>
        <v>-621.29999999999995</v>
      </c>
      <c r="K94" s="411"/>
      <c r="L94" s="408"/>
      <c r="O94" s="910"/>
    </row>
    <row r="95" spans="1:15" ht="27.75">
      <c r="A95" s="1556" t="s">
        <v>220</v>
      </c>
      <c r="B95" s="1557"/>
      <c r="C95" s="1557"/>
      <c r="D95" s="599" t="s">
        <v>155</v>
      </c>
      <c r="E95" s="531">
        <f>'29'!F95</f>
        <v>405753</v>
      </c>
      <c r="F95" s="560">
        <v>398400</v>
      </c>
      <c r="G95" s="549">
        <f t="shared" ref="G95:G99" si="10">F95-E95</f>
        <v>-7353</v>
      </c>
      <c r="H95" s="536">
        <f>G95+'29'!H95</f>
        <v>-5265</v>
      </c>
      <c r="I95" s="556"/>
      <c r="J95" s="629">
        <f>H95/DAY(B2)</f>
        <v>-175.5</v>
      </c>
      <c r="K95" s="411"/>
      <c r="L95" s="408"/>
      <c r="O95" s="910"/>
    </row>
    <row r="96" spans="1:15" ht="27.75">
      <c r="A96" s="1252" t="s">
        <v>221</v>
      </c>
      <c r="B96" s="1253"/>
      <c r="C96" s="1253"/>
      <c r="D96" s="599" t="s">
        <v>155</v>
      </c>
      <c r="E96" s="531">
        <f>'29'!F96</f>
        <v>100470</v>
      </c>
      <c r="F96" s="560">
        <v>97522</v>
      </c>
      <c r="G96" s="549">
        <f t="shared" si="10"/>
        <v>-2948</v>
      </c>
      <c r="H96" s="536">
        <f>G96+'29'!H96</f>
        <v>-2399</v>
      </c>
      <c r="I96" s="556"/>
      <c r="J96" s="629">
        <f>H96/DAY(B2)</f>
        <v>-79.966666666666669</v>
      </c>
      <c r="K96" s="466"/>
      <c r="L96" s="408"/>
      <c r="O96" s="910"/>
    </row>
    <row r="97" spans="1:15" ht="27.75">
      <c r="A97" s="1252" t="s">
        <v>222</v>
      </c>
      <c r="B97" s="1253"/>
      <c r="C97" s="1253"/>
      <c r="D97" s="599" t="s">
        <v>155</v>
      </c>
      <c r="E97" s="531">
        <f>'29'!F97</f>
        <v>95625</v>
      </c>
      <c r="F97" s="560">
        <v>93103</v>
      </c>
      <c r="G97" s="549">
        <f t="shared" si="10"/>
        <v>-2522</v>
      </c>
      <c r="H97" s="536">
        <f>G97+'29'!H97</f>
        <v>-1924</v>
      </c>
      <c r="I97" s="556"/>
      <c r="J97" s="629">
        <f>H97/DAY(B2)</f>
        <v>-64.13333333333334</v>
      </c>
      <c r="K97" s="471"/>
      <c r="L97" s="408"/>
      <c r="O97" s="910"/>
    </row>
    <row r="98" spans="1:15" ht="27.75">
      <c r="A98" s="1252" t="s">
        <v>223</v>
      </c>
      <c r="B98" s="1253"/>
      <c r="C98" s="1253"/>
      <c r="D98" s="599" t="s">
        <v>155</v>
      </c>
      <c r="E98" s="531">
        <f>'29'!F98</f>
        <v>145422</v>
      </c>
      <c r="F98" s="560">
        <v>139755</v>
      </c>
      <c r="G98" s="549">
        <f t="shared" si="10"/>
        <v>-5667</v>
      </c>
      <c r="H98" s="536">
        <f>G98+'29'!H98</f>
        <v>-4052</v>
      </c>
      <c r="I98" s="556"/>
      <c r="J98" s="629">
        <f>H98/DAY(B2)</f>
        <v>-135.06666666666666</v>
      </c>
      <c r="K98" s="411"/>
      <c r="L98" s="408"/>
      <c r="O98" s="910"/>
    </row>
    <row r="99" spans="1:15" ht="27.75">
      <c r="A99" s="1252" t="s">
        <v>224</v>
      </c>
      <c r="B99" s="1253"/>
      <c r="C99" s="1253"/>
      <c r="D99" s="599" t="s">
        <v>155</v>
      </c>
      <c r="E99" s="531">
        <f>'29'!F99</f>
        <v>5946</v>
      </c>
      <c r="F99" s="560">
        <v>4470</v>
      </c>
      <c r="G99" s="549">
        <f t="shared" si="10"/>
        <v>-1476</v>
      </c>
      <c r="H99" s="536">
        <f>G99+'29'!H99</f>
        <v>-1032</v>
      </c>
      <c r="I99" s="556"/>
      <c r="J99" s="629">
        <f>H99/DAY(B2)</f>
        <v>-34.4</v>
      </c>
      <c r="K99" s="411"/>
      <c r="L99" s="408"/>
      <c r="O99" s="910"/>
    </row>
    <row r="100" spans="1:15" ht="27.75">
      <c r="A100" s="1252" t="s">
        <v>225</v>
      </c>
      <c r="B100" s="1253"/>
      <c r="C100" s="1253"/>
      <c r="D100" s="599" t="s">
        <v>155</v>
      </c>
      <c r="E100" s="531">
        <f>'29'!F100</f>
        <v>4225</v>
      </c>
      <c r="F100" s="560">
        <v>3674</v>
      </c>
      <c r="G100" s="549">
        <f>F100-E100</f>
        <v>-551</v>
      </c>
      <c r="H100" s="536">
        <f>G100+'29'!H100</f>
        <v>-290</v>
      </c>
      <c r="I100" s="556"/>
      <c r="J100" s="629">
        <f>H100/DAY(B2)</f>
        <v>-9.6666666666666661</v>
      </c>
      <c r="K100" s="411"/>
      <c r="L100" s="408"/>
      <c r="O100" s="910"/>
    </row>
    <row r="101" spans="1:15" ht="29.25">
      <c r="A101" s="1573" t="s">
        <v>227</v>
      </c>
      <c r="B101" s="1574"/>
      <c r="C101" s="1574"/>
      <c r="D101" s="600"/>
      <c r="E101" s="600"/>
      <c r="F101" s="600"/>
      <c r="G101" s="601">
        <f>SUM(G95:G100)</f>
        <v>-20517</v>
      </c>
      <c r="H101" s="536">
        <f>G101+'29'!H101</f>
        <v>-14962</v>
      </c>
      <c r="I101" s="602"/>
      <c r="J101" s="629">
        <f>H101/DAY(B2)</f>
        <v>-498.73333333333335</v>
      </c>
      <c r="K101" s="411"/>
      <c r="L101" s="408"/>
      <c r="O101" s="910"/>
    </row>
    <row r="102" spans="1:15" s="481" customFormat="1" ht="27">
      <c r="A102" s="684" t="s">
        <v>228</v>
      </c>
      <c r="B102" s="685"/>
      <c r="C102" s="685"/>
      <c r="D102" s="698"/>
      <c r="E102" s="603"/>
      <c r="F102" s="604"/>
      <c r="G102" s="605"/>
      <c r="H102" s="606"/>
      <c r="I102" s="607"/>
      <c r="J102" s="634"/>
      <c r="O102" s="910"/>
    </row>
    <row r="103" spans="1:15" s="481" customFormat="1" ht="27.75">
      <c r="A103" s="1579" t="s">
        <v>229</v>
      </c>
      <c r="B103" s="1580"/>
      <c r="C103" s="650"/>
      <c r="D103" s="699"/>
      <c r="E103" s="608"/>
      <c r="F103" s="608"/>
      <c r="G103" s="608"/>
      <c r="H103" s="609"/>
      <c r="I103" s="608"/>
      <c r="J103" s="635"/>
      <c r="O103" s="910"/>
    </row>
    <row r="104" spans="1:15" s="481" customFormat="1" ht="27.75">
      <c r="A104" s="1554" t="s">
        <v>230</v>
      </c>
      <c r="B104" s="1555"/>
      <c r="C104" s="1250"/>
      <c r="D104" s="699" t="s">
        <v>155</v>
      </c>
      <c r="E104" s="608">
        <f>'29'!F104</f>
        <v>7010</v>
      </c>
      <c r="F104" s="608">
        <v>7010</v>
      </c>
      <c r="G104" s="608">
        <f>F104-E104</f>
        <v>0</v>
      </c>
      <c r="H104" s="609">
        <f>SUM(G104+'1'!G76)</f>
        <v>98</v>
      </c>
      <c r="I104" s="608"/>
      <c r="J104" s="635">
        <f>H104/DAY(B2)</f>
        <v>3.2666666666666666</v>
      </c>
      <c r="O104" s="910"/>
    </row>
    <row r="105" spans="1:15" s="481" customFormat="1" ht="27.75">
      <c r="A105" s="1554" t="s">
        <v>77</v>
      </c>
      <c r="B105" s="1555"/>
      <c r="C105" s="1250"/>
      <c r="D105" s="699" t="s">
        <v>155</v>
      </c>
      <c r="E105" s="608">
        <f>'29'!F105</f>
        <v>35146</v>
      </c>
      <c r="F105" s="610">
        <v>34408</v>
      </c>
      <c r="G105" s="608">
        <f t="shared" ref="G105:G106" si="11">F105-E105</f>
        <v>-738</v>
      </c>
      <c r="H105" s="609">
        <f>SUM(G105+'1'!G77)</f>
        <v>-677</v>
      </c>
      <c r="I105" s="608"/>
      <c r="J105" s="635">
        <f>H105/DAY(B2)</f>
        <v>-22.566666666666666</v>
      </c>
      <c r="O105" s="910"/>
    </row>
    <row r="106" spans="1:15" s="481" customFormat="1" ht="27.75">
      <c r="A106" s="1554" t="s">
        <v>78</v>
      </c>
      <c r="B106" s="1555"/>
      <c r="C106" s="1555"/>
      <c r="D106" s="699" t="s">
        <v>155</v>
      </c>
      <c r="E106" s="608">
        <f>'29'!F106</f>
        <v>19070</v>
      </c>
      <c r="F106" s="608">
        <v>18524</v>
      </c>
      <c r="G106" s="608">
        <f t="shared" si="11"/>
        <v>-546</v>
      </c>
      <c r="H106" s="609">
        <f>SUM(G106+'1'!G78)</f>
        <v>-177</v>
      </c>
      <c r="I106" s="608"/>
      <c r="J106" s="635">
        <f>H106/DAY(B2)</f>
        <v>-5.9</v>
      </c>
      <c r="O106" s="910"/>
    </row>
    <row r="107" spans="1:15" s="481" customFormat="1" ht="27.75">
      <c r="A107" s="1544" t="s">
        <v>213</v>
      </c>
      <c r="B107" s="1545"/>
      <c r="C107" s="1250"/>
      <c r="D107" s="699"/>
      <c r="E107" s="608">
        <f>'29'!F107</f>
        <v>0</v>
      </c>
      <c r="F107" s="608"/>
      <c r="G107" s="608">
        <f>SUM(G104:G106)</f>
        <v>-1284</v>
      </c>
      <c r="H107" s="609">
        <f>SUM(G107+'1'!G79)</f>
        <v>-1097</v>
      </c>
      <c r="I107" s="608"/>
      <c r="J107" s="635">
        <f>H107/DAY(B2)</f>
        <v>-36.56666666666667</v>
      </c>
      <c r="O107" s="910"/>
    </row>
    <row r="108" spans="1:15" s="481" customFormat="1" ht="27.75">
      <c r="A108" s="1552" t="s">
        <v>79</v>
      </c>
      <c r="B108" s="1553"/>
      <c r="C108" s="1250"/>
      <c r="D108" s="699" t="s">
        <v>155</v>
      </c>
      <c r="E108" s="608">
        <f>'29'!F108</f>
        <v>0</v>
      </c>
      <c r="F108" s="608"/>
      <c r="G108" s="608"/>
      <c r="H108" s="609"/>
      <c r="I108" s="608"/>
      <c r="J108" s="635"/>
      <c r="O108" s="910"/>
    </row>
    <row r="109" spans="1:15" s="481" customFormat="1" ht="27.75">
      <c r="A109" s="1554" t="s">
        <v>231</v>
      </c>
      <c r="B109" s="1555"/>
      <c r="C109" s="1250"/>
      <c r="D109" s="699" t="s">
        <v>155</v>
      </c>
      <c r="E109" s="608">
        <f>'29'!F109</f>
        <v>54545</v>
      </c>
      <c r="F109" s="608">
        <v>47922</v>
      </c>
      <c r="G109" s="608">
        <f>F109-E109</f>
        <v>-6623</v>
      </c>
      <c r="H109" s="609">
        <f>SUM(G109+'1'!G81)</f>
        <v>-6494</v>
      </c>
      <c r="I109" s="608"/>
      <c r="J109" s="635">
        <f>H109/DAY(B2)</f>
        <v>-216.46666666666667</v>
      </c>
      <c r="O109" s="910"/>
    </row>
    <row r="110" spans="1:15" s="481" customFormat="1" ht="27.75">
      <c r="A110" s="1554" t="s">
        <v>232</v>
      </c>
      <c r="B110" s="1555"/>
      <c r="C110" s="1250"/>
      <c r="D110" s="699" t="s">
        <v>155</v>
      </c>
      <c r="E110" s="608">
        <f>'29'!F110</f>
        <v>28383</v>
      </c>
      <c r="F110" s="608">
        <v>23047</v>
      </c>
      <c r="G110" s="608">
        <f t="shared" ref="G110:G111" si="12">F110-E110</f>
        <v>-5336</v>
      </c>
      <c r="H110" s="609">
        <f>SUM(G110+'1'!G82)</f>
        <v>-5313</v>
      </c>
      <c r="I110" s="608"/>
      <c r="J110" s="635">
        <f>H110/DAY(B2)</f>
        <v>-177.1</v>
      </c>
      <c r="O110" s="910"/>
    </row>
    <row r="111" spans="1:15" s="481" customFormat="1" ht="27.75">
      <c r="A111" s="1554" t="s">
        <v>233</v>
      </c>
      <c r="B111" s="1555"/>
      <c r="C111" s="1250"/>
      <c r="D111" s="699" t="s">
        <v>155</v>
      </c>
      <c r="E111" s="608">
        <f>'29'!F111</f>
        <v>3726</v>
      </c>
      <c r="F111" s="608">
        <v>3065</v>
      </c>
      <c r="G111" s="608">
        <f t="shared" si="12"/>
        <v>-661</v>
      </c>
      <c r="H111" s="609">
        <f>SUM(G111+'1'!G83)</f>
        <v>-328</v>
      </c>
      <c r="I111" s="608"/>
      <c r="J111" s="635">
        <f>H111/DAY(B2)</f>
        <v>-10.933333333333334</v>
      </c>
      <c r="O111" s="910"/>
    </row>
    <row r="112" spans="1:15" s="481" customFormat="1" ht="27.75">
      <c r="A112" s="1550" t="s">
        <v>121</v>
      </c>
      <c r="B112" s="1551"/>
      <c r="C112" s="1250"/>
      <c r="D112" s="699"/>
      <c r="E112" s="608">
        <f>'29'!F112</f>
        <v>0</v>
      </c>
      <c r="F112" s="608"/>
      <c r="G112" s="608">
        <f>SUM(G109:G111)</f>
        <v>-12620</v>
      </c>
      <c r="H112" s="609">
        <f>SUM(G112+'1'!G84)</f>
        <v>-12174</v>
      </c>
      <c r="I112" s="608"/>
      <c r="J112" s="635">
        <f>H112/DAY(B2)</f>
        <v>-405.8</v>
      </c>
      <c r="O112" s="910"/>
    </row>
    <row r="113" spans="1:15" s="481" customFormat="1" ht="27.75">
      <c r="A113" s="1552" t="s">
        <v>234</v>
      </c>
      <c r="B113" s="1553"/>
      <c r="C113" s="1250"/>
      <c r="D113" s="699"/>
      <c r="E113" s="608">
        <f>'29'!F113</f>
        <v>0</v>
      </c>
      <c r="F113" s="608"/>
      <c r="G113" s="608"/>
      <c r="H113" s="609"/>
      <c r="I113" s="608"/>
      <c r="J113" s="635">
        <f>H113/DAY(B2)</f>
        <v>0</v>
      </c>
      <c r="O113" s="910"/>
    </row>
    <row r="114" spans="1:15" s="481" customFormat="1" ht="27.75">
      <c r="A114" s="1554" t="s">
        <v>235</v>
      </c>
      <c r="B114" s="1555"/>
      <c r="C114" s="651"/>
      <c r="D114" s="699" t="s">
        <v>155</v>
      </c>
      <c r="E114" s="608">
        <f>'29'!F114</f>
        <v>9768</v>
      </c>
      <c r="F114" s="610">
        <v>7973</v>
      </c>
      <c r="G114" s="610">
        <f>F114-E114</f>
        <v>-1795</v>
      </c>
      <c r="H114" s="610">
        <f>SUM(G114+'1'!G91)</f>
        <v>-1795</v>
      </c>
      <c r="I114" s="608"/>
      <c r="J114" s="635">
        <f>H114/DAY(B2)</f>
        <v>-59.833333333333336</v>
      </c>
      <c r="O114" s="910"/>
    </row>
    <row r="115" spans="1:15" s="481" customFormat="1" ht="27.75">
      <c r="A115" s="1554" t="s">
        <v>236</v>
      </c>
      <c r="B115" s="1555"/>
      <c r="C115" s="651"/>
      <c r="D115" s="699" t="s">
        <v>155</v>
      </c>
      <c r="E115" s="608">
        <f>'29'!F115</f>
        <v>7415</v>
      </c>
      <c r="F115" s="610">
        <v>6359</v>
      </c>
      <c r="G115" s="610">
        <f t="shared" ref="G115:G116" si="13">F115-E115</f>
        <v>-1056</v>
      </c>
      <c r="H115" s="610">
        <f>SUM(G115+'1'!G92)</f>
        <v>-923</v>
      </c>
      <c r="I115" s="608"/>
      <c r="J115" s="635">
        <f>H115/DAY(B2)</f>
        <v>-30.766666666666666</v>
      </c>
      <c r="O115" s="910"/>
    </row>
    <row r="116" spans="1:15" s="481" customFormat="1" ht="27.75">
      <c r="A116" s="1554" t="s">
        <v>237</v>
      </c>
      <c r="B116" s="1555"/>
      <c r="C116" s="651"/>
      <c r="D116" s="699" t="s">
        <v>155</v>
      </c>
      <c r="E116" s="610"/>
      <c r="F116" s="610"/>
      <c r="G116" s="610">
        <f t="shared" si="13"/>
        <v>0</v>
      </c>
      <c r="H116" s="610">
        <f>SUM(G116+'1'!G93)</f>
        <v>141</v>
      </c>
      <c r="I116" s="608"/>
      <c r="J116" s="635">
        <f>H116/DAY(B2)</f>
        <v>4.7</v>
      </c>
      <c r="O116" s="910"/>
    </row>
    <row r="117" spans="1:15" s="494" customFormat="1" ht="27.75">
      <c r="A117" s="1544" t="s">
        <v>213</v>
      </c>
      <c r="B117" s="1545"/>
      <c r="C117" s="651"/>
      <c r="D117" s="700"/>
      <c r="E117" s="610"/>
      <c r="F117" s="610"/>
      <c r="G117" s="610">
        <f>SUM(G114:G116)</f>
        <v>-2851</v>
      </c>
      <c r="H117" s="610">
        <f>SUM(G117+'1'!G95)</f>
        <v>-2791</v>
      </c>
      <c r="I117" s="610"/>
      <c r="J117" s="635">
        <f>H117/DAY(B2)</f>
        <v>-93.033333333333331</v>
      </c>
      <c r="O117" s="910"/>
    </row>
    <row r="118" spans="1:15" s="495" customFormat="1" ht="27.75">
      <c r="A118" s="1546" t="s">
        <v>238</v>
      </c>
      <c r="B118" s="1547"/>
      <c r="C118" s="1249"/>
      <c r="D118" s="701" t="s">
        <v>155</v>
      </c>
      <c r="E118" s="611"/>
      <c r="F118" s="612">
        <f>SUM(G19+G92)</f>
        <v>-15456</v>
      </c>
      <c r="G118" s="612">
        <f>SUM(G19+G92)</f>
        <v>-15456</v>
      </c>
      <c r="H118" s="613">
        <f>SUM(G118+'1'!G96)</f>
        <v>-15423</v>
      </c>
      <c r="I118" s="611"/>
      <c r="J118" s="636">
        <f>H118/DAY(B2)</f>
        <v>-514.1</v>
      </c>
      <c r="O118" s="910"/>
    </row>
    <row r="119" spans="1:15" s="495" customFormat="1" ht="27.75">
      <c r="A119" s="1546" t="s">
        <v>239</v>
      </c>
      <c r="B119" s="1547"/>
      <c r="C119" s="1249"/>
      <c r="D119" s="701" t="s">
        <v>155</v>
      </c>
      <c r="E119" s="611"/>
      <c r="F119" s="612">
        <f>SUM(G95,G96,G97,G99,G100)</f>
        <v>-14850</v>
      </c>
      <c r="G119" s="612">
        <f>SUM(G95,G96,G97,G99,G100)</f>
        <v>-14850</v>
      </c>
      <c r="H119" s="613">
        <f>SUM(G119+'1'!G98)</f>
        <v>-14800</v>
      </c>
      <c r="I119" s="611"/>
      <c r="J119" s="636">
        <f>H119/DAY(B2)</f>
        <v>-493.33333333333331</v>
      </c>
      <c r="O119" s="910"/>
    </row>
    <row r="120" spans="1:15" s="495" customFormat="1" ht="27.75">
      <c r="A120" s="1546" t="s">
        <v>240</v>
      </c>
      <c r="B120" s="1547"/>
      <c r="C120" s="1249"/>
      <c r="D120" s="701" t="s">
        <v>155</v>
      </c>
      <c r="E120" s="611"/>
      <c r="F120" s="610">
        <f>SUM(G112)</f>
        <v>-12620</v>
      </c>
      <c r="G120" s="610">
        <f>SUM(G112)</f>
        <v>-12620</v>
      </c>
      <c r="H120" s="613">
        <f>SUM(G120+'1'!G100)</f>
        <v>-12603</v>
      </c>
      <c r="I120" s="611"/>
      <c r="J120" s="636">
        <f>H120/DAY(B2)</f>
        <v>-420.1</v>
      </c>
      <c r="O120" s="910"/>
    </row>
    <row r="121" spans="1:15" s="481" customFormat="1" ht="27.75">
      <c r="A121" s="1548"/>
      <c r="B121" s="1549"/>
      <c r="C121" s="1250"/>
      <c r="D121" s="637"/>
      <c r="E121" s="637"/>
      <c r="F121" s="637" t="s">
        <v>226</v>
      </c>
      <c r="G121" s="637"/>
      <c r="H121" s="638"/>
      <c r="I121" s="637"/>
      <c r="J121" s="639"/>
      <c r="O121" s="910"/>
    </row>
    <row r="122" spans="1:15" ht="29.25">
      <c r="A122" s="1575" t="s">
        <v>241</v>
      </c>
      <c r="B122" s="1576"/>
      <c r="C122" s="1576"/>
      <c r="D122" s="548"/>
      <c r="E122" s="548"/>
      <c r="F122" s="548"/>
      <c r="G122" s="559"/>
      <c r="H122" s="559"/>
      <c r="I122" s="559"/>
      <c r="J122" s="640"/>
      <c r="K122" s="411"/>
      <c r="L122" s="408"/>
      <c r="O122" s="910"/>
    </row>
    <row r="123" spans="1:15" ht="21.95" customHeight="1">
      <c r="A123" s="1252" t="s">
        <v>242</v>
      </c>
      <c r="B123" s="1253"/>
      <c r="C123" s="1253"/>
      <c r="D123" s="599" t="s">
        <v>152</v>
      </c>
      <c r="E123" s="531">
        <f>'29'!F123</f>
        <v>802782.99</v>
      </c>
      <c r="F123" s="554">
        <v>777670.45</v>
      </c>
      <c r="G123" s="549">
        <f t="shared" ref="G123:G127" si="14">F123-E123</f>
        <v>-25112.540000000037</v>
      </c>
      <c r="H123" s="536">
        <f>G123+'29'!H123</f>
        <v>-17753.600000000093</v>
      </c>
      <c r="I123" s="602"/>
      <c r="J123" s="629">
        <f>H123/DAY(B2)</f>
        <v>-591.78666666666982</v>
      </c>
      <c r="K123" s="411"/>
      <c r="L123" s="408"/>
      <c r="O123" s="910"/>
    </row>
    <row r="124" spans="1:15" ht="21.95" customHeight="1">
      <c r="A124" s="1252" t="s">
        <v>243</v>
      </c>
      <c r="B124" s="1253"/>
      <c r="C124" s="1253"/>
      <c r="D124" s="599" t="s">
        <v>152</v>
      </c>
      <c r="E124" s="531">
        <f>'29'!F124</f>
        <v>73582</v>
      </c>
      <c r="F124" s="554">
        <v>73581</v>
      </c>
      <c r="G124" s="549">
        <f t="shared" si="14"/>
        <v>-1</v>
      </c>
      <c r="H124" s="536">
        <f>G124+'29'!H124</f>
        <v>-1.1999999999970896</v>
      </c>
      <c r="I124" s="602"/>
      <c r="J124" s="629">
        <f>H124/DAY(B2)</f>
        <v>-3.9999999999902988E-2</v>
      </c>
      <c r="K124" s="411"/>
      <c r="L124" s="408"/>
      <c r="O124" s="910"/>
    </row>
    <row r="125" spans="1:15" ht="21.95" customHeight="1">
      <c r="A125" s="1569" t="s">
        <v>244</v>
      </c>
      <c r="B125" s="1363"/>
      <c r="C125" s="1363"/>
      <c r="D125" s="599" t="s">
        <v>152</v>
      </c>
      <c r="E125" s="531">
        <f>'29'!F125</f>
        <v>137739.76999999999</v>
      </c>
      <c r="F125" s="554">
        <v>129045.51</v>
      </c>
      <c r="G125" s="549">
        <f t="shared" si="14"/>
        <v>-8694.2599999999948</v>
      </c>
      <c r="H125" s="536">
        <f>G125+'29'!H125</f>
        <v>-6545.160000000018</v>
      </c>
      <c r="I125" s="602"/>
      <c r="J125" s="629">
        <f>H125/DAY(B2)</f>
        <v>-218.17200000000059</v>
      </c>
      <c r="K125" s="411"/>
      <c r="L125" s="408"/>
      <c r="O125" s="910"/>
    </row>
    <row r="126" spans="1:15" ht="21.95" customHeight="1">
      <c r="A126" s="686" t="s">
        <v>245</v>
      </c>
      <c r="B126" s="1253"/>
      <c r="C126" s="1253"/>
      <c r="D126" s="599" t="s">
        <v>152</v>
      </c>
      <c r="E126" s="531">
        <f>'29'!F126</f>
        <v>58320</v>
      </c>
      <c r="F126" s="554">
        <v>54908</v>
      </c>
      <c r="G126" s="549">
        <f t="shared" si="14"/>
        <v>-3412</v>
      </c>
      <c r="H126" s="536">
        <f>G126+'29'!H126</f>
        <v>-2473</v>
      </c>
      <c r="I126" s="602"/>
      <c r="J126" s="629">
        <f>H126/DAY(B2)</f>
        <v>-82.433333333333337</v>
      </c>
      <c r="K126" s="411"/>
      <c r="L126" s="408"/>
      <c r="O126" s="910"/>
    </row>
    <row r="127" spans="1:15" ht="21.95" customHeight="1">
      <c r="A127" s="686" t="s">
        <v>246</v>
      </c>
      <c r="B127" s="1253"/>
      <c r="C127" s="1253"/>
      <c r="D127" s="599" t="s">
        <v>152</v>
      </c>
      <c r="E127" s="531">
        <f>'29'!F127</f>
        <v>8807</v>
      </c>
      <c r="F127" s="554">
        <v>8639</v>
      </c>
      <c r="G127" s="549">
        <f t="shared" si="14"/>
        <v>-168</v>
      </c>
      <c r="H127" s="536">
        <f>G127+'29'!H127</f>
        <v>-67</v>
      </c>
      <c r="I127" s="556"/>
      <c r="J127" s="629">
        <f>H127/DAY(B2)</f>
        <v>-2.2333333333333334</v>
      </c>
      <c r="K127" s="411"/>
      <c r="L127" s="408"/>
      <c r="O127" s="910"/>
    </row>
    <row r="128" spans="1:15" s="281" customFormat="1" ht="21.75" customHeight="1">
      <c r="A128" s="686" t="s">
        <v>247</v>
      </c>
      <c r="B128" s="1253"/>
      <c r="C128" s="1253"/>
      <c r="D128" s="599"/>
      <c r="E128" s="531"/>
      <c r="F128" s="554"/>
      <c r="G128" s="549">
        <f>G15-SUM(G123:G127)</f>
        <v>-40254.392000000007</v>
      </c>
      <c r="H128" s="536"/>
      <c r="I128" s="556"/>
      <c r="J128" s="629"/>
      <c r="K128" s="391"/>
      <c r="L128" s="293"/>
      <c r="O128" s="910"/>
    </row>
    <row r="129" spans="1:15" ht="29.2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910"/>
    </row>
    <row r="130" spans="1:15" ht="27.75">
      <c r="A130" s="1252" t="s">
        <v>249</v>
      </c>
      <c r="B130" s="1253"/>
      <c r="C130" s="1253"/>
      <c r="D130" s="599" t="s">
        <v>250</v>
      </c>
      <c r="E130" s="531">
        <f>'29'!F130</f>
        <v>0</v>
      </c>
      <c r="F130" s="560">
        <v>0</v>
      </c>
      <c r="G130" s="549">
        <f t="shared" ref="G130:G140" si="15">F130-E130</f>
        <v>0</v>
      </c>
      <c r="H130" s="536">
        <f>G130+'29'!H130</f>
        <v>0</v>
      </c>
      <c r="I130" s="556"/>
      <c r="J130" s="629">
        <f>H130/DAY(B2)</f>
        <v>0</v>
      </c>
      <c r="O130" s="910"/>
    </row>
    <row r="131" spans="1:15" ht="27.75">
      <c r="A131" s="1252" t="s">
        <v>251</v>
      </c>
      <c r="B131" s="1253"/>
      <c r="C131" s="1253"/>
      <c r="D131" s="599" t="s">
        <v>250</v>
      </c>
      <c r="E131" s="531">
        <f>'29'!F131</f>
        <v>0</v>
      </c>
      <c r="F131" s="560">
        <v>0</v>
      </c>
      <c r="G131" s="549">
        <f t="shared" si="15"/>
        <v>0</v>
      </c>
      <c r="H131" s="536">
        <f>G131+'29'!H131</f>
        <v>0</v>
      </c>
      <c r="I131" s="556"/>
      <c r="J131" s="629">
        <f>H131/DAY(B2)</f>
        <v>0</v>
      </c>
      <c r="O131" s="910"/>
    </row>
    <row r="132" spans="1:15" ht="27.75">
      <c r="A132" s="1252" t="s">
        <v>252</v>
      </c>
      <c r="B132" s="1253"/>
      <c r="C132" s="1253"/>
      <c r="D132" s="599" t="s">
        <v>250</v>
      </c>
      <c r="E132" s="531">
        <f>'29'!F132</f>
        <v>39056.54</v>
      </c>
      <c r="F132" s="618">
        <v>38829</v>
      </c>
      <c r="G132" s="549">
        <f t="shared" si="15"/>
        <v>-227.54000000000087</v>
      </c>
      <c r="H132" s="536">
        <f>G132+'29'!H132</f>
        <v>-0.48000000000320142</v>
      </c>
      <c r="I132" s="556"/>
      <c r="J132" s="629">
        <f>H132/DAY(B2)</f>
        <v>-1.6000000000106714E-2</v>
      </c>
      <c r="O132" s="910"/>
    </row>
    <row r="133" spans="1:15" ht="27.75">
      <c r="A133" s="1252" t="s">
        <v>253</v>
      </c>
      <c r="B133" s="1253"/>
      <c r="C133" s="1253"/>
      <c r="D133" s="599" t="s">
        <v>250</v>
      </c>
      <c r="E133" s="531">
        <f>'29'!F133</f>
        <v>299</v>
      </c>
      <c r="F133" s="618">
        <v>34210</v>
      </c>
      <c r="G133" s="549">
        <f t="shared" si="15"/>
        <v>33911</v>
      </c>
      <c r="H133" s="536">
        <f>G133+'29'!H133</f>
        <v>33911</v>
      </c>
      <c r="I133" s="556">
        <f>G130+G131+G132+G133</f>
        <v>33683.46</v>
      </c>
      <c r="J133" s="629">
        <f>H133/DAY(B2)</f>
        <v>1130.3666666666666</v>
      </c>
      <c r="O133" s="910"/>
    </row>
    <row r="134" spans="1:15" ht="27.75">
      <c r="A134" s="1252" t="s">
        <v>254</v>
      </c>
      <c r="B134" s="1253"/>
      <c r="C134" s="1253"/>
      <c r="D134" s="599" t="s">
        <v>250</v>
      </c>
      <c r="E134" s="531">
        <f>'29'!F134</f>
        <v>39951</v>
      </c>
      <c r="F134" s="618">
        <v>39736.269999999997</v>
      </c>
      <c r="G134" s="549">
        <f t="shared" si="15"/>
        <v>-214.7300000000032</v>
      </c>
      <c r="H134" s="536">
        <f>G134+'29'!H134</f>
        <v>-190.78000000000611</v>
      </c>
      <c r="I134" s="556"/>
      <c r="J134" s="629">
        <f>H134/DAY(B2)</f>
        <v>-6.3593333333335371</v>
      </c>
      <c r="O134" s="910"/>
    </row>
    <row r="135" spans="1:15" ht="27.75">
      <c r="A135" s="1252" t="s">
        <v>255</v>
      </c>
      <c r="B135" s="1253"/>
      <c r="C135" s="1253"/>
      <c r="D135" s="599" t="s">
        <v>250</v>
      </c>
      <c r="E135" s="531">
        <f>'29'!F135</f>
        <v>32423</v>
      </c>
      <c r="F135" s="618">
        <v>30974</v>
      </c>
      <c r="G135" s="549">
        <f t="shared" si="15"/>
        <v>-1449</v>
      </c>
      <c r="H135" s="536">
        <f>G135+'29'!H135</f>
        <v>-1436</v>
      </c>
      <c r="I135" s="556"/>
      <c r="J135" s="629">
        <f>H135/DAY(B2)</f>
        <v>-47.866666666666667</v>
      </c>
      <c r="O135" s="910"/>
    </row>
    <row r="136" spans="1:15" ht="27.75">
      <c r="A136" s="1252" t="s">
        <v>256</v>
      </c>
      <c r="B136" s="1253"/>
      <c r="C136" s="1253"/>
      <c r="D136" s="599" t="s">
        <v>250</v>
      </c>
      <c r="E136" s="531">
        <f>'29'!F136</f>
        <v>21988.73</v>
      </c>
      <c r="F136" s="618">
        <v>21552.91</v>
      </c>
      <c r="G136" s="549">
        <f t="shared" si="15"/>
        <v>-435.81999999999971</v>
      </c>
      <c r="H136" s="536">
        <f>G136+'29'!H136</f>
        <v>-248.79000000000087</v>
      </c>
      <c r="I136" s="556">
        <f>G134+G135+G136</f>
        <v>-2099.5500000000029</v>
      </c>
      <c r="J136" s="629">
        <f>H136/DAY(B2)</f>
        <v>-8.2930000000000295</v>
      </c>
      <c r="O136" s="910"/>
    </row>
    <row r="137" spans="1:15" ht="27.75">
      <c r="A137" s="1252" t="s">
        <v>257</v>
      </c>
      <c r="B137" s="1253"/>
      <c r="C137" s="1253"/>
      <c r="D137" s="599" t="s">
        <v>250</v>
      </c>
      <c r="E137" s="531">
        <f>'29'!F137</f>
        <v>25019.94</v>
      </c>
      <c r="F137" s="618">
        <v>24876.6</v>
      </c>
      <c r="G137" s="549">
        <f t="shared" si="15"/>
        <v>-143.34000000000015</v>
      </c>
      <c r="H137" s="536">
        <f>G137+'29'!H137</f>
        <v>-135.34000000000015</v>
      </c>
      <c r="I137" s="556"/>
      <c r="J137" s="629">
        <f>H137/DAY(B2)</f>
        <v>-4.5113333333333383</v>
      </c>
      <c r="O137" s="910"/>
    </row>
    <row r="138" spans="1:15" ht="27.75">
      <c r="A138" s="1252" t="s">
        <v>258</v>
      </c>
      <c r="B138" s="1253"/>
      <c r="C138" s="1253"/>
      <c r="D138" s="599" t="s">
        <v>250</v>
      </c>
      <c r="E138" s="531">
        <f>'29'!F138</f>
        <v>70059.78</v>
      </c>
      <c r="F138" s="618">
        <v>69785.710000000006</v>
      </c>
      <c r="G138" s="549">
        <f t="shared" si="15"/>
        <v>-274.06999999999243</v>
      </c>
      <c r="H138" s="536">
        <f>G138+'29'!H138</f>
        <v>-257.08999999999651</v>
      </c>
      <c r="I138" s="556">
        <f>G137+G138</f>
        <v>-417.40999999999258</v>
      </c>
      <c r="J138" s="629">
        <f>H138/DAY(B2)</f>
        <v>-8.5696666666665511</v>
      </c>
      <c r="O138" s="910"/>
    </row>
    <row r="139" spans="1:15" ht="27.75">
      <c r="A139" s="1252" t="s">
        <v>259</v>
      </c>
      <c r="B139" s="1253"/>
      <c r="C139" s="1253"/>
      <c r="D139" s="599" t="s">
        <v>250</v>
      </c>
      <c r="E139" s="531">
        <f>'29'!F139</f>
        <v>1184.42</v>
      </c>
      <c r="F139" s="560">
        <v>627.54</v>
      </c>
      <c r="G139" s="549">
        <f t="shared" si="15"/>
        <v>-556.88000000000011</v>
      </c>
      <c r="H139" s="536">
        <f>G139+'29'!H139</f>
        <v>-435.46000000000004</v>
      </c>
      <c r="I139" s="619"/>
      <c r="J139" s="629">
        <f>H139/DAY(B2)</f>
        <v>-14.515333333333334</v>
      </c>
      <c r="O139" s="910"/>
    </row>
    <row r="140" spans="1:15" ht="27.75">
      <c r="A140" s="1252" t="s">
        <v>260</v>
      </c>
      <c r="B140" s="1253"/>
      <c r="C140" s="1253"/>
      <c r="D140" s="599" t="s">
        <v>250</v>
      </c>
      <c r="E140" s="531">
        <f>'29'!F140</f>
        <v>4334</v>
      </c>
      <c r="F140" s="560">
        <v>4154.2700000000004</v>
      </c>
      <c r="G140" s="549">
        <f t="shared" si="15"/>
        <v>-179.72999999999956</v>
      </c>
      <c r="H140" s="536">
        <f>G140+'29'!H140</f>
        <v>-78.139999999999418</v>
      </c>
      <c r="I140" s="619"/>
      <c r="J140" s="629">
        <f>H140/DAY(B2)</f>
        <v>-2.6046666666666471</v>
      </c>
      <c r="O140" s="910"/>
    </row>
    <row r="141" spans="1:15" ht="21.95" customHeight="1">
      <c r="A141" s="1577" t="s">
        <v>261</v>
      </c>
      <c r="B141" s="1578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O141" s="910"/>
    </row>
    <row r="142" spans="1:15" ht="21.95" customHeight="1">
      <c r="A142" s="1556" t="s">
        <v>262</v>
      </c>
      <c r="B142" s="1557"/>
      <c r="C142" s="1557"/>
      <c r="D142" s="599" t="s">
        <v>143</v>
      </c>
      <c r="E142" s="599"/>
      <c r="F142" s="599"/>
      <c r="G142" s="536">
        <f>G35+G43+G49+G57</f>
        <v>-600562.58799999999</v>
      </c>
      <c r="H142" s="536">
        <f>G142+'29'!H142</f>
        <v>-447894.9580000001</v>
      </c>
      <c r="I142" s="556"/>
      <c r="J142" s="629">
        <f>H142/DAY(B2)</f>
        <v>-14929.831933333337</v>
      </c>
      <c r="K142" s="411"/>
      <c r="L142" s="408"/>
      <c r="O142" s="910"/>
    </row>
    <row r="143" spans="1:15" ht="21.95" customHeight="1">
      <c r="A143" s="1556" t="s">
        <v>263</v>
      </c>
      <c r="B143" s="1557"/>
      <c r="C143" s="1557"/>
      <c r="D143" s="599" t="s">
        <v>24</v>
      </c>
      <c r="E143" s="587"/>
      <c r="F143" s="587"/>
      <c r="G143" s="620">
        <f>G142/G7</f>
        <v>0.25949155670930729</v>
      </c>
      <c r="H143" s="536">
        <f>G143+'29'!H143</f>
        <v>7.9414381333298492</v>
      </c>
      <c r="I143" s="621"/>
      <c r="J143" s="629">
        <f>H143/DAY(B2)</f>
        <v>0.26471460444432832</v>
      </c>
      <c r="K143" s="411"/>
      <c r="L143" s="408"/>
      <c r="O143" s="910"/>
    </row>
    <row r="144" spans="1:15" ht="21.95" customHeight="1">
      <c r="A144" s="1556" t="s">
        <v>264</v>
      </c>
      <c r="B144" s="1557"/>
      <c r="C144" s="1557"/>
      <c r="D144" s="599" t="s">
        <v>143</v>
      </c>
      <c r="E144" s="531"/>
      <c r="F144" s="531"/>
      <c r="G144" s="536">
        <f>G41+G42+G55+G56</f>
        <v>306770.12</v>
      </c>
      <c r="H144" s="536">
        <f>G144+'29'!H144</f>
        <v>427629.01</v>
      </c>
      <c r="I144" s="556"/>
      <c r="J144" s="629">
        <f>H144/DAY(B2)</f>
        <v>14254.300333333334</v>
      </c>
      <c r="K144" s="411"/>
      <c r="L144" s="408"/>
      <c r="O144" s="910"/>
    </row>
    <row r="145" spans="1:15" ht="21.95" customHeight="1">
      <c r="A145" s="1556" t="s">
        <v>265</v>
      </c>
      <c r="B145" s="1557"/>
      <c r="C145" s="1557"/>
      <c r="D145" s="599" t="s">
        <v>24</v>
      </c>
      <c r="E145" s="531"/>
      <c r="F145" s="531"/>
      <c r="G145" s="620">
        <f>G144/G7</f>
        <v>-0.13254947541071438</v>
      </c>
      <c r="H145" s="536">
        <f>G145+'29'!H145</f>
        <v>6.0661931013081025</v>
      </c>
      <c r="I145" s="621"/>
      <c r="J145" s="629">
        <f>H145/DAY(B2)</f>
        <v>0.20220643671027008</v>
      </c>
      <c r="K145" s="411"/>
      <c r="L145" s="408"/>
      <c r="O145" s="910"/>
    </row>
    <row r="146" spans="1:15" ht="21.95" customHeight="1">
      <c r="A146" s="1556" t="s">
        <v>266</v>
      </c>
      <c r="B146" s="1557"/>
      <c r="C146" s="1557"/>
      <c r="D146" s="599" t="s">
        <v>143</v>
      </c>
      <c r="E146" s="531"/>
      <c r="F146" s="531"/>
      <c r="G146" s="536">
        <f>G39+G53</f>
        <v>-428897.98</v>
      </c>
      <c r="H146" s="536">
        <f>G146+'29'!H146</f>
        <v>-309566.98</v>
      </c>
      <c r="I146" s="622"/>
      <c r="J146" s="629">
        <f>H146/DAY(B2)</f>
        <v>-10318.899333333333</v>
      </c>
      <c r="K146" s="411"/>
      <c r="L146" s="408"/>
      <c r="O146" s="910"/>
    </row>
    <row r="147" spans="1:15" ht="21.95" customHeight="1">
      <c r="A147" s="1556" t="s">
        <v>267</v>
      </c>
      <c r="B147" s="1557"/>
      <c r="C147" s="1557"/>
      <c r="D147" s="599" t="s">
        <v>24</v>
      </c>
      <c r="E147" s="531"/>
      <c r="F147" s="531"/>
      <c r="G147" s="620">
        <f>G146/G7</f>
        <v>0.18531857748634409</v>
      </c>
      <c r="H147" s="536">
        <f>G147+'29'!H147</f>
        <v>6.321557716639254</v>
      </c>
      <c r="I147" s="622"/>
      <c r="J147" s="629">
        <f>H147/DAY(B2)</f>
        <v>0.21071859055464179</v>
      </c>
      <c r="O147" s="910"/>
    </row>
    <row r="148" spans="1:15" ht="21.95" customHeight="1">
      <c r="A148" s="1556" t="s">
        <v>268</v>
      </c>
      <c r="B148" s="1557"/>
      <c r="C148" s="1557"/>
      <c r="D148" s="599" t="s">
        <v>194</v>
      </c>
      <c r="E148" s="531"/>
      <c r="F148" s="531"/>
      <c r="G148" s="536">
        <f>G38+G52</f>
        <v>-217545.87</v>
      </c>
      <c r="H148" s="536">
        <f>G148+'29'!H148</f>
        <v>-160923.5</v>
      </c>
      <c r="I148" s="556"/>
      <c r="J148" s="629">
        <f>H148/DAY(B2)</f>
        <v>-5364.1166666666668</v>
      </c>
      <c r="K148" s="412"/>
      <c r="O148" s="910"/>
    </row>
    <row r="149" spans="1:15" ht="21.95" customHeight="1">
      <c r="A149" s="1556" t="s">
        <v>269</v>
      </c>
      <c r="B149" s="1557"/>
      <c r="C149" s="1557"/>
      <c r="D149" s="599" t="s">
        <v>24</v>
      </c>
      <c r="E149" s="531"/>
      <c r="F149" s="531"/>
      <c r="G149" s="620">
        <f>G148/G7</f>
        <v>9.3997391096197605E-2</v>
      </c>
      <c r="H149" s="536">
        <f>G149+'29'!H149</f>
        <v>3.0061218279356408</v>
      </c>
      <c r="I149" s="622"/>
      <c r="J149" s="629">
        <f>H149/DAY(B2)</f>
        <v>0.10020406093118803</v>
      </c>
      <c r="O149" s="910"/>
    </row>
    <row r="150" spans="1:15" ht="21.95" customHeight="1">
      <c r="A150" s="1556" t="s">
        <v>270</v>
      </c>
      <c r="B150" s="1557"/>
      <c r="C150" s="1557"/>
      <c r="D150" s="599" t="s">
        <v>194</v>
      </c>
      <c r="E150" s="531"/>
      <c r="F150" s="531"/>
      <c r="G150" s="536">
        <f>G36+G50</f>
        <v>-216638.57999999996</v>
      </c>
      <c r="H150" s="536">
        <f>G150+'29'!H150</f>
        <v>-164776.38</v>
      </c>
      <c r="I150" s="622"/>
      <c r="J150" s="629">
        <f>H150/DAY(B2)</f>
        <v>-5492.5460000000003</v>
      </c>
      <c r="O150" s="910"/>
    </row>
    <row r="151" spans="1:15" ht="21.95" customHeight="1">
      <c r="A151" s="1556" t="s">
        <v>271</v>
      </c>
      <c r="B151" s="1557"/>
      <c r="C151" s="1557"/>
      <c r="D151" s="599" t="s">
        <v>24</v>
      </c>
      <c r="E151" s="531"/>
      <c r="F151" s="531"/>
      <c r="G151" s="620">
        <f>G150/G7</f>
        <v>9.3605368517383894E-2</v>
      </c>
      <c r="H151" s="536">
        <f>G151+'29'!H151</f>
        <v>2.7613567723093415</v>
      </c>
      <c r="I151" s="556"/>
      <c r="J151" s="629">
        <f>H151/DAY(B2)</f>
        <v>9.2045225743644724E-2</v>
      </c>
      <c r="O151" s="910"/>
    </row>
    <row r="152" spans="1:15" ht="27.75">
      <c r="A152" s="1556" t="s">
        <v>272</v>
      </c>
      <c r="B152" s="1557"/>
      <c r="C152" s="1557"/>
      <c r="D152" s="599" t="s">
        <v>194</v>
      </c>
      <c r="E152" s="531"/>
      <c r="F152" s="531"/>
      <c r="G152" s="536">
        <f>G37+G51</f>
        <v>-167867.65000000002</v>
      </c>
      <c r="H152" s="536">
        <f>G152+'29'!H152</f>
        <v>-125539.76000000002</v>
      </c>
      <c r="I152" s="556"/>
      <c r="J152" s="629">
        <f>H152/DAY(B2)</f>
        <v>-4184.6586666666672</v>
      </c>
      <c r="O152" s="910"/>
    </row>
    <row r="153" spans="1:15" ht="28.5" thickBot="1">
      <c r="A153" s="1581" t="s">
        <v>273</v>
      </c>
      <c r="B153" s="1582"/>
      <c r="C153" s="1582"/>
      <c r="D153" s="702" t="s">
        <v>24</v>
      </c>
      <c r="E153" s="642"/>
      <c r="F153" s="642"/>
      <c r="G153" s="643">
        <f>G152/G7</f>
        <v>7.2532386615519834E-2</v>
      </c>
      <c r="H153" s="644">
        <f>G153+'29'!H153</f>
        <v>2.2497648831239596</v>
      </c>
      <c r="I153" s="645"/>
      <c r="J153" s="646">
        <f>H153/DAY(B2)</f>
        <v>7.4992162770798648E-2</v>
      </c>
      <c r="O153" s="910"/>
    </row>
    <row r="154" spans="1:15" ht="29.2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</row>
    <row r="160" spans="1:15" ht="21.95" customHeight="1">
      <c r="A160" s="889" t="s">
        <v>274</v>
      </c>
      <c r="B160" s="890"/>
      <c r="C160" s="890"/>
      <c r="D160" s="587" t="s">
        <v>198</v>
      </c>
      <c r="E160" s="531">
        <f>'29'!F160</f>
        <v>28266.89</v>
      </c>
      <c r="F160" s="739">
        <v>19367.005000000001</v>
      </c>
      <c r="G160" s="549">
        <f t="shared" ref="G160:G163" si="16">F160-E160</f>
        <v>-8899.8849999999984</v>
      </c>
    </row>
    <row r="161" spans="1:7" ht="21.95" customHeight="1">
      <c r="A161" s="889" t="s">
        <v>275</v>
      </c>
      <c r="B161" s="890"/>
      <c r="C161" s="890"/>
      <c r="D161" s="587" t="s">
        <v>198</v>
      </c>
      <c r="E161" s="531">
        <f>'29'!F161</f>
        <v>41680.800000000003</v>
      </c>
      <c r="F161" s="739">
        <v>10468.124</v>
      </c>
      <c r="G161" s="549">
        <f t="shared" si="16"/>
        <v>-31212.676000000003</v>
      </c>
    </row>
    <row r="162" spans="1:7" ht="21.95" customHeight="1">
      <c r="A162" s="889" t="s">
        <v>276</v>
      </c>
      <c r="B162" s="890"/>
      <c r="C162" s="890"/>
      <c r="D162" s="587" t="s">
        <v>198</v>
      </c>
      <c r="E162" s="531">
        <f>'29'!F162</f>
        <v>12319</v>
      </c>
      <c r="F162" s="739">
        <v>14358.138999999999</v>
      </c>
      <c r="G162" s="549">
        <f t="shared" si="16"/>
        <v>2039.1389999999992</v>
      </c>
    </row>
    <row r="163" spans="1:7" ht="21.95" customHeight="1">
      <c r="A163" s="889" t="s">
        <v>277</v>
      </c>
      <c r="B163" s="890"/>
      <c r="C163" s="890"/>
      <c r="D163" s="587" t="s">
        <v>198</v>
      </c>
      <c r="E163" s="531">
        <f>'29'!F163</f>
        <v>4960.6400000000003</v>
      </c>
      <c r="F163" s="739">
        <v>2542.9</v>
      </c>
      <c r="G163" s="549">
        <f t="shared" si="16"/>
        <v>-2417.7400000000002</v>
      </c>
    </row>
    <row r="164" spans="1:7" ht="21.95" customHeight="1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 ht="21.95" customHeight="1">
      <c r="A165" s="891" t="s">
        <v>199</v>
      </c>
      <c r="B165" s="681"/>
      <c r="C165" s="681"/>
      <c r="D165" s="587" t="s">
        <v>198</v>
      </c>
      <c r="E165" s="590">
        <f t="shared" ref="E165:E171" si="18">E63</f>
        <v>1305.8900000000001</v>
      </c>
      <c r="F165" s="590">
        <f t="shared" ref="F165:F171" si="19">F63</f>
        <v>14160.48</v>
      </c>
      <c r="G165" s="549">
        <f t="shared" si="17"/>
        <v>12854.59</v>
      </c>
    </row>
    <row r="166" spans="1:7" ht="21.95" customHeight="1">
      <c r="A166" s="1363" t="s">
        <v>107</v>
      </c>
      <c r="B166" s="1363"/>
      <c r="C166" s="1363"/>
      <c r="D166" s="599" t="s">
        <v>198</v>
      </c>
      <c r="E166" s="590">
        <f t="shared" si="18"/>
        <v>110461.4</v>
      </c>
      <c r="F166" s="590">
        <f t="shared" si="19"/>
        <v>67022.811000000002</v>
      </c>
      <c r="G166" s="549">
        <f t="shared" si="17"/>
        <v>-43438.588999999993</v>
      </c>
    </row>
    <row r="167" spans="1:7" ht="21.95" customHeight="1">
      <c r="A167" s="1363" t="s">
        <v>108</v>
      </c>
      <c r="B167" s="1363"/>
      <c r="C167" s="1363"/>
      <c r="D167" s="599" t="s">
        <v>198</v>
      </c>
      <c r="E167" s="590">
        <f t="shared" si="18"/>
        <v>120948.65</v>
      </c>
      <c r="F167" s="590">
        <f t="shared" si="19"/>
        <v>73461.070999999996</v>
      </c>
      <c r="G167" s="549">
        <f t="shared" si="17"/>
        <v>-47487.578999999998</v>
      </c>
    </row>
    <row r="168" spans="1:7" ht="21.95" customHeight="1">
      <c r="A168" s="1363" t="s">
        <v>109</v>
      </c>
      <c r="B168" s="1363"/>
      <c r="C168" s="1363"/>
      <c r="D168" s="599" t="s">
        <v>198</v>
      </c>
      <c r="E168" s="590">
        <f t="shared" si="18"/>
        <v>13320.84</v>
      </c>
      <c r="F168" s="590">
        <f t="shared" si="19"/>
        <v>66512.134999999995</v>
      </c>
      <c r="G168" s="549">
        <f t="shared" si="17"/>
        <v>53191.294999999998</v>
      </c>
    </row>
    <row r="169" spans="1:7" ht="21.95" customHeight="1">
      <c r="A169" s="1363" t="s">
        <v>110</v>
      </c>
      <c r="B169" s="1363"/>
      <c r="C169" s="1363"/>
      <c r="D169" s="599" t="s">
        <v>198</v>
      </c>
      <c r="E169" s="590">
        <f t="shared" si="18"/>
        <v>187269.37</v>
      </c>
      <c r="F169" s="590">
        <f t="shared" si="19"/>
        <v>109625.57</v>
      </c>
      <c r="G169" s="549">
        <f t="shared" si="17"/>
        <v>-77643.799999999988</v>
      </c>
    </row>
    <row r="170" spans="1:7" ht="21.95" customHeight="1">
      <c r="A170" s="1363" t="s">
        <v>111</v>
      </c>
      <c r="B170" s="1363"/>
      <c r="C170" s="1363"/>
      <c r="D170" s="599" t="s">
        <v>198</v>
      </c>
      <c r="E170" s="590">
        <f t="shared" si="18"/>
        <v>62687.79</v>
      </c>
      <c r="F170" s="590">
        <f t="shared" si="19"/>
        <v>24601.942999999999</v>
      </c>
      <c r="G170" s="549">
        <f t="shared" si="17"/>
        <v>-38085.847000000002</v>
      </c>
    </row>
    <row r="171" spans="1:7" ht="21.95" customHeight="1">
      <c r="A171" s="1363" t="s">
        <v>112</v>
      </c>
      <c r="B171" s="1363"/>
      <c r="C171" s="1363"/>
      <c r="D171" s="599" t="s">
        <v>198</v>
      </c>
      <c r="E171" s="590">
        <f t="shared" si="18"/>
        <v>55093</v>
      </c>
      <c r="F171" s="590">
        <f t="shared" si="19"/>
        <v>22940.190999999999</v>
      </c>
      <c r="G171" s="549">
        <f t="shared" si="17"/>
        <v>-32152.809000000001</v>
      </c>
    </row>
    <row r="172" spans="1:7" ht="21.95" customHeight="1">
      <c r="G172" s="616">
        <f>SUM(G160:G171)</f>
        <v>-213253.90100000001</v>
      </c>
    </row>
  </sheetData>
  <mergeCells count="74">
    <mergeCell ref="A153:C153"/>
    <mergeCell ref="A147:C147"/>
    <mergeCell ref="A148:C148"/>
    <mergeCell ref="A149:C149"/>
    <mergeCell ref="A150:C150"/>
    <mergeCell ref="A151:C151"/>
    <mergeCell ref="A152:C152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9" scale="30" fitToHeight="2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308"/>
  <sheetViews>
    <sheetView view="pageBreakPreview" zoomScale="55" zoomScaleNormal="75" zoomScaleSheetLayoutView="55" workbookViewId="0">
      <selection activeCell="F28" sqref="F28"/>
    </sheetView>
  </sheetViews>
  <sheetFormatPr defaultColWidth="22.33203125" defaultRowHeight="21.95" customHeight="1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>
      <c r="A1" s="1399" t="s">
        <v>128</v>
      </c>
      <c r="B1" s="1400"/>
      <c r="C1" s="1400"/>
      <c r="D1" s="1400"/>
      <c r="E1" s="1400"/>
      <c r="F1" s="1400"/>
      <c r="G1" s="1400"/>
      <c r="H1" s="1400"/>
      <c r="I1" s="1400"/>
      <c r="J1" s="1401"/>
    </row>
    <row r="2" spans="1:15" s="281" customFormat="1" ht="27">
      <c r="A2" s="652" t="s">
        <v>279</v>
      </c>
      <c r="B2" s="1140">
        <v>44075</v>
      </c>
      <c r="C2" s="1254" t="s">
        <v>69</v>
      </c>
      <c r="D2" s="688">
        <v>0.3</v>
      </c>
      <c r="E2" s="537"/>
      <c r="F2" s="537"/>
      <c r="G2" s="537" t="s">
        <v>129</v>
      </c>
      <c r="H2" s="537" t="s">
        <v>6</v>
      </c>
      <c r="I2" s="537" t="s">
        <v>8</v>
      </c>
      <c r="J2" s="690" t="s">
        <v>130</v>
      </c>
    </row>
    <row r="3" spans="1:15" s="281" customFormat="1" ht="27">
      <c r="A3" s="647"/>
      <c r="B3" s="691"/>
      <c r="C3" s="1254" t="s">
        <v>131</v>
      </c>
      <c r="D3" s="689">
        <v>30</v>
      </c>
      <c r="E3" s="1408" t="s">
        <v>132</v>
      </c>
      <c r="F3" s="1409"/>
      <c r="G3" s="538"/>
      <c r="H3" s="539"/>
      <c r="I3" s="539"/>
      <c r="J3" s="692"/>
      <c r="K3" s="402"/>
      <c r="L3" s="293"/>
    </row>
    <row r="4" spans="1:15" s="281" customFormat="1" ht="27">
      <c r="A4" s="653"/>
      <c r="B4" s="693"/>
      <c r="C4" s="1254" t="s">
        <v>133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 ht="21.95" customHeight="1">
      <c r="A5" s="654" t="s">
        <v>134</v>
      </c>
      <c r="B5" s="535"/>
      <c r="C5" s="535"/>
      <c r="D5" s="587" t="s">
        <v>135</v>
      </c>
      <c r="E5" s="543" t="s">
        <v>136</v>
      </c>
      <c r="F5" s="543" t="s">
        <v>123</v>
      </c>
      <c r="G5" s="544" t="s">
        <v>137</v>
      </c>
      <c r="H5" s="545" t="s">
        <v>138</v>
      </c>
      <c r="I5" s="546" t="s">
        <v>139</v>
      </c>
      <c r="J5" s="627" t="s">
        <v>140</v>
      </c>
      <c r="K5" s="465"/>
      <c r="L5" s="408"/>
    </row>
    <row r="6" spans="1:15" ht="21.95" customHeight="1">
      <c r="A6" s="1402" t="s">
        <v>141</v>
      </c>
      <c r="B6" s="1403"/>
      <c r="C6" s="1404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21.95" customHeight="1" thickBot="1">
      <c r="A7" s="655" t="s">
        <v>142</v>
      </c>
      <c r="B7" s="656"/>
      <c r="C7" s="656"/>
      <c r="D7" s="599" t="s">
        <v>143</v>
      </c>
      <c r="E7" s="531">
        <f>'30'!F7</f>
        <v>1536438</v>
      </c>
      <c r="F7" s="531">
        <v>1089944</v>
      </c>
      <c r="G7" s="549">
        <f>F7-E7</f>
        <v>-446494</v>
      </c>
      <c r="H7" s="536">
        <f>G7+'30'!H7</f>
        <v>-2196496</v>
      </c>
      <c r="I7" s="550">
        <f>'1'!I7</f>
        <v>12000</v>
      </c>
      <c r="J7" s="629">
        <f>H7/DAY(B2)</f>
        <v>-2196496</v>
      </c>
      <c r="K7" s="626">
        <v>1375467</v>
      </c>
      <c r="L7" s="408"/>
      <c r="N7" s="479">
        <f>F7-'1'!E7</f>
        <v>-2196496</v>
      </c>
      <c r="O7" s="413"/>
    </row>
    <row r="8" spans="1:15" ht="21.95" customHeight="1" thickBot="1">
      <c r="A8" s="657" t="s">
        <v>144</v>
      </c>
      <c r="B8" s="658"/>
      <c r="C8" s="659"/>
      <c r="D8" s="694" t="s">
        <v>25</v>
      </c>
      <c r="E8" s="531">
        <f>'30'!F8</f>
        <v>1544066</v>
      </c>
      <c r="F8" s="551">
        <v>1095426</v>
      </c>
      <c r="G8" s="552">
        <f>F8-E8</f>
        <v>-448640</v>
      </c>
      <c r="H8" s="536">
        <f>G8+'30'!H8</f>
        <v>-2210946</v>
      </c>
      <c r="I8" s="553"/>
      <c r="J8" s="629">
        <f>H8/DAY(B2)</f>
        <v>-2210946</v>
      </c>
      <c r="K8" s="626">
        <v>1715917</v>
      </c>
      <c r="L8" s="464">
        <v>1728480</v>
      </c>
      <c r="M8" s="479">
        <f>L8-K8</f>
        <v>12563</v>
      </c>
      <c r="N8" s="479">
        <f>F8-'1'!E8</f>
        <v>-2210946</v>
      </c>
      <c r="O8" s="413"/>
    </row>
    <row r="9" spans="1:15" ht="21.95" customHeight="1">
      <c r="A9" s="660" t="s">
        <v>145</v>
      </c>
      <c r="B9" s="661"/>
      <c r="C9" s="661"/>
      <c r="D9" s="599" t="s">
        <v>143</v>
      </c>
      <c r="E9" s="531">
        <f>'30'!F9</f>
        <v>1468112</v>
      </c>
      <c r="F9" s="554">
        <v>1037483.5</v>
      </c>
      <c r="G9" s="549">
        <f>F9-E9</f>
        <v>-430628.5</v>
      </c>
      <c r="H9" s="536">
        <f>G9+'30'!H9</f>
        <v>-1367731.5</v>
      </c>
      <c r="I9" s="555">
        <f>I7-J7</f>
        <v>2208496</v>
      </c>
      <c r="J9" s="629">
        <f>H9/DAY(B2)</f>
        <v>-1367731.5</v>
      </c>
      <c r="K9" s="467">
        <f>K8-100</f>
        <v>1715817</v>
      </c>
      <c r="L9" s="408"/>
      <c r="N9" s="479">
        <f>F9-'1'!E9</f>
        <v>-1367731.5</v>
      </c>
      <c r="O9" s="413"/>
    </row>
    <row r="10" spans="1:15" ht="21.95" customHeight="1">
      <c r="A10" s="655" t="s">
        <v>146</v>
      </c>
      <c r="B10" s="656"/>
      <c r="C10" s="656"/>
      <c r="D10" s="599" t="s">
        <v>143</v>
      </c>
      <c r="E10" s="531">
        <f>'30'!F10</f>
        <v>454609.79</v>
      </c>
      <c r="F10" s="554">
        <v>454609.79</v>
      </c>
      <c r="G10" s="549">
        <f t="shared" ref="G10:G12" si="0">F10-E10</f>
        <v>0</v>
      </c>
      <c r="H10" s="536">
        <f>G10+'30'!H10</f>
        <v>-295912.12</v>
      </c>
      <c r="I10" s="556"/>
      <c r="J10" s="629">
        <f>H10/DAY(B2)</f>
        <v>-295912.12</v>
      </c>
      <c r="K10" s="467"/>
      <c r="L10" s="408"/>
      <c r="N10" s="479">
        <f>F10-'1'!E10</f>
        <v>-295912.12000000005</v>
      </c>
      <c r="O10" s="413"/>
    </row>
    <row r="11" spans="1:15" ht="21.95" customHeight="1">
      <c r="A11" s="655" t="s">
        <v>147</v>
      </c>
      <c r="B11" s="656"/>
      <c r="C11" s="656"/>
      <c r="D11" s="599" t="s">
        <v>143</v>
      </c>
      <c r="E11" s="531">
        <f>'30'!F11</f>
        <v>34310</v>
      </c>
      <c r="F11" s="531">
        <v>34310</v>
      </c>
      <c r="G11" s="549">
        <f t="shared" si="0"/>
        <v>0</v>
      </c>
      <c r="H11" s="536">
        <f>G11+'30'!H11</f>
        <v>-1080</v>
      </c>
      <c r="I11" s="556"/>
      <c r="J11" s="629">
        <f>H11/DAY(B2)</f>
        <v>-1080</v>
      </c>
      <c r="K11" s="467"/>
      <c r="L11" s="408"/>
      <c r="N11" s="479">
        <f>F11-'1'!E11</f>
        <v>-1080</v>
      </c>
      <c r="O11" s="413"/>
    </row>
    <row r="12" spans="1:15" ht="21.95" customHeight="1">
      <c r="A12" s="655" t="s">
        <v>148</v>
      </c>
      <c r="B12" s="656"/>
      <c r="C12" s="656"/>
      <c r="D12" s="599" t="s">
        <v>143</v>
      </c>
      <c r="E12" s="531">
        <f>'30'!F12</f>
        <v>37630</v>
      </c>
      <c r="F12" s="554">
        <v>37630</v>
      </c>
      <c r="G12" s="549">
        <f t="shared" si="0"/>
        <v>0</v>
      </c>
      <c r="H12" s="536">
        <f>G12+'30'!H12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413"/>
    </row>
    <row r="13" spans="1:15" ht="21.95" customHeight="1">
      <c r="A13" s="662" t="s">
        <v>149</v>
      </c>
      <c r="B13" s="663"/>
      <c r="C13" s="663"/>
      <c r="D13" s="599"/>
      <c r="E13" s="531"/>
      <c r="F13" s="531"/>
      <c r="G13" s="557">
        <f>G9+G10+G11+G12</f>
        <v>-430628.5</v>
      </c>
      <c r="H13" s="536">
        <f>G13+'30'!H13</f>
        <v>-1684244.62</v>
      </c>
      <c r="I13" s="558">
        <f>G7-G13</f>
        <v>-15865.5</v>
      </c>
      <c r="J13" s="629">
        <f>H13/DAY(B2)</f>
        <v>-1684244.62</v>
      </c>
      <c r="K13" s="467"/>
      <c r="L13" s="408"/>
      <c r="N13" s="479">
        <f>F13-'1'!E13</f>
        <v>0</v>
      </c>
      <c r="O13" s="413"/>
    </row>
    <row r="14" spans="1:15" ht="29.25">
      <c r="A14" s="1405" t="s">
        <v>150</v>
      </c>
      <c r="B14" s="1406"/>
      <c r="C14" s="1407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413"/>
    </row>
    <row r="15" spans="1:15" ht="21.95" customHeight="1">
      <c r="A15" s="1252" t="s">
        <v>151</v>
      </c>
      <c r="B15" s="666"/>
      <c r="C15" s="666"/>
      <c r="D15" s="599" t="s">
        <v>152</v>
      </c>
      <c r="E15" s="531">
        <f>'30'!F15</f>
        <v>1515258.7779999999</v>
      </c>
      <c r="F15" s="560">
        <v>1502885.06</v>
      </c>
      <c r="G15" s="549">
        <f>(F15-E15)</f>
        <v>-12373.717999999877</v>
      </c>
      <c r="H15" s="536">
        <f>'30'!H15</f>
        <v>-53655.32200000016</v>
      </c>
      <c r="I15" s="550">
        <f>'1'!I15</f>
        <v>800</v>
      </c>
      <c r="J15" s="629">
        <f>H15/DAY(B2)</f>
        <v>-53655.32200000016</v>
      </c>
      <c r="K15" s="467"/>
      <c r="L15" s="408"/>
      <c r="N15" s="479">
        <f>F15-'1'!E15</f>
        <v>-66029.040000000037</v>
      </c>
      <c r="O15" s="413"/>
    </row>
    <row r="16" spans="1:15" ht="21.95" customHeight="1">
      <c r="A16" s="664"/>
      <c r="B16" s="665"/>
      <c r="C16" s="665"/>
      <c r="D16" s="600"/>
      <c r="E16" s="561"/>
      <c r="F16" s="561"/>
      <c r="G16" s="549"/>
      <c r="H16" s="562"/>
      <c r="I16" s="563">
        <f>I15-J15</f>
        <v>54455.32200000016</v>
      </c>
      <c r="J16" s="630"/>
      <c r="K16" s="467"/>
      <c r="L16" s="408"/>
      <c r="N16" s="479">
        <f>F16-'1'!E16</f>
        <v>0</v>
      </c>
      <c r="O16" s="413"/>
    </row>
    <row r="17" spans="1:15" ht="29.25">
      <c r="A17" s="1405" t="s">
        <v>153</v>
      </c>
      <c r="B17" s="1406"/>
      <c r="C17" s="1407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413"/>
    </row>
    <row r="18" spans="1:15" ht="27.75">
      <c r="A18" s="1388" t="s">
        <v>154</v>
      </c>
      <c r="B18" s="1389"/>
      <c r="C18" s="1390"/>
      <c r="D18" s="599" t="s">
        <v>155</v>
      </c>
      <c r="E18" s="531">
        <f>'30'!F18</f>
        <v>6</v>
      </c>
      <c r="F18" s="560">
        <v>4</v>
      </c>
      <c r="G18" s="557">
        <f>F18*10</f>
        <v>40</v>
      </c>
      <c r="H18" s="536">
        <f>G18+'30'!H18</f>
        <v>3590</v>
      </c>
      <c r="I18" s="550">
        <f>'1'!I18</f>
        <v>65</v>
      </c>
      <c r="J18" s="629">
        <f>H18/DAY(B2)</f>
        <v>3590</v>
      </c>
      <c r="K18" s="467"/>
      <c r="L18" s="408"/>
      <c r="N18" s="479">
        <f>F18-'1'!E18</f>
        <v>-9</v>
      </c>
      <c r="O18" s="413"/>
    </row>
    <row r="19" spans="1:15" ht="27.75">
      <c r="A19" s="1388" t="s">
        <v>71</v>
      </c>
      <c r="B19" s="1389"/>
      <c r="C19" s="1390"/>
      <c r="D19" s="599" t="s">
        <v>155</v>
      </c>
      <c r="E19" s="531">
        <f>'30'!F19</f>
        <v>126510</v>
      </c>
      <c r="F19" s="560">
        <v>124825</v>
      </c>
      <c r="G19" s="549">
        <f t="shared" ref="G19" si="1">F19-E19</f>
        <v>-1685</v>
      </c>
      <c r="H19" s="536">
        <f>G19+'30'!H19</f>
        <v>-6668</v>
      </c>
      <c r="I19" s="565"/>
      <c r="J19" s="629">
        <f>H19/DAY(B2)</f>
        <v>-6668</v>
      </c>
      <c r="K19" s="467"/>
      <c r="L19" s="408"/>
      <c r="N19" s="479">
        <f>F19-'1'!E19</f>
        <v>-6668</v>
      </c>
      <c r="O19" s="413"/>
    </row>
    <row r="20" spans="1:15" ht="29.25">
      <c r="A20" s="662" t="s">
        <v>156</v>
      </c>
      <c r="B20" s="663"/>
      <c r="C20" s="663"/>
      <c r="D20" s="566"/>
      <c r="E20" s="566"/>
      <c r="F20" s="566"/>
      <c r="G20" s="567">
        <f>G18+G19</f>
        <v>-1645</v>
      </c>
      <c r="H20" s="536">
        <f>G20+'30'!H20</f>
        <v>-3078</v>
      </c>
      <c r="I20" s="568">
        <f>I18-J20</f>
        <v>3143</v>
      </c>
      <c r="J20" s="629">
        <f>H20/DAY(B2)</f>
        <v>-3078</v>
      </c>
      <c r="K20" s="467"/>
      <c r="L20" s="408"/>
      <c r="N20" s="479">
        <f>F20-'1'!E20</f>
        <v>0</v>
      </c>
      <c r="O20" s="413"/>
    </row>
    <row r="21" spans="1:15" ht="29.25">
      <c r="A21" s="1405" t="s">
        <v>157</v>
      </c>
      <c r="B21" s="1406"/>
      <c r="C21" s="1407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413"/>
    </row>
    <row r="22" spans="1:15" ht="29.25">
      <c r="A22" s="1252" t="s">
        <v>158</v>
      </c>
      <c r="B22" s="666"/>
      <c r="C22" s="666"/>
      <c r="D22" s="599" t="s">
        <v>159</v>
      </c>
      <c r="E22" s="560">
        <f>'30'!F22</f>
        <v>2250</v>
      </c>
      <c r="F22" s="560">
        <v>2250</v>
      </c>
      <c r="G22" s="557">
        <f t="shared" ref="G22" si="2">(F22-E22)</f>
        <v>0</v>
      </c>
      <c r="H22" s="536">
        <f>'30'!H22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413"/>
    </row>
    <row r="23" spans="1:15" ht="29.25">
      <c r="A23" s="1252" t="s">
        <v>160</v>
      </c>
      <c r="B23" s="666"/>
      <c r="C23" s="666"/>
      <c r="D23" s="599" t="s">
        <v>159</v>
      </c>
      <c r="E23" s="560">
        <f>'30'!F23</f>
        <v>2000</v>
      </c>
      <c r="F23" s="560">
        <v>2000</v>
      </c>
      <c r="G23" s="557">
        <v>0</v>
      </c>
      <c r="H23" s="536">
        <f>'30'!H23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413"/>
    </row>
    <row r="24" spans="1:15" ht="29.25">
      <c r="A24" s="667" t="s">
        <v>161</v>
      </c>
      <c r="B24" s="668"/>
      <c r="C24" s="668"/>
      <c r="D24" s="587" t="s">
        <v>159</v>
      </c>
      <c r="E24" s="560">
        <f>'30'!F24</f>
        <v>4250</v>
      </c>
      <c r="F24" s="569">
        <v>4250</v>
      </c>
      <c r="G24" s="557">
        <v>0</v>
      </c>
      <c r="H24" s="536">
        <f>'30'!H24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413"/>
    </row>
    <row r="25" spans="1:15" s="481" customFormat="1" ht="27">
      <c r="A25" s="1410" t="s">
        <v>162</v>
      </c>
      <c r="B25" s="1411"/>
      <c r="C25" s="1412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413"/>
    </row>
    <row r="26" spans="1:15" s="481" customFormat="1" ht="27.75">
      <c r="A26" s="669" t="s">
        <v>163</v>
      </c>
      <c r="B26" s="670"/>
      <c r="C26" s="671"/>
      <c r="D26" s="695" t="s">
        <v>164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413"/>
    </row>
    <row r="27" spans="1:15" s="481" customFormat="1" ht="27.75">
      <c r="A27" s="669" t="s">
        <v>6</v>
      </c>
      <c r="B27" s="670"/>
      <c r="C27" s="671"/>
      <c r="D27" s="696" t="s">
        <v>25</v>
      </c>
      <c r="E27" s="576">
        <f>G8</f>
        <v>-448640</v>
      </c>
      <c r="F27" s="577">
        <v>9</v>
      </c>
      <c r="G27" s="578">
        <f>E27*F27</f>
        <v>-4037760</v>
      </c>
      <c r="H27" s="536">
        <f>G27+'30'!H27</f>
        <v>-19880439</v>
      </c>
      <c r="I27" s="579"/>
      <c r="J27" s="629">
        <f>H27/DAY(B2)</f>
        <v>-19880439</v>
      </c>
      <c r="K27" s="404"/>
      <c r="L27" s="484"/>
      <c r="N27" s="479">
        <f>F27-'1'!E27</f>
        <v>-20374</v>
      </c>
      <c r="O27" s="413"/>
    </row>
    <row r="28" spans="1:15" s="481" customFormat="1" ht="27.75">
      <c r="A28" s="669" t="s">
        <v>165</v>
      </c>
      <c r="B28" s="670"/>
      <c r="C28" s="671"/>
      <c r="D28" s="696" t="s">
        <v>166</v>
      </c>
      <c r="E28" s="580">
        <f>G15</f>
        <v>-12373.717999999877</v>
      </c>
      <c r="F28" s="577">
        <v>41</v>
      </c>
      <c r="G28" s="578">
        <f>E28*F28</f>
        <v>-507322.43799999496</v>
      </c>
      <c r="H28" s="536">
        <f>G28+'30'!H28</f>
        <v>-2708432.0000000014</v>
      </c>
      <c r="I28" s="581"/>
      <c r="J28" s="629">
        <f>H28/DAY(B2)</f>
        <v>-2708432.0000000014</v>
      </c>
      <c r="K28" s="404"/>
      <c r="L28" s="484"/>
      <c r="N28" s="479">
        <f>F28-'1'!E28</f>
        <v>-652.89999999990687</v>
      </c>
      <c r="O28" s="413"/>
    </row>
    <row r="29" spans="1:15" s="481" customFormat="1" ht="27.75">
      <c r="A29" s="669" t="s">
        <v>167</v>
      </c>
      <c r="B29" s="670"/>
      <c r="C29" s="671"/>
      <c r="D29" s="696" t="s">
        <v>168</v>
      </c>
      <c r="E29" s="582">
        <f>G24</f>
        <v>0</v>
      </c>
      <c r="F29" s="577">
        <v>69</v>
      </c>
      <c r="G29" s="578">
        <f>E29*F29</f>
        <v>0</v>
      </c>
      <c r="H29" s="536">
        <f>G29+'30'!H29</f>
        <v>0</v>
      </c>
      <c r="I29" s="581"/>
      <c r="J29" s="629">
        <f>H29/DAY(B2)</f>
        <v>0</v>
      </c>
      <c r="K29" s="404"/>
      <c r="L29" s="484"/>
      <c r="N29" s="479">
        <f>F29-'1'!E29</f>
        <v>69</v>
      </c>
      <c r="O29" s="413"/>
    </row>
    <row r="30" spans="1:15" s="481" customFormat="1" ht="27.75">
      <c r="A30" s="669" t="s">
        <v>169</v>
      </c>
      <c r="B30" s="670"/>
      <c r="C30" s="671"/>
      <c r="D30" s="696" t="s">
        <v>170</v>
      </c>
      <c r="E30" s="582">
        <f>G19</f>
        <v>-1685</v>
      </c>
      <c r="F30" s="577">
        <v>134</v>
      </c>
      <c r="G30" s="578">
        <f>E30*F30</f>
        <v>-225790</v>
      </c>
      <c r="H30" s="536">
        <f>G30+'30'!H30</f>
        <v>-893512</v>
      </c>
      <c r="I30" s="581"/>
      <c r="J30" s="629">
        <f>H30/DAY(B2)</f>
        <v>-893512</v>
      </c>
      <c r="K30" s="404"/>
      <c r="L30" s="484"/>
      <c r="N30" s="479">
        <f>F30-'1'!E30</f>
        <v>87</v>
      </c>
      <c r="O30" s="413"/>
    </row>
    <row r="31" spans="1:15" s="481" customFormat="1" ht="27.75">
      <c r="A31" s="669" t="s">
        <v>171</v>
      </c>
      <c r="B31" s="670"/>
      <c r="C31" s="671"/>
      <c r="D31" s="696" t="s">
        <v>155</v>
      </c>
      <c r="E31" s="582">
        <f>G18</f>
        <v>40</v>
      </c>
      <c r="F31" s="577">
        <v>80</v>
      </c>
      <c r="G31" s="578">
        <f>E31*F31</f>
        <v>3200</v>
      </c>
      <c r="H31" s="536">
        <f>G31+'30'!H31</f>
        <v>287200</v>
      </c>
      <c r="I31" s="581"/>
      <c r="J31" s="629"/>
      <c r="K31" s="404"/>
      <c r="L31" s="484"/>
      <c r="N31" s="479">
        <f>F31-'1'!E31</f>
        <v>-70</v>
      </c>
      <c r="O31" s="413"/>
    </row>
    <row r="32" spans="1:15" s="481" customFormat="1" ht="27.75">
      <c r="A32" s="672" t="s">
        <v>172</v>
      </c>
      <c r="B32" s="673"/>
      <c r="C32" s="674"/>
      <c r="D32" s="583"/>
      <c r="E32" s="583"/>
      <c r="F32" s="583"/>
      <c r="G32" s="584">
        <f>G27+G28+G29+G30+G31</f>
        <v>-4767672.4379999954</v>
      </c>
      <c r="H32" s="536">
        <f>G32+'30'!H32</f>
        <v>-23195183</v>
      </c>
      <c r="I32" s="585"/>
      <c r="J32" s="629">
        <f>H32/DAY(B2)</f>
        <v>-23195183</v>
      </c>
      <c r="K32" s="404"/>
      <c r="L32" s="484"/>
      <c r="N32" s="479">
        <f>F32-'1'!E32</f>
        <v>0</v>
      </c>
      <c r="O32" s="413"/>
    </row>
    <row r="33" spans="1:15" ht="25.5" customHeight="1">
      <c r="A33" s="1413" t="s">
        <v>173</v>
      </c>
      <c r="B33" s="1414"/>
      <c r="C33" s="1414"/>
      <c r="D33" s="1414"/>
      <c r="E33" s="1414"/>
      <c r="F33" s="1414"/>
      <c r="G33" s="1414"/>
      <c r="H33" s="1414"/>
      <c r="I33" s="1414"/>
      <c r="J33" s="1415"/>
      <c r="K33" s="467"/>
      <c r="L33" s="408"/>
      <c r="N33" s="479">
        <f>F33-'1'!E33</f>
        <v>0</v>
      </c>
      <c r="O33" s="413"/>
    </row>
    <row r="34" spans="1:15" ht="29.25">
      <c r="A34" s="675" t="s">
        <v>174</v>
      </c>
      <c r="B34" s="1257"/>
      <c r="C34" s="1257"/>
      <c r="D34" s="548"/>
      <c r="E34" s="547"/>
      <c r="F34" s="547"/>
      <c r="G34" s="548"/>
      <c r="H34" s="548"/>
      <c r="I34" s="548"/>
      <c r="J34" s="628"/>
      <c r="K34" s="467"/>
      <c r="L34" s="408"/>
      <c r="N34" s="479">
        <f>F34-'1'!E34</f>
        <v>0</v>
      </c>
      <c r="O34" s="413"/>
    </row>
    <row r="35" spans="1:15" ht="29.25">
      <c r="A35" s="655" t="s">
        <v>175</v>
      </c>
      <c r="B35" s="656"/>
      <c r="C35" s="656"/>
      <c r="D35" s="599" t="s">
        <v>143</v>
      </c>
      <c r="E35" s="531">
        <f>'30'!F35</f>
        <v>533661.31000000006</v>
      </c>
      <c r="F35" s="586">
        <v>491539.27</v>
      </c>
      <c r="G35" s="549">
        <f t="shared" ref="G35:G46" si="3">F35-E35</f>
        <v>-42122.040000000037</v>
      </c>
      <c r="H35" s="536">
        <f>G35+'30'!H35</f>
        <v>-137487.72999999998</v>
      </c>
      <c r="I35" s="531"/>
      <c r="J35" s="629">
        <f>H35/DAY(B2)</f>
        <v>-137487.72999999998</v>
      </c>
      <c r="K35" s="467"/>
      <c r="L35" s="408"/>
      <c r="N35" s="479">
        <f>F35-'1'!E35</f>
        <v>-137487.72999999998</v>
      </c>
      <c r="O35" s="413"/>
    </row>
    <row r="36" spans="1:15" ht="29.25">
      <c r="A36" s="655" t="s">
        <v>176</v>
      </c>
      <c r="B36" s="656"/>
      <c r="C36" s="656"/>
      <c r="D36" s="599" t="s">
        <v>143</v>
      </c>
      <c r="E36" s="531">
        <f>'30'!F36</f>
        <v>192167.25</v>
      </c>
      <c r="F36" s="586">
        <v>174247.33</v>
      </c>
      <c r="G36" s="549">
        <f t="shared" si="3"/>
        <v>-17919.920000000013</v>
      </c>
      <c r="H36" s="536">
        <f>G36+'30'!H36</f>
        <v>-80843.74000000002</v>
      </c>
      <c r="I36" s="531"/>
      <c r="J36" s="629">
        <f>H36/DAY(B2)</f>
        <v>-80843.74000000002</v>
      </c>
      <c r="K36" s="467"/>
      <c r="L36" s="408"/>
      <c r="N36" s="479">
        <f>F36-'1'!E36</f>
        <v>-80843.74000000002</v>
      </c>
      <c r="O36" s="705"/>
    </row>
    <row r="37" spans="1:15" ht="29.25">
      <c r="A37" s="655" t="s">
        <v>177</v>
      </c>
      <c r="B37" s="656"/>
      <c r="C37" s="656"/>
      <c r="D37" s="599" t="s">
        <v>143</v>
      </c>
      <c r="E37" s="531">
        <f>'30'!F37</f>
        <v>354233.35</v>
      </c>
      <c r="F37" s="586">
        <v>313204.39</v>
      </c>
      <c r="G37" s="549">
        <f t="shared" si="3"/>
        <v>-41028.959999999963</v>
      </c>
      <c r="H37" s="536">
        <f>G37+'30'!H37</f>
        <v>-101861.60999999999</v>
      </c>
      <c r="I37" s="531"/>
      <c r="J37" s="629">
        <f>H37/DAY(B2)</f>
        <v>-101861.60999999999</v>
      </c>
      <c r="K37" s="467"/>
      <c r="L37" s="408"/>
      <c r="N37" s="479">
        <f>F37-'1'!E37</f>
        <v>-101861.60999999999</v>
      </c>
      <c r="O37" s="706"/>
    </row>
    <row r="38" spans="1:15" ht="29.25">
      <c r="A38" s="655" t="s">
        <v>178</v>
      </c>
      <c r="B38" s="656"/>
      <c r="C38" s="656"/>
      <c r="D38" s="599" t="s">
        <v>143</v>
      </c>
      <c r="E38" s="531">
        <f>'30'!F38</f>
        <v>150714</v>
      </c>
      <c r="F38" s="545">
        <v>150714</v>
      </c>
      <c r="G38" s="549">
        <f t="shared" si="3"/>
        <v>0</v>
      </c>
      <c r="H38" s="536">
        <f>G38+'30'!H38</f>
        <v>0</v>
      </c>
      <c r="I38" s="531"/>
      <c r="J38" s="629">
        <f>H38/DAY(B2)</f>
        <v>0</v>
      </c>
      <c r="K38" s="467"/>
      <c r="L38" s="408"/>
      <c r="N38" s="479">
        <f>F38-'1'!E38</f>
        <v>0</v>
      </c>
      <c r="O38" s="413"/>
    </row>
    <row r="39" spans="1:15" ht="29.25">
      <c r="A39" s="655" t="s">
        <v>179</v>
      </c>
      <c r="B39" s="656"/>
      <c r="C39" s="656"/>
      <c r="D39" s="599" t="s">
        <v>143</v>
      </c>
      <c r="E39" s="531">
        <f>'30'!F39</f>
        <v>763443.99</v>
      </c>
      <c r="F39" s="586">
        <v>673328.15</v>
      </c>
      <c r="G39" s="549">
        <f t="shared" si="3"/>
        <v>-90115.839999999967</v>
      </c>
      <c r="H39" s="536">
        <f>G39+'30'!H39</f>
        <v>-239151.84999999998</v>
      </c>
      <c r="I39" s="531"/>
      <c r="J39" s="629">
        <f>H39/DAY(B2)</f>
        <v>-239151.84999999998</v>
      </c>
      <c r="K39" s="467"/>
      <c r="L39" s="408"/>
      <c r="N39" s="479">
        <f>F39-'1'!E39</f>
        <v>-239151.84999999998</v>
      </c>
      <c r="O39" s="413"/>
    </row>
    <row r="40" spans="1:15" ht="29.25">
      <c r="A40" s="676" t="s">
        <v>180</v>
      </c>
      <c r="B40" s="677"/>
      <c r="C40" s="677"/>
      <c r="D40" s="599" t="s">
        <v>143</v>
      </c>
      <c r="E40" s="531">
        <f>'30'!F40</f>
        <v>0</v>
      </c>
      <c r="F40" s="586">
        <v>0</v>
      </c>
      <c r="G40" s="549">
        <f t="shared" si="3"/>
        <v>0</v>
      </c>
      <c r="H40" s="536">
        <f>G40+'30'!H40</f>
        <v>0</v>
      </c>
      <c r="I40" s="531"/>
      <c r="J40" s="629">
        <f>H40/DAY(B2)</f>
        <v>0</v>
      </c>
      <c r="K40" s="468"/>
      <c r="L40" s="408"/>
      <c r="N40" s="479">
        <f>F40-'1'!E40</f>
        <v>0</v>
      </c>
      <c r="O40" s="413"/>
    </row>
    <row r="41" spans="1:15" ht="29.25">
      <c r="A41" s="655" t="s">
        <v>181</v>
      </c>
      <c r="B41" s="656"/>
      <c r="C41" s="656"/>
      <c r="D41" s="599" t="s">
        <v>143</v>
      </c>
      <c r="E41" s="531">
        <f>'30'!F41</f>
        <v>300127.95</v>
      </c>
      <c r="F41" s="586">
        <v>300127.96999999997</v>
      </c>
      <c r="G41" s="549">
        <f t="shared" si="3"/>
        <v>1.9999999960418791E-2</v>
      </c>
      <c r="H41" s="536">
        <f>G41+'30'!H41</f>
        <v>300127.96999999997</v>
      </c>
      <c r="I41" s="531"/>
      <c r="J41" s="629">
        <f>H41/DAY(B2)</f>
        <v>300127.96999999997</v>
      </c>
      <c r="K41" s="467"/>
      <c r="L41" s="408"/>
      <c r="N41" s="479">
        <f>H41-'1'!E41</f>
        <v>1.9999999960418791E-2</v>
      </c>
      <c r="O41" s="413"/>
    </row>
    <row r="42" spans="1:15" ht="29.25">
      <c r="A42" s="655" t="s">
        <v>182</v>
      </c>
      <c r="B42" s="656"/>
      <c r="C42" s="656"/>
      <c r="D42" s="599" t="s">
        <v>143</v>
      </c>
      <c r="E42" s="531">
        <f>'30'!F42</f>
        <v>240313.17</v>
      </c>
      <c r="F42" s="586">
        <v>155123.79</v>
      </c>
      <c r="G42" s="549">
        <f t="shared" si="3"/>
        <v>-85189.38</v>
      </c>
      <c r="H42" s="536">
        <f>G42+'30'!H42</f>
        <v>96197.700000000012</v>
      </c>
      <c r="I42" s="531"/>
      <c r="J42" s="629">
        <f>H42/DAY(B2)</f>
        <v>96197.700000000012</v>
      </c>
      <c r="K42" s="467"/>
      <c r="L42" s="408"/>
      <c r="N42" s="479">
        <f>H42-'1'!E42</f>
        <v>37271.610000000015</v>
      </c>
      <c r="O42" s="413"/>
    </row>
    <row r="43" spans="1:15" ht="29.25">
      <c r="A43" s="655" t="s">
        <v>183</v>
      </c>
      <c r="B43" s="656"/>
      <c r="C43" s="656"/>
      <c r="D43" s="599" t="s">
        <v>143</v>
      </c>
      <c r="E43" s="531">
        <f>'30'!F43</f>
        <v>486223.43</v>
      </c>
      <c r="F43" s="586">
        <v>426209.51</v>
      </c>
      <c r="G43" s="549">
        <f t="shared" si="3"/>
        <v>-60013.919999999984</v>
      </c>
      <c r="H43" s="536">
        <f>G43+'30'!H43</f>
        <v>-272043.92000000004</v>
      </c>
      <c r="I43" s="531"/>
      <c r="J43" s="629">
        <f>H43/DAY(B2)</f>
        <v>-272043.92000000004</v>
      </c>
      <c r="K43" s="467"/>
      <c r="L43" s="408"/>
      <c r="N43" s="479">
        <f>H43-'1'!E43</f>
        <v>-970297.35000000009</v>
      </c>
      <c r="O43" s="413"/>
    </row>
    <row r="44" spans="1:15" ht="29.25">
      <c r="A44" s="655" t="s">
        <v>184</v>
      </c>
      <c r="B44" s="656"/>
      <c r="C44" s="656"/>
      <c r="D44" s="599" t="s">
        <v>143</v>
      </c>
      <c r="E44" s="531">
        <f>'30'!F44</f>
        <v>0</v>
      </c>
      <c r="F44" s="586">
        <v>0</v>
      </c>
      <c r="G44" s="549">
        <f t="shared" si="3"/>
        <v>0</v>
      </c>
      <c r="H44" s="536">
        <f>G44+'30'!H44</f>
        <v>0</v>
      </c>
      <c r="I44" s="531"/>
      <c r="J44" s="629">
        <f>H44/DAY(B2)</f>
        <v>0</v>
      </c>
      <c r="K44" s="467"/>
      <c r="L44" s="408"/>
      <c r="N44" s="479">
        <f>H44-'1'!E44</f>
        <v>0</v>
      </c>
      <c r="O44" s="413"/>
    </row>
    <row r="45" spans="1:15" ht="29.25">
      <c r="A45" s="655" t="s">
        <v>185</v>
      </c>
      <c r="B45" s="656"/>
      <c r="C45" s="656"/>
      <c r="D45" s="599" t="s">
        <v>143</v>
      </c>
      <c r="E45" s="531">
        <f>'30'!F45</f>
        <v>614.48</v>
      </c>
      <c r="F45" s="586">
        <v>614.48</v>
      </c>
      <c r="G45" s="549">
        <f t="shared" si="3"/>
        <v>0</v>
      </c>
      <c r="H45" s="536">
        <f>G45+'30'!H45</f>
        <v>0</v>
      </c>
      <c r="I45" s="531"/>
      <c r="J45" s="629">
        <f>H45/DAY(B2)</f>
        <v>0</v>
      </c>
      <c r="K45" s="467"/>
      <c r="L45" s="408"/>
      <c r="N45" s="479">
        <f>H45-'1'!E45</f>
        <v>-614.48</v>
      </c>
      <c r="O45" s="413"/>
    </row>
    <row r="46" spans="1:15" ht="29.25">
      <c r="A46" s="655" t="s">
        <v>186</v>
      </c>
      <c r="B46" s="656"/>
      <c r="C46" s="656"/>
      <c r="D46" s="599" t="s">
        <v>143</v>
      </c>
      <c r="E46" s="531">
        <f>'30'!F46</f>
        <v>187.49</v>
      </c>
      <c r="F46" s="586">
        <v>187.49</v>
      </c>
      <c r="G46" s="549">
        <f t="shared" si="3"/>
        <v>0</v>
      </c>
      <c r="H46" s="536">
        <f>G46+'30'!H46</f>
        <v>0</v>
      </c>
      <c r="I46" s="531"/>
      <c r="J46" s="629">
        <f>H46/DAY(B2)</f>
        <v>0</v>
      </c>
      <c r="K46" s="467"/>
      <c r="L46" s="408"/>
      <c r="N46" s="479">
        <f>H46-'1'!E46</f>
        <v>-187.49</v>
      </c>
      <c r="O46" s="413"/>
    </row>
    <row r="47" spans="1:15" ht="29.25">
      <c r="A47" s="662" t="s">
        <v>187</v>
      </c>
      <c r="B47" s="663"/>
      <c r="C47" s="663"/>
      <c r="D47" s="546"/>
      <c r="E47" s="587"/>
      <c r="F47" s="587"/>
      <c r="G47" s="557">
        <f>G35+G36+G37+G38+G39+G40+G41+G42+G43+G44+G45+G46</f>
        <v>-336390.04</v>
      </c>
      <c r="H47" s="536">
        <f>G47+'30'!H47</f>
        <v>-435063.18</v>
      </c>
      <c r="I47" s="531"/>
      <c r="J47" s="629">
        <f>H47/DAY(B2)</f>
        <v>-435063.18</v>
      </c>
      <c r="K47" s="467"/>
      <c r="L47" s="408"/>
      <c r="N47" s="479">
        <f>H47-'1'!E47</f>
        <v>-435063.18</v>
      </c>
      <c r="O47" s="413"/>
    </row>
    <row r="48" spans="1:15" ht="29.25">
      <c r="A48" s="675" t="s">
        <v>188</v>
      </c>
      <c r="B48" s="1257"/>
      <c r="C48" s="1257"/>
      <c r="D48" s="548"/>
      <c r="E48" s="547"/>
      <c r="F48" s="547"/>
      <c r="G48" s="548"/>
      <c r="H48" s="548"/>
      <c r="I48" s="548"/>
      <c r="J48" s="628"/>
      <c r="K48" s="467"/>
      <c r="L48" s="408"/>
      <c r="N48" s="479">
        <f>H48-'1'!E48</f>
        <v>0</v>
      </c>
      <c r="O48" s="413"/>
    </row>
    <row r="49" spans="1:15" ht="29.25">
      <c r="A49" s="655" t="s">
        <v>175</v>
      </c>
      <c r="B49" s="678"/>
      <c r="C49" s="678"/>
      <c r="D49" s="599" t="s">
        <v>143</v>
      </c>
      <c r="E49" s="531">
        <f>'30'!F49</f>
        <v>11728.852000000001</v>
      </c>
      <c r="F49" s="586">
        <v>3334.8</v>
      </c>
      <c r="G49" s="549">
        <f t="shared" ref="G49:G58" si="4">F49-E49</f>
        <v>-8394.0519999999997</v>
      </c>
      <c r="H49" s="536">
        <f>G49+'30'!H49</f>
        <v>-149070.19999999998</v>
      </c>
      <c r="I49" s="531"/>
      <c r="J49" s="629">
        <f>H49/DAY(B2)</f>
        <v>-149070.19999999998</v>
      </c>
      <c r="K49" s="467"/>
      <c r="L49" s="408"/>
      <c r="N49" s="479">
        <f>H49-'1'!E49</f>
        <v>-298629.19999999995</v>
      </c>
      <c r="O49" s="413"/>
    </row>
    <row r="50" spans="1:15" ht="29.25">
      <c r="A50" s="655" t="s">
        <v>189</v>
      </c>
      <c r="B50" s="678"/>
      <c r="C50" s="678"/>
      <c r="D50" s="599" t="s">
        <v>143</v>
      </c>
      <c r="E50" s="531">
        <f>'30'!F50</f>
        <v>233047.87</v>
      </c>
      <c r="F50" s="586">
        <v>203028.93</v>
      </c>
      <c r="G50" s="549">
        <f t="shared" si="4"/>
        <v>-30018.940000000002</v>
      </c>
      <c r="H50" s="536">
        <f>G50+'30'!H50</f>
        <v>-133188.5</v>
      </c>
      <c r="I50" s="531"/>
      <c r="J50" s="629">
        <f>H50/DAY(B2)</f>
        <v>-133188.5</v>
      </c>
      <c r="K50" s="467"/>
      <c r="L50" s="408"/>
      <c r="N50" s="479">
        <f>H50-'1'!E50</f>
        <v>-468088.93</v>
      </c>
      <c r="O50" s="413"/>
    </row>
    <row r="51" spans="1:15" ht="29.25">
      <c r="A51" s="655" t="s">
        <v>177</v>
      </c>
      <c r="B51" s="678"/>
      <c r="C51" s="678"/>
      <c r="D51" s="599" t="s">
        <v>143</v>
      </c>
      <c r="E51" s="531">
        <f>'30'!F51</f>
        <v>0</v>
      </c>
      <c r="F51" s="586">
        <v>0</v>
      </c>
      <c r="G51" s="549">
        <f t="shared" si="4"/>
        <v>0</v>
      </c>
      <c r="H51" s="536">
        <f>G51+'30'!H51</f>
        <v>-66158.11</v>
      </c>
      <c r="I51" s="531"/>
      <c r="J51" s="629">
        <f>H51/DAY(B2)</f>
        <v>-66158.11</v>
      </c>
      <c r="K51" s="467"/>
      <c r="L51" s="408"/>
      <c r="N51" s="479">
        <f>H51-'1'!E51</f>
        <v>-130865.22</v>
      </c>
      <c r="O51" s="413"/>
    </row>
    <row r="52" spans="1:15" ht="29.25">
      <c r="A52" s="655" t="s">
        <v>190</v>
      </c>
      <c r="B52" s="678"/>
      <c r="C52" s="678"/>
      <c r="D52" s="599" t="s">
        <v>143</v>
      </c>
      <c r="E52" s="531">
        <f>'30'!F52</f>
        <v>272256.13</v>
      </c>
      <c r="F52" s="586">
        <v>239027.49</v>
      </c>
      <c r="G52" s="549">
        <f t="shared" si="4"/>
        <v>-33228.640000000014</v>
      </c>
      <c r="H52" s="536">
        <f>G52+'30'!H52</f>
        <v>-196248.14</v>
      </c>
      <c r="I52" s="531"/>
      <c r="J52" s="629">
        <f>H52/DAY(B2)</f>
        <v>-196248.14</v>
      </c>
      <c r="K52" s="467"/>
      <c r="L52" s="408"/>
      <c r="N52" s="479">
        <f>H52-'1'!E52</f>
        <v>-629427.77</v>
      </c>
      <c r="O52" s="413"/>
    </row>
    <row r="53" spans="1:15" ht="29.25">
      <c r="A53" s="655" t="s">
        <v>179</v>
      </c>
      <c r="B53" s="678"/>
      <c r="C53" s="678"/>
      <c r="D53" s="599" t="s">
        <v>143</v>
      </c>
      <c r="E53" s="531">
        <f>'30'!F53</f>
        <v>16071</v>
      </c>
      <c r="F53" s="586">
        <v>16071</v>
      </c>
      <c r="G53" s="549">
        <f t="shared" si="4"/>
        <v>0</v>
      </c>
      <c r="H53" s="536">
        <f>G53+'30'!H53</f>
        <v>-164993.97</v>
      </c>
      <c r="I53" s="531"/>
      <c r="J53" s="629">
        <f>H53/DAY(B2)</f>
        <v>-164993.97</v>
      </c>
      <c r="K53" s="467"/>
      <c r="L53" s="408"/>
      <c r="N53" s="479">
        <f>H53-'1'!E53</f>
        <v>-341595.94</v>
      </c>
      <c r="O53" s="413"/>
    </row>
    <row r="54" spans="1:15" ht="29.25">
      <c r="A54" s="655" t="s">
        <v>191</v>
      </c>
      <c r="B54" s="678"/>
      <c r="C54" s="678"/>
      <c r="D54" s="599" t="s">
        <v>143</v>
      </c>
      <c r="E54" s="531">
        <f>'30'!F54</f>
        <v>0</v>
      </c>
      <c r="F54" s="586">
        <v>0</v>
      </c>
      <c r="G54" s="549">
        <f t="shared" si="4"/>
        <v>0</v>
      </c>
      <c r="H54" s="536">
        <f>G54+'30'!H54</f>
        <v>-4646.54</v>
      </c>
      <c r="I54" s="531"/>
      <c r="J54" s="629">
        <f>H54/DAY(B2)</f>
        <v>-4646.54</v>
      </c>
      <c r="K54" s="467"/>
      <c r="L54" s="408"/>
      <c r="N54" s="479">
        <f>H54-'1'!E54</f>
        <v>-9236.08</v>
      </c>
      <c r="O54" s="413"/>
    </row>
    <row r="55" spans="1:15" ht="29.25">
      <c r="A55" s="655" t="s">
        <v>192</v>
      </c>
      <c r="B55" s="678"/>
      <c r="C55" s="678"/>
      <c r="D55" s="599" t="s">
        <v>143</v>
      </c>
      <c r="E55" s="531">
        <f>'30'!F55</f>
        <v>158493</v>
      </c>
      <c r="F55" s="586">
        <v>158493</v>
      </c>
      <c r="G55" s="549">
        <f t="shared" si="4"/>
        <v>0</v>
      </c>
      <c r="H55" s="536">
        <f>G55+'30'!H55</f>
        <v>158492.73000000001</v>
      </c>
      <c r="I55" s="531"/>
      <c r="J55" s="629">
        <f>H55/DAY(B2)</f>
        <v>158492.73000000001</v>
      </c>
      <c r="K55" s="467"/>
      <c r="L55" s="408"/>
      <c r="N55" s="479">
        <f>H55-'1'!E55</f>
        <v>-0.26999999998952262</v>
      </c>
      <c r="O55" s="413"/>
    </row>
    <row r="56" spans="1:15" ht="29.25">
      <c r="A56" s="655" t="s">
        <v>193</v>
      </c>
      <c r="B56" s="678"/>
      <c r="C56" s="678"/>
      <c r="D56" s="599" t="s">
        <v>194</v>
      </c>
      <c r="E56" s="531">
        <f>'30'!F56</f>
        <v>300833</v>
      </c>
      <c r="F56" s="586">
        <v>276819.67</v>
      </c>
      <c r="G56" s="549">
        <f t="shared" si="4"/>
        <v>-24013.330000000016</v>
      </c>
      <c r="H56" s="536">
        <f>G56+'30'!H56</f>
        <v>-241081.08000000002</v>
      </c>
      <c r="I56" s="531"/>
      <c r="J56" s="629">
        <f>H56/DAY(B2)</f>
        <v>-241081.08000000002</v>
      </c>
      <c r="K56" s="466"/>
      <c r="L56" s="408"/>
      <c r="N56" s="479">
        <f>H56-'1'!E56</f>
        <v>-754292.83000000007</v>
      </c>
      <c r="O56" s="413"/>
    </row>
    <row r="57" spans="1:15" ht="29.25">
      <c r="A57" s="655" t="s">
        <v>183</v>
      </c>
      <c r="B57" s="678"/>
      <c r="C57" s="678"/>
      <c r="D57" s="599" t="s">
        <v>143</v>
      </c>
      <c r="E57" s="531">
        <f>'30'!F57</f>
        <v>0</v>
      </c>
      <c r="F57" s="586">
        <v>0</v>
      </c>
      <c r="G57" s="549">
        <f t="shared" si="4"/>
        <v>0</v>
      </c>
      <c r="H57" s="536">
        <f>G57+'30'!H57</f>
        <v>0</v>
      </c>
      <c r="I57" s="531"/>
      <c r="J57" s="629">
        <f>H57/DAY(B2)</f>
        <v>0</v>
      </c>
      <c r="K57" s="467"/>
      <c r="L57" s="408"/>
      <c r="N57" s="479">
        <f>H57-'1'!E57</f>
        <v>0</v>
      </c>
      <c r="O57" s="413"/>
    </row>
    <row r="58" spans="1:15" ht="29.25">
      <c r="A58" s="655" t="s">
        <v>195</v>
      </c>
      <c r="B58" s="678"/>
      <c r="C58" s="678"/>
      <c r="D58" s="599" t="s">
        <v>143</v>
      </c>
      <c r="E58" s="531">
        <f>'30'!F58</f>
        <v>15542.326999999999</v>
      </c>
      <c r="F58" s="586">
        <v>13889.37</v>
      </c>
      <c r="G58" s="549">
        <f t="shared" si="4"/>
        <v>-1652.9569999999985</v>
      </c>
      <c r="H58" s="536">
        <f>G58+'30'!H58</f>
        <v>-11266.039999999999</v>
      </c>
      <c r="I58" s="531"/>
      <c r="J58" s="629">
        <f>H58/DAY(B2)</f>
        <v>-11266.039999999999</v>
      </c>
      <c r="K58" s="467"/>
      <c r="L58" s="408"/>
      <c r="N58" s="479">
        <f>H58-'1'!E58</f>
        <v>-36306.449999999997</v>
      </c>
      <c r="O58" s="413"/>
    </row>
    <row r="59" spans="1:15" ht="29.25">
      <c r="A59" s="662" t="s">
        <v>187</v>
      </c>
      <c r="B59" s="663"/>
      <c r="C59" s="663"/>
      <c r="D59" s="587"/>
      <c r="E59" s="587"/>
      <c r="F59" s="587"/>
      <c r="G59" s="557">
        <f>G49+G50+G51+G52+G53+G54+G55+G56+G57+G58</f>
        <v>-97307.919000000024</v>
      </c>
      <c r="H59" s="536">
        <f>G59+'30'!H59</f>
        <v>-808159.85000000009</v>
      </c>
      <c r="I59" s="531">
        <f>G7-G60</f>
        <v>-12796.040999999968</v>
      </c>
      <c r="J59" s="629">
        <f>H59/DAY(B2)</f>
        <v>-808159.85000000009</v>
      </c>
      <c r="K59" s="467"/>
      <c r="L59" s="408"/>
      <c r="N59" s="479">
        <f>H59-'1'!E59</f>
        <v>-808159.85000000009</v>
      </c>
      <c r="O59" s="413"/>
    </row>
    <row r="60" spans="1:15" ht="29.25">
      <c r="A60" s="655"/>
      <c r="B60" s="656"/>
      <c r="C60" s="656"/>
      <c r="D60" s="587" t="s">
        <v>196</v>
      </c>
      <c r="E60" s="587"/>
      <c r="F60" s="587"/>
      <c r="G60" s="557">
        <f>G47+G59</f>
        <v>-433697.95900000003</v>
      </c>
      <c r="H60" s="536">
        <f>G60+'30'!H60</f>
        <v>-1226189.0300000003</v>
      </c>
      <c r="I60" s="531">
        <f>G13-G60</f>
        <v>3069.4590000000317</v>
      </c>
      <c r="J60" s="629">
        <f>H60/DAY(B2)</f>
        <v>-1226189.0300000003</v>
      </c>
      <c r="K60" s="467"/>
      <c r="L60" s="408"/>
      <c r="N60" s="479">
        <f>H60-'1'!E60</f>
        <v>-1226189.0300000003</v>
      </c>
      <c r="O60" s="413"/>
    </row>
    <row r="61" spans="1:15" ht="29.25">
      <c r="A61" s="679" t="s">
        <v>197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79">
        <f>H61-'1'!E61</f>
        <v>0</v>
      </c>
      <c r="O61" s="413"/>
    </row>
    <row r="62" spans="1:15" ht="29.25">
      <c r="A62" s="680" t="s">
        <v>106</v>
      </c>
      <c r="B62" s="681"/>
      <c r="C62" s="681"/>
      <c r="D62" s="587" t="s">
        <v>198</v>
      </c>
      <c r="E62" s="531">
        <f>'30'!F62</f>
        <v>20419.18</v>
      </c>
      <c r="F62" s="590">
        <v>20419.188999999998</v>
      </c>
      <c r="G62" s="549">
        <f t="shared" ref="G62:G69" si="5">F62-E62</f>
        <v>8.9999999981955625E-3</v>
      </c>
      <c r="H62" s="536">
        <f>G62+'30'!H62</f>
        <v>8.9999999981955625E-3</v>
      </c>
      <c r="I62" s="591"/>
      <c r="J62" s="629">
        <f>H62/DAY(B2)</f>
        <v>8.9999999981955625E-3</v>
      </c>
      <c r="K62" s="467"/>
      <c r="L62" s="408"/>
      <c r="N62" s="479">
        <f>H62-'1'!E62</f>
        <v>-20419.171000000002</v>
      </c>
      <c r="O62" s="413"/>
    </row>
    <row r="63" spans="1:15" ht="29.25">
      <c r="A63" s="680" t="s">
        <v>199</v>
      </c>
      <c r="B63" s="681"/>
      <c r="C63" s="681"/>
      <c r="D63" s="587" t="s">
        <v>198</v>
      </c>
      <c r="E63" s="531">
        <f>'30'!F63</f>
        <v>14160.48</v>
      </c>
      <c r="F63" s="590">
        <v>14160.48</v>
      </c>
      <c r="G63" s="549">
        <f t="shared" si="5"/>
        <v>0</v>
      </c>
      <c r="H63" s="536">
        <f>G63+'30'!H63</f>
        <v>13052.57</v>
      </c>
      <c r="I63" s="591"/>
      <c r="J63" s="629">
        <f>H63/DAY(B2)</f>
        <v>13052.57</v>
      </c>
      <c r="K63" s="467"/>
      <c r="L63" s="408"/>
      <c r="N63" s="479">
        <f>H63-'1'!E63</f>
        <v>11944.66</v>
      </c>
      <c r="O63" s="413"/>
    </row>
    <row r="64" spans="1:15" ht="27.75">
      <c r="A64" s="1367" t="s">
        <v>107</v>
      </c>
      <c r="B64" s="1368"/>
      <c r="C64" s="1369"/>
      <c r="D64" s="599" t="s">
        <v>198</v>
      </c>
      <c r="E64" s="531">
        <f>'30'!F64</f>
        <v>67022.811000000002</v>
      </c>
      <c r="F64" s="560">
        <v>59017.9</v>
      </c>
      <c r="G64" s="549">
        <f t="shared" si="5"/>
        <v>-8004.9110000000001</v>
      </c>
      <c r="H64" s="536">
        <f>G64+'30'!H64</f>
        <v>-39405.499999999993</v>
      </c>
      <c r="I64" s="556"/>
      <c r="J64" s="629">
        <f>H64/DAY(B2)</f>
        <v>-39405.499999999993</v>
      </c>
      <c r="K64" s="467"/>
      <c r="L64" s="408"/>
      <c r="N64" s="479">
        <f>H64-'1'!E64</f>
        <v>-137828.9</v>
      </c>
      <c r="O64" s="413"/>
    </row>
    <row r="65" spans="1:15" ht="27.75">
      <c r="A65" s="1367" t="s">
        <v>108</v>
      </c>
      <c r="B65" s="1368"/>
      <c r="C65" s="1369"/>
      <c r="D65" s="599" t="s">
        <v>198</v>
      </c>
      <c r="E65" s="531">
        <f>'30'!F65</f>
        <v>73461.070999999996</v>
      </c>
      <c r="F65" s="560">
        <v>62010.36</v>
      </c>
      <c r="G65" s="549">
        <f t="shared" si="5"/>
        <v>-11450.710999999996</v>
      </c>
      <c r="H65" s="536">
        <f>G65+'30'!H65</f>
        <v>-47033.759999999995</v>
      </c>
      <c r="I65" s="565"/>
      <c r="J65" s="629">
        <f>H65/DAY(B2)</f>
        <v>-47033.759999999995</v>
      </c>
      <c r="K65" s="467"/>
      <c r="L65" s="408"/>
      <c r="N65" s="479">
        <f>H65-'1'!E65</f>
        <v>-156077.88</v>
      </c>
      <c r="O65" s="413"/>
    </row>
    <row r="66" spans="1:15" ht="27.75">
      <c r="A66" s="1367" t="s">
        <v>109</v>
      </c>
      <c r="B66" s="1368"/>
      <c r="C66" s="1369"/>
      <c r="D66" s="599" t="s">
        <v>198</v>
      </c>
      <c r="E66" s="531">
        <f>'30'!F66</f>
        <v>66512.134999999995</v>
      </c>
      <c r="F66" s="560">
        <v>55847.47</v>
      </c>
      <c r="G66" s="549">
        <f t="shared" si="5"/>
        <v>-10664.664999999994</v>
      </c>
      <c r="H66" s="536">
        <f>G66+'30'!H66</f>
        <v>53425.380000000005</v>
      </c>
      <c r="I66" s="556"/>
      <c r="J66" s="629">
        <f>H66/DAY(B2)</f>
        <v>53425.380000000005</v>
      </c>
      <c r="K66" s="467"/>
      <c r="L66" s="408"/>
      <c r="N66" s="479">
        <f>H66-'1'!E66</f>
        <v>51003.290000000008</v>
      </c>
      <c r="O66" s="413"/>
    </row>
    <row r="67" spans="1:15" ht="27.75">
      <c r="A67" s="1367" t="s">
        <v>110</v>
      </c>
      <c r="B67" s="1368"/>
      <c r="C67" s="1369"/>
      <c r="D67" s="599" t="s">
        <v>198</v>
      </c>
      <c r="E67" s="531">
        <f>'30'!F67</f>
        <v>109625.57</v>
      </c>
      <c r="F67" s="560">
        <v>96613.97</v>
      </c>
      <c r="G67" s="549">
        <f t="shared" si="5"/>
        <v>-13011.600000000006</v>
      </c>
      <c r="H67" s="536">
        <f>G67+'30'!H67</f>
        <v>-71627.38</v>
      </c>
      <c r="I67" s="565"/>
      <c r="J67" s="629">
        <f>H67/DAY(B2)</f>
        <v>-71627.38</v>
      </c>
      <c r="K67" s="468"/>
      <c r="L67" s="408"/>
      <c r="N67" s="479">
        <f>H67-'1'!E67</f>
        <v>-239868.73</v>
      </c>
      <c r="O67" s="413"/>
    </row>
    <row r="68" spans="1:15" ht="27.75">
      <c r="A68" s="1367" t="s">
        <v>111</v>
      </c>
      <c r="B68" s="1368"/>
      <c r="C68" s="1369"/>
      <c r="D68" s="599" t="s">
        <v>198</v>
      </c>
      <c r="E68" s="531">
        <f>'30'!F68</f>
        <v>24601.942999999999</v>
      </c>
      <c r="F68" s="560">
        <v>16650.509999999998</v>
      </c>
      <c r="G68" s="549">
        <f t="shared" si="5"/>
        <v>-7951.4330000000009</v>
      </c>
      <c r="H68" s="536">
        <f>G68+'30'!H68</f>
        <v>-36973.39</v>
      </c>
      <c r="I68" s="592"/>
      <c r="J68" s="629">
        <f>H68/DAY(B2)</f>
        <v>-36973.39</v>
      </c>
      <c r="K68" s="469"/>
      <c r="L68" s="408"/>
      <c r="N68" s="479">
        <f>H68-'1'!E68</f>
        <v>-90597.290000000008</v>
      </c>
      <c r="O68" s="413"/>
    </row>
    <row r="69" spans="1:15" ht="27.75">
      <c r="A69" s="1367" t="s">
        <v>112</v>
      </c>
      <c r="B69" s="1368"/>
      <c r="C69" s="1369"/>
      <c r="D69" s="599" t="s">
        <v>198</v>
      </c>
      <c r="E69" s="531">
        <f>'30'!F69</f>
        <v>22940.190999999999</v>
      </c>
      <c r="F69" s="560">
        <v>22398.71</v>
      </c>
      <c r="G69" s="549">
        <f t="shared" si="5"/>
        <v>-541.48099999999977</v>
      </c>
      <c r="H69" s="536">
        <f>G69+'30'!H69</f>
        <v>-24120.720000000001</v>
      </c>
      <c r="I69" s="592"/>
      <c r="J69" s="629">
        <f>H69/DAY(B2)</f>
        <v>-24120.720000000001</v>
      </c>
      <c r="K69" s="470"/>
      <c r="L69" s="408"/>
      <c r="N69" s="479">
        <f>H69-'1'!E69</f>
        <v>-70640.149999999994</v>
      </c>
      <c r="O69" s="413"/>
    </row>
    <row r="70" spans="1:15" ht="27.75">
      <c r="A70" s="1391" t="s">
        <v>200</v>
      </c>
      <c r="B70" s="1392"/>
      <c r="C70" s="1393"/>
      <c r="D70" s="599" t="s">
        <v>198</v>
      </c>
      <c r="E70" s="594"/>
      <c r="F70" s="594"/>
      <c r="G70" s="594"/>
      <c r="H70" s="536">
        <f>G70+'30'!H70</f>
        <v>0</v>
      </c>
      <c r="I70" s="594"/>
      <c r="J70" s="633"/>
      <c r="K70" s="470"/>
      <c r="L70" s="408"/>
      <c r="N70" s="479">
        <f>H70-'1'!E70</f>
        <v>0</v>
      </c>
      <c r="O70" s="413"/>
    </row>
    <row r="71" spans="1:15" ht="31.5">
      <c r="A71" s="1370" t="s">
        <v>201</v>
      </c>
      <c r="B71" s="1371"/>
      <c r="C71" s="1371"/>
      <c r="D71" s="1371"/>
      <c r="E71" s="1371"/>
      <c r="F71" s="1371"/>
      <c r="G71" s="1371"/>
      <c r="H71" s="1371"/>
      <c r="I71" s="1371"/>
      <c r="J71" s="1372"/>
      <c r="K71" s="469"/>
      <c r="L71" s="408"/>
      <c r="N71" s="479">
        <f>H71-'1'!E71</f>
        <v>0</v>
      </c>
      <c r="O71" s="413"/>
    </row>
    <row r="72" spans="1:15" ht="27.75">
      <c r="A72" s="1367" t="s">
        <v>202</v>
      </c>
      <c r="B72" s="1368"/>
      <c r="C72" s="1369"/>
      <c r="D72" s="599" t="s">
        <v>198</v>
      </c>
      <c r="E72" s="531">
        <f>'30'!F72</f>
        <v>843676</v>
      </c>
      <c r="F72" s="595">
        <v>843266</v>
      </c>
      <c r="G72" s="549">
        <f t="shared" ref="G72:G84" si="6">F72-E72</f>
        <v>-410</v>
      </c>
      <c r="H72" s="536">
        <f>G72+'30'!H72</f>
        <v>-3200</v>
      </c>
      <c r="I72" s="556"/>
      <c r="J72" s="629">
        <f>H72/DAY(B2)</f>
        <v>-3200</v>
      </c>
      <c r="K72" s="470"/>
      <c r="L72" s="408"/>
      <c r="N72" s="479">
        <f>H72-'1'!E72</f>
        <v>-849600</v>
      </c>
      <c r="O72" s="413"/>
    </row>
    <row r="73" spans="1:15" ht="27.75">
      <c r="A73" s="1367" t="s">
        <v>203</v>
      </c>
      <c r="B73" s="1368"/>
      <c r="C73" s="1369"/>
      <c r="D73" s="599" t="s">
        <v>198</v>
      </c>
      <c r="E73" s="531">
        <f>'30'!F73</f>
        <v>885178</v>
      </c>
      <c r="F73" s="596">
        <v>885145</v>
      </c>
      <c r="G73" s="549">
        <f t="shared" si="6"/>
        <v>-33</v>
      </c>
      <c r="H73" s="536">
        <f>G73+'30'!H73</f>
        <v>364</v>
      </c>
      <c r="I73" s="556"/>
      <c r="J73" s="629">
        <f>H73/DAY(B2)</f>
        <v>364</v>
      </c>
      <c r="K73" s="469"/>
      <c r="L73" s="408"/>
      <c r="N73" s="479">
        <f>H73-'1'!E73</f>
        <v>-885309</v>
      </c>
      <c r="O73" s="413"/>
    </row>
    <row r="74" spans="1:15" ht="27.75">
      <c r="A74" s="1367" t="s">
        <v>204</v>
      </c>
      <c r="B74" s="1368"/>
      <c r="C74" s="1369"/>
      <c r="D74" s="599" t="s">
        <v>198</v>
      </c>
      <c r="E74" s="531">
        <f>'30'!F74</f>
        <v>879133</v>
      </c>
      <c r="F74" s="597">
        <v>878667</v>
      </c>
      <c r="G74" s="549">
        <f t="shared" si="6"/>
        <v>-466</v>
      </c>
      <c r="H74" s="536">
        <f>G74+'30'!H74</f>
        <v>-2648</v>
      </c>
      <c r="I74" s="556"/>
      <c r="J74" s="629">
        <f>H74/DAY(B2)</f>
        <v>-2648</v>
      </c>
      <c r="K74" s="470"/>
      <c r="L74" s="408"/>
      <c r="N74" s="479">
        <f>H74-'1'!E74</f>
        <v>-883963</v>
      </c>
      <c r="O74" s="413"/>
    </row>
    <row r="75" spans="1:15" ht="27.75">
      <c r="A75" s="1364" t="s">
        <v>205</v>
      </c>
      <c r="B75" s="1365"/>
      <c r="C75" s="1366"/>
      <c r="D75" s="599" t="s">
        <v>198</v>
      </c>
      <c r="E75" s="531">
        <f>'30'!F75</f>
        <v>717374</v>
      </c>
      <c r="F75" s="597">
        <v>716633</v>
      </c>
      <c r="G75" s="549">
        <f t="shared" si="6"/>
        <v>-741</v>
      </c>
      <c r="H75" s="536">
        <f>G75+'30'!H75</f>
        <v>-15008</v>
      </c>
      <c r="I75" s="556"/>
      <c r="J75" s="629">
        <f>H75/DAY(B2)</f>
        <v>-15008</v>
      </c>
      <c r="K75" s="469"/>
      <c r="L75" s="408"/>
      <c r="N75" s="479">
        <f>H75-'1'!E75</f>
        <v>-746649</v>
      </c>
      <c r="O75" s="413"/>
    </row>
    <row r="76" spans="1:15" ht="27.75">
      <c r="A76" s="1364" t="s">
        <v>206</v>
      </c>
      <c r="B76" s="1365"/>
      <c r="C76" s="1366"/>
      <c r="D76" s="599" t="s">
        <v>198</v>
      </c>
      <c r="E76" s="531">
        <f>'30'!F76</f>
        <v>678015</v>
      </c>
      <c r="F76" s="596">
        <v>677956</v>
      </c>
      <c r="G76" s="549">
        <f t="shared" si="6"/>
        <v>-59</v>
      </c>
      <c r="H76" s="536">
        <f>G76+'30'!H76</f>
        <v>-5143</v>
      </c>
      <c r="I76" s="581"/>
      <c r="J76" s="629">
        <f>H76/DAY(B2)</f>
        <v>-5143</v>
      </c>
      <c r="K76" s="469"/>
      <c r="L76" s="408"/>
      <c r="N76" s="479">
        <f>H76-'1'!E76</f>
        <v>-689409</v>
      </c>
      <c r="O76" s="413"/>
    </row>
    <row r="77" spans="1:15" ht="27.75">
      <c r="A77" s="1367" t="s">
        <v>207</v>
      </c>
      <c r="B77" s="1368"/>
      <c r="C77" s="1369"/>
      <c r="D77" s="599" t="s">
        <v>198</v>
      </c>
      <c r="E77" s="531">
        <f>'30'!F77</f>
        <v>690871</v>
      </c>
      <c r="F77" s="597">
        <v>689541</v>
      </c>
      <c r="G77" s="549">
        <f t="shared" si="6"/>
        <v>-1330</v>
      </c>
      <c r="H77" s="536">
        <f>G77+'30'!H77</f>
        <v>-5853</v>
      </c>
      <c r="I77" s="581"/>
      <c r="J77" s="629">
        <f>H77/DAY(B2)</f>
        <v>-5853</v>
      </c>
      <c r="K77" s="469"/>
      <c r="L77" s="408"/>
      <c r="N77" s="479">
        <f>H77-'1'!E77</f>
        <v>-701247</v>
      </c>
      <c r="O77" s="413"/>
    </row>
    <row r="78" spans="1:15" ht="27.75">
      <c r="A78" s="1255" t="s">
        <v>208</v>
      </c>
      <c r="B78" s="1226"/>
      <c r="C78" s="1226"/>
      <c r="D78" s="599" t="s">
        <v>198</v>
      </c>
      <c r="E78" s="531">
        <f>'30'!F78</f>
        <v>601708</v>
      </c>
      <c r="F78" s="597">
        <v>599737</v>
      </c>
      <c r="G78" s="549">
        <f t="shared" si="6"/>
        <v>-1971</v>
      </c>
      <c r="H78" s="536">
        <f>G78+'30'!H78</f>
        <v>-31036</v>
      </c>
      <c r="I78" s="581"/>
      <c r="J78" s="629">
        <f>H78/DAY(B2)</f>
        <v>-31036</v>
      </c>
      <c r="K78" s="469"/>
      <c r="L78" s="408"/>
      <c r="N78" s="479">
        <f>H78-'1'!E78</f>
        <v>-661809</v>
      </c>
      <c r="O78" s="413"/>
    </row>
    <row r="79" spans="1:15" ht="27.75">
      <c r="A79" s="1364" t="s">
        <v>97</v>
      </c>
      <c r="B79" s="1365"/>
      <c r="C79" s="1366"/>
      <c r="D79" s="600" t="s">
        <v>198</v>
      </c>
      <c r="E79" s="531">
        <f>'30'!F79</f>
        <v>788182</v>
      </c>
      <c r="F79" s="597">
        <v>784196</v>
      </c>
      <c r="G79" s="549">
        <f t="shared" si="6"/>
        <v>-3986</v>
      </c>
      <c r="H79" s="536">
        <f>G79+'30'!H79</f>
        <v>-17575</v>
      </c>
      <c r="I79" s="581"/>
      <c r="J79" s="629">
        <f>H79/DAY(B2)</f>
        <v>-17575</v>
      </c>
      <c r="K79" s="469"/>
      <c r="L79" s="408"/>
      <c r="N79" s="479">
        <f>H79-'1'!E79</f>
        <v>-821418</v>
      </c>
      <c r="O79" s="413"/>
    </row>
    <row r="80" spans="1:15" ht="27.75">
      <c r="A80" s="1364" t="s">
        <v>209</v>
      </c>
      <c r="B80" s="1365"/>
      <c r="C80" s="1366"/>
      <c r="D80" s="600" t="s">
        <v>198</v>
      </c>
      <c r="E80" s="531">
        <f>'30'!F80</f>
        <v>448900.76</v>
      </c>
      <c r="F80" s="596">
        <v>442000</v>
      </c>
      <c r="G80" s="549">
        <f t="shared" si="6"/>
        <v>-6900.7600000000093</v>
      </c>
      <c r="H80" s="536">
        <f>G80+'30'!H80</f>
        <v>-35211.840000000026</v>
      </c>
      <c r="I80" s="581"/>
      <c r="J80" s="629">
        <f>H80/DAY(B2)</f>
        <v>-35211.840000000026</v>
      </c>
      <c r="K80" s="469"/>
      <c r="L80" s="408"/>
      <c r="N80" s="479">
        <f>H80-'1'!E80</f>
        <v>-510742.84</v>
      </c>
      <c r="O80" s="413"/>
    </row>
    <row r="81" spans="1:15" ht="27.75">
      <c r="A81" s="1364" t="s">
        <v>210</v>
      </c>
      <c r="B81" s="1365"/>
      <c r="C81" s="1366"/>
      <c r="D81" s="600" t="s">
        <v>198</v>
      </c>
      <c r="E81" s="531">
        <f>'30'!F81</f>
        <v>607544.4</v>
      </c>
      <c r="F81" s="596">
        <v>603853</v>
      </c>
      <c r="G81" s="549">
        <f t="shared" si="6"/>
        <v>-3691.4000000000233</v>
      </c>
      <c r="H81" s="536">
        <f>G81+'30'!H81</f>
        <v>-15401</v>
      </c>
      <c r="I81" s="581"/>
      <c r="J81" s="629">
        <f>H81/DAY(B2)</f>
        <v>-15401</v>
      </c>
      <c r="K81" s="469"/>
      <c r="L81" s="408"/>
      <c r="N81" s="479">
        <f>H81-'1'!E81</f>
        <v>-634655</v>
      </c>
      <c r="O81" s="413"/>
    </row>
    <row r="82" spans="1:15" ht="27.75">
      <c r="A82" s="1364" t="s">
        <v>100</v>
      </c>
      <c r="B82" s="1365"/>
      <c r="C82" s="1366"/>
      <c r="D82" s="561" t="s">
        <v>143</v>
      </c>
      <c r="E82" s="531">
        <f>'30'!F82</f>
        <v>102422.18</v>
      </c>
      <c r="F82" s="598">
        <v>101826</v>
      </c>
      <c r="G82" s="549">
        <f t="shared" si="6"/>
        <v>-596.17999999999302</v>
      </c>
      <c r="H82" s="536">
        <f>G82+'30'!H82</f>
        <v>-2612</v>
      </c>
      <c r="I82" s="562"/>
      <c r="J82" s="629">
        <f>H82/DAY(B2)</f>
        <v>-2612</v>
      </c>
      <c r="K82" s="469"/>
      <c r="L82" s="408"/>
      <c r="N82" s="479">
        <f>H82-'1'!E82</f>
        <v>-107050</v>
      </c>
      <c r="O82" s="413"/>
    </row>
    <row r="83" spans="1:15" ht="27.75">
      <c r="A83" s="1364" t="s">
        <v>211</v>
      </c>
      <c r="B83" s="1365"/>
      <c r="C83" s="1366"/>
      <c r="D83" s="697" t="s">
        <v>143</v>
      </c>
      <c r="E83" s="531">
        <f>'30'!F83</f>
        <v>944076</v>
      </c>
      <c r="F83" s="587">
        <v>937743</v>
      </c>
      <c r="G83" s="549">
        <f t="shared" si="6"/>
        <v>-6333</v>
      </c>
      <c r="H83" s="536">
        <f>G83+'30'!H83</f>
        <v>-35728</v>
      </c>
      <c r="I83" s="557"/>
      <c r="J83" s="629">
        <f>H83/DAY(B2)</f>
        <v>-35728</v>
      </c>
      <c r="K83" s="468"/>
      <c r="L83" s="408"/>
      <c r="N83" s="479">
        <f>H83-'1'!E83</f>
        <v>-1009199</v>
      </c>
      <c r="O83" s="413"/>
    </row>
    <row r="84" spans="1:15" ht="29.25">
      <c r="A84" s="1256" t="s">
        <v>212</v>
      </c>
      <c r="B84" s="648"/>
      <c r="C84" s="648"/>
      <c r="D84" s="554" t="s">
        <v>143</v>
      </c>
      <c r="E84" s="531">
        <f>'30'!F84</f>
        <v>350985</v>
      </c>
      <c r="F84" s="704">
        <v>336915</v>
      </c>
      <c r="G84" s="549">
        <f t="shared" si="6"/>
        <v>-14070</v>
      </c>
      <c r="H84" s="536">
        <f>G84+'30'!H84</f>
        <v>-60281</v>
      </c>
      <c r="I84" s="557"/>
      <c r="J84" s="629">
        <f>H84/DAY(B2)</f>
        <v>-60281</v>
      </c>
      <c r="K84" s="411"/>
      <c r="L84" s="408"/>
      <c r="N84" s="479">
        <f>H84-'1'!E84</f>
        <v>-457477</v>
      </c>
      <c r="O84" s="413"/>
    </row>
    <row r="85" spans="1:15" s="410" customFormat="1" ht="29.25">
      <c r="A85" s="682" t="s">
        <v>213</v>
      </c>
      <c r="B85" s="649"/>
      <c r="C85" s="649"/>
      <c r="D85" s="565"/>
      <c r="E85" s="599"/>
      <c r="F85" s="599"/>
      <c r="G85" s="536">
        <f xml:space="preserve"> SUM(G72:G84)</f>
        <v>-40587.340000000026</v>
      </c>
      <c r="H85" s="536">
        <f>G85+'30'!H85</f>
        <v>-233563</v>
      </c>
      <c r="I85" s="557"/>
      <c r="J85" s="629">
        <f>H85/DAY(B2)</f>
        <v>-233563</v>
      </c>
      <c r="K85" s="411"/>
      <c r="L85" s="409"/>
      <c r="N85" s="479">
        <f>H85-'1'!E85</f>
        <v>-233563</v>
      </c>
      <c r="O85" s="413"/>
    </row>
    <row r="86" spans="1:15" s="835" customFormat="1" ht="29.25">
      <c r="A86" s="830" t="s">
        <v>102</v>
      </c>
      <c r="B86" s="831"/>
      <c r="C86" s="831"/>
      <c r="D86" s="832" t="s">
        <v>194</v>
      </c>
      <c r="E86" s="531">
        <f>'30'!F86</f>
        <v>432846.52</v>
      </c>
      <c r="F86" s="728">
        <v>427006.84</v>
      </c>
      <c r="G86" s="805">
        <f t="shared" ref="G86:G90" si="7">F86-E86</f>
        <v>-5839.679999999993</v>
      </c>
      <c r="H86" s="536">
        <f>G86+'30'!H86</f>
        <v>-19881.159999999974</v>
      </c>
      <c r="I86" s="733"/>
      <c r="J86" s="807">
        <f>H86/DAY(B2)</f>
        <v>-19881.159999999974</v>
      </c>
      <c r="K86" s="833"/>
      <c r="L86" s="834"/>
      <c r="N86" s="479">
        <f>H86-'1'!E86</f>
        <v>-464190.16</v>
      </c>
      <c r="O86" s="813"/>
    </row>
    <row r="87" spans="1:15" s="835" customFormat="1" ht="29.25">
      <c r="A87" s="830" t="s">
        <v>103</v>
      </c>
      <c r="B87" s="831"/>
      <c r="C87" s="831"/>
      <c r="D87" s="832" t="s">
        <v>194</v>
      </c>
      <c r="E87" s="531">
        <f>'30'!F87</f>
        <v>75262.100000000006</v>
      </c>
      <c r="F87" s="728">
        <v>74477.600000000006</v>
      </c>
      <c r="G87" s="805">
        <f t="shared" si="7"/>
        <v>-784.5</v>
      </c>
      <c r="H87" s="536">
        <f>G87+'30'!H87</f>
        <v>-3933.3999999999942</v>
      </c>
      <c r="I87" s="733"/>
      <c r="J87" s="807">
        <f>H87/DAY(B2)</f>
        <v>-3933.3999999999942</v>
      </c>
      <c r="K87" s="833"/>
      <c r="L87" s="834"/>
      <c r="N87" s="479">
        <f>H87-'1'!E87</f>
        <v>-81676.399999999994</v>
      </c>
      <c r="O87" s="813"/>
    </row>
    <row r="88" spans="1:15" s="835" customFormat="1" ht="29.25">
      <c r="A88" s="830" t="s">
        <v>104</v>
      </c>
      <c r="B88" s="831"/>
      <c r="C88" s="831"/>
      <c r="D88" s="832" t="s">
        <v>194</v>
      </c>
      <c r="E88" s="531">
        <f>'30'!F88</f>
        <v>137891.53</v>
      </c>
      <c r="F88" s="728">
        <v>135303</v>
      </c>
      <c r="G88" s="805">
        <f t="shared" si="7"/>
        <v>-2588.5299999999988</v>
      </c>
      <c r="H88" s="536">
        <f>G88+'30'!H88</f>
        <v>-11079.950000000012</v>
      </c>
      <c r="I88" s="733"/>
      <c r="J88" s="807">
        <f>H88/DAY(B2)</f>
        <v>-11079.950000000012</v>
      </c>
      <c r="K88" s="833"/>
      <c r="L88" s="834"/>
      <c r="N88" s="479">
        <f>H88-'1'!E88</f>
        <v>-155626.95000000001</v>
      </c>
      <c r="O88" s="813"/>
    </row>
    <row r="89" spans="1:15" s="835" customFormat="1" ht="29.25">
      <c r="A89" s="830" t="s">
        <v>215</v>
      </c>
      <c r="B89" s="831"/>
      <c r="C89" s="831"/>
      <c r="D89" s="832" t="s">
        <v>194</v>
      </c>
      <c r="E89" s="531">
        <f>'30'!F89</f>
        <v>52355.7</v>
      </c>
      <c r="F89" s="728">
        <v>49989.9</v>
      </c>
      <c r="G89" s="805">
        <f t="shared" si="7"/>
        <v>-2365.7999999999956</v>
      </c>
      <c r="H89" s="536">
        <f>G89+'30'!H89</f>
        <v>-9680.9000000000015</v>
      </c>
      <c r="I89" s="733"/>
      <c r="J89" s="807">
        <f>H89/DAY(B2)</f>
        <v>-9680.9000000000015</v>
      </c>
      <c r="K89" s="833"/>
      <c r="L89" s="834"/>
      <c r="N89" s="479">
        <f>H89-'1'!E89</f>
        <v>-67370</v>
      </c>
      <c r="O89" s="413"/>
    </row>
    <row r="90" spans="1:15" s="835" customFormat="1" ht="29.25">
      <c r="A90" s="830" t="s">
        <v>215</v>
      </c>
      <c r="B90" s="831"/>
      <c r="C90" s="831"/>
      <c r="D90" s="832" t="s">
        <v>194</v>
      </c>
      <c r="E90" s="531">
        <f>'30'!F90</f>
        <v>2699.1</v>
      </c>
      <c r="F90" s="728">
        <v>2639.9</v>
      </c>
      <c r="G90" s="805">
        <f t="shared" si="7"/>
        <v>-59.199999999999818</v>
      </c>
      <c r="H90" s="536">
        <f>G90+'30'!H90</f>
        <v>-422</v>
      </c>
      <c r="I90" s="733"/>
      <c r="J90" s="807">
        <f>H90/DAY(B2)</f>
        <v>-422</v>
      </c>
      <c r="K90" s="833"/>
      <c r="L90" s="834"/>
      <c r="N90" s="479">
        <f>H90-'1'!E90</f>
        <v>-3404.6</v>
      </c>
      <c r="O90" s="413"/>
    </row>
    <row r="91" spans="1:15" s="410" customFormat="1" ht="29.25">
      <c r="A91" s="683" t="s">
        <v>216</v>
      </c>
      <c r="B91" s="1258"/>
      <c r="C91" s="1258"/>
      <c r="D91" s="548"/>
      <c r="E91" s="548"/>
      <c r="F91" s="548"/>
      <c r="G91" s="564"/>
      <c r="H91" s="548"/>
      <c r="I91" s="548"/>
      <c r="J91" s="628"/>
      <c r="K91" s="411"/>
      <c r="L91" s="409"/>
      <c r="N91" s="479">
        <f>H91-'1'!E91</f>
        <v>0</v>
      </c>
      <c r="O91" s="413"/>
    </row>
    <row r="92" spans="1:15" ht="27.75">
      <c r="A92" s="1388" t="s">
        <v>217</v>
      </c>
      <c r="B92" s="1389"/>
      <c r="C92" s="1390"/>
      <c r="D92" s="599" t="s">
        <v>155</v>
      </c>
      <c r="E92" s="531">
        <f>'30'!F92</f>
        <v>227382</v>
      </c>
      <c r="F92" s="560">
        <v>226639</v>
      </c>
      <c r="G92" s="549">
        <f t="shared" ref="G92:G93" si="8">F92-E92</f>
        <v>-743</v>
      </c>
      <c r="H92" s="536">
        <f>G92+'30'!H92</f>
        <v>-7263</v>
      </c>
      <c r="I92" s="556"/>
      <c r="J92" s="629">
        <f>H92/DAY(B2)</f>
        <v>-7263</v>
      </c>
      <c r="K92" s="468"/>
      <c r="L92" s="408"/>
      <c r="N92" s="479">
        <f>H92-'1'!E92</f>
        <v>-241165</v>
      </c>
      <c r="O92" s="413"/>
    </row>
    <row r="93" spans="1:15" ht="27.75">
      <c r="A93" s="1388" t="s">
        <v>218</v>
      </c>
      <c r="B93" s="1389"/>
      <c r="C93" s="1390"/>
      <c r="D93" s="599" t="s">
        <v>155</v>
      </c>
      <c r="E93" s="531">
        <f>'30'!F93</f>
        <v>155071</v>
      </c>
      <c r="F93" s="560">
        <v>152742</v>
      </c>
      <c r="G93" s="549">
        <f t="shared" si="8"/>
        <v>-2329</v>
      </c>
      <c r="H93" s="536">
        <f>G93+'30'!H93</f>
        <v>-14174</v>
      </c>
      <c r="I93" s="556"/>
      <c r="J93" s="629">
        <f>H93/DAY(B2)</f>
        <v>-14174</v>
      </c>
      <c r="K93" s="411"/>
      <c r="L93" s="408"/>
      <c r="N93" s="479">
        <f>H93-'1'!E93</f>
        <v>-181090</v>
      </c>
      <c r="O93" s="413"/>
    </row>
    <row r="94" spans="1:15" ht="29.25">
      <c r="A94" s="1419" t="s">
        <v>219</v>
      </c>
      <c r="B94" s="1420"/>
      <c r="C94" s="1421"/>
      <c r="D94" s="599"/>
      <c r="E94" s="560"/>
      <c r="F94" s="560"/>
      <c r="G94" s="549">
        <f>G92+G93</f>
        <v>-3072</v>
      </c>
      <c r="H94" s="536">
        <f>G94+'30'!H94</f>
        <v>-21711</v>
      </c>
      <c r="I94" s="556"/>
      <c r="J94" s="629">
        <f>H94/DAY(B2)</f>
        <v>-21711</v>
      </c>
      <c r="K94" s="411"/>
      <c r="L94" s="408"/>
      <c r="N94" s="479">
        <f>H94-'1'!E94</f>
        <v>-21711</v>
      </c>
      <c r="O94" s="413"/>
    </row>
    <row r="95" spans="1:15" ht="27.75">
      <c r="A95" s="1388" t="s">
        <v>220</v>
      </c>
      <c r="B95" s="1389"/>
      <c r="C95" s="1390"/>
      <c r="D95" s="599" t="s">
        <v>155</v>
      </c>
      <c r="E95" s="531">
        <f>'30'!F95</f>
        <v>398400</v>
      </c>
      <c r="F95" s="560">
        <v>397158</v>
      </c>
      <c r="G95" s="549">
        <f t="shared" ref="G95:G100" si="9">F95-E95</f>
        <v>-1242</v>
      </c>
      <c r="H95" s="536">
        <f>G95+'30'!H95</f>
        <v>-6507</v>
      </c>
      <c r="I95" s="556"/>
      <c r="J95" s="629">
        <f>H95/DAY(B2)</f>
        <v>-6507</v>
      </c>
      <c r="K95" s="411"/>
      <c r="L95" s="408"/>
      <c r="N95" s="479">
        <f>H95-'1'!E95</f>
        <v>-410172</v>
      </c>
      <c r="O95" s="413"/>
    </row>
    <row r="96" spans="1:15" ht="27.75">
      <c r="A96" s="1252" t="s">
        <v>221</v>
      </c>
      <c r="B96" s="1253"/>
      <c r="C96" s="1253"/>
      <c r="D96" s="599" t="s">
        <v>155</v>
      </c>
      <c r="E96" s="531">
        <f>'30'!F96</f>
        <v>97522</v>
      </c>
      <c r="F96" s="560">
        <v>97152</v>
      </c>
      <c r="G96" s="549">
        <f t="shared" si="9"/>
        <v>-370</v>
      </c>
      <c r="H96" s="536">
        <f>G96+'30'!H96</f>
        <v>-2769</v>
      </c>
      <c r="I96" s="556"/>
      <c r="J96" s="629">
        <f>H96/DAY(B2)</f>
        <v>-2769</v>
      </c>
      <c r="K96" s="466"/>
      <c r="L96" s="408"/>
      <c r="N96" s="479">
        <f>H96-'1'!E96</f>
        <v>-102690</v>
      </c>
      <c r="O96" s="413"/>
    </row>
    <row r="97" spans="1:15" ht="27.75">
      <c r="A97" s="1252" t="s">
        <v>222</v>
      </c>
      <c r="B97" s="1253"/>
      <c r="C97" s="1253"/>
      <c r="D97" s="599" t="s">
        <v>155</v>
      </c>
      <c r="E97" s="531">
        <f>'30'!F97</f>
        <v>93103</v>
      </c>
      <c r="F97" s="560">
        <v>92659</v>
      </c>
      <c r="G97" s="549">
        <f t="shared" si="9"/>
        <v>-444</v>
      </c>
      <c r="H97" s="536">
        <f>G97+'30'!H97</f>
        <v>-2368</v>
      </c>
      <c r="I97" s="556"/>
      <c r="J97" s="629">
        <f>H97/DAY(B2)</f>
        <v>-2368</v>
      </c>
      <c r="K97" s="471"/>
      <c r="L97" s="408"/>
      <c r="N97" s="479">
        <f>H97-'1'!E97</f>
        <v>-97395</v>
      </c>
      <c r="O97" s="413"/>
    </row>
    <row r="98" spans="1:15" ht="27.75">
      <c r="A98" s="1252" t="s">
        <v>223</v>
      </c>
      <c r="B98" s="1253"/>
      <c r="C98" s="1253"/>
      <c r="D98" s="599" t="s">
        <v>155</v>
      </c>
      <c r="E98" s="531">
        <f>'30'!F98</f>
        <v>139755</v>
      </c>
      <c r="F98" s="560">
        <v>139578</v>
      </c>
      <c r="G98" s="549">
        <f t="shared" si="9"/>
        <v>-177</v>
      </c>
      <c r="H98" s="536">
        <f>G98+'30'!H98</f>
        <v>-4229</v>
      </c>
      <c r="I98" s="556"/>
      <c r="J98" s="629">
        <f>H98/DAY(B2)</f>
        <v>-4229</v>
      </c>
      <c r="K98" s="411"/>
      <c r="L98" s="408"/>
      <c r="N98" s="479">
        <f>H98-'1'!E98</f>
        <v>-148036</v>
      </c>
      <c r="O98" s="413"/>
    </row>
    <row r="99" spans="1:15" ht="27.75">
      <c r="A99" s="1252" t="s">
        <v>224</v>
      </c>
      <c r="B99" s="1253"/>
      <c r="C99" s="1253"/>
      <c r="D99" s="599" t="s">
        <v>155</v>
      </c>
      <c r="E99" s="531">
        <f>'30'!F99</f>
        <v>4470</v>
      </c>
      <c r="F99" s="560">
        <v>4286</v>
      </c>
      <c r="G99" s="549">
        <f t="shared" si="9"/>
        <v>-184</v>
      </c>
      <c r="H99" s="536">
        <f>G99+'30'!H99</f>
        <v>-1216</v>
      </c>
      <c r="I99" s="556"/>
      <c r="J99" s="629">
        <f>H99/DAY(B2)</f>
        <v>-1216</v>
      </c>
      <c r="K99" s="411"/>
      <c r="L99" s="408"/>
      <c r="N99" s="479">
        <f>H99-'1'!E99</f>
        <v>-6718</v>
      </c>
      <c r="O99" s="413"/>
    </row>
    <row r="100" spans="1:15" ht="27.75">
      <c r="A100" s="1252" t="s">
        <v>225</v>
      </c>
      <c r="B100" s="1253"/>
      <c r="C100" s="1253"/>
      <c r="D100" s="599" t="s">
        <v>155</v>
      </c>
      <c r="E100" s="531">
        <f>'30'!F100</f>
        <v>3674</v>
      </c>
      <c r="F100" s="560">
        <v>3674</v>
      </c>
      <c r="G100" s="549">
        <f t="shared" si="9"/>
        <v>0</v>
      </c>
      <c r="H100" s="536">
        <f>G100+'30'!H100</f>
        <v>-290</v>
      </c>
      <c r="I100" s="556"/>
      <c r="J100" s="629">
        <f>H100/DAY(B2)</f>
        <v>-290</v>
      </c>
      <c r="K100" s="411"/>
      <c r="L100" s="408"/>
      <c r="N100" s="479">
        <f>H100-'1'!E100</f>
        <v>-4254</v>
      </c>
      <c r="O100" s="413"/>
    </row>
    <row r="101" spans="1:15" ht="29.25">
      <c r="A101" s="1419" t="s">
        <v>227</v>
      </c>
      <c r="B101" s="1420"/>
      <c r="C101" s="1421"/>
      <c r="D101" s="600"/>
      <c r="E101" s="600"/>
      <c r="F101" s="600"/>
      <c r="G101" s="601">
        <f>SUM(G95:G100)</f>
        <v>-2417</v>
      </c>
      <c r="H101" s="536">
        <f>G101+'30'!H101</f>
        <v>-17379</v>
      </c>
      <c r="I101" s="602"/>
      <c r="J101" s="629">
        <f>H101/DAY(B2)</f>
        <v>-17379</v>
      </c>
      <c r="K101" s="411"/>
      <c r="L101" s="408"/>
      <c r="N101" s="479">
        <f>H101-'1'!E101</f>
        <v>-17379</v>
      </c>
      <c r="O101" s="413"/>
    </row>
    <row r="102" spans="1:15" s="481" customFormat="1" ht="27">
      <c r="A102" s="684" t="s">
        <v>228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79">
        <f>H102-'1'!E102</f>
        <v>0</v>
      </c>
      <c r="O102" s="413"/>
    </row>
    <row r="103" spans="1:15" s="481" customFormat="1" ht="27.75">
      <c r="A103" s="1422" t="s">
        <v>229</v>
      </c>
      <c r="B103" s="1423"/>
      <c r="C103" s="650"/>
      <c r="D103" s="699"/>
      <c r="E103" s="608"/>
      <c r="F103" s="608"/>
      <c r="G103" s="608"/>
      <c r="H103" s="609"/>
      <c r="I103" s="608"/>
      <c r="J103" s="635"/>
      <c r="N103" s="479">
        <f>H103-'1'!E103</f>
        <v>0</v>
      </c>
      <c r="O103" s="413"/>
    </row>
    <row r="104" spans="1:15" s="481" customFormat="1" ht="27.75">
      <c r="A104" s="1380" t="s">
        <v>230</v>
      </c>
      <c r="B104" s="1381"/>
      <c r="C104" s="1250"/>
      <c r="D104" s="699" t="s">
        <v>155</v>
      </c>
      <c r="E104" s="608">
        <f>'30'!F104</f>
        <v>7010</v>
      </c>
      <c r="F104" s="608">
        <v>7010</v>
      </c>
      <c r="G104" s="608">
        <f>F104-E104</f>
        <v>0</v>
      </c>
      <c r="H104" s="536">
        <f>G104+'30'!H104</f>
        <v>98</v>
      </c>
      <c r="I104" s="608"/>
      <c r="J104" s="635">
        <f>H104/DAY(B2)</f>
        <v>98</v>
      </c>
      <c r="N104" s="479">
        <f>H104-'1'!E104</f>
        <v>-6912</v>
      </c>
      <c r="O104" s="413"/>
    </row>
    <row r="105" spans="1:15" s="481" customFormat="1" ht="27.75">
      <c r="A105" s="1380" t="s">
        <v>77</v>
      </c>
      <c r="B105" s="1381"/>
      <c r="C105" s="1250"/>
      <c r="D105" s="699" t="s">
        <v>155</v>
      </c>
      <c r="E105" s="608">
        <f>'30'!F105</f>
        <v>34408</v>
      </c>
      <c r="F105" s="610">
        <v>34308</v>
      </c>
      <c r="G105" s="608">
        <f t="shared" ref="G105:G106" si="10">F105-E105</f>
        <v>-100</v>
      </c>
      <c r="H105" s="536">
        <f>G105+'30'!H105</f>
        <v>-777</v>
      </c>
      <c r="I105" s="608"/>
      <c r="J105" s="635">
        <f>H105/DAY(B2)</f>
        <v>-777</v>
      </c>
      <c r="N105" s="479">
        <f>H105-'1'!E105</f>
        <v>-35702</v>
      </c>
      <c r="O105" s="413"/>
    </row>
    <row r="106" spans="1:15" s="481" customFormat="1" ht="27.75">
      <c r="A106" s="1380" t="s">
        <v>78</v>
      </c>
      <c r="B106" s="1424"/>
      <c r="C106" s="1381"/>
      <c r="D106" s="699" t="s">
        <v>155</v>
      </c>
      <c r="E106" s="608">
        <f>'30'!F106</f>
        <v>18524</v>
      </c>
      <c r="F106" s="608">
        <v>18444</v>
      </c>
      <c r="G106" s="608">
        <f t="shared" si="10"/>
        <v>-80</v>
      </c>
      <c r="H106" s="536">
        <f>G106+'30'!H106</f>
        <v>-257</v>
      </c>
      <c r="I106" s="608"/>
      <c r="J106" s="635">
        <f>H106/DAY(B2)</f>
        <v>-257</v>
      </c>
      <c r="N106" s="479">
        <f>H106-'1'!E106</f>
        <v>-19146</v>
      </c>
      <c r="O106" s="413"/>
    </row>
    <row r="107" spans="1:15" s="481" customFormat="1" ht="27.75">
      <c r="A107" s="1382" t="s">
        <v>213</v>
      </c>
      <c r="B107" s="1383"/>
      <c r="C107" s="1250"/>
      <c r="D107" s="699"/>
      <c r="E107" s="608"/>
      <c r="F107" s="608"/>
      <c r="G107" s="608">
        <f>SUM(G104:G106)</f>
        <v>-180</v>
      </c>
      <c r="H107" s="536">
        <f>G107+'30'!H107</f>
        <v>-1277</v>
      </c>
      <c r="I107" s="608"/>
      <c r="J107" s="635">
        <f>H107/DAY(B2)</f>
        <v>-1277</v>
      </c>
      <c r="N107" s="479">
        <f>H107-'1'!E107</f>
        <v>-1277</v>
      </c>
      <c r="O107" s="413"/>
    </row>
    <row r="108" spans="1:15" s="481" customFormat="1" ht="27.75">
      <c r="A108" s="1386" t="s">
        <v>79</v>
      </c>
      <c r="B108" s="1387"/>
      <c r="C108" s="1250"/>
      <c r="D108" s="699" t="s">
        <v>155</v>
      </c>
      <c r="E108" s="608"/>
      <c r="F108" s="608"/>
      <c r="G108" s="608"/>
      <c r="H108" s="536">
        <f>G108+'30'!H108</f>
        <v>0</v>
      </c>
      <c r="I108" s="608"/>
      <c r="J108" s="635"/>
      <c r="N108" s="479">
        <f>H108-'1'!E108</f>
        <v>0</v>
      </c>
      <c r="O108" s="413"/>
    </row>
    <row r="109" spans="1:15" s="481" customFormat="1" ht="27.75">
      <c r="A109" s="1380" t="s">
        <v>231</v>
      </c>
      <c r="B109" s="1381"/>
      <c r="C109" s="1250"/>
      <c r="D109" s="699" t="s">
        <v>155</v>
      </c>
      <c r="E109" s="608">
        <f>'30'!F109</f>
        <v>47922</v>
      </c>
      <c r="F109" s="608">
        <v>46636</v>
      </c>
      <c r="G109" s="608">
        <f>F109-E109</f>
        <v>-1286</v>
      </c>
      <c r="H109" s="536">
        <f>G109+'30'!H109</f>
        <v>-7780</v>
      </c>
      <c r="I109" s="608"/>
      <c r="J109" s="635">
        <f>H109/DAY(B2)</f>
        <v>-7780</v>
      </c>
      <c r="N109" s="479">
        <f>H109-'1'!E109</f>
        <v>-60795</v>
      </c>
      <c r="O109" s="413"/>
    </row>
    <row r="110" spans="1:15" s="481" customFormat="1" ht="27.75">
      <c r="A110" s="1380" t="s">
        <v>232</v>
      </c>
      <c r="B110" s="1381"/>
      <c r="C110" s="1250"/>
      <c r="D110" s="699" t="s">
        <v>155</v>
      </c>
      <c r="E110" s="608">
        <f>'30'!F110</f>
        <v>23047</v>
      </c>
      <c r="F110" s="608">
        <v>22859</v>
      </c>
      <c r="G110" s="608">
        <f t="shared" ref="G110:G111" si="11">F110-E110</f>
        <v>-188</v>
      </c>
      <c r="H110" s="536">
        <f>G110+'30'!H110</f>
        <v>-5501</v>
      </c>
      <c r="I110" s="608"/>
      <c r="J110" s="635">
        <f>H110/DAY(B2)</f>
        <v>-5501</v>
      </c>
      <c r="N110" s="479">
        <f>H110-'1'!E110</f>
        <v>-32404</v>
      </c>
      <c r="O110" s="413"/>
    </row>
    <row r="111" spans="1:15" s="481" customFormat="1" ht="27.75">
      <c r="A111" s="1380" t="s">
        <v>233</v>
      </c>
      <c r="B111" s="1381"/>
      <c r="C111" s="1250"/>
      <c r="D111" s="699" t="s">
        <v>155</v>
      </c>
      <c r="E111" s="608">
        <f>'30'!F111</f>
        <v>3065</v>
      </c>
      <c r="F111" s="608">
        <v>3065</v>
      </c>
      <c r="G111" s="608">
        <f t="shared" si="11"/>
        <v>0</v>
      </c>
      <c r="H111" s="536">
        <f>G111+'30'!H111</f>
        <v>-328</v>
      </c>
      <c r="I111" s="608"/>
      <c r="J111" s="635">
        <f>H111/DAY(B2)</f>
        <v>-328</v>
      </c>
      <c r="N111" s="479">
        <f>H111-'1'!E111</f>
        <v>-3895</v>
      </c>
      <c r="O111" s="413"/>
    </row>
    <row r="112" spans="1:15" s="481" customFormat="1" ht="27.75">
      <c r="A112" s="1384" t="s">
        <v>121</v>
      </c>
      <c r="B112" s="1385"/>
      <c r="C112" s="1250"/>
      <c r="D112" s="699"/>
      <c r="E112" s="608"/>
      <c r="F112" s="608"/>
      <c r="G112" s="608">
        <f>SUM(G109:G111)</f>
        <v>-1474</v>
      </c>
      <c r="H112" s="536">
        <f>G112+'30'!H112</f>
        <v>-13648</v>
      </c>
      <c r="I112" s="608"/>
      <c r="J112" s="635">
        <f>H112/DAY(B2)</f>
        <v>-13648</v>
      </c>
      <c r="N112" s="479">
        <f>H112-'1'!E112</f>
        <v>-13648</v>
      </c>
      <c r="O112" s="413"/>
    </row>
    <row r="113" spans="1:15" s="481" customFormat="1" ht="27.75">
      <c r="A113" s="1386" t="s">
        <v>234</v>
      </c>
      <c r="B113" s="1387"/>
      <c r="C113" s="1250"/>
      <c r="D113" s="699"/>
      <c r="E113" s="608"/>
      <c r="F113" s="608"/>
      <c r="G113" s="608"/>
      <c r="H113" s="536">
        <f>G113+'30'!H113</f>
        <v>0</v>
      </c>
      <c r="I113" s="608"/>
      <c r="J113" s="635">
        <f>H113/DAY(B2)</f>
        <v>0</v>
      </c>
      <c r="N113" s="479">
        <f>H113-'1'!E113</f>
        <v>0</v>
      </c>
      <c r="O113" s="413"/>
    </row>
    <row r="114" spans="1:15" s="481" customFormat="1" ht="27.75">
      <c r="A114" s="1380" t="s">
        <v>235</v>
      </c>
      <c r="B114" s="1381"/>
      <c r="C114" s="651"/>
      <c r="D114" s="699" t="s">
        <v>155</v>
      </c>
      <c r="E114" s="608">
        <f>'30'!F114</f>
        <v>7973</v>
      </c>
      <c r="F114" s="610">
        <v>7734</v>
      </c>
      <c r="G114" s="610">
        <f>F114-E114</f>
        <v>-239</v>
      </c>
      <c r="H114" s="536">
        <f>G114+'30'!H114</f>
        <v>-2034</v>
      </c>
      <c r="I114" s="608"/>
      <c r="J114" s="635">
        <f>H114/DAY(B2)</f>
        <v>-2034</v>
      </c>
      <c r="N114" s="479">
        <f>H114-'1'!E114</f>
        <v>-11274</v>
      </c>
      <c r="O114" s="413"/>
    </row>
    <row r="115" spans="1:15" s="481" customFormat="1" ht="27.75">
      <c r="A115" s="1380" t="s">
        <v>236</v>
      </c>
      <c r="B115" s="1381"/>
      <c r="C115" s="651"/>
      <c r="D115" s="699" t="s">
        <v>155</v>
      </c>
      <c r="E115" s="608">
        <f>'30'!F115</f>
        <v>6359</v>
      </c>
      <c r="F115" s="610">
        <v>6223</v>
      </c>
      <c r="G115" s="610">
        <f t="shared" ref="G115:G116" si="12">F115-E115</f>
        <v>-136</v>
      </c>
      <c r="H115" s="536">
        <f>G115+'30'!H115</f>
        <v>-1059</v>
      </c>
      <c r="I115" s="608"/>
      <c r="J115" s="635">
        <f>H115/DAY(B2)</f>
        <v>-1059</v>
      </c>
      <c r="N115" s="479">
        <f>H115-'1'!E115</f>
        <v>-8248</v>
      </c>
      <c r="O115" s="413"/>
    </row>
    <row r="116" spans="1:15" s="481" customFormat="1" ht="27.75">
      <c r="A116" s="1380" t="s">
        <v>237</v>
      </c>
      <c r="B116" s="1381"/>
      <c r="C116" s="651"/>
      <c r="D116" s="699" t="s">
        <v>155</v>
      </c>
      <c r="E116" s="610"/>
      <c r="F116" s="610"/>
      <c r="G116" s="610">
        <f t="shared" si="12"/>
        <v>0</v>
      </c>
      <c r="H116" s="536">
        <f>G116+'30'!H116</f>
        <v>141</v>
      </c>
      <c r="I116" s="608"/>
      <c r="J116" s="635">
        <f>H116/DAY(B2)</f>
        <v>141</v>
      </c>
      <c r="N116" s="479">
        <f>H116-'1'!E116</f>
        <v>141</v>
      </c>
      <c r="O116" s="413"/>
    </row>
    <row r="117" spans="1:15" s="494" customFormat="1" ht="27.75">
      <c r="A117" s="1382" t="s">
        <v>213</v>
      </c>
      <c r="B117" s="1383"/>
      <c r="C117" s="651"/>
      <c r="D117" s="700"/>
      <c r="E117" s="610"/>
      <c r="F117" s="610"/>
      <c r="G117" s="610">
        <f>SUM(G114:G116)</f>
        <v>-375</v>
      </c>
      <c r="H117" s="536">
        <f>G117+'30'!H117</f>
        <v>-3166</v>
      </c>
      <c r="I117" s="610"/>
      <c r="J117" s="635">
        <f>H117/DAY(B2)</f>
        <v>-3166</v>
      </c>
      <c r="N117" s="479">
        <f>H117-'1'!E117</f>
        <v>-3166</v>
      </c>
      <c r="O117" s="413"/>
    </row>
    <row r="118" spans="1:15" s="495" customFormat="1" ht="27.75">
      <c r="A118" s="1376" t="s">
        <v>238</v>
      </c>
      <c r="B118" s="1377"/>
      <c r="C118" s="1249"/>
      <c r="D118" s="701" t="s">
        <v>155</v>
      </c>
      <c r="E118" s="612"/>
      <c r="F118" s="612">
        <f>SUM(G19+G92)</f>
        <v>-2428</v>
      </c>
      <c r="G118" s="612">
        <f>SUM(G19+G92)</f>
        <v>-2428</v>
      </c>
      <c r="H118" s="536">
        <f>G118+'30'!H118</f>
        <v>-17851</v>
      </c>
      <c r="I118" s="611"/>
      <c r="J118" s="636">
        <f>H118/DAY(B2)</f>
        <v>-17851</v>
      </c>
      <c r="N118" s="479">
        <f>H118-'1'!E118</f>
        <v>-383426</v>
      </c>
      <c r="O118" s="413"/>
    </row>
    <row r="119" spans="1:15" s="495" customFormat="1" ht="27.75">
      <c r="A119" s="1376" t="s">
        <v>239</v>
      </c>
      <c r="B119" s="1377"/>
      <c r="C119" s="1249"/>
      <c r="D119" s="701" t="s">
        <v>155</v>
      </c>
      <c r="E119" s="612"/>
      <c r="F119" s="612">
        <f>SUM(G95,G96,G97,G99,G100)</f>
        <v>-2240</v>
      </c>
      <c r="G119" s="612">
        <f>SUM(G95,G96,G97,G99,G100)</f>
        <v>-2240</v>
      </c>
      <c r="H119" s="536">
        <f>G119+'30'!H119</f>
        <v>-17040</v>
      </c>
      <c r="I119" s="611"/>
      <c r="J119" s="636">
        <f>H119/DAY(B2)</f>
        <v>-17040</v>
      </c>
      <c r="N119" s="479">
        <f>H119-'1'!E119</f>
        <v>-625296</v>
      </c>
      <c r="O119" s="413"/>
    </row>
    <row r="120" spans="1:15" s="495" customFormat="1" ht="27.75">
      <c r="A120" s="1376" t="s">
        <v>240</v>
      </c>
      <c r="B120" s="1377"/>
      <c r="C120" s="1249"/>
      <c r="D120" s="701" t="s">
        <v>155</v>
      </c>
      <c r="E120" s="610"/>
      <c r="F120" s="610">
        <f>SUM(G112)</f>
        <v>-1474</v>
      </c>
      <c r="G120" s="610">
        <f>SUM(G112)</f>
        <v>-1474</v>
      </c>
      <c r="H120" s="536">
        <f>G120+'30'!H120</f>
        <v>-14077</v>
      </c>
      <c r="I120" s="611"/>
      <c r="J120" s="636">
        <f>H120/DAY(B2)</f>
        <v>-14077</v>
      </c>
      <c r="N120" s="479">
        <f>H120-'1'!E120</f>
        <v>-14077</v>
      </c>
      <c r="O120" s="413"/>
    </row>
    <row r="121" spans="1:15" s="481" customFormat="1" ht="27.75">
      <c r="A121" s="1378"/>
      <c r="B121" s="1379"/>
      <c r="C121" s="1250"/>
      <c r="D121" s="637"/>
      <c r="E121" s="637" t="s">
        <v>226</v>
      </c>
      <c r="F121" s="637" t="s">
        <v>226</v>
      </c>
      <c r="G121" s="637"/>
      <c r="H121" s="638"/>
      <c r="I121" s="637"/>
      <c r="J121" s="639"/>
      <c r="N121" s="479" t="e">
        <f>H121-'1'!E121</f>
        <v>#VALUE!</v>
      </c>
      <c r="O121" s="413"/>
    </row>
    <row r="122" spans="1:15" ht="29.25">
      <c r="A122" s="1416" t="s">
        <v>241</v>
      </c>
      <c r="B122" s="1417"/>
      <c r="C122" s="1418"/>
      <c r="D122" s="548"/>
      <c r="E122" s="548"/>
      <c r="F122" s="548"/>
      <c r="G122" s="559"/>
      <c r="H122" s="559"/>
      <c r="I122" s="559"/>
      <c r="J122" s="640"/>
      <c r="K122" s="411"/>
      <c r="L122" s="408"/>
      <c r="N122" s="479">
        <f>H122-'1'!E122</f>
        <v>0</v>
      </c>
      <c r="O122" s="413"/>
    </row>
    <row r="123" spans="1:15" ht="27.75">
      <c r="A123" s="1252" t="s">
        <v>242</v>
      </c>
      <c r="B123" s="1253"/>
      <c r="C123" s="1253"/>
      <c r="D123" s="599" t="s">
        <v>152</v>
      </c>
      <c r="E123" s="531">
        <f>'30'!F123</f>
        <v>777670.45</v>
      </c>
      <c r="F123" s="554">
        <v>772625.42</v>
      </c>
      <c r="G123" s="549">
        <f t="shared" ref="G123:G127" si="13">F123-E123</f>
        <v>-5045.0299999999115</v>
      </c>
      <c r="H123" s="536">
        <f>G123+'30'!H123</f>
        <v>-22798.630000000005</v>
      </c>
      <c r="I123" s="602"/>
      <c r="J123" s="629">
        <f>H123/DAY(B2)</f>
        <v>-22798.630000000005</v>
      </c>
      <c r="K123" s="411"/>
      <c r="L123" s="408"/>
      <c r="N123" s="479">
        <f>H123-'1'!E123</f>
        <v>-818222.68</v>
      </c>
      <c r="O123" s="413"/>
    </row>
    <row r="124" spans="1:15" ht="27.75">
      <c r="A124" s="1252" t="s">
        <v>243</v>
      </c>
      <c r="B124" s="1253"/>
      <c r="C124" s="1253"/>
      <c r="D124" s="599" t="s">
        <v>152</v>
      </c>
      <c r="E124" s="531">
        <f>'30'!F124</f>
        <v>73581</v>
      </c>
      <c r="F124" s="703">
        <v>73581</v>
      </c>
      <c r="G124" s="549">
        <f t="shared" si="13"/>
        <v>0</v>
      </c>
      <c r="H124" s="536">
        <f>G124+'30'!H124</f>
        <v>-1.1999999999970896</v>
      </c>
      <c r="I124" s="602"/>
      <c r="J124" s="629">
        <f>H124/DAY(B2)</f>
        <v>-1.1999999999970896</v>
      </c>
      <c r="K124" s="411"/>
      <c r="L124" s="408"/>
      <c r="N124" s="479">
        <f>H124-'1'!E124</f>
        <v>-73583.399999999994</v>
      </c>
      <c r="O124" s="413"/>
    </row>
    <row r="125" spans="1:15" ht="27.75">
      <c r="A125" s="1367" t="s">
        <v>244</v>
      </c>
      <c r="B125" s="1368"/>
      <c r="C125" s="1369"/>
      <c r="D125" s="599" t="s">
        <v>152</v>
      </c>
      <c r="E125" s="531">
        <f>'30'!F125</f>
        <v>129045.51</v>
      </c>
      <c r="F125" s="554">
        <v>127007</v>
      </c>
      <c r="G125" s="549">
        <f t="shared" si="13"/>
        <v>-2038.5099999999948</v>
      </c>
      <c r="H125" s="536">
        <f>G125+'30'!H125</f>
        <v>-8583.6700000000128</v>
      </c>
      <c r="I125" s="602"/>
      <c r="J125" s="629">
        <f>H125/DAY(B2)</f>
        <v>-8583.6700000000128</v>
      </c>
      <c r="K125" s="411"/>
      <c r="L125" s="408"/>
      <c r="N125" s="479">
        <f>H125-'1'!E125</f>
        <v>-144174.34000000003</v>
      </c>
      <c r="O125" s="413"/>
    </row>
    <row r="126" spans="1:15" ht="27.75">
      <c r="A126" s="686" t="s">
        <v>245</v>
      </c>
      <c r="B126" s="1253"/>
      <c r="C126" s="1253"/>
      <c r="D126" s="599" t="s">
        <v>152</v>
      </c>
      <c r="E126" s="531">
        <f>'30'!F126</f>
        <v>54908</v>
      </c>
      <c r="F126" s="703">
        <v>54900</v>
      </c>
      <c r="G126" s="549">
        <f t="shared" si="13"/>
        <v>-8</v>
      </c>
      <c r="H126" s="536">
        <f>G126+'30'!H126</f>
        <v>-2481</v>
      </c>
      <c r="I126" s="602"/>
      <c r="J126" s="629">
        <f>H126/DAY(B2)</f>
        <v>-2481</v>
      </c>
      <c r="K126" s="411"/>
      <c r="L126" s="408"/>
      <c r="N126" s="479">
        <f>H126-'1'!E126</f>
        <v>-59862</v>
      </c>
      <c r="O126" s="413"/>
    </row>
    <row r="127" spans="1:15" ht="27.75">
      <c r="A127" s="686" t="s">
        <v>246</v>
      </c>
      <c r="B127" s="1253"/>
      <c r="C127" s="1253"/>
      <c r="D127" s="599" t="s">
        <v>152</v>
      </c>
      <c r="E127" s="531">
        <f>'30'!F127</f>
        <v>8639</v>
      </c>
      <c r="F127" s="703">
        <v>8639</v>
      </c>
      <c r="G127" s="549">
        <f t="shared" si="13"/>
        <v>0</v>
      </c>
      <c r="H127" s="536">
        <f>G127+'30'!H127</f>
        <v>-67</v>
      </c>
      <c r="I127" s="556"/>
      <c r="J127" s="629">
        <f>H127/DAY(B2)</f>
        <v>-67</v>
      </c>
      <c r="K127" s="411"/>
      <c r="L127" s="408"/>
      <c r="N127" s="479">
        <f>H127-'1'!E127</f>
        <v>-8773</v>
      </c>
      <c r="O127" s="413"/>
    </row>
    <row r="128" spans="1:15" s="281" customFormat="1" ht="27.75">
      <c r="A128" s="686" t="s">
        <v>247</v>
      </c>
      <c r="B128" s="1253"/>
      <c r="C128" s="1253"/>
      <c r="D128" s="599"/>
      <c r="E128" s="554"/>
      <c r="F128" s="554"/>
      <c r="G128" s="549">
        <f>G15-SUM(G123:G127)</f>
        <v>-5282.1779999999708</v>
      </c>
      <c r="H128" s="536">
        <f>G128+'30'!H128</f>
        <v>-5282.1779999999708</v>
      </c>
      <c r="I128" s="556"/>
      <c r="J128" s="629"/>
      <c r="K128" s="391"/>
      <c r="L128" s="293"/>
      <c r="N128" s="479">
        <f>H128-'1'!E128</f>
        <v>-5282.1779999999708</v>
      </c>
      <c r="O128" s="413"/>
    </row>
    <row r="129" spans="1:15" ht="29.25">
      <c r="A129" s="687" t="s">
        <v>248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>
      <c r="A130" s="1252" t="s">
        <v>249</v>
      </c>
      <c r="B130" s="1253"/>
      <c r="C130" s="1253"/>
      <c r="D130" s="599" t="s">
        <v>250</v>
      </c>
      <c r="E130" s="531">
        <f>'30'!F130</f>
        <v>0</v>
      </c>
      <c r="F130" s="560">
        <v>0</v>
      </c>
      <c r="G130" s="549">
        <f t="shared" ref="G130:G140" si="14">F130-E130</f>
        <v>0</v>
      </c>
      <c r="H130" s="536">
        <f>G130+'30'!H130</f>
        <v>0</v>
      </c>
      <c r="I130" s="556"/>
      <c r="J130" s="629">
        <f>H130/DAY(B2)</f>
        <v>0</v>
      </c>
      <c r="O130" s="413"/>
    </row>
    <row r="131" spans="1:15" ht="27.75">
      <c r="A131" s="1252" t="s">
        <v>251</v>
      </c>
      <c r="B131" s="1253"/>
      <c r="C131" s="1253"/>
      <c r="D131" s="599" t="s">
        <v>250</v>
      </c>
      <c r="E131" s="531">
        <f>'30'!F131</f>
        <v>0</v>
      </c>
      <c r="F131" s="560">
        <v>0</v>
      </c>
      <c r="G131" s="549">
        <f t="shared" si="14"/>
        <v>0</v>
      </c>
      <c r="H131" s="536">
        <f>G131+'30'!H131</f>
        <v>0</v>
      </c>
      <c r="I131" s="556"/>
      <c r="J131" s="629">
        <f>H131/DAY(B2)</f>
        <v>0</v>
      </c>
      <c r="O131" s="413"/>
    </row>
    <row r="132" spans="1:15" ht="27.75">
      <c r="A132" s="1252" t="s">
        <v>252</v>
      </c>
      <c r="B132" s="1253"/>
      <c r="C132" s="1253"/>
      <c r="D132" s="599" t="s">
        <v>250</v>
      </c>
      <c r="E132" s="531">
        <f>'30'!F132</f>
        <v>38829</v>
      </c>
      <c r="F132" s="618">
        <v>38829</v>
      </c>
      <c r="G132" s="549">
        <f t="shared" si="14"/>
        <v>0</v>
      </c>
      <c r="H132" s="536">
        <f>G132+'30'!H132</f>
        <v>-0.48000000000320142</v>
      </c>
      <c r="I132" s="556"/>
      <c r="J132" s="629">
        <f>H132/DAY(B2)</f>
        <v>-0.48000000000320142</v>
      </c>
      <c r="O132" s="413"/>
    </row>
    <row r="133" spans="1:15" ht="27.75">
      <c r="A133" s="1252" t="s">
        <v>253</v>
      </c>
      <c r="B133" s="1253"/>
      <c r="C133" s="1253"/>
      <c r="D133" s="599" t="s">
        <v>250</v>
      </c>
      <c r="E133" s="531">
        <f>'30'!F133</f>
        <v>34210</v>
      </c>
      <c r="F133" s="618">
        <v>33647.339999999997</v>
      </c>
      <c r="G133" s="549">
        <f t="shared" si="14"/>
        <v>-562.66000000000349</v>
      </c>
      <c r="H133" s="536">
        <f>G133+'30'!H133</f>
        <v>33348.339999999997</v>
      </c>
      <c r="I133" s="556">
        <f>G130+G131+G132+G133</f>
        <v>-562.66000000000349</v>
      </c>
      <c r="J133" s="629">
        <f>H133/DAY(B2)</f>
        <v>33348.339999999997</v>
      </c>
      <c r="O133" s="413"/>
    </row>
    <row r="134" spans="1:15" ht="27.75">
      <c r="A134" s="1252" t="s">
        <v>254</v>
      </c>
      <c r="B134" s="1253"/>
      <c r="C134" s="1253"/>
      <c r="D134" s="599" t="s">
        <v>250</v>
      </c>
      <c r="E134" s="531">
        <f>'30'!F134</f>
        <v>39736.269999999997</v>
      </c>
      <c r="F134" s="618">
        <v>39736.269999999997</v>
      </c>
      <c r="G134" s="549">
        <f t="shared" si="14"/>
        <v>0</v>
      </c>
      <c r="H134" s="536">
        <f>G134+'30'!H134</f>
        <v>-190.78000000000611</v>
      </c>
      <c r="I134" s="556"/>
      <c r="J134" s="629">
        <f>H134/DAY(B2)</f>
        <v>-190.78000000000611</v>
      </c>
      <c r="O134" s="413"/>
    </row>
    <row r="135" spans="1:15" ht="27.75">
      <c r="A135" s="1252" t="s">
        <v>255</v>
      </c>
      <c r="B135" s="1253"/>
      <c r="C135" s="1253"/>
      <c r="D135" s="599" t="s">
        <v>250</v>
      </c>
      <c r="E135" s="531">
        <f>'30'!F135</f>
        <v>30974</v>
      </c>
      <c r="F135" s="618">
        <v>30814.07</v>
      </c>
      <c r="G135" s="549">
        <f t="shared" si="14"/>
        <v>-159.93000000000029</v>
      </c>
      <c r="H135" s="536">
        <f>G135+'30'!H135</f>
        <v>-1595.9300000000003</v>
      </c>
      <c r="I135" s="556"/>
      <c r="J135" s="629">
        <f>H135/DAY(B2)</f>
        <v>-1595.9300000000003</v>
      </c>
      <c r="O135" s="413"/>
    </row>
    <row r="136" spans="1:15" ht="27.75">
      <c r="A136" s="1252" t="s">
        <v>256</v>
      </c>
      <c r="B136" s="1253"/>
      <c r="C136" s="1253"/>
      <c r="D136" s="599" t="s">
        <v>250</v>
      </c>
      <c r="E136" s="531">
        <f>'30'!F136</f>
        <v>21552.91</v>
      </c>
      <c r="F136" s="618">
        <v>21522.36</v>
      </c>
      <c r="G136" s="549">
        <f t="shared" si="14"/>
        <v>-30.549999999999272</v>
      </c>
      <c r="H136" s="536">
        <f>G136+'30'!H136</f>
        <v>-279.34000000000015</v>
      </c>
      <c r="I136" s="556">
        <f>G134+G135+G136</f>
        <v>-190.47999999999956</v>
      </c>
      <c r="J136" s="629">
        <f>H136/DAY(B2)</f>
        <v>-279.34000000000015</v>
      </c>
      <c r="O136" s="413"/>
    </row>
    <row r="137" spans="1:15" ht="27.75">
      <c r="A137" s="1252" t="s">
        <v>257</v>
      </c>
      <c r="B137" s="1253"/>
      <c r="C137" s="1253"/>
      <c r="D137" s="599" t="s">
        <v>250</v>
      </c>
      <c r="E137" s="531">
        <f>'30'!F137</f>
        <v>24876.6</v>
      </c>
      <c r="F137" s="618">
        <v>24838.560000000001</v>
      </c>
      <c r="G137" s="549">
        <f t="shared" si="14"/>
        <v>-38.039999999997235</v>
      </c>
      <c r="H137" s="536">
        <f>G137+'30'!H137</f>
        <v>-173.37999999999738</v>
      </c>
      <c r="I137" s="556"/>
      <c r="J137" s="629">
        <f>H137/DAY(B2)</f>
        <v>-173.37999999999738</v>
      </c>
      <c r="O137" s="413"/>
    </row>
    <row r="138" spans="1:15" ht="27.75">
      <c r="A138" s="1252" t="s">
        <v>258</v>
      </c>
      <c r="B138" s="1253"/>
      <c r="C138" s="1253"/>
      <c r="D138" s="599" t="s">
        <v>250</v>
      </c>
      <c r="E138" s="531">
        <f>'30'!F138</f>
        <v>69785.710000000006</v>
      </c>
      <c r="F138" s="618">
        <v>69718.210000000006</v>
      </c>
      <c r="G138" s="549">
        <f t="shared" si="14"/>
        <v>-67.5</v>
      </c>
      <c r="H138" s="536">
        <f>G138+'30'!H138</f>
        <v>-324.58999999999651</v>
      </c>
      <c r="I138" s="556">
        <f>G137+G138</f>
        <v>-105.53999999999724</v>
      </c>
      <c r="J138" s="629">
        <f>H138/DAY(B2)</f>
        <v>-324.58999999999651</v>
      </c>
      <c r="O138" s="413"/>
    </row>
    <row r="139" spans="1:15" ht="27.75">
      <c r="A139" s="1252" t="s">
        <v>259</v>
      </c>
      <c r="B139" s="1253"/>
      <c r="C139" s="1253"/>
      <c r="D139" s="599" t="s">
        <v>250</v>
      </c>
      <c r="E139" s="531">
        <f>'30'!F139</f>
        <v>627.54</v>
      </c>
      <c r="F139" s="560">
        <v>519.1</v>
      </c>
      <c r="G139" s="549">
        <f t="shared" si="14"/>
        <v>-108.43999999999994</v>
      </c>
      <c r="H139" s="536">
        <f>G139+'30'!H139</f>
        <v>-543.9</v>
      </c>
      <c r="I139" s="619"/>
      <c r="J139" s="629">
        <f>H139/DAY(B2)</f>
        <v>-543.9</v>
      </c>
      <c r="O139" s="413"/>
    </row>
    <row r="140" spans="1:15" ht="27.75">
      <c r="A140" s="1252" t="s">
        <v>260</v>
      </c>
      <c r="B140" s="1253"/>
      <c r="C140" s="1253"/>
      <c r="D140" s="599" t="s">
        <v>250</v>
      </c>
      <c r="E140" s="531">
        <f>'30'!F140</f>
        <v>4154.2700000000004</v>
      </c>
      <c r="F140" s="560">
        <v>4113.08</v>
      </c>
      <c r="G140" s="549">
        <f t="shared" si="14"/>
        <v>-41.190000000000509</v>
      </c>
      <c r="H140" s="536">
        <f>G140+'30'!H140</f>
        <v>-119.32999999999993</v>
      </c>
      <c r="I140" s="619"/>
      <c r="J140" s="629">
        <f>H140/DAY(B2)</f>
        <v>-119.32999999999993</v>
      </c>
      <c r="O140" s="413"/>
    </row>
    <row r="141" spans="1:15" ht="29.25">
      <c r="A141" s="1397" t="s">
        <v>261</v>
      </c>
      <c r="B141" s="1398"/>
      <c r="C141" s="1258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>
      <c r="A142" s="1388" t="s">
        <v>262</v>
      </c>
      <c r="B142" s="1389"/>
      <c r="C142" s="1390"/>
      <c r="D142" s="599" t="s">
        <v>143</v>
      </c>
      <c r="E142" s="599"/>
      <c r="F142" s="599"/>
      <c r="G142" s="536">
        <f>G35+G43+G49+G57</f>
        <v>-110530.01200000002</v>
      </c>
      <c r="H142" s="536">
        <f>G142+'30'!H142</f>
        <v>-558424.97000000009</v>
      </c>
      <c r="I142" s="556"/>
      <c r="J142" s="629">
        <f>H142/DAY(B2)</f>
        <v>-558424.97000000009</v>
      </c>
      <c r="K142" s="411"/>
      <c r="L142" s="408"/>
      <c r="O142" s="413"/>
    </row>
    <row r="143" spans="1:15" ht="27.75">
      <c r="A143" s="1388" t="s">
        <v>263</v>
      </c>
      <c r="B143" s="1389"/>
      <c r="C143" s="1390"/>
      <c r="D143" s="599" t="s">
        <v>24</v>
      </c>
      <c r="E143" s="587"/>
      <c r="F143" s="587"/>
      <c r="G143" s="620">
        <f>G142/G7</f>
        <v>0.24755094581338163</v>
      </c>
      <c r="H143" s="536">
        <f>G143+'30'!H143</f>
        <v>8.18898907914323</v>
      </c>
      <c r="I143" s="621"/>
      <c r="J143" s="629">
        <f>H143/DAY(B2)</f>
        <v>8.18898907914323</v>
      </c>
      <c r="K143" s="411"/>
      <c r="L143" s="408"/>
      <c r="O143" s="413"/>
    </row>
    <row r="144" spans="1:15" ht="27.75">
      <c r="A144" s="1388" t="s">
        <v>264</v>
      </c>
      <c r="B144" s="1389"/>
      <c r="C144" s="1390"/>
      <c r="D144" s="599" t="s">
        <v>143</v>
      </c>
      <c r="E144" s="531"/>
      <c r="F144" s="531"/>
      <c r="G144" s="536">
        <f>G41+G42+G55+G56</f>
        <v>-109202.69000000006</v>
      </c>
      <c r="H144" s="536">
        <f>G144+'30'!H144</f>
        <v>318426.31999999995</v>
      </c>
      <c r="I144" s="556"/>
      <c r="J144" s="629">
        <f>H144/DAY(B2)</f>
        <v>318426.31999999995</v>
      </c>
      <c r="K144" s="411"/>
      <c r="L144" s="408"/>
      <c r="O144" s="413"/>
    </row>
    <row r="145" spans="1:15" ht="27.75">
      <c r="A145" s="1388" t="s">
        <v>265</v>
      </c>
      <c r="B145" s="1389"/>
      <c r="C145" s="1390"/>
      <c r="D145" s="599" t="s">
        <v>24</v>
      </c>
      <c r="E145" s="531"/>
      <c r="F145" s="531"/>
      <c r="G145" s="620">
        <f>G144/G7</f>
        <v>0.2445781802219068</v>
      </c>
      <c r="H145" s="536">
        <f>G145+'30'!H145</f>
        <v>6.310771281530009</v>
      </c>
      <c r="I145" s="621"/>
      <c r="J145" s="629">
        <f>H145/DAY(B2)</f>
        <v>6.310771281530009</v>
      </c>
      <c r="K145" s="411"/>
      <c r="L145" s="408"/>
      <c r="O145" s="413"/>
    </row>
    <row r="146" spans="1:15" ht="27.75">
      <c r="A146" s="1388" t="s">
        <v>266</v>
      </c>
      <c r="B146" s="1389"/>
      <c r="C146" s="1390"/>
      <c r="D146" s="599" t="s">
        <v>143</v>
      </c>
      <c r="E146" s="531"/>
      <c r="F146" s="531"/>
      <c r="G146" s="536">
        <f>G39+G53</f>
        <v>-90115.839999999967</v>
      </c>
      <c r="H146" s="536">
        <f>G146+'30'!H146</f>
        <v>-399682.81999999995</v>
      </c>
      <c r="I146" s="622"/>
      <c r="J146" s="629">
        <f>H146/DAY(B2)</f>
        <v>-399682.81999999995</v>
      </c>
      <c r="K146" s="411"/>
      <c r="L146" s="408"/>
      <c r="O146" s="413"/>
    </row>
    <row r="147" spans="1:15" ht="27.75">
      <c r="A147" s="1388" t="s">
        <v>267</v>
      </c>
      <c r="B147" s="1389"/>
      <c r="C147" s="1390"/>
      <c r="D147" s="599" t="s">
        <v>24</v>
      </c>
      <c r="E147" s="531"/>
      <c r="F147" s="531"/>
      <c r="G147" s="620">
        <f>G146/G7</f>
        <v>0.20182990140964932</v>
      </c>
      <c r="H147" s="536">
        <f>G147+'30'!H147</f>
        <v>6.5233876180489032</v>
      </c>
      <c r="I147" s="622"/>
      <c r="J147" s="629">
        <f>H147/DAY(B2)</f>
        <v>6.5233876180489032</v>
      </c>
      <c r="O147" s="413"/>
    </row>
    <row r="148" spans="1:15" ht="27.75">
      <c r="A148" s="1388" t="s">
        <v>268</v>
      </c>
      <c r="B148" s="1389"/>
      <c r="C148" s="1390"/>
      <c r="D148" s="599" t="s">
        <v>194</v>
      </c>
      <c r="E148" s="531"/>
      <c r="F148" s="531"/>
      <c r="G148" s="536">
        <f>G38+G52</f>
        <v>-33228.640000000014</v>
      </c>
      <c r="H148" s="536">
        <f>G148+'30'!H148</f>
        <v>-194152.14</v>
      </c>
      <c r="I148" s="556"/>
      <c r="J148" s="629">
        <f>H148/DAY(B2)</f>
        <v>-194152.14</v>
      </c>
      <c r="K148" s="412"/>
      <c r="O148" s="413"/>
    </row>
    <row r="149" spans="1:15" ht="27.75">
      <c r="A149" s="1388" t="s">
        <v>269</v>
      </c>
      <c r="B149" s="1389"/>
      <c r="C149" s="1390"/>
      <c r="D149" s="599" t="s">
        <v>24</v>
      </c>
      <c r="E149" s="531"/>
      <c r="F149" s="531"/>
      <c r="G149" s="620">
        <f>G148/G7</f>
        <v>7.4421246422124401E-2</v>
      </c>
      <c r="H149" s="536">
        <f>G149+'30'!H149</f>
        <v>3.0805430743577653</v>
      </c>
      <c r="I149" s="622"/>
      <c r="J149" s="629">
        <f>H149/DAY(B2)</f>
        <v>3.0805430743577653</v>
      </c>
      <c r="O149" s="413"/>
    </row>
    <row r="150" spans="1:15" ht="27.75">
      <c r="A150" s="1388" t="s">
        <v>270</v>
      </c>
      <c r="B150" s="1389"/>
      <c r="C150" s="1390"/>
      <c r="D150" s="599" t="s">
        <v>194</v>
      </c>
      <c r="E150" s="531"/>
      <c r="F150" s="531"/>
      <c r="G150" s="536">
        <f>G36+G50</f>
        <v>-47938.860000000015</v>
      </c>
      <c r="H150" s="536">
        <f>G150+'30'!H150</f>
        <v>-212715.24000000002</v>
      </c>
      <c r="I150" s="622"/>
      <c r="J150" s="629">
        <f>H150/DAY(B2)</f>
        <v>-212715.24000000002</v>
      </c>
      <c r="O150" s="413"/>
    </row>
    <row r="151" spans="1:15" ht="27.75">
      <c r="A151" s="1388" t="s">
        <v>271</v>
      </c>
      <c r="B151" s="1389"/>
      <c r="C151" s="1390"/>
      <c r="D151" s="599" t="s">
        <v>24</v>
      </c>
      <c r="E151" s="531"/>
      <c r="F151" s="531"/>
      <c r="G151" s="620">
        <f>G150/G7</f>
        <v>0.10736731064695161</v>
      </c>
      <c r="H151" s="536">
        <f>G151+'30'!H151</f>
        <v>2.8687240829562932</v>
      </c>
      <c r="I151" s="556"/>
      <c r="J151" s="629">
        <f>H151/DAY(B2)</f>
        <v>2.8687240829562932</v>
      </c>
      <c r="O151" s="413"/>
    </row>
    <row r="152" spans="1:15" ht="27.75">
      <c r="A152" s="1388" t="s">
        <v>272</v>
      </c>
      <c r="B152" s="1389"/>
      <c r="C152" s="1390"/>
      <c r="D152" s="599" t="s">
        <v>194</v>
      </c>
      <c r="E152" s="531"/>
      <c r="F152" s="531"/>
      <c r="G152" s="536">
        <f>G37+G51</f>
        <v>-41028.959999999963</v>
      </c>
      <c r="H152" s="536">
        <f>G152+'30'!H152</f>
        <v>-166568.71999999997</v>
      </c>
      <c r="I152" s="556"/>
      <c r="J152" s="629">
        <f>H152/DAY(B2)</f>
        <v>-166568.71999999997</v>
      </c>
      <c r="O152" s="413"/>
    </row>
    <row r="153" spans="1:15" ht="28.5" thickBot="1">
      <c r="A153" s="1394" t="s">
        <v>273</v>
      </c>
      <c r="B153" s="1395"/>
      <c r="C153" s="1396"/>
      <c r="D153" s="702" t="s">
        <v>24</v>
      </c>
      <c r="E153" s="642"/>
      <c r="F153" s="642"/>
      <c r="G153" s="643">
        <f>G152/G7</f>
        <v>9.1891402796006133E-2</v>
      </c>
      <c r="H153" s="536">
        <f>G153+'30'!H153</f>
        <v>2.3416562859199659</v>
      </c>
      <c r="I153" s="645"/>
      <c r="J153" s="646">
        <f>H153/DAY(B2)</f>
        <v>2.3416562859199659</v>
      </c>
      <c r="O153" s="413"/>
    </row>
    <row r="154" spans="1:15" ht="29.2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55" spans="1:15" ht="29.25"/>
    <row r="156" spans="1:15" ht="29.25"/>
    <row r="157" spans="1:15" ht="29.25"/>
    <row r="158" spans="1:15" ht="29.25"/>
    <row r="159" spans="1:15" ht="29.25"/>
    <row r="160" spans="1:15" ht="29.25">
      <c r="A160" s="889" t="s">
        <v>274</v>
      </c>
      <c r="B160" s="890"/>
      <c r="C160" s="890"/>
      <c r="D160" s="587" t="s">
        <v>198</v>
      </c>
      <c r="E160" s="531">
        <f>'30'!F160</f>
        <v>19367.005000000001</v>
      </c>
      <c r="F160" s="739">
        <v>17149.52</v>
      </c>
      <c r="G160" s="549">
        <f t="shared" ref="G160:G163" si="15">F160-E160</f>
        <v>-2217.4850000000006</v>
      </c>
    </row>
    <row r="161" spans="1:7" ht="29.25">
      <c r="A161" s="889" t="s">
        <v>275</v>
      </c>
      <c r="B161" s="890"/>
      <c r="C161" s="890"/>
      <c r="D161" s="587" t="s">
        <v>198</v>
      </c>
      <c r="E161" s="531">
        <f>'30'!F161</f>
        <v>10468.124</v>
      </c>
      <c r="F161" s="739">
        <v>6795.93</v>
      </c>
      <c r="G161" s="549">
        <f t="shared" si="15"/>
        <v>-3672.1939999999995</v>
      </c>
    </row>
    <row r="162" spans="1:7" ht="29.25">
      <c r="A162" s="889" t="s">
        <v>276</v>
      </c>
      <c r="B162" s="890"/>
      <c r="C162" s="890"/>
      <c r="D162" s="587" t="s">
        <v>198</v>
      </c>
      <c r="E162" s="531">
        <f>'30'!F162</f>
        <v>14358.138999999999</v>
      </c>
      <c r="F162" s="739">
        <v>8620.3700000000008</v>
      </c>
      <c r="G162" s="549">
        <f t="shared" si="15"/>
        <v>-5737.7689999999984</v>
      </c>
    </row>
    <row r="163" spans="1:7" ht="29.25">
      <c r="A163" s="889" t="s">
        <v>277</v>
      </c>
      <c r="B163" s="890"/>
      <c r="C163" s="890"/>
      <c r="D163" s="587" t="s">
        <v>198</v>
      </c>
      <c r="E163" s="531">
        <f>'30'!F163</f>
        <v>2542.9</v>
      </c>
      <c r="F163" s="739">
        <v>1875.93</v>
      </c>
      <c r="G163" s="549">
        <f t="shared" si="15"/>
        <v>-666.97</v>
      </c>
    </row>
    <row r="164" spans="1:7" ht="29.25">
      <c r="A164" s="891" t="s">
        <v>106</v>
      </c>
      <c r="B164" s="681"/>
      <c r="C164" s="681"/>
      <c r="D164" s="587" t="s">
        <v>198</v>
      </c>
      <c r="E164" s="590">
        <f>E62</f>
        <v>20419.18</v>
      </c>
      <c r="F164" s="590">
        <f>F62</f>
        <v>20419.188999999998</v>
      </c>
      <c r="G164" s="549">
        <f t="shared" ref="G164:G171" si="16">F164-E164</f>
        <v>8.9999999981955625E-3</v>
      </c>
    </row>
    <row r="165" spans="1:7" ht="29.25">
      <c r="A165" s="891" t="s">
        <v>199</v>
      </c>
      <c r="B165" s="681"/>
      <c r="C165" s="681"/>
      <c r="D165" s="587" t="s">
        <v>198</v>
      </c>
      <c r="E165" s="590">
        <f t="shared" ref="E165:E171" si="17">E63</f>
        <v>14160.48</v>
      </c>
      <c r="F165" s="590">
        <f t="shared" ref="F165:F171" si="18">F63</f>
        <v>14160.48</v>
      </c>
      <c r="G165" s="549">
        <f t="shared" si="16"/>
        <v>0</v>
      </c>
    </row>
    <row r="166" spans="1:7" ht="27.75">
      <c r="A166" s="1363" t="s">
        <v>107</v>
      </c>
      <c r="B166" s="1363"/>
      <c r="C166" s="1363"/>
      <c r="D166" s="599" t="s">
        <v>198</v>
      </c>
      <c r="E166" s="590">
        <f t="shared" si="17"/>
        <v>67022.811000000002</v>
      </c>
      <c r="F166" s="590">
        <f t="shared" si="18"/>
        <v>59017.9</v>
      </c>
      <c r="G166" s="549">
        <f t="shared" si="16"/>
        <v>-8004.9110000000001</v>
      </c>
    </row>
    <row r="167" spans="1:7" ht="27.75">
      <c r="A167" s="1363" t="s">
        <v>108</v>
      </c>
      <c r="B167" s="1363"/>
      <c r="C167" s="1363"/>
      <c r="D167" s="599" t="s">
        <v>198</v>
      </c>
      <c r="E167" s="590">
        <f t="shared" si="17"/>
        <v>73461.070999999996</v>
      </c>
      <c r="F167" s="590">
        <f t="shared" si="18"/>
        <v>62010.36</v>
      </c>
      <c r="G167" s="549">
        <f t="shared" si="16"/>
        <v>-11450.710999999996</v>
      </c>
    </row>
    <row r="168" spans="1:7" ht="27.75">
      <c r="A168" s="1363" t="s">
        <v>109</v>
      </c>
      <c r="B168" s="1363"/>
      <c r="C168" s="1363"/>
      <c r="D168" s="599" t="s">
        <v>198</v>
      </c>
      <c r="E168" s="590">
        <f t="shared" si="17"/>
        <v>66512.134999999995</v>
      </c>
      <c r="F168" s="590">
        <f t="shared" si="18"/>
        <v>55847.47</v>
      </c>
      <c r="G168" s="549">
        <f t="shared" si="16"/>
        <v>-10664.664999999994</v>
      </c>
    </row>
    <row r="169" spans="1:7" ht="27.75">
      <c r="A169" s="1363" t="s">
        <v>110</v>
      </c>
      <c r="B169" s="1363"/>
      <c r="C169" s="1363"/>
      <c r="D169" s="599" t="s">
        <v>198</v>
      </c>
      <c r="E169" s="590">
        <f t="shared" si="17"/>
        <v>109625.57</v>
      </c>
      <c r="F169" s="590">
        <f t="shared" si="18"/>
        <v>96613.97</v>
      </c>
      <c r="G169" s="549">
        <f t="shared" si="16"/>
        <v>-13011.600000000006</v>
      </c>
    </row>
    <row r="170" spans="1:7" ht="27.75">
      <c r="A170" s="1363" t="s">
        <v>111</v>
      </c>
      <c r="B170" s="1363"/>
      <c r="C170" s="1363"/>
      <c r="D170" s="599" t="s">
        <v>198</v>
      </c>
      <c r="E170" s="590">
        <f t="shared" si="17"/>
        <v>24601.942999999999</v>
      </c>
      <c r="F170" s="590">
        <f t="shared" si="18"/>
        <v>16650.509999999998</v>
      </c>
      <c r="G170" s="549">
        <f t="shared" si="16"/>
        <v>-7951.4330000000009</v>
      </c>
    </row>
    <row r="171" spans="1:7" ht="27.75">
      <c r="A171" s="1363" t="s">
        <v>112</v>
      </c>
      <c r="B171" s="1363"/>
      <c r="C171" s="1363"/>
      <c r="D171" s="599" t="s">
        <v>198</v>
      </c>
      <c r="E171" s="590">
        <f t="shared" si="17"/>
        <v>22940.190999999999</v>
      </c>
      <c r="F171" s="590">
        <f t="shared" si="18"/>
        <v>22398.71</v>
      </c>
      <c r="G171" s="549">
        <f t="shared" si="16"/>
        <v>-541.48099999999977</v>
      </c>
    </row>
    <row r="172" spans="1:7" ht="29.25">
      <c r="G172" s="616">
        <f>SUM(G160:G171)</f>
        <v>-63919.209999999992</v>
      </c>
    </row>
    <row r="173" spans="1:7" ht="29.25"/>
    <row r="174" spans="1:7" ht="29.25"/>
    <row r="175" spans="1:7" ht="29.25"/>
    <row r="176" spans="1:7" ht="29.25"/>
    <row r="177" ht="29.25"/>
    <row r="178" ht="29.25"/>
    <row r="179" ht="29.25"/>
    <row r="180" ht="29.25"/>
    <row r="181" ht="29.25"/>
    <row r="182" ht="29.25"/>
    <row r="183" ht="29.25"/>
    <row r="184" ht="29.25"/>
    <row r="185" ht="29.25"/>
    <row r="186" ht="29.25"/>
    <row r="187" ht="29.25"/>
    <row r="188" ht="29.25"/>
    <row r="189" ht="29.25"/>
    <row r="190" ht="29.25"/>
    <row r="191" ht="29.25"/>
    <row r="192" ht="29.25"/>
    <row r="193" ht="29.25"/>
    <row r="194" ht="29.25"/>
    <row r="195" ht="29.25"/>
    <row r="196" ht="29.25"/>
    <row r="197" ht="29.25"/>
    <row r="198" ht="29.25"/>
    <row r="199" ht="29.25"/>
    <row r="200" ht="29.25"/>
    <row r="201" ht="29.25"/>
    <row r="202" ht="29.25"/>
    <row r="203" ht="29.25"/>
    <row r="204" ht="29.25"/>
    <row r="205" ht="29.25"/>
    <row r="206" ht="29.25"/>
    <row r="207" ht="29.25"/>
    <row r="208" ht="29.25"/>
    <row r="209" ht="29.25"/>
    <row r="210" ht="29.25"/>
    <row r="211" ht="29.25"/>
    <row r="212" ht="29.25"/>
    <row r="213" ht="29.25"/>
    <row r="214" ht="29.25"/>
    <row r="215" ht="29.25"/>
    <row r="216" ht="29.25"/>
    <row r="217" ht="29.25"/>
    <row r="218" ht="29.25"/>
    <row r="219" ht="29.25"/>
    <row r="220" ht="29.25"/>
    <row r="221" ht="29.25"/>
    <row r="222" ht="29.25"/>
    <row r="223" ht="29.25"/>
    <row r="224" ht="29.25"/>
    <row r="225" ht="29.25"/>
    <row r="226" ht="29.25"/>
    <row r="227" ht="29.25"/>
    <row r="228" ht="29.25"/>
    <row r="229" ht="29.25"/>
    <row r="230" ht="29.25"/>
    <row r="231" ht="29.25"/>
    <row r="232" ht="29.25"/>
    <row r="233" ht="29.25"/>
    <row r="234" ht="29.25"/>
    <row r="235" ht="29.25"/>
    <row r="236" ht="29.25"/>
    <row r="237" ht="29.25"/>
    <row r="238" ht="29.25"/>
    <row r="239" ht="29.25"/>
    <row r="240" ht="29.25"/>
    <row r="241" ht="29.25"/>
    <row r="242" ht="29.25"/>
    <row r="243" ht="29.25"/>
    <row r="244" ht="29.25"/>
    <row r="245" ht="29.25"/>
    <row r="246" ht="29.25"/>
    <row r="247" ht="29.25"/>
    <row r="248" ht="29.25"/>
    <row r="249" ht="29.25"/>
    <row r="250" ht="29.25"/>
    <row r="251" ht="29.25"/>
    <row r="252" ht="29.25"/>
    <row r="253" ht="29.25"/>
    <row r="254" ht="29.25"/>
    <row r="255" ht="29.25"/>
    <row r="256" ht="29.25"/>
    <row r="257" ht="29.25"/>
    <row r="258" ht="29.25"/>
    <row r="259" ht="29.25"/>
    <row r="260" ht="29.25"/>
    <row r="261" ht="29.25"/>
    <row r="262" ht="29.25"/>
    <row r="263" ht="29.25"/>
    <row r="264" ht="29.25"/>
    <row r="265" ht="29.25"/>
    <row r="266" ht="29.25"/>
    <row r="267" ht="29.25"/>
    <row r="268" ht="29.25"/>
    <row r="269" ht="29.25"/>
    <row r="270" ht="29.25"/>
    <row r="271" ht="29.25"/>
    <row r="272" ht="29.25"/>
    <row r="273" ht="29.25"/>
    <row r="274" ht="29.25"/>
    <row r="275" ht="29.25"/>
    <row r="276" ht="29.25"/>
    <row r="277" ht="29.25"/>
    <row r="278" ht="29.25"/>
    <row r="279" ht="29.25"/>
    <row r="280" ht="29.25"/>
    <row r="281" ht="29.25"/>
    <row r="282" ht="29.25"/>
    <row r="283" ht="29.25"/>
    <row r="284" ht="29.25"/>
    <row r="285" ht="29.25"/>
    <row r="286" ht="29.25"/>
    <row r="287" ht="29.25"/>
    <row r="288" ht="29.25"/>
    <row r="289" ht="29.25"/>
    <row r="290" ht="29.25"/>
    <row r="291" ht="29.25"/>
    <row r="292" ht="29.25"/>
    <row r="293" ht="29.25"/>
    <row r="294" ht="29.25"/>
    <row r="295" ht="29.25"/>
    <row r="296" ht="29.25"/>
    <row r="297" ht="29.25"/>
    <row r="298" ht="29.25"/>
    <row r="299" ht="29.25"/>
    <row r="300" ht="29.25"/>
    <row r="301" ht="29.25"/>
    <row r="302" ht="29.25"/>
    <row r="303" ht="29.25"/>
    <row r="304" ht="29.25"/>
    <row r="305" ht="29.25"/>
    <row r="306" ht="29.25"/>
    <row r="307" ht="29.25"/>
    <row r="308" ht="29.25"/>
  </sheetData>
  <mergeCells count="74"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81:C81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>
      <c r="A1" s="1347"/>
      <c r="B1" s="1347"/>
      <c r="C1" s="1347"/>
      <c r="D1" s="1347"/>
      <c r="E1" s="1347"/>
      <c r="F1" s="1347"/>
      <c r="G1" s="1347"/>
      <c r="H1" s="1347"/>
      <c r="I1" s="1347"/>
      <c r="J1" s="1347"/>
      <c r="K1" s="1347"/>
      <c r="L1" s="1347"/>
      <c r="M1" s="1347"/>
      <c r="N1" s="1347"/>
      <c r="O1" s="1347"/>
    </row>
    <row r="2" spans="1:15" ht="28.5" customHeight="1">
      <c r="A2" s="1" t="s">
        <v>0</v>
      </c>
      <c r="B2" s="1" t="s">
        <v>0</v>
      </c>
      <c r="C2" s="1224" t="s">
        <v>1</v>
      </c>
      <c r="D2" s="4" t="s">
        <v>4</v>
      </c>
      <c r="E2" s="1349" t="s">
        <v>7</v>
      </c>
      <c r="F2" s="1349"/>
      <c r="G2" s="1349"/>
      <c r="H2" s="1355" t="s">
        <v>15</v>
      </c>
      <c r="I2" s="1355"/>
      <c r="J2" s="1355"/>
      <c r="K2" s="1224" t="s">
        <v>16</v>
      </c>
      <c r="L2" s="1355" t="s">
        <v>17</v>
      </c>
      <c r="M2" s="1355"/>
      <c r="N2" s="1355"/>
      <c r="O2" s="1224" t="s">
        <v>18</v>
      </c>
    </row>
    <row r="3" spans="1:15" s="15" customFormat="1" ht="38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297</v>
      </c>
      <c r="O3" s="12"/>
    </row>
    <row r="4" spans="1:15">
      <c r="A4" s="16">
        <v>1</v>
      </c>
      <c r="B4" s="17">
        <v>1</v>
      </c>
      <c r="C4" s="18"/>
      <c r="D4" s="19">
        <f>'1'!F8</f>
        <v>3326755</v>
      </c>
      <c r="E4" s="19">
        <f>'1'!G96</f>
        <v>33</v>
      </c>
      <c r="F4" s="19">
        <f>'1'!F141</f>
        <v>0</v>
      </c>
      <c r="G4" s="21">
        <f>E4*F4</f>
        <v>0</v>
      </c>
      <c r="H4" s="19">
        <f>'1'!G68</f>
        <v>312.09999999999854</v>
      </c>
      <c r="I4" s="19">
        <f>'1'!G69</f>
        <v>292.56999999999971</v>
      </c>
      <c r="J4" s="19">
        <f>'1'!G70</f>
        <v>0</v>
      </c>
      <c r="K4" s="23">
        <f>H4+I4</f>
        <v>604.66999999999825</v>
      </c>
      <c r="L4" s="19">
        <f>'1'!G71</f>
        <v>0</v>
      </c>
      <c r="M4" s="19">
        <f>'1'!G72</f>
        <v>98</v>
      </c>
      <c r="N4" s="19">
        <v>0</v>
      </c>
      <c r="O4" s="23">
        <f>L4+M4+N4</f>
        <v>98</v>
      </c>
    </row>
    <row r="5" spans="1:15">
      <c r="A5" s="16">
        <v>2</v>
      </c>
      <c r="B5" s="26">
        <v>2</v>
      </c>
      <c r="C5" s="26"/>
      <c r="D5" s="19">
        <f>'2'!F8</f>
        <v>3346487</v>
      </c>
      <c r="E5" s="19">
        <f>'2'!G95</f>
        <v>71</v>
      </c>
      <c r="F5" s="19">
        <f>'2'!F122</f>
        <v>0</v>
      </c>
      <c r="G5" s="21">
        <f t="shared" ref="G5:G18" si="0">E5*F5</f>
        <v>0</v>
      </c>
      <c r="H5" s="19">
        <f>'2'!G68</f>
        <v>293</v>
      </c>
      <c r="I5" s="19">
        <f>'2'!G69</f>
        <v>296</v>
      </c>
      <c r="J5" s="19">
        <f>'2'!G70</f>
        <v>0</v>
      </c>
      <c r="K5" s="23">
        <f t="shared" ref="K5:K18" si="1">H5+I5</f>
        <v>589</v>
      </c>
      <c r="L5" s="19">
        <f>'2'!G71</f>
        <v>0</v>
      </c>
      <c r="M5" s="19">
        <f>'2'!G72</f>
        <v>69</v>
      </c>
      <c r="N5" s="19">
        <v>0</v>
      </c>
      <c r="O5" s="23">
        <f t="shared" ref="O5:O18" si="2">L5+M5+N5</f>
        <v>69</v>
      </c>
    </row>
    <row r="6" spans="1:15">
      <c r="A6" s="16">
        <v>3</v>
      </c>
      <c r="B6" s="26">
        <v>3</v>
      </c>
      <c r="C6" s="26"/>
      <c r="D6" s="19">
        <f>'4'!F8</f>
        <v>3384591</v>
      </c>
      <c r="E6" s="19">
        <f>'3'!G95</f>
        <v>60</v>
      </c>
      <c r="F6" s="19">
        <f>'3'!F122</f>
        <v>0</v>
      </c>
      <c r="G6" s="21">
        <f t="shared" si="0"/>
        <v>0</v>
      </c>
      <c r="H6" s="19">
        <f>'4'!G68</f>
        <v>282.69000000000233</v>
      </c>
      <c r="I6" s="19">
        <f>'4'!G69</f>
        <v>292</v>
      </c>
      <c r="J6" s="19">
        <f>'4'!G70</f>
        <v>0</v>
      </c>
      <c r="K6" s="23">
        <f t="shared" si="1"/>
        <v>574.69000000000233</v>
      </c>
      <c r="L6" s="19">
        <f>'4'!G71</f>
        <v>0</v>
      </c>
      <c r="M6" s="19">
        <f>'4'!G72</f>
        <v>64</v>
      </c>
      <c r="N6" s="19">
        <v>0</v>
      </c>
      <c r="O6" s="23">
        <f t="shared" si="2"/>
        <v>64</v>
      </c>
    </row>
    <row r="7" spans="1:15">
      <c r="A7" s="16">
        <v>4</v>
      </c>
      <c r="B7" s="27">
        <v>4</v>
      </c>
      <c r="C7" s="27"/>
      <c r="D7" s="19">
        <f>'3'!F8</f>
        <v>3365919</v>
      </c>
      <c r="E7" s="19">
        <f>'4'!G95</f>
        <v>68</v>
      </c>
      <c r="F7" s="19">
        <f>'1'!F141</f>
        <v>0</v>
      </c>
      <c r="G7" s="21">
        <f t="shared" si="0"/>
        <v>0</v>
      </c>
      <c r="H7" s="19">
        <f>'3'!G68</f>
        <v>269</v>
      </c>
      <c r="I7" s="19">
        <f>'3'!G69</f>
        <v>294</v>
      </c>
      <c r="J7" s="19">
        <f>'3'!G70</f>
        <v>0</v>
      </c>
      <c r="K7" s="23">
        <f t="shared" si="1"/>
        <v>563</v>
      </c>
      <c r="L7" s="19">
        <f>'3'!G71</f>
        <v>0</v>
      </c>
      <c r="M7" s="19">
        <f>'3'!G72</f>
        <v>76</v>
      </c>
      <c r="N7" s="19">
        <v>0</v>
      </c>
      <c r="O7" s="23">
        <f t="shared" si="2"/>
        <v>76</v>
      </c>
    </row>
    <row r="8" spans="1:1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>
      <c r="A9" s="16">
        <v>6</v>
      </c>
      <c r="B9" s="17">
        <v>6</v>
      </c>
      <c r="C9" s="26"/>
      <c r="D9" s="19">
        <f>'6'!F8</f>
        <v>3420748</v>
      </c>
      <c r="E9" s="19">
        <f>'6'!G95</f>
        <v>57</v>
      </c>
      <c r="F9" s="19">
        <f>'1'!F141</f>
        <v>0</v>
      </c>
      <c r="G9" s="21">
        <f t="shared" si="0"/>
        <v>0</v>
      </c>
      <c r="H9" s="19">
        <f>'6'!G68</f>
        <v>290.33000000000175</v>
      </c>
      <c r="I9" s="19">
        <f>'6'!G69</f>
        <v>289.06999999999971</v>
      </c>
      <c r="J9" s="19">
        <f>'6'!G70</f>
        <v>0</v>
      </c>
      <c r="K9" s="23">
        <f t="shared" si="1"/>
        <v>579.40000000000146</v>
      </c>
      <c r="L9" s="19">
        <f>'6'!G71</f>
        <v>0</v>
      </c>
      <c r="M9" s="19">
        <f>'6'!G72</f>
        <v>45</v>
      </c>
      <c r="N9" s="19">
        <v>0</v>
      </c>
      <c r="O9" s="23">
        <f t="shared" si="2"/>
        <v>45</v>
      </c>
    </row>
    <row r="10" spans="1:15">
      <c r="A10" s="16">
        <v>7</v>
      </c>
      <c r="B10" s="26">
        <v>7</v>
      </c>
      <c r="C10" s="27"/>
      <c r="D10" s="19">
        <f>'7'!F8</f>
        <v>3438920</v>
      </c>
      <c r="E10" s="19">
        <f>'7'!G95</f>
        <v>48</v>
      </c>
      <c r="F10" s="19">
        <f>'1'!F141</f>
        <v>0</v>
      </c>
      <c r="G10" s="21">
        <f t="shared" si="0"/>
        <v>0</v>
      </c>
      <c r="H10" s="19">
        <f>'7'!G68</f>
        <v>284</v>
      </c>
      <c r="I10" s="19">
        <f>'7'!G69</f>
        <v>299.48999999999796</v>
      </c>
      <c r="J10" s="19">
        <f>'7'!G70</f>
        <v>0</v>
      </c>
      <c r="K10" s="23">
        <f t="shared" si="1"/>
        <v>583.48999999999796</v>
      </c>
      <c r="L10" s="19">
        <f>'7'!G71</f>
        <v>0</v>
      </c>
      <c r="M10" s="19">
        <f>'7'!G72</f>
        <v>87</v>
      </c>
      <c r="N10" s="19">
        <v>0</v>
      </c>
      <c r="O10" s="23">
        <f t="shared" si="2"/>
        <v>87</v>
      </c>
    </row>
    <row r="11" spans="1:15">
      <c r="A11" s="16">
        <v>8</v>
      </c>
      <c r="B11" s="26">
        <v>8</v>
      </c>
      <c r="C11" s="18"/>
      <c r="D11" s="19">
        <f>'8'!F8</f>
        <v>3457986</v>
      </c>
      <c r="E11" s="19">
        <f>'8'!G95</f>
        <v>59</v>
      </c>
      <c r="F11" s="19">
        <f>'1'!F141</f>
        <v>0</v>
      </c>
      <c r="G11" s="21">
        <f t="shared" si="0"/>
        <v>0</v>
      </c>
      <c r="H11" s="19">
        <f>'8'!G68</f>
        <v>278</v>
      </c>
      <c r="I11" s="19">
        <f>'8'!G69</f>
        <v>300</v>
      </c>
      <c r="J11" s="19">
        <f>'8'!G70</f>
        <v>0</v>
      </c>
      <c r="K11" s="23">
        <f t="shared" si="1"/>
        <v>578</v>
      </c>
      <c r="L11" s="19">
        <f>'8'!G71</f>
        <v>0</v>
      </c>
      <c r="M11" s="19">
        <f>'8'!G72</f>
        <v>55</v>
      </c>
      <c r="N11" s="19">
        <v>0</v>
      </c>
      <c r="O11" s="23">
        <f t="shared" si="2"/>
        <v>55</v>
      </c>
    </row>
    <row r="12" spans="1:15">
      <c r="A12" s="16">
        <v>9</v>
      </c>
      <c r="B12" s="27">
        <v>9</v>
      </c>
      <c r="C12" s="26"/>
      <c r="D12" s="19">
        <f>'9'!F8</f>
        <v>3477016</v>
      </c>
      <c r="E12" s="19">
        <f>'9'!G95</f>
        <v>68</v>
      </c>
      <c r="F12" s="19">
        <f>'1'!F141</f>
        <v>0</v>
      </c>
      <c r="G12" s="21">
        <f t="shared" si="0"/>
        <v>0</v>
      </c>
      <c r="H12" s="19">
        <f>'9'!G68</f>
        <v>286</v>
      </c>
      <c r="I12" s="19">
        <f>'9'!G69</f>
        <v>297</v>
      </c>
      <c r="J12" s="19">
        <f>'9'!G70</f>
        <v>0</v>
      </c>
      <c r="K12" s="23">
        <f t="shared" si="1"/>
        <v>583</v>
      </c>
      <c r="L12" s="19">
        <f>'9'!G71</f>
        <v>0</v>
      </c>
      <c r="M12" s="19">
        <f>'9'!G72</f>
        <v>42</v>
      </c>
      <c r="N12" s="19">
        <v>0</v>
      </c>
      <c r="O12" s="23">
        <f t="shared" si="2"/>
        <v>42</v>
      </c>
    </row>
    <row r="13" spans="1:15">
      <c r="A13" s="16">
        <v>10</v>
      </c>
      <c r="B13" s="27">
        <v>10</v>
      </c>
      <c r="C13" s="26"/>
      <c r="D13" s="19">
        <f>'10'!F8</f>
        <v>3497397</v>
      </c>
      <c r="E13" s="19">
        <f>'10'!G95</f>
        <v>61</v>
      </c>
      <c r="F13" s="19">
        <f>'1'!F141</f>
        <v>0</v>
      </c>
      <c r="G13" s="21">
        <f t="shared" si="0"/>
        <v>0</v>
      </c>
      <c r="H13" s="19">
        <f>'10'!G68</f>
        <v>300</v>
      </c>
      <c r="I13" s="19">
        <f>'10'!G69</f>
        <v>299</v>
      </c>
      <c r="J13" s="19">
        <f>'10'!G70</f>
        <v>0</v>
      </c>
      <c r="K13" s="23">
        <f t="shared" si="1"/>
        <v>599</v>
      </c>
      <c r="L13" s="19">
        <f>'10'!G71</f>
        <v>0</v>
      </c>
      <c r="M13" s="19">
        <f>'10'!G72</f>
        <v>46</v>
      </c>
      <c r="N13" s="19">
        <v>0</v>
      </c>
      <c r="O13" s="23">
        <f t="shared" si="2"/>
        <v>46</v>
      </c>
    </row>
    <row r="14" spans="1:15">
      <c r="A14" s="16">
        <v>11</v>
      </c>
      <c r="B14" s="17">
        <v>11</v>
      </c>
      <c r="C14" s="27"/>
      <c r="D14" s="19">
        <f>'11'!F8</f>
        <v>3517889</v>
      </c>
      <c r="E14" s="19">
        <f>'11'!G95</f>
        <v>93</v>
      </c>
      <c r="F14" s="19">
        <f>'1'!F141</f>
        <v>0</v>
      </c>
      <c r="G14" s="21">
        <f t="shared" si="0"/>
        <v>0</v>
      </c>
      <c r="H14" s="19">
        <f>'11'!G68</f>
        <v>325.19099999999889</v>
      </c>
      <c r="I14" s="19">
        <f>'11'!G69</f>
        <v>292.3550000000032</v>
      </c>
      <c r="J14" s="19">
        <f>'11'!G70</f>
        <v>0</v>
      </c>
      <c r="K14" s="23">
        <f t="shared" si="1"/>
        <v>617.5460000000021</v>
      </c>
      <c r="L14" s="19">
        <f>'11'!G71</f>
        <v>0</v>
      </c>
      <c r="M14" s="19">
        <f>'11'!G72</f>
        <v>91</v>
      </c>
      <c r="N14" s="19">
        <v>0</v>
      </c>
      <c r="O14" s="23">
        <f t="shared" si="2"/>
        <v>91</v>
      </c>
    </row>
    <row r="15" spans="1:15">
      <c r="A15" s="16">
        <v>12</v>
      </c>
      <c r="B15" s="26">
        <v>12</v>
      </c>
      <c r="C15" s="27"/>
      <c r="D15" s="19">
        <f>'12'!F8</f>
        <v>3538080</v>
      </c>
      <c r="E15" s="19">
        <f>'12'!G95</f>
        <v>71</v>
      </c>
      <c r="F15" s="19">
        <f>'1'!F141</f>
        <v>0</v>
      </c>
      <c r="G15" s="20">
        <f t="shared" si="0"/>
        <v>0</v>
      </c>
      <c r="H15" s="19">
        <f>'12'!G68</f>
        <v>332.5789999999979</v>
      </c>
      <c r="I15" s="19">
        <f>'12'!G69</f>
        <v>296.82499999999709</v>
      </c>
      <c r="J15" s="19">
        <f>'12'!G70</f>
        <v>0</v>
      </c>
      <c r="K15" s="23">
        <f t="shared" si="1"/>
        <v>629.40399999999499</v>
      </c>
      <c r="L15" s="19">
        <f>'12'!G71</f>
        <v>0</v>
      </c>
      <c r="M15" s="19">
        <f>'12'!G72</f>
        <v>80</v>
      </c>
      <c r="N15" s="19">
        <v>0</v>
      </c>
      <c r="O15" s="23">
        <f t="shared" si="2"/>
        <v>80</v>
      </c>
    </row>
    <row r="16" spans="1:15">
      <c r="A16" s="16">
        <v>13</v>
      </c>
      <c r="B16" s="26">
        <v>13</v>
      </c>
      <c r="C16" s="26"/>
      <c r="D16" s="19">
        <f>'13'!F8</f>
        <v>3558997</v>
      </c>
      <c r="E16" s="19">
        <f>'13'!G95</f>
        <v>67</v>
      </c>
      <c r="F16" s="19">
        <f>'1'!F141</f>
        <v>0</v>
      </c>
      <c r="G16" s="20">
        <f t="shared" si="0"/>
        <v>0</v>
      </c>
      <c r="H16" s="19">
        <f>'13'!G68</f>
        <v>335.67000000000553</v>
      </c>
      <c r="I16" s="19">
        <f>'13'!G69</f>
        <v>296.83999999999651</v>
      </c>
      <c r="J16" s="19">
        <f>'13'!G70</f>
        <v>0</v>
      </c>
      <c r="K16" s="23">
        <f t="shared" si="1"/>
        <v>632.51000000000204</v>
      </c>
      <c r="L16" s="19">
        <f>'13'!G71</f>
        <v>0</v>
      </c>
      <c r="M16" s="19">
        <f>'13'!G72</f>
        <v>66</v>
      </c>
      <c r="N16" s="19">
        <v>0</v>
      </c>
      <c r="O16" s="23">
        <f t="shared" si="2"/>
        <v>66</v>
      </c>
    </row>
    <row r="17" spans="1:15">
      <c r="A17" s="16">
        <v>14</v>
      </c>
      <c r="B17" s="17">
        <v>14</v>
      </c>
      <c r="C17" s="27"/>
      <c r="D17" s="19">
        <f>'14'!F8</f>
        <v>3578408</v>
      </c>
      <c r="E17" s="19">
        <f>'14'!G95</f>
        <v>68</v>
      </c>
      <c r="F17" s="19">
        <f>'1'!F141</f>
        <v>0</v>
      </c>
      <c r="G17" s="20">
        <f t="shared" si="0"/>
        <v>0</v>
      </c>
      <c r="H17" s="19">
        <f>'14'!G68</f>
        <v>316.32999999999447</v>
      </c>
      <c r="I17" s="19">
        <f>'14'!G69</f>
        <v>276.57100000000355</v>
      </c>
      <c r="J17" s="19">
        <f>'14'!G71</f>
        <v>0</v>
      </c>
      <c r="K17" s="23">
        <f t="shared" si="1"/>
        <v>592.90099999999802</v>
      </c>
      <c r="L17" s="19">
        <f>'14'!G72</f>
        <v>63</v>
      </c>
      <c r="M17" s="19">
        <f>'14'!G73</f>
        <v>1</v>
      </c>
      <c r="N17" s="19">
        <v>0</v>
      </c>
      <c r="O17" s="23">
        <f t="shared" si="2"/>
        <v>64</v>
      </c>
    </row>
    <row r="18" spans="1:15">
      <c r="A18" s="16">
        <v>15</v>
      </c>
      <c r="B18" s="26">
        <v>15</v>
      </c>
      <c r="C18" s="18"/>
      <c r="D18" s="19">
        <f>'15'!F8</f>
        <v>3599308</v>
      </c>
      <c r="E18" s="19">
        <f>'15'!G95</f>
        <v>115</v>
      </c>
      <c r="F18" s="19">
        <f>'1'!F141</f>
        <v>0</v>
      </c>
      <c r="G18" s="20">
        <f t="shared" si="0"/>
        <v>0</v>
      </c>
      <c r="H18" s="19">
        <f>'15'!G68</f>
        <v>344.52100000000064</v>
      </c>
      <c r="I18" s="19">
        <f>'15'!G69</f>
        <v>286.79899999999907</v>
      </c>
      <c r="J18" s="19">
        <f>'15'!G71</f>
        <v>0</v>
      </c>
      <c r="K18" s="23">
        <f t="shared" si="1"/>
        <v>631.31999999999971</v>
      </c>
      <c r="L18" s="19">
        <f>'15'!G72</f>
        <v>61</v>
      </c>
      <c r="M18" s="19">
        <f>'15'!G73</f>
        <v>1</v>
      </c>
      <c r="N18" s="19">
        <v>0</v>
      </c>
      <c r="O18" s="23">
        <f t="shared" si="2"/>
        <v>62</v>
      </c>
    </row>
    <row r="20" spans="1:1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>
      <c r="A1" s="1605" t="s">
        <v>128</v>
      </c>
      <c r="B1" s="1605"/>
      <c r="C1" s="1605"/>
      <c r="D1" s="1605"/>
      <c r="E1" s="1605"/>
      <c r="F1" s="1605"/>
      <c r="G1" s="1605"/>
      <c r="H1" s="1605"/>
      <c r="I1" s="1605"/>
      <c r="J1" s="1605"/>
    </row>
    <row r="2" spans="1:12" ht="23.25" customHeight="1">
      <c r="A2" s="214" t="s">
        <v>298</v>
      </c>
      <c r="B2" s="195">
        <v>42328</v>
      </c>
      <c r="C2" s="1606" t="s">
        <v>299</v>
      </c>
      <c r="D2" s="1607"/>
      <c r="E2" s="191" t="s">
        <v>129</v>
      </c>
      <c r="F2" s="191" t="s">
        <v>6</v>
      </c>
      <c r="G2" s="191" t="s">
        <v>8</v>
      </c>
      <c r="H2" s="40" t="s">
        <v>130</v>
      </c>
      <c r="I2" s="41"/>
      <c r="J2" s="42"/>
    </row>
    <row r="3" spans="1:12" ht="18.75" customHeight="1">
      <c r="A3" s="1246" t="s">
        <v>300</v>
      </c>
      <c r="B3" s="189"/>
      <c r="C3" s="189"/>
      <c r="D3" s="1247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301</v>
      </c>
      <c r="J3" s="42" t="s">
        <v>302</v>
      </c>
      <c r="K3" s="116"/>
      <c r="L3" s="117"/>
    </row>
    <row r="4" spans="1:12" ht="18.75" customHeight="1">
      <c r="A4" s="45" t="s">
        <v>303</v>
      </c>
      <c r="B4" s="46" t="s">
        <v>304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>
      <c r="A5" s="216" t="s">
        <v>134</v>
      </c>
      <c r="B5" s="217"/>
      <c r="C5" s="218"/>
      <c r="D5" s="219" t="s">
        <v>135</v>
      </c>
      <c r="E5" s="220" t="s">
        <v>136</v>
      </c>
      <c r="F5" s="220" t="s">
        <v>123</v>
      </c>
      <c r="G5" s="221" t="s">
        <v>137</v>
      </c>
      <c r="H5" s="222" t="s">
        <v>138</v>
      </c>
      <c r="I5" s="223" t="s">
        <v>139</v>
      </c>
      <c r="J5" s="221" t="s">
        <v>140</v>
      </c>
      <c r="K5" s="53"/>
      <c r="L5" s="117"/>
    </row>
    <row r="6" spans="1:12" ht="18.75" customHeight="1">
      <c r="A6" s="1613" t="s">
        <v>141</v>
      </c>
      <c r="B6" s="1614"/>
      <c r="C6" s="1615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>
      <c r="A7" s="250" t="s">
        <v>142</v>
      </c>
      <c r="B7" s="251"/>
      <c r="C7" s="252"/>
      <c r="D7" s="133" t="s">
        <v>143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>
      <c r="A9" s="64" t="s">
        <v>145</v>
      </c>
      <c r="B9" s="65"/>
      <c r="C9" s="66"/>
      <c r="D9" s="55" t="s">
        <v>143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>
      <c r="A10" s="192" t="s">
        <v>146</v>
      </c>
      <c r="B10" s="193"/>
      <c r="C10" s="194"/>
      <c r="D10" s="55" t="s">
        <v>143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>
      <c r="A11" s="192" t="s">
        <v>147</v>
      </c>
      <c r="B11" s="193"/>
      <c r="C11" s="194"/>
      <c r="D11" s="55" t="s">
        <v>143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>
      <c r="A12" s="192" t="s">
        <v>148</v>
      </c>
      <c r="B12" s="193"/>
      <c r="C12" s="194"/>
      <c r="D12" s="55" t="s">
        <v>143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>
      <c r="A13" s="180" t="s">
        <v>149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>
      <c r="A14" s="1599" t="s">
        <v>150</v>
      </c>
      <c r="B14" s="1600"/>
      <c r="C14" s="1601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>
      <c r="A15" s="183" t="s">
        <v>151</v>
      </c>
      <c r="B15" s="184"/>
      <c r="C15" s="185"/>
      <c r="D15" s="133" t="s">
        <v>152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>
      <c r="A17" s="1599" t="s">
        <v>153</v>
      </c>
      <c r="B17" s="1600"/>
      <c r="C17" s="1601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>
      <c r="A18" s="1583" t="s">
        <v>154</v>
      </c>
      <c r="B18" s="1584"/>
      <c r="C18" s="1585"/>
      <c r="D18" s="55" t="s">
        <v>155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>
      <c r="A19" s="1583" t="s">
        <v>71</v>
      </c>
      <c r="B19" s="1584"/>
      <c r="C19" s="1585"/>
      <c r="D19" s="55" t="s">
        <v>155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>
      <c r="A20" s="180" t="s">
        <v>156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>
      <c r="A21" s="1599" t="s">
        <v>157</v>
      </c>
      <c r="B21" s="1600"/>
      <c r="C21" s="1601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>
      <c r="A22" s="1243" t="s">
        <v>158</v>
      </c>
      <c r="B22" s="1244"/>
      <c r="C22" s="1245"/>
      <c r="D22" s="55" t="s">
        <v>159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>
      <c r="A23" s="1243" t="s">
        <v>160</v>
      </c>
      <c r="B23" s="1244"/>
      <c r="C23" s="1245"/>
      <c r="D23" s="55" t="s">
        <v>159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>
      <c r="A24" s="170" t="s">
        <v>161</v>
      </c>
      <c r="B24" s="171"/>
      <c r="C24" s="172"/>
      <c r="D24" s="54" t="s">
        <v>159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>
      <c r="A25" s="1602" t="s">
        <v>162</v>
      </c>
      <c r="B25" s="1603"/>
      <c r="C25" s="1604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>
      <c r="A26" s="164" t="s">
        <v>163</v>
      </c>
      <c r="B26" s="165"/>
      <c r="C26" s="166"/>
      <c r="D26" s="144" t="s">
        <v>164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>
      <c r="A27" s="164" t="s">
        <v>6</v>
      </c>
      <c r="B27" s="165"/>
      <c r="C27" s="166"/>
      <c r="D27" s="146" t="s">
        <v>143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>
      <c r="A28" s="164" t="s">
        <v>165</v>
      </c>
      <c r="B28" s="165"/>
      <c r="C28" s="166"/>
      <c r="D28" s="146" t="s">
        <v>166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>
      <c r="A29" s="164" t="s">
        <v>167</v>
      </c>
      <c r="B29" s="165"/>
      <c r="C29" s="166"/>
      <c r="D29" s="146" t="s">
        <v>168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>
      <c r="A30" s="164" t="s">
        <v>8</v>
      </c>
      <c r="B30" s="165"/>
      <c r="C30" s="166"/>
      <c r="D30" s="146" t="s">
        <v>170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>
      <c r="A31" s="167" t="s">
        <v>172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>
      <c r="A32" s="1608" t="s">
        <v>173</v>
      </c>
      <c r="B32" s="1609"/>
      <c r="C32" s="1609"/>
      <c r="D32" s="1609"/>
      <c r="E32" s="1609"/>
      <c r="F32" s="1609"/>
      <c r="G32" s="1609"/>
      <c r="H32" s="1609"/>
      <c r="I32" s="1609"/>
      <c r="J32" s="1610"/>
      <c r="K32" s="59"/>
      <c r="L32" s="117"/>
    </row>
    <row r="33" spans="1:12" ht="18.75" customHeight="1">
      <c r="A33" s="1259" t="s">
        <v>174</v>
      </c>
      <c r="B33" s="1260"/>
      <c r="C33" s="1261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>
      <c r="A34" s="192" t="s">
        <v>175</v>
      </c>
      <c r="B34" s="193"/>
      <c r="C34" s="194"/>
      <c r="D34" s="55" t="s">
        <v>143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>
      <c r="A35" s="192" t="s">
        <v>176</v>
      </c>
      <c r="B35" s="193"/>
      <c r="C35" s="194"/>
      <c r="D35" s="55" t="s">
        <v>143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>
      <c r="A36" s="192" t="s">
        <v>177</v>
      </c>
      <c r="B36" s="193"/>
      <c r="C36" s="194"/>
      <c r="D36" s="55" t="s">
        <v>143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>
      <c r="A37" s="192" t="s">
        <v>178</v>
      </c>
      <c r="B37" s="193"/>
      <c r="C37" s="194"/>
      <c r="D37" s="55" t="s">
        <v>143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>
      <c r="A38" s="192" t="s">
        <v>179</v>
      </c>
      <c r="B38" s="193"/>
      <c r="C38" s="194"/>
      <c r="D38" s="55" t="s">
        <v>143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>
      <c r="A39" s="76" t="s">
        <v>180</v>
      </c>
      <c r="B39" s="77"/>
      <c r="C39" s="78"/>
      <c r="D39" s="55" t="s">
        <v>143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>
      <c r="A40" s="192" t="s">
        <v>181</v>
      </c>
      <c r="B40" s="193"/>
      <c r="C40" s="194"/>
      <c r="D40" s="55" t="s">
        <v>143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>
      <c r="A41" s="192" t="s">
        <v>182</v>
      </c>
      <c r="B41" s="193"/>
      <c r="C41" s="194"/>
      <c r="D41" s="55" t="s">
        <v>143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>
      <c r="A42" s="192" t="s">
        <v>183</v>
      </c>
      <c r="B42" s="193"/>
      <c r="C42" s="194"/>
      <c r="D42" s="55" t="s">
        <v>143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>
      <c r="A43" s="192" t="s">
        <v>184</v>
      </c>
      <c r="B43" s="193"/>
      <c r="C43" s="194"/>
      <c r="D43" s="55" t="s">
        <v>143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>
      <c r="A44" s="192" t="s">
        <v>185</v>
      </c>
      <c r="B44" s="193"/>
      <c r="C44" s="194"/>
      <c r="D44" s="55" t="s">
        <v>143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>
      <c r="A45" s="192" t="s">
        <v>186</v>
      </c>
      <c r="B45" s="193"/>
      <c r="C45" s="194"/>
      <c r="D45" s="55" t="s">
        <v>143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>
      <c r="A46" s="180" t="s">
        <v>187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>
      <c r="A47" s="1259" t="s">
        <v>188</v>
      </c>
      <c r="B47" s="1260"/>
      <c r="C47" s="1261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>
      <c r="A48" s="192" t="s">
        <v>175</v>
      </c>
      <c r="B48" s="175"/>
      <c r="C48" s="176"/>
      <c r="D48" s="55" t="s">
        <v>143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>
      <c r="A49" s="192" t="s">
        <v>189</v>
      </c>
      <c r="B49" s="175"/>
      <c r="C49" s="176"/>
      <c r="D49" s="55" t="s">
        <v>143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>
      <c r="A50" s="192" t="s">
        <v>177</v>
      </c>
      <c r="B50" s="175"/>
      <c r="C50" s="176"/>
      <c r="D50" s="55" t="s">
        <v>143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>
      <c r="A51" s="192" t="s">
        <v>190</v>
      </c>
      <c r="B51" s="175"/>
      <c r="C51" s="176"/>
      <c r="D51" s="55" t="s">
        <v>143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>
      <c r="A52" s="192" t="s">
        <v>179</v>
      </c>
      <c r="B52" s="175"/>
      <c r="C52" s="176"/>
      <c r="D52" s="55" t="s">
        <v>143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>
      <c r="A53" s="192" t="s">
        <v>191</v>
      </c>
      <c r="B53" s="175"/>
      <c r="C53" s="176"/>
      <c r="D53" s="55" t="s">
        <v>143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>
      <c r="A54" s="192" t="s">
        <v>192</v>
      </c>
      <c r="B54" s="175"/>
      <c r="C54" s="176"/>
      <c r="D54" s="55" t="s">
        <v>143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>
      <c r="A55" s="192" t="s">
        <v>193</v>
      </c>
      <c r="B55" s="175"/>
      <c r="C55" s="176"/>
      <c r="D55" s="55" t="s">
        <v>194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>
      <c r="A56" s="192" t="s">
        <v>183</v>
      </c>
      <c r="B56" s="175"/>
      <c r="C56" s="176"/>
      <c r="D56" s="55" t="s">
        <v>143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>
      <c r="A57" s="192" t="s">
        <v>195</v>
      </c>
      <c r="B57" s="175"/>
      <c r="C57" s="176"/>
      <c r="D57" s="55" t="s">
        <v>143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>
      <c r="A58" s="180" t="s">
        <v>187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>
      <c r="A59" s="190"/>
      <c r="B59" s="190"/>
      <c r="C59" s="190"/>
      <c r="D59" s="54" t="s">
        <v>196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>
      <c r="A60" s="98" t="s">
        <v>197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>
      <c r="A61" s="243" t="s">
        <v>106</v>
      </c>
      <c r="B61" s="244"/>
      <c r="C61" s="245"/>
      <c r="D61" s="54" t="s">
        <v>198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>
      <c r="A62" s="243" t="s">
        <v>199</v>
      </c>
      <c r="B62" s="244"/>
      <c r="C62" s="245"/>
      <c r="D62" s="54" t="s">
        <v>198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>
      <c r="A63" s="1595" t="s">
        <v>107</v>
      </c>
      <c r="B63" s="1596"/>
      <c r="C63" s="1597"/>
      <c r="D63" s="55" t="s">
        <v>198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>
      <c r="A64" s="1595" t="s">
        <v>108</v>
      </c>
      <c r="B64" s="1596"/>
      <c r="C64" s="1597"/>
      <c r="D64" s="55" t="s">
        <v>198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>
      <c r="A65" s="1595" t="s">
        <v>109</v>
      </c>
      <c r="B65" s="1596"/>
      <c r="C65" s="1597"/>
      <c r="D65" s="55" t="s">
        <v>198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>
      <c r="A66" s="1595" t="s">
        <v>110</v>
      </c>
      <c r="B66" s="1596"/>
      <c r="C66" s="1597"/>
      <c r="D66" s="55" t="s">
        <v>198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>
      <c r="A67" s="1595" t="s">
        <v>111</v>
      </c>
      <c r="B67" s="1596"/>
      <c r="C67" s="1597"/>
      <c r="D67" s="55" t="s">
        <v>198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>
      <c r="A68" s="1595" t="s">
        <v>112</v>
      </c>
      <c r="B68" s="1596"/>
      <c r="C68" s="1597"/>
      <c r="D68" s="55" t="s">
        <v>198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>
      <c r="A69" s="106" t="s">
        <v>201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>
      <c r="A70" s="1595" t="s">
        <v>202</v>
      </c>
      <c r="B70" s="1596"/>
      <c r="C70" s="1597"/>
      <c r="D70" s="55" t="s">
        <v>198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>
      <c r="A71" s="1595" t="s">
        <v>203</v>
      </c>
      <c r="B71" s="1596"/>
      <c r="C71" s="1597"/>
      <c r="D71" s="55" t="s">
        <v>198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>
      <c r="A72" s="1595" t="s">
        <v>204</v>
      </c>
      <c r="B72" s="1596"/>
      <c r="C72" s="1597"/>
      <c r="D72" s="55" t="s">
        <v>198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>
      <c r="A73" s="1592" t="s">
        <v>205</v>
      </c>
      <c r="B73" s="1593"/>
      <c r="C73" s="1594"/>
      <c r="D73" s="55" t="s">
        <v>198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>
      <c r="A74" s="1592" t="s">
        <v>206</v>
      </c>
      <c r="B74" s="1593"/>
      <c r="C74" s="1594"/>
      <c r="D74" s="55" t="s">
        <v>198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>
      <c r="A75" s="1595" t="s">
        <v>207</v>
      </c>
      <c r="B75" s="1596"/>
      <c r="C75" s="1597"/>
      <c r="D75" s="55" t="s">
        <v>198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>
      <c r="A76" s="1598" t="s">
        <v>97</v>
      </c>
      <c r="B76" s="1590"/>
      <c r="C76" s="1591"/>
      <c r="D76" s="81" t="s">
        <v>198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>
      <c r="A77" s="1598" t="s">
        <v>209</v>
      </c>
      <c r="B77" s="1590"/>
      <c r="C77" s="1591"/>
      <c r="D77" s="81" t="s">
        <v>198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>
      <c r="A78" s="1598" t="s">
        <v>210</v>
      </c>
      <c r="B78" s="1590"/>
      <c r="C78" s="1591"/>
      <c r="D78" s="81" t="s">
        <v>198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>
      <c r="A79" s="1589" t="s">
        <v>100</v>
      </c>
      <c r="B79" s="1590"/>
      <c r="C79" s="1591"/>
      <c r="D79" s="207" t="s">
        <v>143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>
      <c r="A80" s="1589" t="s">
        <v>211</v>
      </c>
      <c r="B80" s="1590"/>
      <c r="C80" s="1591"/>
      <c r="D80" s="208" t="s">
        <v>143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>
      <c r="A81" s="1589" t="s">
        <v>305</v>
      </c>
      <c r="B81" s="1590"/>
      <c r="C81" s="1591"/>
      <c r="D81" s="209" t="s">
        <v>143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>
      <c r="A82" s="113" t="s">
        <v>213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>
      <c r="A83" s="177" t="s">
        <v>216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>
      <c r="A84" s="1583" t="s">
        <v>218</v>
      </c>
      <c r="B84" s="1584"/>
      <c r="C84" s="1585"/>
      <c r="D84" s="55" t="s">
        <v>155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>
      <c r="A85" s="1583" t="s">
        <v>220</v>
      </c>
      <c r="B85" s="1584"/>
      <c r="C85" s="1585"/>
      <c r="D85" s="55" t="s">
        <v>155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>
      <c r="A86" s="1583" t="s">
        <v>221</v>
      </c>
      <c r="B86" s="1584"/>
      <c r="C86" s="1585"/>
      <c r="D86" s="55" t="s">
        <v>155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>
      <c r="A87" s="1583" t="s">
        <v>222</v>
      </c>
      <c r="B87" s="1584"/>
      <c r="C87" s="1585"/>
      <c r="D87" s="55" t="s">
        <v>155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>
      <c r="A88" s="1583" t="s">
        <v>223</v>
      </c>
      <c r="B88" s="1584"/>
      <c r="C88" s="1585"/>
      <c r="D88" s="55" t="s">
        <v>155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>
      <c r="A89" s="1583" t="s">
        <v>224</v>
      </c>
      <c r="B89" s="1584"/>
      <c r="C89" s="1585"/>
      <c r="D89" s="55" t="s">
        <v>155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>
      <c r="A90" s="1583" t="s">
        <v>225</v>
      </c>
      <c r="B90" s="1584"/>
      <c r="C90" s="1585"/>
      <c r="D90" s="55" t="s">
        <v>155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>
      <c r="A91" s="1583" t="s">
        <v>230</v>
      </c>
      <c r="B91" s="1584"/>
      <c r="C91" s="1585"/>
      <c r="D91" s="55" t="s">
        <v>155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>
      <c r="A92" s="1583" t="s">
        <v>77</v>
      </c>
      <c r="B92" s="1584"/>
      <c r="C92" s="1585"/>
      <c r="D92" s="55" t="s">
        <v>155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>
      <c r="A93" s="1583" t="s">
        <v>78</v>
      </c>
      <c r="B93" s="1584"/>
      <c r="C93" s="1585"/>
      <c r="D93" s="55" t="s">
        <v>155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>
      <c r="A94" s="1583" t="s">
        <v>217</v>
      </c>
      <c r="B94" s="1584"/>
      <c r="C94" s="1585"/>
      <c r="D94" s="55" t="s">
        <v>155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>
      <c r="A95" s="1586" t="s">
        <v>241</v>
      </c>
      <c r="B95" s="1587"/>
      <c r="C95" s="1588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>
      <c r="A96" s="186" t="s">
        <v>242</v>
      </c>
      <c r="B96" s="187"/>
      <c r="C96" s="188"/>
      <c r="D96" s="137" t="s">
        <v>152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>
      <c r="A97" s="89" t="s">
        <v>244</v>
      </c>
      <c r="B97" s="1244"/>
      <c r="C97" s="1245"/>
      <c r="D97" s="55" t="s">
        <v>152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>
      <c r="A98" s="1611" t="s">
        <v>261</v>
      </c>
      <c r="B98" s="1612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>
      <c r="A99" s="1583" t="s">
        <v>262</v>
      </c>
      <c r="B99" s="1584"/>
      <c r="C99" s="1585"/>
      <c r="D99" s="55" t="s">
        <v>143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>
      <c r="A100" s="1583" t="s">
        <v>263</v>
      </c>
      <c r="B100" s="1584"/>
      <c r="C100" s="1585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>
      <c r="A101" s="1583" t="s">
        <v>264</v>
      </c>
      <c r="B101" s="1584"/>
      <c r="C101" s="1585"/>
      <c r="D101" s="55" t="s">
        <v>143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>
      <c r="A102" s="1583" t="s">
        <v>265</v>
      </c>
      <c r="B102" s="1584"/>
      <c r="C102" s="1585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>
      <c r="A103" s="1583" t="s">
        <v>266</v>
      </c>
      <c r="B103" s="1584"/>
      <c r="C103" s="1585"/>
      <c r="D103" s="55" t="s">
        <v>143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>
      <c r="A104" s="1583" t="s">
        <v>267</v>
      </c>
      <c r="B104" s="1584"/>
      <c r="C104" s="1585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>
      <c r="A105" s="1583" t="s">
        <v>268</v>
      </c>
      <c r="B105" s="1584"/>
      <c r="C105" s="1585"/>
      <c r="D105" s="55" t="s">
        <v>194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>
      <c r="A106" s="1583" t="s">
        <v>269</v>
      </c>
      <c r="B106" s="1584"/>
      <c r="C106" s="1585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>
      <c r="A107" s="1583" t="s">
        <v>270</v>
      </c>
      <c r="B107" s="1584"/>
      <c r="C107" s="1585"/>
      <c r="D107" s="55" t="s">
        <v>194</v>
      </c>
      <c r="E107" s="70"/>
      <c r="F107" s="70"/>
      <c r="G107" s="131"/>
      <c r="H107" s="57"/>
      <c r="I107" s="69"/>
      <c r="J107" s="58"/>
      <c r="K107" s="153"/>
    </row>
    <row r="108" spans="1:12" ht="18.75" customHeight="1">
      <c r="A108" s="1583" t="s">
        <v>271</v>
      </c>
      <c r="B108" s="1584"/>
      <c r="C108" s="1585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>
      <c r="A109" s="1583" t="s">
        <v>272</v>
      </c>
      <c r="B109" s="1584"/>
      <c r="C109" s="1585"/>
      <c r="D109" s="55" t="s">
        <v>194</v>
      </c>
      <c r="E109" s="70"/>
      <c r="F109" s="70"/>
      <c r="G109" s="132"/>
      <c r="H109" s="57"/>
      <c r="I109" s="86"/>
      <c r="J109" s="58"/>
    </row>
    <row r="110" spans="1:12" ht="18.75" customHeight="1">
      <c r="A110" s="1583" t="s">
        <v>273</v>
      </c>
      <c r="B110" s="1584"/>
      <c r="C110" s="1585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>
      <c r="A111" s="173" t="s">
        <v>248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>
      <c r="A112" s="197" t="s">
        <v>249</v>
      </c>
      <c r="B112" s="197"/>
      <c r="C112" s="197"/>
      <c r="D112" s="55" t="s">
        <v>250</v>
      </c>
      <c r="E112" s="56"/>
      <c r="F112" s="82"/>
      <c r="G112" s="124"/>
      <c r="H112" s="57"/>
      <c r="I112" s="69"/>
      <c r="J112" s="58"/>
    </row>
    <row r="113" spans="1:10" ht="18.75" customHeight="1">
      <c r="A113" s="197" t="s">
        <v>251</v>
      </c>
      <c r="B113" s="197"/>
      <c r="C113" s="197"/>
      <c r="D113" s="55" t="s">
        <v>250</v>
      </c>
      <c r="E113" s="56"/>
      <c r="F113" s="82"/>
      <c r="G113" s="124"/>
      <c r="H113" s="57"/>
      <c r="I113" s="69"/>
      <c r="J113" s="58"/>
    </row>
    <row r="114" spans="1:10" ht="18.75" customHeight="1">
      <c r="A114" s="197" t="s">
        <v>252</v>
      </c>
      <c r="B114" s="197"/>
      <c r="C114" s="197"/>
      <c r="D114" s="55" t="s">
        <v>250</v>
      </c>
      <c r="E114" s="56"/>
      <c r="F114" s="82"/>
      <c r="G114" s="124"/>
      <c r="H114" s="57"/>
      <c r="I114" s="69"/>
      <c r="J114" s="58"/>
    </row>
    <row r="115" spans="1:10" ht="18.75" customHeight="1">
      <c r="A115" s="197" t="s">
        <v>253</v>
      </c>
      <c r="B115" s="197"/>
      <c r="C115" s="197"/>
      <c r="D115" s="55" t="s">
        <v>250</v>
      </c>
      <c r="E115" s="56"/>
      <c r="F115" s="82"/>
      <c r="G115" s="124"/>
      <c r="H115" s="57"/>
      <c r="I115" s="69"/>
      <c r="J115" s="58"/>
    </row>
    <row r="116" spans="1:10" ht="18.75" customHeight="1">
      <c r="A116" s="197" t="s">
        <v>254</v>
      </c>
      <c r="B116" s="197"/>
      <c r="C116" s="197"/>
      <c r="D116" s="55" t="s">
        <v>250</v>
      </c>
      <c r="E116" s="56"/>
      <c r="F116" s="82"/>
      <c r="G116" s="124"/>
      <c r="H116" s="57"/>
      <c r="I116" s="69"/>
      <c r="J116" s="58"/>
    </row>
    <row r="117" spans="1:10" ht="18.75" customHeight="1">
      <c r="A117" s="197" t="s">
        <v>255</v>
      </c>
      <c r="B117" s="197"/>
      <c r="C117" s="197"/>
      <c r="D117" s="55" t="s">
        <v>250</v>
      </c>
      <c r="E117" s="56"/>
      <c r="F117" s="82"/>
      <c r="G117" s="124"/>
      <c r="H117" s="57"/>
      <c r="I117" s="69"/>
      <c r="J117" s="58"/>
    </row>
    <row r="118" spans="1:10" ht="18.75" customHeight="1">
      <c r="A118" s="197" t="s">
        <v>256</v>
      </c>
      <c r="B118" s="197"/>
      <c r="C118" s="197"/>
      <c r="D118" s="55" t="s">
        <v>250</v>
      </c>
      <c r="E118" s="56"/>
      <c r="F118" s="82"/>
      <c r="G118" s="124"/>
      <c r="H118" s="57"/>
      <c r="I118" s="69"/>
      <c r="J118" s="58"/>
    </row>
    <row r="119" spans="1:10" ht="18.75" customHeight="1">
      <c r="A119" s="197" t="s">
        <v>257</v>
      </c>
      <c r="B119" s="197"/>
      <c r="C119" s="197"/>
      <c r="D119" s="55" t="s">
        <v>250</v>
      </c>
      <c r="E119" s="56"/>
      <c r="F119" s="82"/>
      <c r="G119" s="124"/>
      <c r="H119" s="57"/>
      <c r="I119" s="69"/>
      <c r="J119" s="58"/>
    </row>
    <row r="120" spans="1:10" ht="18.75" customHeight="1">
      <c r="A120" s="197" t="s">
        <v>258</v>
      </c>
      <c r="B120" s="197"/>
      <c r="C120" s="197"/>
      <c r="D120" s="55" t="s">
        <v>250</v>
      </c>
      <c r="E120" s="56"/>
      <c r="F120" s="82"/>
      <c r="G120" s="124"/>
      <c r="H120" s="57"/>
      <c r="I120" s="69"/>
      <c r="J120" s="58"/>
    </row>
    <row r="121" spans="1:10" ht="18.75" customHeight="1">
      <c r="A121" s="197" t="s">
        <v>259</v>
      </c>
      <c r="B121" s="197"/>
      <c r="C121" s="197"/>
      <c r="D121" s="55" t="s">
        <v>250</v>
      </c>
      <c r="E121" s="56"/>
      <c r="F121" s="82"/>
      <c r="G121" s="124"/>
      <c r="H121" s="57"/>
      <c r="I121" s="69"/>
      <c r="J121" s="58"/>
    </row>
    <row r="122" spans="1:10" ht="18.75" customHeight="1">
      <c r="A122" s="197" t="s">
        <v>260</v>
      </c>
      <c r="B122" s="197"/>
      <c r="C122" s="197"/>
      <c r="D122" s="55" t="s">
        <v>250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>
      <c r="A1" s="1605" t="s">
        <v>128</v>
      </c>
      <c r="B1" s="1605"/>
      <c r="C1" s="1605"/>
      <c r="D1" s="1605"/>
      <c r="E1" s="1605"/>
      <c r="F1" s="1605"/>
      <c r="G1" s="1605"/>
      <c r="H1" s="1605"/>
      <c r="I1" s="1605"/>
      <c r="J1" s="1605"/>
    </row>
    <row r="2" spans="1:12" ht="23.25" customHeight="1">
      <c r="A2" s="282" t="s">
        <v>306</v>
      </c>
      <c r="B2" s="283">
        <v>43585</v>
      </c>
      <c r="C2" s="419" t="s">
        <v>69</v>
      </c>
      <c r="D2" s="284">
        <v>0.66339999999999999</v>
      </c>
      <c r="E2" s="285"/>
      <c r="F2" s="285"/>
      <c r="G2" s="285" t="s">
        <v>129</v>
      </c>
      <c r="H2" s="285" t="s">
        <v>6</v>
      </c>
      <c r="I2" s="285" t="s">
        <v>8</v>
      </c>
      <c r="J2" s="286" t="s">
        <v>130</v>
      </c>
    </row>
    <row r="3" spans="1:12" ht="23.25" customHeight="1">
      <c r="A3" s="288"/>
      <c r="B3" s="289"/>
      <c r="C3" s="1242" t="s">
        <v>131</v>
      </c>
      <c r="D3" s="418">
        <v>32</v>
      </c>
      <c r="E3" s="1486" t="s">
        <v>132</v>
      </c>
      <c r="F3" s="1487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>
      <c r="A4" s="294"/>
      <c r="B4" s="288"/>
      <c r="C4" s="419" t="s">
        <v>133</v>
      </c>
      <c r="D4" s="284">
        <v>0.71</v>
      </c>
      <c r="E4" s="295"/>
      <c r="F4" s="295"/>
      <c r="G4" s="295"/>
      <c r="H4" s="295"/>
      <c r="I4" s="296"/>
      <c r="J4" s="287"/>
      <c r="K4" s="118"/>
      <c r="L4" s="117"/>
    </row>
    <row r="5" spans="1:12" ht="23.25" customHeight="1" thickBot="1">
      <c r="A5" s="298" t="s">
        <v>134</v>
      </c>
      <c r="B5" s="299"/>
      <c r="C5" s="300"/>
      <c r="D5" s="301" t="s">
        <v>135</v>
      </c>
      <c r="E5" s="302" t="s">
        <v>136</v>
      </c>
      <c r="F5" s="302" t="s">
        <v>123</v>
      </c>
      <c r="G5" s="303" t="s">
        <v>137</v>
      </c>
      <c r="H5" s="222" t="s">
        <v>138</v>
      </c>
      <c r="I5" s="223" t="s">
        <v>139</v>
      </c>
      <c r="J5" s="221" t="s">
        <v>140</v>
      </c>
      <c r="K5" s="53"/>
      <c r="L5" s="117"/>
    </row>
    <row r="6" spans="1:12" ht="23.25" customHeight="1">
      <c r="A6" s="1483" t="s">
        <v>141</v>
      </c>
      <c r="B6" s="1484"/>
      <c r="C6" s="1485"/>
      <c r="D6" s="422"/>
      <c r="E6" s="422"/>
      <c r="F6" s="422"/>
      <c r="G6" s="422"/>
      <c r="H6" s="474"/>
      <c r="I6" s="474"/>
      <c r="J6" s="474"/>
      <c r="K6" s="43"/>
      <c r="L6" s="117"/>
    </row>
    <row r="7" spans="1:12" ht="23.25" customHeight="1" thickBot="1">
      <c r="A7" s="308" t="s">
        <v>142</v>
      </c>
      <c r="B7" s="309"/>
      <c r="C7" s="310"/>
      <c r="D7" s="311" t="s">
        <v>143</v>
      </c>
      <c r="E7" s="159">
        <f>'29'!F7</f>
        <v>3850820</v>
      </c>
      <c r="F7" s="312">
        <v>3615871.9</v>
      </c>
      <c r="G7" s="313">
        <f>F7-E7</f>
        <v>-234948.10000000009</v>
      </c>
      <c r="H7" s="57">
        <f>G7+'29'!H7</f>
        <v>329431.89999999991</v>
      </c>
      <c r="I7" s="276">
        <f>'1'!I7</f>
        <v>12000</v>
      </c>
      <c r="J7" s="58">
        <f>H7/DAY(B2)</f>
        <v>10981.06333333333</v>
      </c>
      <c r="K7" s="59"/>
      <c r="L7" s="117"/>
    </row>
    <row r="8" spans="1:12" ht="23.25" customHeight="1">
      <c r="A8" s="316"/>
      <c r="B8" s="317"/>
      <c r="C8" s="318"/>
      <c r="D8" s="319"/>
      <c r="E8" s="320"/>
      <c r="F8" s="320"/>
      <c r="G8" s="321"/>
      <c r="H8" s="162"/>
      <c r="I8" s="249"/>
      <c r="J8" s="141"/>
      <c r="K8" s="59"/>
      <c r="L8" s="117"/>
    </row>
    <row r="9" spans="1:12" ht="23.25" customHeight="1">
      <c r="A9" s="322" t="s">
        <v>145</v>
      </c>
      <c r="B9" s="323"/>
      <c r="C9" s="324"/>
      <c r="D9" s="268" t="s">
        <v>143</v>
      </c>
      <c r="E9" s="56">
        <f>'29'!F9</f>
        <v>2522775</v>
      </c>
      <c r="F9" s="264">
        <v>2288314.7000000002</v>
      </c>
      <c r="G9" s="325">
        <f t="shared" ref="G9:G11" si="0">F9-E9</f>
        <v>-234460.29999999981</v>
      </c>
      <c r="H9" s="57">
        <f>G9+'29'!H9</f>
        <v>-116900.29999999981</v>
      </c>
      <c r="I9" s="278">
        <f>I7-J7</f>
        <v>1018.9366666666701</v>
      </c>
      <c r="J9" s="58">
        <f>H9/DAY(B2)</f>
        <v>-3896.6766666666604</v>
      </c>
      <c r="K9" s="59"/>
      <c r="L9" s="117"/>
    </row>
    <row r="10" spans="1:12" ht="23.25" customHeight="1">
      <c r="A10" s="327" t="s">
        <v>146</v>
      </c>
      <c r="B10" s="328"/>
      <c r="C10" s="329"/>
      <c r="D10" s="268" t="s">
        <v>143</v>
      </c>
      <c r="E10" s="56">
        <f>'29'!F10</f>
        <v>1177122</v>
      </c>
      <c r="F10" s="264">
        <v>1226059.3999999999</v>
      </c>
      <c r="G10" s="325">
        <f t="shared" si="0"/>
        <v>48937.399999999907</v>
      </c>
      <c r="H10" s="57">
        <f>G10+'29'!H10</f>
        <v>475537.48999999987</v>
      </c>
      <c r="I10" s="69"/>
      <c r="J10" s="58">
        <f>H10/DAY(B2)</f>
        <v>15851.249666666663</v>
      </c>
      <c r="K10" s="59"/>
      <c r="L10" s="117"/>
    </row>
    <row r="11" spans="1:12" ht="23.25" customHeight="1">
      <c r="A11" s="327" t="s">
        <v>147</v>
      </c>
      <c r="B11" s="328"/>
      <c r="C11" s="329"/>
      <c r="D11" s="268" t="s">
        <v>143</v>
      </c>
      <c r="E11" s="56">
        <f>'29'!F11</f>
        <v>35390</v>
      </c>
      <c r="F11" s="263">
        <v>33860</v>
      </c>
      <c r="G11" s="325">
        <f t="shared" si="0"/>
        <v>-1530</v>
      </c>
      <c r="H11" s="57">
        <f>G11+'29'!H11</f>
        <v>-1530</v>
      </c>
      <c r="I11" s="69"/>
      <c r="J11" s="58">
        <f>H11/DAY(B2)</f>
        <v>-51</v>
      </c>
      <c r="K11" s="59"/>
      <c r="L11" s="117"/>
    </row>
    <row r="12" spans="1:12" ht="23.25" customHeight="1">
      <c r="A12" s="327" t="s">
        <v>148</v>
      </c>
      <c r="B12" s="328"/>
      <c r="C12" s="329"/>
      <c r="D12" s="268" t="s">
        <v>143</v>
      </c>
      <c r="E12" s="56">
        <f>'29'!F12</f>
        <v>37630</v>
      </c>
      <c r="F12" s="264">
        <v>3760</v>
      </c>
      <c r="G12" s="325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>
      <c r="A13" s="437" t="s">
        <v>149</v>
      </c>
      <c r="B13" s="438"/>
      <c r="C13" s="439"/>
      <c r="D13" s="268"/>
      <c r="E13" s="459"/>
      <c r="F13" s="279"/>
      <c r="G13" s="279">
        <f>G9+G10+G11+G12</f>
        <v>-187052.89999999991</v>
      </c>
      <c r="H13" s="57">
        <f>G13+'29'!H13</f>
        <v>337586.19000000006</v>
      </c>
      <c r="I13" s="400">
        <f>G7-G13</f>
        <v>-47895.200000000186</v>
      </c>
      <c r="J13" s="314">
        <f>H13/DAY(B2)</f>
        <v>11252.873000000001</v>
      </c>
      <c r="K13" s="59"/>
      <c r="L13" s="117"/>
    </row>
    <row r="14" spans="1:12" ht="23.25" customHeight="1">
      <c r="A14" s="1473" t="s">
        <v>150</v>
      </c>
      <c r="B14" s="1474"/>
      <c r="C14" s="1475"/>
      <c r="D14" s="474"/>
      <c r="E14" s="474"/>
      <c r="F14" s="474"/>
      <c r="G14" s="425"/>
      <c r="H14" s="474"/>
      <c r="I14" s="474"/>
      <c r="J14" s="474"/>
      <c r="K14" s="75"/>
      <c r="L14" s="117"/>
    </row>
    <row r="15" spans="1:12" ht="23.25" customHeight="1" thickBot="1">
      <c r="A15" s="331" t="s">
        <v>151</v>
      </c>
      <c r="B15" s="332"/>
      <c r="C15" s="333"/>
      <c r="D15" s="311" t="s">
        <v>152</v>
      </c>
      <c r="E15" s="159">
        <f>'29'!F15</f>
        <v>1592900.97</v>
      </c>
      <c r="F15" s="266">
        <v>1040573.68</v>
      </c>
      <c r="G15" s="325">
        <f>(F15-E15)</f>
        <v>-552327.28999999992</v>
      </c>
      <c r="H15" s="57">
        <f>G15+'29'!H15</f>
        <v>-528340.42000000004</v>
      </c>
      <c r="I15" s="276">
        <f>'1'!I15</f>
        <v>800</v>
      </c>
      <c r="J15" s="58">
        <f>H15/DAY(B2)</f>
        <v>-17611.347333333335</v>
      </c>
      <c r="K15" s="59"/>
      <c r="L15" s="117"/>
    </row>
    <row r="16" spans="1:12" ht="23.25" customHeight="1">
      <c r="A16" s="334"/>
      <c r="B16" s="335"/>
      <c r="C16" s="336"/>
      <c r="D16" s="274"/>
      <c r="E16" s="337"/>
      <c r="F16" s="337"/>
      <c r="G16" s="325"/>
      <c r="H16" s="254"/>
      <c r="I16" s="406">
        <f>I15-J15</f>
        <v>18411.347333333335</v>
      </c>
      <c r="J16" s="229"/>
      <c r="K16" s="59"/>
      <c r="L16" s="117"/>
    </row>
    <row r="17" spans="1:12" ht="23.25" customHeight="1">
      <c r="A17" s="1473" t="s">
        <v>153</v>
      </c>
      <c r="B17" s="1474"/>
      <c r="C17" s="1475"/>
      <c r="D17" s="474"/>
      <c r="E17" s="474"/>
      <c r="F17" s="474"/>
      <c r="G17" s="426"/>
      <c r="H17" s="474"/>
      <c r="I17" s="474"/>
      <c r="J17" s="474"/>
      <c r="K17" s="59"/>
      <c r="L17" s="117"/>
    </row>
    <row r="18" spans="1:12" ht="23.25" customHeight="1">
      <c r="A18" s="1454" t="s">
        <v>154</v>
      </c>
      <c r="B18" s="1455"/>
      <c r="C18" s="1456"/>
      <c r="D18" s="268" t="s">
        <v>155</v>
      </c>
      <c r="E18" s="452">
        <f>'29'!F18</f>
        <v>10</v>
      </c>
      <c r="F18" s="267">
        <v>24</v>
      </c>
      <c r="G18" s="279">
        <f>F18*10</f>
        <v>240</v>
      </c>
      <c r="H18" s="57">
        <f>G18+'29'!H18</f>
        <v>3730</v>
      </c>
      <c r="I18" s="158">
        <f>'1'!I18</f>
        <v>65</v>
      </c>
      <c r="J18" s="58">
        <f>H18/DAY(B2)</f>
        <v>124.33333333333333</v>
      </c>
      <c r="K18" s="59"/>
      <c r="L18" s="117"/>
    </row>
    <row r="19" spans="1:12" ht="23.25" customHeight="1">
      <c r="A19" s="1454" t="s">
        <v>71</v>
      </c>
      <c r="B19" s="1455"/>
      <c r="C19" s="1456"/>
      <c r="D19" s="268" t="s">
        <v>155</v>
      </c>
      <c r="E19" s="56">
        <f>'29'!F19</f>
        <v>132943</v>
      </c>
      <c r="F19" s="267">
        <v>99778</v>
      </c>
      <c r="G19" s="325">
        <f t="shared" ref="G19" si="1">F19-E19</f>
        <v>-33165</v>
      </c>
      <c r="H19" s="57">
        <f>G19+'29'!H19</f>
        <v>-31715</v>
      </c>
      <c r="I19" s="80"/>
      <c r="J19" s="58">
        <f>H19/DAY(B2)</f>
        <v>-1057.1666666666667</v>
      </c>
      <c r="K19" s="59"/>
      <c r="L19" s="117"/>
    </row>
    <row r="20" spans="1:12" ht="23.25" customHeight="1">
      <c r="A20" s="437" t="s">
        <v>156</v>
      </c>
      <c r="B20" s="438"/>
      <c r="C20" s="439"/>
      <c r="D20" s="341"/>
      <c r="E20" s="458"/>
      <c r="F20" s="341"/>
      <c r="G20" s="342">
        <f>G18+G19</f>
        <v>-32925</v>
      </c>
      <c r="H20" s="57">
        <f>G20+'29'!H20</f>
        <v>-27985</v>
      </c>
      <c r="I20" s="127">
        <f>J20-I18</f>
        <v>-997.83333333333337</v>
      </c>
      <c r="J20" s="58">
        <f>H20/DAY(B2)</f>
        <v>-932.83333333333337</v>
      </c>
      <c r="K20" s="59"/>
      <c r="L20" s="117"/>
    </row>
    <row r="21" spans="1:12" ht="23.25" customHeight="1">
      <c r="A21" s="1473" t="s">
        <v>157</v>
      </c>
      <c r="B21" s="1474"/>
      <c r="C21" s="1475"/>
      <c r="D21" s="474"/>
      <c r="E21" s="474"/>
      <c r="F21" s="474"/>
      <c r="G21" s="425"/>
      <c r="H21" s="474"/>
      <c r="I21" s="474"/>
      <c r="J21" s="474"/>
      <c r="K21" s="59"/>
      <c r="L21" s="117"/>
    </row>
    <row r="22" spans="1:12" ht="23.25" customHeight="1">
      <c r="A22" s="1234" t="s">
        <v>158</v>
      </c>
      <c r="B22" s="1235"/>
      <c r="C22" s="1236"/>
      <c r="D22" s="268" t="s">
        <v>159</v>
      </c>
      <c r="E22" s="452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>
      <c r="A23" s="1234" t="s">
        <v>160</v>
      </c>
      <c r="B23" s="1235"/>
      <c r="C23" s="1236"/>
      <c r="D23" s="268" t="s">
        <v>159</v>
      </c>
      <c r="E23" s="56">
        <f>'29'!F23</f>
        <v>1900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>
      <c r="A24" s="440" t="s">
        <v>161</v>
      </c>
      <c r="B24" s="441"/>
      <c r="C24" s="442"/>
      <c r="D24" s="269" t="s">
        <v>159</v>
      </c>
      <c r="E24" s="56">
        <f>'29'!F24</f>
        <v>4970</v>
      </c>
      <c r="F24" s="344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>
      <c r="A25" s="1479" t="s">
        <v>162</v>
      </c>
      <c r="B25" s="1480"/>
      <c r="C25" s="1481"/>
      <c r="D25" s="422"/>
      <c r="E25" s="450"/>
      <c r="F25" s="422"/>
      <c r="G25" s="427"/>
      <c r="H25" s="474"/>
      <c r="I25" s="474"/>
      <c r="J25" s="474"/>
      <c r="K25" s="59"/>
      <c r="L25" s="117"/>
    </row>
    <row r="26" spans="1:12" ht="23.25" customHeight="1">
      <c r="A26" s="345" t="s">
        <v>163</v>
      </c>
      <c r="B26" s="346"/>
      <c r="C26" s="347"/>
      <c r="D26" s="348" t="s">
        <v>164</v>
      </c>
      <c r="E26" s="349" t="s">
        <v>307</v>
      </c>
      <c r="F26" s="349"/>
      <c r="G26" s="350"/>
      <c r="H26" s="57"/>
      <c r="I26" s="145"/>
      <c r="J26" s="58"/>
      <c r="K26" s="75"/>
      <c r="L26" s="117"/>
    </row>
    <row r="27" spans="1:12" ht="23.25" customHeight="1">
      <c r="A27" s="345" t="s">
        <v>6</v>
      </c>
      <c r="B27" s="346"/>
      <c r="C27" s="347"/>
      <c r="D27" s="352" t="s">
        <v>143</v>
      </c>
      <c r="E27" s="353">
        <f>G7</f>
        <v>-234948.10000000009</v>
      </c>
      <c r="F27" s="449">
        <v>10.86</v>
      </c>
      <c r="G27" s="396">
        <f>E27*F27</f>
        <v>-2551536.3660000009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>
      <c r="A28" s="345" t="s">
        <v>165</v>
      </c>
      <c r="B28" s="346"/>
      <c r="C28" s="347"/>
      <c r="D28" s="352" t="s">
        <v>166</v>
      </c>
      <c r="E28" s="355">
        <f>G15</f>
        <v>-552327.28999999992</v>
      </c>
      <c r="F28" s="449">
        <v>44</v>
      </c>
      <c r="G28" s="396">
        <f>E28*F28</f>
        <v>-24302400.759999998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>
      <c r="A29" s="345" t="s">
        <v>167</v>
      </c>
      <c r="B29" s="346"/>
      <c r="C29" s="347"/>
      <c r="D29" s="352" t="s">
        <v>168</v>
      </c>
      <c r="E29" s="357">
        <f>G24</f>
        <v>0</v>
      </c>
      <c r="F29" s="449">
        <v>61.32</v>
      </c>
      <c r="G29" s="39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>
      <c r="A30" s="345" t="s">
        <v>8</v>
      </c>
      <c r="B30" s="346"/>
      <c r="C30" s="347"/>
      <c r="D30" s="352" t="s">
        <v>170</v>
      </c>
      <c r="E30" s="357">
        <f>G20</f>
        <v>-32925</v>
      </c>
      <c r="F30" s="449">
        <v>95</v>
      </c>
      <c r="G30" s="396">
        <f>E30*F30</f>
        <v>-3127875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>
      <c r="A31" s="443" t="s">
        <v>172</v>
      </c>
      <c r="B31" s="444"/>
      <c r="C31" s="445"/>
      <c r="D31" s="358"/>
      <c r="E31" s="358"/>
      <c r="F31" s="358"/>
      <c r="G31" s="397">
        <f>G27+G28+G29+G30</f>
        <v>-29981812.125999998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>
      <c r="A32" s="1608" t="s">
        <v>173</v>
      </c>
      <c r="B32" s="1609"/>
      <c r="C32" s="1609"/>
      <c r="D32" s="1609"/>
      <c r="E32" s="1609"/>
      <c r="F32" s="1609"/>
      <c r="G32" s="1609"/>
      <c r="H32" s="1609"/>
      <c r="I32" s="1609"/>
      <c r="J32" s="1610"/>
      <c r="K32" s="59"/>
      <c r="L32" s="117"/>
    </row>
    <row r="33" spans="1:12" ht="23.25" customHeight="1">
      <c r="A33" s="1229" t="s">
        <v>174</v>
      </c>
      <c r="B33" s="1230"/>
      <c r="C33" s="1231"/>
      <c r="D33" s="474"/>
      <c r="E33" s="422"/>
      <c r="F33" s="422"/>
      <c r="G33" s="474"/>
      <c r="H33" s="474"/>
      <c r="I33" s="474"/>
      <c r="J33" s="474"/>
      <c r="K33" s="59"/>
      <c r="L33" s="117"/>
    </row>
    <row r="34" spans="1:12" ht="23.25" customHeight="1">
      <c r="A34" s="327" t="s">
        <v>175</v>
      </c>
      <c r="B34" s="328"/>
      <c r="C34" s="329"/>
      <c r="D34" s="268" t="s">
        <v>143</v>
      </c>
      <c r="E34" s="452">
        <f>'29'!F35</f>
        <v>629028</v>
      </c>
      <c r="F34" s="360">
        <v>0</v>
      </c>
      <c r="G34" s="325">
        <f t="shared" ref="G34:G45" si="3">F34-E34</f>
        <v>-629028</v>
      </c>
      <c r="H34" s="57">
        <f>G34+'29'!H35</f>
        <v>-629027</v>
      </c>
      <c r="I34" s="56"/>
      <c r="J34" s="58">
        <f>H34/DAY(B2)</f>
        <v>-20967.566666666666</v>
      </c>
      <c r="K34" s="59"/>
      <c r="L34" s="117"/>
    </row>
    <row r="35" spans="1:12" ht="23.25" customHeight="1">
      <c r="A35" s="327" t="s">
        <v>176</v>
      </c>
      <c r="B35" s="328"/>
      <c r="C35" s="329"/>
      <c r="D35" s="268" t="s">
        <v>143</v>
      </c>
      <c r="E35" s="56">
        <f>'29'!F36</f>
        <v>275372.73</v>
      </c>
      <c r="F35" s="360">
        <v>694322.47</v>
      </c>
      <c r="G35" s="325">
        <f t="shared" si="3"/>
        <v>418949.74</v>
      </c>
      <c r="H35" s="57">
        <f>G35+'29'!H36</f>
        <v>439231.39999999997</v>
      </c>
      <c r="I35" s="56"/>
      <c r="J35" s="58">
        <f>H35/DAY(B2)</f>
        <v>14641.046666666665</v>
      </c>
      <c r="K35" s="59"/>
      <c r="L35" s="117"/>
    </row>
    <row r="36" spans="1:12" ht="23.25" customHeight="1">
      <c r="A36" s="327" t="s">
        <v>177</v>
      </c>
      <c r="B36" s="328"/>
      <c r="C36" s="329"/>
      <c r="D36" s="268" t="s">
        <v>143</v>
      </c>
      <c r="E36" s="56">
        <f>'29'!F37</f>
        <v>415066</v>
      </c>
      <c r="F36" s="360">
        <v>392708.87</v>
      </c>
      <c r="G36" s="325">
        <f t="shared" si="3"/>
        <v>-22357.130000000005</v>
      </c>
      <c r="H36" s="57">
        <f>G36+'29'!H37</f>
        <v>-22357.130000000005</v>
      </c>
      <c r="I36" s="56"/>
      <c r="J36" s="58">
        <f>H36/DAY(B2)</f>
        <v>-745.23766666666677</v>
      </c>
      <c r="K36" s="59"/>
      <c r="L36" s="117"/>
    </row>
    <row r="37" spans="1:12" ht="23.25" customHeight="1">
      <c r="A37" s="327" t="s">
        <v>178</v>
      </c>
      <c r="B37" s="328"/>
      <c r="C37" s="329"/>
      <c r="D37" s="268" t="s">
        <v>143</v>
      </c>
      <c r="E37" s="56">
        <f>'29'!F38</f>
        <v>150714</v>
      </c>
      <c r="F37" s="361">
        <v>675505.75</v>
      </c>
      <c r="G37" s="325">
        <f t="shared" si="3"/>
        <v>524791.75</v>
      </c>
      <c r="H37" s="57">
        <f>G37+'29'!H38</f>
        <v>524791.75</v>
      </c>
      <c r="I37" s="56"/>
      <c r="J37" s="58">
        <f>H37/DAY(B2)</f>
        <v>17493.058333333334</v>
      </c>
      <c r="K37" s="59"/>
      <c r="L37" s="117"/>
    </row>
    <row r="38" spans="1:12" ht="23.25" customHeight="1">
      <c r="A38" s="327" t="s">
        <v>179</v>
      </c>
      <c r="B38" s="328"/>
      <c r="C38" s="329"/>
      <c r="D38" s="268" t="s">
        <v>143</v>
      </c>
      <c r="E38" s="56">
        <f>'29'!F39</f>
        <v>912480</v>
      </c>
      <c r="F38" s="360">
        <v>2497766.1</v>
      </c>
      <c r="G38" s="325">
        <f t="shared" si="3"/>
        <v>1585286.1</v>
      </c>
      <c r="H38" s="57">
        <f>G38+'29'!H39</f>
        <v>1585286.1</v>
      </c>
      <c r="I38" s="56"/>
      <c r="J38" s="58">
        <f>H38/DAY(B2)</f>
        <v>52842.87</v>
      </c>
      <c r="K38" s="59"/>
      <c r="L38" s="117"/>
    </row>
    <row r="39" spans="1:12" ht="23.25" customHeight="1">
      <c r="A39" s="362" t="s">
        <v>180</v>
      </c>
      <c r="B39" s="363"/>
      <c r="C39" s="364"/>
      <c r="D39" s="268" t="s">
        <v>143</v>
      </c>
      <c r="E39" s="56">
        <f>'29'!F40</f>
        <v>0</v>
      </c>
      <c r="F39" s="360">
        <v>0</v>
      </c>
      <c r="G39" s="325">
        <f t="shared" si="3"/>
        <v>0</v>
      </c>
      <c r="H39" s="57">
        <f>G39+'29'!H40</f>
        <v>0</v>
      </c>
      <c r="I39" s="56"/>
      <c r="J39" s="58">
        <f>H39/DAY(B2)</f>
        <v>0</v>
      </c>
      <c r="K39" s="75"/>
      <c r="L39" s="117"/>
    </row>
    <row r="40" spans="1:12" ht="23.25" customHeight="1">
      <c r="A40" s="327" t="s">
        <v>181</v>
      </c>
      <c r="B40" s="328"/>
      <c r="C40" s="329"/>
      <c r="D40" s="268" t="s">
        <v>143</v>
      </c>
      <c r="E40" s="56">
        <f>'29'!F41</f>
        <v>37220</v>
      </c>
      <c r="F40" s="360">
        <v>1138016.5</v>
      </c>
      <c r="G40" s="325">
        <f t="shared" si="3"/>
        <v>1100796.5</v>
      </c>
      <c r="H40" s="57">
        <f>G40+'29'!H41</f>
        <v>1138016.5</v>
      </c>
      <c r="I40" s="56"/>
      <c r="J40" s="58">
        <f>H40/DAY(B2)</f>
        <v>37933.883333333331</v>
      </c>
      <c r="K40" s="59"/>
      <c r="L40" s="117"/>
    </row>
    <row r="41" spans="1:12" ht="23.25" customHeight="1">
      <c r="A41" s="327" t="s">
        <v>182</v>
      </c>
      <c r="B41" s="328"/>
      <c r="C41" s="329"/>
      <c r="D41" s="268" t="s">
        <v>143</v>
      </c>
      <c r="E41" s="56">
        <f>'29'!F42</f>
        <v>58926</v>
      </c>
      <c r="F41" s="360">
        <v>1251783.8</v>
      </c>
      <c r="G41" s="325">
        <f t="shared" si="3"/>
        <v>1192857.8</v>
      </c>
      <c r="H41" s="57">
        <f>G41+'29'!H42</f>
        <v>1192857.71</v>
      </c>
      <c r="I41" s="56"/>
      <c r="J41" s="58">
        <f>H41/DAY(B2)</f>
        <v>39761.923666666662</v>
      </c>
      <c r="K41" s="59"/>
      <c r="L41" s="117"/>
    </row>
    <row r="42" spans="1:12" ht="23.25" customHeight="1">
      <c r="A42" s="327" t="s">
        <v>183</v>
      </c>
      <c r="B42" s="328"/>
      <c r="C42" s="329"/>
      <c r="D42" s="268" t="s">
        <v>143</v>
      </c>
      <c r="E42" s="56">
        <f>'29'!F43</f>
        <v>763162.63</v>
      </c>
      <c r="F42" s="360">
        <v>1479848.9</v>
      </c>
      <c r="G42" s="325">
        <f t="shared" si="3"/>
        <v>716686.2699999999</v>
      </c>
      <c r="H42" s="57">
        <f>G42+'29'!H43</f>
        <v>781595.46999999986</v>
      </c>
      <c r="I42" s="56"/>
      <c r="J42" s="58">
        <f>H42/DAY(B2)</f>
        <v>26053.182333333327</v>
      </c>
      <c r="K42" s="59"/>
      <c r="L42" s="117"/>
    </row>
    <row r="43" spans="1:12" ht="23.25" customHeight="1">
      <c r="A43" s="327" t="s">
        <v>184</v>
      </c>
      <c r="B43" s="328"/>
      <c r="C43" s="329"/>
      <c r="D43" s="268" t="s">
        <v>143</v>
      </c>
      <c r="E43" s="56">
        <f>'29'!F44</f>
        <v>0</v>
      </c>
      <c r="F43" s="360">
        <v>900</v>
      </c>
      <c r="G43" s="325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>
      <c r="A44" s="327" t="s">
        <v>185</v>
      </c>
      <c r="B44" s="328"/>
      <c r="C44" s="329"/>
      <c r="D44" s="268" t="s">
        <v>143</v>
      </c>
      <c r="E44" s="56">
        <f>'29'!F45</f>
        <v>614.48</v>
      </c>
      <c r="F44" s="360">
        <v>945</v>
      </c>
      <c r="G44" s="325">
        <f t="shared" si="3"/>
        <v>330.52</v>
      </c>
      <c r="H44" s="57">
        <f>G44+'29'!H45</f>
        <v>330.52</v>
      </c>
      <c r="I44" s="56"/>
      <c r="J44" s="58">
        <f>H44/DAY(B2)</f>
        <v>11.017333333333333</v>
      </c>
      <c r="K44" s="59"/>
      <c r="L44" s="117"/>
    </row>
    <row r="45" spans="1:12" ht="23.25" customHeight="1">
      <c r="A45" s="327" t="s">
        <v>186</v>
      </c>
      <c r="B45" s="328"/>
      <c r="C45" s="329"/>
      <c r="D45" s="268" t="s">
        <v>143</v>
      </c>
      <c r="E45" s="56">
        <f>'29'!F46</f>
        <v>187.49</v>
      </c>
      <c r="F45" s="360">
        <v>375</v>
      </c>
      <c r="G45" s="325">
        <f t="shared" si="3"/>
        <v>187.51</v>
      </c>
      <c r="H45" s="57">
        <f>G45+'29'!H46</f>
        <v>187.51</v>
      </c>
      <c r="I45" s="56"/>
      <c r="J45" s="58">
        <f>H45/DAY(B2)</f>
        <v>6.2503333333333329</v>
      </c>
      <c r="K45" s="59"/>
      <c r="L45" s="117"/>
    </row>
    <row r="46" spans="1:12" ht="23.25" customHeight="1">
      <c r="A46" s="437" t="s">
        <v>187</v>
      </c>
      <c r="B46" s="438"/>
      <c r="C46" s="439"/>
      <c r="D46" s="365"/>
      <c r="E46" s="451"/>
      <c r="F46" s="269"/>
      <c r="G46" s="279">
        <f>G34+G35+G36+G37+G38+G39+G40+G41+G42+G43+G44+G45</f>
        <v>4889401.0599999987</v>
      </c>
      <c r="H46" s="57">
        <f>G46+'29'!H47</f>
        <v>5011812.8299999982</v>
      </c>
      <c r="I46" s="56"/>
      <c r="J46" s="58">
        <f>H46/DAY(B2)</f>
        <v>167060.4276666666</v>
      </c>
      <c r="K46" s="59"/>
      <c r="L46" s="117"/>
    </row>
    <row r="47" spans="1:12" ht="23.25" customHeight="1">
      <c r="A47" s="1229" t="s">
        <v>188</v>
      </c>
      <c r="B47" s="1230"/>
      <c r="C47" s="1231"/>
      <c r="D47" s="474"/>
      <c r="E47" s="422"/>
      <c r="F47" s="422"/>
      <c r="G47" s="474"/>
      <c r="H47" s="474"/>
      <c r="I47" s="474"/>
      <c r="J47" s="474"/>
      <c r="K47" s="59"/>
      <c r="L47" s="117"/>
    </row>
    <row r="48" spans="1:12" ht="23.25" customHeight="1">
      <c r="A48" s="327" t="s">
        <v>175</v>
      </c>
      <c r="B48" s="366"/>
      <c r="C48" s="367"/>
      <c r="D48" s="268" t="s">
        <v>143</v>
      </c>
      <c r="E48" s="452">
        <f>'29'!F49</f>
        <v>239985.55</v>
      </c>
      <c r="F48" s="360">
        <v>793704.71</v>
      </c>
      <c r="G48" s="325">
        <f t="shared" ref="G48:G57" si="4">F48-E48</f>
        <v>553719.15999999992</v>
      </c>
      <c r="H48" s="57">
        <f>G48+'29'!H49</f>
        <v>641299.71</v>
      </c>
      <c r="I48" s="56"/>
      <c r="J48" s="58">
        <f>H48/DAY(B2)</f>
        <v>21376.656999999999</v>
      </c>
      <c r="K48" s="59"/>
      <c r="L48" s="117"/>
    </row>
    <row r="49" spans="1:12" ht="23.25" customHeight="1">
      <c r="A49" s="327" t="s">
        <v>189</v>
      </c>
      <c r="B49" s="366"/>
      <c r="C49" s="367"/>
      <c r="D49" s="268" t="s">
        <v>143</v>
      </c>
      <c r="E49" s="56">
        <f>'29'!F50</f>
        <v>366480.97</v>
      </c>
      <c r="F49" s="360">
        <v>707853.75</v>
      </c>
      <c r="G49" s="325">
        <f t="shared" si="4"/>
        <v>341372.78</v>
      </c>
      <c r="H49" s="57">
        <f>G49+'29'!H50</f>
        <v>371636.32</v>
      </c>
      <c r="I49" s="56"/>
      <c r="J49" s="58">
        <f>H49/DAY(B2)</f>
        <v>12387.877333333334</v>
      </c>
      <c r="K49" s="59"/>
      <c r="L49" s="117"/>
    </row>
    <row r="50" spans="1:12" ht="23.25" customHeight="1">
      <c r="A50" s="327" t="s">
        <v>177</v>
      </c>
      <c r="B50" s="366"/>
      <c r="C50" s="367"/>
      <c r="D50" s="268" t="s">
        <v>143</v>
      </c>
      <c r="E50" s="56">
        <f>'29'!F51</f>
        <v>107035</v>
      </c>
      <c r="F50" s="360">
        <v>552102.06999999995</v>
      </c>
      <c r="G50" s="325">
        <f t="shared" si="4"/>
        <v>445067.06999999995</v>
      </c>
      <c r="H50" s="57">
        <f>G50+'29'!H51</f>
        <v>485943.95999999996</v>
      </c>
      <c r="I50" s="56"/>
      <c r="J50" s="58">
        <f>H50/DAY(B2)</f>
        <v>16198.132</v>
      </c>
      <c r="K50" s="59"/>
      <c r="L50" s="117"/>
    </row>
    <row r="51" spans="1:12" ht="23.25" customHeight="1">
      <c r="A51" s="327" t="s">
        <v>190</v>
      </c>
      <c r="B51" s="366"/>
      <c r="C51" s="367"/>
      <c r="D51" s="268" t="s">
        <v>143</v>
      </c>
      <c r="E51" s="56">
        <f>'29'!F52</f>
        <v>489802</v>
      </c>
      <c r="F51" s="360">
        <v>1244061</v>
      </c>
      <c r="G51" s="325">
        <f t="shared" si="4"/>
        <v>754259</v>
      </c>
      <c r="H51" s="57">
        <f>G51+'29'!H52</f>
        <v>808785.37</v>
      </c>
      <c r="I51" s="56"/>
      <c r="J51" s="58">
        <f>H51/DAY(B2)</f>
        <v>26959.512333333332</v>
      </c>
      <c r="K51" s="59"/>
      <c r="L51" s="117"/>
    </row>
    <row r="52" spans="1:12" ht="23.25" customHeight="1">
      <c r="A52" s="327" t="s">
        <v>179</v>
      </c>
      <c r="B52" s="366"/>
      <c r="C52" s="367"/>
      <c r="D52" s="268" t="s">
        <v>143</v>
      </c>
      <c r="E52" s="56">
        <f>'29'!F53</f>
        <v>295932.96999999997</v>
      </c>
      <c r="F52" s="360">
        <v>495803.59</v>
      </c>
      <c r="G52" s="325">
        <f t="shared" si="4"/>
        <v>199870.62000000005</v>
      </c>
      <c r="H52" s="57">
        <f>G52+'29'!H53</f>
        <v>314738.62</v>
      </c>
      <c r="I52" s="56"/>
      <c r="J52" s="58">
        <f>H52/DAY(B2)</f>
        <v>10491.287333333334</v>
      </c>
      <c r="K52" s="59"/>
      <c r="L52" s="117"/>
    </row>
    <row r="53" spans="1:12" ht="23.25" customHeight="1">
      <c r="A53" s="327" t="s">
        <v>191</v>
      </c>
      <c r="B53" s="366"/>
      <c r="C53" s="367"/>
      <c r="D53" s="268" t="s">
        <v>143</v>
      </c>
      <c r="E53" s="56">
        <f>'29'!F54</f>
        <v>6228.8</v>
      </c>
      <c r="F53" s="360">
        <v>55471.01</v>
      </c>
      <c r="G53" s="325">
        <f t="shared" si="4"/>
        <v>49242.21</v>
      </c>
      <c r="H53" s="57">
        <f>G53+'29'!H54</f>
        <v>50824.47</v>
      </c>
      <c r="I53" s="56"/>
      <c r="J53" s="58">
        <f>H53/DAY(B2)</f>
        <v>1694.1490000000001</v>
      </c>
      <c r="K53" s="59"/>
      <c r="L53" s="117"/>
    </row>
    <row r="54" spans="1:12" ht="23.25" customHeight="1">
      <c r="A54" s="327" t="s">
        <v>192</v>
      </c>
      <c r="B54" s="366"/>
      <c r="C54" s="367"/>
      <c r="D54" s="268" t="s">
        <v>143</v>
      </c>
      <c r="E54" s="56">
        <f>'29'!F55</f>
        <v>39121</v>
      </c>
      <c r="F54" s="360">
        <v>741511.59</v>
      </c>
      <c r="G54" s="325">
        <f t="shared" si="4"/>
        <v>702390.59</v>
      </c>
      <c r="H54" s="57">
        <f>G54+'29'!H55</f>
        <v>741511.32</v>
      </c>
      <c r="I54" s="56"/>
      <c r="J54" s="58">
        <f>H54/DAY(B2)</f>
        <v>24717.043999999998</v>
      </c>
      <c r="K54" s="59"/>
      <c r="L54" s="117"/>
    </row>
    <row r="55" spans="1:12" ht="23.25" customHeight="1">
      <c r="A55" s="327" t="s">
        <v>193</v>
      </c>
      <c r="B55" s="366"/>
      <c r="C55" s="367"/>
      <c r="D55" s="268" t="s">
        <v>194</v>
      </c>
      <c r="E55" s="56">
        <f>'29'!F56</f>
        <v>557730</v>
      </c>
      <c r="F55" s="360">
        <v>334966</v>
      </c>
      <c r="G55" s="325">
        <f t="shared" si="4"/>
        <v>-222764</v>
      </c>
      <c r="H55" s="57">
        <f>G55+'29'!H56</f>
        <v>-182934.75</v>
      </c>
      <c r="I55" s="56"/>
      <c r="J55" s="58">
        <f>H55/DAY(B2)</f>
        <v>-6097.8249999999998</v>
      </c>
      <c r="K55" s="43"/>
      <c r="L55" s="117"/>
    </row>
    <row r="56" spans="1:12" ht="23.25" customHeight="1">
      <c r="A56" s="327" t="s">
        <v>183</v>
      </c>
      <c r="B56" s="366"/>
      <c r="C56" s="367"/>
      <c r="D56" s="268" t="s">
        <v>143</v>
      </c>
      <c r="E56" s="56">
        <f>'29'!F57</f>
        <v>0</v>
      </c>
      <c r="F56" s="360">
        <v>0</v>
      </c>
      <c r="G56" s="325">
        <f t="shared" si="4"/>
        <v>0</v>
      </c>
      <c r="H56" s="57">
        <f>G56+'29'!H57</f>
        <v>0</v>
      </c>
      <c r="I56" s="56"/>
      <c r="J56" s="58">
        <f>H56/DAY(B2)</f>
        <v>0</v>
      </c>
      <c r="K56" s="59"/>
      <c r="L56" s="117"/>
    </row>
    <row r="57" spans="1:12" ht="23.25" customHeight="1">
      <c r="A57" s="327" t="s">
        <v>195</v>
      </c>
      <c r="B57" s="366"/>
      <c r="C57" s="367"/>
      <c r="D57" s="268" t="s">
        <v>143</v>
      </c>
      <c r="E57" s="56">
        <f>'29'!F58</f>
        <v>30214.39</v>
      </c>
      <c r="F57" s="360">
        <v>2065.9499999999998</v>
      </c>
      <c r="G57" s="325">
        <f t="shared" si="4"/>
        <v>-28148.44</v>
      </c>
      <c r="H57" s="57">
        <f>G57+'29'!H58</f>
        <v>-23089.46</v>
      </c>
      <c r="I57" s="56"/>
      <c r="J57" s="58">
        <f>H57/DAY(B2)</f>
        <v>-769.6486666666666</v>
      </c>
      <c r="K57" s="59"/>
      <c r="L57" s="117"/>
    </row>
    <row r="58" spans="1:12" ht="23.25" customHeight="1">
      <c r="A58" s="437" t="s">
        <v>187</v>
      </c>
      <c r="B58" s="438"/>
      <c r="C58" s="439"/>
      <c r="D58" s="269"/>
      <c r="E58" s="451"/>
      <c r="F58" s="269"/>
      <c r="G58" s="279">
        <f>G48+G49+G50+G51+G52+G53+G54+G55+G56+G57</f>
        <v>2795008.9899999998</v>
      </c>
      <c r="H58" s="57">
        <f>G58+'29'!H59</f>
        <v>3208715.5599999996</v>
      </c>
      <c r="I58" s="56">
        <f>G7-G59</f>
        <v>-7919358.1499999985</v>
      </c>
      <c r="J58" s="58">
        <f>H58/DAY(B2)</f>
        <v>106957.18533333331</v>
      </c>
      <c r="K58" s="59"/>
      <c r="L58" s="117"/>
    </row>
    <row r="59" spans="1:12" ht="23.25" customHeight="1">
      <c r="A59" s="368"/>
      <c r="B59" s="368"/>
      <c r="C59" s="368"/>
      <c r="D59" s="269" t="s">
        <v>196</v>
      </c>
      <c r="E59" s="269"/>
      <c r="F59" s="269"/>
      <c r="G59" s="279">
        <f>G46+G58</f>
        <v>7684410.0499999989</v>
      </c>
      <c r="H59" s="57">
        <f>G59+'29'!H60</f>
        <v>8237562.3899999987</v>
      </c>
      <c r="I59" s="56">
        <f>G13-G59</f>
        <v>-7871462.9499999993</v>
      </c>
      <c r="J59" s="58">
        <f>H59/DAY(B2)</f>
        <v>274585.41299999994</v>
      </c>
      <c r="K59" s="59"/>
      <c r="L59" s="117"/>
    </row>
    <row r="60" spans="1:12" ht="23.25" customHeight="1">
      <c r="A60" s="429" t="s">
        <v>197</v>
      </c>
      <c r="B60" s="430"/>
      <c r="C60" s="431"/>
      <c r="D60" s="432"/>
      <c r="E60" s="433"/>
      <c r="F60" s="433"/>
      <c r="G60" s="434"/>
      <c r="H60" s="434"/>
      <c r="I60" s="434"/>
      <c r="J60" s="434"/>
      <c r="K60" s="59"/>
      <c r="L60" s="117"/>
    </row>
    <row r="61" spans="1:12" ht="23.25" customHeight="1">
      <c r="A61" s="369" t="s">
        <v>106</v>
      </c>
      <c r="B61" s="370"/>
      <c r="C61" s="371"/>
      <c r="D61" s="269" t="s">
        <v>198</v>
      </c>
      <c r="E61" s="452">
        <f>'29'!F62</f>
        <v>20419.18</v>
      </c>
      <c r="F61" s="270">
        <v>55085</v>
      </c>
      <c r="G61" s="325">
        <f t="shared" ref="G61:G68" si="5">F61-E61</f>
        <v>34665.82</v>
      </c>
      <c r="H61" s="57">
        <f>G61+'29'!H62</f>
        <v>34665.82</v>
      </c>
      <c r="I61" s="201"/>
      <c r="J61" s="58">
        <f>H61/DAY(B2)</f>
        <v>1155.5273333333332</v>
      </c>
      <c r="K61" s="59"/>
      <c r="L61" s="117"/>
    </row>
    <row r="62" spans="1:12" ht="23.25" customHeight="1">
      <c r="A62" s="369" t="s">
        <v>199</v>
      </c>
      <c r="B62" s="370"/>
      <c r="C62" s="371"/>
      <c r="D62" s="269" t="s">
        <v>198</v>
      </c>
      <c r="E62" s="56">
        <f>'29'!F63</f>
        <v>1305.8900000000001</v>
      </c>
      <c r="F62" s="270">
        <v>113360.74</v>
      </c>
      <c r="G62" s="325">
        <f t="shared" si="5"/>
        <v>112054.85</v>
      </c>
      <c r="H62" s="57">
        <f>G62+'29'!H63</f>
        <v>112252.83</v>
      </c>
      <c r="I62" s="201"/>
      <c r="J62" s="58">
        <f>H62/DAY(B2)</f>
        <v>3741.761</v>
      </c>
      <c r="K62" s="59"/>
      <c r="L62" s="117"/>
    </row>
    <row r="63" spans="1:12" ht="23.25" customHeight="1">
      <c r="A63" s="1457" t="s">
        <v>107</v>
      </c>
      <c r="B63" s="1458"/>
      <c r="C63" s="1459"/>
      <c r="D63" s="268" t="s">
        <v>198</v>
      </c>
      <c r="E63" s="56">
        <f>'29'!F64</f>
        <v>110461.4</v>
      </c>
      <c r="F63" s="267">
        <v>274089</v>
      </c>
      <c r="G63" s="325">
        <f t="shared" si="5"/>
        <v>163627.6</v>
      </c>
      <c r="H63" s="57">
        <f>G63+'29'!H64</f>
        <v>175665.6</v>
      </c>
      <c r="I63" s="69"/>
      <c r="J63" s="58">
        <f>H63/DAY(B2)</f>
        <v>5855.52</v>
      </c>
      <c r="K63" s="59"/>
      <c r="L63" s="117"/>
    </row>
    <row r="64" spans="1:12" ht="23.25" customHeight="1">
      <c r="A64" s="1457" t="s">
        <v>108</v>
      </c>
      <c r="B64" s="1458"/>
      <c r="C64" s="1459"/>
      <c r="D64" s="268" t="s">
        <v>198</v>
      </c>
      <c r="E64" s="56">
        <f>'29'!F65</f>
        <v>120948.65</v>
      </c>
      <c r="F64" s="267">
        <v>218102.43</v>
      </c>
      <c r="G64" s="325">
        <f t="shared" si="5"/>
        <v>97153.78</v>
      </c>
      <c r="H64" s="57">
        <f>G64+'29'!H65</f>
        <v>109058.31</v>
      </c>
      <c r="I64" s="80"/>
      <c r="J64" s="58">
        <f>H64/DAY(B2)</f>
        <v>3635.277</v>
      </c>
      <c r="K64" s="59"/>
      <c r="L64" s="117"/>
    </row>
    <row r="65" spans="1:12" ht="23.25" customHeight="1">
      <c r="A65" s="1457" t="s">
        <v>109</v>
      </c>
      <c r="B65" s="1458"/>
      <c r="C65" s="1459"/>
      <c r="D65" s="268" t="s">
        <v>198</v>
      </c>
      <c r="E65" s="56">
        <f>'29'!F66</f>
        <v>13320.84</v>
      </c>
      <c r="F65" s="267">
        <v>7977.92</v>
      </c>
      <c r="G65" s="325">
        <f t="shared" si="5"/>
        <v>-5342.92</v>
      </c>
      <c r="H65" s="57">
        <f>G65+'29'!H66</f>
        <v>5555.83</v>
      </c>
      <c r="I65" s="69"/>
      <c r="J65" s="58">
        <f>H65/DAY(B2)</f>
        <v>185.19433333333333</v>
      </c>
      <c r="K65" s="59"/>
      <c r="L65" s="117"/>
    </row>
    <row r="66" spans="1:12" ht="23.25" customHeight="1">
      <c r="A66" s="1457" t="s">
        <v>110</v>
      </c>
      <c r="B66" s="1458"/>
      <c r="C66" s="1459"/>
      <c r="D66" s="268" t="s">
        <v>198</v>
      </c>
      <c r="E66" s="56">
        <f>'29'!F67</f>
        <v>187269.37</v>
      </c>
      <c r="F66" s="267">
        <v>350190.03</v>
      </c>
      <c r="G66" s="325">
        <f t="shared" si="5"/>
        <v>162920.66000000003</v>
      </c>
      <c r="H66" s="57">
        <f>G66+'29'!H67</f>
        <v>181948.68000000002</v>
      </c>
      <c r="I66" s="80"/>
      <c r="J66" s="58">
        <f>H66/DAY(B2)</f>
        <v>6064.956000000001</v>
      </c>
      <c r="K66" s="75"/>
      <c r="L66" s="117"/>
    </row>
    <row r="67" spans="1:12" ht="23.25" customHeight="1">
      <c r="A67" s="1457" t="s">
        <v>111</v>
      </c>
      <c r="B67" s="1458"/>
      <c r="C67" s="1459"/>
      <c r="D67" s="268" t="s">
        <v>198</v>
      </c>
      <c r="E67" s="56">
        <f>'29'!F68</f>
        <v>62687.79</v>
      </c>
      <c r="F67" s="267">
        <v>0</v>
      </c>
      <c r="G67" s="325">
        <f t="shared" si="5"/>
        <v>-62687.79</v>
      </c>
      <c r="H67" s="57">
        <f>G67+'29'!H68</f>
        <v>-53623.9</v>
      </c>
      <c r="I67" s="105"/>
      <c r="J67" s="58">
        <f>H67/DAY(B2)</f>
        <v>-1787.4633333333334</v>
      </c>
      <c r="K67" s="83"/>
      <c r="L67" s="117"/>
    </row>
    <row r="68" spans="1:12" ht="23.25" customHeight="1">
      <c r="A68" s="1457" t="s">
        <v>112</v>
      </c>
      <c r="B68" s="1458"/>
      <c r="C68" s="1459"/>
      <c r="D68" s="268" t="s">
        <v>198</v>
      </c>
      <c r="E68" s="56">
        <f>'29'!F69</f>
        <v>55093</v>
      </c>
      <c r="F68" s="267">
        <v>156094.09</v>
      </c>
      <c r="G68" s="325">
        <f t="shared" si="5"/>
        <v>101001.09</v>
      </c>
      <c r="H68" s="57">
        <f>G68+'29'!H69</f>
        <v>109574.66</v>
      </c>
      <c r="I68" s="105"/>
      <c r="J68" s="58">
        <f>H68/DAY(B2)</f>
        <v>3652.4886666666666</v>
      </c>
      <c r="K68" s="85"/>
      <c r="L68" s="117"/>
    </row>
    <row r="69" spans="1:12" ht="23.25" customHeight="1">
      <c r="A69" s="1470" t="s">
        <v>200</v>
      </c>
      <c r="B69" s="1471"/>
      <c r="C69" s="1472"/>
      <c r="D69" s="268" t="s">
        <v>198</v>
      </c>
      <c r="E69" s="463"/>
      <c r="F69" s="461"/>
      <c r="G69" s="461"/>
      <c r="H69" s="57">
        <f>G69+'13'!H70</f>
        <v>0</v>
      </c>
      <c r="I69" s="461"/>
      <c r="J69" s="461"/>
      <c r="K69" s="85"/>
      <c r="L69" s="117"/>
    </row>
    <row r="70" spans="1:12" ht="23.25" customHeight="1">
      <c r="A70" s="1467" t="s">
        <v>201</v>
      </c>
      <c r="B70" s="1468"/>
      <c r="C70" s="1468"/>
      <c r="D70" s="1468"/>
      <c r="E70" s="1468"/>
      <c r="F70" s="1468"/>
      <c r="G70" s="1468"/>
      <c r="H70" s="1468"/>
      <c r="I70" s="1468"/>
      <c r="J70" s="1469"/>
      <c r="K70" s="83"/>
      <c r="L70" s="117"/>
    </row>
    <row r="71" spans="1:12" ht="23.25" customHeight="1">
      <c r="A71" s="1457" t="s">
        <v>202</v>
      </c>
      <c r="B71" s="1458"/>
      <c r="C71" s="1459"/>
      <c r="D71" s="268" t="s">
        <v>198</v>
      </c>
      <c r="E71" s="452">
        <f>'29'!F72</f>
        <v>848280</v>
      </c>
      <c r="F71" s="271">
        <v>788748</v>
      </c>
      <c r="G71" s="325">
        <f t="shared" ref="G71:G83" si="6">F71-E71</f>
        <v>-59532</v>
      </c>
      <c r="H71" s="57">
        <f>G71+'29'!H72</f>
        <v>-57718</v>
      </c>
      <c r="I71" s="69"/>
      <c r="J71" s="58">
        <f>H71/DAY(B2)</f>
        <v>-1923.9333333333334</v>
      </c>
      <c r="K71" s="85"/>
      <c r="L71" s="117"/>
    </row>
    <row r="72" spans="1:12" ht="23.25" customHeight="1">
      <c r="A72" s="1457" t="s">
        <v>203</v>
      </c>
      <c r="B72" s="1458"/>
      <c r="C72" s="1459"/>
      <c r="D72" s="268" t="s">
        <v>198</v>
      </c>
      <c r="E72" s="56">
        <f>'29'!F73</f>
        <v>885728</v>
      </c>
      <c r="F72" s="271">
        <v>883770</v>
      </c>
      <c r="G72" s="325">
        <f t="shared" si="6"/>
        <v>-1958</v>
      </c>
      <c r="H72" s="57">
        <f>G72+'29'!H73</f>
        <v>-1011</v>
      </c>
      <c r="I72" s="69"/>
      <c r="J72" s="58">
        <f>H72/DAY(B2)</f>
        <v>-33.700000000000003</v>
      </c>
      <c r="K72" s="83"/>
      <c r="L72" s="117"/>
    </row>
    <row r="73" spans="1:12" ht="23.25" customHeight="1">
      <c r="A73" s="1457" t="s">
        <v>204</v>
      </c>
      <c r="B73" s="1458"/>
      <c r="C73" s="1459"/>
      <c r="D73" s="268" t="s">
        <v>198</v>
      </c>
      <c r="E73" s="56">
        <f>'29'!F74</f>
        <v>882303</v>
      </c>
      <c r="F73" s="271">
        <v>783142</v>
      </c>
      <c r="G73" s="325">
        <f t="shared" si="6"/>
        <v>-99161</v>
      </c>
      <c r="H73" s="57">
        <f>G73+'29'!H74</f>
        <v>-98173</v>
      </c>
      <c r="I73" s="69"/>
      <c r="J73" s="58">
        <f>H73/DAY(B2)</f>
        <v>-3272.4333333333334</v>
      </c>
      <c r="K73" s="85"/>
      <c r="L73" s="117"/>
    </row>
    <row r="74" spans="1:12" ht="23.25" customHeight="1">
      <c r="A74" s="1463" t="s">
        <v>205</v>
      </c>
      <c r="B74" s="1464"/>
      <c r="C74" s="1465"/>
      <c r="D74" s="268" t="s">
        <v>198</v>
      </c>
      <c r="E74" s="56">
        <f>'29'!F75</f>
        <v>737120</v>
      </c>
      <c r="F74" s="271">
        <v>641404</v>
      </c>
      <c r="G74" s="325">
        <f t="shared" si="6"/>
        <v>-95716</v>
      </c>
      <c r="H74" s="57">
        <f>G74+'29'!H75</f>
        <v>-90237</v>
      </c>
      <c r="I74" s="69"/>
      <c r="J74" s="58">
        <f>H74/DAY(B2)</f>
        <v>-3007.9</v>
      </c>
      <c r="K74" s="83"/>
      <c r="L74" s="117"/>
    </row>
    <row r="75" spans="1:12" ht="23.25" customHeight="1">
      <c r="A75" s="1463" t="s">
        <v>206</v>
      </c>
      <c r="B75" s="1464"/>
      <c r="C75" s="1465"/>
      <c r="D75" s="268" t="s">
        <v>198</v>
      </c>
      <c r="E75" s="56">
        <f>'29'!F76</f>
        <v>686870</v>
      </c>
      <c r="F75" s="271">
        <v>615603</v>
      </c>
      <c r="G75" s="325">
        <f t="shared" si="6"/>
        <v>-71267</v>
      </c>
      <c r="H75" s="57">
        <f>G75+'29'!H76</f>
        <v>-67496</v>
      </c>
      <c r="I75" s="112"/>
      <c r="J75" s="58">
        <f>H75/DAY(B2)</f>
        <v>-2249.8666666666668</v>
      </c>
      <c r="K75" s="83"/>
      <c r="L75" s="117"/>
    </row>
    <row r="76" spans="1:12" ht="23.25" customHeight="1">
      <c r="A76" s="1457" t="s">
        <v>207</v>
      </c>
      <c r="B76" s="1458"/>
      <c r="C76" s="1459"/>
      <c r="D76" s="268" t="s">
        <v>198</v>
      </c>
      <c r="E76" s="56">
        <f>'29'!F77</f>
        <v>697002</v>
      </c>
      <c r="F76" s="271">
        <v>669905</v>
      </c>
      <c r="G76" s="325">
        <f t="shared" si="6"/>
        <v>-27097</v>
      </c>
      <c r="H76" s="57">
        <f>G76+'29'!H77</f>
        <v>-25489</v>
      </c>
      <c r="I76" s="112"/>
      <c r="J76" s="58">
        <f>H76/DAY(B2)</f>
        <v>-849.63333333333333</v>
      </c>
      <c r="K76" s="83"/>
      <c r="L76" s="117"/>
    </row>
    <row r="77" spans="1:12" ht="23.25" customHeight="1">
      <c r="A77" s="1237" t="s">
        <v>208</v>
      </c>
      <c r="B77" s="1238"/>
      <c r="C77" s="1239"/>
      <c r="D77" s="268" t="s">
        <v>198</v>
      </c>
      <c r="E77" s="56">
        <f>'29'!F78</f>
        <v>641105</v>
      </c>
      <c r="F77" s="271">
        <v>487314</v>
      </c>
      <c r="G77" s="325">
        <f t="shared" si="6"/>
        <v>-153791</v>
      </c>
      <c r="H77" s="57">
        <f>G77+'29'!H78</f>
        <v>-143459</v>
      </c>
      <c r="I77" s="112"/>
      <c r="J77" s="58">
        <f>H77/DAY(B2)</f>
        <v>-4781.9666666666662</v>
      </c>
      <c r="K77" s="83"/>
      <c r="L77" s="117"/>
    </row>
    <row r="78" spans="1:12" ht="23.25" customHeight="1">
      <c r="A78" s="1466" t="s">
        <v>97</v>
      </c>
      <c r="B78" s="1461"/>
      <c r="C78" s="1462"/>
      <c r="D78" s="376" t="s">
        <v>198</v>
      </c>
      <c r="E78" s="56">
        <f>'29'!F79</f>
        <v>809323</v>
      </c>
      <c r="F78" s="271">
        <v>677157</v>
      </c>
      <c r="G78" s="325">
        <f t="shared" si="6"/>
        <v>-132166</v>
      </c>
      <c r="H78" s="57">
        <f>G78+'29'!H79</f>
        <v>-124614</v>
      </c>
      <c r="I78" s="112"/>
      <c r="J78" s="58">
        <f>H78/DAY(B2)</f>
        <v>-4153.8</v>
      </c>
      <c r="K78" s="83"/>
      <c r="L78" s="117"/>
    </row>
    <row r="79" spans="1:12" ht="23.25" customHeight="1">
      <c r="A79" s="1466" t="s">
        <v>209</v>
      </c>
      <c r="B79" s="1461"/>
      <c r="C79" s="1462"/>
      <c r="D79" s="376" t="s">
        <v>198</v>
      </c>
      <c r="E79" s="56">
        <f>'29'!F80</f>
        <v>484503</v>
      </c>
      <c r="F79" s="271">
        <v>341072.6</v>
      </c>
      <c r="G79" s="325">
        <f t="shared" si="6"/>
        <v>-143430.40000000002</v>
      </c>
      <c r="H79" s="57">
        <f>G79+'29'!H80</f>
        <v>-136139.24000000005</v>
      </c>
      <c r="I79" s="112"/>
      <c r="J79" s="58">
        <f>H79/DAY(B2)</f>
        <v>-4537.9746666666679</v>
      </c>
      <c r="K79" s="83"/>
      <c r="L79" s="117"/>
    </row>
    <row r="80" spans="1:12" ht="23.25" customHeight="1">
      <c r="A80" s="1466" t="s">
        <v>210</v>
      </c>
      <c r="B80" s="1461"/>
      <c r="C80" s="1462"/>
      <c r="D80" s="376" t="s">
        <v>198</v>
      </c>
      <c r="E80" s="56">
        <f>'29'!F81</f>
        <v>622568</v>
      </c>
      <c r="F80" s="271">
        <v>407588.2</v>
      </c>
      <c r="G80" s="325">
        <f t="shared" si="6"/>
        <v>-214979.8</v>
      </c>
      <c r="H80" s="57">
        <f>G80+'29'!H81</f>
        <v>-211665.8</v>
      </c>
      <c r="I80" s="112"/>
      <c r="J80" s="58">
        <f>H80/DAY(B2)</f>
        <v>-7055.5266666666666</v>
      </c>
      <c r="K80" s="83"/>
      <c r="L80" s="117"/>
    </row>
    <row r="81" spans="1:12" ht="23.25" customHeight="1">
      <c r="A81" s="1460" t="s">
        <v>100</v>
      </c>
      <c r="B81" s="1461"/>
      <c r="C81" s="1462"/>
      <c r="D81" s="377" t="s">
        <v>143</v>
      </c>
      <c r="E81" s="56">
        <f>'29'!F82</f>
        <v>105339.54</v>
      </c>
      <c r="F81" s="272">
        <v>72586.12</v>
      </c>
      <c r="G81" s="325">
        <f t="shared" si="6"/>
        <v>-32753.42</v>
      </c>
      <c r="H81" s="57">
        <f>G81+'29'!H82</f>
        <v>-31851.880000000005</v>
      </c>
      <c r="I81" s="206"/>
      <c r="J81" s="58">
        <f>H81/DAY(B2)</f>
        <v>-1061.7293333333334</v>
      </c>
      <c r="K81" s="83"/>
      <c r="L81" s="117"/>
    </row>
    <row r="82" spans="1:12" ht="23.25" customHeight="1">
      <c r="A82" s="1460" t="s">
        <v>211</v>
      </c>
      <c r="B82" s="1461"/>
      <c r="C82" s="1462"/>
      <c r="D82" s="273" t="s">
        <v>143</v>
      </c>
      <c r="E82" s="56">
        <f>'29'!F83</f>
        <v>982952</v>
      </c>
      <c r="F82" s="269">
        <v>725847</v>
      </c>
      <c r="G82" s="325">
        <f t="shared" si="6"/>
        <v>-257105</v>
      </c>
      <c r="H82" s="57">
        <f>G82+'29'!H83</f>
        <v>-247624</v>
      </c>
      <c r="I82" s="68"/>
      <c r="J82" s="58">
        <f>H82/DAY(B2)</f>
        <v>-8254.1333333333332</v>
      </c>
      <c r="K82" s="75"/>
      <c r="L82" s="117"/>
    </row>
    <row r="83" spans="1:12" ht="23.25" customHeight="1">
      <c r="A83" s="1240" t="s">
        <v>212</v>
      </c>
      <c r="B83" s="1240"/>
      <c r="C83" s="1241"/>
      <c r="D83" s="379" t="s">
        <v>143</v>
      </c>
      <c r="E83" s="56">
        <f>'29'!F84</f>
        <v>415080</v>
      </c>
      <c r="F83" s="268">
        <v>960770</v>
      </c>
      <c r="G83" s="325">
        <f t="shared" si="6"/>
        <v>545690</v>
      </c>
      <c r="H83" s="57">
        <f>G83+'29'!H84</f>
        <v>563574</v>
      </c>
      <c r="I83" s="68"/>
      <c r="J83" s="58">
        <f>H83/DAY(B2)</f>
        <v>18785.8</v>
      </c>
      <c r="K83" s="88"/>
      <c r="L83" s="117"/>
    </row>
    <row r="84" spans="1:12" s="38" customFormat="1" ht="23.25" customHeight="1">
      <c r="A84" s="446" t="s">
        <v>213</v>
      </c>
      <c r="B84" s="447"/>
      <c r="C84" s="447"/>
      <c r="D84" s="381"/>
      <c r="E84" s="319"/>
      <c r="F84" s="268"/>
      <c r="G84" s="399">
        <f xml:space="preserve"> SUM(G71:G83)</f>
        <v>-743266.62000000011</v>
      </c>
      <c r="H84" s="57">
        <f>G84+'29'!H85</f>
        <v>-676134.08000000007</v>
      </c>
      <c r="I84" s="68"/>
      <c r="J84" s="58">
        <f>H84/DAY(B2)</f>
        <v>-22537.80266666667</v>
      </c>
      <c r="K84" s="88"/>
      <c r="L84" s="44"/>
    </row>
    <row r="85" spans="1:12" s="38" customFormat="1" ht="23.25" customHeight="1">
      <c r="A85" s="1232" t="s">
        <v>216</v>
      </c>
      <c r="B85" s="435"/>
      <c r="C85" s="1233"/>
      <c r="D85" s="474"/>
      <c r="E85" s="474"/>
      <c r="F85" s="474"/>
      <c r="G85" s="426"/>
      <c r="H85" s="474"/>
      <c r="I85" s="474"/>
      <c r="J85" s="474"/>
      <c r="K85" s="88"/>
      <c r="L85" s="44"/>
    </row>
    <row r="86" spans="1:12" ht="23.25" customHeight="1">
      <c r="A86" s="1454" t="s">
        <v>217</v>
      </c>
      <c r="B86" s="1455"/>
      <c r="C86" s="1456"/>
      <c r="D86" s="268" t="s">
        <v>155</v>
      </c>
      <c r="E86" s="452">
        <f>'29'!F92</f>
        <v>236405</v>
      </c>
      <c r="F86" s="267">
        <v>175511</v>
      </c>
      <c r="G86" s="325">
        <f t="shared" ref="G86:G87" si="7">F86-E86</f>
        <v>-60894</v>
      </c>
      <c r="H86" s="57">
        <f>G86+'29'!H92</f>
        <v>-58391</v>
      </c>
      <c r="I86" s="69"/>
      <c r="J86" s="58">
        <f>H86/DAY(B2)</f>
        <v>-1946.3666666666666</v>
      </c>
      <c r="K86" s="75"/>
      <c r="L86" s="117"/>
    </row>
    <row r="87" spans="1:12" ht="23.25" customHeight="1">
      <c r="A87" s="1454" t="s">
        <v>218</v>
      </c>
      <c r="B87" s="1455"/>
      <c r="C87" s="1456"/>
      <c r="D87" s="268" t="s">
        <v>155</v>
      </c>
      <c r="E87" s="56">
        <f>'29'!F93</f>
        <v>170864</v>
      </c>
      <c r="F87" s="267">
        <v>60336</v>
      </c>
      <c r="G87" s="325">
        <f t="shared" si="7"/>
        <v>-110528</v>
      </c>
      <c r="H87" s="57">
        <f>G87+'29'!H93</f>
        <v>-106580</v>
      </c>
      <c r="I87" s="69"/>
      <c r="J87" s="58">
        <f>H87/DAY(B2)</f>
        <v>-3552.6666666666665</v>
      </c>
      <c r="K87" s="88"/>
      <c r="L87" s="117"/>
    </row>
    <row r="88" spans="1:12" ht="23.25" customHeight="1">
      <c r="A88" s="1446" t="s">
        <v>219</v>
      </c>
      <c r="B88" s="1447"/>
      <c r="C88" s="1448"/>
      <c r="D88" s="268"/>
      <c r="E88" s="56">
        <f>'29'!F94</f>
        <v>0</v>
      </c>
      <c r="F88" s="267"/>
      <c r="G88" s="325">
        <f>G86+G87</f>
        <v>-171422</v>
      </c>
      <c r="H88" s="57">
        <f>G88+'29'!H94</f>
        <v>-165245</v>
      </c>
      <c r="I88" s="69"/>
      <c r="J88" s="58">
        <f>H88/DAY(B2)</f>
        <v>-5508.166666666667</v>
      </c>
      <c r="K88" s="88"/>
      <c r="L88" s="117"/>
    </row>
    <row r="89" spans="1:12" ht="23.25" customHeight="1">
      <c r="A89" s="1454" t="s">
        <v>220</v>
      </c>
      <c r="B89" s="1455"/>
      <c r="C89" s="1456"/>
      <c r="D89" s="268" t="s">
        <v>155</v>
      </c>
      <c r="E89" s="56">
        <f>'29'!F95</f>
        <v>405753</v>
      </c>
      <c r="F89" s="267">
        <v>351186</v>
      </c>
      <c r="G89" s="325">
        <f t="shared" ref="G89:G94" si="8">F89-E89</f>
        <v>-54567</v>
      </c>
      <c r="H89" s="57">
        <f>G89+'29'!H95</f>
        <v>-52479</v>
      </c>
      <c r="I89" s="69"/>
      <c r="J89" s="58">
        <f>H89/DAY(B2)</f>
        <v>-1749.3</v>
      </c>
      <c r="K89" s="88"/>
      <c r="L89" s="117"/>
    </row>
    <row r="90" spans="1:12" ht="23.25" customHeight="1">
      <c r="A90" s="1234" t="s">
        <v>221</v>
      </c>
      <c r="B90" s="1235"/>
      <c r="C90" s="1236"/>
      <c r="D90" s="268" t="s">
        <v>155</v>
      </c>
      <c r="E90" s="56">
        <v>72</v>
      </c>
      <c r="F90" s="267">
        <v>84</v>
      </c>
      <c r="G90" s="325">
        <f t="shared" si="8"/>
        <v>12</v>
      </c>
      <c r="H90" s="57">
        <f>G90+'29'!H96</f>
        <v>561</v>
      </c>
      <c r="I90" s="69"/>
      <c r="J90" s="58">
        <f>H90/DAY(B2)</f>
        <v>18.7</v>
      </c>
      <c r="K90" s="43"/>
      <c r="L90" s="117"/>
    </row>
    <row r="91" spans="1:12" ht="23.25" customHeight="1">
      <c r="A91" s="1234" t="s">
        <v>222</v>
      </c>
      <c r="B91" s="1235"/>
      <c r="C91" s="1236"/>
      <c r="D91" s="268" t="s">
        <v>155</v>
      </c>
      <c r="E91" s="56">
        <f>'29'!F97</f>
        <v>95625</v>
      </c>
      <c r="F91" s="267">
        <v>82333</v>
      </c>
      <c r="G91" s="325">
        <f t="shared" si="8"/>
        <v>-13292</v>
      </c>
      <c r="H91" s="57">
        <f>G91+'29'!H97</f>
        <v>-12694</v>
      </c>
      <c r="I91" s="69"/>
      <c r="J91" s="58">
        <f>H91/DAY(B2)</f>
        <v>-423.13333333333333</v>
      </c>
      <c r="K91" s="51"/>
      <c r="L91" s="117"/>
    </row>
    <row r="92" spans="1:12" ht="23.25" customHeight="1">
      <c r="A92" s="1234" t="s">
        <v>223</v>
      </c>
      <c r="B92" s="1235"/>
      <c r="C92" s="1236"/>
      <c r="D92" s="268" t="s">
        <v>155</v>
      </c>
      <c r="E92" s="56">
        <f>'29'!F98</f>
        <v>145422</v>
      </c>
      <c r="F92" s="267">
        <v>115948</v>
      </c>
      <c r="G92" s="325">
        <f t="shared" si="8"/>
        <v>-29474</v>
      </c>
      <c r="H92" s="57">
        <f>G92+'29'!H98</f>
        <v>-27859</v>
      </c>
      <c r="I92" s="69"/>
      <c r="J92" s="58">
        <f>H92/DAY(B2)</f>
        <v>-928.63333333333333</v>
      </c>
      <c r="K92" s="88"/>
      <c r="L92" s="117"/>
    </row>
    <row r="93" spans="1:12" ht="23.25" customHeight="1">
      <c r="A93" s="1234" t="s">
        <v>224</v>
      </c>
      <c r="B93" s="1235"/>
      <c r="C93" s="1236"/>
      <c r="D93" s="268" t="s">
        <v>155</v>
      </c>
      <c r="E93" s="56">
        <f>'29'!F99</f>
        <v>5946</v>
      </c>
      <c r="F93" s="267">
        <v>2658</v>
      </c>
      <c r="G93" s="325">
        <f t="shared" si="8"/>
        <v>-3288</v>
      </c>
      <c r="H93" s="57">
        <f>G93+'29'!H99</f>
        <v>-2844</v>
      </c>
      <c r="I93" s="69"/>
      <c r="J93" s="58">
        <f>H93/DAY(B2)</f>
        <v>-94.8</v>
      </c>
      <c r="K93" s="88"/>
      <c r="L93" s="117"/>
    </row>
    <row r="94" spans="1:12" ht="23.25" customHeight="1">
      <c r="A94" s="1234" t="s">
        <v>225</v>
      </c>
      <c r="B94" s="1235"/>
      <c r="C94" s="1236"/>
      <c r="D94" s="268" t="s">
        <v>155</v>
      </c>
      <c r="E94" s="56">
        <f>'29'!F100</f>
        <v>4225</v>
      </c>
      <c r="F94" s="267">
        <v>2507</v>
      </c>
      <c r="G94" s="325">
        <f t="shared" si="8"/>
        <v>-1718</v>
      </c>
      <c r="H94" s="57">
        <f>G94+'29'!H100</f>
        <v>-1457</v>
      </c>
      <c r="I94" s="69"/>
      <c r="J94" s="58">
        <f>H94/DAY(B2)</f>
        <v>-48.56666666666667</v>
      </c>
      <c r="K94" s="88"/>
      <c r="L94" s="117"/>
    </row>
    <row r="95" spans="1:12" ht="23.25" customHeight="1">
      <c r="A95" s="1446" t="s">
        <v>227</v>
      </c>
      <c r="B95" s="1447"/>
      <c r="C95" s="1448"/>
      <c r="D95" s="274"/>
      <c r="E95" s="453"/>
      <c r="F95" s="274"/>
      <c r="G95" s="448">
        <f>SUM(G89:G94)</f>
        <v>-102327</v>
      </c>
      <c r="H95" s="57">
        <f>G95+'29'!H101</f>
        <v>-96772</v>
      </c>
      <c r="I95" s="140"/>
      <c r="J95" s="58">
        <f>H95/DAY(B2)</f>
        <v>-3225.7333333333331</v>
      </c>
      <c r="K95" s="88"/>
      <c r="L95" s="117"/>
    </row>
    <row r="96" spans="1:12" ht="23.25" customHeight="1">
      <c r="A96" s="1449" t="s">
        <v>241</v>
      </c>
      <c r="B96" s="1450"/>
      <c r="C96" s="1451"/>
      <c r="D96" s="474"/>
      <c r="E96" s="474"/>
      <c r="F96" s="474"/>
      <c r="G96" s="425"/>
      <c r="H96" s="425"/>
      <c r="I96" s="425"/>
      <c r="J96" s="425"/>
      <c r="K96" s="88"/>
      <c r="L96" s="117"/>
    </row>
    <row r="97" spans="1:12" ht="23.25" customHeight="1">
      <c r="A97" s="385" t="s">
        <v>242</v>
      </c>
      <c r="B97" s="386"/>
      <c r="C97" s="387"/>
      <c r="D97" s="319" t="s">
        <v>152</v>
      </c>
      <c r="E97" s="452">
        <f>'29'!F123</f>
        <v>802782.99</v>
      </c>
      <c r="F97" s="275">
        <v>650192.71</v>
      </c>
      <c r="G97" s="325">
        <f t="shared" ref="G97:G101" si="9">F97-E97</f>
        <v>-152590.28000000003</v>
      </c>
      <c r="H97" s="57">
        <f>G97+'29'!H123</f>
        <v>-145231.34000000008</v>
      </c>
      <c r="I97" s="87"/>
      <c r="J97" s="58">
        <f>H97/DAY(B2)</f>
        <v>-4841.0446666666694</v>
      </c>
      <c r="K97" s="88"/>
      <c r="L97" s="117"/>
    </row>
    <row r="98" spans="1:12" ht="23.25" customHeight="1">
      <c r="A98" s="385" t="s">
        <v>243</v>
      </c>
      <c r="B98" s="386"/>
      <c r="C98" s="387"/>
      <c r="D98" s="319" t="s">
        <v>152</v>
      </c>
      <c r="E98" s="56">
        <f>'29'!F124</f>
        <v>73582</v>
      </c>
      <c r="F98" s="275">
        <v>51370</v>
      </c>
      <c r="G98" s="325">
        <f t="shared" si="9"/>
        <v>-22212</v>
      </c>
      <c r="H98" s="57">
        <f>G98+'29'!H124</f>
        <v>-22212.199999999997</v>
      </c>
      <c r="I98" s="389"/>
      <c r="J98" s="58">
        <f>H98/DAY(B2)</f>
        <v>-740.40666666666652</v>
      </c>
      <c r="K98" s="88"/>
      <c r="L98" s="117"/>
    </row>
    <row r="99" spans="1:12" ht="23.25" customHeight="1">
      <c r="A99" s="1457" t="s">
        <v>244</v>
      </c>
      <c r="B99" s="1458"/>
      <c r="C99" s="1459"/>
      <c r="D99" s="268" t="s">
        <v>152</v>
      </c>
      <c r="E99" s="56">
        <f>'29'!F125</f>
        <v>137739.76999999999</v>
      </c>
      <c r="F99" s="264">
        <v>83294.490000000005</v>
      </c>
      <c r="G99" s="325">
        <f t="shared" si="9"/>
        <v>-54445.279999999984</v>
      </c>
      <c r="H99" s="57">
        <f>G99+'29'!H125</f>
        <v>-52296.180000000008</v>
      </c>
      <c r="I99" s="389"/>
      <c r="J99" s="58">
        <f>H99/DAY(B2)</f>
        <v>-1743.2060000000004</v>
      </c>
      <c r="K99" s="88"/>
      <c r="L99" s="117"/>
    </row>
    <row r="100" spans="1:12" ht="23.25" customHeight="1">
      <c r="A100" s="416" t="s">
        <v>245</v>
      </c>
      <c r="B100" s="1235"/>
      <c r="C100" s="1236"/>
      <c r="D100" s="268" t="s">
        <v>152</v>
      </c>
      <c r="E100" s="56">
        <f>'29'!F126</f>
        <v>58320</v>
      </c>
      <c r="F100" s="264">
        <v>39666</v>
      </c>
      <c r="G100" s="325">
        <f t="shared" si="9"/>
        <v>-18654</v>
      </c>
      <c r="H100" s="57">
        <f>G100+'29'!H126</f>
        <v>-17715</v>
      </c>
      <c r="I100" s="389"/>
      <c r="J100" s="58">
        <f>H100/DAY(B2)</f>
        <v>-590.5</v>
      </c>
      <c r="K100" s="88"/>
      <c r="L100" s="117"/>
    </row>
    <row r="101" spans="1:12" ht="23.25" customHeight="1">
      <c r="A101" s="416" t="s">
        <v>246</v>
      </c>
      <c r="B101" s="1235"/>
      <c r="C101" s="1236"/>
      <c r="D101" s="268" t="s">
        <v>152</v>
      </c>
      <c r="E101" s="56">
        <f>'29'!F127</f>
        <v>8807</v>
      </c>
      <c r="F101" s="264">
        <v>6221.3</v>
      </c>
      <c r="G101" s="325">
        <f t="shared" si="9"/>
        <v>-2585.6999999999998</v>
      </c>
      <c r="H101" s="57">
        <f>G101+'29'!H127</f>
        <v>-2484.6999999999998</v>
      </c>
      <c r="I101" s="326"/>
      <c r="J101" s="314">
        <f>H101/DAY(B2)</f>
        <v>-82.823333333333323</v>
      </c>
      <c r="K101" s="88"/>
      <c r="L101" s="117"/>
    </row>
    <row r="102" spans="1:12" ht="23.25" customHeight="1">
      <c r="A102" s="1452" t="s">
        <v>261</v>
      </c>
      <c r="B102" s="1453"/>
      <c r="C102" s="474"/>
      <c r="D102" s="474"/>
      <c r="E102" s="454"/>
      <c r="F102" s="474"/>
      <c r="G102" s="425"/>
      <c r="H102" s="425"/>
      <c r="I102" s="425"/>
      <c r="J102" s="425"/>
      <c r="K102" s="88"/>
      <c r="L102" s="117"/>
    </row>
    <row r="103" spans="1:12" ht="23.25" customHeight="1">
      <c r="A103" s="1454" t="s">
        <v>262</v>
      </c>
      <c r="B103" s="1455"/>
      <c r="C103" s="1456"/>
      <c r="D103" s="268" t="s">
        <v>143</v>
      </c>
      <c r="E103" s="268"/>
      <c r="F103" s="268"/>
      <c r="G103" s="277">
        <f>G34+G42+G48+G56</f>
        <v>641377.42999999982</v>
      </c>
      <c r="H103" s="57">
        <f>G103+'29'!H142</f>
        <v>794045.05999999971</v>
      </c>
      <c r="I103" s="69"/>
      <c r="J103" s="58">
        <f>H103/DAY(B2)</f>
        <v>26468.168666666657</v>
      </c>
      <c r="K103" s="88"/>
      <c r="L103" s="117"/>
    </row>
    <row r="104" spans="1:12" ht="23.25" customHeight="1">
      <c r="A104" s="1454" t="s">
        <v>263</v>
      </c>
      <c r="B104" s="1455"/>
      <c r="C104" s="1456"/>
      <c r="D104" s="268" t="s">
        <v>24</v>
      </c>
      <c r="E104" s="269"/>
      <c r="F104" s="269"/>
      <c r="G104" s="280">
        <f>G103/G7</f>
        <v>-2.7298685539487213</v>
      </c>
      <c r="H104" s="57">
        <f>G104+'29'!H143</f>
        <v>4.9520780226718202</v>
      </c>
      <c r="I104" s="84"/>
      <c r="J104" s="58">
        <f>H104/DAY(B2)</f>
        <v>0.165069267422394</v>
      </c>
      <c r="K104" s="111"/>
      <c r="L104" s="117"/>
    </row>
    <row r="105" spans="1:12" ht="23.25" customHeight="1">
      <c r="A105" s="1454" t="s">
        <v>264</v>
      </c>
      <c r="B105" s="1455"/>
      <c r="C105" s="1456"/>
      <c r="D105" s="268" t="s">
        <v>143</v>
      </c>
      <c r="E105" s="265"/>
      <c r="F105" s="265"/>
      <c r="G105" s="277">
        <f>G40+G41+G54+G55</f>
        <v>2773280.8899999997</v>
      </c>
      <c r="H105" s="57">
        <f>G105+'29'!H144</f>
        <v>2894139.78</v>
      </c>
      <c r="I105" s="69"/>
      <c r="J105" s="58">
        <f>H105/DAY(B2)</f>
        <v>96471.325999999986</v>
      </c>
      <c r="K105" s="111"/>
      <c r="L105" s="117"/>
    </row>
    <row r="106" spans="1:12" ht="23.25" customHeight="1">
      <c r="A106" s="1454" t="s">
        <v>265</v>
      </c>
      <c r="B106" s="1455"/>
      <c r="C106" s="1456"/>
      <c r="D106" s="268" t="s">
        <v>24</v>
      </c>
      <c r="E106" s="265"/>
      <c r="F106" s="265"/>
      <c r="G106" s="280">
        <f>G105/G7</f>
        <v>-11.803802158859758</v>
      </c>
      <c r="H106" s="57">
        <f>G106+'29'!H145</f>
        <v>-5.6050595821409415</v>
      </c>
      <c r="I106" s="84"/>
      <c r="J106" s="58">
        <f>H106/DAY(B2)</f>
        <v>-0.18683531940469805</v>
      </c>
      <c r="K106" s="111"/>
      <c r="L106" s="117"/>
    </row>
    <row r="107" spans="1:12" ht="23.25" customHeight="1">
      <c r="A107" s="1454" t="s">
        <v>266</v>
      </c>
      <c r="B107" s="1455"/>
      <c r="C107" s="1456"/>
      <c r="D107" s="268" t="s">
        <v>143</v>
      </c>
      <c r="E107" s="265"/>
      <c r="F107" s="265"/>
      <c r="G107" s="277">
        <f>G38+G52</f>
        <v>1785156.7200000002</v>
      </c>
      <c r="H107" s="57">
        <f>G107+'29'!H146</f>
        <v>1904487.7200000002</v>
      </c>
      <c r="I107" s="86"/>
      <c r="J107" s="58">
        <f>H107/DAY(B2)</f>
        <v>63482.924000000006</v>
      </c>
      <c r="K107" s="111"/>
      <c r="L107" s="117"/>
    </row>
    <row r="108" spans="1:12" ht="23.25" customHeight="1">
      <c r="A108" s="1454" t="s">
        <v>267</v>
      </c>
      <c r="B108" s="1455"/>
      <c r="C108" s="1456"/>
      <c r="D108" s="268" t="s">
        <v>24</v>
      </c>
      <c r="E108" s="265"/>
      <c r="F108" s="265"/>
      <c r="G108" s="280">
        <f>G107/G7</f>
        <v>-7.5980896206438766</v>
      </c>
      <c r="H108" s="57">
        <f>G108+'29'!H147</f>
        <v>-1.4618504814909663</v>
      </c>
      <c r="I108" s="86"/>
      <c r="J108" s="58">
        <f>H108/DAY(B2)</f>
        <v>-4.8728349383032207E-2</v>
      </c>
    </row>
    <row r="109" spans="1:12" ht="23.25" customHeight="1">
      <c r="A109" s="1454" t="s">
        <v>268</v>
      </c>
      <c r="B109" s="1455"/>
      <c r="C109" s="1456"/>
      <c r="D109" s="268" t="s">
        <v>194</v>
      </c>
      <c r="E109" s="265"/>
      <c r="F109" s="265"/>
      <c r="G109" s="277">
        <f>G37+G51</f>
        <v>1279050.75</v>
      </c>
      <c r="H109" s="57">
        <f>G109+'29'!H148</f>
        <v>1335673.1200000001</v>
      </c>
      <c r="I109" s="69"/>
      <c r="J109" s="58">
        <f>H109/DAY(B2)</f>
        <v>44522.437333333335</v>
      </c>
      <c r="K109" s="153"/>
    </row>
    <row r="110" spans="1:12" ht="23.25" customHeight="1">
      <c r="A110" s="1454" t="s">
        <v>269</v>
      </c>
      <c r="B110" s="1455"/>
      <c r="C110" s="1456"/>
      <c r="D110" s="268" t="s">
        <v>24</v>
      </c>
      <c r="E110" s="265"/>
      <c r="F110" s="265"/>
      <c r="G110" s="280">
        <f>G109/G7</f>
        <v>-5.4439714558236458</v>
      </c>
      <c r="H110" s="57">
        <f>G110+'29'!H149</f>
        <v>-2.5318470189842026</v>
      </c>
      <c r="I110" s="86"/>
      <c r="J110" s="58">
        <f>H110/DAY(B2)</f>
        <v>-8.439490063280676E-2</v>
      </c>
    </row>
    <row r="111" spans="1:12" ht="23.25" customHeight="1">
      <c r="A111" s="1454" t="s">
        <v>270</v>
      </c>
      <c r="B111" s="1455"/>
      <c r="C111" s="1456"/>
      <c r="D111" s="268" t="s">
        <v>194</v>
      </c>
      <c r="E111" s="265"/>
      <c r="F111" s="265"/>
      <c r="G111" s="277">
        <f>G35+G49</f>
        <v>760322.52</v>
      </c>
      <c r="H111" s="57">
        <f>G111+'29'!H150</f>
        <v>812184.72</v>
      </c>
      <c r="I111" s="86"/>
      <c r="J111" s="58">
        <f>H111/DAY(B2)</f>
        <v>27072.824000000001</v>
      </c>
    </row>
    <row r="112" spans="1:12" ht="23.25" customHeight="1">
      <c r="A112" s="1454" t="s">
        <v>271</v>
      </c>
      <c r="B112" s="1455"/>
      <c r="C112" s="1456"/>
      <c r="D112" s="268" t="s">
        <v>24</v>
      </c>
      <c r="E112" s="265"/>
      <c r="F112" s="265"/>
      <c r="G112" s="280">
        <f>G111/G7</f>
        <v>-3.2361296814062328</v>
      </c>
      <c r="H112" s="57">
        <f>G112+'29'!H151</f>
        <v>-0.56837827761427517</v>
      </c>
      <c r="I112" s="69"/>
      <c r="J112" s="58">
        <f>H112/DAY(B2)</f>
        <v>-1.8945942587142505E-2</v>
      </c>
    </row>
    <row r="113" spans="1:10" ht="23.25" customHeight="1">
      <c r="A113" s="1454" t="s">
        <v>272</v>
      </c>
      <c r="B113" s="1455"/>
      <c r="C113" s="1456"/>
      <c r="D113" s="268" t="s">
        <v>194</v>
      </c>
      <c r="E113" s="265"/>
      <c r="F113" s="265"/>
      <c r="G113" s="277">
        <f>G36+G50</f>
        <v>422709.93999999994</v>
      </c>
      <c r="H113" s="57">
        <f>G113+'29'!H152</f>
        <v>465037.82999999996</v>
      </c>
      <c r="I113" s="69"/>
      <c r="J113" s="58">
        <f>H113/DAY(B2)</f>
        <v>15501.260999999999</v>
      </c>
    </row>
    <row r="114" spans="1:10" ht="23.25" customHeight="1">
      <c r="A114" s="1454" t="s">
        <v>273</v>
      </c>
      <c r="B114" s="1455"/>
      <c r="C114" s="1456"/>
      <c r="D114" s="268" t="s">
        <v>24</v>
      </c>
      <c r="E114" s="265"/>
      <c r="F114" s="265"/>
      <c r="G114" s="280">
        <f>G113/G7</f>
        <v>-1.7991630492010779</v>
      </c>
      <c r="H114" s="57">
        <f>G114+'29'!H153</f>
        <v>0.37806944730736181</v>
      </c>
      <c r="I114" s="69"/>
      <c r="J114" s="58">
        <f>H114/DAY(B2)</f>
        <v>1.2602314910245393E-2</v>
      </c>
    </row>
    <row r="115" spans="1:10" ht="23.25" customHeight="1">
      <c r="A115" s="422" t="s">
        <v>248</v>
      </c>
      <c r="B115" s="422"/>
      <c r="C115" s="422"/>
      <c r="D115" s="422"/>
      <c r="E115" s="422"/>
      <c r="F115" s="422"/>
      <c r="G115" s="436"/>
      <c r="H115" s="436"/>
      <c r="I115" s="436"/>
      <c r="J115" s="436"/>
    </row>
    <row r="116" spans="1:10" ht="23.25" customHeight="1">
      <c r="A116" s="475" t="s">
        <v>249</v>
      </c>
      <c r="B116" s="475"/>
      <c r="C116" s="475"/>
      <c r="D116" s="268" t="s">
        <v>250</v>
      </c>
      <c r="E116" s="452">
        <f>'29'!F130</f>
        <v>0</v>
      </c>
      <c r="F116" s="267">
        <v>0</v>
      </c>
      <c r="G116" s="325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>
      <c r="A117" s="475" t="s">
        <v>251</v>
      </c>
      <c r="B117" s="475"/>
      <c r="C117" s="475"/>
      <c r="D117" s="268" t="s">
        <v>250</v>
      </c>
      <c r="E117" s="56">
        <f>'29'!F131</f>
        <v>0</v>
      </c>
      <c r="F117" s="267">
        <v>0</v>
      </c>
      <c r="G117" s="325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>
      <c r="A118" s="475" t="s">
        <v>252</v>
      </c>
      <c r="B118" s="475"/>
      <c r="C118" s="475"/>
      <c r="D118" s="268" t="s">
        <v>250</v>
      </c>
      <c r="E118" s="56">
        <f>'29'!F132</f>
        <v>39056.54</v>
      </c>
      <c r="F118" s="267">
        <v>36196</v>
      </c>
      <c r="G118" s="325">
        <f t="shared" si="10"/>
        <v>-2860.5400000000009</v>
      </c>
      <c r="H118" s="57">
        <f>G118+'29'!H132</f>
        <v>-2633.4800000000032</v>
      </c>
      <c r="I118" s="69"/>
      <c r="J118" s="58">
        <f>H118/DAY(B2)</f>
        <v>-87.782666666666771</v>
      </c>
    </row>
    <row r="119" spans="1:10" ht="23.25" customHeight="1">
      <c r="A119" s="475" t="s">
        <v>253</v>
      </c>
      <c r="B119" s="475"/>
      <c r="C119" s="475"/>
      <c r="D119" s="268" t="s">
        <v>250</v>
      </c>
      <c r="E119" s="56">
        <f>'29'!F133</f>
        <v>299</v>
      </c>
      <c r="F119" s="267">
        <v>32397.32</v>
      </c>
      <c r="G119" s="325">
        <f t="shared" si="10"/>
        <v>32098.32</v>
      </c>
      <c r="H119" s="57">
        <f>G119+'29'!H133</f>
        <v>32098.32</v>
      </c>
      <c r="I119" s="69">
        <f>G116+G117+G118+G119</f>
        <v>29237.78</v>
      </c>
      <c r="J119" s="58">
        <f>H119/DAY(B2)</f>
        <v>1069.944</v>
      </c>
    </row>
    <row r="120" spans="1:10" ht="23.25" customHeight="1">
      <c r="A120" s="475" t="s">
        <v>254</v>
      </c>
      <c r="B120" s="475"/>
      <c r="C120" s="475"/>
      <c r="D120" s="268" t="s">
        <v>250</v>
      </c>
      <c r="E120" s="56">
        <f>'29'!F134</f>
        <v>39951</v>
      </c>
      <c r="F120" s="267">
        <v>30495.25</v>
      </c>
      <c r="G120" s="325">
        <f t="shared" si="10"/>
        <v>-9455.75</v>
      </c>
      <c r="H120" s="57">
        <f>G120+'29'!H134</f>
        <v>-9431.8000000000029</v>
      </c>
      <c r="I120" s="69"/>
      <c r="J120" s="58">
        <f>H120/DAY(B2)</f>
        <v>-314.39333333333343</v>
      </c>
    </row>
    <row r="121" spans="1:10" ht="23.25" customHeight="1">
      <c r="A121" s="475" t="s">
        <v>255</v>
      </c>
      <c r="B121" s="475"/>
      <c r="C121" s="475"/>
      <c r="D121" s="268" t="s">
        <v>250</v>
      </c>
      <c r="E121" s="56">
        <f>'29'!F135</f>
        <v>32423</v>
      </c>
      <c r="F121" s="267">
        <v>25683.26</v>
      </c>
      <c r="G121" s="325">
        <f t="shared" si="10"/>
        <v>-6739.7400000000016</v>
      </c>
      <c r="H121" s="57">
        <f>G121+'29'!H135</f>
        <v>-6726.7400000000016</v>
      </c>
      <c r="I121" s="69"/>
      <c r="J121" s="58">
        <f>H121/DAY(B2)</f>
        <v>-224.22466666666671</v>
      </c>
    </row>
    <row r="122" spans="1:10" ht="23.25" customHeight="1">
      <c r="A122" s="475" t="s">
        <v>256</v>
      </c>
      <c r="B122" s="475"/>
      <c r="C122" s="475"/>
      <c r="D122" s="268" t="s">
        <v>250</v>
      </c>
      <c r="E122" s="56">
        <f>'29'!F136</f>
        <v>21988.73</v>
      </c>
      <c r="F122" s="267">
        <v>21285.49</v>
      </c>
      <c r="G122" s="325">
        <f t="shared" si="10"/>
        <v>-703.23999999999796</v>
      </c>
      <c r="H122" s="57">
        <f>G122+'29'!H136</f>
        <v>-516.20999999999913</v>
      </c>
      <c r="I122" s="69">
        <f>G120+G121+G122</f>
        <v>-16898.73</v>
      </c>
      <c r="J122" s="58">
        <f>H122/DAY(B2)</f>
        <v>-17.206999999999972</v>
      </c>
    </row>
    <row r="123" spans="1:10" ht="23.25" customHeight="1">
      <c r="A123" s="475" t="s">
        <v>257</v>
      </c>
      <c r="B123" s="475"/>
      <c r="C123" s="475"/>
      <c r="D123" s="268" t="s">
        <v>250</v>
      </c>
      <c r="E123" s="56">
        <f>'29'!F137</f>
        <v>25019.94</v>
      </c>
      <c r="F123" s="267">
        <v>22354.720000000001</v>
      </c>
      <c r="G123" s="325">
        <f t="shared" si="10"/>
        <v>-2665.2199999999975</v>
      </c>
      <c r="H123" s="57">
        <f>G123+'29'!H137</f>
        <v>-2657.2199999999975</v>
      </c>
      <c r="I123" s="69"/>
      <c r="J123" s="58">
        <f>H123/DAY(B2)</f>
        <v>-88.573999999999913</v>
      </c>
    </row>
    <row r="124" spans="1:10" ht="23.25" customHeight="1">
      <c r="A124" s="475" t="s">
        <v>258</v>
      </c>
      <c r="B124" s="475"/>
      <c r="C124" s="475"/>
      <c r="D124" s="268" t="s">
        <v>250</v>
      </c>
      <c r="E124" s="56">
        <f>'29'!F138</f>
        <v>70059.78</v>
      </c>
      <c r="F124" s="267">
        <v>64789.37</v>
      </c>
      <c r="G124" s="325">
        <f t="shared" si="10"/>
        <v>-5270.4099999999962</v>
      </c>
      <c r="H124" s="57">
        <f>G124+'29'!H138</f>
        <v>-5253.43</v>
      </c>
      <c r="I124" s="69">
        <f>G123+G124</f>
        <v>-7935.6299999999937</v>
      </c>
      <c r="J124" s="58">
        <f>H124/DAY(B2)</f>
        <v>-175.11433333333335</v>
      </c>
    </row>
    <row r="125" spans="1:10" ht="23.25" customHeight="1">
      <c r="A125" s="475" t="s">
        <v>259</v>
      </c>
      <c r="B125" s="475"/>
      <c r="C125" s="475"/>
      <c r="D125" s="268" t="s">
        <v>250</v>
      </c>
      <c r="E125" s="56">
        <f>'29'!F139</f>
        <v>1184.42</v>
      </c>
      <c r="F125" s="267">
        <v>17.899999999999999</v>
      </c>
      <c r="G125" s="325">
        <f t="shared" si="10"/>
        <v>-1166.52</v>
      </c>
      <c r="H125" s="57">
        <f>G125+'29'!H139</f>
        <v>-1045.0999999999999</v>
      </c>
      <c r="J125" s="58">
        <f>H125/DAY(B2)</f>
        <v>-34.836666666666666</v>
      </c>
    </row>
    <row r="126" spans="1:10" ht="23.25" customHeight="1" thickBot="1">
      <c r="A126" s="475" t="s">
        <v>260</v>
      </c>
      <c r="B126" s="475"/>
      <c r="C126" s="475"/>
      <c r="D126" s="268" t="s">
        <v>250</v>
      </c>
      <c r="E126" s="455">
        <f>'29'!F140</f>
        <v>4334</v>
      </c>
      <c r="F126" s="267">
        <v>603.07000000000005</v>
      </c>
      <c r="G126" s="325">
        <f t="shared" si="10"/>
        <v>-3730.93</v>
      </c>
      <c r="H126" s="57">
        <f>G126+'29'!H140</f>
        <v>-3629.3399999999997</v>
      </c>
      <c r="J126" s="58">
        <f>H126/DAY(B2)</f>
        <v>-120.97799999999999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3:I7"/>
  <sheetViews>
    <sheetView workbookViewId="0">
      <selection activeCell="A37" sqref="A37"/>
    </sheetView>
  </sheetViews>
  <sheetFormatPr defaultRowHeight="15.75"/>
  <sheetData>
    <row r="3" spans="1:9">
      <c r="A3" s="213">
        <f>'1'!G7</f>
        <v>20215</v>
      </c>
      <c r="B3" s="213"/>
      <c r="C3" s="213"/>
      <c r="D3" s="213"/>
      <c r="E3" s="213"/>
      <c r="F3" s="213"/>
      <c r="G3" s="213"/>
      <c r="H3" s="213"/>
      <c r="I3" s="213"/>
    </row>
    <row r="4" spans="1:9">
      <c r="A4" s="213">
        <f>'2'!G7</f>
        <v>19576</v>
      </c>
      <c r="B4" s="213"/>
    </row>
    <row r="5" spans="1:9">
      <c r="A5" s="213">
        <f>'3'!G7</f>
        <v>19258</v>
      </c>
    </row>
    <row r="6" spans="1:9">
      <c r="A6" s="213">
        <f>'4'!G7</f>
        <v>18476</v>
      </c>
    </row>
    <row r="7" spans="1:9">
      <c r="A7" s="213">
        <f>'5'!G7</f>
        <v>17831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26</vt:i4>
      </vt:variant>
    </vt:vector>
  </HeadingPairs>
  <TitlesOfParts>
    <vt:vector size="66" baseType="lpstr">
      <vt:lpstr>TOTAL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dcterms:created xsi:type="dcterms:W3CDTF">2013-11-14T06:06:34Z</dcterms:created>
  <dcterms:modified xsi:type="dcterms:W3CDTF">2021-01-30T08:34:29Z</dcterms:modified>
</cp:coreProperties>
</file>