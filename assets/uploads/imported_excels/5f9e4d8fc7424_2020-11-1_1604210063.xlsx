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0 Oct 2020\"/>
    </mc:Choice>
  </mc:AlternateContent>
  <bookViews>
    <workbookView xWindow="0" yWindow="0" windowWidth="28800" windowHeight="12435" tabRatio="433" firstSheet="1" activeTab="1"/>
  </bookViews>
  <sheets>
    <sheet name="Sheet1" sheetId="1" r:id="rId1"/>
    <sheet name="Oct 2020" sheetId="31" r:id="rId2"/>
  </sheets>
  <calcPr calcId="152511"/>
</workbook>
</file>

<file path=xl/calcChain.xml><?xml version="1.0" encoding="utf-8"?>
<calcChain xmlns="http://schemas.openxmlformats.org/spreadsheetml/2006/main">
  <c r="L26" i="31" l="1"/>
  <c r="L27" i="31"/>
  <c r="L28" i="31"/>
  <c r="L29" i="31"/>
  <c r="L30" i="31"/>
  <c r="L31" i="31"/>
  <c r="L32" i="31"/>
  <c r="L33" i="31"/>
  <c r="L34" i="31"/>
  <c r="L35" i="31"/>
  <c r="G26" i="31"/>
  <c r="G27" i="31"/>
  <c r="G28" i="31"/>
  <c r="G29" i="31"/>
  <c r="G30" i="31"/>
  <c r="G31" i="31"/>
  <c r="G32" i="31"/>
  <c r="G33" i="31"/>
  <c r="G34" i="31"/>
  <c r="G35" i="31"/>
  <c r="I26" i="31"/>
  <c r="I27" i="31"/>
  <c r="I28" i="31"/>
  <c r="I29" i="31"/>
  <c r="I30" i="31"/>
  <c r="I31" i="31"/>
  <c r="I32" i="31"/>
  <c r="I33" i="31"/>
  <c r="I34" i="31"/>
  <c r="I35" i="31"/>
  <c r="L25" i="31" l="1"/>
  <c r="I25" i="31"/>
  <c r="G25" i="31"/>
  <c r="G24" i="31" l="1"/>
  <c r="I24" i="31"/>
  <c r="L24" i="31"/>
  <c r="L23" i="31" l="1"/>
  <c r="I23" i="31"/>
  <c r="G23" i="31"/>
  <c r="L6" i="31" l="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5" i="31"/>
  <c r="L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<sst xmlns="http://schemas.openxmlformats.org/spreadsheetml/2006/main" count="64" uniqueCount="31">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</sst>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opLeftCell="A4" zoomScale="111" zoomScaleNormal="85" workbookViewId="0">
      <selection activeCell="P26" sqref="P26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10</v>
      </c>
      <c r="D2">
        <v>2020</v>
      </c>
      <c r="E2" s="15">
        <f>'Oct 2020'!E5</f>
        <v>34216</v>
      </c>
      <c r="F2" s="10">
        <v>2.9000000000000001E-2</v>
      </c>
      <c r="G2" s="1">
        <f>'Oct 2020'!J5</f>
        <v>0</v>
      </c>
      <c r="H2" s="10">
        <v>0.112</v>
      </c>
      <c r="I2" s="1">
        <f>'Oct 2020'!G5*1000</f>
        <v>81000</v>
      </c>
      <c r="J2" s="10">
        <v>3.61E-2</v>
      </c>
      <c r="K2" s="1">
        <f>'Oct 2020'!I5</f>
        <v>176</v>
      </c>
      <c r="L2" s="10">
        <v>0.75</v>
      </c>
      <c r="M2" s="10">
        <f>'Oct 2020'!L5</f>
        <v>257</v>
      </c>
      <c r="N2" s="10">
        <v>0.56299999999999994</v>
      </c>
      <c r="O2" s="15">
        <f>'Oct 2020'!D5</f>
        <v>93</v>
      </c>
    </row>
    <row r="3" spans="1:17" x14ac:dyDescent="0.2">
      <c r="A3" t="s">
        <v>27</v>
      </c>
      <c r="B3">
        <f>B2+1</f>
        <v>2</v>
      </c>
      <c r="C3" s="5">
        <v>10</v>
      </c>
      <c r="D3">
        <v>2020</v>
      </c>
      <c r="E3" s="15">
        <f>'Oct 2020'!E6</f>
        <v>34468</v>
      </c>
      <c r="F3" s="10">
        <v>2.9000000000000001E-2</v>
      </c>
      <c r="G3" s="1">
        <f>'Oct 2020'!J6</f>
        <v>0</v>
      </c>
      <c r="H3" s="10">
        <v>0.112</v>
      </c>
      <c r="I3" s="1">
        <f>'Oct 2020'!G6*1000</f>
        <v>88000</v>
      </c>
      <c r="J3" s="10">
        <v>3.61E-2</v>
      </c>
      <c r="K3" s="1">
        <f>'Oct 2020'!I6</f>
        <v>307</v>
      </c>
      <c r="L3" s="10">
        <v>0.75</v>
      </c>
      <c r="M3" s="10">
        <f>'Oct 2020'!L6</f>
        <v>306</v>
      </c>
      <c r="N3" s="10">
        <v>0.56299999999999994</v>
      </c>
      <c r="O3" s="15">
        <f>'Oct 2020'!D6</f>
        <v>102</v>
      </c>
    </row>
    <row r="4" spans="1:17" x14ac:dyDescent="0.2">
      <c r="A4" t="s">
        <v>27</v>
      </c>
      <c r="B4">
        <f t="shared" ref="B4:B29" si="0">B3+1</f>
        <v>3</v>
      </c>
      <c r="C4" s="5">
        <v>10</v>
      </c>
      <c r="D4">
        <v>2020</v>
      </c>
      <c r="E4" s="15">
        <f>'Oct 2020'!E7</f>
        <v>32884</v>
      </c>
      <c r="F4" s="10">
        <v>2.9000000000000001E-2</v>
      </c>
      <c r="G4" s="1">
        <f>'Oct 2020'!J7</f>
        <v>0</v>
      </c>
      <c r="H4" s="10">
        <v>0.112</v>
      </c>
      <c r="I4" s="1">
        <f>'Oct 2020'!G7*1000</f>
        <v>80000</v>
      </c>
      <c r="J4" s="10">
        <v>3.61E-2</v>
      </c>
      <c r="K4" s="1">
        <f>'Oct 2020'!I7</f>
        <v>297</v>
      </c>
      <c r="L4" s="10">
        <v>0.75</v>
      </c>
      <c r="M4" s="10">
        <f>'Oct 2020'!L7</f>
        <v>390</v>
      </c>
      <c r="N4" s="10">
        <v>0.56299999999999994</v>
      </c>
      <c r="O4" s="15">
        <f>'Oct 2020'!D7</f>
        <v>59</v>
      </c>
    </row>
    <row r="5" spans="1:17" x14ac:dyDescent="0.2">
      <c r="A5" t="s">
        <v>27</v>
      </c>
      <c r="B5">
        <f t="shared" si="0"/>
        <v>4</v>
      </c>
      <c r="C5" s="5">
        <v>10</v>
      </c>
      <c r="D5">
        <v>2020</v>
      </c>
      <c r="E5" s="15">
        <f>'Oct 2020'!E8</f>
        <v>34166</v>
      </c>
      <c r="F5" s="10">
        <v>2.9000000000000001E-2</v>
      </c>
      <c r="G5" s="1">
        <f>'Oct 2020'!J8</f>
        <v>0</v>
      </c>
      <c r="H5" s="10">
        <v>0.112</v>
      </c>
      <c r="I5" s="1">
        <f>'Oct 2020'!G8*1000</f>
        <v>73000</v>
      </c>
      <c r="J5" s="10">
        <v>3.61E-2</v>
      </c>
      <c r="K5" s="1">
        <f>'Oct 2020'!I8</f>
        <v>191</v>
      </c>
      <c r="L5" s="10">
        <v>0.75</v>
      </c>
      <c r="M5" s="10">
        <f>'Oct 2020'!L8</f>
        <v>0</v>
      </c>
      <c r="N5" s="10">
        <v>0.56299999999999994</v>
      </c>
      <c r="O5" s="15">
        <f>'Oct 2020'!D8</f>
        <v>61</v>
      </c>
    </row>
    <row r="6" spans="1:17" x14ac:dyDescent="0.2">
      <c r="A6" t="s">
        <v>27</v>
      </c>
      <c r="B6">
        <f t="shared" si="0"/>
        <v>5</v>
      </c>
      <c r="C6" s="5">
        <v>10</v>
      </c>
      <c r="D6">
        <v>2020</v>
      </c>
      <c r="E6" s="15">
        <f>'Oct 2020'!E9</f>
        <v>32065</v>
      </c>
      <c r="F6" s="10">
        <v>2.9000000000000001E-2</v>
      </c>
      <c r="G6" s="1">
        <f>'Oct 2020'!J9</f>
        <v>2970</v>
      </c>
      <c r="H6" s="10">
        <v>0.112</v>
      </c>
      <c r="I6" s="1">
        <f>'Oct 2020'!G9*1000</f>
        <v>80000</v>
      </c>
      <c r="J6" s="10">
        <v>3.61E-2</v>
      </c>
      <c r="K6" s="1">
        <f>'Oct 2020'!I9</f>
        <v>208</v>
      </c>
      <c r="L6" s="10">
        <v>0.75</v>
      </c>
      <c r="M6" s="10">
        <f>'Oct 2020'!L9</f>
        <v>339</v>
      </c>
      <c r="N6" s="10">
        <v>0.56299999999999994</v>
      </c>
      <c r="O6" s="15">
        <f>'Oct 2020'!D9</f>
        <v>68</v>
      </c>
    </row>
    <row r="7" spans="1:17" x14ac:dyDescent="0.2">
      <c r="A7" t="s">
        <v>27</v>
      </c>
      <c r="B7">
        <f t="shared" si="0"/>
        <v>6</v>
      </c>
      <c r="C7" s="5">
        <v>10</v>
      </c>
      <c r="D7">
        <v>2020</v>
      </c>
      <c r="E7" s="15">
        <f>'Oct 2020'!E10</f>
        <v>32578</v>
      </c>
      <c r="F7" s="10">
        <v>2.9000000000000001E-2</v>
      </c>
      <c r="G7" s="1">
        <v>0</v>
      </c>
      <c r="H7" s="10">
        <v>0.112</v>
      </c>
      <c r="I7" s="1">
        <f>'Oct 2020'!G10*1000</f>
        <v>79000</v>
      </c>
      <c r="J7" s="10">
        <v>3.61E-2</v>
      </c>
      <c r="K7" s="1">
        <f>'Oct 2020'!I10</f>
        <v>236</v>
      </c>
      <c r="L7" s="10">
        <v>0.75</v>
      </c>
      <c r="M7" s="10">
        <f>'Oct 2020'!L10</f>
        <v>367</v>
      </c>
      <c r="N7" s="10">
        <v>0.56299999999999994</v>
      </c>
      <c r="O7" s="15">
        <f>'Oct 2020'!D10</f>
        <v>70</v>
      </c>
    </row>
    <row r="8" spans="1:17" x14ac:dyDescent="0.2">
      <c r="A8" t="s">
        <v>27</v>
      </c>
      <c r="B8">
        <f t="shared" si="0"/>
        <v>7</v>
      </c>
      <c r="C8" s="5">
        <v>10</v>
      </c>
      <c r="D8">
        <v>2020</v>
      </c>
      <c r="E8" s="15">
        <f>'Oct 2020'!E11</f>
        <v>31251</v>
      </c>
      <c r="F8" s="10">
        <v>2.9000000000000001E-2</v>
      </c>
      <c r="G8" s="1">
        <f>'Oct 2020'!J11</f>
        <v>2970</v>
      </c>
      <c r="H8" s="10">
        <v>0.112</v>
      </c>
      <c r="I8" s="1">
        <f>'Oct 2020'!G11*1000</f>
        <v>76000</v>
      </c>
      <c r="J8" s="10">
        <v>3.61E-2</v>
      </c>
      <c r="K8" s="1">
        <f>'Oct 2020'!I11</f>
        <v>59</v>
      </c>
      <c r="L8" s="10">
        <v>0.75</v>
      </c>
      <c r="M8" s="10">
        <f>'Oct 2020'!L11</f>
        <v>382</v>
      </c>
      <c r="N8" s="10">
        <v>0.56299999999999994</v>
      </c>
      <c r="O8" s="15">
        <f>'Oct 2020'!D11</f>
        <v>51</v>
      </c>
    </row>
    <row r="9" spans="1:17" x14ac:dyDescent="0.2">
      <c r="A9" t="s">
        <v>27</v>
      </c>
      <c r="B9">
        <f t="shared" si="0"/>
        <v>8</v>
      </c>
      <c r="C9" s="5">
        <v>10</v>
      </c>
      <c r="D9">
        <v>2020</v>
      </c>
      <c r="E9" s="15">
        <f>'Oct 2020'!E12</f>
        <v>33426</v>
      </c>
      <c r="F9" s="10">
        <v>2.9000000000000001E-2</v>
      </c>
      <c r="G9" s="1">
        <f>'Oct 2020'!J12</f>
        <v>0</v>
      </c>
      <c r="H9" s="10">
        <v>0.112</v>
      </c>
      <c r="I9" s="1">
        <f>'Oct 2020'!G12*1000</f>
        <v>76000</v>
      </c>
      <c r="J9" s="10">
        <v>3.61E-2</v>
      </c>
      <c r="K9" s="1">
        <f>'Oct 2020'!I12</f>
        <v>345</v>
      </c>
      <c r="L9" s="10">
        <v>0.75</v>
      </c>
      <c r="M9" s="10">
        <f>'Oct 2020'!L12</f>
        <v>232</v>
      </c>
      <c r="N9" s="10">
        <v>0.56299999999999994</v>
      </c>
      <c r="O9" s="15">
        <f>'Oct 2020'!D12</f>
        <v>71</v>
      </c>
    </row>
    <row r="10" spans="1:17" x14ac:dyDescent="0.2">
      <c r="A10" t="s">
        <v>27</v>
      </c>
      <c r="B10">
        <f t="shared" si="0"/>
        <v>9</v>
      </c>
      <c r="C10" s="5">
        <v>10</v>
      </c>
      <c r="D10">
        <v>2020</v>
      </c>
      <c r="E10" s="15">
        <f>'Oct 2020'!E13</f>
        <v>33761</v>
      </c>
      <c r="F10" s="10">
        <v>2.9000000000000001E-2</v>
      </c>
      <c r="G10" s="1">
        <f>'Oct 2020'!J13</f>
        <v>0</v>
      </c>
      <c r="H10" s="10">
        <v>0.112</v>
      </c>
      <c r="I10" s="1">
        <f>'Oct 2020'!G13*1000</f>
        <v>70000</v>
      </c>
      <c r="J10" s="10">
        <v>3.61E-2</v>
      </c>
      <c r="K10" s="1">
        <f>'Oct 2020'!I13</f>
        <v>239</v>
      </c>
      <c r="L10" s="10">
        <v>0.75</v>
      </c>
      <c r="M10" s="10">
        <f>'Oct 2020'!L13</f>
        <v>192</v>
      </c>
      <c r="N10" s="10">
        <v>0.56299999999999994</v>
      </c>
      <c r="O10" s="15">
        <f>'Oct 2020'!D13</f>
        <v>79</v>
      </c>
    </row>
    <row r="11" spans="1:17" x14ac:dyDescent="0.2">
      <c r="A11" t="s">
        <v>27</v>
      </c>
      <c r="B11">
        <f t="shared" si="0"/>
        <v>10</v>
      </c>
      <c r="C11" s="5">
        <v>10</v>
      </c>
      <c r="D11">
        <v>2020</v>
      </c>
      <c r="E11" s="15">
        <f>'Oct 2020'!E14</f>
        <v>31431</v>
      </c>
      <c r="F11" s="10">
        <v>2.9000000000000001E-2</v>
      </c>
      <c r="G11" s="1">
        <f>'Oct 2020'!J14</f>
        <v>0</v>
      </c>
      <c r="H11" s="10">
        <v>0.112</v>
      </c>
      <c r="I11" s="1">
        <f>'Oct 2020'!G14*1000</f>
        <v>56000</v>
      </c>
      <c r="J11" s="10">
        <v>3.61E-2</v>
      </c>
      <c r="K11" s="1">
        <f>'Oct 2020'!I14</f>
        <v>383</v>
      </c>
      <c r="L11" s="10">
        <v>0.75</v>
      </c>
      <c r="M11" s="10">
        <f>'Oct 2020'!L14</f>
        <v>254</v>
      </c>
      <c r="N11" s="10">
        <v>0.56299999999999994</v>
      </c>
      <c r="O11" s="15">
        <f>'Oct 2020'!D14</f>
        <v>45</v>
      </c>
    </row>
    <row r="12" spans="1:17" x14ac:dyDescent="0.2">
      <c r="A12" t="s">
        <v>27</v>
      </c>
      <c r="B12">
        <f t="shared" si="0"/>
        <v>11</v>
      </c>
      <c r="C12" s="5">
        <v>10</v>
      </c>
      <c r="D12">
        <v>2020</v>
      </c>
      <c r="E12" s="15">
        <f>'Oct 2020'!E15</f>
        <v>31237</v>
      </c>
      <c r="F12" s="10">
        <v>2.9000000000000001E-2</v>
      </c>
      <c r="G12" s="1">
        <f>'Oct 2020'!J15</f>
        <v>0</v>
      </c>
      <c r="H12" s="10">
        <v>0.112</v>
      </c>
      <c r="I12" s="1">
        <f>'Oct 2020'!G15*1000</f>
        <v>54000</v>
      </c>
      <c r="J12" s="10">
        <v>3.61E-2</v>
      </c>
      <c r="K12" s="1">
        <f>'Oct 2020'!I15</f>
        <v>250</v>
      </c>
      <c r="L12" s="10">
        <v>0.75</v>
      </c>
      <c r="M12" s="10">
        <f>'Oct 2020'!L15</f>
        <v>269</v>
      </c>
      <c r="N12" s="10">
        <v>0.56299999999999994</v>
      </c>
      <c r="O12" s="15">
        <f>'Oct 2020'!D15</f>
        <v>44</v>
      </c>
    </row>
    <row r="13" spans="1:17" x14ac:dyDescent="0.2">
      <c r="A13" t="s">
        <v>27</v>
      </c>
      <c r="B13">
        <f t="shared" si="0"/>
        <v>12</v>
      </c>
      <c r="C13" s="5">
        <v>10</v>
      </c>
      <c r="D13">
        <v>2020</v>
      </c>
      <c r="E13" s="15">
        <f>'Oct 2020'!E16</f>
        <v>30885</v>
      </c>
      <c r="F13" s="10">
        <v>2.9000000000000001E-2</v>
      </c>
      <c r="G13" s="1">
        <f>'Oct 2020'!J16</f>
        <v>0</v>
      </c>
      <c r="H13" s="10">
        <v>0.112</v>
      </c>
      <c r="I13" s="1">
        <f>'Oct 2020'!G16*1000</f>
        <v>57000</v>
      </c>
      <c r="J13" s="10">
        <v>3.61E-2</v>
      </c>
      <c r="K13" s="1">
        <f>'Oct 2020'!I16</f>
        <v>214</v>
      </c>
      <c r="L13" s="10">
        <v>0.75</v>
      </c>
      <c r="M13" s="10">
        <f>'Oct 2020'!L16</f>
        <v>0</v>
      </c>
      <c r="N13" s="10">
        <v>0.56299999999999994</v>
      </c>
      <c r="O13" s="15">
        <f>'Oct 2020'!D16</f>
        <v>46</v>
      </c>
    </row>
    <row r="14" spans="1:17" x14ac:dyDescent="0.2">
      <c r="A14" t="s">
        <v>27</v>
      </c>
      <c r="B14">
        <f t="shared" si="0"/>
        <v>13</v>
      </c>
      <c r="C14" s="5">
        <v>10</v>
      </c>
      <c r="D14">
        <v>2020</v>
      </c>
      <c r="E14" s="15">
        <f>'Oct 2020'!E17</f>
        <v>30973</v>
      </c>
      <c r="F14" s="10">
        <v>2.9000000000000001E-2</v>
      </c>
      <c r="G14" s="1">
        <f>'Oct 2020'!J17</f>
        <v>0</v>
      </c>
      <c r="H14" s="10">
        <v>0.112</v>
      </c>
      <c r="I14" s="1">
        <f>'Oct 2020'!G17*1000</f>
        <v>60000</v>
      </c>
      <c r="J14" s="10">
        <v>3.61E-2</v>
      </c>
      <c r="K14" s="1">
        <f>'Oct 2020'!I17</f>
        <v>68</v>
      </c>
      <c r="L14" s="10">
        <v>0.75</v>
      </c>
      <c r="M14" s="10">
        <f>'Oct 2020'!L17</f>
        <v>712</v>
      </c>
      <c r="N14" s="10">
        <v>0.56299999999999994</v>
      </c>
      <c r="O14" s="15">
        <f>'Oct 2020'!D17</f>
        <v>59</v>
      </c>
    </row>
    <row r="15" spans="1:17" x14ac:dyDescent="0.2">
      <c r="A15" t="s">
        <v>27</v>
      </c>
      <c r="B15">
        <f t="shared" si="0"/>
        <v>14</v>
      </c>
      <c r="C15" s="5">
        <v>10</v>
      </c>
      <c r="D15">
        <v>2020</v>
      </c>
      <c r="E15" s="15">
        <f>'Oct 2020'!E18</f>
        <v>31194</v>
      </c>
      <c r="F15" s="10">
        <v>2.9000000000000001E-2</v>
      </c>
      <c r="G15" s="1">
        <f>'Oct 2020'!J18</f>
        <v>0</v>
      </c>
      <c r="H15" s="10">
        <v>0.112</v>
      </c>
      <c r="I15" s="1">
        <f>'Oct 2020'!G18*1000</f>
        <v>61000</v>
      </c>
      <c r="J15" s="10">
        <v>3.61E-2</v>
      </c>
      <c r="K15" s="1">
        <f>'Oct 2020'!I18</f>
        <v>309</v>
      </c>
      <c r="L15" s="10">
        <v>0.75</v>
      </c>
      <c r="M15" s="10">
        <f>'Oct 2020'!L18</f>
        <v>0</v>
      </c>
      <c r="N15" s="10">
        <v>0.56299999999999994</v>
      </c>
      <c r="O15" s="15">
        <f>'Oct 2020'!D18</f>
        <v>58</v>
      </c>
    </row>
    <row r="16" spans="1:17" x14ac:dyDescent="0.2">
      <c r="A16" t="s">
        <v>27</v>
      </c>
      <c r="B16">
        <f t="shared" si="0"/>
        <v>15</v>
      </c>
      <c r="C16" s="5">
        <v>10</v>
      </c>
      <c r="D16">
        <v>2020</v>
      </c>
      <c r="E16" s="15">
        <f>'Oct 2020'!E19</f>
        <v>31257</v>
      </c>
      <c r="F16" s="10">
        <v>2.9000000000000001E-2</v>
      </c>
      <c r="G16" s="1">
        <f>'Oct 2020'!J19</f>
        <v>2970</v>
      </c>
      <c r="H16" s="10">
        <v>0.112</v>
      </c>
      <c r="I16" s="1">
        <f>'Oct 2020'!G19*1000</f>
        <v>62000</v>
      </c>
      <c r="J16" s="10">
        <v>3.61E-2</v>
      </c>
      <c r="K16" s="1">
        <f>'Oct 2020'!I19</f>
        <v>149</v>
      </c>
      <c r="L16" s="10">
        <v>0.75</v>
      </c>
      <c r="M16" s="10">
        <f>'Oct 2020'!L19</f>
        <v>416</v>
      </c>
      <c r="N16" s="10">
        <v>0.56299999999999994</v>
      </c>
      <c r="O16" s="15">
        <f>'Oct 2020'!D19</f>
        <v>73</v>
      </c>
    </row>
    <row r="17" spans="1:15" x14ac:dyDescent="0.2">
      <c r="A17" t="s">
        <v>27</v>
      </c>
      <c r="B17">
        <f t="shared" si="0"/>
        <v>16</v>
      </c>
      <c r="C17" s="5">
        <v>10</v>
      </c>
      <c r="D17">
        <v>2020</v>
      </c>
      <c r="E17" s="15">
        <f>'Oct 2020'!E20</f>
        <v>31825</v>
      </c>
      <c r="F17" s="10">
        <v>2.9000000000000001E-2</v>
      </c>
      <c r="G17" s="1">
        <f>'Oct 2020'!J20</f>
        <v>0</v>
      </c>
      <c r="H17" s="10">
        <v>0.112</v>
      </c>
      <c r="I17" s="1">
        <f>'Oct 2020'!G20*1000</f>
        <v>60000</v>
      </c>
      <c r="J17" s="10">
        <v>3.61E-2</v>
      </c>
      <c r="K17" s="1">
        <f>'Oct 2020'!I20</f>
        <v>253</v>
      </c>
      <c r="L17" s="10">
        <v>0.75</v>
      </c>
      <c r="M17" s="10">
        <f>'Oct 2020'!L20</f>
        <v>325</v>
      </c>
      <c r="N17" s="10">
        <v>0.56299999999999994</v>
      </c>
      <c r="O17" s="15">
        <f>'Oct 2020'!D20</f>
        <v>95</v>
      </c>
    </row>
    <row r="18" spans="1:15" x14ac:dyDescent="0.2">
      <c r="A18" t="s">
        <v>27</v>
      </c>
      <c r="B18">
        <f t="shared" si="0"/>
        <v>17</v>
      </c>
      <c r="C18" s="5">
        <v>10</v>
      </c>
      <c r="D18">
        <v>2020</v>
      </c>
      <c r="E18" s="15">
        <f>'Oct 2020'!E21</f>
        <v>30814</v>
      </c>
      <c r="F18" s="10">
        <v>2.9000000000000001E-2</v>
      </c>
      <c r="G18" s="1">
        <f>'Oct 2020'!J21</f>
        <v>0</v>
      </c>
      <c r="H18" s="10">
        <v>0.112</v>
      </c>
      <c r="I18" s="1">
        <f>'Oct 2020'!G21*1000</f>
        <v>54000</v>
      </c>
      <c r="J18" s="10">
        <v>3.61E-2</v>
      </c>
      <c r="K18" s="1">
        <f>'Oct 2020'!I21</f>
        <v>311</v>
      </c>
      <c r="L18" s="10">
        <v>0.75</v>
      </c>
      <c r="M18" s="10">
        <f>'Oct 2020'!L21</f>
        <v>164</v>
      </c>
      <c r="N18" s="10">
        <v>0.56299999999999994</v>
      </c>
      <c r="O18" s="15">
        <f>'Oct 2020'!D21</f>
        <v>48</v>
      </c>
    </row>
    <row r="19" spans="1:15" x14ac:dyDescent="0.2">
      <c r="A19" t="s">
        <v>27</v>
      </c>
      <c r="B19">
        <f t="shared" si="0"/>
        <v>18</v>
      </c>
      <c r="C19" s="5">
        <v>10</v>
      </c>
      <c r="D19">
        <v>2020</v>
      </c>
      <c r="E19" s="15">
        <f>'Oct 2020'!E22</f>
        <v>33895</v>
      </c>
      <c r="F19" s="10">
        <v>2.9000000000000001E-2</v>
      </c>
      <c r="G19" s="1">
        <f>'Oct 2020'!J22</f>
        <v>0</v>
      </c>
      <c r="H19" s="10">
        <v>0.112</v>
      </c>
      <c r="I19" s="1">
        <f>'Oct 2020'!G22*1000</f>
        <v>54000</v>
      </c>
      <c r="J19" s="10">
        <v>3.61E-2</v>
      </c>
      <c r="K19" s="1">
        <f>'Oct 2020'!I22</f>
        <v>239</v>
      </c>
      <c r="L19" s="10">
        <v>0.75</v>
      </c>
      <c r="M19" s="10">
        <f>'Oct 2020'!L22</f>
        <v>113</v>
      </c>
      <c r="N19" s="10">
        <v>0.56299999999999994</v>
      </c>
      <c r="O19" s="15">
        <f>'Oct 2020'!D22</f>
        <v>39</v>
      </c>
    </row>
    <row r="20" spans="1:15" x14ac:dyDescent="0.2">
      <c r="A20" t="s">
        <v>27</v>
      </c>
      <c r="B20">
        <f t="shared" si="0"/>
        <v>19</v>
      </c>
      <c r="C20" s="5">
        <v>10</v>
      </c>
      <c r="D20">
        <v>2020</v>
      </c>
      <c r="E20" s="15">
        <f>'Oct 2020'!E23</f>
        <v>29942</v>
      </c>
      <c r="F20" s="10">
        <v>2.9000000000000001E-2</v>
      </c>
      <c r="G20" s="1">
        <f>'Oct 2020'!J23</f>
        <v>2970</v>
      </c>
      <c r="H20" s="10">
        <v>0.112</v>
      </c>
      <c r="I20" s="1">
        <f>'Oct 2020'!G23*1000</f>
        <v>53000</v>
      </c>
      <c r="J20" s="10">
        <v>3.61E-2</v>
      </c>
      <c r="K20" s="1">
        <f>'Oct 2020'!I23</f>
        <v>279</v>
      </c>
      <c r="L20" s="10">
        <v>0.75</v>
      </c>
      <c r="M20" s="10">
        <f>'Oct 2020'!L23</f>
        <v>493</v>
      </c>
      <c r="N20" s="10">
        <v>0.56299999999999994</v>
      </c>
      <c r="O20" s="15">
        <f>'Oct 2020'!D23</f>
        <v>38</v>
      </c>
    </row>
    <row r="21" spans="1:15" x14ac:dyDescent="0.2">
      <c r="A21" t="s">
        <v>27</v>
      </c>
      <c r="B21">
        <f t="shared" si="0"/>
        <v>20</v>
      </c>
      <c r="C21" s="5">
        <v>10</v>
      </c>
      <c r="D21">
        <v>2020</v>
      </c>
      <c r="E21" s="15">
        <f>'Oct 2020'!E24</f>
        <v>28858</v>
      </c>
      <c r="F21" s="10">
        <v>2.9000000000000001E-2</v>
      </c>
      <c r="G21" s="1">
        <f>'Oct 2020'!J24</f>
        <v>2970</v>
      </c>
      <c r="H21" s="10">
        <v>0.112</v>
      </c>
      <c r="I21" s="1">
        <f>'Oct 2020'!G24*1000</f>
        <v>50000</v>
      </c>
      <c r="J21" s="10">
        <v>3.61E-2</v>
      </c>
      <c r="K21" s="1">
        <f>'Oct 2020'!I24</f>
        <v>81</v>
      </c>
      <c r="L21" s="10">
        <v>0.75</v>
      </c>
      <c r="M21" s="10">
        <f>'Oct 2020'!L24</f>
        <v>49</v>
      </c>
      <c r="N21" s="10">
        <v>0.56299999999999994</v>
      </c>
      <c r="O21" s="15">
        <f>'Oct 2020'!D24</f>
        <v>34</v>
      </c>
    </row>
    <row r="22" spans="1:15" x14ac:dyDescent="0.2">
      <c r="A22" t="s">
        <v>27</v>
      </c>
      <c r="B22">
        <f t="shared" si="0"/>
        <v>21</v>
      </c>
      <c r="C22" s="5">
        <v>10</v>
      </c>
      <c r="D22">
        <v>2020</v>
      </c>
      <c r="E22" s="15">
        <f>'Oct 2020'!E25</f>
        <v>29576</v>
      </c>
      <c r="F22" s="10">
        <v>2.9000000000000001E-2</v>
      </c>
      <c r="G22" s="1">
        <f>'Oct 2020'!J25</f>
        <v>0</v>
      </c>
      <c r="H22" s="10">
        <v>0.112</v>
      </c>
      <c r="I22" s="1">
        <f>'Oct 2020'!G25*1000</f>
        <v>47000</v>
      </c>
      <c r="J22" s="10">
        <v>3.61E-2</v>
      </c>
      <c r="K22" s="1">
        <f>'Oct 2020'!I25</f>
        <v>276</v>
      </c>
      <c r="L22" s="10">
        <v>0.75</v>
      </c>
      <c r="M22" s="10">
        <f>'Oct 2020'!L25</f>
        <v>267</v>
      </c>
      <c r="N22" s="10">
        <v>0.56299999999999994</v>
      </c>
      <c r="O22" s="15">
        <f>'Oct 2020'!D25</f>
        <v>32</v>
      </c>
    </row>
    <row r="23" spans="1:15" x14ac:dyDescent="0.2">
      <c r="A23" t="s">
        <v>27</v>
      </c>
      <c r="B23">
        <f t="shared" si="0"/>
        <v>22</v>
      </c>
      <c r="C23" s="5">
        <v>10</v>
      </c>
      <c r="D23">
        <v>2020</v>
      </c>
      <c r="E23" s="15">
        <f>'Oct 2020'!E26</f>
        <v>30463</v>
      </c>
      <c r="F23" s="10">
        <v>2.9000000000000001E-2</v>
      </c>
      <c r="G23" s="1">
        <f>'Oct 2020'!J26</f>
        <v>0</v>
      </c>
      <c r="H23" s="10">
        <v>0.112</v>
      </c>
      <c r="I23" s="1">
        <f>'Oct 2020'!G26*1000</f>
        <v>46000</v>
      </c>
      <c r="J23" s="10">
        <v>3.61E-2</v>
      </c>
      <c r="K23" s="1">
        <f>'Oct 2020'!I26</f>
        <v>243</v>
      </c>
      <c r="L23" s="10">
        <v>0.75</v>
      </c>
      <c r="M23" s="10">
        <f>'Oct 2020'!L26</f>
        <v>384</v>
      </c>
      <c r="N23" s="10">
        <v>0.56299999999999994</v>
      </c>
      <c r="O23" s="15">
        <f>'Oct 2020'!D26</f>
        <v>51</v>
      </c>
    </row>
    <row r="24" spans="1:15" ht="12" customHeight="1" x14ac:dyDescent="0.2">
      <c r="A24" t="s">
        <v>27</v>
      </c>
      <c r="B24">
        <f t="shared" si="0"/>
        <v>23</v>
      </c>
      <c r="C24" s="5">
        <v>10</v>
      </c>
      <c r="D24">
        <v>2020</v>
      </c>
      <c r="E24" s="15">
        <f>'Oct 2020'!E27</f>
        <v>30211</v>
      </c>
      <c r="F24" s="10">
        <v>2.9000000000000001E-2</v>
      </c>
      <c r="G24" s="1">
        <f>'Oct 2020'!J27</f>
        <v>2970</v>
      </c>
      <c r="H24" s="10">
        <v>0.112</v>
      </c>
      <c r="I24" s="1">
        <f>'Oct 2020'!G27*1000</f>
        <v>52000</v>
      </c>
      <c r="J24" s="10">
        <v>3.61E-2</v>
      </c>
      <c r="K24" s="1">
        <f>'Oct 2020'!I27</f>
        <v>198</v>
      </c>
      <c r="L24" s="10">
        <v>0.75</v>
      </c>
      <c r="M24" s="10">
        <f>'Oct 2020'!L27</f>
        <v>221</v>
      </c>
      <c r="N24" s="10">
        <v>0.56299999999999994</v>
      </c>
      <c r="O24" s="15">
        <f>'Oct 2020'!D27</f>
        <v>78</v>
      </c>
    </row>
    <row r="25" spans="1:15" ht="13.5" customHeight="1" x14ac:dyDescent="0.2">
      <c r="A25" t="s">
        <v>27</v>
      </c>
      <c r="B25">
        <f t="shared" si="0"/>
        <v>24</v>
      </c>
      <c r="C25" s="5">
        <v>10</v>
      </c>
      <c r="D25">
        <v>2020</v>
      </c>
      <c r="E25" s="15">
        <f>'Oct 2020'!E28</f>
        <v>31298</v>
      </c>
      <c r="F25" s="10">
        <v>2.9000000000000001E-2</v>
      </c>
      <c r="G25" s="1">
        <f>'Oct 2020'!J28</f>
        <v>0</v>
      </c>
      <c r="H25" s="10">
        <v>0.112</v>
      </c>
      <c r="I25" s="1">
        <f>'Oct 2020'!G28*1000</f>
        <v>56000</v>
      </c>
      <c r="J25" s="10">
        <v>3.61E-2</v>
      </c>
      <c r="K25" s="1">
        <f>'Oct 2020'!I28</f>
        <v>195</v>
      </c>
      <c r="L25" s="10">
        <v>0.75</v>
      </c>
      <c r="M25" s="10">
        <f>'Oct 2020'!L28</f>
        <v>282</v>
      </c>
      <c r="N25" s="10">
        <v>0.56299999999999994</v>
      </c>
      <c r="O25" s="15">
        <f>'Oct 2020'!D28</f>
        <v>51</v>
      </c>
    </row>
    <row r="26" spans="1:15" x14ac:dyDescent="0.2">
      <c r="A26" t="s">
        <v>27</v>
      </c>
      <c r="B26">
        <f>B25+1</f>
        <v>25</v>
      </c>
      <c r="C26" s="5">
        <v>10</v>
      </c>
      <c r="D26">
        <v>2020</v>
      </c>
      <c r="E26" s="15">
        <f>'Oct 2020'!E29</f>
        <v>30178</v>
      </c>
      <c r="F26" s="10">
        <v>2.9000000000000001E-2</v>
      </c>
      <c r="G26" s="1">
        <f>'Oct 2020'!J29</f>
        <v>2970</v>
      </c>
      <c r="H26" s="10">
        <v>0.112</v>
      </c>
      <c r="I26" s="1">
        <f>'Oct 2020'!G29*1000</f>
        <v>56000</v>
      </c>
      <c r="J26" s="10">
        <v>3.61E-2</v>
      </c>
      <c r="K26" s="1">
        <f>'Oct 2020'!I29</f>
        <v>327</v>
      </c>
      <c r="L26" s="10">
        <v>0.75</v>
      </c>
      <c r="M26" s="10">
        <f>'Oct 2020'!L29</f>
        <v>248</v>
      </c>
      <c r="N26" s="10">
        <v>0.56299999999999994</v>
      </c>
      <c r="O26" s="15">
        <f>'Oct 2020'!D29</f>
        <v>47</v>
      </c>
    </row>
    <row r="27" spans="1:15" x14ac:dyDescent="0.2">
      <c r="A27" t="s">
        <v>27</v>
      </c>
      <c r="B27">
        <f t="shared" si="0"/>
        <v>26</v>
      </c>
      <c r="C27" s="5">
        <v>10</v>
      </c>
      <c r="D27">
        <v>2020</v>
      </c>
      <c r="E27" s="15">
        <f>'Oct 2020'!E30</f>
        <v>33072</v>
      </c>
      <c r="F27" s="10">
        <v>2.9000000000000001E-2</v>
      </c>
      <c r="G27" s="1">
        <f>'Oct 2020'!J30</f>
        <v>0</v>
      </c>
      <c r="H27" s="10">
        <v>0.112</v>
      </c>
      <c r="I27" s="1">
        <f>'Oct 2020'!G30*1000</f>
        <v>55000</v>
      </c>
      <c r="J27" s="10">
        <v>3.61E-2</v>
      </c>
      <c r="K27" s="1">
        <f>'Oct 2020'!I30</f>
        <v>249</v>
      </c>
      <c r="L27" s="10">
        <v>0.75</v>
      </c>
      <c r="M27" s="10">
        <f>'Oct 2020'!L30</f>
        <v>184</v>
      </c>
      <c r="N27" s="10">
        <v>0.56299999999999994</v>
      </c>
      <c r="O27" s="15">
        <f>'Oct 2020'!D30</f>
        <v>49</v>
      </c>
    </row>
    <row r="28" spans="1:15" x14ac:dyDescent="0.2">
      <c r="A28" t="s">
        <v>27</v>
      </c>
      <c r="B28">
        <f t="shared" si="0"/>
        <v>27</v>
      </c>
      <c r="C28" s="5">
        <v>10</v>
      </c>
      <c r="D28">
        <v>2020</v>
      </c>
      <c r="E28" s="15">
        <f>'Oct 2020'!E31</f>
        <v>28615</v>
      </c>
      <c r="F28" s="10">
        <v>2.9000000000000001E-2</v>
      </c>
      <c r="G28" s="1">
        <f>'Oct 2020'!J31</f>
        <v>2970</v>
      </c>
      <c r="H28" s="10">
        <v>0.112</v>
      </c>
      <c r="I28" s="1">
        <f>'Oct 2020'!G31*1000</f>
        <v>57000</v>
      </c>
      <c r="J28" s="10">
        <v>3.61E-2</v>
      </c>
      <c r="K28" s="1">
        <f>'Oct 2020'!I31</f>
        <v>231</v>
      </c>
      <c r="L28" s="10">
        <v>0.75</v>
      </c>
      <c r="M28" s="10">
        <f>'Oct 2020'!L31</f>
        <v>86</v>
      </c>
      <c r="N28" s="10">
        <v>0.56299999999999994</v>
      </c>
      <c r="O28" s="15">
        <f>'Oct 2020'!D31</f>
        <v>67</v>
      </c>
    </row>
    <row r="29" spans="1:15" x14ac:dyDescent="0.2">
      <c r="A29" t="s">
        <v>27</v>
      </c>
      <c r="B29">
        <f t="shared" si="0"/>
        <v>28</v>
      </c>
      <c r="C29" s="5">
        <v>10</v>
      </c>
      <c r="D29">
        <v>2020</v>
      </c>
      <c r="E29" s="15">
        <f>'Oct 2020'!E32</f>
        <v>32154</v>
      </c>
      <c r="F29" s="10">
        <v>2.9000000000000001E-2</v>
      </c>
      <c r="G29" s="1">
        <f>'Oct 2020'!J32</f>
        <v>2970</v>
      </c>
      <c r="H29" s="10">
        <v>0.112</v>
      </c>
      <c r="I29" s="1">
        <f>'Oct 2020'!G32*1000</f>
        <v>56000</v>
      </c>
      <c r="J29" s="10">
        <v>3.61E-2</v>
      </c>
      <c r="K29" s="1">
        <f>'Oct 2020'!I32</f>
        <v>275</v>
      </c>
      <c r="L29" s="10">
        <v>0.75</v>
      </c>
      <c r="M29" s="10">
        <f>'Oct 2020'!L32</f>
        <v>155</v>
      </c>
      <c r="N29" s="10">
        <v>0.56299999999999994</v>
      </c>
      <c r="O29" s="15">
        <f>'Oct 2020'!D32</f>
        <v>96</v>
      </c>
    </row>
    <row r="30" spans="1:15" x14ac:dyDescent="0.2">
      <c r="A30" t="s">
        <v>27</v>
      </c>
      <c r="B30">
        <v>29</v>
      </c>
      <c r="C30" s="5">
        <v>10</v>
      </c>
      <c r="D30">
        <v>2020</v>
      </c>
      <c r="E30" s="15">
        <f>'Oct 2020'!E33</f>
        <v>32609</v>
      </c>
      <c r="F30" s="10">
        <v>2.9000000000000001E-2</v>
      </c>
      <c r="G30" s="1">
        <f>'Oct 2020'!J33</f>
        <v>0</v>
      </c>
      <c r="H30" s="10">
        <v>0.112</v>
      </c>
      <c r="I30" s="1">
        <f>'Oct 2020'!G33*1000</f>
        <v>58000</v>
      </c>
      <c r="J30" s="10">
        <v>3.61E-2</v>
      </c>
      <c r="K30" s="1">
        <f>'Oct 2020'!I33</f>
        <v>229</v>
      </c>
      <c r="L30" s="10">
        <v>0.75</v>
      </c>
      <c r="M30" s="10">
        <f>'Oct 2020'!L33</f>
        <v>143</v>
      </c>
      <c r="N30" s="10">
        <v>0.56299999999999994</v>
      </c>
      <c r="O30" s="15">
        <f>'Oct 2020'!D33</f>
        <v>130</v>
      </c>
    </row>
    <row r="31" spans="1:15" x14ac:dyDescent="0.2">
      <c r="A31" t="s">
        <v>27</v>
      </c>
      <c r="B31">
        <v>30</v>
      </c>
      <c r="C31" s="5">
        <v>10</v>
      </c>
      <c r="D31">
        <v>2020</v>
      </c>
      <c r="E31" s="15">
        <f>'Oct 2020'!E34</f>
        <v>35842</v>
      </c>
      <c r="F31" s="10">
        <v>2.9000000000000001E-2</v>
      </c>
      <c r="G31" s="1">
        <f>'Oct 2020'!J34</f>
        <v>0</v>
      </c>
      <c r="H31" s="10">
        <v>0.112</v>
      </c>
      <c r="I31" s="1">
        <f>'Oct 2020'!G34*1000</f>
        <v>70000</v>
      </c>
      <c r="J31" s="10">
        <v>3.61E-2</v>
      </c>
      <c r="K31" s="1">
        <f>'Oct 2020'!I34</f>
        <v>391</v>
      </c>
      <c r="L31" s="10">
        <v>0.75</v>
      </c>
      <c r="M31" s="10">
        <f>'Oct 2020'!L34</f>
        <v>36</v>
      </c>
      <c r="N31" s="10">
        <v>0.56299999999999994</v>
      </c>
      <c r="O31" s="15">
        <f>'Oct 2020'!D34</f>
        <v>100</v>
      </c>
    </row>
    <row r="32" spans="1:15" x14ac:dyDescent="0.2">
      <c r="A32" t="s">
        <v>27</v>
      </c>
      <c r="B32">
        <v>31</v>
      </c>
      <c r="C32" s="5">
        <v>10</v>
      </c>
      <c r="D32">
        <v>2020</v>
      </c>
      <c r="E32" s="15">
        <f>'Oct 2020'!E35</f>
        <v>32915</v>
      </c>
      <c r="F32" s="10">
        <v>2.9000000000000001E-2</v>
      </c>
      <c r="G32" s="1">
        <f>'Oct 2020'!J35</f>
        <v>2970</v>
      </c>
      <c r="H32" s="10">
        <v>0.112</v>
      </c>
      <c r="I32" s="1">
        <f>'Oct 2020'!G35*1000</f>
        <v>59000</v>
      </c>
      <c r="J32" s="10">
        <v>3.61E-2</v>
      </c>
      <c r="K32" s="1">
        <f>'Oct 2020'!I35</f>
        <v>334</v>
      </c>
      <c r="L32" s="10">
        <v>0.75</v>
      </c>
      <c r="M32" s="10">
        <f>'Oct 2020'!L35</f>
        <v>0</v>
      </c>
      <c r="N32" s="10">
        <v>0.56299999999999994</v>
      </c>
      <c r="O32" s="15">
        <f>'Oct 2020'!D35</f>
        <v>42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H24" sqref="H2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44105</v>
      </c>
      <c r="D5" s="7">
        <v>93</v>
      </c>
      <c r="E5" s="12">
        <v>34216</v>
      </c>
      <c r="F5" s="31">
        <v>179593</v>
      </c>
      <c r="G5" s="8">
        <f>F6-F5</f>
        <v>81</v>
      </c>
      <c r="H5" s="7">
        <v>413094</v>
      </c>
      <c r="I5" s="3">
        <f>H6-H5</f>
        <v>176</v>
      </c>
      <c r="J5" s="3">
        <v>0</v>
      </c>
      <c r="K5" s="4">
        <v>255709</v>
      </c>
      <c r="L5" s="9">
        <f>K6-K5</f>
        <v>257</v>
      </c>
      <c r="N5" s="1"/>
    </row>
    <row r="6" spans="1:14" x14ac:dyDescent="0.2">
      <c r="B6" s="2">
        <v>2</v>
      </c>
      <c r="C6" s="11">
        <v>44106</v>
      </c>
      <c r="D6" s="7">
        <v>102</v>
      </c>
      <c r="E6" s="12">
        <v>34468</v>
      </c>
      <c r="F6" s="4">
        <v>179674</v>
      </c>
      <c r="G6" s="8">
        <f t="shared" ref="G6:G35" si="0">F7-F6</f>
        <v>88</v>
      </c>
      <c r="H6" s="7">
        <v>413270</v>
      </c>
      <c r="I6" s="3">
        <f t="shared" ref="I6:I35" si="1">H7-H6</f>
        <v>307</v>
      </c>
      <c r="J6" s="3">
        <v>0</v>
      </c>
      <c r="K6" s="4">
        <v>255966</v>
      </c>
      <c r="L6" s="9">
        <f t="shared" ref="L6:L35" si="2">K7-K6</f>
        <v>306</v>
      </c>
      <c r="N6" s="1"/>
    </row>
    <row r="7" spans="1:14" x14ac:dyDescent="0.2">
      <c r="B7" s="2">
        <v>3</v>
      </c>
      <c r="C7" s="11">
        <v>44107</v>
      </c>
      <c r="D7" s="7">
        <v>59</v>
      </c>
      <c r="E7" s="12">
        <v>32884</v>
      </c>
      <c r="F7" s="4">
        <v>179762</v>
      </c>
      <c r="G7" s="8">
        <f t="shared" si="0"/>
        <v>80</v>
      </c>
      <c r="H7" s="7">
        <v>413577</v>
      </c>
      <c r="I7" s="3">
        <f t="shared" si="1"/>
        <v>297</v>
      </c>
      <c r="J7" s="3">
        <v>0</v>
      </c>
      <c r="K7" s="4">
        <v>256272</v>
      </c>
      <c r="L7" s="9">
        <f t="shared" si="2"/>
        <v>390</v>
      </c>
      <c r="N7" s="1"/>
    </row>
    <row r="8" spans="1:14" x14ac:dyDescent="0.2">
      <c r="B8" s="2">
        <v>4</v>
      </c>
      <c r="C8" s="11">
        <v>44108</v>
      </c>
      <c r="D8" s="7">
        <v>61</v>
      </c>
      <c r="E8" s="12">
        <v>34166</v>
      </c>
      <c r="F8" s="4">
        <v>179842</v>
      </c>
      <c r="G8" s="8">
        <f t="shared" si="0"/>
        <v>73</v>
      </c>
      <c r="H8" s="17">
        <v>413874</v>
      </c>
      <c r="I8" s="3">
        <f t="shared" si="1"/>
        <v>191</v>
      </c>
      <c r="J8" s="3">
        <v>0</v>
      </c>
      <c r="K8" s="4">
        <v>256662</v>
      </c>
      <c r="L8" s="9">
        <f t="shared" si="2"/>
        <v>0</v>
      </c>
      <c r="N8" s="1"/>
    </row>
    <row r="9" spans="1:14" x14ac:dyDescent="0.2">
      <c r="B9" s="2">
        <v>5</v>
      </c>
      <c r="C9" s="11">
        <v>44109</v>
      </c>
      <c r="D9" s="7">
        <v>68</v>
      </c>
      <c r="E9" s="12">
        <v>32065</v>
      </c>
      <c r="F9" s="4">
        <v>179915</v>
      </c>
      <c r="G9" s="8">
        <f t="shared" si="0"/>
        <v>80</v>
      </c>
      <c r="H9" s="7">
        <v>414065</v>
      </c>
      <c r="I9" s="3">
        <f t="shared" si="1"/>
        <v>208</v>
      </c>
      <c r="J9" s="3">
        <v>2970</v>
      </c>
      <c r="K9" s="4">
        <v>256662</v>
      </c>
      <c r="L9" s="9">
        <f t="shared" si="2"/>
        <v>339</v>
      </c>
      <c r="N9" s="1"/>
    </row>
    <row r="10" spans="1:14" x14ac:dyDescent="0.2">
      <c r="B10" s="2">
        <v>6</v>
      </c>
      <c r="C10" s="11">
        <v>44110</v>
      </c>
      <c r="D10" s="7">
        <v>70</v>
      </c>
      <c r="E10" s="12">
        <v>32578</v>
      </c>
      <c r="F10" s="4">
        <v>179995</v>
      </c>
      <c r="G10" s="8">
        <f t="shared" si="0"/>
        <v>79</v>
      </c>
      <c r="H10" s="7">
        <v>414273</v>
      </c>
      <c r="I10" s="3">
        <f t="shared" si="1"/>
        <v>236</v>
      </c>
      <c r="J10" s="3">
        <v>0</v>
      </c>
      <c r="K10" s="4">
        <v>257001</v>
      </c>
      <c r="L10" s="9">
        <f t="shared" si="2"/>
        <v>367</v>
      </c>
      <c r="N10" s="1"/>
    </row>
    <row r="11" spans="1:14" x14ac:dyDescent="0.2">
      <c r="B11" s="2">
        <v>7</v>
      </c>
      <c r="C11" s="11">
        <v>44111</v>
      </c>
      <c r="D11" s="7">
        <v>51</v>
      </c>
      <c r="E11" s="12">
        <v>31251</v>
      </c>
      <c r="F11" s="4">
        <v>180074</v>
      </c>
      <c r="G11" s="8">
        <f t="shared" si="0"/>
        <v>76</v>
      </c>
      <c r="H11" s="7">
        <v>414509</v>
      </c>
      <c r="I11" s="3">
        <f t="shared" si="1"/>
        <v>59</v>
      </c>
      <c r="J11" s="3">
        <v>2970</v>
      </c>
      <c r="K11" s="4">
        <v>257368</v>
      </c>
      <c r="L11" s="9">
        <f t="shared" si="2"/>
        <v>382</v>
      </c>
      <c r="N11" s="1"/>
    </row>
    <row r="12" spans="1:14" x14ac:dyDescent="0.2">
      <c r="B12" s="2">
        <v>8</v>
      </c>
      <c r="C12" s="11">
        <v>44112</v>
      </c>
      <c r="D12" s="7">
        <v>71</v>
      </c>
      <c r="E12" s="12">
        <v>33426</v>
      </c>
      <c r="F12" s="4">
        <v>180150</v>
      </c>
      <c r="G12" s="8">
        <f t="shared" si="0"/>
        <v>76</v>
      </c>
      <c r="H12" s="7">
        <v>414568</v>
      </c>
      <c r="I12" s="3">
        <f t="shared" si="1"/>
        <v>345</v>
      </c>
      <c r="J12" s="3">
        <v>0</v>
      </c>
      <c r="K12" s="4">
        <v>257750</v>
      </c>
      <c r="L12" s="9">
        <f t="shared" si="2"/>
        <v>232</v>
      </c>
      <c r="N12" s="1"/>
    </row>
    <row r="13" spans="1:14" ht="11.25" customHeight="1" x14ac:dyDescent="0.2">
      <c r="A13" t="s">
        <v>28</v>
      </c>
      <c r="B13" s="2">
        <v>9</v>
      </c>
      <c r="C13" s="11">
        <v>44113</v>
      </c>
      <c r="D13" s="7">
        <v>79</v>
      </c>
      <c r="E13" s="12">
        <v>33761</v>
      </c>
      <c r="F13" s="31">
        <v>180226</v>
      </c>
      <c r="G13" s="8">
        <f t="shared" si="0"/>
        <v>70</v>
      </c>
      <c r="H13" s="17">
        <v>414913</v>
      </c>
      <c r="I13" s="3">
        <f t="shared" si="1"/>
        <v>239</v>
      </c>
      <c r="J13" s="3">
        <v>0</v>
      </c>
      <c r="K13" s="31">
        <v>257982</v>
      </c>
      <c r="L13" s="9">
        <f t="shared" si="2"/>
        <v>192</v>
      </c>
      <c r="N13" s="1"/>
    </row>
    <row r="14" spans="1:14" x14ac:dyDescent="0.2">
      <c r="B14" s="2">
        <v>10</v>
      </c>
      <c r="C14" s="11">
        <v>44114</v>
      </c>
      <c r="D14" s="7">
        <v>45</v>
      </c>
      <c r="E14" s="12">
        <v>31431</v>
      </c>
      <c r="F14" s="31">
        <v>180296</v>
      </c>
      <c r="G14" s="8">
        <f t="shared" si="0"/>
        <v>56</v>
      </c>
      <c r="H14" s="17">
        <v>415152</v>
      </c>
      <c r="I14" s="3">
        <f t="shared" si="1"/>
        <v>383</v>
      </c>
      <c r="J14" s="3">
        <v>0</v>
      </c>
      <c r="K14" s="31">
        <v>258174</v>
      </c>
      <c r="L14" s="9">
        <f t="shared" si="2"/>
        <v>254</v>
      </c>
      <c r="N14" s="1"/>
    </row>
    <row r="15" spans="1:14" x14ac:dyDescent="0.2">
      <c r="B15" s="2">
        <v>11</v>
      </c>
      <c r="C15" s="11">
        <v>44115</v>
      </c>
      <c r="D15" s="7">
        <v>44</v>
      </c>
      <c r="E15" s="12">
        <v>31237</v>
      </c>
      <c r="F15" s="4">
        <v>180352</v>
      </c>
      <c r="G15" s="8">
        <f t="shared" si="0"/>
        <v>54</v>
      </c>
      <c r="H15" s="7">
        <v>415535</v>
      </c>
      <c r="I15" s="3">
        <f t="shared" si="1"/>
        <v>250</v>
      </c>
      <c r="J15" s="3">
        <v>0</v>
      </c>
      <c r="K15" s="4">
        <v>258428</v>
      </c>
      <c r="L15" s="9">
        <f t="shared" si="2"/>
        <v>269</v>
      </c>
      <c r="N15" s="1"/>
    </row>
    <row r="16" spans="1:14" ht="13.5" customHeight="1" x14ac:dyDescent="0.2">
      <c r="B16" s="2">
        <v>12</v>
      </c>
      <c r="C16" s="11">
        <v>44116</v>
      </c>
      <c r="D16" s="7">
        <v>46</v>
      </c>
      <c r="E16" s="12">
        <v>30885</v>
      </c>
      <c r="F16" s="4">
        <v>180406</v>
      </c>
      <c r="G16" s="8">
        <f t="shared" si="0"/>
        <v>57</v>
      </c>
      <c r="H16" s="7">
        <v>415785</v>
      </c>
      <c r="I16" s="3">
        <f t="shared" si="1"/>
        <v>214</v>
      </c>
      <c r="J16" s="3">
        <v>0</v>
      </c>
      <c r="K16" s="4">
        <v>258697</v>
      </c>
      <c r="L16" s="9">
        <f t="shared" si="2"/>
        <v>0</v>
      </c>
      <c r="N16" s="1"/>
    </row>
    <row r="17" spans="1:14" x14ac:dyDescent="0.2">
      <c r="B17" s="2">
        <v>13</v>
      </c>
      <c r="C17" s="11">
        <v>44117</v>
      </c>
      <c r="D17" s="7">
        <v>59</v>
      </c>
      <c r="E17" s="12">
        <v>30973</v>
      </c>
      <c r="F17" s="4">
        <v>180463</v>
      </c>
      <c r="G17" s="8">
        <f t="shared" si="0"/>
        <v>60</v>
      </c>
      <c r="H17" s="7">
        <v>415999</v>
      </c>
      <c r="I17" s="3">
        <f t="shared" si="1"/>
        <v>68</v>
      </c>
      <c r="J17" s="3">
        <v>0</v>
      </c>
      <c r="K17" s="4">
        <v>258697</v>
      </c>
      <c r="L17" s="9">
        <f t="shared" si="2"/>
        <v>712</v>
      </c>
      <c r="N17" s="1"/>
    </row>
    <row r="18" spans="1:14" ht="13.5" customHeight="1" x14ac:dyDescent="0.2">
      <c r="B18" s="2">
        <v>14</v>
      </c>
      <c r="C18" s="11">
        <v>44118</v>
      </c>
      <c r="D18" s="7">
        <v>58</v>
      </c>
      <c r="E18" s="13">
        <v>31194</v>
      </c>
      <c r="F18" s="4">
        <v>180523</v>
      </c>
      <c r="G18" s="8">
        <f t="shared" si="0"/>
        <v>61</v>
      </c>
      <c r="H18" s="7">
        <v>416067</v>
      </c>
      <c r="I18" s="3">
        <f t="shared" si="1"/>
        <v>309</v>
      </c>
      <c r="J18" s="3">
        <v>0</v>
      </c>
      <c r="K18" s="4">
        <v>259409</v>
      </c>
      <c r="L18" s="9">
        <f t="shared" si="2"/>
        <v>0</v>
      </c>
      <c r="N18" s="1"/>
    </row>
    <row r="19" spans="1:14" x14ac:dyDescent="0.2">
      <c r="B19" s="2">
        <v>15</v>
      </c>
      <c r="C19" s="11">
        <v>44119</v>
      </c>
      <c r="D19" s="7">
        <v>73</v>
      </c>
      <c r="E19" s="13">
        <v>31257</v>
      </c>
      <c r="F19" s="4">
        <v>180584</v>
      </c>
      <c r="G19" s="8">
        <f t="shared" si="0"/>
        <v>62</v>
      </c>
      <c r="H19" s="17">
        <v>416376</v>
      </c>
      <c r="I19" s="3">
        <f t="shared" si="1"/>
        <v>149</v>
      </c>
      <c r="J19" s="3">
        <v>2970</v>
      </c>
      <c r="K19" s="4">
        <v>259409</v>
      </c>
      <c r="L19" s="9">
        <f t="shared" si="2"/>
        <v>416</v>
      </c>
      <c r="N19" s="1"/>
    </row>
    <row r="20" spans="1:14" x14ac:dyDescent="0.2">
      <c r="A20" t="s">
        <v>28</v>
      </c>
      <c r="B20" s="2">
        <v>16</v>
      </c>
      <c r="C20" s="11">
        <v>44120</v>
      </c>
      <c r="D20" s="7">
        <v>95</v>
      </c>
      <c r="E20" s="13">
        <v>31825</v>
      </c>
      <c r="F20" s="4">
        <v>180646</v>
      </c>
      <c r="G20" s="8">
        <f t="shared" si="0"/>
        <v>60</v>
      </c>
      <c r="H20" s="4">
        <v>416525</v>
      </c>
      <c r="I20" s="3">
        <f t="shared" si="1"/>
        <v>253</v>
      </c>
      <c r="J20" s="3">
        <v>0</v>
      </c>
      <c r="K20" s="4">
        <v>259825</v>
      </c>
      <c r="L20" s="9">
        <f t="shared" si="2"/>
        <v>325</v>
      </c>
      <c r="N20" s="1"/>
    </row>
    <row r="21" spans="1:14" x14ac:dyDescent="0.2">
      <c r="B21" s="2">
        <v>17</v>
      </c>
      <c r="C21" s="11">
        <v>44121</v>
      </c>
      <c r="D21" s="7">
        <v>48</v>
      </c>
      <c r="E21" s="12">
        <v>30814</v>
      </c>
      <c r="F21" s="4">
        <v>180706</v>
      </c>
      <c r="G21" s="8">
        <f t="shared" si="0"/>
        <v>54</v>
      </c>
      <c r="H21" s="4">
        <v>416778</v>
      </c>
      <c r="I21" s="3">
        <f t="shared" si="1"/>
        <v>311</v>
      </c>
      <c r="J21" s="3">
        <v>0</v>
      </c>
      <c r="K21" s="4">
        <v>260150</v>
      </c>
      <c r="L21" s="9">
        <f t="shared" si="2"/>
        <v>164</v>
      </c>
      <c r="N21" s="1"/>
    </row>
    <row r="22" spans="1:14" x14ac:dyDescent="0.2">
      <c r="B22" s="2">
        <v>18</v>
      </c>
      <c r="C22" s="11">
        <v>44122</v>
      </c>
      <c r="D22" s="7">
        <v>39</v>
      </c>
      <c r="E22" s="12">
        <v>33895</v>
      </c>
      <c r="F22" s="4">
        <v>180760</v>
      </c>
      <c r="G22" s="8">
        <f t="shared" si="0"/>
        <v>54</v>
      </c>
      <c r="H22" s="4">
        <v>417089</v>
      </c>
      <c r="I22" s="3">
        <f t="shared" si="1"/>
        <v>239</v>
      </c>
      <c r="J22" s="3">
        <v>0</v>
      </c>
      <c r="K22" s="4">
        <v>260314</v>
      </c>
      <c r="L22" s="9">
        <f t="shared" si="2"/>
        <v>113</v>
      </c>
      <c r="N22" s="1"/>
    </row>
    <row r="23" spans="1:14" x14ac:dyDescent="0.2">
      <c r="B23" s="2">
        <v>19</v>
      </c>
      <c r="C23" s="11">
        <v>44123</v>
      </c>
      <c r="D23" s="7">
        <v>38</v>
      </c>
      <c r="E23" s="13">
        <v>29942</v>
      </c>
      <c r="F23" s="4">
        <v>180814</v>
      </c>
      <c r="G23" s="8">
        <f t="shared" si="0"/>
        <v>53</v>
      </c>
      <c r="H23" s="31">
        <v>417328</v>
      </c>
      <c r="I23" s="3">
        <f t="shared" si="1"/>
        <v>279</v>
      </c>
      <c r="J23" s="3">
        <v>2970</v>
      </c>
      <c r="K23" s="4">
        <v>260427</v>
      </c>
      <c r="L23" s="9">
        <f t="shared" si="2"/>
        <v>493</v>
      </c>
      <c r="N23" s="1"/>
    </row>
    <row r="24" spans="1:14" ht="12" customHeight="1" x14ac:dyDescent="0.2">
      <c r="B24" s="2">
        <v>20</v>
      </c>
      <c r="C24" s="11">
        <v>44124</v>
      </c>
      <c r="D24" s="7">
        <v>34</v>
      </c>
      <c r="E24" s="13">
        <v>28858</v>
      </c>
      <c r="F24" s="31">
        <v>180867</v>
      </c>
      <c r="G24" s="8">
        <f t="shared" si="0"/>
        <v>50</v>
      </c>
      <c r="H24" s="31">
        <v>417607</v>
      </c>
      <c r="I24" s="3">
        <f t="shared" si="1"/>
        <v>81</v>
      </c>
      <c r="J24" s="3">
        <v>2970</v>
      </c>
      <c r="K24" s="31">
        <v>260920</v>
      </c>
      <c r="L24" s="9">
        <f t="shared" si="2"/>
        <v>49</v>
      </c>
      <c r="N24" s="1"/>
    </row>
    <row r="25" spans="1:14" x14ac:dyDescent="0.2">
      <c r="B25" s="2">
        <v>21</v>
      </c>
      <c r="C25" s="11">
        <v>44125</v>
      </c>
      <c r="D25" s="7">
        <v>32</v>
      </c>
      <c r="E25" s="12">
        <v>29576</v>
      </c>
      <c r="F25" s="31">
        <v>180917</v>
      </c>
      <c r="G25" s="8">
        <f t="shared" si="0"/>
        <v>47</v>
      </c>
      <c r="H25" s="31">
        <v>417688</v>
      </c>
      <c r="I25" s="3">
        <f t="shared" si="1"/>
        <v>276</v>
      </c>
      <c r="J25" s="3">
        <v>0</v>
      </c>
      <c r="K25" s="31">
        <v>260969</v>
      </c>
      <c r="L25" s="9">
        <f t="shared" si="2"/>
        <v>267</v>
      </c>
      <c r="N25" s="1"/>
    </row>
    <row r="26" spans="1:14" x14ac:dyDescent="0.2">
      <c r="B26" s="2">
        <v>22</v>
      </c>
      <c r="C26" s="11">
        <v>44126</v>
      </c>
      <c r="D26" s="7">
        <v>51</v>
      </c>
      <c r="E26" s="12">
        <v>30463</v>
      </c>
      <c r="F26" s="4">
        <v>180964</v>
      </c>
      <c r="G26" s="8">
        <f t="shared" si="0"/>
        <v>46</v>
      </c>
      <c r="H26" s="4">
        <v>417964</v>
      </c>
      <c r="I26" s="3">
        <f t="shared" si="1"/>
        <v>243</v>
      </c>
      <c r="J26" s="3">
        <v>0</v>
      </c>
      <c r="K26" s="4">
        <v>261236</v>
      </c>
      <c r="L26" s="9">
        <f t="shared" si="2"/>
        <v>384</v>
      </c>
      <c r="N26" s="1"/>
    </row>
    <row r="27" spans="1:14" x14ac:dyDescent="0.2">
      <c r="B27" s="2">
        <v>23</v>
      </c>
      <c r="C27" s="11">
        <v>44127</v>
      </c>
      <c r="D27" s="7">
        <v>78</v>
      </c>
      <c r="E27" s="12">
        <v>30211</v>
      </c>
      <c r="F27" s="4">
        <v>181010</v>
      </c>
      <c r="G27" s="8">
        <f t="shared" si="0"/>
        <v>52</v>
      </c>
      <c r="H27" s="7">
        <v>418207</v>
      </c>
      <c r="I27" s="3">
        <f t="shared" si="1"/>
        <v>198</v>
      </c>
      <c r="J27" s="3">
        <v>2970</v>
      </c>
      <c r="K27" s="4">
        <v>261620</v>
      </c>
      <c r="L27" s="9">
        <f t="shared" si="2"/>
        <v>221</v>
      </c>
      <c r="N27" s="1"/>
    </row>
    <row r="28" spans="1:14" ht="12.75" customHeight="1" x14ac:dyDescent="0.2">
      <c r="A28" t="s">
        <v>28</v>
      </c>
      <c r="B28" s="2">
        <v>24</v>
      </c>
      <c r="C28" s="11">
        <v>44128</v>
      </c>
      <c r="D28" s="7">
        <v>51</v>
      </c>
      <c r="E28" s="12">
        <v>31298</v>
      </c>
      <c r="F28" s="4">
        <v>181062</v>
      </c>
      <c r="G28" s="8">
        <f t="shared" si="0"/>
        <v>56</v>
      </c>
      <c r="H28" s="7">
        <v>418405</v>
      </c>
      <c r="I28" s="3">
        <f t="shared" si="1"/>
        <v>195</v>
      </c>
      <c r="J28" s="3">
        <v>0</v>
      </c>
      <c r="K28" s="4">
        <v>261841</v>
      </c>
      <c r="L28" s="9">
        <f t="shared" si="2"/>
        <v>282</v>
      </c>
      <c r="N28" s="1"/>
    </row>
    <row r="29" spans="1:14" x14ac:dyDescent="0.2">
      <c r="A29" t="s">
        <v>30</v>
      </c>
      <c r="B29" s="2">
        <v>25</v>
      </c>
      <c r="C29" s="11">
        <v>44129</v>
      </c>
      <c r="D29" s="7">
        <v>47</v>
      </c>
      <c r="E29" s="12">
        <v>30178</v>
      </c>
      <c r="F29" s="4">
        <v>181118</v>
      </c>
      <c r="G29" s="8">
        <f t="shared" si="0"/>
        <v>56</v>
      </c>
      <c r="H29" s="7">
        <v>418600</v>
      </c>
      <c r="I29" s="3">
        <f t="shared" si="1"/>
        <v>327</v>
      </c>
      <c r="J29" s="3">
        <v>2970</v>
      </c>
      <c r="K29" s="4">
        <v>262123</v>
      </c>
      <c r="L29" s="9">
        <f t="shared" si="2"/>
        <v>248</v>
      </c>
      <c r="N29" s="1"/>
    </row>
    <row r="30" spans="1:14" x14ac:dyDescent="0.2">
      <c r="B30" s="2">
        <v>26</v>
      </c>
      <c r="C30" s="11">
        <v>44130</v>
      </c>
      <c r="D30" s="7">
        <v>49</v>
      </c>
      <c r="E30" s="12">
        <v>33072</v>
      </c>
      <c r="F30" s="4">
        <v>181174</v>
      </c>
      <c r="G30" s="8">
        <f t="shared" si="0"/>
        <v>55</v>
      </c>
      <c r="H30" s="7">
        <v>418927</v>
      </c>
      <c r="I30" s="3">
        <f t="shared" si="1"/>
        <v>249</v>
      </c>
      <c r="J30" s="3">
        <v>0</v>
      </c>
      <c r="K30" s="33">
        <v>262371</v>
      </c>
      <c r="L30" s="9">
        <f t="shared" si="2"/>
        <v>184</v>
      </c>
      <c r="N30" s="1"/>
    </row>
    <row r="31" spans="1:14" x14ac:dyDescent="0.2">
      <c r="A31" t="s">
        <v>29</v>
      </c>
      <c r="B31" s="2">
        <v>27</v>
      </c>
      <c r="C31" s="11">
        <v>44131</v>
      </c>
      <c r="D31" s="7">
        <v>67</v>
      </c>
      <c r="E31" s="12">
        <v>28615</v>
      </c>
      <c r="F31" s="4">
        <v>181229</v>
      </c>
      <c r="G31" s="8">
        <f t="shared" si="0"/>
        <v>57</v>
      </c>
      <c r="H31" s="7">
        <v>419176</v>
      </c>
      <c r="I31" s="3">
        <f t="shared" si="1"/>
        <v>231</v>
      </c>
      <c r="J31" s="3">
        <v>2970</v>
      </c>
      <c r="K31" s="4">
        <v>262555</v>
      </c>
      <c r="L31" s="9">
        <f t="shared" si="2"/>
        <v>86</v>
      </c>
      <c r="N31" s="1"/>
    </row>
    <row r="32" spans="1:14" x14ac:dyDescent="0.2">
      <c r="B32" s="2">
        <v>28</v>
      </c>
      <c r="C32" s="11">
        <v>44132</v>
      </c>
      <c r="D32" s="7">
        <v>96</v>
      </c>
      <c r="E32" s="12">
        <v>32154</v>
      </c>
      <c r="F32" s="26">
        <v>181286</v>
      </c>
      <c r="G32" s="8">
        <f t="shared" si="0"/>
        <v>56</v>
      </c>
      <c r="H32" s="7">
        <v>419407</v>
      </c>
      <c r="I32" s="3">
        <f t="shared" si="1"/>
        <v>275</v>
      </c>
      <c r="J32" s="3">
        <v>2970</v>
      </c>
      <c r="K32" s="4">
        <v>262641</v>
      </c>
      <c r="L32" s="9">
        <f t="shared" si="2"/>
        <v>155</v>
      </c>
      <c r="N32" s="1"/>
    </row>
    <row r="33" spans="2:14" x14ac:dyDescent="0.2">
      <c r="B33" s="23">
        <v>29</v>
      </c>
      <c r="C33" s="11">
        <v>44133</v>
      </c>
      <c r="D33" s="24">
        <v>130</v>
      </c>
      <c r="E33" s="25">
        <v>32609</v>
      </c>
      <c r="F33" s="31">
        <v>181342</v>
      </c>
      <c r="G33" s="8">
        <f t="shared" si="0"/>
        <v>58</v>
      </c>
      <c r="H33" s="24">
        <v>419682</v>
      </c>
      <c r="I33" s="3">
        <f t="shared" si="1"/>
        <v>229</v>
      </c>
      <c r="J33" s="27">
        <v>0</v>
      </c>
      <c r="K33" s="32">
        <v>262796</v>
      </c>
      <c r="L33" s="9">
        <f t="shared" si="2"/>
        <v>143</v>
      </c>
      <c r="N33" s="1"/>
    </row>
    <row r="34" spans="2:14" ht="13.5" thickBot="1" x14ac:dyDescent="0.25">
      <c r="B34" s="23">
        <v>30</v>
      </c>
      <c r="C34" s="11">
        <v>44134</v>
      </c>
      <c r="D34" s="22">
        <v>100</v>
      </c>
      <c r="E34" s="3">
        <v>35842</v>
      </c>
      <c r="F34" s="22">
        <v>181400</v>
      </c>
      <c r="G34" s="8">
        <f t="shared" si="0"/>
        <v>70</v>
      </c>
      <c r="H34" s="22">
        <v>419911</v>
      </c>
      <c r="I34" s="3">
        <f t="shared" si="1"/>
        <v>391</v>
      </c>
      <c r="J34" s="29">
        <v>0</v>
      </c>
      <c r="K34" s="32">
        <v>262939</v>
      </c>
      <c r="L34" s="9">
        <f t="shared" si="2"/>
        <v>36</v>
      </c>
      <c r="M34" s="16"/>
      <c r="N34" s="1"/>
    </row>
    <row r="35" spans="2:14" ht="13.5" thickBot="1" x14ac:dyDescent="0.25">
      <c r="B35" s="22">
        <v>31</v>
      </c>
      <c r="C35" s="11">
        <v>44135</v>
      </c>
      <c r="D35" s="28">
        <v>42</v>
      </c>
      <c r="E35" s="30">
        <v>32915</v>
      </c>
      <c r="F35" s="28">
        <v>181470</v>
      </c>
      <c r="G35" s="8">
        <f t="shared" si="0"/>
        <v>59</v>
      </c>
      <c r="H35" s="28">
        <v>420302</v>
      </c>
      <c r="I35" s="3">
        <f t="shared" si="1"/>
        <v>334</v>
      </c>
      <c r="J35" s="29">
        <v>2970</v>
      </c>
      <c r="K35" s="32">
        <v>262975</v>
      </c>
      <c r="L35" s="9">
        <f t="shared" si="2"/>
        <v>0</v>
      </c>
      <c r="M35" s="16"/>
      <c r="N35" s="1"/>
    </row>
    <row r="36" spans="2:14" x14ac:dyDescent="0.2">
      <c r="E36" s="1"/>
      <c r="F36" s="31">
        <v>181529</v>
      </c>
      <c r="G36" s="1"/>
      <c r="H36" s="17">
        <v>420636</v>
      </c>
      <c r="I36" s="1"/>
      <c r="K36" s="31">
        <v>262975</v>
      </c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2020-11-01T05:51:44Z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