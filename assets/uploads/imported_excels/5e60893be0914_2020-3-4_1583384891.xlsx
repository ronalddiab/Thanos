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3 - 2020" sheetId="1" r:id="rId3"/>
  </sheets>
  <definedNames>
    <definedName name="_xlnm.Print_Area" localSheetId="2">'03 - 2020'!$A$1:$J$34</definedName>
  </definedNames>
  <calcPr calcId="162913" calcMode="manual"/>
</workbook>
</file>

<file path=xl/calcChain.xml><?xml version="1.0" encoding="utf-8"?>
<calcChain xmlns="http://schemas.openxmlformats.org/spreadsheetml/2006/main"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A8" i="1"/>
  <c r="L4" i="3" l="1"/>
  <c r="K4" i="3"/>
  <c r="I4" i="3"/>
  <c r="G4" i="3"/>
  <c r="E4" i="3"/>
  <c r="J4" i="2"/>
  <c r="I4" i="2"/>
  <c r="H4" i="2"/>
  <c r="F4" i="2"/>
  <c r="E4" i="2"/>
  <c r="A6" i="1" l="1"/>
  <c r="L3" i="3" l="1"/>
  <c r="K3" i="3"/>
  <c r="I3" i="3"/>
  <c r="G3" i="3"/>
  <c r="E3" i="3"/>
  <c r="J3" i="2"/>
  <c r="I3" i="2"/>
  <c r="H3" i="2"/>
  <c r="F3" i="2"/>
  <c r="E3" i="2"/>
  <c r="L32" i="3" l="1"/>
  <c r="K32" i="3"/>
  <c r="I32" i="3"/>
  <c r="G32" i="3"/>
  <c r="E32" i="3"/>
  <c r="L31" i="3"/>
  <c r="K31" i="3"/>
  <c r="I31" i="3"/>
  <c r="G31" i="3"/>
  <c r="E31" i="3"/>
  <c r="L30" i="3"/>
  <c r="K30" i="3"/>
  <c r="I30" i="3"/>
  <c r="G30" i="3"/>
  <c r="E30" i="3"/>
  <c r="L29" i="3"/>
  <c r="K29" i="3"/>
  <c r="I29" i="3"/>
  <c r="G29" i="3"/>
  <c r="E29" i="3"/>
  <c r="L28" i="3"/>
  <c r="K28" i="3"/>
  <c r="I28" i="3"/>
  <c r="G28" i="3"/>
  <c r="E28" i="3"/>
  <c r="L27" i="3"/>
  <c r="K27" i="3"/>
  <c r="I27" i="3"/>
  <c r="G27" i="3"/>
  <c r="E27" i="3"/>
  <c r="L26" i="3"/>
  <c r="K26" i="3"/>
  <c r="I26" i="3"/>
  <c r="G26" i="3"/>
  <c r="E26" i="3"/>
  <c r="L25" i="3"/>
  <c r="K25" i="3"/>
  <c r="I25" i="3"/>
  <c r="G25" i="3"/>
  <c r="E25" i="3"/>
  <c r="L24" i="3"/>
  <c r="K24" i="3"/>
  <c r="I24" i="3"/>
  <c r="G24" i="3"/>
  <c r="E24" i="3"/>
  <c r="L23" i="3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L20" i="3"/>
  <c r="K20" i="3"/>
  <c r="I20" i="3"/>
  <c r="G20" i="3"/>
  <c r="E20" i="3"/>
  <c r="L19" i="3"/>
  <c r="K19" i="3"/>
  <c r="I19" i="3"/>
  <c r="G19" i="3"/>
  <c r="E19" i="3"/>
  <c r="L18" i="3"/>
  <c r="K18" i="3"/>
  <c r="I18" i="3"/>
  <c r="G18" i="3"/>
  <c r="E18" i="3"/>
  <c r="L17" i="3"/>
  <c r="K17" i="3"/>
  <c r="I17" i="3"/>
  <c r="G17" i="3"/>
  <c r="E17" i="3"/>
  <c r="L16" i="3"/>
  <c r="K16" i="3"/>
  <c r="I16" i="3"/>
  <c r="G16" i="3"/>
  <c r="E16" i="3"/>
  <c r="L15" i="3"/>
  <c r="K15" i="3"/>
  <c r="I15" i="3"/>
  <c r="G15" i="3"/>
  <c r="E15" i="3"/>
  <c r="L14" i="3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L10" i="3"/>
  <c r="K10" i="3"/>
  <c r="I10" i="3"/>
  <c r="G10" i="3"/>
  <c r="E10" i="3"/>
  <c r="L9" i="3"/>
  <c r="K9" i="3"/>
  <c r="I9" i="3"/>
  <c r="G9" i="3"/>
  <c r="E9" i="3"/>
  <c r="L8" i="3"/>
  <c r="K8" i="3"/>
  <c r="I8" i="3"/>
  <c r="G8" i="3"/>
  <c r="E8" i="3"/>
  <c r="L2" i="3"/>
  <c r="K2" i="3"/>
  <c r="I2" i="3"/>
  <c r="G2" i="3"/>
  <c r="E2" i="3"/>
  <c r="J32" i="2"/>
  <c r="I32" i="2"/>
  <c r="H32" i="2"/>
  <c r="F32" i="2"/>
  <c r="E32" i="2"/>
  <c r="J31" i="2"/>
  <c r="I31" i="2"/>
  <c r="H31" i="2"/>
  <c r="F31" i="2"/>
  <c r="E31" i="2"/>
  <c r="J30" i="2"/>
  <c r="I30" i="2"/>
  <c r="H30" i="2"/>
  <c r="F30" i="2"/>
  <c r="E30" i="2"/>
  <c r="J29" i="2"/>
  <c r="I29" i="2"/>
  <c r="H29" i="2"/>
  <c r="F29" i="2"/>
  <c r="E29" i="2"/>
  <c r="J28" i="2"/>
  <c r="I28" i="2"/>
  <c r="H28" i="2"/>
  <c r="F28" i="2"/>
  <c r="E28" i="2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J24" i="2"/>
  <c r="I24" i="2"/>
  <c r="H24" i="2"/>
  <c r="F24" i="2"/>
  <c r="E24" i="2"/>
  <c r="J23" i="2"/>
  <c r="I23" i="2"/>
  <c r="H23" i="2"/>
  <c r="F23" i="2"/>
  <c r="E23" i="2"/>
  <c r="J22" i="2"/>
  <c r="I22" i="2"/>
  <c r="H22" i="2"/>
  <c r="F22" i="2"/>
  <c r="E22" i="2"/>
  <c r="J21" i="2"/>
  <c r="I21" i="2"/>
  <c r="H21" i="2"/>
  <c r="F21" i="2"/>
  <c r="E21" i="2"/>
  <c r="J20" i="2"/>
  <c r="I20" i="2"/>
  <c r="H20" i="2"/>
  <c r="F20" i="2"/>
  <c r="E20" i="2"/>
  <c r="J19" i="2"/>
  <c r="I19" i="2"/>
  <c r="H19" i="2"/>
  <c r="F19" i="2"/>
  <c r="E19" i="2"/>
  <c r="J18" i="2"/>
  <c r="I18" i="2"/>
  <c r="H18" i="2"/>
  <c r="F18" i="2"/>
  <c r="E18" i="2"/>
  <c r="J17" i="2"/>
  <c r="I17" i="2"/>
  <c r="H17" i="2"/>
  <c r="F17" i="2"/>
  <c r="E17" i="2"/>
  <c r="J16" i="2"/>
  <c r="I16" i="2"/>
  <c r="H16" i="2"/>
  <c r="F16" i="2"/>
  <c r="E16" i="2"/>
  <c r="J15" i="2"/>
  <c r="I15" i="2"/>
  <c r="H15" i="2"/>
  <c r="F15" i="2"/>
  <c r="E15" i="2"/>
  <c r="J14" i="2"/>
  <c r="I14" i="2"/>
  <c r="H14" i="2"/>
  <c r="F14" i="2"/>
  <c r="E14" i="2"/>
  <c r="J13" i="2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J10" i="2"/>
  <c r="I10" i="2"/>
  <c r="H10" i="2"/>
  <c r="F10" i="2"/>
  <c r="E10" i="2"/>
  <c r="J9" i="2"/>
  <c r="I9" i="2"/>
  <c r="H9" i="2"/>
  <c r="F9" i="2"/>
  <c r="E9" i="2"/>
  <c r="J8" i="2"/>
  <c r="I8" i="2"/>
  <c r="H8" i="2"/>
  <c r="F8" i="2"/>
  <c r="E8" i="2"/>
  <c r="J2" i="2"/>
  <c r="I2" i="2"/>
  <c r="H2" i="2"/>
  <c r="F2" i="2"/>
  <c r="E2" i="2"/>
  <c r="K36" i="1" l="1"/>
  <c r="J36" i="1"/>
  <c r="I36" i="1"/>
  <c r="I37" i="1" s="1"/>
  <c r="H36" i="1"/>
  <c r="H37" i="1" s="1"/>
  <c r="G36" i="1"/>
  <c r="F36" i="1"/>
  <c r="E36" i="1"/>
  <c r="C36" i="1"/>
  <c r="B36" i="1"/>
  <c r="A7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B31" i="3" l="1"/>
  <c r="B32" i="3" s="1"/>
  <c r="B31" i="2"/>
  <c r="B32" i="2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<sst xmlns="http://schemas.openxmlformats.org/spreadsheetml/2006/main" count="105" uniqueCount="36">
  <si>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</si>
  <si>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</si>
  <si>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</si>
  <si>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</si>
  <si>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</si>
  <si>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</si>
  <si>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</si>
  <si>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</si>
  <si>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</si>
  <si>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</si>
  <si>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</si>
  <si>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</si>
  <si>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</si>
  <si>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</si>
  <si>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</si>
  <si>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</si>
  <si>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</si>
  <si>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</si>
  <si>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</si>
  <si>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</si>
  <si>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</si>
  <si>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</si>
  <si>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</si>
  <si>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</si>
  <si>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</si>
  <si>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</si>
  <si>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</si>
  <si>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</si>
  <si>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</si>
  <si>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</si>
  <si>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>Gas Received (Litres)</t>
  </si>
  <si>
    <t>Remark</t>
  </si>
  <si>
    <t xml:space="preserve">LV-01,  2025952759 </t>
  </si>
  <si>
    <t>LV-2, 2030235407</t>
  </si>
  <si>
    <t>Readings</t>
  </si>
  <si>
    <t>HLP READING MONTH OF MARCH'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</si>
</sst>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9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164" fontId="6" fillId="0" borderId="10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1" fontId="6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M7" sqref="M7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3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54" t="s">
        <v>21</v>
      </c>
      <c r="O1" s="4"/>
    </row>
    <row r="2" spans="1:15" x14ac:dyDescent="0.25">
      <c r="A2" t="s">
        <v>27</v>
      </c>
      <c r="B2">
        <v>1</v>
      </c>
      <c r="C2">
        <v>3</v>
      </c>
      <c r="D2">
        <v>2020</v>
      </c>
      <c r="E2" s="26">
        <f>'03 - 2020'!B5-'03 - 2020'!B4+'03 - 2020'!C5-'03 - 2020'!C4</f>
        <v>9690</v>
      </c>
      <c r="F2" s="24">
        <v>0.11799999999999999</v>
      </c>
      <c r="G2" s="26">
        <f>'03 - 2020'!D5-'03 - 2020'!D4+'03 - 2020'!E5-'03 - 2020'!E4</f>
        <v>23.980000000001382</v>
      </c>
      <c r="H2" s="24">
        <v>0.99</v>
      </c>
      <c r="I2" s="26">
        <f>'03 - 2020'!F5-'03 - 2020'!F4+'03 - 2020'!G5-'03 - 2020'!G4</f>
        <v>38.950000000000728</v>
      </c>
      <c r="J2" s="24">
        <v>8.1000000000000003E-2</v>
      </c>
      <c r="K2" s="26">
        <f>'03 - 2020'!H5-'03 - 2020'!H4+'03 - 2020'!I5-'03 - 2020'!I4</f>
        <v>105</v>
      </c>
      <c r="L2" s="26">
        <f>'03 - 2020'!I5-'03 - 2020'!I4+'03 - 2020'!J5-'03 - 2020'!J4</f>
        <v>13985</v>
      </c>
      <c r="M2" s="25">
        <v>4.393629424766913</v>
      </c>
      <c r="N2" s="51">
        <v>38</v>
      </c>
    </row>
    <row r="3" spans="1:15" x14ac:dyDescent="0.25">
      <c r="A3" t="s">
        <v>27</v>
      </c>
      <c r="B3">
        <f>B2+1</f>
        <v>2</v>
      </c>
      <c r="C3" s="24">
        <v>3</v>
      </c>
      <c r="D3" s="24">
        <v>2020</v>
      </c>
      <c r="E3" s="26">
        <f>'03 - 2020'!B6-'03 - 2020'!B5+'03 - 2020'!C6-'03 - 2020'!C5</f>
        <v>9268</v>
      </c>
      <c r="F3" s="24">
        <v>0.11799999999999999</v>
      </c>
      <c r="G3" s="26">
        <f>'03 - 2020'!D6-'03 - 2020'!D5+'03 - 2020'!E6-'03 - 2020'!E5</f>
        <v>22.359999999998763</v>
      </c>
      <c r="H3" s="24">
        <v>0.99</v>
      </c>
      <c r="I3" s="26">
        <f>'03 - 2020'!F6-'03 - 2020'!F5+'03 - 2020'!G6-'03 - 2020'!G5</f>
        <v>46.769999999996799</v>
      </c>
      <c r="J3" s="24">
        <v>8.1000000000000003E-2</v>
      </c>
      <c r="K3" s="26">
        <f>'03 - 2020'!H6-'03 - 2020'!H5+'03 - 2020'!I6-'03 - 2020'!I5</f>
        <v>85</v>
      </c>
      <c r="L3" s="26">
        <f>'03 - 2020'!I6-'03 - 2020'!I5+'03 - 2020'!J6-'03 - 2020'!J5</f>
        <v>13357</v>
      </c>
      <c r="M3" s="25">
        <v>4.393629424766913</v>
      </c>
      <c r="N3" s="51">
        <v>48</v>
      </c>
    </row>
    <row r="4" spans="1:15" x14ac:dyDescent="0.25">
      <c r="A4" t="s">
        <v>27</v>
      </c>
      <c r="B4">
        <f t="shared" ref="B4:B32" si="0">B3+1</f>
        <v>3</v>
      </c>
      <c r="C4" s="24">
        <v>3</v>
      </c>
      <c r="D4" s="24">
        <v>2020</v>
      </c>
      <c r="E4" s="26">
        <f>'03 - 2020'!B7-'03 - 2020'!B6+'03 - 2020'!C7-'03 - 2020'!C6</f>
        <v>9194</v>
      </c>
      <c r="F4" s="24">
        <v>0.11799999999999999</v>
      </c>
      <c r="G4" s="26">
        <f>'03 - 2020'!D7-'03 - 2020'!D6+'03 - 2020'!E7-'03 - 2020'!E6</f>
        <v>23.440000000000509</v>
      </c>
      <c r="H4" s="24">
        <v>0.99</v>
      </c>
      <c r="I4" s="26">
        <f>'03 - 2020'!F7-'03 - 2020'!F6+'03 - 2020'!G7-'03 - 2020'!G6</f>
        <v>40.630000000001019</v>
      </c>
      <c r="J4" s="24">
        <v>8.1000000000000003E-2</v>
      </c>
      <c r="K4" s="26">
        <f>'03 - 2020'!H7-'03 - 2020'!H6+'03 - 2020'!I7-'03 - 2020'!I6</f>
        <v>90</v>
      </c>
      <c r="L4" s="26">
        <f>'03 - 2020'!I7-'03 - 2020'!I6+'03 - 2020'!J7-'03 - 2020'!J6</f>
        <v>14198</v>
      </c>
      <c r="M4" s="25">
        <v>4.393629424766913</v>
      </c>
      <c r="N4" s="51">
        <v>50</v>
      </c>
    </row>
    <row r="5" spans="1:15" x14ac:dyDescent="0.25">
      <c r="A5" t="s">
        <v>27</v>
      </c>
      <c r="B5">
        <f t="shared" si="0"/>
        <v>4</v>
      </c>
      <c r="C5" s="24">
        <v>3</v>
      </c>
      <c r="D5" s="24">
        <v>2020</v>
      </c>
      <c r="E5" s="26">
        <f>'03 - 2020'!B8-'03 - 2020'!B7+'03 - 2020'!C8-'03 - 2020'!C7</f>
        <v>8853</v>
      </c>
      <c r="F5" s="24">
        <v>0.11799999999999999</v>
      </c>
      <c r="G5" s="26">
        <f>'03 - 2020'!D8-'03 - 2020'!D7+'03 - 2020'!E8-'03 - 2020'!E7</f>
        <v>24.600000000000364</v>
      </c>
      <c r="H5" s="24">
        <v>0.99</v>
      </c>
      <c r="I5" s="26">
        <f>'03 - 2020'!F8-'03 - 2020'!F7+'03 - 2020'!G8-'03 - 2020'!G7</f>
        <v>43.200000000000728</v>
      </c>
      <c r="J5" s="24">
        <v>8.1000000000000003E-2</v>
      </c>
      <c r="K5" s="26">
        <f>'03 - 2020'!H8-'03 - 2020'!H7+'03 - 2020'!I8-'03 - 2020'!I7</f>
        <v>93</v>
      </c>
      <c r="L5" s="26">
        <f>'03 - 2020'!I8-'03 - 2020'!I7+'03 - 2020'!J8-'03 - 2020'!J7</f>
        <v>12910</v>
      </c>
      <c r="M5" s="25">
        <v>4.393629424766913</v>
      </c>
      <c r="N5" s="51">
        <v>61</v>
      </c>
    </row>
    <row r="6" spans="1:15" x14ac:dyDescent="0.25">
      <c r="A6" t="s">
        <v>27</v>
      </c>
      <c r="B6">
        <f t="shared" si="0"/>
        <v>5</v>
      </c>
      <c r="C6" s="24">
        <v>3</v>
      </c>
      <c r="D6" s="24">
        <v>2020</v>
      </c>
      <c r="E6" s="26">
        <f>'03 - 2020'!B9-'03 - 2020'!B8+'03 - 2020'!C9-'03 - 2020'!C8</f>
        <v>9161</v>
      </c>
      <c r="F6" s="24">
        <v>0.11799999999999999</v>
      </c>
      <c r="G6" s="26">
        <f>'03 - 2020'!D9-'03 - 2020'!D8+'03 - 2020'!E9-'03 - 2020'!E8</f>
        <v>21.410000000001673</v>
      </c>
      <c r="H6" s="24">
        <v>0.99</v>
      </c>
      <c r="I6" s="26">
        <f>'03 - 2020'!F9-'03 - 2020'!F8+'03 - 2020'!G9-'03 - 2020'!G8</f>
        <v>40.930000000000291</v>
      </c>
      <c r="J6" s="24">
        <v>8.1000000000000003E-2</v>
      </c>
      <c r="K6" s="26">
        <f>'03 - 2020'!H9-'03 - 2020'!H8+'03 - 2020'!I9-'03 - 2020'!I8</f>
        <v>92</v>
      </c>
      <c r="L6" s="26">
        <f>'03 - 2020'!I9-'03 - 2020'!I8+'03 - 2020'!J9-'03 - 2020'!J8</f>
        <v>11500</v>
      </c>
      <c r="M6" s="25">
        <v>4.393629424766913</v>
      </c>
      <c r="N6" s="51">
        <v>52</v>
      </c>
    </row>
    <row r="7" spans="1:15" x14ac:dyDescent="0.25">
      <c r="A7" t="s">
        <v>27</v>
      </c>
      <c r="B7">
        <f t="shared" si="0"/>
        <v>6</v>
      </c>
      <c r="C7" s="24">
        <v>3</v>
      </c>
      <c r="D7" s="24">
        <v>2020</v>
      </c>
      <c r="E7" s="26">
        <v>0</v>
      </c>
      <c r="F7" s="24">
        <v>0.11799999999999999</v>
      </c>
      <c r="G7" s="26">
        <v>0</v>
      </c>
      <c r="H7" s="24">
        <v>0.99</v>
      </c>
      <c r="I7" s="26">
        <v>0</v>
      </c>
      <c r="J7" s="24">
        <v>8.1000000000000003E-2</v>
      </c>
      <c r="K7" s="26">
        <v>0</v>
      </c>
      <c r="L7" s="26">
        <v>0</v>
      </c>
      <c r="M7" s="25">
        <v>4.393629424766913</v>
      </c>
      <c r="N7" s="51"/>
    </row>
    <row r="8" spans="1:15" x14ac:dyDescent="0.25">
      <c r="A8" t="s">
        <v>27</v>
      </c>
      <c r="B8">
        <f t="shared" si="0"/>
        <v>7</v>
      </c>
      <c r="C8" s="24">
        <v>3</v>
      </c>
      <c r="D8" s="24">
        <v>2020</v>
      </c>
      <c r="E8" s="26">
        <f>'03 - 2020'!B11-'03 - 2020'!B10+'03 - 2020'!C11-'03 - 2020'!C10</f>
        <v>0</v>
      </c>
      <c r="F8" s="24">
        <v>0.11799999999999999</v>
      </c>
      <c r="G8" s="26">
        <f>'03 - 2020'!D11-'03 - 2020'!D10+'03 - 2020'!E11-'03 - 2020'!E10</f>
        <v>0</v>
      </c>
      <c r="H8" s="24">
        <v>0.99</v>
      </c>
      <c r="I8" s="26">
        <f>'03 - 2020'!F11-'03 - 2020'!F10+'03 - 2020'!G11-'03 - 2020'!G10</f>
        <v>0</v>
      </c>
      <c r="J8" s="24">
        <v>8.1000000000000003E-2</v>
      </c>
      <c r="K8" s="26">
        <f>'03 - 2020'!H11-'03 - 2020'!H10+'03 - 2020'!I11-'03 - 2020'!I10</f>
        <v>0</v>
      </c>
      <c r="L8" s="26">
        <f>'03 - 2020'!I11-'03 - 2020'!I10+'03 - 2020'!J11-'03 - 2020'!J10</f>
        <v>0</v>
      </c>
      <c r="M8" s="25">
        <v>4.393629424766913</v>
      </c>
      <c r="N8" s="51"/>
      <c r="O8" s="26"/>
    </row>
    <row r="9" spans="1:15" x14ac:dyDescent="0.25">
      <c r="A9" t="s">
        <v>27</v>
      </c>
      <c r="B9">
        <f t="shared" si="0"/>
        <v>8</v>
      </c>
      <c r="C9" s="24">
        <v>3</v>
      </c>
      <c r="D9" s="24">
        <v>2020</v>
      </c>
      <c r="E9" s="26">
        <f>'03 - 2020'!B12-'03 - 2020'!B11+'03 - 2020'!C12-'03 - 2020'!C11</f>
        <v>0</v>
      </c>
      <c r="F9" s="24">
        <v>0.11799999999999999</v>
      </c>
      <c r="G9" s="26">
        <f>'03 - 2020'!D12-'03 - 2020'!D11+'03 - 2020'!E12-'03 - 2020'!E11</f>
        <v>0</v>
      </c>
      <c r="H9" s="24">
        <v>0.99</v>
      </c>
      <c r="I9" s="26">
        <f>'03 - 2020'!F12-'03 - 2020'!F11+'03 - 2020'!G12-'03 - 2020'!G11</f>
        <v>0</v>
      </c>
      <c r="J9" s="24">
        <v>8.1000000000000003E-2</v>
      </c>
      <c r="K9" s="26">
        <f>'03 - 2020'!H12-'03 - 2020'!H11+'03 - 2020'!I12-'03 - 2020'!I11</f>
        <v>0</v>
      </c>
      <c r="L9" s="26">
        <f>'03 - 2020'!I12-'03 - 2020'!I11+'03 - 2020'!J12-'03 - 2020'!J11</f>
        <v>0</v>
      </c>
      <c r="M9" s="25">
        <v>4.393629424766913</v>
      </c>
      <c r="N9" s="51"/>
    </row>
    <row r="10" spans="1:15" x14ac:dyDescent="0.25">
      <c r="A10" t="s">
        <v>27</v>
      </c>
      <c r="B10">
        <f t="shared" si="0"/>
        <v>9</v>
      </c>
      <c r="C10" s="24">
        <v>3</v>
      </c>
      <c r="D10" s="24">
        <v>2020</v>
      </c>
      <c r="E10" s="26">
        <f>'03 - 2020'!B13-'03 - 2020'!B12+'03 - 2020'!C13-'03 - 2020'!C12</f>
        <v>0</v>
      </c>
      <c r="F10" s="24">
        <v>0.11799999999999999</v>
      </c>
      <c r="G10" s="26">
        <f>'03 - 2020'!D13-'03 - 2020'!D12+'03 - 2020'!E13-'03 - 2020'!E12</f>
        <v>0</v>
      </c>
      <c r="H10" s="24">
        <v>0.99</v>
      </c>
      <c r="I10" s="26">
        <f>'03 - 2020'!F13-'03 - 2020'!F12+'03 - 2020'!G13-'03 - 2020'!G12</f>
        <v>0</v>
      </c>
      <c r="J10" s="24">
        <v>8.1000000000000003E-2</v>
      </c>
      <c r="K10" s="26">
        <f>'03 - 2020'!H13-'03 - 2020'!H12+'03 - 2020'!I13-'03 - 2020'!I12</f>
        <v>0</v>
      </c>
      <c r="L10" s="26">
        <f>'03 - 2020'!I13-'03 - 2020'!I12+'03 - 2020'!J13-'03 - 2020'!J12</f>
        <v>0</v>
      </c>
      <c r="M10" s="25">
        <v>4.393629424766913</v>
      </c>
      <c r="N10" s="51"/>
    </row>
    <row r="11" spans="1:15" x14ac:dyDescent="0.25">
      <c r="A11" t="s">
        <v>27</v>
      </c>
      <c r="B11">
        <f t="shared" si="0"/>
        <v>10</v>
      </c>
      <c r="C11" s="24">
        <v>3</v>
      </c>
      <c r="D11" s="24">
        <v>2020</v>
      </c>
      <c r="E11" s="26">
        <f>'03 - 2020'!B14-'03 - 2020'!B13+'03 - 2020'!C14-'03 - 2020'!C13</f>
        <v>0</v>
      </c>
      <c r="F11" s="24">
        <v>0.11799999999999999</v>
      </c>
      <c r="G11" s="26">
        <f>'03 - 2020'!D14-'03 - 2020'!D13+'03 - 2020'!E14-'03 - 2020'!E13</f>
        <v>0</v>
      </c>
      <c r="H11" s="24">
        <v>0.99</v>
      </c>
      <c r="I11" s="26">
        <f>'03 - 2020'!F14-'03 - 2020'!F13+'03 - 2020'!G14-'03 - 2020'!G13</f>
        <v>0</v>
      </c>
      <c r="J11" s="24">
        <v>8.1000000000000003E-2</v>
      </c>
      <c r="K11" s="26">
        <f>'03 - 2020'!H14-'03 - 2020'!H13+'03 - 2020'!I14-'03 - 2020'!I13</f>
        <v>0</v>
      </c>
      <c r="L11" s="26">
        <f>'03 - 2020'!I14-'03 - 2020'!I13+'03 - 2020'!J14-'03 - 2020'!J13</f>
        <v>0</v>
      </c>
      <c r="M11" s="25">
        <v>4.393629424766913</v>
      </c>
      <c r="N11" s="51"/>
    </row>
    <row r="12" spans="1:15" x14ac:dyDescent="0.25">
      <c r="A12" t="s">
        <v>27</v>
      </c>
      <c r="B12">
        <f t="shared" si="0"/>
        <v>11</v>
      </c>
      <c r="C12" s="24">
        <v>3</v>
      </c>
      <c r="D12" s="24">
        <v>2020</v>
      </c>
      <c r="E12" s="26">
        <f>'03 - 2020'!B15-'03 - 2020'!B14+'03 - 2020'!C15-'03 - 2020'!C14</f>
        <v>0</v>
      </c>
      <c r="F12" s="24">
        <v>0.11799999999999999</v>
      </c>
      <c r="G12" s="26">
        <f>'03 - 2020'!D15-'03 - 2020'!D14+'03 - 2020'!E15-'03 - 2020'!E14</f>
        <v>0</v>
      </c>
      <c r="H12" s="24">
        <v>0.99</v>
      </c>
      <c r="I12" s="26">
        <f>'03 - 2020'!F15-'03 - 2020'!F14+'03 - 2020'!G15-'03 - 2020'!G14</f>
        <v>0</v>
      </c>
      <c r="J12" s="24">
        <v>8.1000000000000003E-2</v>
      </c>
      <c r="K12" s="26">
        <f>'03 - 2020'!H15-'03 - 2020'!H14+'03 - 2020'!I15-'03 - 2020'!I14</f>
        <v>0</v>
      </c>
      <c r="L12" s="26">
        <f>'03 - 2020'!I15-'03 - 2020'!I14+'03 - 2020'!J15-'03 - 2020'!J14</f>
        <v>0</v>
      </c>
      <c r="M12" s="25">
        <v>4.393629424766913</v>
      </c>
      <c r="N12" s="52"/>
    </row>
    <row r="13" spans="1:15" x14ac:dyDescent="0.25">
      <c r="A13" t="s">
        <v>27</v>
      </c>
      <c r="B13">
        <f t="shared" si="0"/>
        <v>12</v>
      </c>
      <c r="C13" s="24">
        <v>3</v>
      </c>
      <c r="D13" s="24">
        <v>2020</v>
      </c>
      <c r="E13" s="26">
        <f>'03 - 2020'!B16-'03 - 2020'!B15+'03 - 2020'!C16-'03 - 2020'!C15</f>
        <v>0</v>
      </c>
      <c r="F13" s="24">
        <v>0.11799999999999999</v>
      </c>
      <c r="G13" s="26">
        <f>'03 - 2020'!D16-'03 - 2020'!D15+'03 - 2020'!E16-'03 - 2020'!E15</f>
        <v>0</v>
      </c>
      <c r="H13" s="24">
        <v>0.99</v>
      </c>
      <c r="I13" s="26">
        <f>'03 - 2020'!F16-'03 - 2020'!F15+'03 - 2020'!G16-'03 - 2020'!G15</f>
        <v>0</v>
      </c>
      <c r="J13" s="24">
        <v>8.1000000000000003E-2</v>
      </c>
      <c r="K13" s="26">
        <f>'03 - 2020'!H16-'03 - 2020'!H15+'03 - 2020'!I16-'03 - 2020'!I15</f>
        <v>0</v>
      </c>
      <c r="L13" s="26">
        <f>'03 - 2020'!I16-'03 - 2020'!I15+'03 - 2020'!J16-'03 - 2020'!J15</f>
        <v>0</v>
      </c>
      <c r="M13" s="25">
        <v>4.393629424766913</v>
      </c>
      <c r="N13" s="52"/>
    </row>
    <row r="14" spans="1:15" x14ac:dyDescent="0.25">
      <c r="A14" t="s">
        <v>27</v>
      </c>
      <c r="B14">
        <f t="shared" si="0"/>
        <v>13</v>
      </c>
      <c r="C14" s="24">
        <v>3</v>
      </c>
      <c r="D14" s="24">
        <v>2020</v>
      </c>
      <c r="E14" s="26">
        <f>'03 - 2020'!B17-'03 - 2020'!B16+'03 - 2020'!C17-'03 - 2020'!C16</f>
        <v>0</v>
      </c>
      <c r="F14" s="24">
        <v>0.11799999999999999</v>
      </c>
      <c r="G14" s="26">
        <f>'03 - 2020'!D17-'03 - 2020'!D16+'03 - 2020'!E17-'03 - 2020'!E16</f>
        <v>0</v>
      </c>
      <c r="H14" s="24">
        <v>0.99</v>
      </c>
      <c r="I14" s="26">
        <f>'03 - 2020'!F17-'03 - 2020'!F16+'03 - 2020'!G17-'03 - 2020'!G16</f>
        <v>0</v>
      </c>
      <c r="J14" s="24">
        <v>8.1000000000000003E-2</v>
      </c>
      <c r="K14" s="26">
        <f>'03 - 2020'!H17-'03 - 2020'!H16+'03 - 2020'!I17-'03 - 2020'!I16</f>
        <v>0</v>
      </c>
      <c r="L14" s="26">
        <f>'03 - 2020'!I17-'03 - 2020'!I16+'03 - 2020'!J17-'03 - 2020'!J16</f>
        <v>0</v>
      </c>
      <c r="M14" s="25">
        <v>4.393629424766913</v>
      </c>
      <c r="N14" s="52"/>
      <c r="O14" s="26"/>
    </row>
    <row r="15" spans="1:15" x14ac:dyDescent="0.25">
      <c r="A15" t="s">
        <v>27</v>
      </c>
      <c r="B15">
        <f t="shared" si="0"/>
        <v>14</v>
      </c>
      <c r="C15" s="24">
        <v>3</v>
      </c>
      <c r="D15" s="24">
        <v>2020</v>
      </c>
      <c r="E15" s="26">
        <f>'03 - 2020'!B18-'03 - 2020'!B17+'03 - 2020'!C18-'03 - 2020'!C17</f>
        <v>0</v>
      </c>
      <c r="F15" s="24">
        <v>0.11799999999999999</v>
      </c>
      <c r="G15" s="26">
        <f>'03 - 2020'!D18-'03 - 2020'!D17+'03 - 2020'!E18-'03 - 2020'!E17</f>
        <v>0</v>
      </c>
      <c r="H15" s="24">
        <v>0.99</v>
      </c>
      <c r="I15" s="26">
        <f>'03 - 2020'!F18-'03 - 2020'!F17+'03 - 2020'!G18-'03 - 2020'!G17</f>
        <v>0</v>
      </c>
      <c r="J15" s="24">
        <v>8.1000000000000003E-2</v>
      </c>
      <c r="K15" s="26">
        <f>'03 - 2020'!H18-'03 - 2020'!H17+'03 - 2020'!I18-'03 - 2020'!I17</f>
        <v>0</v>
      </c>
      <c r="L15" s="26">
        <f>'03 - 2020'!I18-'03 - 2020'!I17+'03 - 2020'!J18-'03 - 2020'!J17</f>
        <v>0</v>
      </c>
      <c r="M15" s="25">
        <v>4.393629424766913</v>
      </c>
      <c r="N15" s="52"/>
    </row>
    <row r="16" spans="1:15" x14ac:dyDescent="0.25">
      <c r="A16" t="s">
        <v>27</v>
      </c>
      <c r="B16">
        <f t="shared" si="0"/>
        <v>15</v>
      </c>
      <c r="C16" s="24">
        <v>3</v>
      </c>
      <c r="D16" s="24">
        <v>2020</v>
      </c>
      <c r="E16" s="26">
        <f>'03 - 2020'!B19-'03 - 2020'!B18+'03 - 2020'!C19-'03 - 2020'!C18</f>
        <v>0</v>
      </c>
      <c r="F16" s="24">
        <v>0.11799999999999999</v>
      </c>
      <c r="G16" s="26">
        <f>'03 - 2020'!D19-'03 - 2020'!D18+'03 - 2020'!E19-'03 - 2020'!E18</f>
        <v>0</v>
      </c>
      <c r="H16" s="24">
        <v>0.99</v>
      </c>
      <c r="I16" s="26">
        <f>'03 - 2020'!F19-'03 - 2020'!F18+'03 - 2020'!G19-'03 - 2020'!G18</f>
        <v>0</v>
      </c>
      <c r="J16" s="24">
        <v>8.1000000000000003E-2</v>
      </c>
      <c r="K16" s="26">
        <f>'03 - 2020'!H19-'03 - 2020'!H18+'03 - 2020'!I19-'03 - 2020'!I18</f>
        <v>0</v>
      </c>
      <c r="L16" s="26">
        <f>'03 - 2020'!I19-'03 - 2020'!I18+'03 - 2020'!J19-'03 - 2020'!J18</f>
        <v>0</v>
      </c>
      <c r="M16" s="25">
        <v>4.393629424766913</v>
      </c>
      <c r="N16" s="52"/>
    </row>
    <row r="17" spans="1:16" x14ac:dyDescent="0.25">
      <c r="A17" t="s">
        <v>27</v>
      </c>
      <c r="B17">
        <f t="shared" si="0"/>
        <v>16</v>
      </c>
      <c r="C17" s="24">
        <v>3</v>
      </c>
      <c r="D17" s="24">
        <v>2020</v>
      </c>
      <c r="E17" s="26">
        <f>'03 - 2020'!B20-'03 - 2020'!B19+'03 - 2020'!C20-'03 - 2020'!C19</f>
        <v>0</v>
      </c>
      <c r="F17" s="24">
        <v>0.11799999999999999</v>
      </c>
      <c r="G17" s="26">
        <f>'03 - 2020'!D20-'03 - 2020'!D19+'03 - 2020'!E20-'03 - 2020'!E19</f>
        <v>0</v>
      </c>
      <c r="H17" s="24">
        <v>0.99</v>
      </c>
      <c r="I17" s="26">
        <f>'03 - 2020'!F20-'03 - 2020'!F19+'03 - 2020'!G20-'03 - 2020'!G19</f>
        <v>0</v>
      </c>
      <c r="J17" s="24">
        <v>8.1000000000000003E-2</v>
      </c>
      <c r="K17" s="26">
        <f>'03 - 2020'!H20-'03 - 2020'!H19+'03 - 2020'!I20-'03 - 2020'!I19</f>
        <v>0</v>
      </c>
      <c r="L17" s="26">
        <f>'03 - 2020'!I20-'03 - 2020'!I19+'03 - 2020'!J20-'03 - 2020'!J19</f>
        <v>0</v>
      </c>
      <c r="M17" s="25">
        <v>4.393629424766913</v>
      </c>
      <c r="N17" s="52"/>
    </row>
    <row r="18" spans="1:16" x14ac:dyDescent="0.25">
      <c r="A18" t="s">
        <v>27</v>
      </c>
      <c r="B18">
        <f t="shared" si="0"/>
        <v>17</v>
      </c>
      <c r="C18" s="24">
        <v>3</v>
      </c>
      <c r="D18" s="24">
        <v>2020</v>
      </c>
      <c r="E18" s="26">
        <f>'03 - 2020'!B21-'03 - 2020'!B20+'03 - 2020'!C21-'03 - 2020'!C20</f>
        <v>0</v>
      </c>
      <c r="F18" s="24">
        <v>0.11799999999999999</v>
      </c>
      <c r="G18" s="26">
        <f>'03 - 2020'!D21-'03 - 2020'!D20+'03 - 2020'!E21-'03 - 2020'!E20</f>
        <v>0</v>
      </c>
      <c r="H18" s="24">
        <v>0.99</v>
      </c>
      <c r="I18" s="26">
        <f>'03 - 2020'!F21-'03 - 2020'!F20+'03 - 2020'!G21-'03 - 2020'!G20</f>
        <v>0</v>
      </c>
      <c r="J18" s="24">
        <v>8.1000000000000003E-2</v>
      </c>
      <c r="K18" s="26">
        <f>'03 - 2020'!H21-'03 - 2020'!H20+'03 - 2020'!I21-'03 - 2020'!I20</f>
        <v>0</v>
      </c>
      <c r="L18" s="26">
        <f>'03 - 2020'!I21-'03 - 2020'!I20+'03 - 2020'!J21-'03 - 2020'!J20</f>
        <v>0</v>
      </c>
      <c r="M18" s="25">
        <v>4.393629424766913</v>
      </c>
      <c r="N18" s="52"/>
    </row>
    <row r="19" spans="1:16" x14ac:dyDescent="0.25">
      <c r="A19" t="s">
        <v>27</v>
      </c>
      <c r="B19">
        <f>B18+1</f>
        <v>18</v>
      </c>
      <c r="C19" s="24">
        <v>3</v>
      </c>
      <c r="D19" s="24">
        <v>2020</v>
      </c>
      <c r="E19" s="26">
        <f>'03 - 2020'!B22-'03 - 2020'!B21+'03 - 2020'!C22-'03 - 2020'!C21</f>
        <v>0</v>
      </c>
      <c r="F19" s="24">
        <v>0.11799999999999999</v>
      </c>
      <c r="G19" s="26">
        <f>'03 - 2020'!D22-'03 - 2020'!D21+'03 - 2020'!E22-'03 - 2020'!E21</f>
        <v>0</v>
      </c>
      <c r="H19" s="24">
        <v>0.99</v>
      </c>
      <c r="I19" s="26">
        <f>'03 - 2020'!F22-'03 - 2020'!F21+'03 - 2020'!G22-'03 - 2020'!G21</f>
        <v>0</v>
      </c>
      <c r="J19" s="24">
        <v>8.1000000000000003E-2</v>
      </c>
      <c r="K19" s="26">
        <f>'03 - 2020'!H22-'03 - 2020'!H21+'03 - 2020'!I22-'03 - 2020'!I21</f>
        <v>0</v>
      </c>
      <c r="L19" s="26">
        <f>'03 - 2020'!I22-'03 - 2020'!I21+'03 - 2020'!J22-'03 - 2020'!J21</f>
        <v>0</v>
      </c>
      <c r="M19" s="25">
        <v>4.393629424766913</v>
      </c>
      <c r="N19" s="52"/>
    </row>
    <row r="20" spans="1:16" x14ac:dyDescent="0.25">
      <c r="A20" t="s">
        <v>27</v>
      </c>
      <c r="B20">
        <f t="shared" si="0"/>
        <v>19</v>
      </c>
      <c r="C20" s="24">
        <v>3</v>
      </c>
      <c r="D20" s="24">
        <v>2020</v>
      </c>
      <c r="E20" s="26">
        <f>'03 - 2020'!B23-'03 - 2020'!B22+'03 - 2020'!C23-'03 - 2020'!C22</f>
        <v>0</v>
      </c>
      <c r="F20" s="24">
        <v>0.11799999999999999</v>
      </c>
      <c r="G20" s="26">
        <f>'03 - 2020'!D23-'03 - 2020'!D22+'03 - 2020'!E23-'03 - 2020'!E22</f>
        <v>0</v>
      </c>
      <c r="H20" s="24">
        <v>0.99</v>
      </c>
      <c r="I20" s="26">
        <f>'03 - 2020'!F23-'03 - 2020'!F22+'03 - 2020'!G23-'03 - 2020'!G22</f>
        <v>0</v>
      </c>
      <c r="J20" s="24">
        <v>8.1000000000000003E-2</v>
      </c>
      <c r="K20" s="26">
        <f>'03 - 2020'!H23-'03 - 2020'!H22+'03 - 2020'!I23-'03 - 2020'!I22</f>
        <v>0</v>
      </c>
      <c r="L20" s="26">
        <f>'03 - 2020'!I23-'03 - 2020'!I22+'03 - 2020'!J23-'03 - 2020'!J22</f>
        <v>0</v>
      </c>
      <c r="M20" s="25">
        <v>4.393629424766913</v>
      </c>
      <c r="N20" s="52"/>
    </row>
    <row r="21" spans="1:16" x14ac:dyDescent="0.25">
      <c r="A21" t="s">
        <v>27</v>
      </c>
      <c r="B21">
        <f t="shared" si="0"/>
        <v>20</v>
      </c>
      <c r="C21" s="24">
        <v>3</v>
      </c>
      <c r="D21" s="24">
        <v>2020</v>
      </c>
      <c r="E21" s="26">
        <f>'03 - 2020'!B24-'03 - 2020'!B23+'03 - 2020'!C24-'03 - 2020'!C23</f>
        <v>0</v>
      </c>
      <c r="F21" s="24">
        <v>0.11799999999999999</v>
      </c>
      <c r="G21" s="26">
        <f>'03 - 2020'!D24-'03 - 2020'!D23+'03 - 2020'!E24-'03 - 2020'!E23</f>
        <v>0</v>
      </c>
      <c r="H21" s="24">
        <v>0.99</v>
      </c>
      <c r="I21" s="26">
        <f>'03 - 2020'!F24-'03 - 2020'!F23+'03 - 2020'!G24-'03 - 2020'!G23</f>
        <v>0</v>
      </c>
      <c r="J21" s="24">
        <v>8.1000000000000003E-2</v>
      </c>
      <c r="K21" s="26">
        <f>'03 - 2020'!H24-'03 - 2020'!H23+'03 - 2020'!I24-'03 - 2020'!I23</f>
        <v>0</v>
      </c>
      <c r="L21" s="26">
        <f>'03 - 2020'!I24-'03 - 2020'!I23+'03 - 2020'!J24-'03 - 2020'!J23</f>
        <v>0</v>
      </c>
      <c r="M21" s="25">
        <v>4.393629424766913</v>
      </c>
      <c r="N21" s="52"/>
    </row>
    <row r="22" spans="1:16" x14ac:dyDescent="0.25">
      <c r="A22" t="s">
        <v>27</v>
      </c>
      <c r="B22">
        <f t="shared" si="0"/>
        <v>21</v>
      </c>
      <c r="C22" s="24">
        <v>3</v>
      </c>
      <c r="D22" s="24">
        <v>2020</v>
      </c>
      <c r="E22" s="26">
        <f>'03 - 2020'!B25-'03 - 2020'!B24+'03 - 2020'!C25-'03 - 2020'!C24</f>
        <v>0</v>
      </c>
      <c r="F22" s="24">
        <v>0.11799999999999999</v>
      </c>
      <c r="G22" s="26">
        <f>'03 - 2020'!D25-'03 - 2020'!D24+'03 - 2020'!E25-'03 - 2020'!E24</f>
        <v>0</v>
      </c>
      <c r="H22" s="24">
        <v>0.99</v>
      </c>
      <c r="I22" s="26">
        <f>'03 - 2020'!F25-'03 - 2020'!F24+'03 - 2020'!G25-'03 - 2020'!G24</f>
        <v>0</v>
      </c>
      <c r="J22" s="24">
        <v>8.1000000000000003E-2</v>
      </c>
      <c r="K22" s="26">
        <f>'03 - 2020'!H25-'03 - 2020'!H24+'03 - 2020'!I25-'03 - 2020'!I24</f>
        <v>0</v>
      </c>
      <c r="L22" s="26">
        <f>'03 - 2020'!I25-'03 - 2020'!I24+'03 - 2020'!J25-'03 - 2020'!J24</f>
        <v>0</v>
      </c>
      <c r="M22" s="25">
        <v>4.393629424766913</v>
      </c>
      <c r="N22" s="52"/>
    </row>
    <row r="23" spans="1:16" x14ac:dyDescent="0.25">
      <c r="A23" t="s">
        <v>27</v>
      </c>
      <c r="B23">
        <f t="shared" si="0"/>
        <v>22</v>
      </c>
      <c r="C23" s="24">
        <v>3</v>
      </c>
      <c r="D23" s="24">
        <v>2020</v>
      </c>
      <c r="E23" s="26">
        <f>'03 - 2020'!B26-'03 - 2020'!B25+'03 - 2020'!C26-'03 - 2020'!C25</f>
        <v>0</v>
      </c>
      <c r="F23" s="24">
        <v>0.11799999999999999</v>
      </c>
      <c r="G23" s="26">
        <f>'03 - 2020'!D26-'03 - 2020'!D25+'03 - 2020'!E26-'03 - 2020'!E25</f>
        <v>0</v>
      </c>
      <c r="H23" s="24">
        <v>0.99</v>
      </c>
      <c r="I23" s="26">
        <f>'03 - 2020'!F26-'03 - 2020'!F25+'03 - 2020'!G26-'03 - 2020'!G25</f>
        <v>0</v>
      </c>
      <c r="J23" s="24">
        <v>8.1000000000000003E-2</v>
      </c>
      <c r="K23" s="26">
        <f>'03 - 2020'!H26-'03 - 2020'!H25+'03 - 2020'!I26-'03 - 2020'!I25</f>
        <v>0</v>
      </c>
      <c r="L23" s="26">
        <f>'03 - 2020'!I26-'03 - 2020'!I25+'03 - 2020'!J26-'03 - 2020'!J25</f>
        <v>0</v>
      </c>
      <c r="M23" s="25">
        <v>4.393629424766913</v>
      </c>
      <c r="N23" s="52"/>
    </row>
    <row r="24" spans="1:16" x14ac:dyDescent="0.25">
      <c r="A24" t="s">
        <v>27</v>
      </c>
      <c r="B24">
        <f t="shared" si="0"/>
        <v>23</v>
      </c>
      <c r="C24" s="24">
        <v>3</v>
      </c>
      <c r="D24" s="24">
        <v>2020</v>
      </c>
      <c r="E24" s="26">
        <f>'03 - 2020'!B27-'03 - 2020'!B26+'03 - 2020'!C27-'03 - 2020'!C26</f>
        <v>0</v>
      </c>
      <c r="F24" s="24">
        <v>0.11799999999999999</v>
      </c>
      <c r="G24" s="26">
        <f>'03 - 2020'!D27-'03 - 2020'!D26+'03 - 2020'!E27-'03 - 2020'!E26</f>
        <v>0</v>
      </c>
      <c r="H24" s="24">
        <v>0.99</v>
      </c>
      <c r="I24" s="26">
        <f>'03 - 2020'!F27-'03 - 2020'!F26+'03 - 2020'!G27-'03 - 2020'!G26</f>
        <v>0</v>
      </c>
      <c r="J24" s="24">
        <v>8.1000000000000003E-2</v>
      </c>
      <c r="K24" s="26">
        <f>'03 - 2020'!H27-'03 - 2020'!H26+'03 - 2020'!I27-'03 - 2020'!I26</f>
        <v>0</v>
      </c>
      <c r="L24" s="26">
        <f>'03 - 2020'!I27-'03 - 2020'!I26+'03 - 2020'!J27-'03 - 2020'!J26</f>
        <v>0</v>
      </c>
      <c r="M24" s="25">
        <v>4.393629424766913</v>
      </c>
      <c r="N24" s="52"/>
    </row>
    <row r="25" spans="1:16" x14ac:dyDescent="0.25">
      <c r="A25" t="s">
        <v>27</v>
      </c>
      <c r="B25">
        <f t="shared" si="0"/>
        <v>24</v>
      </c>
      <c r="C25" s="24">
        <v>3</v>
      </c>
      <c r="D25" s="24">
        <v>2020</v>
      </c>
      <c r="E25" s="26">
        <f>'03 - 2020'!B28-'03 - 2020'!B27+'03 - 2020'!C28-'03 - 2020'!C27</f>
        <v>0</v>
      </c>
      <c r="F25" s="24">
        <v>0.11799999999999999</v>
      </c>
      <c r="G25" s="26">
        <f>'03 - 2020'!D28-'03 - 2020'!D27+'03 - 2020'!E28-'03 - 2020'!E27</f>
        <v>0</v>
      </c>
      <c r="H25" s="24">
        <v>0.99</v>
      </c>
      <c r="I25" s="26">
        <f>'03 - 2020'!F28-'03 - 2020'!F27+'03 - 2020'!G28-'03 - 2020'!G27</f>
        <v>0</v>
      </c>
      <c r="J25" s="24">
        <v>8.1000000000000003E-2</v>
      </c>
      <c r="K25" s="26">
        <f>'03 - 2020'!H28-'03 - 2020'!H27+'03 - 2020'!I28-'03 - 2020'!I27</f>
        <v>0</v>
      </c>
      <c r="L25" s="26">
        <f>'03 - 2020'!I28-'03 - 2020'!I27+'03 - 2020'!J28-'03 - 2020'!J27</f>
        <v>0</v>
      </c>
      <c r="M25" s="25">
        <v>4.393629424766913</v>
      </c>
      <c r="N25" s="52"/>
      <c r="P25" s="14"/>
    </row>
    <row r="26" spans="1:16" x14ac:dyDescent="0.25">
      <c r="A26" t="s">
        <v>27</v>
      </c>
      <c r="B26">
        <f>B25+1</f>
        <v>25</v>
      </c>
      <c r="C26" s="24">
        <v>3</v>
      </c>
      <c r="D26" s="24">
        <v>2020</v>
      </c>
      <c r="E26" s="26">
        <f>'03 - 2020'!B29-'03 - 2020'!B28+'03 - 2020'!C29-'03 - 2020'!C28</f>
        <v>0</v>
      </c>
      <c r="F26" s="24">
        <v>0.11799999999999999</v>
      </c>
      <c r="G26" s="26">
        <f>'03 - 2020'!D29-'03 - 2020'!D28+'03 - 2020'!E29-'03 - 2020'!E28</f>
        <v>0</v>
      </c>
      <c r="H26" s="24">
        <v>0.99</v>
      </c>
      <c r="I26" s="26">
        <f>'03 - 2020'!F29-'03 - 2020'!F28+'03 - 2020'!G29-'03 - 2020'!G28</f>
        <v>0</v>
      </c>
      <c r="J26" s="24">
        <v>8.1000000000000003E-2</v>
      </c>
      <c r="K26" s="26">
        <f>'03 - 2020'!H29-'03 - 2020'!H28+'03 - 2020'!I29-'03 - 2020'!I28</f>
        <v>0</v>
      </c>
      <c r="L26" s="26">
        <f>'03 - 2020'!I29-'03 - 2020'!I28+'03 - 2020'!J29-'03 - 2020'!J28</f>
        <v>0</v>
      </c>
      <c r="M26" s="25">
        <v>4.393629424766913</v>
      </c>
      <c r="N26" s="52"/>
    </row>
    <row r="27" spans="1:16" x14ac:dyDescent="0.25">
      <c r="A27" t="s">
        <v>27</v>
      </c>
      <c r="B27">
        <f t="shared" si="0"/>
        <v>26</v>
      </c>
      <c r="C27" s="24">
        <v>3</v>
      </c>
      <c r="D27" s="24">
        <v>2020</v>
      </c>
      <c r="E27" s="26">
        <f>'03 - 2020'!B30-'03 - 2020'!B29+'03 - 2020'!C30-'03 - 2020'!C29</f>
        <v>0</v>
      </c>
      <c r="F27" s="24">
        <v>0.11799999999999999</v>
      </c>
      <c r="G27" s="26">
        <f>'03 - 2020'!D30-'03 - 2020'!D29+'03 - 2020'!E30-'03 - 2020'!E29</f>
        <v>0</v>
      </c>
      <c r="H27" s="24">
        <v>0.99</v>
      </c>
      <c r="I27" s="26">
        <f>'03 - 2020'!F30-'03 - 2020'!F29+'03 - 2020'!G30-'03 - 2020'!G29</f>
        <v>0</v>
      </c>
      <c r="J27" s="24">
        <v>8.1000000000000003E-2</v>
      </c>
      <c r="K27" s="26">
        <f>'03 - 2020'!H30-'03 - 2020'!H29+'03 - 2020'!I30-'03 - 2020'!I29</f>
        <v>0</v>
      </c>
      <c r="L27" s="26">
        <f>'03 - 2020'!I30-'03 - 2020'!I29+'03 - 2020'!J30-'03 - 2020'!J29</f>
        <v>0</v>
      </c>
      <c r="M27" s="25">
        <v>4.393629424766913</v>
      </c>
      <c r="N27" s="52"/>
    </row>
    <row r="28" spans="1:16" x14ac:dyDescent="0.25">
      <c r="A28" t="s">
        <v>27</v>
      </c>
      <c r="B28">
        <f t="shared" si="0"/>
        <v>27</v>
      </c>
      <c r="C28" s="24">
        <v>3</v>
      </c>
      <c r="D28" s="24">
        <v>2020</v>
      </c>
      <c r="E28" s="26">
        <f>'03 - 2020'!B31-'03 - 2020'!B30+'03 - 2020'!C31-'03 - 2020'!C30</f>
        <v>0</v>
      </c>
      <c r="F28" s="24">
        <v>0.11799999999999999</v>
      </c>
      <c r="G28" s="26">
        <f>'03 - 2020'!D31-'03 - 2020'!D30+'03 - 2020'!E31-'03 - 2020'!E30</f>
        <v>0</v>
      </c>
      <c r="H28" s="24">
        <v>0.99</v>
      </c>
      <c r="I28" s="26">
        <f>'03 - 2020'!F31-'03 - 2020'!F30+'03 - 2020'!G31-'03 - 2020'!G30</f>
        <v>0</v>
      </c>
      <c r="J28" s="24">
        <v>8.1000000000000003E-2</v>
      </c>
      <c r="K28" s="26">
        <f>'03 - 2020'!H31-'03 - 2020'!H30+'03 - 2020'!I31-'03 - 2020'!I30</f>
        <v>0</v>
      </c>
      <c r="L28" s="26">
        <f>'03 - 2020'!I31-'03 - 2020'!I30+'03 - 2020'!J31-'03 - 2020'!J30</f>
        <v>0</v>
      </c>
      <c r="M28" s="25">
        <v>4.393629424766913</v>
      </c>
      <c r="N28" s="52"/>
    </row>
    <row r="29" spans="1:16" x14ac:dyDescent="0.25">
      <c r="A29" t="s">
        <v>27</v>
      </c>
      <c r="B29">
        <f t="shared" si="0"/>
        <v>28</v>
      </c>
      <c r="C29" s="24">
        <v>3</v>
      </c>
      <c r="D29" s="24">
        <v>2020</v>
      </c>
      <c r="E29" s="26">
        <f>'03 - 2020'!B32-'03 - 2020'!B31+'03 - 2020'!C32-'03 - 2020'!C31</f>
        <v>0</v>
      </c>
      <c r="F29" s="24">
        <v>0.11799999999999999</v>
      </c>
      <c r="G29" s="26">
        <f>'03 - 2020'!D32-'03 - 2020'!D31+'03 - 2020'!E32-'03 - 2020'!E31</f>
        <v>0</v>
      </c>
      <c r="H29" s="24">
        <v>0.99</v>
      </c>
      <c r="I29" s="26">
        <f>'03 - 2020'!F32-'03 - 2020'!F31+'03 - 2020'!G32-'03 - 2020'!G31</f>
        <v>0</v>
      </c>
      <c r="J29" s="24">
        <v>8.1000000000000003E-2</v>
      </c>
      <c r="K29" s="26">
        <f>'03 - 2020'!H32-'03 - 2020'!H31+'03 - 2020'!I32-'03 - 2020'!I31</f>
        <v>0</v>
      </c>
      <c r="L29" s="26">
        <f>'03 - 2020'!I32-'03 - 2020'!I31+'03 - 2020'!J32-'03 - 2020'!J31</f>
        <v>0</v>
      </c>
      <c r="M29" s="25">
        <v>4.393629424766913</v>
      </c>
      <c r="N29" s="52"/>
    </row>
    <row r="30" spans="1:16" x14ac:dyDescent="0.25">
      <c r="A30" t="s">
        <v>27</v>
      </c>
      <c r="B30">
        <f t="shared" si="0"/>
        <v>29</v>
      </c>
      <c r="C30" s="24">
        <v>3</v>
      </c>
      <c r="D30" s="24">
        <v>2020</v>
      </c>
      <c r="E30" s="26">
        <f>'03 - 2020'!B33-'03 - 2020'!B32+'03 - 2020'!C33-'03 - 2020'!C32</f>
        <v>0</v>
      </c>
      <c r="F30" s="24">
        <v>0.11799999999999999</v>
      </c>
      <c r="G30" s="26">
        <f>'03 - 2020'!D33-'03 - 2020'!D32+'03 - 2020'!E33-'03 - 2020'!E32</f>
        <v>0</v>
      </c>
      <c r="H30" s="24">
        <v>0.99</v>
      </c>
      <c r="I30" s="26">
        <f>'03 - 2020'!F33-'03 - 2020'!F32+'03 - 2020'!G33-'03 - 2020'!G32</f>
        <v>0</v>
      </c>
      <c r="J30" s="24">
        <v>8.1000000000000003E-2</v>
      </c>
      <c r="K30" s="26">
        <f>'03 - 2020'!H33-'03 - 2020'!H32+'03 - 2020'!I33-'03 - 2020'!I32</f>
        <v>0</v>
      </c>
      <c r="L30" s="26">
        <f>'03 - 2020'!I33-'03 - 2020'!I32+'03 - 2020'!J33-'03 - 2020'!J32</f>
        <v>0</v>
      </c>
      <c r="M30" s="25">
        <v>4.393629424766913</v>
      </c>
      <c r="N30" s="52"/>
    </row>
    <row r="31" spans="1:16" x14ac:dyDescent="0.25">
      <c r="A31" s="24" t="s">
        <v>27</v>
      </c>
      <c r="B31" s="24">
        <f t="shared" si="0"/>
        <v>30</v>
      </c>
      <c r="C31" s="24">
        <v>3</v>
      </c>
      <c r="D31" s="24">
        <v>2020</v>
      </c>
      <c r="E31" s="26">
        <f>'03 - 2020'!B34-'03 - 2020'!B33+'03 - 2020'!C34-'03 - 2020'!C33</f>
        <v>0</v>
      </c>
      <c r="F31" s="24">
        <v>0.11799999999999999</v>
      </c>
      <c r="G31" s="26">
        <f>'03 - 2020'!D34-'03 - 2020'!D33+'03 - 2020'!E34-'03 - 2020'!E33</f>
        <v>0</v>
      </c>
      <c r="H31" s="24">
        <v>0.99</v>
      </c>
      <c r="I31" s="26">
        <f>'03 - 2020'!F34-'03 - 2020'!F33+'03 - 2020'!G34-'03 - 2020'!G33</f>
        <v>0</v>
      </c>
      <c r="J31" s="24">
        <v>8.1000000000000003E-2</v>
      </c>
      <c r="K31" s="26">
        <f>'03 - 2020'!H34-'03 - 2020'!H33+'03 - 2020'!I34-'03 - 2020'!I33</f>
        <v>0</v>
      </c>
      <c r="L31" s="26">
        <f>'03 - 2020'!I34-'03 - 2020'!I33+'03 - 2020'!J34-'03 - 2020'!J33</f>
        <v>0</v>
      </c>
      <c r="M31" s="25">
        <v>4.393629424766913</v>
      </c>
      <c r="N31" s="52"/>
    </row>
    <row r="32" spans="1:16" x14ac:dyDescent="0.25">
      <c r="A32" s="24" t="s">
        <v>27</v>
      </c>
      <c r="B32" s="24">
        <f t="shared" si="0"/>
        <v>31</v>
      </c>
      <c r="C32" s="24">
        <v>3</v>
      </c>
      <c r="D32" s="24">
        <v>2020</v>
      </c>
      <c r="E32" s="26">
        <f>'03 - 2020'!B35-'03 - 2020'!B34+'03 - 2020'!C35-'03 - 2020'!C34</f>
        <v>0</v>
      </c>
      <c r="F32" s="24">
        <v>0.11799999999999999</v>
      </c>
      <c r="G32" s="26">
        <f>'03 - 2020'!D35-'03 - 2020'!D34+'03 - 2020'!E35-'03 - 2020'!E34</f>
        <v>0</v>
      </c>
      <c r="H32" s="24">
        <v>0.99</v>
      </c>
      <c r="I32" s="26">
        <f>'03 - 2020'!F35-'03 - 2020'!F34+'03 - 2020'!G35-'03 - 2020'!G34</f>
        <v>0</v>
      </c>
      <c r="J32" s="24">
        <v>8.1000000000000003E-2</v>
      </c>
      <c r="K32" s="26">
        <f>'03 - 2020'!H35-'03 - 2020'!H34+'03 - 2020'!I35-'03 - 2020'!I34</f>
        <v>0</v>
      </c>
      <c r="L32" s="26">
        <f>'03 - 2020'!I35-'03 - 2020'!I34+'03 - 2020'!J35-'03 - 2020'!J34</f>
        <v>0</v>
      </c>
      <c r="M32" s="25">
        <v>4.393629424766913</v>
      </c>
      <c r="N32" s="5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7" sqref="K7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3</v>
      </c>
      <c r="D2">
        <v>2020</v>
      </c>
      <c r="E2" s="26">
        <f>'03 - 2020'!B5-'03 - 2020'!B4</f>
        <v>3783</v>
      </c>
      <c r="F2" s="26">
        <f>'03 - 2020'!C5-'03 - 2020'!C4</f>
        <v>5907</v>
      </c>
      <c r="G2" s="24">
        <v>0.11799999999999999</v>
      </c>
      <c r="H2" s="26">
        <f>'03 - 2020'!E5-'03 - 2020'!E4</f>
        <v>24.040000000000873</v>
      </c>
      <c r="I2" s="26">
        <f>'03 - 2020'!F5-'03 - 2020'!F4</f>
        <v>5.4300000000000637</v>
      </c>
      <c r="J2" s="26">
        <f>'03 - 2020'!G5-'03 - 2020'!G4</f>
        <v>33.520000000000437</v>
      </c>
      <c r="K2" s="24">
        <v>0.74</v>
      </c>
      <c r="L2" s="51">
        <v>38</v>
      </c>
      <c r="M2" s="12"/>
    </row>
    <row r="3" spans="1:13" x14ac:dyDescent="0.25">
      <c r="A3" t="s">
        <v>27</v>
      </c>
      <c r="B3">
        <f>B2+1</f>
        <v>2</v>
      </c>
      <c r="C3" s="24">
        <v>3</v>
      </c>
      <c r="D3" s="24">
        <v>2020</v>
      </c>
      <c r="E3" s="26">
        <f>'03 - 2020'!B6-'03 - 2020'!B5</f>
        <v>3561</v>
      </c>
      <c r="F3" s="26">
        <f>'03 - 2020'!C6-'03 - 2020'!C5</f>
        <v>5707</v>
      </c>
      <c r="G3" s="24">
        <v>0.11799999999999999</v>
      </c>
      <c r="H3" s="26">
        <f>'03 - 2020'!E6-'03 - 2020'!E5</f>
        <v>22.43999999999869</v>
      </c>
      <c r="I3" s="26">
        <f>'03 - 2020'!F6-'03 - 2020'!F5</f>
        <v>5.4199999999998454</v>
      </c>
      <c r="J3" s="26">
        <f>'03 - 2020'!G6-'03 - 2020'!G5</f>
        <v>41.349999999998545</v>
      </c>
      <c r="K3" s="24">
        <v>0.74</v>
      </c>
      <c r="L3" s="51">
        <v>48</v>
      </c>
      <c r="M3" s="12"/>
    </row>
    <row r="4" spans="1:13" x14ac:dyDescent="0.25">
      <c r="A4" t="s">
        <v>27</v>
      </c>
      <c r="B4">
        <f t="shared" ref="B4:B32" si="0">B3+1</f>
        <v>3</v>
      </c>
      <c r="C4" s="24">
        <v>3</v>
      </c>
      <c r="D4" s="24">
        <v>2020</v>
      </c>
      <c r="E4" s="26">
        <f>'03 - 2020'!B7-'03 - 2020'!B6</f>
        <v>3507</v>
      </c>
      <c r="F4" s="26">
        <f>'03 - 2020'!C7-'03 - 2020'!C6</f>
        <v>5687</v>
      </c>
      <c r="G4" s="24">
        <v>0.11799999999999999</v>
      </c>
      <c r="H4" s="26">
        <f>'03 - 2020'!E7-'03 - 2020'!E6</f>
        <v>23.5</v>
      </c>
      <c r="I4" s="26">
        <f>'03 - 2020'!F7-'03 - 2020'!F6</f>
        <v>5.8400000000001455</v>
      </c>
      <c r="J4" s="26">
        <f>'03 - 2020'!G7-'03 - 2020'!G6</f>
        <v>34.790000000000873</v>
      </c>
      <c r="K4" s="24">
        <v>0.74</v>
      </c>
      <c r="L4" s="51">
        <v>50</v>
      </c>
      <c r="M4" s="12"/>
    </row>
    <row r="5" spans="1:13" x14ac:dyDescent="0.25">
      <c r="A5" t="s">
        <v>27</v>
      </c>
      <c r="B5">
        <f t="shared" si="0"/>
        <v>4</v>
      </c>
      <c r="C5" s="24">
        <v>3</v>
      </c>
      <c r="D5" s="24">
        <v>2020</v>
      </c>
      <c r="E5" s="26">
        <f>'03 - 2020'!B8-'03 - 2020'!B7</f>
        <v>3236</v>
      </c>
      <c r="F5" s="26">
        <f>'03 - 2020'!C8-'03 - 2020'!C7</f>
        <v>5617</v>
      </c>
      <c r="G5" s="24">
        <v>0.11799999999999999</v>
      </c>
      <c r="H5" s="26">
        <f>'03 - 2020'!E8-'03 - 2020'!E7</f>
        <v>24.659999999999854</v>
      </c>
      <c r="I5" s="26">
        <f>'03 - 2020'!F8-'03 - 2020'!F7</f>
        <v>5.3199999999999363</v>
      </c>
      <c r="J5" s="26">
        <f>'03 - 2020'!G8-'03 - 2020'!G7</f>
        <v>37.880000000001019</v>
      </c>
      <c r="K5" s="24">
        <v>0.74</v>
      </c>
      <c r="L5" s="51">
        <v>61</v>
      </c>
      <c r="M5" s="12"/>
    </row>
    <row r="6" spans="1:13" x14ac:dyDescent="0.25">
      <c r="A6" t="s">
        <v>27</v>
      </c>
      <c r="B6">
        <f t="shared" si="0"/>
        <v>5</v>
      </c>
      <c r="C6" s="24">
        <v>3</v>
      </c>
      <c r="D6" s="24">
        <v>2020</v>
      </c>
      <c r="E6" s="26">
        <f>'03 - 2020'!B9-'03 - 2020'!B8</f>
        <v>3641</v>
      </c>
      <c r="F6" s="26">
        <f>'03 - 2020'!C9-'03 - 2020'!C8</f>
        <v>5520</v>
      </c>
      <c r="G6" s="24">
        <v>0.11799999999999999</v>
      </c>
      <c r="H6" s="26">
        <f>'03 - 2020'!E9-'03 - 2020'!E8</f>
        <v>21.470000000001164</v>
      </c>
      <c r="I6" s="26">
        <f>'03 - 2020'!F9-'03 - 2020'!F8</f>
        <v>4.8299999999999272</v>
      </c>
      <c r="J6" s="26">
        <f>'03 - 2020'!G9-'03 - 2020'!G8</f>
        <v>36.099999999998545</v>
      </c>
      <c r="K6" s="24">
        <v>0.74</v>
      </c>
      <c r="L6" s="51">
        <v>52</v>
      </c>
      <c r="M6" s="13"/>
    </row>
    <row r="7" spans="1:13" x14ac:dyDescent="0.25">
      <c r="A7" t="s">
        <v>27</v>
      </c>
      <c r="B7">
        <f t="shared" si="0"/>
        <v>6</v>
      </c>
      <c r="C7" s="24">
        <v>3</v>
      </c>
      <c r="D7" s="24">
        <v>2020</v>
      </c>
      <c r="E7" s="26">
        <v>0</v>
      </c>
      <c r="F7" s="26">
        <v>0</v>
      </c>
      <c r="G7" s="24">
        <v>0.11799999999999999</v>
      </c>
      <c r="H7" s="26">
        <v>0</v>
      </c>
      <c r="I7" s="26">
        <v>0</v>
      </c>
      <c r="J7" s="26">
        <v>0</v>
      </c>
      <c r="K7" s="24">
        <v>0.74</v>
      </c>
      <c r="L7" s="51"/>
      <c r="M7" s="13"/>
    </row>
    <row r="8" spans="1:13" x14ac:dyDescent="0.25">
      <c r="A8" t="s">
        <v>27</v>
      </c>
      <c r="B8">
        <f t="shared" si="0"/>
        <v>7</v>
      </c>
      <c r="C8" s="24">
        <v>3</v>
      </c>
      <c r="D8" s="24">
        <v>2020</v>
      </c>
      <c r="E8" s="26">
        <f>'03 - 2020'!B11-'03 - 2020'!B10</f>
        <v>0</v>
      </c>
      <c r="F8" s="26">
        <f>'03 - 2020'!C11-'03 - 2020'!C10</f>
        <v>0</v>
      </c>
      <c r="G8" s="24">
        <v>0.11799999999999999</v>
      </c>
      <c r="H8" s="26">
        <f>'03 - 2020'!E11-'03 - 2020'!E10</f>
        <v>0</v>
      </c>
      <c r="I8" s="26">
        <f>'03 - 2020'!F11-'03 - 2020'!F10</f>
        <v>0</v>
      </c>
      <c r="J8" s="26">
        <f>'03 - 2020'!G11-'03 - 2020'!G10</f>
        <v>0</v>
      </c>
      <c r="K8" s="24">
        <v>0.74</v>
      </c>
      <c r="L8" s="51"/>
      <c r="M8" s="13"/>
    </row>
    <row r="9" spans="1:13" x14ac:dyDescent="0.25">
      <c r="A9" t="s">
        <v>27</v>
      </c>
      <c r="B9">
        <f t="shared" si="0"/>
        <v>8</v>
      </c>
      <c r="C9" s="24">
        <v>3</v>
      </c>
      <c r="D9" s="24">
        <v>2020</v>
      </c>
      <c r="E9" s="26">
        <f>'03 - 2020'!B12-'03 - 2020'!B11</f>
        <v>0</v>
      </c>
      <c r="F9" s="26">
        <f>'03 - 2020'!C12-'03 - 2020'!C11</f>
        <v>0</v>
      </c>
      <c r="G9" s="24">
        <v>0.11799999999999999</v>
      </c>
      <c r="H9" s="26">
        <f>'03 - 2020'!E12-'03 - 2020'!E11</f>
        <v>0</v>
      </c>
      <c r="I9" s="26">
        <f>'03 - 2020'!F12-'03 - 2020'!F11</f>
        <v>0</v>
      </c>
      <c r="J9" s="26">
        <f>'03 - 2020'!G12-'03 - 2020'!G11</f>
        <v>0</v>
      </c>
      <c r="K9" s="24">
        <v>0.74</v>
      </c>
      <c r="L9" s="51"/>
      <c r="M9" s="13"/>
    </row>
    <row r="10" spans="1:13" x14ac:dyDescent="0.25">
      <c r="A10" t="s">
        <v>27</v>
      </c>
      <c r="B10">
        <f t="shared" si="0"/>
        <v>9</v>
      </c>
      <c r="C10" s="24">
        <v>3</v>
      </c>
      <c r="D10" s="24">
        <v>2020</v>
      </c>
      <c r="E10" s="26">
        <f>'03 - 2020'!B13-'03 - 2020'!B12</f>
        <v>0</v>
      </c>
      <c r="F10" s="26">
        <f>'03 - 2020'!C13-'03 - 2020'!C12</f>
        <v>0</v>
      </c>
      <c r="G10" s="24">
        <v>0.11799999999999999</v>
      </c>
      <c r="H10" s="26">
        <f>'03 - 2020'!E13-'03 - 2020'!E12</f>
        <v>0</v>
      </c>
      <c r="I10" s="26">
        <f>'03 - 2020'!F13-'03 - 2020'!F12</f>
        <v>0</v>
      </c>
      <c r="J10" s="26">
        <f>'03 - 2020'!G13-'03 - 2020'!G12</f>
        <v>0</v>
      </c>
      <c r="K10" s="24">
        <v>0.74</v>
      </c>
      <c r="L10" s="51"/>
      <c r="M10" s="13"/>
    </row>
    <row r="11" spans="1:13" x14ac:dyDescent="0.25">
      <c r="A11" t="s">
        <v>27</v>
      </c>
      <c r="B11">
        <f t="shared" si="0"/>
        <v>10</v>
      </c>
      <c r="C11" s="24">
        <v>3</v>
      </c>
      <c r="D11" s="24">
        <v>2020</v>
      </c>
      <c r="E11" s="26">
        <f>'03 - 2020'!B14-'03 - 2020'!B13</f>
        <v>0</v>
      </c>
      <c r="F11" s="26">
        <f>'03 - 2020'!C14-'03 - 2020'!C13</f>
        <v>0</v>
      </c>
      <c r="G11" s="24">
        <v>0.11799999999999999</v>
      </c>
      <c r="H11" s="26">
        <f>'03 - 2020'!E14-'03 - 2020'!E13</f>
        <v>0</v>
      </c>
      <c r="I11" s="26">
        <f>'03 - 2020'!F14-'03 - 2020'!F13</f>
        <v>0</v>
      </c>
      <c r="J11" s="26">
        <f>'03 - 2020'!G14-'03 - 2020'!G13</f>
        <v>0</v>
      </c>
      <c r="K11" s="24">
        <v>0.74</v>
      </c>
      <c r="L11" s="51"/>
      <c r="M11" s="13"/>
    </row>
    <row r="12" spans="1:13" x14ac:dyDescent="0.25">
      <c r="A12" t="s">
        <v>27</v>
      </c>
      <c r="B12">
        <f t="shared" si="0"/>
        <v>11</v>
      </c>
      <c r="C12" s="24">
        <v>3</v>
      </c>
      <c r="D12" s="24">
        <v>2020</v>
      </c>
      <c r="E12" s="26">
        <f>'03 - 2020'!B15-'03 - 2020'!B14</f>
        <v>0</v>
      </c>
      <c r="F12" s="26">
        <f>'03 - 2020'!C15-'03 - 2020'!C14</f>
        <v>0</v>
      </c>
      <c r="G12" s="24">
        <v>0.11799999999999999</v>
      </c>
      <c r="H12" s="26">
        <f>'03 - 2020'!E15-'03 - 2020'!E14</f>
        <v>0</v>
      </c>
      <c r="I12" s="26">
        <f>'03 - 2020'!F15-'03 - 2020'!F14</f>
        <v>0</v>
      </c>
      <c r="J12" s="26">
        <f>'03 - 2020'!G15-'03 - 2020'!G14</f>
        <v>0</v>
      </c>
      <c r="K12" s="24">
        <v>0.74</v>
      </c>
      <c r="L12" s="26"/>
      <c r="M12" s="13"/>
    </row>
    <row r="13" spans="1:13" x14ac:dyDescent="0.25">
      <c r="A13" t="s">
        <v>27</v>
      </c>
      <c r="B13">
        <f t="shared" si="0"/>
        <v>12</v>
      </c>
      <c r="C13" s="24">
        <v>3</v>
      </c>
      <c r="D13" s="24">
        <v>2020</v>
      </c>
      <c r="E13" s="26">
        <f>'03 - 2020'!B16-'03 - 2020'!B15</f>
        <v>0</v>
      </c>
      <c r="F13" s="26">
        <f>'03 - 2020'!C16-'03 - 2020'!C15</f>
        <v>0</v>
      </c>
      <c r="G13" s="24">
        <v>0.11799999999999999</v>
      </c>
      <c r="H13" s="26">
        <f>'03 - 2020'!E16-'03 - 2020'!E15</f>
        <v>0</v>
      </c>
      <c r="I13" s="26">
        <f>'03 - 2020'!F16-'03 - 2020'!F15</f>
        <v>0</v>
      </c>
      <c r="J13" s="26">
        <f>'03 - 2020'!G16-'03 - 2020'!G15</f>
        <v>0</v>
      </c>
      <c r="K13" s="24">
        <v>0.74</v>
      </c>
      <c r="L13" s="26"/>
      <c r="M13" s="13"/>
    </row>
    <row r="14" spans="1:13" x14ac:dyDescent="0.25">
      <c r="A14" t="s">
        <v>27</v>
      </c>
      <c r="B14">
        <f t="shared" si="0"/>
        <v>13</v>
      </c>
      <c r="C14" s="24">
        <v>3</v>
      </c>
      <c r="D14" s="24">
        <v>2020</v>
      </c>
      <c r="E14" s="26">
        <f>'03 - 2020'!B17-'03 - 2020'!B16</f>
        <v>0</v>
      </c>
      <c r="F14" s="26">
        <f>'03 - 2020'!C17-'03 - 2020'!C16</f>
        <v>0</v>
      </c>
      <c r="G14" s="24">
        <v>0.11799999999999999</v>
      </c>
      <c r="H14" s="26">
        <f>'03 - 2020'!E17-'03 - 2020'!E16</f>
        <v>0</v>
      </c>
      <c r="I14" s="26">
        <f>'03 - 2020'!F17-'03 - 2020'!F16</f>
        <v>0</v>
      </c>
      <c r="J14" s="26">
        <f>'03 - 2020'!G17-'03 - 2020'!G16</f>
        <v>0</v>
      </c>
      <c r="K14" s="24">
        <v>0.74</v>
      </c>
      <c r="L14" s="6"/>
      <c r="M14" s="13"/>
    </row>
    <row r="15" spans="1:13" x14ac:dyDescent="0.25">
      <c r="A15" t="s">
        <v>27</v>
      </c>
      <c r="B15">
        <f t="shared" si="0"/>
        <v>14</v>
      </c>
      <c r="C15" s="24">
        <v>3</v>
      </c>
      <c r="D15" s="24">
        <v>2020</v>
      </c>
      <c r="E15" s="26">
        <f>'03 - 2020'!B18-'03 - 2020'!B17</f>
        <v>0</v>
      </c>
      <c r="F15" s="26">
        <f>'03 - 2020'!C18-'03 - 2020'!C17</f>
        <v>0</v>
      </c>
      <c r="G15" s="24">
        <v>0.11799999999999999</v>
      </c>
      <c r="H15" s="26">
        <f>'03 - 2020'!E18-'03 - 2020'!E17</f>
        <v>0</v>
      </c>
      <c r="I15" s="26">
        <f>'03 - 2020'!F18-'03 - 2020'!F17</f>
        <v>0</v>
      </c>
      <c r="J15" s="26">
        <f>'03 - 2020'!G18-'03 - 2020'!G17</f>
        <v>0</v>
      </c>
      <c r="K15" s="24">
        <v>0.74</v>
      </c>
      <c r="L15" s="6"/>
      <c r="M15" s="13"/>
    </row>
    <row r="16" spans="1:13" x14ac:dyDescent="0.25">
      <c r="A16" t="s">
        <v>27</v>
      </c>
      <c r="B16">
        <f t="shared" si="0"/>
        <v>15</v>
      </c>
      <c r="C16" s="24">
        <v>3</v>
      </c>
      <c r="D16" s="24">
        <v>2020</v>
      </c>
      <c r="E16" s="26">
        <f>'03 - 2020'!B19-'03 - 2020'!B18</f>
        <v>0</v>
      </c>
      <c r="F16" s="26">
        <f>'03 - 2020'!C19-'03 - 2020'!C18</f>
        <v>0</v>
      </c>
      <c r="G16" s="24">
        <v>0.11799999999999999</v>
      </c>
      <c r="H16" s="26">
        <f>'03 - 2020'!E19-'03 - 2020'!E18</f>
        <v>0</v>
      </c>
      <c r="I16" s="26">
        <f>'03 - 2020'!F19-'03 - 2020'!F18</f>
        <v>0</v>
      </c>
      <c r="J16" s="26">
        <f>'03 - 2020'!G19-'03 - 2020'!G18</f>
        <v>0</v>
      </c>
      <c r="K16" s="24">
        <v>0.74</v>
      </c>
      <c r="L16" s="26"/>
      <c r="M16" s="13"/>
    </row>
    <row r="17" spans="1:13" x14ac:dyDescent="0.25">
      <c r="A17" t="s">
        <v>27</v>
      </c>
      <c r="B17">
        <f t="shared" si="0"/>
        <v>16</v>
      </c>
      <c r="C17" s="24">
        <v>3</v>
      </c>
      <c r="D17" s="24">
        <v>2020</v>
      </c>
      <c r="E17" s="26">
        <f>'03 - 2020'!B20-'03 - 2020'!B19</f>
        <v>0</v>
      </c>
      <c r="F17" s="26">
        <f>'03 - 2020'!C20-'03 - 2020'!C19</f>
        <v>0</v>
      </c>
      <c r="G17" s="24">
        <v>0.11799999999999999</v>
      </c>
      <c r="H17" s="26">
        <f>'03 - 2020'!E20-'03 - 2020'!E19</f>
        <v>0</v>
      </c>
      <c r="I17" s="26">
        <f>'03 - 2020'!F20-'03 - 2020'!F19</f>
        <v>0</v>
      </c>
      <c r="J17" s="26">
        <f>'03 - 2020'!G20-'03 - 2020'!G19</f>
        <v>0</v>
      </c>
      <c r="K17" s="24">
        <v>0.74</v>
      </c>
      <c r="L17" s="26"/>
      <c r="M17" s="13"/>
    </row>
    <row r="18" spans="1:13" x14ac:dyDescent="0.25">
      <c r="A18" t="s">
        <v>27</v>
      </c>
      <c r="B18">
        <f t="shared" si="0"/>
        <v>17</v>
      </c>
      <c r="C18" s="24">
        <v>3</v>
      </c>
      <c r="D18" s="24">
        <v>2020</v>
      </c>
      <c r="E18" s="26">
        <f>'03 - 2020'!B21-'03 - 2020'!B20</f>
        <v>0</v>
      </c>
      <c r="F18" s="26">
        <f>'03 - 2020'!C21-'03 - 2020'!C20</f>
        <v>0</v>
      </c>
      <c r="G18" s="24">
        <v>0.11799999999999999</v>
      </c>
      <c r="H18" s="26">
        <f>'03 - 2020'!E21-'03 - 2020'!E20</f>
        <v>0</v>
      </c>
      <c r="I18" s="26">
        <f>'03 - 2020'!F21-'03 - 2020'!F20</f>
        <v>0</v>
      </c>
      <c r="J18" s="26">
        <f>'03 - 2020'!G21-'03 - 2020'!G20</f>
        <v>0</v>
      </c>
      <c r="K18" s="24">
        <v>0.74</v>
      </c>
      <c r="L18" s="26"/>
      <c r="M18" s="13"/>
    </row>
    <row r="19" spans="1:13" x14ac:dyDescent="0.25">
      <c r="A19" t="s">
        <v>27</v>
      </c>
      <c r="B19">
        <f>B18+1</f>
        <v>18</v>
      </c>
      <c r="C19" s="24">
        <v>3</v>
      </c>
      <c r="D19" s="24">
        <v>2020</v>
      </c>
      <c r="E19" s="26">
        <f>'03 - 2020'!B22-'03 - 2020'!B21</f>
        <v>0</v>
      </c>
      <c r="F19" s="26">
        <f>'03 - 2020'!C22-'03 - 2020'!C21</f>
        <v>0</v>
      </c>
      <c r="G19" s="24">
        <v>0.11799999999999999</v>
      </c>
      <c r="H19" s="26">
        <f>'03 - 2020'!E22-'03 - 2020'!E21</f>
        <v>0</v>
      </c>
      <c r="I19" s="26">
        <f>'03 - 2020'!F22-'03 - 2020'!F21</f>
        <v>0</v>
      </c>
      <c r="J19" s="26">
        <f>'03 - 2020'!G22-'03 - 2020'!G21</f>
        <v>0</v>
      </c>
      <c r="K19" s="24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4">
        <v>3</v>
      </c>
      <c r="D20" s="24">
        <v>2020</v>
      </c>
      <c r="E20" s="26">
        <f>'03 - 2020'!B23-'03 - 2020'!B22</f>
        <v>0</v>
      </c>
      <c r="F20" s="26">
        <f>'03 - 2020'!C23-'03 - 2020'!C22</f>
        <v>0</v>
      </c>
      <c r="G20" s="24">
        <v>0.11799999999999999</v>
      </c>
      <c r="H20" s="26">
        <f>'03 - 2020'!E23-'03 - 2020'!E22</f>
        <v>0</v>
      </c>
      <c r="I20" s="26">
        <f>'03 - 2020'!F23-'03 - 2020'!F22</f>
        <v>0</v>
      </c>
      <c r="J20" s="26">
        <f>'03 - 2020'!G23-'03 - 2020'!G22</f>
        <v>0</v>
      </c>
      <c r="K20" s="24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4">
        <v>3</v>
      </c>
      <c r="D21" s="24">
        <v>2020</v>
      </c>
      <c r="E21" s="26">
        <f>'03 - 2020'!B24-'03 - 2020'!B23</f>
        <v>0</v>
      </c>
      <c r="F21" s="26">
        <f>'03 - 2020'!C24-'03 - 2020'!C23</f>
        <v>0</v>
      </c>
      <c r="G21" s="24">
        <v>0.11799999999999999</v>
      </c>
      <c r="H21" s="26">
        <f>'03 - 2020'!E24-'03 - 2020'!E23</f>
        <v>0</v>
      </c>
      <c r="I21" s="26">
        <f>'03 - 2020'!F24-'03 - 2020'!F23</f>
        <v>0</v>
      </c>
      <c r="J21" s="26">
        <f>'03 - 2020'!G24-'03 - 2020'!G23</f>
        <v>0</v>
      </c>
      <c r="K21" s="24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4">
        <v>3</v>
      </c>
      <c r="D22" s="24">
        <v>2020</v>
      </c>
      <c r="E22" s="26">
        <f>'03 - 2020'!B25-'03 - 2020'!B24</f>
        <v>0</v>
      </c>
      <c r="F22" s="26">
        <f>'03 - 2020'!C25-'03 - 2020'!C24</f>
        <v>0</v>
      </c>
      <c r="G22" s="24">
        <v>0.11799999999999999</v>
      </c>
      <c r="H22" s="26">
        <f>'03 - 2020'!E25-'03 - 2020'!E24</f>
        <v>0</v>
      </c>
      <c r="I22" s="26">
        <f>'03 - 2020'!F25-'03 - 2020'!F24</f>
        <v>0</v>
      </c>
      <c r="J22" s="26">
        <f>'03 - 2020'!G25-'03 - 2020'!G24</f>
        <v>0</v>
      </c>
      <c r="K22" s="24">
        <v>0.74</v>
      </c>
      <c r="L22" s="26"/>
      <c r="M22" s="13"/>
    </row>
    <row r="23" spans="1:13" x14ac:dyDescent="0.25">
      <c r="A23" t="s">
        <v>27</v>
      </c>
      <c r="B23">
        <f t="shared" si="0"/>
        <v>22</v>
      </c>
      <c r="C23" s="24">
        <v>3</v>
      </c>
      <c r="D23" s="24">
        <v>2020</v>
      </c>
      <c r="E23" s="26">
        <f>'03 - 2020'!B26-'03 - 2020'!B25</f>
        <v>0</v>
      </c>
      <c r="F23" s="26">
        <f>'03 - 2020'!C26-'03 - 2020'!C25</f>
        <v>0</v>
      </c>
      <c r="G23" s="24">
        <v>0.11799999999999999</v>
      </c>
      <c r="H23" s="26">
        <f>'03 - 2020'!E26-'03 - 2020'!E25</f>
        <v>0</v>
      </c>
      <c r="I23" s="26">
        <f>'03 - 2020'!F26-'03 - 2020'!F25</f>
        <v>0</v>
      </c>
      <c r="J23" s="26">
        <f>'03 - 2020'!G26-'03 - 2020'!G25</f>
        <v>0</v>
      </c>
      <c r="K23" s="24">
        <v>0.74</v>
      </c>
      <c r="L23" s="26"/>
      <c r="M23" s="13"/>
    </row>
    <row r="24" spans="1:13" x14ac:dyDescent="0.25">
      <c r="A24" t="s">
        <v>27</v>
      </c>
      <c r="B24">
        <f t="shared" si="0"/>
        <v>23</v>
      </c>
      <c r="C24" s="24">
        <v>3</v>
      </c>
      <c r="D24" s="24">
        <v>2020</v>
      </c>
      <c r="E24" s="26">
        <f>'03 - 2020'!B27-'03 - 2020'!B26</f>
        <v>0</v>
      </c>
      <c r="F24" s="26">
        <f>'03 - 2020'!C27-'03 - 2020'!C26</f>
        <v>0</v>
      </c>
      <c r="G24" s="24">
        <v>0.11799999999999999</v>
      </c>
      <c r="H24" s="26">
        <f>'03 - 2020'!E27-'03 - 2020'!E26</f>
        <v>0</v>
      </c>
      <c r="I24" s="26">
        <f>'03 - 2020'!F27-'03 - 2020'!F26</f>
        <v>0</v>
      </c>
      <c r="J24" s="26">
        <f>'03 - 2020'!G27-'03 - 2020'!G26</f>
        <v>0</v>
      </c>
      <c r="K24" s="24">
        <v>0.74</v>
      </c>
      <c r="L24" s="26"/>
      <c r="M24" s="13"/>
    </row>
    <row r="25" spans="1:13" x14ac:dyDescent="0.25">
      <c r="A25" t="s">
        <v>27</v>
      </c>
      <c r="B25">
        <f t="shared" si="0"/>
        <v>24</v>
      </c>
      <c r="C25" s="24">
        <v>3</v>
      </c>
      <c r="D25" s="24">
        <v>2020</v>
      </c>
      <c r="E25" s="26">
        <f>'03 - 2020'!B28-'03 - 2020'!B27</f>
        <v>0</v>
      </c>
      <c r="F25" s="26">
        <f>'03 - 2020'!C28-'03 - 2020'!C27</f>
        <v>0</v>
      </c>
      <c r="G25" s="24">
        <v>0.11799999999999999</v>
      </c>
      <c r="H25" s="26">
        <f>'03 - 2020'!E28-'03 - 2020'!E27</f>
        <v>0</v>
      </c>
      <c r="I25" s="26">
        <f>'03 - 2020'!F28-'03 - 2020'!F27</f>
        <v>0</v>
      </c>
      <c r="J25" s="26">
        <f>'03 - 2020'!G28-'03 - 2020'!G27</f>
        <v>0</v>
      </c>
      <c r="K25" s="24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4">
        <v>3</v>
      </c>
      <c r="D26" s="24">
        <v>2020</v>
      </c>
      <c r="E26" s="26">
        <f>'03 - 2020'!B29-'03 - 2020'!B28</f>
        <v>0</v>
      </c>
      <c r="F26" s="26">
        <f>'03 - 2020'!C29-'03 - 2020'!C28</f>
        <v>0</v>
      </c>
      <c r="G26" s="24">
        <v>0.11799999999999999</v>
      </c>
      <c r="H26" s="26">
        <f>'03 - 2020'!E29-'03 - 2020'!E28</f>
        <v>0</v>
      </c>
      <c r="I26" s="26">
        <f>'03 - 2020'!F29-'03 - 2020'!F28</f>
        <v>0</v>
      </c>
      <c r="J26" s="26">
        <f>'03 - 2020'!G29-'03 - 2020'!G28</f>
        <v>0</v>
      </c>
      <c r="K26" s="24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4">
        <v>3</v>
      </c>
      <c r="D27" s="24">
        <v>2020</v>
      </c>
      <c r="E27" s="26">
        <f>'03 - 2020'!B30-'03 - 2020'!B29</f>
        <v>0</v>
      </c>
      <c r="F27" s="26">
        <f>'03 - 2020'!C30-'03 - 2020'!C29</f>
        <v>0</v>
      </c>
      <c r="G27" s="24">
        <v>0.11799999999999999</v>
      </c>
      <c r="H27" s="26">
        <f>'03 - 2020'!E30-'03 - 2020'!E29</f>
        <v>0</v>
      </c>
      <c r="I27" s="26">
        <f>'03 - 2020'!F30-'03 - 2020'!F29</f>
        <v>0</v>
      </c>
      <c r="J27" s="26">
        <f>'03 - 2020'!G30-'03 - 2020'!G29</f>
        <v>0</v>
      </c>
      <c r="K27" s="24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4">
        <v>3</v>
      </c>
      <c r="D28" s="24">
        <v>2020</v>
      </c>
      <c r="E28" s="26">
        <f>'03 - 2020'!B31-'03 - 2020'!B30</f>
        <v>0</v>
      </c>
      <c r="F28" s="26">
        <f>'03 - 2020'!C31-'03 - 2020'!C30</f>
        <v>0</v>
      </c>
      <c r="G28" s="24">
        <v>0.11799999999999999</v>
      </c>
      <c r="H28" s="26">
        <f>'03 - 2020'!E31-'03 - 2020'!E30</f>
        <v>0</v>
      </c>
      <c r="I28" s="26">
        <f>'03 - 2020'!F31-'03 - 2020'!F30</f>
        <v>0</v>
      </c>
      <c r="J28" s="26">
        <f>'03 - 2020'!G31-'03 - 2020'!G30</f>
        <v>0</v>
      </c>
      <c r="K28" s="24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4">
        <v>3</v>
      </c>
      <c r="D29" s="24">
        <v>2020</v>
      </c>
      <c r="E29" s="26">
        <f>'03 - 2020'!B32-'03 - 2020'!B31</f>
        <v>0</v>
      </c>
      <c r="F29" s="26">
        <f>'03 - 2020'!C32-'03 - 2020'!C31</f>
        <v>0</v>
      </c>
      <c r="G29" s="24">
        <v>0.11799999999999999</v>
      </c>
      <c r="H29" s="26">
        <f>'03 - 2020'!E32-'03 - 2020'!E31</f>
        <v>0</v>
      </c>
      <c r="I29" s="26">
        <f>'03 - 2020'!F32-'03 - 2020'!F31</f>
        <v>0</v>
      </c>
      <c r="J29" s="26">
        <f>'03 - 2020'!G32-'03 - 2020'!G31</f>
        <v>0</v>
      </c>
      <c r="K29" s="24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4">
        <v>3</v>
      </c>
      <c r="D30" s="24">
        <v>2020</v>
      </c>
      <c r="E30" s="26">
        <f>'03 - 2020'!B33-'03 - 2020'!B32</f>
        <v>0</v>
      </c>
      <c r="F30" s="26">
        <f>'03 - 2020'!C33-'03 - 2020'!C32</f>
        <v>0</v>
      </c>
      <c r="G30" s="24">
        <v>0.11799999999999999</v>
      </c>
      <c r="H30" s="26">
        <f>'03 - 2020'!E33-'03 - 2020'!E32</f>
        <v>0</v>
      </c>
      <c r="I30" s="26">
        <f>'03 - 2020'!F33-'03 - 2020'!F32</f>
        <v>0</v>
      </c>
      <c r="J30" s="26">
        <f>'03 - 2020'!G33-'03 - 2020'!G32</f>
        <v>0</v>
      </c>
      <c r="K30" s="24">
        <v>0.74</v>
      </c>
      <c r="L30" s="6"/>
    </row>
    <row r="31" spans="1:13" x14ac:dyDescent="0.25">
      <c r="A31" s="24" t="s">
        <v>27</v>
      </c>
      <c r="B31" s="24">
        <f t="shared" si="0"/>
        <v>30</v>
      </c>
      <c r="C31" s="24">
        <v>3</v>
      </c>
      <c r="D31" s="24">
        <v>2020</v>
      </c>
      <c r="E31" s="26">
        <f>'03 - 2020'!B34-'03 - 2020'!B33</f>
        <v>0</v>
      </c>
      <c r="F31" s="26">
        <f>'03 - 2020'!C34-'03 - 2020'!C33</f>
        <v>0</v>
      </c>
      <c r="G31" s="24">
        <v>0.11799999999999999</v>
      </c>
      <c r="H31" s="26">
        <f>'03 - 2020'!E34-'03 - 2020'!E33</f>
        <v>0</v>
      </c>
      <c r="I31" s="26">
        <f>'03 - 2020'!F34-'03 - 2020'!F33</f>
        <v>0</v>
      </c>
      <c r="J31" s="26">
        <f>'03 - 2020'!G34-'03 - 2020'!G33</f>
        <v>0</v>
      </c>
      <c r="K31" s="24">
        <v>0.74</v>
      </c>
      <c r="L31" s="26"/>
    </row>
    <row r="32" spans="1:13" x14ac:dyDescent="0.25">
      <c r="A32" s="24" t="s">
        <v>27</v>
      </c>
      <c r="B32" s="24">
        <f t="shared" si="0"/>
        <v>31</v>
      </c>
      <c r="C32" s="24">
        <v>3</v>
      </c>
      <c r="D32" s="24">
        <v>2020</v>
      </c>
      <c r="E32" s="26">
        <f>'03 - 2020'!B35-'03 - 2020'!B34</f>
        <v>0</v>
      </c>
      <c r="F32" s="26">
        <f>'03 - 2020'!C35-'03 - 2020'!C34</f>
        <v>0</v>
      </c>
      <c r="G32" s="24">
        <v>0.11799999999999999</v>
      </c>
      <c r="H32" s="26">
        <f>'03 - 2020'!E35-'03 - 2020'!E34</f>
        <v>0</v>
      </c>
      <c r="I32" s="26">
        <f>'03 - 2020'!F35-'03 - 2020'!F34</f>
        <v>0</v>
      </c>
      <c r="J32" s="26">
        <f>'03 - 2020'!G35-'03 - 2020'!G34</f>
        <v>0</v>
      </c>
      <c r="K32" s="24">
        <v>0.74</v>
      </c>
      <c r="L32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zoomScaleNormal="100" workbookViewId="0">
      <selection activeCell="B16" sqref="B16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6" ht="16.5" thickBot="1" x14ac:dyDescent="0.3">
      <c r="A1" s="62" t="s">
        <v>35</v>
      </c>
      <c r="B1" s="62"/>
      <c r="C1" s="62"/>
      <c r="D1" s="62"/>
      <c r="E1" s="62"/>
      <c r="F1" s="62"/>
      <c r="G1" s="62"/>
      <c r="H1" s="62"/>
      <c r="I1" s="62"/>
      <c r="J1" s="62"/>
      <c r="K1" s="24"/>
      <c r="L1" s="24"/>
    </row>
    <row r="2" spans="1:16" ht="16.5" thickBot="1" x14ac:dyDescent="0.3">
      <c r="A2" s="2"/>
      <c r="B2" s="63">
        <v>19</v>
      </c>
      <c r="C2" s="64"/>
      <c r="D2" s="63" t="s">
        <v>0</v>
      </c>
      <c r="E2" s="65"/>
      <c r="F2" s="65"/>
      <c r="G2" s="66"/>
      <c r="H2" s="67" t="s">
        <v>1</v>
      </c>
      <c r="I2" s="68"/>
      <c r="J2" s="30" t="s">
        <v>2</v>
      </c>
      <c r="K2" s="3"/>
      <c r="L2" s="24"/>
    </row>
    <row r="3" spans="1:16" ht="30" x14ac:dyDescent="0.25">
      <c r="A3" s="44" t="s">
        <v>3</v>
      </c>
      <c r="B3" s="45" t="s">
        <v>32</v>
      </c>
      <c r="C3" s="46" t="s">
        <v>33</v>
      </c>
      <c r="D3" s="46" t="s">
        <v>4</v>
      </c>
      <c r="E3" s="46" t="s">
        <v>5</v>
      </c>
      <c r="F3" s="46" t="s">
        <v>6</v>
      </c>
      <c r="G3" s="47" t="s">
        <v>7</v>
      </c>
      <c r="H3" s="46" t="s">
        <v>28</v>
      </c>
      <c r="I3" s="46" t="s">
        <v>29</v>
      </c>
      <c r="J3" s="46" t="s">
        <v>8</v>
      </c>
      <c r="K3" s="31" t="s">
        <v>30</v>
      </c>
      <c r="L3" s="32" t="s">
        <v>31</v>
      </c>
    </row>
    <row r="4" spans="1:16" x14ac:dyDescent="0.25">
      <c r="A4" s="55">
        <v>43890</v>
      </c>
      <c r="B4" s="56">
        <v>604675</v>
      </c>
      <c r="C4" s="61">
        <v>621646</v>
      </c>
      <c r="D4" s="57">
        <v>0.8</v>
      </c>
      <c r="E4" s="29">
        <v>10249.07</v>
      </c>
      <c r="F4" s="29">
        <v>1977.24</v>
      </c>
      <c r="G4" s="29">
        <v>17755</v>
      </c>
      <c r="H4" s="29">
        <v>14528</v>
      </c>
      <c r="I4" s="56">
        <v>90695</v>
      </c>
      <c r="J4" s="56">
        <v>37991508</v>
      </c>
      <c r="K4" s="58">
        <v>3950</v>
      </c>
      <c r="L4" s="59"/>
    </row>
    <row r="5" spans="1:16" s="60" customFormat="1" ht="12.75" customHeight="1" x14ac:dyDescent="0.25">
      <c r="A5" s="48">
        <v>43891</v>
      </c>
      <c r="B5" s="37">
        <v>608458</v>
      </c>
      <c r="C5" s="38">
        <v>627553</v>
      </c>
      <c r="D5" s="39">
        <v>0.74</v>
      </c>
      <c r="E5" s="40">
        <v>10273.11</v>
      </c>
      <c r="F5" s="40">
        <v>1982.67</v>
      </c>
      <c r="G5" s="40">
        <v>17788.52</v>
      </c>
      <c r="H5" s="41">
        <v>14528</v>
      </c>
      <c r="I5" s="41">
        <v>90800</v>
      </c>
      <c r="J5" s="41">
        <v>38005388</v>
      </c>
      <c r="K5" s="42"/>
      <c r="L5" s="43"/>
    </row>
    <row r="6" spans="1:16" ht="12.75" customHeight="1" x14ac:dyDescent="0.25">
      <c r="A6" s="48">
        <f>A5+1</f>
        <v>43892</v>
      </c>
      <c r="B6" s="27">
        <v>612019</v>
      </c>
      <c r="C6" s="19">
        <v>633260</v>
      </c>
      <c r="D6" s="16">
        <v>0.66</v>
      </c>
      <c r="E6" s="23">
        <v>10295.549999999999</v>
      </c>
      <c r="F6" s="23">
        <v>1988.09</v>
      </c>
      <c r="G6" s="23">
        <v>17829.87</v>
      </c>
      <c r="H6" s="19">
        <v>14528</v>
      </c>
      <c r="I6" s="15">
        <v>90885</v>
      </c>
      <c r="J6" s="15">
        <v>38018660</v>
      </c>
      <c r="K6" s="18"/>
      <c r="L6" s="33"/>
    </row>
    <row r="7" spans="1:16" ht="12.75" customHeight="1" x14ac:dyDescent="0.25">
      <c r="A7" s="48">
        <f t="shared" ref="A7:A35" si="0">A6+1</f>
        <v>43893</v>
      </c>
      <c r="B7" s="15">
        <v>615526</v>
      </c>
      <c r="C7" s="15">
        <v>638947</v>
      </c>
      <c r="D7" s="16">
        <v>0.6</v>
      </c>
      <c r="E7" s="23">
        <v>10319.049999999999</v>
      </c>
      <c r="F7" s="23">
        <v>1993.93</v>
      </c>
      <c r="G7" s="23">
        <v>17864.66</v>
      </c>
      <c r="H7" s="19">
        <v>14528</v>
      </c>
      <c r="I7" s="15">
        <v>90975</v>
      </c>
      <c r="J7" s="15">
        <v>38032768</v>
      </c>
      <c r="K7" s="18"/>
      <c r="L7" s="33"/>
    </row>
    <row r="8" spans="1:16" ht="12.75" customHeight="1" x14ac:dyDescent="0.25">
      <c r="A8" s="48">
        <f t="shared" si="0"/>
        <v>43894</v>
      </c>
      <c r="B8" s="15">
        <v>618762</v>
      </c>
      <c r="C8" s="15">
        <v>644564</v>
      </c>
      <c r="D8" s="16">
        <v>0.54</v>
      </c>
      <c r="E8" s="23">
        <v>10343.709999999999</v>
      </c>
      <c r="F8" s="23">
        <v>1999.25</v>
      </c>
      <c r="G8" s="23">
        <v>17902.54</v>
      </c>
      <c r="H8" s="19">
        <v>14528</v>
      </c>
      <c r="I8" s="15">
        <v>91068</v>
      </c>
      <c r="J8" s="15">
        <v>38045585</v>
      </c>
      <c r="K8" s="18"/>
      <c r="L8" s="33"/>
    </row>
    <row r="9" spans="1:16" ht="12.75" customHeight="1" x14ac:dyDescent="0.25">
      <c r="A9" s="48">
        <f t="shared" si="0"/>
        <v>43895</v>
      </c>
      <c r="B9" s="15">
        <v>622403</v>
      </c>
      <c r="C9" s="15">
        <v>650084</v>
      </c>
      <c r="D9" s="16">
        <v>0.48</v>
      </c>
      <c r="E9" s="23">
        <v>10365.18</v>
      </c>
      <c r="F9" s="23">
        <v>2004.08</v>
      </c>
      <c r="G9" s="23">
        <v>17938.64</v>
      </c>
      <c r="H9" s="15">
        <v>14528</v>
      </c>
      <c r="I9" s="15">
        <v>91160</v>
      </c>
      <c r="J9" s="15">
        <v>38056993</v>
      </c>
      <c r="K9" s="18"/>
      <c r="L9" s="33"/>
    </row>
    <row r="10" spans="1:16" ht="12.75" customHeight="1" x14ac:dyDescent="0.25">
      <c r="A10" s="48">
        <f t="shared" si="0"/>
        <v>43896</v>
      </c>
      <c r="B10" s="15"/>
      <c r="C10" s="15"/>
      <c r="D10" s="16"/>
      <c r="E10" s="23"/>
      <c r="F10" s="23"/>
      <c r="G10" s="23"/>
      <c r="H10" s="15"/>
      <c r="I10" s="17"/>
      <c r="J10" s="17"/>
      <c r="K10" s="18"/>
      <c r="L10" s="33"/>
    </row>
    <row r="11" spans="1:16" ht="12.75" customHeight="1" x14ac:dyDescent="0.25">
      <c r="A11" s="48">
        <f t="shared" si="0"/>
        <v>43897</v>
      </c>
      <c r="B11" s="15"/>
      <c r="C11" s="15"/>
      <c r="D11" s="16"/>
      <c r="E11" s="23"/>
      <c r="F11" s="23"/>
      <c r="G11" s="17"/>
      <c r="H11" s="15"/>
      <c r="I11" s="15"/>
      <c r="J11" s="15"/>
      <c r="K11" s="27"/>
      <c r="L11" s="33"/>
    </row>
    <row r="12" spans="1:16" ht="12.75" customHeight="1" x14ac:dyDescent="0.25">
      <c r="A12" s="48">
        <f t="shared" si="0"/>
        <v>43898</v>
      </c>
      <c r="B12" s="19"/>
      <c r="C12" s="15"/>
      <c r="D12" s="16"/>
      <c r="E12" s="23"/>
      <c r="F12" s="23"/>
      <c r="G12" s="17"/>
      <c r="H12" s="15"/>
      <c r="I12" s="15"/>
      <c r="J12" s="15"/>
      <c r="K12" s="18"/>
      <c r="L12" s="33"/>
      <c r="O12" s="26"/>
    </row>
    <row r="13" spans="1:16" ht="12.75" customHeight="1" x14ac:dyDescent="0.25">
      <c r="A13" s="48">
        <f t="shared" si="0"/>
        <v>43899</v>
      </c>
      <c r="B13" s="49"/>
      <c r="C13" s="15"/>
      <c r="D13" s="16"/>
      <c r="E13" s="23"/>
      <c r="F13" s="23"/>
      <c r="G13" s="17"/>
      <c r="H13" s="15"/>
      <c r="I13" s="15"/>
      <c r="J13" s="15"/>
      <c r="K13" s="18"/>
      <c r="L13" s="33"/>
      <c r="O13" s="26"/>
    </row>
    <row r="14" spans="1:16" ht="12.75" customHeight="1" x14ac:dyDescent="0.25">
      <c r="A14" s="48">
        <f t="shared" si="0"/>
        <v>43900</v>
      </c>
      <c r="B14" s="17"/>
      <c r="C14" s="17"/>
      <c r="D14" s="28"/>
      <c r="E14" s="23"/>
      <c r="F14" s="23"/>
      <c r="G14" s="17"/>
      <c r="H14" s="15"/>
      <c r="I14" s="17"/>
      <c r="J14" s="17"/>
      <c r="K14" s="18"/>
      <c r="L14" s="33"/>
    </row>
    <row r="15" spans="1:16" ht="12.75" customHeight="1" x14ac:dyDescent="0.25">
      <c r="A15" s="48">
        <f t="shared" si="0"/>
        <v>43901</v>
      </c>
      <c r="B15" s="15"/>
      <c r="C15" s="15"/>
      <c r="D15" s="16"/>
      <c r="E15" s="23"/>
      <c r="F15" s="23"/>
      <c r="G15" s="17"/>
      <c r="H15" s="15"/>
      <c r="I15" s="15"/>
      <c r="J15" s="15"/>
      <c r="K15" s="18"/>
      <c r="L15" s="33"/>
    </row>
    <row r="16" spans="1:16" ht="12.75" customHeight="1" x14ac:dyDescent="0.25">
      <c r="A16" s="48">
        <f t="shared" si="0"/>
        <v>43902</v>
      </c>
      <c r="B16" s="15"/>
      <c r="C16" s="15"/>
      <c r="D16" s="16"/>
      <c r="E16" s="23"/>
      <c r="F16" s="23"/>
      <c r="G16" s="17"/>
      <c r="H16" s="15"/>
      <c r="I16" s="15"/>
      <c r="J16" s="15"/>
      <c r="K16" s="18"/>
      <c r="L16" s="33"/>
      <c r="P16" s="26"/>
    </row>
    <row r="17" spans="1:16" ht="12.75" customHeight="1" x14ac:dyDescent="0.25">
      <c r="A17" s="48">
        <f t="shared" si="0"/>
        <v>43903</v>
      </c>
      <c r="B17" s="15"/>
      <c r="C17" s="15"/>
      <c r="D17" s="16"/>
      <c r="E17" s="23"/>
      <c r="F17" s="23"/>
      <c r="G17" s="17"/>
      <c r="H17" s="15"/>
      <c r="I17" s="15"/>
      <c r="J17" s="15"/>
      <c r="K17" s="18"/>
      <c r="L17" s="33"/>
      <c r="P17" s="26"/>
    </row>
    <row r="18" spans="1:16" ht="12.75" customHeight="1" x14ac:dyDescent="0.25">
      <c r="A18" s="48">
        <f t="shared" si="0"/>
        <v>43904</v>
      </c>
      <c r="B18" s="15"/>
      <c r="C18" s="15"/>
      <c r="D18" s="16"/>
      <c r="E18" s="23"/>
      <c r="F18" s="23"/>
      <c r="G18" s="17"/>
      <c r="H18" s="15"/>
      <c r="I18" s="15"/>
      <c r="J18" s="15"/>
      <c r="K18" s="18"/>
      <c r="L18" s="33"/>
    </row>
    <row r="19" spans="1:16" ht="12.75" customHeight="1" x14ac:dyDescent="0.25">
      <c r="A19" s="48">
        <f t="shared" si="0"/>
        <v>43905</v>
      </c>
      <c r="B19" s="15"/>
      <c r="C19" s="15"/>
      <c r="D19" s="16"/>
      <c r="E19" s="23"/>
      <c r="F19" s="23"/>
      <c r="G19" s="17"/>
      <c r="H19" s="15"/>
      <c r="I19" s="17"/>
      <c r="J19" s="15"/>
      <c r="K19" s="27"/>
      <c r="L19" s="33"/>
    </row>
    <row r="20" spans="1:16" ht="12.75" customHeight="1" x14ac:dyDescent="0.25">
      <c r="A20" s="48">
        <f t="shared" si="0"/>
        <v>43906</v>
      </c>
      <c r="B20" s="21"/>
      <c r="C20" s="21"/>
      <c r="D20" s="16"/>
      <c r="E20" s="29"/>
      <c r="F20" s="29"/>
      <c r="G20" s="17"/>
      <c r="H20" s="15"/>
      <c r="I20" s="15"/>
      <c r="J20" s="15"/>
      <c r="K20" s="27"/>
      <c r="L20" s="33"/>
    </row>
    <row r="21" spans="1:16" ht="12.75" customHeight="1" x14ac:dyDescent="0.25">
      <c r="A21" s="48">
        <f t="shared" si="0"/>
        <v>43907</v>
      </c>
      <c r="B21" s="21"/>
      <c r="C21" s="21"/>
      <c r="D21" s="16"/>
      <c r="E21" s="29"/>
      <c r="F21" s="29"/>
      <c r="G21" s="17"/>
      <c r="H21" s="15"/>
      <c r="I21" s="15"/>
      <c r="J21" s="15"/>
      <c r="K21" s="18"/>
      <c r="L21" s="34"/>
    </row>
    <row r="22" spans="1:16" ht="12.75" customHeight="1" x14ac:dyDescent="0.25">
      <c r="A22" s="48">
        <f t="shared" si="0"/>
        <v>43908</v>
      </c>
      <c r="B22" s="17"/>
      <c r="C22" s="17"/>
      <c r="D22" s="28"/>
      <c r="E22" s="29"/>
      <c r="F22" s="29"/>
      <c r="G22" s="17"/>
      <c r="H22" s="15"/>
      <c r="I22" s="15"/>
      <c r="J22" s="15"/>
      <c r="K22" s="27"/>
      <c r="L22" s="34"/>
    </row>
    <row r="23" spans="1:16" ht="12.75" customHeight="1" x14ac:dyDescent="0.25">
      <c r="A23" s="48">
        <f t="shared" si="0"/>
        <v>43909</v>
      </c>
      <c r="B23" s="17"/>
      <c r="C23" s="17"/>
      <c r="D23" s="28"/>
      <c r="E23" s="29"/>
      <c r="F23" s="29"/>
      <c r="G23" s="17"/>
      <c r="H23" s="15"/>
      <c r="I23" s="15"/>
      <c r="J23" s="15"/>
      <c r="K23" s="27"/>
      <c r="L23" s="34"/>
    </row>
    <row r="24" spans="1:16" ht="12.75" customHeight="1" x14ac:dyDescent="0.25">
      <c r="A24" s="48">
        <f t="shared" si="0"/>
        <v>43910</v>
      </c>
      <c r="B24" s="15"/>
      <c r="C24" s="15"/>
      <c r="D24" s="16"/>
      <c r="E24" s="29"/>
      <c r="F24" s="29"/>
      <c r="G24" s="17"/>
      <c r="H24" s="15"/>
      <c r="I24" s="15"/>
      <c r="J24" s="15"/>
      <c r="K24" s="18"/>
      <c r="L24" s="33"/>
    </row>
    <row r="25" spans="1:16" ht="12.75" customHeight="1" x14ac:dyDescent="0.25">
      <c r="A25" s="48">
        <f t="shared" si="0"/>
        <v>43911</v>
      </c>
      <c r="B25" s="14"/>
      <c r="C25" s="15"/>
      <c r="D25" s="16"/>
      <c r="E25" s="29"/>
      <c r="F25" s="29"/>
      <c r="G25" s="17"/>
      <c r="H25" s="15"/>
      <c r="I25" s="15"/>
      <c r="J25" s="15"/>
      <c r="K25" s="18"/>
      <c r="L25" s="33"/>
    </row>
    <row r="26" spans="1:16" ht="12.75" customHeight="1" x14ac:dyDescent="0.25">
      <c r="A26" s="48">
        <f t="shared" si="0"/>
        <v>43912</v>
      </c>
      <c r="B26" s="15"/>
      <c r="C26" s="15"/>
      <c r="D26" s="16"/>
      <c r="E26" s="29"/>
      <c r="F26" s="29"/>
      <c r="G26" s="17"/>
      <c r="H26" s="15"/>
      <c r="I26" s="15"/>
      <c r="J26" s="15"/>
      <c r="K26" s="18"/>
      <c r="L26" s="33"/>
    </row>
    <row r="27" spans="1:16" ht="12.75" customHeight="1" x14ac:dyDescent="0.25">
      <c r="A27" s="48">
        <f t="shared" si="0"/>
        <v>43913</v>
      </c>
      <c r="B27" s="15"/>
      <c r="C27" s="15"/>
      <c r="D27" s="16"/>
      <c r="E27" s="29"/>
      <c r="F27" s="29"/>
      <c r="G27" s="17"/>
      <c r="H27" s="15"/>
      <c r="I27" s="15"/>
      <c r="J27" s="15"/>
      <c r="K27" s="18"/>
      <c r="L27" s="33"/>
      <c r="P27" s="6"/>
    </row>
    <row r="28" spans="1:16" ht="12.75" customHeight="1" x14ac:dyDescent="0.25">
      <c r="A28" s="48">
        <f t="shared" si="0"/>
        <v>43914</v>
      </c>
      <c r="B28" s="15"/>
      <c r="C28" s="15"/>
      <c r="D28" s="16"/>
      <c r="E28" s="29"/>
      <c r="F28" s="29"/>
      <c r="G28" s="17"/>
      <c r="H28" s="15"/>
      <c r="I28" s="15"/>
      <c r="J28" s="15"/>
      <c r="K28" s="18"/>
      <c r="L28" s="35"/>
      <c r="P28" s="6"/>
    </row>
    <row r="29" spans="1:16" ht="12.75" customHeight="1" x14ac:dyDescent="0.25">
      <c r="A29" s="48">
        <f t="shared" si="0"/>
        <v>43915</v>
      </c>
      <c r="B29" s="15"/>
      <c r="C29" s="15"/>
      <c r="D29" s="16"/>
      <c r="E29" s="29"/>
      <c r="F29" s="29"/>
      <c r="G29" s="17"/>
      <c r="H29" s="15"/>
      <c r="I29" s="15"/>
      <c r="J29" s="15"/>
      <c r="K29" s="18"/>
      <c r="L29" s="35"/>
      <c r="P29" s="6"/>
    </row>
    <row r="30" spans="1:16" ht="12.75" customHeight="1" x14ac:dyDescent="0.25">
      <c r="A30" s="48">
        <f t="shared" si="0"/>
        <v>43916</v>
      </c>
      <c r="B30" s="15"/>
      <c r="C30" s="15"/>
      <c r="D30" s="16"/>
      <c r="E30" s="29"/>
      <c r="F30" s="29"/>
      <c r="G30" s="17"/>
      <c r="H30" s="15"/>
      <c r="I30" s="15"/>
      <c r="J30" s="15"/>
      <c r="K30" s="18"/>
      <c r="L30" s="33"/>
      <c r="P30" s="6"/>
    </row>
    <row r="31" spans="1:16" ht="12.75" customHeight="1" x14ac:dyDescent="0.25">
      <c r="A31" s="48">
        <f t="shared" si="0"/>
        <v>43917</v>
      </c>
      <c r="B31" s="17"/>
      <c r="C31" s="20"/>
      <c r="D31" s="28"/>
      <c r="E31" s="29"/>
      <c r="F31" s="29"/>
      <c r="G31" s="17"/>
      <c r="H31" s="15"/>
      <c r="I31" s="17"/>
      <c r="J31" s="17"/>
      <c r="K31" s="18"/>
      <c r="L31" s="33"/>
      <c r="P31" s="6"/>
    </row>
    <row r="32" spans="1:16" ht="12.75" customHeight="1" x14ac:dyDescent="0.25">
      <c r="A32" s="48">
        <f t="shared" si="0"/>
        <v>43918</v>
      </c>
      <c r="B32" s="15"/>
      <c r="C32" s="20"/>
      <c r="D32" s="16"/>
      <c r="E32" s="29"/>
      <c r="F32" s="29"/>
      <c r="G32" s="17"/>
      <c r="H32" s="17"/>
      <c r="I32" s="15"/>
      <c r="J32" s="15"/>
      <c r="K32" s="18"/>
      <c r="L32" s="33"/>
    </row>
    <row r="33" spans="1:12" ht="12.75" customHeight="1" x14ac:dyDescent="0.25">
      <c r="A33" s="48">
        <f t="shared" si="0"/>
        <v>43919</v>
      </c>
      <c r="B33" s="15"/>
      <c r="C33" s="20"/>
      <c r="D33" s="16"/>
      <c r="E33" s="29"/>
      <c r="F33" s="29"/>
      <c r="G33" s="17"/>
      <c r="H33" s="17"/>
      <c r="I33" s="15"/>
      <c r="J33" s="15"/>
      <c r="K33" s="18"/>
      <c r="L33" s="33"/>
    </row>
    <row r="34" spans="1:12" ht="12.75" customHeight="1" x14ac:dyDescent="0.25">
      <c r="A34" s="48">
        <f t="shared" si="0"/>
        <v>43920</v>
      </c>
      <c r="B34" s="15"/>
      <c r="C34" s="15"/>
      <c r="D34" s="16"/>
      <c r="E34" s="29"/>
      <c r="F34" s="29"/>
      <c r="G34" s="17"/>
      <c r="H34" s="15"/>
      <c r="I34" s="15"/>
      <c r="J34" s="15"/>
      <c r="K34" s="18"/>
      <c r="L34" s="33"/>
    </row>
    <row r="35" spans="1:12" s="24" customFormat="1" x14ac:dyDescent="0.25">
      <c r="A35" s="48">
        <f t="shared" si="0"/>
        <v>43921</v>
      </c>
      <c r="B35" s="15"/>
      <c r="C35" s="15"/>
      <c r="D35" s="16"/>
      <c r="E35" s="29"/>
      <c r="F35" s="29"/>
      <c r="G35" s="17"/>
      <c r="H35" s="15"/>
      <c r="I35" s="15"/>
      <c r="J35" s="15"/>
      <c r="K35" s="18"/>
      <c r="L35" s="33"/>
    </row>
    <row r="36" spans="1:12" x14ac:dyDescent="0.25">
      <c r="A36" s="50" t="s">
        <v>34</v>
      </c>
      <c r="B36" s="36">
        <f>B33-B4</f>
        <v>-604675</v>
      </c>
      <c r="C36" s="36">
        <f>C33-C4</f>
        <v>-621646</v>
      </c>
      <c r="D36" s="36">
        <v>0</v>
      </c>
      <c r="E36" s="36">
        <f t="shared" ref="E36:J36" si="1">E33-E4</f>
        <v>-10249.07</v>
      </c>
      <c r="F36" s="36">
        <f t="shared" si="1"/>
        <v>-1977.24</v>
      </c>
      <c r="G36" s="36">
        <f t="shared" si="1"/>
        <v>-17755</v>
      </c>
      <c r="H36" s="36">
        <f t="shared" si="1"/>
        <v>-14528</v>
      </c>
      <c r="I36" s="36">
        <f t="shared" si="1"/>
        <v>-90695</v>
      </c>
      <c r="J36" s="36">
        <f t="shared" si="1"/>
        <v>-37991508</v>
      </c>
      <c r="K36" s="36">
        <f>SUM(K4:K35)</f>
        <v>3950</v>
      </c>
      <c r="L36" s="24"/>
    </row>
    <row r="37" spans="1:12" x14ac:dyDescent="0.25">
      <c r="A37" s="24"/>
      <c r="B37" s="24"/>
      <c r="C37" s="36"/>
      <c r="D37" s="24"/>
      <c r="E37" s="26"/>
      <c r="F37" s="26"/>
      <c r="G37" s="26"/>
      <c r="H37" s="22">
        <f>H36*219.969</f>
        <v>-3195709.6319999998</v>
      </c>
      <c r="I37" s="36">
        <f>I36*219.969</f>
        <v>-19950088.454999998</v>
      </c>
      <c r="J37" s="26"/>
      <c r="K37" s="24"/>
      <c r="L37" s="24"/>
    </row>
    <row r="38" spans="1:12" x14ac:dyDescent="0.25">
      <c r="C38" s="6"/>
    </row>
    <row r="39" spans="1:12" x14ac:dyDescent="0.25">
      <c r="F39" s="6"/>
    </row>
  </sheetData>
  <mergeCells count="4">
    <mergeCell ref="A1:J1"/>
    <mergeCell ref="B2:C2"/>
    <mergeCell ref="D2:G2"/>
    <mergeCell ref="H2:I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03 - 2020</vt:lpstr>
      <vt:lpstr>'03 - 2020'!Print_Area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2020-03-05T05:06:49Z</dcterms:modified>
</cp:coreProperties>
</file>