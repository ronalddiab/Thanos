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2" l="1"/>
  <c r="K21" i="2"/>
  <c r="K22" i="2"/>
  <c r="K23" i="2"/>
  <c r="K24" i="2"/>
  <c r="K25" i="2"/>
  <c r="K26" i="2"/>
  <c r="K27" i="2"/>
  <c r="K28" i="2"/>
  <c r="K29" i="2"/>
  <c r="K30" i="2"/>
  <c r="K31" i="2"/>
  <c r="K32" i="2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 l="1"/>
  <c r="Y40" i="3" l="1"/>
  <c r="U39" i="3"/>
  <c r="P39" i="3"/>
  <c r="I32" i="2" s="1"/>
  <c r="N39" i="3"/>
  <c r="H39" i="3"/>
  <c r="G32" i="2" s="1"/>
  <c r="F39" i="3"/>
  <c r="F32" i="2" s="1"/>
  <c r="D39" i="3"/>
  <c r="U38" i="3"/>
  <c r="V38" i="3" s="1"/>
  <c r="P38" i="3"/>
  <c r="I31" i="2" s="1"/>
  <c r="N38" i="3"/>
  <c r="H31" i="2" s="1"/>
  <c r="H38" i="3"/>
  <c r="G31" i="2" s="1"/>
  <c r="F38" i="3"/>
  <c r="F31" i="2" s="1"/>
  <c r="D38" i="3"/>
  <c r="E31" i="2" s="1"/>
  <c r="U37" i="3"/>
  <c r="P37" i="3"/>
  <c r="I30" i="2" s="1"/>
  <c r="N37" i="3"/>
  <c r="H37" i="3"/>
  <c r="G30" i="2" s="1"/>
  <c r="F37" i="3"/>
  <c r="F30" i="2" s="1"/>
  <c r="D37" i="3"/>
  <c r="E30" i="2" s="1"/>
  <c r="U36" i="3"/>
  <c r="P36" i="3"/>
  <c r="I29" i="2" s="1"/>
  <c r="N36" i="3"/>
  <c r="H29" i="2" s="1"/>
  <c r="H36" i="3"/>
  <c r="G29" i="2" s="1"/>
  <c r="F36" i="3"/>
  <c r="F29" i="2" s="1"/>
  <c r="D36" i="3"/>
  <c r="E29" i="2" s="1"/>
  <c r="U35" i="3"/>
  <c r="P35" i="3"/>
  <c r="N35" i="3"/>
  <c r="H35" i="3"/>
  <c r="G28" i="2" s="1"/>
  <c r="F35" i="3"/>
  <c r="F28" i="2" s="1"/>
  <c r="D35" i="3"/>
  <c r="E28" i="2" s="1"/>
  <c r="U34" i="3"/>
  <c r="V34" i="3" s="1"/>
  <c r="P34" i="3"/>
  <c r="N34" i="3"/>
  <c r="H27" i="2" s="1"/>
  <c r="H34" i="3"/>
  <c r="G27" i="2" s="1"/>
  <c r="F34" i="3"/>
  <c r="F27" i="2" s="1"/>
  <c r="D34" i="3"/>
  <c r="E27" i="2" s="1"/>
  <c r="U33" i="3"/>
  <c r="P33" i="3"/>
  <c r="I26" i="2" s="1"/>
  <c r="N33" i="3"/>
  <c r="H33" i="3"/>
  <c r="G26" i="2" s="1"/>
  <c r="F33" i="3"/>
  <c r="F26" i="2" s="1"/>
  <c r="D33" i="3"/>
  <c r="E26" i="2" s="1"/>
  <c r="U32" i="3"/>
  <c r="V32" i="3" s="1"/>
  <c r="P32" i="3"/>
  <c r="I25" i="2" s="1"/>
  <c r="N32" i="3"/>
  <c r="H25" i="2" s="1"/>
  <c r="H32" i="3"/>
  <c r="G25" i="2" s="1"/>
  <c r="F32" i="3"/>
  <c r="F25" i="2" s="1"/>
  <c r="D32" i="3"/>
  <c r="E25" i="2" s="1"/>
  <c r="U31" i="3"/>
  <c r="V31" i="3" s="1"/>
  <c r="P31" i="3"/>
  <c r="N31" i="3"/>
  <c r="H24" i="2" s="1"/>
  <c r="H31" i="3"/>
  <c r="G24" i="2" s="1"/>
  <c r="F31" i="3"/>
  <c r="F24" i="2" s="1"/>
  <c r="D31" i="3"/>
  <c r="E24" i="2" s="1"/>
  <c r="U30" i="3"/>
  <c r="P30" i="3"/>
  <c r="I23" i="2" s="1"/>
  <c r="N30" i="3"/>
  <c r="H30" i="3"/>
  <c r="G23" i="2" s="1"/>
  <c r="F30" i="3"/>
  <c r="F23" i="2" s="1"/>
  <c r="D30" i="3"/>
  <c r="E23" i="2" s="1"/>
  <c r="U29" i="3"/>
  <c r="V29" i="3" s="1"/>
  <c r="P29" i="3"/>
  <c r="I22" i="2" s="1"/>
  <c r="N29" i="3"/>
  <c r="H22" i="2" s="1"/>
  <c r="H29" i="3"/>
  <c r="G22" i="2" s="1"/>
  <c r="F29" i="3"/>
  <c r="F22" i="2" s="1"/>
  <c r="D29" i="3"/>
  <c r="E22" i="2" s="1"/>
  <c r="U28" i="3"/>
  <c r="P28" i="3"/>
  <c r="I21" i="2" s="1"/>
  <c r="N28" i="3"/>
  <c r="H28" i="3"/>
  <c r="G21" i="2" s="1"/>
  <c r="F28" i="3"/>
  <c r="F21" i="2" s="1"/>
  <c r="D28" i="3"/>
  <c r="E21" i="2" s="1"/>
  <c r="U27" i="3"/>
  <c r="V27" i="3" s="1"/>
  <c r="P27" i="3"/>
  <c r="I20" i="2" s="1"/>
  <c r="N27" i="3"/>
  <c r="H20" i="2" s="1"/>
  <c r="H27" i="3"/>
  <c r="G20" i="2" s="1"/>
  <c r="F27" i="3"/>
  <c r="F20" i="2" s="1"/>
  <c r="D27" i="3"/>
  <c r="E20" i="2" s="1"/>
  <c r="U26" i="3"/>
  <c r="P26" i="3"/>
  <c r="N26" i="3"/>
  <c r="H26" i="3"/>
  <c r="G19" i="2" s="1"/>
  <c r="F26" i="3"/>
  <c r="F19" i="2" s="1"/>
  <c r="D26" i="3"/>
  <c r="E19" i="2" s="1"/>
  <c r="U25" i="3"/>
  <c r="P25" i="3"/>
  <c r="I18" i="2" s="1"/>
  <c r="N25" i="3"/>
  <c r="H18" i="2" s="1"/>
  <c r="H25" i="3"/>
  <c r="G18" i="2" s="1"/>
  <c r="F25" i="3"/>
  <c r="F18" i="2" s="1"/>
  <c r="D25" i="3"/>
  <c r="E18" i="2" s="1"/>
  <c r="U24" i="3"/>
  <c r="P24" i="3"/>
  <c r="I17" i="2" s="1"/>
  <c r="N24" i="3"/>
  <c r="H17" i="2" s="1"/>
  <c r="H24" i="3"/>
  <c r="G17" i="2" s="1"/>
  <c r="F24" i="3"/>
  <c r="F17" i="2" s="1"/>
  <c r="D24" i="3"/>
  <c r="E17" i="2" s="1"/>
  <c r="U23" i="3"/>
  <c r="P23" i="3"/>
  <c r="N23" i="3"/>
  <c r="H16" i="2" s="1"/>
  <c r="H23" i="3"/>
  <c r="G16" i="2" s="1"/>
  <c r="F23" i="3"/>
  <c r="F16" i="2" s="1"/>
  <c r="D23" i="3"/>
  <c r="E16" i="2" s="1"/>
  <c r="U22" i="3"/>
  <c r="P22" i="3"/>
  <c r="I15" i="2" s="1"/>
  <c r="N22" i="3"/>
  <c r="H15" i="2" s="1"/>
  <c r="H22" i="3"/>
  <c r="G15" i="2" s="1"/>
  <c r="F22" i="3"/>
  <c r="F15" i="2" s="1"/>
  <c r="D22" i="3"/>
  <c r="E15" i="2" s="1"/>
  <c r="U21" i="3"/>
  <c r="V21" i="3" s="1"/>
  <c r="P21" i="3"/>
  <c r="I14" i="2" s="1"/>
  <c r="N21" i="3"/>
  <c r="H14" i="2" s="1"/>
  <c r="H21" i="3"/>
  <c r="G14" i="2" s="1"/>
  <c r="F21" i="3"/>
  <c r="F14" i="2" s="1"/>
  <c r="D21" i="3"/>
  <c r="E14" i="2" s="1"/>
  <c r="U20" i="3"/>
  <c r="P20" i="3"/>
  <c r="I13" i="2" s="1"/>
  <c r="N20" i="3"/>
  <c r="H13" i="2" s="1"/>
  <c r="H20" i="3"/>
  <c r="G13" i="2" s="1"/>
  <c r="F20" i="3"/>
  <c r="F13" i="2" s="1"/>
  <c r="D20" i="3"/>
  <c r="E13" i="2" s="1"/>
  <c r="U19" i="3"/>
  <c r="P19" i="3"/>
  <c r="I12" i="2" s="1"/>
  <c r="N19" i="3"/>
  <c r="H12" i="2" s="1"/>
  <c r="H19" i="3"/>
  <c r="G12" i="2" s="1"/>
  <c r="F19" i="3"/>
  <c r="F12" i="2" s="1"/>
  <c r="D19" i="3"/>
  <c r="E12" i="2" s="1"/>
  <c r="U18" i="3"/>
  <c r="P18" i="3"/>
  <c r="I11" i="2" s="1"/>
  <c r="N18" i="3"/>
  <c r="H11" i="2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P17" i="3"/>
  <c r="I10" i="2" s="1"/>
  <c r="N17" i="3"/>
  <c r="H10" i="2" s="1"/>
  <c r="H17" i="3"/>
  <c r="G10" i="2" s="1"/>
  <c r="F17" i="3"/>
  <c r="F10" i="2" s="1"/>
  <c r="D17" i="3"/>
  <c r="E10" i="2" s="1"/>
  <c r="U16" i="3"/>
  <c r="P16" i="3"/>
  <c r="I9" i="2" s="1"/>
  <c r="N16" i="3"/>
  <c r="H9" i="2" s="1"/>
  <c r="H16" i="3"/>
  <c r="G9" i="2" s="1"/>
  <c r="F16" i="3"/>
  <c r="F9" i="2" s="1"/>
  <c r="D16" i="3"/>
  <c r="E9" i="2" s="1"/>
  <c r="U15" i="3"/>
  <c r="P15" i="3"/>
  <c r="I8" i="2" s="1"/>
  <c r="N15" i="3"/>
  <c r="H8" i="2" s="1"/>
  <c r="H15" i="3"/>
  <c r="G8" i="2" s="1"/>
  <c r="F15" i="3"/>
  <c r="F8" i="2" s="1"/>
  <c r="D15" i="3"/>
  <c r="E8" i="2" s="1"/>
  <c r="U14" i="3"/>
  <c r="P14" i="3"/>
  <c r="I7" i="2" s="1"/>
  <c r="N14" i="3"/>
  <c r="H7" i="2" s="1"/>
  <c r="H14" i="3"/>
  <c r="G7" i="2" s="1"/>
  <c r="F14" i="3"/>
  <c r="F7" i="2" s="1"/>
  <c r="D14" i="3"/>
  <c r="E7" i="2" s="1"/>
  <c r="U13" i="3"/>
  <c r="P13" i="3"/>
  <c r="I6" i="2" s="1"/>
  <c r="N13" i="3"/>
  <c r="H6" i="2" s="1"/>
  <c r="H13" i="3"/>
  <c r="G6" i="2" s="1"/>
  <c r="F13" i="3"/>
  <c r="F6" i="2" s="1"/>
  <c r="D13" i="3"/>
  <c r="E6" i="2" s="1"/>
  <c r="U12" i="3"/>
  <c r="P12" i="3"/>
  <c r="I5" i="2" s="1"/>
  <c r="N12" i="3"/>
  <c r="H5" i="2" s="1"/>
  <c r="H12" i="3"/>
  <c r="G5" i="2" s="1"/>
  <c r="F12" i="3"/>
  <c r="F5" i="2" s="1"/>
  <c r="D12" i="3"/>
  <c r="E5" i="2" s="1"/>
  <c r="U11" i="3"/>
  <c r="P11" i="3"/>
  <c r="I4" i="2" s="1"/>
  <c r="N11" i="3"/>
  <c r="H4" i="2" s="1"/>
  <c r="H11" i="3"/>
  <c r="G4" i="2" s="1"/>
  <c r="F11" i="3"/>
  <c r="F4" i="2" s="1"/>
  <c r="D11" i="3"/>
  <c r="E4" i="2" s="1"/>
  <c r="U10" i="3"/>
  <c r="P10" i="3"/>
  <c r="I3" i="2" s="1"/>
  <c r="N10" i="3"/>
  <c r="H3" i="2" s="1"/>
  <c r="H10" i="3"/>
  <c r="G3" i="2" s="1"/>
  <c r="F10" i="3"/>
  <c r="F3" i="2" s="1"/>
  <c r="D10" i="3"/>
  <c r="B10" i="3"/>
  <c r="B11" i="3" s="1"/>
  <c r="B12" i="3" s="1"/>
  <c r="B13" i="3" s="1"/>
  <c r="B14" i="3" s="1"/>
  <c r="B15" i="3" s="1"/>
  <c r="B16" i="3" s="1"/>
  <c r="U9" i="3"/>
  <c r="P9" i="3"/>
  <c r="I2" i="2" s="1"/>
  <c r="N9" i="3"/>
  <c r="H2" i="2" s="1"/>
  <c r="H9" i="3"/>
  <c r="G2" i="2" s="1"/>
  <c r="F9" i="3"/>
  <c r="F2" i="2" s="1"/>
  <c r="D9" i="3"/>
  <c r="E2" i="2" s="1"/>
  <c r="U6" i="3"/>
  <c r="V6" i="3" s="1"/>
  <c r="P6" i="3"/>
  <c r="N6" i="3"/>
  <c r="H6" i="3"/>
  <c r="B6" i="3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G20" i="1" l="1"/>
  <c r="Q6" i="3"/>
  <c r="R6" i="3" s="1"/>
  <c r="G25" i="1"/>
  <c r="G29" i="1"/>
  <c r="E29" i="1"/>
  <c r="G22" i="1"/>
  <c r="G11" i="1"/>
  <c r="E11" i="1"/>
  <c r="E13" i="1"/>
  <c r="G2" i="1"/>
  <c r="G3" i="1"/>
  <c r="G5" i="1"/>
  <c r="G7" i="1"/>
  <c r="G9" i="1"/>
  <c r="V11" i="3"/>
  <c r="I4" i="1"/>
  <c r="J4" i="2"/>
  <c r="V13" i="3"/>
  <c r="I6" i="1"/>
  <c r="J6" i="2"/>
  <c r="V17" i="3"/>
  <c r="I10" i="1"/>
  <c r="J10" i="2"/>
  <c r="V15" i="3"/>
  <c r="I8" i="1"/>
  <c r="J8" i="2"/>
  <c r="V10" i="3"/>
  <c r="I3" i="1"/>
  <c r="J3" i="2"/>
  <c r="V12" i="3"/>
  <c r="I5" i="1"/>
  <c r="J5" i="2"/>
  <c r="V14" i="3"/>
  <c r="I7" i="1"/>
  <c r="J7" i="2"/>
  <c r="V16" i="3"/>
  <c r="I9" i="1"/>
  <c r="J9" i="2"/>
  <c r="I2" i="1"/>
  <c r="J2" i="2"/>
  <c r="V18" i="3"/>
  <c r="I11" i="1"/>
  <c r="J11" i="2"/>
  <c r="G4" i="1"/>
  <c r="G6" i="1"/>
  <c r="G8" i="1"/>
  <c r="G10" i="1"/>
  <c r="G15" i="1"/>
  <c r="G17" i="1"/>
  <c r="G12" i="1"/>
  <c r="G14" i="1"/>
  <c r="R10" i="3"/>
  <c r="R14" i="3"/>
  <c r="Q16" i="3"/>
  <c r="R13" i="3"/>
  <c r="E21" i="1"/>
  <c r="E23" i="1"/>
  <c r="E30" i="1"/>
  <c r="E5" i="1"/>
  <c r="E7" i="1"/>
  <c r="E9" i="1"/>
  <c r="E16" i="1"/>
  <c r="E18" i="1"/>
  <c r="E27" i="1"/>
  <c r="E2" i="1"/>
  <c r="E4" i="1"/>
  <c r="E6" i="1"/>
  <c r="E8" i="1"/>
  <c r="E10" i="1"/>
  <c r="E19" i="1"/>
  <c r="I10" i="3"/>
  <c r="K10" i="3" s="1"/>
  <c r="E3" i="2"/>
  <c r="E3" i="1" s="1"/>
  <c r="I24" i="1"/>
  <c r="J24" i="2"/>
  <c r="J27" i="2"/>
  <c r="I27" i="1"/>
  <c r="V37" i="3"/>
  <c r="J30" i="2"/>
  <c r="I30" i="1"/>
  <c r="I25" i="1"/>
  <c r="J25" i="2"/>
  <c r="V35" i="3"/>
  <c r="I28" i="1"/>
  <c r="J28" i="2"/>
  <c r="I29" i="1"/>
  <c r="J29" i="2"/>
  <c r="V39" i="3"/>
  <c r="I32" i="1"/>
  <c r="J32" i="2"/>
  <c r="V30" i="3"/>
  <c r="J23" i="2"/>
  <c r="I23" i="1"/>
  <c r="V33" i="3"/>
  <c r="J26" i="2"/>
  <c r="I26" i="1"/>
  <c r="V36" i="3"/>
  <c r="J31" i="2"/>
  <c r="I31" i="1"/>
  <c r="R31" i="3"/>
  <c r="I24" i="2"/>
  <c r="Q34" i="3"/>
  <c r="I27" i="2"/>
  <c r="G27" i="1" s="1"/>
  <c r="G31" i="1"/>
  <c r="G24" i="1"/>
  <c r="R35" i="3"/>
  <c r="I28" i="2"/>
  <c r="Q39" i="3"/>
  <c r="H32" i="2"/>
  <c r="G32" i="1" s="1"/>
  <c r="Q30" i="3"/>
  <c r="Q33" i="3"/>
  <c r="H26" i="2"/>
  <c r="G26" i="1" s="1"/>
  <c r="R39" i="3"/>
  <c r="Q35" i="3"/>
  <c r="H28" i="2"/>
  <c r="G28" i="1" s="1"/>
  <c r="Q38" i="3"/>
  <c r="R30" i="3"/>
  <c r="H23" i="2"/>
  <c r="G23" i="1" s="1"/>
  <c r="R32" i="3"/>
  <c r="Q37" i="3"/>
  <c r="H30" i="2"/>
  <c r="G30" i="1" s="1"/>
  <c r="E25" i="1"/>
  <c r="E26" i="1"/>
  <c r="E31" i="1"/>
  <c r="I35" i="3"/>
  <c r="K35" i="3" s="1"/>
  <c r="I34" i="3"/>
  <c r="K34" i="3" s="1"/>
  <c r="E24" i="1"/>
  <c r="E28" i="1"/>
  <c r="I39" i="3"/>
  <c r="K39" i="3" s="1"/>
  <c r="X39" i="3" s="1"/>
  <c r="Z39" i="3" s="1"/>
  <c r="E32" i="2"/>
  <c r="E32" i="1" s="1"/>
  <c r="J16" i="2"/>
  <c r="I16" i="1"/>
  <c r="V26" i="3"/>
  <c r="I19" i="1"/>
  <c r="J19" i="2"/>
  <c r="V20" i="3"/>
  <c r="I13" i="1"/>
  <c r="J13" i="2"/>
  <c r="V23" i="3"/>
  <c r="I18" i="1"/>
  <c r="J18" i="2"/>
  <c r="V28" i="3"/>
  <c r="I21" i="1"/>
  <c r="J21" i="2"/>
  <c r="V22" i="3"/>
  <c r="I15" i="1"/>
  <c r="J15" i="2"/>
  <c r="V25" i="3"/>
  <c r="J20" i="2"/>
  <c r="I20" i="1"/>
  <c r="V19" i="3"/>
  <c r="J12" i="2"/>
  <c r="I12" i="1"/>
  <c r="I14" i="1"/>
  <c r="J14" i="2"/>
  <c r="V24" i="3"/>
  <c r="I17" i="1"/>
  <c r="J17" i="2"/>
  <c r="I22" i="1"/>
  <c r="J22" i="2"/>
  <c r="G13" i="1"/>
  <c r="R23" i="3"/>
  <c r="I16" i="2"/>
  <c r="G16" i="1" s="1"/>
  <c r="G18" i="1"/>
  <c r="Q26" i="3"/>
  <c r="I19" i="2"/>
  <c r="R27" i="3"/>
  <c r="R24" i="3"/>
  <c r="R26" i="3"/>
  <c r="H19" i="2"/>
  <c r="G19" i="1" s="1"/>
  <c r="R28" i="3"/>
  <c r="H21" i="2"/>
  <c r="G21" i="1" s="1"/>
  <c r="E22" i="1"/>
  <c r="E15" i="1"/>
  <c r="E20" i="1"/>
  <c r="E12" i="1"/>
  <c r="E14" i="1"/>
  <c r="E17" i="1"/>
  <c r="I27" i="3"/>
  <c r="K27" i="3" s="1"/>
  <c r="Q10" i="3"/>
  <c r="Q12" i="3"/>
  <c r="Q14" i="3"/>
  <c r="R19" i="3"/>
  <c r="I11" i="3"/>
  <c r="K11" i="3" s="1"/>
  <c r="I15" i="3"/>
  <c r="K15" i="3" s="1"/>
  <c r="C40" i="3"/>
  <c r="I12" i="3"/>
  <c r="K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R20" i="3"/>
  <c r="R11" i="3"/>
  <c r="R16" i="3"/>
  <c r="R18" i="3"/>
  <c r="Q24" i="3"/>
  <c r="R25" i="3"/>
  <c r="Q32" i="3"/>
  <c r="R33" i="3"/>
  <c r="I13" i="3"/>
  <c r="K13" i="3" s="1"/>
  <c r="I14" i="3"/>
  <c r="K14" i="3" s="1"/>
  <c r="I24" i="3"/>
  <c r="K24" i="3" s="1"/>
  <c r="I25" i="3"/>
  <c r="K25" i="3" s="1"/>
  <c r="I32" i="3"/>
  <c r="K32" i="3" s="1"/>
  <c r="I33" i="3"/>
  <c r="K33" i="3" s="1"/>
  <c r="I22" i="3"/>
  <c r="K22" i="3" s="1"/>
  <c r="I23" i="3"/>
  <c r="K23" i="3" s="1"/>
  <c r="I30" i="3"/>
  <c r="K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I37" i="3"/>
  <c r="K37" i="3" s="1"/>
  <c r="E40" i="3"/>
  <c r="I9" i="3"/>
  <c r="T40" i="3"/>
  <c r="V9" i="3"/>
  <c r="I17" i="3"/>
  <c r="K17" i="3" s="1"/>
  <c r="G40" i="3"/>
  <c r="I18" i="3"/>
  <c r="K18" i="3" s="1"/>
  <c r="Q21" i="3"/>
  <c r="I26" i="3"/>
  <c r="K26" i="3" s="1"/>
  <c r="R17" i="3"/>
  <c r="O40" i="3"/>
  <c r="K6" i="3"/>
  <c r="X6" i="3" s="1"/>
  <c r="Z6" i="3" s="1"/>
  <c r="J6" i="3"/>
  <c r="M40" i="3"/>
  <c r="Q9" i="3"/>
  <c r="Q17" i="3"/>
  <c r="I20" i="3"/>
  <c r="K20" i="3" s="1"/>
  <c r="Q23" i="3"/>
  <c r="X36" i="3" l="1"/>
  <c r="Z36" i="3" s="1"/>
  <c r="X24" i="3"/>
  <c r="Z24" i="3" s="1"/>
  <c r="X27" i="3"/>
  <c r="Z27" i="3" s="1"/>
  <c r="X22" i="3"/>
  <c r="Z22" i="3" s="1"/>
  <c r="X34" i="3"/>
  <c r="Z34" i="3" s="1"/>
  <c r="X32" i="3"/>
  <c r="Z32" i="3" s="1"/>
  <c r="X15" i="3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I40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<sst xmlns="http://schemas.openxmlformats.org/spreadsheetml/2006/main" count="310" uniqueCount="123">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</sst>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64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25" fillId="11" borderId="0" xfId="0" applyFont="1" applyFill="1" applyAlignment="1">
      <alignment horizontal="center" vertic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  <xf numFmtId="3" fontId="28" fillId="0" borderId="32" xfId="0" applyNumberFormat="1" applyFont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C3" sqref="C3:C32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8</v>
      </c>
      <c r="D2" s="7">
        <v>2020</v>
      </c>
      <c r="E2" s="9">
        <f>submetering!E2+submetering!F2+submetering!G2</f>
        <v>14062</v>
      </c>
      <c r="F2" s="7">
        <v>0.251</v>
      </c>
      <c r="G2" s="9">
        <f>submetering!H2+submetering!I2</f>
        <v>840</v>
      </c>
      <c r="H2" s="7">
        <v>0.57181599999999999</v>
      </c>
      <c r="I2" s="9">
        <f>HOTEL!U9</f>
        <v>300</v>
      </c>
      <c r="J2" s="7">
        <v>2.855</v>
      </c>
      <c r="K2" s="7">
        <f>HOTEL!Y9</f>
        <v>44</v>
      </c>
    </row>
    <row r="3" spans="1:11" s="12" customFormat="1" x14ac:dyDescent="0.25">
      <c r="A3" s="7" t="s">
        <v>11</v>
      </c>
      <c r="B3" s="11">
        <f>B2+1</f>
        <v>2</v>
      </c>
      <c r="C3" s="8">
        <v>8</v>
      </c>
      <c r="D3" s="7">
        <v>2020</v>
      </c>
      <c r="E3" s="9">
        <f>submetering!E3+submetering!F3+submetering!G3</f>
        <v>13493</v>
      </c>
      <c r="F3" s="7">
        <v>0.251</v>
      </c>
      <c r="G3" s="9">
        <f>submetering!H3+submetering!I3</f>
        <v>914</v>
      </c>
      <c r="H3" s="7">
        <v>0.57181599999999999</v>
      </c>
      <c r="I3" s="9">
        <f>HOTEL!U10</f>
        <v>320</v>
      </c>
      <c r="J3" s="7">
        <v>2.855</v>
      </c>
      <c r="K3" s="7">
        <f>HOTEL!Y10</f>
        <v>49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8</v>
      </c>
      <c r="D4" s="7">
        <v>2020</v>
      </c>
      <c r="E4" s="9">
        <f>submetering!E4+submetering!F4+submetering!G4</f>
        <v>14288</v>
      </c>
      <c r="F4" s="7">
        <v>0.251</v>
      </c>
      <c r="G4" s="9">
        <f>submetering!H4+submetering!I4</f>
        <v>779</v>
      </c>
      <c r="H4" s="7">
        <v>0.57181599999999999</v>
      </c>
      <c r="I4" s="9">
        <f>HOTEL!U11</f>
        <v>401</v>
      </c>
      <c r="J4" s="7">
        <v>2.855</v>
      </c>
      <c r="K4" s="7">
        <f>HOTEL!Y11</f>
        <v>51</v>
      </c>
    </row>
    <row r="5" spans="1:11" s="12" customFormat="1" x14ac:dyDescent="0.25">
      <c r="A5" s="7" t="s">
        <v>11</v>
      </c>
      <c r="B5" s="11">
        <f t="shared" si="0"/>
        <v>4</v>
      </c>
      <c r="C5" s="8">
        <v>8</v>
      </c>
      <c r="D5" s="7">
        <v>2020</v>
      </c>
      <c r="E5" s="9">
        <f>submetering!E5+submetering!F5+submetering!G5</f>
        <v>12871</v>
      </c>
      <c r="F5" s="7">
        <v>0.251</v>
      </c>
      <c r="G5" s="9">
        <f>submetering!H5+submetering!I5</f>
        <v>919</v>
      </c>
      <c r="H5" s="7">
        <v>0.57181599999999999</v>
      </c>
      <c r="I5" s="9">
        <f>HOTEL!U12</f>
        <v>315</v>
      </c>
      <c r="J5" s="7">
        <v>2.855</v>
      </c>
      <c r="K5" s="7">
        <f>HOTEL!Y12</f>
        <v>56</v>
      </c>
    </row>
    <row r="6" spans="1:11" s="12" customFormat="1" x14ac:dyDescent="0.25">
      <c r="A6" s="7" t="s">
        <v>11</v>
      </c>
      <c r="B6" s="11">
        <f t="shared" si="0"/>
        <v>5</v>
      </c>
      <c r="C6" s="8">
        <v>8</v>
      </c>
      <c r="D6" s="7">
        <v>2020</v>
      </c>
      <c r="E6" s="9">
        <f>submetering!E6+submetering!F6+submetering!G6</f>
        <v>11616</v>
      </c>
      <c r="F6" s="7">
        <v>0.251</v>
      </c>
      <c r="G6" s="9">
        <f>submetering!H6+submetering!I6</f>
        <v>938</v>
      </c>
      <c r="H6" s="7">
        <v>0.57181599999999999</v>
      </c>
      <c r="I6" s="9">
        <f>HOTEL!U13</f>
        <v>445</v>
      </c>
      <c r="J6" s="7">
        <v>2.855</v>
      </c>
      <c r="K6" s="7">
        <f>HOTEL!Y13</f>
        <v>57</v>
      </c>
    </row>
    <row r="7" spans="1:11" s="12" customFormat="1" x14ac:dyDescent="0.25">
      <c r="A7" s="7" t="s">
        <v>11</v>
      </c>
      <c r="B7" s="11">
        <f t="shared" si="0"/>
        <v>6</v>
      </c>
      <c r="C7" s="8">
        <v>8</v>
      </c>
      <c r="D7" s="7">
        <v>2020</v>
      </c>
      <c r="E7" s="9">
        <f>submetering!E7+submetering!F7+submetering!G7</f>
        <v>11406</v>
      </c>
      <c r="F7" s="7">
        <v>0.251</v>
      </c>
      <c r="G7" s="9">
        <f>submetering!H7+submetering!I7</f>
        <v>844</v>
      </c>
      <c r="H7" s="7">
        <v>0.57181599999999999</v>
      </c>
      <c r="I7" s="9">
        <f>HOTEL!U14</f>
        <v>460</v>
      </c>
      <c r="J7" s="7">
        <v>2.855</v>
      </c>
      <c r="K7" s="7">
        <f>HOTEL!Y14</f>
        <v>57</v>
      </c>
    </row>
    <row r="8" spans="1:11" s="12" customFormat="1" x14ac:dyDescent="0.25">
      <c r="A8" s="7" t="s">
        <v>11</v>
      </c>
      <c r="B8" s="11">
        <f t="shared" si="0"/>
        <v>7</v>
      </c>
      <c r="C8" s="8">
        <v>8</v>
      </c>
      <c r="D8" s="7">
        <v>2020</v>
      </c>
      <c r="E8" s="9">
        <f>submetering!E8+submetering!F8+submetering!G8</f>
        <v>11802</v>
      </c>
      <c r="F8" s="7">
        <v>0.251</v>
      </c>
      <c r="G8" s="9">
        <f>submetering!H8+submetering!I8</f>
        <v>940</v>
      </c>
      <c r="H8" s="7">
        <v>0.57181599999999999</v>
      </c>
      <c r="I8" s="9">
        <f>HOTEL!U15</f>
        <v>310</v>
      </c>
      <c r="J8" s="7">
        <v>2.855</v>
      </c>
      <c r="K8" s="7">
        <f>HOTEL!Y15</f>
        <v>66</v>
      </c>
    </row>
    <row r="9" spans="1:11" s="12" customFormat="1" x14ac:dyDescent="0.25">
      <c r="A9" s="7" t="s">
        <v>11</v>
      </c>
      <c r="B9" s="11">
        <f t="shared" si="0"/>
        <v>8</v>
      </c>
      <c r="C9" s="8">
        <v>8</v>
      </c>
      <c r="D9" s="7">
        <v>2020</v>
      </c>
      <c r="E9" s="9">
        <f>submetering!E9+submetering!F9+submetering!G9</f>
        <v>11872</v>
      </c>
      <c r="F9" s="7">
        <v>0.251</v>
      </c>
      <c r="G9" s="9">
        <f>submetering!H9+submetering!I9</f>
        <v>799</v>
      </c>
      <c r="H9" s="7">
        <v>0.57181599999999999</v>
      </c>
      <c r="I9" s="9">
        <f>HOTEL!U16</f>
        <v>286</v>
      </c>
      <c r="J9" s="7">
        <v>2.855</v>
      </c>
      <c r="K9" s="7">
        <f>HOTEL!Y16</f>
        <v>66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8</v>
      </c>
      <c r="D10" s="7">
        <v>2020</v>
      </c>
      <c r="E10" s="9">
        <f>submetering!E10+submetering!F10+submetering!G10</f>
        <v>12244</v>
      </c>
      <c r="F10" s="7">
        <v>0.251</v>
      </c>
      <c r="G10" s="9">
        <f>submetering!H10+submetering!I10</f>
        <v>895</v>
      </c>
      <c r="H10" s="7">
        <v>0.57181599999999999</v>
      </c>
      <c r="I10" s="9">
        <f>HOTEL!U17</f>
        <v>259</v>
      </c>
      <c r="J10" s="7">
        <v>2.855</v>
      </c>
      <c r="K10" s="7">
        <f>HOTEL!Y17</f>
        <v>77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8</v>
      </c>
      <c r="D11" s="7">
        <v>2020</v>
      </c>
      <c r="E11" s="9">
        <f>submetering!E11+submetering!F11+submetering!G11</f>
        <v>12696</v>
      </c>
      <c r="F11" s="7">
        <v>0.251</v>
      </c>
      <c r="G11" s="9">
        <f>submetering!H11+submetering!I11</f>
        <v>957</v>
      </c>
      <c r="H11" s="7">
        <v>0.57181599999999999</v>
      </c>
      <c r="I11" s="9">
        <f>HOTEL!U18</f>
        <v>413</v>
      </c>
      <c r="J11" s="7">
        <v>2.855</v>
      </c>
      <c r="K11" s="7">
        <f>HOTEL!Y18</f>
        <v>79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8</v>
      </c>
      <c r="D12" s="7">
        <v>2020</v>
      </c>
      <c r="E12" s="9">
        <f>submetering!E12+submetering!F12+submetering!G12</f>
        <v>12551</v>
      </c>
      <c r="F12" s="7">
        <v>0.251</v>
      </c>
      <c r="G12" s="9">
        <f>submetering!H12+submetering!I12</f>
        <v>876</v>
      </c>
      <c r="H12" s="7">
        <v>0.57181599999999999</v>
      </c>
      <c r="I12" s="9">
        <f>HOTEL!U19</f>
        <v>413</v>
      </c>
      <c r="J12" s="7">
        <v>2.855</v>
      </c>
      <c r="K12" s="7">
        <f>HOTEL!Y19</f>
        <v>79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8</v>
      </c>
      <c r="D13" s="7">
        <v>2020</v>
      </c>
      <c r="E13" s="9">
        <f>submetering!E13+submetering!F13+submetering!G13</f>
        <v>14028</v>
      </c>
      <c r="F13" s="7">
        <v>0.251</v>
      </c>
      <c r="G13" s="9">
        <f>submetering!H13+submetering!I13</f>
        <v>914</v>
      </c>
      <c r="H13" s="7">
        <v>0.57181599999999999</v>
      </c>
      <c r="I13" s="9">
        <f>HOTEL!U20</f>
        <v>326</v>
      </c>
      <c r="J13" s="7">
        <v>2.855</v>
      </c>
      <c r="K13" s="7">
        <f>HOTEL!Y20</f>
        <v>84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8</v>
      </c>
      <c r="D14" s="7">
        <v>2020</v>
      </c>
      <c r="E14" s="9">
        <f>submetering!E14+submetering!F14+submetering!G14</f>
        <v>15008</v>
      </c>
      <c r="F14" s="7">
        <v>0.251</v>
      </c>
      <c r="G14" s="9">
        <f>submetering!H14+submetering!I14</f>
        <v>941</v>
      </c>
      <c r="H14" s="7">
        <v>0.57181599999999999</v>
      </c>
      <c r="I14" s="9">
        <f>HOTEL!U21</f>
        <v>459</v>
      </c>
      <c r="J14" s="7">
        <v>2.855</v>
      </c>
      <c r="K14" s="7">
        <f>HOTEL!Y21</f>
        <v>90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8</v>
      </c>
      <c r="D15" s="7">
        <v>2020</v>
      </c>
      <c r="E15" s="9">
        <f>submetering!E15+submetering!F15+submetering!G15</f>
        <v>14969</v>
      </c>
      <c r="F15" s="7">
        <v>0.251</v>
      </c>
      <c r="G15" s="9">
        <f>submetering!H15+submetering!I15</f>
        <v>866</v>
      </c>
      <c r="H15" s="7">
        <v>0.57181599999999999</v>
      </c>
      <c r="I15" s="9">
        <f>HOTEL!U22</f>
        <v>300</v>
      </c>
      <c r="J15" s="7">
        <v>2.855</v>
      </c>
      <c r="K15" s="7">
        <f>HOTEL!Y22</f>
        <v>103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8</v>
      </c>
      <c r="D16" s="7">
        <v>2020</v>
      </c>
      <c r="E16" s="9">
        <f>submetering!E16+submetering!F16+submetering!G16</f>
        <v>14905</v>
      </c>
      <c r="F16" s="7">
        <v>0.251</v>
      </c>
      <c r="G16" s="9">
        <f>submetering!H16+submetering!I16</f>
        <v>880</v>
      </c>
      <c r="H16" s="7">
        <v>0.57181599999999999</v>
      </c>
      <c r="I16" s="9">
        <f>HOTEL!U23</f>
        <v>426</v>
      </c>
      <c r="J16" s="7">
        <v>2.855</v>
      </c>
      <c r="K16" s="7">
        <f>HOTEL!Y23</f>
        <v>102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8</v>
      </c>
      <c r="D17" s="7">
        <v>2020</v>
      </c>
      <c r="E17" s="9">
        <f>submetering!E17+submetering!F17+submetering!G17</f>
        <v>14097</v>
      </c>
      <c r="F17" s="7">
        <v>0.251</v>
      </c>
      <c r="G17" s="9">
        <f>submetering!H17+submetering!I17</f>
        <v>831</v>
      </c>
      <c r="H17" s="7">
        <v>0.57181599999999999</v>
      </c>
      <c r="I17" s="9">
        <f>HOTEL!U24</f>
        <v>345</v>
      </c>
      <c r="J17" s="7">
        <v>2.855</v>
      </c>
      <c r="K17" s="7">
        <f>HOTEL!Y24</f>
        <v>93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8</v>
      </c>
      <c r="D18" s="7">
        <v>2020</v>
      </c>
      <c r="E18" s="9">
        <f>submetering!E18+submetering!F18+submetering!G18</f>
        <v>13342</v>
      </c>
      <c r="F18" s="7">
        <v>0.251</v>
      </c>
      <c r="G18" s="9">
        <f>submetering!H18+submetering!I18</f>
        <v>912</v>
      </c>
      <c r="H18" s="7">
        <v>0.57181599999999999</v>
      </c>
      <c r="I18" s="9">
        <f>HOTEL!U25</f>
        <v>422</v>
      </c>
      <c r="J18" s="7">
        <v>2.855</v>
      </c>
      <c r="K18" s="7">
        <f>HOTEL!Y25</f>
        <v>83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8</v>
      </c>
      <c r="D19" s="7">
        <v>2020</v>
      </c>
      <c r="E19" s="9">
        <f>submetering!E19+submetering!F19+submetering!G19</f>
        <v>13972</v>
      </c>
      <c r="F19" s="7">
        <v>0.251</v>
      </c>
      <c r="G19" s="9">
        <f>submetering!H19+submetering!I19</f>
        <v>918</v>
      </c>
      <c r="H19" s="7">
        <v>0.57181599999999999</v>
      </c>
      <c r="I19" s="9">
        <f>HOTEL!U26</f>
        <v>402</v>
      </c>
      <c r="J19" s="7">
        <v>2.855</v>
      </c>
      <c r="K19" s="7">
        <f>HOTEL!Y26</f>
        <v>79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8</v>
      </c>
      <c r="D20" s="7">
        <v>2020</v>
      </c>
      <c r="E20" s="9">
        <f>submetering!E20+submetering!F20+submetering!G20</f>
        <v>14435</v>
      </c>
      <c r="F20" s="7">
        <v>0.251</v>
      </c>
      <c r="G20" s="9">
        <f>submetering!H20+submetering!I20</f>
        <v>815</v>
      </c>
      <c r="H20" s="7">
        <v>0.57181599999999999</v>
      </c>
      <c r="I20" s="9">
        <f>HOTEL!U27</f>
        <v>351</v>
      </c>
      <c r="J20" s="7">
        <v>2.855</v>
      </c>
      <c r="K20" s="7">
        <f>HOTEL!Y27</f>
        <v>88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8</v>
      </c>
      <c r="D21" s="7">
        <v>2020</v>
      </c>
      <c r="E21" s="9">
        <f>submetering!E21+submetering!F21+submetering!G21</f>
        <v>13892</v>
      </c>
      <c r="F21" s="7">
        <v>0.251</v>
      </c>
      <c r="G21" s="9">
        <f>submetering!H21+submetering!I21</f>
        <v>944</v>
      </c>
      <c r="H21" s="7">
        <v>0.57181599999999999</v>
      </c>
      <c r="I21" s="9">
        <f>HOTEL!U28</f>
        <v>321</v>
      </c>
      <c r="J21" s="7">
        <v>2.855</v>
      </c>
      <c r="K21" s="7">
        <f>HOTEL!Y28</f>
        <v>95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8</v>
      </c>
      <c r="D22" s="7">
        <v>2020</v>
      </c>
      <c r="E22" s="9">
        <f>submetering!E22+submetering!F22+submetering!G22</f>
        <v>15518</v>
      </c>
      <c r="F22" s="7">
        <v>0.251</v>
      </c>
      <c r="G22" s="9">
        <f>submetering!H22+submetering!I22</f>
        <v>964</v>
      </c>
      <c r="H22" s="7">
        <v>0.57181599999999999</v>
      </c>
      <c r="I22" s="9">
        <f>HOTEL!U29</f>
        <v>222</v>
      </c>
      <c r="J22" s="7">
        <v>2.855</v>
      </c>
      <c r="K22" s="7">
        <f>HOTEL!Y29</f>
        <v>77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8</v>
      </c>
      <c r="D23" s="7">
        <v>2020</v>
      </c>
      <c r="E23" s="9">
        <f>submetering!E23+submetering!F23+submetering!G23</f>
        <v>16418</v>
      </c>
      <c r="F23" s="7">
        <v>0.251</v>
      </c>
      <c r="G23" s="9">
        <f>submetering!H23+submetering!I23</f>
        <v>967</v>
      </c>
      <c r="H23" s="7">
        <v>0.57181599999999999</v>
      </c>
      <c r="I23" s="9">
        <f>HOTEL!U30</f>
        <v>441</v>
      </c>
      <c r="J23" s="7">
        <v>2.855</v>
      </c>
      <c r="K23" s="7">
        <f>HOTEL!Y30</f>
        <v>71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8</v>
      </c>
      <c r="D24" s="7">
        <v>2020</v>
      </c>
      <c r="E24" s="9">
        <f>submetering!E24+submetering!F24+submetering!G24</f>
        <v>16338</v>
      </c>
      <c r="F24" s="7">
        <v>0.251</v>
      </c>
      <c r="G24" s="9">
        <f>submetering!H24+submetering!I24</f>
        <v>863</v>
      </c>
      <c r="H24" s="7">
        <v>0.57181599999999999</v>
      </c>
      <c r="I24" s="9">
        <f>HOTEL!U31</f>
        <v>229</v>
      </c>
      <c r="J24" s="7">
        <v>2.855</v>
      </c>
      <c r="K24" s="7">
        <f>HOTEL!Y31</f>
        <v>64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8</v>
      </c>
      <c r="D25" s="7">
        <v>2020</v>
      </c>
      <c r="E25" s="9">
        <f>submetering!E25+submetering!F25+submetering!G25</f>
        <v>13114</v>
      </c>
      <c r="F25" s="7">
        <v>0.251</v>
      </c>
      <c r="G25" s="9">
        <f>submetering!H25+submetering!I25</f>
        <v>952</v>
      </c>
      <c r="H25" s="7">
        <v>0.57181599999999999</v>
      </c>
      <c r="I25" s="9">
        <f>HOTEL!U32</f>
        <v>162</v>
      </c>
      <c r="J25" s="7">
        <v>2.855</v>
      </c>
      <c r="K25" s="7">
        <f>HOTEL!Y32</f>
        <v>47</v>
      </c>
    </row>
    <row r="26" spans="1:11" s="12" customFormat="1" x14ac:dyDescent="0.25">
      <c r="A26" s="7" t="s">
        <v>11</v>
      </c>
      <c r="B26" s="11">
        <f>B25+1</f>
        <v>25</v>
      </c>
      <c r="C26" s="8">
        <v>8</v>
      </c>
      <c r="D26" s="7">
        <v>2020</v>
      </c>
      <c r="E26" s="9">
        <f>submetering!E26+submetering!F26+submetering!G26</f>
        <v>13765</v>
      </c>
      <c r="F26" s="7">
        <v>0.251</v>
      </c>
      <c r="G26" s="9">
        <f>submetering!H26+submetering!I26</f>
        <v>817</v>
      </c>
      <c r="H26" s="7">
        <v>0.57181599999999999</v>
      </c>
      <c r="I26" s="9">
        <f>HOTEL!U33</f>
        <v>160</v>
      </c>
      <c r="J26" s="7">
        <v>2.855</v>
      </c>
      <c r="K26" s="7">
        <f>HOTEL!Y33</f>
        <v>50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8</v>
      </c>
      <c r="D27" s="7">
        <v>2020</v>
      </c>
      <c r="E27" s="9">
        <f>submetering!E27+submetering!F27+submetering!G27</f>
        <v>12457</v>
      </c>
      <c r="F27" s="7">
        <v>0.251</v>
      </c>
      <c r="G27" s="9">
        <f>submetering!H27+submetering!I27</f>
        <v>892</v>
      </c>
      <c r="H27" s="7">
        <v>0.57181599999999999</v>
      </c>
      <c r="I27" s="9">
        <f>HOTEL!U34</f>
        <v>178</v>
      </c>
      <c r="J27" s="7">
        <v>2.855</v>
      </c>
      <c r="K27" s="7">
        <f>HOTEL!Y34</f>
        <v>41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8</v>
      </c>
      <c r="D28" s="7">
        <v>2020</v>
      </c>
      <c r="E28" s="9">
        <f>submetering!E28+submetering!F28+submetering!G28</f>
        <v>12644</v>
      </c>
      <c r="F28" s="7">
        <v>0.251</v>
      </c>
      <c r="G28" s="9">
        <f>submetering!H28+submetering!I28</f>
        <v>667</v>
      </c>
      <c r="H28" s="7">
        <v>0.57181599999999999</v>
      </c>
      <c r="I28" s="9">
        <f>HOTEL!U35</f>
        <v>470</v>
      </c>
      <c r="J28" s="7">
        <v>2.855</v>
      </c>
      <c r="K28" s="7">
        <f>HOTEL!Y35</f>
        <v>40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8</v>
      </c>
      <c r="D29" s="7">
        <v>2020</v>
      </c>
      <c r="E29" s="9">
        <f>submetering!E29+submetering!F29+submetering!G29</f>
        <v>14496</v>
      </c>
      <c r="F29" s="7">
        <v>0.251</v>
      </c>
      <c r="G29" s="9">
        <f>submetering!H29+submetering!I29</f>
        <v>806</v>
      </c>
      <c r="H29" s="7">
        <v>0.57181599999999999</v>
      </c>
      <c r="I29" s="9">
        <f>HOTEL!U36</f>
        <v>441</v>
      </c>
      <c r="J29" s="7">
        <v>2.855</v>
      </c>
      <c r="K29" s="7">
        <f>HOTEL!Y36</f>
        <v>36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8</v>
      </c>
      <c r="D30" s="7">
        <v>2020</v>
      </c>
      <c r="E30" s="9">
        <f>submetering!E30+submetering!F30+submetering!G30</f>
        <v>15542</v>
      </c>
      <c r="F30" s="7">
        <v>0.251</v>
      </c>
      <c r="G30" s="9">
        <f>submetering!H30+submetering!I30</f>
        <v>860</v>
      </c>
      <c r="H30" s="7">
        <v>0.57181599999999999</v>
      </c>
      <c r="I30" s="9">
        <f>HOTEL!U37</f>
        <v>412</v>
      </c>
      <c r="J30" s="7">
        <v>2.855</v>
      </c>
      <c r="K30" s="7">
        <f>HOTEL!Y37</f>
        <v>38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8</v>
      </c>
      <c r="D31" s="7">
        <v>2020</v>
      </c>
      <c r="E31" s="9">
        <f>submetering!E31+submetering!F31+submetering!G31</f>
        <v>13652</v>
      </c>
      <c r="F31" s="7">
        <v>0.251</v>
      </c>
      <c r="G31" s="9">
        <f>submetering!H31+submetering!I31</f>
        <v>839</v>
      </c>
      <c r="H31" s="7">
        <v>0.57181599999999999</v>
      </c>
      <c r="I31" s="9">
        <f>HOTEL!U38</f>
        <v>239</v>
      </c>
      <c r="J31" s="7">
        <v>2.855</v>
      </c>
      <c r="K31" s="7">
        <f>HOTEL!Y38</f>
        <v>39</v>
      </c>
    </row>
    <row r="32" spans="1:11" s="10" customFormat="1" x14ac:dyDescent="0.25">
      <c r="A32" s="7" t="s">
        <v>11</v>
      </c>
      <c r="B32" s="11">
        <f t="shared" si="0"/>
        <v>31</v>
      </c>
      <c r="C32" s="8">
        <v>8</v>
      </c>
      <c r="D32" s="7">
        <v>2020</v>
      </c>
      <c r="E32" s="9">
        <f>submetering!E32+submetering!F32+submetering!G32</f>
        <v>13487</v>
      </c>
      <c r="F32" s="7">
        <v>0.251</v>
      </c>
      <c r="G32" s="9">
        <f>submetering!H32+submetering!I32</f>
        <v>817</v>
      </c>
      <c r="H32" s="7">
        <v>0.57181599999999999</v>
      </c>
      <c r="I32" s="9">
        <f>HOTEL!U39</f>
        <v>364</v>
      </c>
      <c r="J32" s="7">
        <v>2.855</v>
      </c>
      <c r="K32" s="7">
        <f>HOTEL!Y39</f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9"/>
  <sheetViews>
    <sheetView tabSelected="1" workbookViewId="0">
      <selection activeCell="M29" sqref="M29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8</v>
      </c>
      <c r="D2" s="13">
        <v>2020</v>
      </c>
      <c r="E2" s="16">
        <f>HOTEL!D9</f>
        <v>4789</v>
      </c>
      <c r="F2" s="16">
        <f>HOTEL!F9</f>
        <v>4767</v>
      </c>
      <c r="G2" s="16">
        <f>HOTEL!H9</f>
        <v>4506</v>
      </c>
      <c r="H2" s="16">
        <f>HOTEL!N9</f>
        <v>116</v>
      </c>
      <c r="I2" s="16">
        <f>HOTEL!P9</f>
        <v>724</v>
      </c>
      <c r="J2" s="16">
        <f>HOTEL!U9</f>
        <v>300</v>
      </c>
      <c r="K2" s="16">
        <f>HOTEL!Y9</f>
        <v>44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8</v>
      </c>
      <c r="D3" s="13">
        <v>2020</v>
      </c>
      <c r="E3" s="16">
        <f>HOTEL!D10</f>
        <v>4593</v>
      </c>
      <c r="F3" s="16">
        <f>HOTEL!F10</f>
        <v>4584</v>
      </c>
      <c r="G3" s="16">
        <f>HOTEL!H10</f>
        <v>4316</v>
      </c>
      <c r="H3" s="16">
        <f>HOTEL!N10</f>
        <v>116</v>
      </c>
      <c r="I3" s="16">
        <f>HOTEL!P10</f>
        <v>798</v>
      </c>
      <c r="J3" s="16">
        <f>HOTEL!U10</f>
        <v>320</v>
      </c>
      <c r="K3" s="16">
        <f>HOTEL!Y10</f>
        <v>49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8</v>
      </c>
      <c r="D4" s="13">
        <v>2020</v>
      </c>
      <c r="E4" s="16">
        <f>HOTEL!D11</f>
        <v>4642</v>
      </c>
      <c r="F4" s="16">
        <f>HOTEL!F11</f>
        <v>4983</v>
      </c>
      <c r="G4" s="16">
        <f>HOTEL!H11</f>
        <v>4663</v>
      </c>
      <c r="H4" s="16">
        <f>HOTEL!N11</f>
        <v>116</v>
      </c>
      <c r="I4" s="16">
        <f>HOTEL!P11</f>
        <v>663</v>
      </c>
      <c r="J4" s="16">
        <f>HOTEL!U11</f>
        <v>401</v>
      </c>
      <c r="K4" s="16">
        <f>HOTEL!Y11</f>
        <v>51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8</v>
      </c>
      <c r="D5" s="13">
        <v>2020</v>
      </c>
      <c r="E5" s="16">
        <f>HOTEL!D12</f>
        <v>4586</v>
      </c>
      <c r="F5" s="16">
        <f>HOTEL!F12</f>
        <v>4259</v>
      </c>
      <c r="G5" s="16">
        <f>HOTEL!H12</f>
        <v>4026</v>
      </c>
      <c r="H5" s="16">
        <f>HOTEL!N12</f>
        <v>92</v>
      </c>
      <c r="I5" s="16">
        <f>HOTEL!P12</f>
        <v>827</v>
      </c>
      <c r="J5" s="16">
        <f>HOTEL!U12</f>
        <v>315</v>
      </c>
      <c r="K5" s="16">
        <f>HOTEL!Y12</f>
        <v>56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8</v>
      </c>
      <c r="D6" s="13">
        <v>2020</v>
      </c>
      <c r="E6" s="16">
        <f>HOTEL!D13</f>
        <v>3866</v>
      </c>
      <c r="F6" s="16">
        <f>HOTEL!F13</f>
        <v>4154</v>
      </c>
      <c r="G6" s="16">
        <f>HOTEL!H13</f>
        <v>3596</v>
      </c>
      <c r="H6" s="16">
        <f>HOTEL!N13</f>
        <v>115</v>
      </c>
      <c r="I6" s="16">
        <f>HOTEL!P13</f>
        <v>823</v>
      </c>
      <c r="J6" s="16">
        <f>HOTEL!U13</f>
        <v>445</v>
      </c>
      <c r="K6" s="16">
        <f>HOTEL!Y13</f>
        <v>57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8</v>
      </c>
      <c r="D7" s="13">
        <v>2020</v>
      </c>
      <c r="E7" s="16">
        <f>HOTEL!D14</f>
        <v>3962</v>
      </c>
      <c r="F7" s="16">
        <f>HOTEL!F14</f>
        <v>3725</v>
      </c>
      <c r="G7" s="16">
        <f>HOTEL!H14</f>
        <v>3719</v>
      </c>
      <c r="H7" s="16">
        <f>HOTEL!N14</f>
        <v>133</v>
      </c>
      <c r="I7" s="16">
        <f>HOTEL!P14</f>
        <v>711</v>
      </c>
      <c r="J7" s="16">
        <f>HOTEL!U14</f>
        <v>460</v>
      </c>
      <c r="K7" s="16">
        <f>HOTEL!Y14</f>
        <v>57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8</v>
      </c>
      <c r="D8" s="13">
        <v>2020</v>
      </c>
      <c r="E8" s="16">
        <f>HOTEL!D15</f>
        <v>3728</v>
      </c>
      <c r="F8" s="16">
        <f>HOTEL!F15</f>
        <v>4135</v>
      </c>
      <c r="G8" s="16">
        <f>HOTEL!H15</f>
        <v>3939</v>
      </c>
      <c r="H8" s="16">
        <f>HOTEL!N15</f>
        <v>129</v>
      </c>
      <c r="I8" s="16">
        <f>HOTEL!P15</f>
        <v>811</v>
      </c>
      <c r="J8" s="16">
        <f>HOTEL!U15</f>
        <v>310</v>
      </c>
      <c r="K8" s="16">
        <f>HOTEL!Y15</f>
        <v>66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8</v>
      </c>
      <c r="D9" s="13">
        <v>2020</v>
      </c>
      <c r="E9" s="16">
        <f>HOTEL!D16</f>
        <v>4123</v>
      </c>
      <c r="F9" s="16">
        <f>HOTEL!F16</f>
        <v>4044</v>
      </c>
      <c r="G9" s="16">
        <f>HOTEL!H16</f>
        <v>3705</v>
      </c>
      <c r="H9" s="16">
        <f>HOTEL!N16</f>
        <v>119</v>
      </c>
      <c r="I9" s="16">
        <f>HOTEL!P16</f>
        <v>680</v>
      </c>
      <c r="J9" s="16">
        <f>HOTEL!U16</f>
        <v>286</v>
      </c>
      <c r="K9" s="16">
        <f>HOTEL!Y16</f>
        <v>66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8</v>
      </c>
      <c r="D10" s="13">
        <v>2020</v>
      </c>
      <c r="E10" s="16">
        <f>HOTEL!D17</f>
        <v>4251</v>
      </c>
      <c r="F10" s="16">
        <f>HOTEL!F17</f>
        <v>4186</v>
      </c>
      <c r="G10" s="16">
        <f>HOTEL!H17</f>
        <v>3807</v>
      </c>
      <c r="H10" s="16">
        <f>HOTEL!N17</f>
        <v>134</v>
      </c>
      <c r="I10" s="16">
        <f>HOTEL!P17</f>
        <v>761</v>
      </c>
      <c r="J10" s="16">
        <f>HOTEL!U17</f>
        <v>259</v>
      </c>
      <c r="K10" s="16">
        <f>HOTEL!Y17</f>
        <v>77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8</v>
      </c>
      <c r="D11" s="13">
        <v>2020</v>
      </c>
      <c r="E11" s="16">
        <f>HOTEL!D18</f>
        <v>4424</v>
      </c>
      <c r="F11" s="16">
        <f>HOTEL!F18</f>
        <v>4215</v>
      </c>
      <c r="G11" s="16">
        <f>HOTEL!H18</f>
        <v>4057</v>
      </c>
      <c r="H11" s="16">
        <f>HOTEL!N18</f>
        <v>145</v>
      </c>
      <c r="I11" s="16">
        <f>HOTEL!P18</f>
        <v>812</v>
      </c>
      <c r="J11" s="16">
        <f>HOTEL!U18</f>
        <v>413</v>
      </c>
      <c r="K11" s="16">
        <f>HOTEL!Y18</f>
        <v>79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8</v>
      </c>
      <c r="D12" s="13">
        <v>2020</v>
      </c>
      <c r="E12" s="16">
        <f>HOTEL!D19</f>
        <v>4273</v>
      </c>
      <c r="F12" s="16">
        <f>HOTEL!F19</f>
        <v>4259</v>
      </c>
      <c r="G12" s="16">
        <f>HOTEL!H19</f>
        <v>4019</v>
      </c>
      <c r="H12" s="16">
        <f>HOTEL!N19</f>
        <v>86</v>
      </c>
      <c r="I12" s="16">
        <f>HOTEL!P19</f>
        <v>790</v>
      </c>
      <c r="J12" s="16">
        <f>HOTEL!U19</f>
        <v>413</v>
      </c>
      <c r="K12" s="16">
        <f>HOTEL!Y19</f>
        <v>79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8</v>
      </c>
      <c r="D13" s="13">
        <v>2020</v>
      </c>
      <c r="E13" s="16">
        <f>HOTEL!D20</f>
        <v>4767</v>
      </c>
      <c r="F13" s="16">
        <f>HOTEL!F20</f>
        <v>4761</v>
      </c>
      <c r="G13" s="16">
        <f>HOTEL!H20</f>
        <v>4500</v>
      </c>
      <c r="H13" s="16">
        <f>HOTEL!N20</f>
        <v>131</v>
      </c>
      <c r="I13" s="16">
        <f>HOTEL!P20</f>
        <v>783</v>
      </c>
      <c r="J13" s="16">
        <f>HOTEL!U20</f>
        <v>326</v>
      </c>
      <c r="K13" s="16">
        <f>HOTEL!Y20</f>
        <v>84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8</v>
      </c>
      <c r="D14" s="13">
        <v>2020</v>
      </c>
      <c r="E14" s="16">
        <f>HOTEL!D21</f>
        <v>5099</v>
      </c>
      <c r="F14" s="16">
        <f>HOTEL!F21</f>
        <v>5101</v>
      </c>
      <c r="G14" s="16">
        <f>HOTEL!H21</f>
        <v>4808</v>
      </c>
      <c r="H14" s="16">
        <f>HOTEL!N21</f>
        <v>151</v>
      </c>
      <c r="I14" s="16">
        <f>HOTEL!P21</f>
        <v>790</v>
      </c>
      <c r="J14" s="16">
        <f>HOTEL!U21</f>
        <v>459</v>
      </c>
      <c r="K14" s="16">
        <f>HOTEL!Y21</f>
        <v>90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8</v>
      </c>
      <c r="D15" s="13">
        <v>2020</v>
      </c>
      <c r="E15" s="16">
        <f>HOTEL!D22</f>
        <v>5088</v>
      </c>
      <c r="F15" s="16">
        <f>HOTEL!F22</f>
        <v>5070</v>
      </c>
      <c r="G15" s="16">
        <f>HOTEL!H22</f>
        <v>4811</v>
      </c>
      <c r="H15" s="16">
        <f>HOTEL!N22</f>
        <v>131</v>
      </c>
      <c r="I15" s="16">
        <f>HOTEL!P22</f>
        <v>735</v>
      </c>
      <c r="J15" s="16">
        <f>HOTEL!U22</f>
        <v>300</v>
      </c>
      <c r="K15" s="16">
        <f>HOTEL!Y22</f>
        <v>103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8</v>
      </c>
      <c r="D16" s="13">
        <v>2020</v>
      </c>
      <c r="E16" s="16">
        <f>HOTEL!D23</f>
        <v>5078</v>
      </c>
      <c r="F16" s="16">
        <f>HOTEL!F23</f>
        <v>5041</v>
      </c>
      <c r="G16" s="16">
        <f>HOTEL!H23</f>
        <v>4786</v>
      </c>
      <c r="H16" s="16">
        <f>HOTEL!N23</f>
        <v>124</v>
      </c>
      <c r="I16" s="16">
        <f>HOTEL!P23</f>
        <v>756</v>
      </c>
      <c r="J16" s="16">
        <f>HOTEL!U23</f>
        <v>426</v>
      </c>
      <c r="K16" s="16">
        <f>HOTEL!Y23</f>
        <v>102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8</v>
      </c>
      <c r="D17" s="13">
        <v>2020</v>
      </c>
      <c r="E17" s="16">
        <f>HOTEL!D24</f>
        <v>4810</v>
      </c>
      <c r="F17" s="16">
        <f>HOTEL!F24</f>
        <v>4781</v>
      </c>
      <c r="G17" s="16">
        <f>HOTEL!H24</f>
        <v>4506</v>
      </c>
      <c r="H17" s="16">
        <f>HOTEL!N24</f>
        <v>111</v>
      </c>
      <c r="I17" s="16">
        <f>HOTEL!P24</f>
        <v>720</v>
      </c>
      <c r="J17" s="16">
        <f>HOTEL!U24</f>
        <v>345</v>
      </c>
      <c r="K17" s="16">
        <f>HOTEL!Y24</f>
        <v>93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8</v>
      </c>
      <c r="D18" s="13">
        <v>2020</v>
      </c>
      <c r="E18" s="16">
        <f>HOTEL!D25</f>
        <v>4727</v>
      </c>
      <c r="F18" s="16">
        <f>HOTEL!F25</f>
        <v>4325</v>
      </c>
      <c r="G18" s="16">
        <f>HOTEL!H25</f>
        <v>4290</v>
      </c>
      <c r="H18" s="16">
        <f>HOTEL!N25</f>
        <v>109</v>
      </c>
      <c r="I18" s="16">
        <f>HOTEL!P25</f>
        <v>803</v>
      </c>
      <c r="J18" s="16">
        <f>HOTEL!U25</f>
        <v>422</v>
      </c>
      <c r="K18" s="16">
        <f>HOTEL!Y25</f>
        <v>83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8</v>
      </c>
      <c r="D19" s="13">
        <v>2020</v>
      </c>
      <c r="E19" s="16">
        <f>HOTEL!D26</f>
        <v>4565</v>
      </c>
      <c r="F19" s="16">
        <f>HOTEL!F26</f>
        <v>4950</v>
      </c>
      <c r="G19" s="16">
        <f>HOTEL!H26</f>
        <v>4457</v>
      </c>
      <c r="H19" s="16">
        <f>HOTEL!N26</f>
        <v>125</v>
      </c>
      <c r="I19" s="16">
        <f>HOTEL!P26</f>
        <v>793</v>
      </c>
      <c r="J19" s="16">
        <f>HOTEL!U26</f>
        <v>402</v>
      </c>
      <c r="K19" s="16">
        <f>HOTEL!Y26</f>
        <v>79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8</v>
      </c>
      <c r="D20" s="13">
        <v>2020</v>
      </c>
      <c r="E20" s="16">
        <f>HOTEL!D27</f>
        <v>4882</v>
      </c>
      <c r="F20" s="16">
        <f>HOTEL!F27</f>
        <v>4913</v>
      </c>
      <c r="G20" s="16">
        <f>HOTEL!H27</f>
        <v>4640</v>
      </c>
      <c r="H20" s="16">
        <f>HOTEL!N27</f>
        <v>107</v>
      </c>
      <c r="I20" s="16">
        <f>HOTEL!P27</f>
        <v>708</v>
      </c>
      <c r="J20" s="16">
        <f>HOTEL!U27</f>
        <v>351</v>
      </c>
      <c r="K20" s="16">
        <f>HOTEL!Y27</f>
        <v>88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8</v>
      </c>
      <c r="D21" s="13">
        <v>2020</v>
      </c>
      <c r="E21" s="16">
        <f>HOTEL!D28</f>
        <v>4710</v>
      </c>
      <c r="F21" s="16">
        <f>HOTEL!F28</f>
        <v>4733</v>
      </c>
      <c r="G21" s="16">
        <f>HOTEL!H28</f>
        <v>4449</v>
      </c>
      <c r="H21" s="16">
        <f>HOTEL!N28</f>
        <v>122</v>
      </c>
      <c r="I21" s="16">
        <f>HOTEL!P28</f>
        <v>822</v>
      </c>
      <c r="J21" s="16">
        <f>HOTEL!U28</f>
        <v>321</v>
      </c>
      <c r="K21" s="16">
        <f>HOTEL!Y28</f>
        <v>95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8</v>
      </c>
      <c r="D22" s="13">
        <v>2020</v>
      </c>
      <c r="E22" s="16">
        <f>HOTEL!D29</f>
        <v>5266</v>
      </c>
      <c r="F22" s="16">
        <f>HOTEL!F29</f>
        <v>5270</v>
      </c>
      <c r="G22" s="16">
        <f>HOTEL!H29</f>
        <v>4982</v>
      </c>
      <c r="H22" s="16">
        <f>HOTEL!N29</f>
        <v>121</v>
      </c>
      <c r="I22" s="16">
        <f>HOTEL!P29</f>
        <v>843</v>
      </c>
      <c r="J22" s="16">
        <f>HOTEL!U29</f>
        <v>222</v>
      </c>
      <c r="K22" s="16">
        <f>HOTEL!Y29</f>
        <v>77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8</v>
      </c>
      <c r="D23" s="13">
        <v>2020</v>
      </c>
      <c r="E23" s="16">
        <f>HOTEL!D30</f>
        <v>5578</v>
      </c>
      <c r="F23" s="16">
        <f>HOTEL!F30</f>
        <v>5562</v>
      </c>
      <c r="G23" s="16">
        <f>HOTEL!H30</f>
        <v>5278</v>
      </c>
      <c r="H23" s="16">
        <f>HOTEL!N30</f>
        <v>132</v>
      </c>
      <c r="I23" s="16">
        <f>HOTEL!P30</f>
        <v>835</v>
      </c>
      <c r="J23" s="16">
        <f>HOTEL!U30</f>
        <v>441</v>
      </c>
      <c r="K23" s="16">
        <f>HOTEL!Y30</f>
        <v>71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8</v>
      </c>
      <c r="D24" s="13">
        <v>2020</v>
      </c>
      <c r="E24" s="16">
        <f>HOTEL!D31</f>
        <v>5541</v>
      </c>
      <c r="F24" s="16">
        <f>HOTEL!F31</f>
        <v>5553</v>
      </c>
      <c r="G24" s="16">
        <f>HOTEL!H31</f>
        <v>5244</v>
      </c>
      <c r="H24" s="16">
        <f>HOTEL!N31</f>
        <v>129</v>
      </c>
      <c r="I24" s="16">
        <f>HOTEL!P31</f>
        <v>734</v>
      </c>
      <c r="J24" s="16">
        <f>HOTEL!U31</f>
        <v>229</v>
      </c>
      <c r="K24" s="16">
        <f>HOTEL!Y31</f>
        <v>64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8</v>
      </c>
      <c r="D25" s="13">
        <v>2020</v>
      </c>
      <c r="E25" s="16">
        <f>HOTEL!D32</f>
        <v>4578</v>
      </c>
      <c r="F25" s="16">
        <f>HOTEL!F32</f>
        <v>4533</v>
      </c>
      <c r="G25" s="16">
        <f>HOTEL!H32</f>
        <v>4003</v>
      </c>
      <c r="H25" s="16">
        <f>HOTEL!N32</f>
        <v>89</v>
      </c>
      <c r="I25" s="16">
        <f>HOTEL!P32</f>
        <v>863</v>
      </c>
      <c r="J25" s="16">
        <f>HOTEL!U32</f>
        <v>162</v>
      </c>
      <c r="K25" s="16">
        <f>HOTEL!Y32</f>
        <v>47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8</v>
      </c>
      <c r="D26" s="13">
        <v>2020</v>
      </c>
      <c r="E26" s="16">
        <f>HOTEL!D33</f>
        <v>4538</v>
      </c>
      <c r="F26" s="16">
        <f>HOTEL!F33</f>
        <v>4634</v>
      </c>
      <c r="G26" s="16">
        <f>HOTEL!H33</f>
        <v>4593</v>
      </c>
      <c r="H26" s="16">
        <f>HOTEL!N33</f>
        <v>90</v>
      </c>
      <c r="I26" s="16">
        <f>HOTEL!P33</f>
        <v>727</v>
      </c>
      <c r="J26" s="16">
        <f>HOTEL!U33</f>
        <v>160</v>
      </c>
      <c r="K26" s="16">
        <f>HOTEL!Y33</f>
        <v>50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8</v>
      </c>
      <c r="D27" s="13">
        <v>2020</v>
      </c>
      <c r="E27" s="16">
        <f>HOTEL!D34</f>
        <v>4217</v>
      </c>
      <c r="F27" s="16">
        <f>HOTEL!F34</f>
        <v>4269</v>
      </c>
      <c r="G27" s="16">
        <f>HOTEL!H34</f>
        <v>3971</v>
      </c>
      <c r="H27" s="16">
        <f>HOTEL!N34</f>
        <v>114</v>
      </c>
      <c r="I27" s="16">
        <f>HOTEL!P34</f>
        <v>778</v>
      </c>
      <c r="J27" s="16">
        <f>HOTEL!U34</f>
        <v>178</v>
      </c>
      <c r="K27" s="16">
        <f>HOTEL!Y34</f>
        <v>41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8</v>
      </c>
      <c r="D28" s="13">
        <v>2020</v>
      </c>
      <c r="E28" s="16">
        <f>HOTEL!D35</f>
        <v>4303</v>
      </c>
      <c r="F28" s="16">
        <f>HOTEL!F35</f>
        <v>4306</v>
      </c>
      <c r="G28" s="16">
        <f>HOTEL!H35</f>
        <v>4035</v>
      </c>
      <c r="H28" s="16">
        <f>HOTEL!N35</f>
        <v>113</v>
      </c>
      <c r="I28" s="16">
        <f>HOTEL!P35</f>
        <v>554</v>
      </c>
      <c r="J28" s="16">
        <f>HOTEL!U35</f>
        <v>470</v>
      </c>
      <c r="K28" s="16">
        <f>HOTEL!Y35</f>
        <v>40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8</v>
      </c>
      <c r="D29" s="13">
        <v>2020</v>
      </c>
      <c r="E29" s="16">
        <f>HOTEL!D36</f>
        <v>4925</v>
      </c>
      <c r="F29" s="16">
        <f>HOTEL!F36</f>
        <v>4937</v>
      </c>
      <c r="G29" s="16">
        <f>HOTEL!H36</f>
        <v>4634</v>
      </c>
      <c r="H29" s="16">
        <f>HOTEL!N36</f>
        <v>106</v>
      </c>
      <c r="I29" s="16">
        <f>HOTEL!P36</f>
        <v>700</v>
      </c>
      <c r="J29" s="16">
        <f>HOTEL!U36</f>
        <v>441</v>
      </c>
      <c r="K29" s="16">
        <f>HOTEL!Y36</f>
        <v>36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8</v>
      </c>
      <c r="D30" s="13">
        <v>2020</v>
      </c>
      <c r="E30" s="16">
        <f>HOTEL!D37</f>
        <v>5292</v>
      </c>
      <c r="F30" s="16">
        <f>HOTEL!F37</f>
        <v>5288</v>
      </c>
      <c r="G30" s="16">
        <f>HOTEL!H37</f>
        <v>4962</v>
      </c>
      <c r="H30" s="16">
        <f>HOTEL!N37</f>
        <v>116</v>
      </c>
      <c r="I30" s="16">
        <f>HOTEL!P37</f>
        <v>744</v>
      </c>
      <c r="J30" s="16">
        <f>HOTEL!U37</f>
        <v>412</v>
      </c>
      <c r="K30" s="16">
        <f>HOTEL!Y37</f>
        <v>38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8</v>
      </c>
      <c r="D31" s="13">
        <v>2020</v>
      </c>
      <c r="E31" s="16">
        <f>HOTEL!D38</f>
        <v>4746</v>
      </c>
      <c r="F31" s="16">
        <f>HOTEL!F38</f>
        <v>4613</v>
      </c>
      <c r="G31" s="16">
        <f>HOTEL!H38</f>
        <v>4293</v>
      </c>
      <c r="H31" s="16">
        <f>HOTEL!N38</f>
        <v>113</v>
      </c>
      <c r="I31" s="16">
        <f>HOTEL!P38</f>
        <v>726</v>
      </c>
      <c r="J31" s="16">
        <f>HOTEL!U38</f>
        <v>239</v>
      </c>
      <c r="K31" s="16">
        <f>HOTEL!Y38</f>
        <v>39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8</v>
      </c>
      <c r="D32" s="13">
        <v>2020</v>
      </c>
      <c r="E32" s="16">
        <f>HOTEL!D39</f>
        <v>4513</v>
      </c>
      <c r="F32" s="16">
        <f>HOTEL!F39</f>
        <v>4620</v>
      </c>
      <c r="G32" s="16">
        <f>HOTEL!H39</f>
        <v>4354</v>
      </c>
      <c r="H32" s="16">
        <f>HOTEL!N39</f>
        <v>108</v>
      </c>
      <c r="I32" s="16">
        <f>HOTEL!P39</f>
        <v>709</v>
      </c>
      <c r="J32" s="16">
        <f>HOTEL!U39</f>
        <v>364</v>
      </c>
      <c r="K32" s="16">
        <f>HOTEL!Y39</f>
        <v>28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 t="str">
        <f>IF(([1]Submeters!AY38-[1]Submeters!AY37)&lt;0,"0",[1]Submeters!AY38-[1]Submeters!AY37)</f>
        <v>0</v>
      </c>
      <c r="BJ32" s="29">
        <f>IF(([1]Submeters!AZ38-[1]Submeters!AZ37)&lt;0,"0",[1]Submeters!AZ38-[1]Submeters!AZ37)</f>
        <v>0</v>
      </c>
      <c r="BK32" s="29">
        <f>IF(([1]Submeters!BA38-[1]Submeters!BA37)&lt;0,"0",[1]Submeters!BA38-[1]Submeters!BA37)</f>
        <v>0</v>
      </c>
      <c r="BL32" s="29">
        <f>IF(([1]Submeters!BB38-[1]Submeters!BB37)&lt;0,"0",[1]Submeters!BB38-[1]Submeters!BB37)</f>
        <v>0</v>
      </c>
      <c r="BM32" s="29">
        <f>IF(([1]Submeters!BC38-[1]Submeters!BC37)&lt;0,"0",[1]Submeters!BC38-[1]Submeters!BC37)</f>
        <v>0</v>
      </c>
      <c r="BN32" s="29">
        <f>IF(([1]Submeters!BD38-[1]Submeters!BD37)&lt;0,"0",[1]Submeters!BD38-[1]Submeters!BD37)</f>
        <v>0</v>
      </c>
      <c r="BO32" s="29">
        <f>IF(([1]Submeters!BE38-[1]Submeters!BE37)&lt;0,"0",[1]Submeters!BE38-[1]Submeters!BE37)</f>
        <v>0</v>
      </c>
      <c r="BP32" s="29">
        <f>IF(([1]Submeters!BF38-[1]Submeters!BF37)&lt;0,"0",[1]Submeters!BF38-[1]Submeters!BF37)</f>
        <v>0</v>
      </c>
      <c r="BQ32" s="29">
        <f>IF(([1]Submeters!BG38-[1]Submeters!BG37)&lt;0,"0",[1]Submeters!BG38-[1]Submeters!BG37)</f>
        <v>0</v>
      </c>
      <c r="BR32" s="29">
        <f>IF(([1]Submeters!BH38-[1]Submeters!BH37)&lt;0,"0",[1]Submeters!BH38-[1]Submeters!BH37)</f>
        <v>0</v>
      </c>
      <c r="BS32" s="29">
        <f>IF(([1]Submeters!BI38-[1]Submeters!BI37)&lt;0,"0",[1]Submeters!BI38-[1]Submeters!BI37)</f>
        <v>0</v>
      </c>
      <c r="BT32" s="29">
        <f>IF(([1]Submeters!BJ38-[1]Submeters!BJ37)&lt;0,"0",[1]Submeters!BJ38-[1]Submeters!BJ37)</f>
        <v>0</v>
      </c>
      <c r="BU32" s="29">
        <f>IF(([1]Submeters!BK38-[1]Submeters!BK37)&lt;0,"0",[1]Submeters!BK38-[1]Submeters!BK37)</f>
        <v>0</v>
      </c>
      <c r="BV32" s="29">
        <f>IF(([1]Submeters!BL38-[1]Submeters!BL37)&lt;0,"0",[1]Submeters!BL38-[1]Submeters!BL37)</f>
        <v>0</v>
      </c>
      <c r="BW32" s="29">
        <f>IF(([1]Submeters!BM38-[1]Submeters!BM37)&lt;0,"0",[1]Submeters!BM38-[1]Submeters!BM37)</f>
        <v>0</v>
      </c>
      <c r="BX32" s="29">
        <f>IF(([1]Submeters!BN38-[1]Submeters!BN37)&lt;0,"0",[1]Submeters!BN38-[1]Submeters!BN37)</f>
        <v>0</v>
      </c>
      <c r="BY32" s="29">
        <f>IF(([1]Submeters!BO38-[1]Submeters!BO37)&lt;0,"0",[1]Submeters!BO38-[1]Submeters!BO37)</f>
        <v>0</v>
      </c>
      <c r="BZ32" s="29">
        <f>IF(([1]Submeters!BP38-[1]Submeters!BP37)&lt;0,"0",[1]Submeters!BP38-[1]Submeters!BP37)</f>
        <v>0</v>
      </c>
      <c r="CA32" s="29">
        <f>IF(([1]Submeters!BQ38-[1]Submeters!BQ37)&lt;0,"0",[1]Submeters!BQ38-[1]Submeters!BQ37)</f>
        <v>0</v>
      </c>
      <c r="CB32" s="29">
        <f>IF(([1]Submeters!BR38-[1]Submeters!BR37)&lt;0,"0",[1]Submeters!BR38-[1]Submeters!BR37)</f>
        <v>0</v>
      </c>
      <c r="CC32" s="29">
        <f>IF(([1]Submeters!BS38-[1]Submeters!BS37)&lt;0,"0",[1]Submeters!BS38-[1]Submeters!BS37)</f>
        <v>0</v>
      </c>
      <c r="CD32" s="29">
        <f>IF(([1]Submeters!BT38-[1]Submeters!BT37)&lt;0,"0",[1]Submeters!BT38-[1]Submeters!BT37)</f>
        <v>0</v>
      </c>
      <c r="CE32" s="29">
        <f>IF(([1]Submeters!BU38-[1]Submeters!BU37)&lt;0,"0",[1]Submeters!BU38-[1]Submeters!BU37)</f>
        <v>0</v>
      </c>
      <c r="CF32" s="29">
        <f>IF(([1]Submeters!BV38-[1]Submeters!BV37)&lt;0,"0",[1]Submeters!BV38-[1]Submeters!BV37)</f>
        <v>0</v>
      </c>
      <c r="CG32" s="29">
        <f>IF(([1]Submeters!BW38-[1]Submeters!BW37)&lt;0,"0",[1]Submeters!BW38-[1]Submeters!BW37)</f>
        <v>0</v>
      </c>
      <c r="CH32" s="29">
        <f>IF(([1]Submeters!BX38-[1]Submeters!BX37)&lt;0,"0",[1]Submeters!BX38-[1]Submeters!BX37)</f>
        <v>0</v>
      </c>
      <c r="CI32" s="29">
        <f>IF(([1]Submeters!BY38-[1]Submeters!BY37)&lt;0,"0",[1]Submeters!BY38-[1]Submeters!BY37)</f>
        <v>0</v>
      </c>
      <c r="CJ32" s="29">
        <f>IF(([1]Submeters!BZ38-[1]Submeters!BZ37)&lt;0,"0",[1]Submeters!BZ38-[1]Submeters!BZ37)</f>
        <v>0</v>
      </c>
      <c r="CK32" s="29">
        <f>IF(([1]Submeters!CA38-[1]Submeters!CA37)&lt;0,"0",[1]Submeters!CA38-[1]Submeters!CA37)</f>
        <v>0</v>
      </c>
      <c r="CL32" s="29">
        <f>IF(([1]Submeters!CB38-[1]Submeters!CB37)&lt;0,"0",[1]Submeters!CB38-[1]Submeters!CB37)</f>
        <v>0</v>
      </c>
      <c r="CM32" s="29">
        <f>IF(([1]Submeters!CC38-[1]Submeters!CC37)&lt;0,"0",[1]Submeters!CC38-[1]Submeters!CC37)</f>
        <v>0</v>
      </c>
      <c r="CN32" s="29">
        <f>IF(([1]Submeters!CD38-[1]Submeters!CD37)&lt;0,"0",[1]Submeters!CD38-[1]Submeters!CD37)</f>
        <v>0</v>
      </c>
      <c r="CO32" s="29">
        <f>IF(([1]Submeters!CE38-[1]Submeters!CE37)&lt;0,"0",[1]Submeters!CE38-[1]Submeters!CE37)</f>
        <v>0</v>
      </c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  <row r="39" spans="12:93" x14ac:dyDescent="0.25"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7" workbookViewId="0">
      <selection activeCell="AB41" sqref="AB41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45"/>
      <c r="C1" s="145"/>
      <c r="D1" s="145"/>
      <c r="E1" s="145"/>
      <c r="F1" s="146" t="s">
        <v>95</v>
      </c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8"/>
      <c r="W1" s="146" t="s">
        <v>122</v>
      </c>
      <c r="X1" s="147"/>
      <c r="Y1" s="147"/>
      <c r="Z1" s="148"/>
    </row>
    <row r="2" spans="1:27" x14ac:dyDescent="0.25">
      <c r="A2" s="13"/>
      <c r="B2" s="145"/>
      <c r="C2" s="145"/>
      <c r="D2" s="145"/>
      <c r="E2" s="145"/>
      <c r="F2" s="149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49"/>
      <c r="X2" s="150"/>
      <c r="Y2" s="150"/>
      <c r="Z2" s="151"/>
    </row>
    <row r="3" spans="1:27" x14ac:dyDescent="0.25">
      <c r="A3" s="13"/>
      <c r="B3" s="145"/>
      <c r="C3" s="145"/>
      <c r="D3" s="145"/>
      <c r="E3" s="145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49">
        <v>2020</v>
      </c>
      <c r="X3" s="150"/>
      <c r="Y3" s="150"/>
      <c r="Z3" s="151"/>
    </row>
    <row r="4" spans="1:27" x14ac:dyDescent="0.25">
      <c r="A4" s="13"/>
      <c r="B4" s="145"/>
      <c r="C4" s="145"/>
      <c r="D4" s="145"/>
      <c r="E4" s="145"/>
      <c r="F4" s="152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4"/>
      <c r="W4" s="152"/>
      <c r="X4" s="153"/>
      <c r="Y4" s="153"/>
      <c r="Z4" s="154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4520078</v>
      </c>
      <c r="D6" s="36"/>
      <c r="E6" s="37">
        <v>4472507</v>
      </c>
      <c r="F6" s="38"/>
      <c r="G6" s="35">
        <v>4237847</v>
      </c>
      <c r="H6" s="39">
        <f>G6-G5</f>
        <v>4237847</v>
      </c>
      <c r="I6" s="40"/>
      <c r="J6" s="41">
        <f>D6+F6+H6</f>
        <v>4237847</v>
      </c>
      <c r="K6" s="41" t="e">
        <f>D6*0.152+F6*0.238+H6*0.115+#REF!*0.218</f>
        <v>#REF!</v>
      </c>
      <c r="L6" s="42"/>
      <c r="M6" s="43">
        <v>104006</v>
      </c>
      <c r="N6" s="39" t="e">
        <f>M6-#REF!</f>
        <v>#REF!</v>
      </c>
      <c r="O6" s="44">
        <v>1844827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192460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55" t="s">
        <v>97</v>
      </c>
      <c r="D7" s="156"/>
      <c r="E7" s="156"/>
      <c r="F7" s="156"/>
      <c r="G7" s="156"/>
      <c r="H7" s="156"/>
      <c r="I7" s="156"/>
      <c r="J7" s="156"/>
      <c r="K7" s="157"/>
      <c r="L7" s="49"/>
      <c r="M7" s="155" t="s">
        <v>98</v>
      </c>
      <c r="N7" s="156"/>
      <c r="O7" s="156"/>
      <c r="P7" s="156"/>
      <c r="Q7" s="156"/>
      <c r="R7" s="157"/>
      <c r="S7" s="49"/>
      <c r="T7" s="158" t="s">
        <v>99</v>
      </c>
      <c r="U7" s="158"/>
      <c r="V7" s="159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119</v>
      </c>
      <c r="B9" s="67">
        <v>1</v>
      </c>
      <c r="C9" s="105">
        <v>4524867</v>
      </c>
      <c r="D9" s="69">
        <f>IF((C9-C6&lt;0), "0",C9-C6)</f>
        <v>4789</v>
      </c>
      <c r="E9" s="106">
        <v>4477274</v>
      </c>
      <c r="F9" s="69">
        <f>IF((E9-E6&lt;0), "0",E9-E6)</f>
        <v>4767</v>
      </c>
      <c r="G9" s="88">
        <v>4242353</v>
      </c>
      <c r="H9" s="69">
        <f>IF((G9-G6&lt;0), "0",G9-G6)</f>
        <v>4506</v>
      </c>
      <c r="I9" s="71">
        <f>SUM(H9,F9,D9)</f>
        <v>14062</v>
      </c>
      <c r="J9" s="72">
        <v>0.98</v>
      </c>
      <c r="K9" s="73">
        <f>I9*0.251</f>
        <v>3529.5619999999999</v>
      </c>
      <c r="L9" s="74"/>
      <c r="M9" s="105">
        <v>104122</v>
      </c>
      <c r="N9" s="69">
        <f>IF((M9-M6&lt;0), "0",M9-M6)</f>
        <v>116</v>
      </c>
      <c r="O9" s="105">
        <v>1845551</v>
      </c>
      <c r="P9" s="69">
        <f>IF((O9-O6&lt;0), "0",O9-O6)</f>
        <v>724</v>
      </c>
      <c r="Q9" s="75">
        <f t="shared" ref="Q9:Q39" si="0">N9+P9</f>
        <v>840</v>
      </c>
      <c r="R9" s="76">
        <f>(P9+N9)*0.056*10.211</f>
        <v>480.32544000000001</v>
      </c>
      <c r="S9" s="77"/>
      <c r="T9" s="107">
        <v>192760</v>
      </c>
      <c r="U9" s="69">
        <f>IF((T9-T6&lt;0), "0",T9-T6)</f>
        <v>300</v>
      </c>
      <c r="V9" s="79">
        <f>U9*(1.315+1.54)</f>
        <v>856.5</v>
      </c>
      <c r="W9" s="80"/>
      <c r="X9" s="81">
        <f t="shared" ref="X9:X39" si="1">K9+R9+V9</f>
        <v>4866.3874400000004</v>
      </c>
      <c r="Y9" s="82">
        <v>44</v>
      </c>
      <c r="Z9" s="83">
        <f>X9/Y9</f>
        <v>110.59971454545456</v>
      </c>
    </row>
    <row r="10" spans="1:27" x14ac:dyDescent="0.25">
      <c r="A10" s="13" t="s">
        <v>120</v>
      </c>
      <c r="B10" s="67">
        <f>B9+1</f>
        <v>2</v>
      </c>
      <c r="C10" s="68">
        <v>4529460</v>
      </c>
      <c r="D10" s="69">
        <f>IF((C10-C9&lt;0), "0",C10-C9)</f>
        <v>4593</v>
      </c>
      <c r="E10" s="70">
        <v>4481858</v>
      </c>
      <c r="F10" s="69">
        <f>IF((E10-E9&lt;0), "0",E10-E9)</f>
        <v>4584</v>
      </c>
      <c r="G10" s="70">
        <v>4246669</v>
      </c>
      <c r="H10" s="69">
        <f>IF((G10-G9&lt;0), "0",G10-G9)</f>
        <v>4316</v>
      </c>
      <c r="I10" s="71">
        <f t="shared" ref="I10:I39" si="2">SUM(H10,F10,D10)</f>
        <v>13493</v>
      </c>
      <c r="J10" s="72">
        <v>0.98</v>
      </c>
      <c r="K10" s="73">
        <f t="shared" ref="K10:K39" si="3">I10*0.251</f>
        <v>3386.7429999999999</v>
      </c>
      <c r="L10" s="74"/>
      <c r="M10" s="70">
        <v>104238</v>
      </c>
      <c r="N10" s="69">
        <f>IF((M10-M9&lt;0), "0",M10-M9)</f>
        <v>116</v>
      </c>
      <c r="O10" s="70">
        <v>1846349</v>
      </c>
      <c r="P10" s="69">
        <f>IF((O10-O9&lt;0), "0",O10-O9)</f>
        <v>798</v>
      </c>
      <c r="Q10" s="75">
        <f t="shared" si="0"/>
        <v>914</v>
      </c>
      <c r="R10" s="76">
        <f t="shared" ref="R10:R39" si="4">(P10+N10)*0.056*10.211</f>
        <v>522.63982400000009</v>
      </c>
      <c r="S10" s="77"/>
      <c r="T10" s="78">
        <v>193080</v>
      </c>
      <c r="U10" s="69">
        <f>IF((T10-T9&lt;0), "0",T10-T9)</f>
        <v>320</v>
      </c>
      <c r="V10" s="79">
        <f t="shared" ref="V10:V39" si="5">U10*(1.315+1.54)</f>
        <v>913.6</v>
      </c>
      <c r="W10" s="80"/>
      <c r="X10" s="84">
        <f t="shared" si="1"/>
        <v>4822.9828240000006</v>
      </c>
      <c r="Y10" s="85">
        <v>49</v>
      </c>
      <c r="Z10" s="86">
        <f t="shared" ref="Z10:Z39" si="6">X10/Y10</f>
        <v>98.428220897959193</v>
      </c>
    </row>
    <row r="11" spans="1:27" x14ac:dyDescent="0.25">
      <c r="A11" s="13" t="s">
        <v>96</v>
      </c>
      <c r="B11" s="67">
        <f t="shared" ref="B11:B38" si="7">B10+1</f>
        <v>3</v>
      </c>
      <c r="C11" s="68">
        <v>4534102</v>
      </c>
      <c r="D11" s="69">
        <f t="shared" ref="D11:D39" si="8">IF((C11-C10&lt;0), "0",C11-C10)</f>
        <v>4642</v>
      </c>
      <c r="E11" s="68">
        <v>4486841</v>
      </c>
      <c r="F11" s="69">
        <f t="shared" ref="F11:F39" si="9">IF((E11-E10&lt;0), "0",E11-E10)</f>
        <v>4983</v>
      </c>
      <c r="G11" s="70">
        <v>4251332</v>
      </c>
      <c r="H11" s="69">
        <f t="shared" ref="H11:H39" si="10">IF((G11-G10&lt;0), "0",G11-G10)</f>
        <v>4663</v>
      </c>
      <c r="I11" s="71">
        <f t="shared" si="2"/>
        <v>14288</v>
      </c>
      <c r="J11" s="72">
        <v>0.98</v>
      </c>
      <c r="K11" s="73">
        <f t="shared" si="3"/>
        <v>3586.288</v>
      </c>
      <c r="L11" s="74"/>
      <c r="M11" s="70">
        <v>104354</v>
      </c>
      <c r="N11" s="69">
        <f t="shared" ref="N11:N39" si="11">IF((M11-M10&lt;0), "0",M11-M10)</f>
        <v>116</v>
      </c>
      <c r="O11" s="70">
        <v>1847012</v>
      </c>
      <c r="P11" s="69">
        <f t="shared" ref="P11:P39" si="12">IF((O11-O10&lt;0), "0",O11-O10)</f>
        <v>663</v>
      </c>
      <c r="Q11" s="75">
        <f t="shared" si="0"/>
        <v>779</v>
      </c>
      <c r="R11" s="76">
        <f t="shared" si="4"/>
        <v>445.44466400000005</v>
      </c>
      <c r="S11" s="77"/>
      <c r="T11" s="87">
        <v>193481</v>
      </c>
      <c r="U11" s="69">
        <f t="shared" ref="U11:U39" si="13">IF((T11-T10&lt;0), "0",T11-T10)</f>
        <v>401</v>
      </c>
      <c r="V11" s="79">
        <f t="shared" si="5"/>
        <v>1144.855</v>
      </c>
      <c r="W11" s="80"/>
      <c r="X11" s="84">
        <f t="shared" si="1"/>
        <v>5176.5876640000006</v>
      </c>
      <c r="Y11" s="85">
        <v>51</v>
      </c>
      <c r="Z11" s="86">
        <f t="shared" si="6"/>
        <v>101.5017189019608</v>
      </c>
    </row>
    <row r="12" spans="1:27" x14ac:dyDescent="0.25">
      <c r="A12" s="13" t="s">
        <v>121</v>
      </c>
      <c r="B12" s="67">
        <f t="shared" si="7"/>
        <v>4</v>
      </c>
      <c r="C12" s="68">
        <v>4538688</v>
      </c>
      <c r="D12" s="69">
        <f t="shared" si="8"/>
        <v>4586</v>
      </c>
      <c r="E12" s="68">
        <v>4491100</v>
      </c>
      <c r="F12" s="69">
        <f t="shared" si="9"/>
        <v>4259</v>
      </c>
      <c r="G12" s="70">
        <v>4255358</v>
      </c>
      <c r="H12" s="69">
        <f t="shared" si="10"/>
        <v>4026</v>
      </c>
      <c r="I12" s="71">
        <f t="shared" si="2"/>
        <v>12871</v>
      </c>
      <c r="J12" s="72">
        <v>0.98</v>
      </c>
      <c r="K12" s="73">
        <f t="shared" si="3"/>
        <v>3230.6210000000001</v>
      </c>
      <c r="L12" s="74"/>
      <c r="M12" s="70">
        <v>104446</v>
      </c>
      <c r="N12" s="69">
        <f t="shared" si="11"/>
        <v>92</v>
      </c>
      <c r="O12" s="70">
        <v>1847839</v>
      </c>
      <c r="P12" s="69">
        <f t="shared" si="12"/>
        <v>827</v>
      </c>
      <c r="Q12" s="75">
        <f t="shared" si="0"/>
        <v>919</v>
      </c>
      <c r="R12" s="76">
        <f t="shared" si="4"/>
        <v>525.49890400000004</v>
      </c>
      <c r="S12" s="77"/>
      <c r="T12" s="78">
        <v>193796</v>
      </c>
      <c r="U12" s="69">
        <f t="shared" si="13"/>
        <v>315</v>
      </c>
      <c r="V12" s="79">
        <f t="shared" si="5"/>
        <v>899.32500000000005</v>
      </c>
      <c r="W12" s="80"/>
      <c r="X12" s="84">
        <f t="shared" si="1"/>
        <v>4655.444904</v>
      </c>
      <c r="Y12" s="85">
        <v>56</v>
      </c>
      <c r="Z12" s="86">
        <f t="shared" si="6"/>
        <v>83.132944714285713</v>
      </c>
    </row>
    <row r="13" spans="1:27" x14ac:dyDescent="0.25">
      <c r="A13" s="13" t="s">
        <v>116</v>
      </c>
      <c r="B13" s="67">
        <f t="shared" si="7"/>
        <v>5</v>
      </c>
      <c r="C13" s="88">
        <v>4542554</v>
      </c>
      <c r="D13" s="69">
        <f t="shared" si="8"/>
        <v>3866</v>
      </c>
      <c r="E13" s="68">
        <v>4495254</v>
      </c>
      <c r="F13" s="69">
        <f t="shared" si="9"/>
        <v>4154</v>
      </c>
      <c r="G13" s="88">
        <v>4258954</v>
      </c>
      <c r="H13" s="69">
        <f t="shared" si="10"/>
        <v>3596</v>
      </c>
      <c r="I13" s="71">
        <f t="shared" si="2"/>
        <v>11616</v>
      </c>
      <c r="J13" s="72">
        <v>0.98</v>
      </c>
      <c r="K13" s="73">
        <f t="shared" si="3"/>
        <v>2915.616</v>
      </c>
      <c r="L13" s="74"/>
      <c r="M13" s="70">
        <v>104561</v>
      </c>
      <c r="N13" s="69">
        <f t="shared" si="11"/>
        <v>115</v>
      </c>
      <c r="O13" s="68">
        <v>1848662</v>
      </c>
      <c r="P13" s="69">
        <f t="shared" si="12"/>
        <v>823</v>
      </c>
      <c r="Q13" s="75">
        <f t="shared" si="0"/>
        <v>938</v>
      </c>
      <c r="R13" s="76">
        <f t="shared" si="4"/>
        <v>536.36340800000005</v>
      </c>
      <c r="S13" s="77"/>
      <c r="T13" s="89">
        <v>194241</v>
      </c>
      <c r="U13" s="69">
        <f t="shared" si="13"/>
        <v>445</v>
      </c>
      <c r="V13" s="79">
        <f t="shared" si="5"/>
        <v>1270.4749999999999</v>
      </c>
      <c r="W13" s="80"/>
      <c r="X13" s="84">
        <f t="shared" si="1"/>
        <v>4722.4544079999996</v>
      </c>
      <c r="Y13" s="85">
        <v>57</v>
      </c>
      <c r="Z13" s="86">
        <f t="shared" si="6"/>
        <v>82.850077333333331</v>
      </c>
    </row>
    <row r="14" spans="1:27" x14ac:dyDescent="0.25">
      <c r="A14" s="13" t="s">
        <v>117</v>
      </c>
      <c r="B14" s="67">
        <f t="shared" si="7"/>
        <v>6</v>
      </c>
      <c r="C14" s="68">
        <v>4546516</v>
      </c>
      <c r="D14" s="69">
        <f t="shared" si="8"/>
        <v>3962</v>
      </c>
      <c r="E14" s="68">
        <v>4498979</v>
      </c>
      <c r="F14" s="69">
        <f t="shared" si="9"/>
        <v>3725</v>
      </c>
      <c r="G14" s="88">
        <v>4262673</v>
      </c>
      <c r="H14" s="69">
        <f t="shared" si="10"/>
        <v>3719</v>
      </c>
      <c r="I14" s="71">
        <f t="shared" si="2"/>
        <v>11406</v>
      </c>
      <c r="J14" s="72">
        <v>0.98</v>
      </c>
      <c r="K14" s="73">
        <f t="shared" si="3"/>
        <v>2862.9059999999999</v>
      </c>
      <c r="L14" s="74"/>
      <c r="M14" s="70">
        <v>104694</v>
      </c>
      <c r="N14" s="69">
        <f t="shared" si="11"/>
        <v>133</v>
      </c>
      <c r="O14" s="68">
        <v>1849373</v>
      </c>
      <c r="P14" s="69">
        <f t="shared" si="12"/>
        <v>711</v>
      </c>
      <c r="Q14" s="75">
        <f t="shared" si="0"/>
        <v>844</v>
      </c>
      <c r="R14" s="76">
        <f t="shared" si="4"/>
        <v>482.61270400000006</v>
      </c>
      <c r="S14" s="77"/>
      <c r="T14" s="89">
        <v>194701</v>
      </c>
      <c r="U14" s="69">
        <f t="shared" si="13"/>
        <v>460</v>
      </c>
      <c r="V14" s="79">
        <f t="shared" si="5"/>
        <v>1313.3</v>
      </c>
      <c r="W14" s="80"/>
      <c r="X14" s="84">
        <f t="shared" si="1"/>
        <v>4658.8187040000003</v>
      </c>
      <c r="Y14" s="85">
        <v>57</v>
      </c>
      <c r="Z14" s="86">
        <f t="shared" si="6"/>
        <v>81.733661473684208</v>
      </c>
    </row>
    <row r="15" spans="1:27" x14ac:dyDescent="0.25">
      <c r="A15" s="13" t="s">
        <v>118</v>
      </c>
      <c r="B15" s="67">
        <f t="shared" si="7"/>
        <v>7</v>
      </c>
      <c r="C15" s="68">
        <v>4550244</v>
      </c>
      <c r="D15" s="69">
        <f t="shared" si="8"/>
        <v>3728</v>
      </c>
      <c r="E15" s="68">
        <v>4503114</v>
      </c>
      <c r="F15" s="69">
        <f t="shared" si="9"/>
        <v>4135</v>
      </c>
      <c r="G15" s="68">
        <v>4266612</v>
      </c>
      <c r="H15" s="69">
        <f t="shared" si="10"/>
        <v>3939</v>
      </c>
      <c r="I15" s="71">
        <f t="shared" si="2"/>
        <v>11802</v>
      </c>
      <c r="J15" s="72">
        <v>0.98</v>
      </c>
      <c r="K15" s="73">
        <f t="shared" si="3"/>
        <v>2962.3020000000001</v>
      </c>
      <c r="L15" s="74"/>
      <c r="M15" s="70">
        <v>104823</v>
      </c>
      <c r="N15" s="69">
        <f t="shared" si="11"/>
        <v>129</v>
      </c>
      <c r="O15" s="68">
        <v>1850184</v>
      </c>
      <c r="P15" s="69">
        <f t="shared" si="12"/>
        <v>811</v>
      </c>
      <c r="Q15" s="75">
        <f t="shared" si="0"/>
        <v>940</v>
      </c>
      <c r="R15" s="76">
        <f t="shared" si="4"/>
        <v>537.50704000000007</v>
      </c>
      <c r="S15" s="77"/>
      <c r="T15" s="89">
        <v>195011</v>
      </c>
      <c r="U15" s="69">
        <f t="shared" si="13"/>
        <v>310</v>
      </c>
      <c r="V15" s="79">
        <f t="shared" si="5"/>
        <v>885.05</v>
      </c>
      <c r="W15" s="80"/>
      <c r="X15" s="84">
        <f t="shared" si="1"/>
        <v>4384.8590400000003</v>
      </c>
      <c r="Y15" s="85">
        <v>66</v>
      </c>
      <c r="Z15" s="86">
        <f t="shared" si="6"/>
        <v>66.43725818181818</v>
      </c>
    </row>
    <row r="16" spans="1:27" x14ac:dyDescent="0.25">
      <c r="A16" s="13" t="s">
        <v>119</v>
      </c>
      <c r="B16" s="67">
        <f t="shared" si="7"/>
        <v>8</v>
      </c>
      <c r="C16" s="68">
        <v>4554367</v>
      </c>
      <c r="D16" s="69">
        <f t="shared" si="8"/>
        <v>4123</v>
      </c>
      <c r="E16" s="68">
        <v>4507158</v>
      </c>
      <c r="F16" s="69">
        <f t="shared" si="9"/>
        <v>4044</v>
      </c>
      <c r="G16" s="68">
        <v>4270317</v>
      </c>
      <c r="H16" s="69">
        <f t="shared" si="10"/>
        <v>3705</v>
      </c>
      <c r="I16" s="71">
        <f t="shared" si="2"/>
        <v>11872</v>
      </c>
      <c r="J16" s="72">
        <v>0.97</v>
      </c>
      <c r="K16" s="73">
        <f t="shared" si="3"/>
        <v>2979.8719999999998</v>
      </c>
      <c r="L16" s="74"/>
      <c r="M16" s="70">
        <v>104942</v>
      </c>
      <c r="N16" s="69">
        <f t="shared" si="11"/>
        <v>119</v>
      </c>
      <c r="O16" s="68">
        <v>1850864</v>
      </c>
      <c r="P16" s="69">
        <f t="shared" si="12"/>
        <v>680</v>
      </c>
      <c r="Q16" s="75">
        <f t="shared" si="0"/>
        <v>799</v>
      </c>
      <c r="R16" s="76">
        <f t="shared" si="4"/>
        <v>456.88098400000001</v>
      </c>
      <c r="S16" s="77"/>
      <c r="T16" s="89">
        <v>195297</v>
      </c>
      <c r="U16" s="69">
        <f t="shared" si="13"/>
        <v>286</v>
      </c>
      <c r="V16" s="79">
        <f t="shared" si="5"/>
        <v>816.53</v>
      </c>
      <c r="W16" s="80"/>
      <c r="X16" s="84">
        <f t="shared" si="1"/>
        <v>4253.2829839999995</v>
      </c>
      <c r="Y16" s="85">
        <v>66</v>
      </c>
      <c r="Z16" s="86">
        <f t="shared" si="6"/>
        <v>64.443681575757566</v>
      </c>
    </row>
    <row r="17" spans="1:26" x14ac:dyDescent="0.25">
      <c r="A17" s="13" t="s">
        <v>120</v>
      </c>
      <c r="B17" s="67">
        <v>9</v>
      </c>
      <c r="C17" s="90">
        <v>4558618</v>
      </c>
      <c r="D17" s="69">
        <f t="shared" si="8"/>
        <v>4251</v>
      </c>
      <c r="E17" s="90">
        <v>4511344</v>
      </c>
      <c r="F17" s="69">
        <f t="shared" si="9"/>
        <v>4186</v>
      </c>
      <c r="G17" s="90">
        <v>4274124</v>
      </c>
      <c r="H17" s="69">
        <f t="shared" si="10"/>
        <v>3807</v>
      </c>
      <c r="I17" s="71">
        <f t="shared" si="2"/>
        <v>12244</v>
      </c>
      <c r="J17" s="72">
        <v>0.96</v>
      </c>
      <c r="K17" s="73">
        <f t="shared" si="3"/>
        <v>3073.2440000000001</v>
      </c>
      <c r="L17" s="74"/>
      <c r="M17" s="90">
        <v>105076</v>
      </c>
      <c r="N17" s="69">
        <f t="shared" si="11"/>
        <v>134</v>
      </c>
      <c r="O17" s="90">
        <v>1851625</v>
      </c>
      <c r="P17" s="69">
        <f t="shared" si="12"/>
        <v>761</v>
      </c>
      <c r="Q17" s="75">
        <f t="shared" si="0"/>
        <v>895</v>
      </c>
      <c r="R17" s="76">
        <f t="shared" si="4"/>
        <v>511.77532000000008</v>
      </c>
      <c r="S17" s="77"/>
      <c r="T17" s="91">
        <v>195556</v>
      </c>
      <c r="U17" s="69">
        <f t="shared" si="13"/>
        <v>259</v>
      </c>
      <c r="V17" s="79">
        <f t="shared" si="5"/>
        <v>739.44500000000005</v>
      </c>
      <c r="W17" s="80"/>
      <c r="X17" s="84">
        <f t="shared" si="1"/>
        <v>4324.46432</v>
      </c>
      <c r="Y17" s="85">
        <v>77</v>
      </c>
      <c r="Z17" s="86">
        <f t="shared" si="6"/>
        <v>56.161874285714283</v>
      </c>
    </row>
    <row r="18" spans="1:26" x14ac:dyDescent="0.25">
      <c r="A18" s="13" t="s">
        <v>96</v>
      </c>
      <c r="B18" s="92">
        <f t="shared" si="7"/>
        <v>10</v>
      </c>
      <c r="C18" s="90">
        <v>4563042</v>
      </c>
      <c r="D18" s="69">
        <f t="shared" si="8"/>
        <v>4424</v>
      </c>
      <c r="E18" s="68">
        <v>4515559</v>
      </c>
      <c r="F18" s="69">
        <f t="shared" si="9"/>
        <v>4215</v>
      </c>
      <c r="G18" s="68">
        <v>4278181</v>
      </c>
      <c r="H18" s="69">
        <f t="shared" si="10"/>
        <v>4057</v>
      </c>
      <c r="I18" s="71">
        <f t="shared" si="2"/>
        <v>12696</v>
      </c>
      <c r="J18" s="72">
        <v>0.97</v>
      </c>
      <c r="K18" s="73">
        <f t="shared" si="3"/>
        <v>3186.6959999999999</v>
      </c>
      <c r="L18" s="93"/>
      <c r="M18" s="70">
        <v>105221</v>
      </c>
      <c r="N18" s="69">
        <f t="shared" si="11"/>
        <v>145</v>
      </c>
      <c r="O18" s="68">
        <v>1852437</v>
      </c>
      <c r="P18" s="69">
        <f t="shared" si="12"/>
        <v>812</v>
      </c>
      <c r="Q18" s="75">
        <f t="shared" si="0"/>
        <v>957</v>
      </c>
      <c r="R18" s="76">
        <f t="shared" si="4"/>
        <v>547.22791199999995</v>
      </c>
      <c r="S18" s="94"/>
      <c r="T18" s="89">
        <v>195969</v>
      </c>
      <c r="U18" s="69">
        <f t="shared" si="13"/>
        <v>413</v>
      </c>
      <c r="V18" s="79">
        <f t="shared" si="5"/>
        <v>1179.115</v>
      </c>
      <c r="W18" s="80"/>
      <c r="X18" s="84">
        <f t="shared" si="1"/>
        <v>4913.038912</v>
      </c>
      <c r="Y18" s="85">
        <v>79</v>
      </c>
      <c r="Z18" s="95">
        <f t="shared" si="6"/>
        <v>62.190365974683544</v>
      </c>
    </row>
    <row r="19" spans="1:26" x14ac:dyDescent="0.25">
      <c r="A19" s="13" t="s">
        <v>121</v>
      </c>
      <c r="B19" s="96">
        <f t="shared" si="7"/>
        <v>11</v>
      </c>
      <c r="C19" s="68">
        <v>4567315</v>
      </c>
      <c r="D19" s="69">
        <f t="shared" si="8"/>
        <v>4273</v>
      </c>
      <c r="E19" s="68">
        <v>4519818</v>
      </c>
      <c r="F19" s="69">
        <f t="shared" si="9"/>
        <v>4259</v>
      </c>
      <c r="G19" s="68">
        <v>4282200</v>
      </c>
      <c r="H19" s="69">
        <f t="shared" si="10"/>
        <v>4019</v>
      </c>
      <c r="I19" s="71">
        <f t="shared" si="2"/>
        <v>12551</v>
      </c>
      <c r="J19" s="72">
        <v>0.99</v>
      </c>
      <c r="K19" s="73">
        <f t="shared" si="3"/>
        <v>3150.3009999999999</v>
      </c>
      <c r="L19" s="74"/>
      <c r="M19" s="70">
        <v>105307</v>
      </c>
      <c r="N19" s="69">
        <f t="shared" si="11"/>
        <v>86</v>
      </c>
      <c r="O19" s="97">
        <v>1853227</v>
      </c>
      <c r="P19" s="69">
        <f t="shared" si="12"/>
        <v>790</v>
      </c>
      <c r="Q19" s="75">
        <f t="shared" si="0"/>
        <v>876</v>
      </c>
      <c r="R19" s="76">
        <f t="shared" si="4"/>
        <v>500.91081600000007</v>
      </c>
      <c r="S19" s="77"/>
      <c r="T19" s="98">
        <v>196382</v>
      </c>
      <c r="U19" s="69">
        <f t="shared" si="13"/>
        <v>413</v>
      </c>
      <c r="V19" s="79">
        <f t="shared" si="5"/>
        <v>1179.115</v>
      </c>
      <c r="W19" s="80"/>
      <c r="X19" s="84">
        <f t="shared" si="1"/>
        <v>4830.3268159999998</v>
      </c>
      <c r="Y19" s="85">
        <v>79</v>
      </c>
      <c r="Z19" s="83">
        <f t="shared" si="6"/>
        <v>61.143377417721517</v>
      </c>
    </row>
    <row r="20" spans="1:26" x14ac:dyDescent="0.25">
      <c r="A20" s="13" t="s">
        <v>116</v>
      </c>
      <c r="B20" s="67">
        <f t="shared" si="7"/>
        <v>12</v>
      </c>
      <c r="C20" s="68">
        <v>4572082</v>
      </c>
      <c r="D20" s="69">
        <f t="shared" si="8"/>
        <v>4767</v>
      </c>
      <c r="E20" s="68">
        <v>4524579</v>
      </c>
      <c r="F20" s="69">
        <f t="shared" si="9"/>
        <v>4761</v>
      </c>
      <c r="G20" s="68">
        <v>4286700</v>
      </c>
      <c r="H20" s="69">
        <f t="shared" si="10"/>
        <v>4500</v>
      </c>
      <c r="I20" s="71">
        <f t="shared" si="2"/>
        <v>14028</v>
      </c>
      <c r="J20" s="72">
        <v>0.99</v>
      </c>
      <c r="K20" s="73">
        <f t="shared" si="3"/>
        <v>3521.0279999999998</v>
      </c>
      <c r="L20" s="74"/>
      <c r="M20" s="70">
        <v>105438</v>
      </c>
      <c r="N20" s="69">
        <f t="shared" si="11"/>
        <v>131</v>
      </c>
      <c r="O20" s="68">
        <v>1854010</v>
      </c>
      <c r="P20" s="69">
        <f t="shared" si="12"/>
        <v>783</v>
      </c>
      <c r="Q20" s="75">
        <f t="shared" si="0"/>
        <v>914</v>
      </c>
      <c r="R20" s="76">
        <f t="shared" si="4"/>
        <v>522.63982400000009</v>
      </c>
      <c r="S20" s="77"/>
      <c r="T20" s="89">
        <v>196708</v>
      </c>
      <c r="U20" s="69">
        <f t="shared" si="13"/>
        <v>326</v>
      </c>
      <c r="V20" s="79">
        <f t="shared" si="5"/>
        <v>930.73</v>
      </c>
      <c r="W20" s="80"/>
      <c r="X20" s="84">
        <f t="shared" si="1"/>
        <v>4974.3978239999997</v>
      </c>
      <c r="Y20" s="85">
        <v>84</v>
      </c>
      <c r="Z20" s="86">
        <f t="shared" si="6"/>
        <v>59.219021714285709</v>
      </c>
    </row>
    <row r="21" spans="1:26" x14ac:dyDescent="0.25">
      <c r="A21" s="13" t="s">
        <v>117</v>
      </c>
      <c r="B21" s="67">
        <f t="shared" si="7"/>
        <v>13</v>
      </c>
      <c r="C21" s="90">
        <v>4577181</v>
      </c>
      <c r="D21" s="69">
        <f t="shared" si="8"/>
        <v>5099</v>
      </c>
      <c r="E21" s="68">
        <v>4529680</v>
      </c>
      <c r="F21" s="69">
        <f t="shared" si="9"/>
        <v>5101</v>
      </c>
      <c r="G21" s="68">
        <v>4291508</v>
      </c>
      <c r="H21" s="69">
        <f t="shared" si="10"/>
        <v>4808</v>
      </c>
      <c r="I21" s="71">
        <f t="shared" si="2"/>
        <v>15008</v>
      </c>
      <c r="J21" s="72">
        <v>0.99</v>
      </c>
      <c r="K21" s="73">
        <f t="shared" si="3"/>
        <v>3767.0079999999998</v>
      </c>
      <c r="L21" s="74"/>
      <c r="M21" s="70">
        <v>105589</v>
      </c>
      <c r="N21" s="69">
        <f t="shared" si="11"/>
        <v>151</v>
      </c>
      <c r="O21" s="68">
        <v>1854800</v>
      </c>
      <c r="P21" s="69">
        <f t="shared" si="12"/>
        <v>790</v>
      </c>
      <c r="Q21" s="75">
        <f t="shared" si="0"/>
        <v>941</v>
      </c>
      <c r="R21" s="76">
        <f t="shared" si="4"/>
        <v>538.07885599999997</v>
      </c>
      <c r="S21" s="77"/>
      <c r="T21" s="89">
        <v>197167</v>
      </c>
      <c r="U21" s="69">
        <f t="shared" si="13"/>
        <v>459</v>
      </c>
      <c r="V21" s="79">
        <f t="shared" si="5"/>
        <v>1310.4449999999999</v>
      </c>
      <c r="W21" s="80"/>
      <c r="X21" s="84">
        <f t="shared" si="1"/>
        <v>5615.5318559999996</v>
      </c>
      <c r="Y21" s="85">
        <v>90</v>
      </c>
      <c r="Z21" s="86">
        <f t="shared" si="6"/>
        <v>62.394798399999999</v>
      </c>
    </row>
    <row r="22" spans="1:26" x14ac:dyDescent="0.25">
      <c r="A22" s="13" t="s">
        <v>118</v>
      </c>
      <c r="B22" s="67">
        <f t="shared" si="7"/>
        <v>14</v>
      </c>
      <c r="C22" s="90">
        <v>4582269</v>
      </c>
      <c r="D22" s="69">
        <f t="shared" si="8"/>
        <v>5088</v>
      </c>
      <c r="E22" s="68">
        <v>4534750</v>
      </c>
      <c r="F22" s="69">
        <f t="shared" si="9"/>
        <v>5070</v>
      </c>
      <c r="G22" s="68">
        <v>4296319</v>
      </c>
      <c r="H22" s="69">
        <f t="shared" si="10"/>
        <v>4811</v>
      </c>
      <c r="I22" s="71">
        <f t="shared" si="2"/>
        <v>14969</v>
      </c>
      <c r="J22" s="72">
        <v>0.98</v>
      </c>
      <c r="K22" s="73">
        <f t="shared" si="3"/>
        <v>3757.2190000000001</v>
      </c>
      <c r="L22" s="74"/>
      <c r="M22" s="70">
        <v>105720</v>
      </c>
      <c r="N22" s="69">
        <f t="shared" si="11"/>
        <v>131</v>
      </c>
      <c r="O22" s="68">
        <v>1855535</v>
      </c>
      <c r="P22" s="69">
        <f t="shared" si="12"/>
        <v>735</v>
      </c>
      <c r="Q22" s="75">
        <f t="shared" si="0"/>
        <v>866</v>
      </c>
      <c r="R22" s="76">
        <f t="shared" si="4"/>
        <v>495.19265600000006</v>
      </c>
      <c r="S22" s="77"/>
      <c r="T22" s="89">
        <v>197467</v>
      </c>
      <c r="U22" s="69">
        <f t="shared" si="13"/>
        <v>300</v>
      </c>
      <c r="V22" s="79">
        <f t="shared" si="5"/>
        <v>856.5</v>
      </c>
      <c r="W22" s="80"/>
      <c r="X22" s="84">
        <f t="shared" si="1"/>
        <v>5108.9116560000002</v>
      </c>
      <c r="Y22" s="85">
        <v>103</v>
      </c>
      <c r="Z22" s="86">
        <f t="shared" si="6"/>
        <v>49.601084038834955</v>
      </c>
    </row>
    <row r="23" spans="1:26" x14ac:dyDescent="0.25">
      <c r="A23" s="13" t="s">
        <v>119</v>
      </c>
      <c r="B23" s="67">
        <f t="shared" si="7"/>
        <v>15</v>
      </c>
      <c r="C23" s="68">
        <v>4587347</v>
      </c>
      <c r="D23" s="69">
        <f t="shared" si="8"/>
        <v>5078</v>
      </c>
      <c r="E23" s="68">
        <v>4539791</v>
      </c>
      <c r="F23" s="69">
        <f t="shared" si="9"/>
        <v>5041</v>
      </c>
      <c r="G23" s="68">
        <v>4301105</v>
      </c>
      <c r="H23" s="69">
        <f t="shared" si="10"/>
        <v>4786</v>
      </c>
      <c r="I23" s="71">
        <f t="shared" si="2"/>
        <v>14905</v>
      </c>
      <c r="J23" s="72">
        <v>0.99</v>
      </c>
      <c r="K23" s="73">
        <f t="shared" si="3"/>
        <v>3741.1550000000002</v>
      </c>
      <c r="L23" s="74"/>
      <c r="M23" s="70">
        <v>105844</v>
      </c>
      <c r="N23" s="69">
        <f t="shared" si="11"/>
        <v>124</v>
      </c>
      <c r="O23" s="68">
        <v>1856291</v>
      </c>
      <c r="P23" s="69">
        <f t="shared" si="12"/>
        <v>756</v>
      </c>
      <c r="Q23" s="75">
        <f t="shared" si="0"/>
        <v>880</v>
      </c>
      <c r="R23" s="76">
        <f t="shared" si="4"/>
        <v>503.19808</v>
      </c>
      <c r="S23" s="77"/>
      <c r="T23" s="89">
        <v>197893</v>
      </c>
      <c r="U23" s="69">
        <f t="shared" si="13"/>
        <v>426</v>
      </c>
      <c r="V23" s="79">
        <f t="shared" si="5"/>
        <v>1216.23</v>
      </c>
      <c r="W23" s="80"/>
      <c r="X23" s="84">
        <f t="shared" si="1"/>
        <v>5460.5830800000003</v>
      </c>
      <c r="Y23" s="85">
        <v>102</v>
      </c>
      <c r="Z23" s="86">
        <f t="shared" si="6"/>
        <v>53.535128235294124</v>
      </c>
    </row>
    <row r="24" spans="1:26" x14ac:dyDescent="0.25">
      <c r="A24" s="13" t="s">
        <v>120</v>
      </c>
      <c r="B24" s="67">
        <f t="shared" si="7"/>
        <v>16</v>
      </c>
      <c r="C24" s="68">
        <v>4592157</v>
      </c>
      <c r="D24" s="69">
        <f t="shared" si="8"/>
        <v>4810</v>
      </c>
      <c r="E24" s="68">
        <v>4544572</v>
      </c>
      <c r="F24" s="69">
        <f t="shared" si="9"/>
        <v>4781</v>
      </c>
      <c r="G24" s="68">
        <v>4305611</v>
      </c>
      <c r="H24" s="69">
        <f t="shared" si="10"/>
        <v>4506</v>
      </c>
      <c r="I24" s="71">
        <f t="shared" si="2"/>
        <v>14097</v>
      </c>
      <c r="J24" s="72">
        <v>0.99</v>
      </c>
      <c r="K24" s="73">
        <f t="shared" si="3"/>
        <v>3538.3470000000002</v>
      </c>
      <c r="L24" s="74"/>
      <c r="M24" s="70">
        <v>105955</v>
      </c>
      <c r="N24" s="69">
        <f t="shared" si="11"/>
        <v>111</v>
      </c>
      <c r="O24" s="68">
        <v>1857011</v>
      </c>
      <c r="P24" s="69">
        <f t="shared" si="12"/>
        <v>720</v>
      </c>
      <c r="Q24" s="75">
        <f t="shared" si="0"/>
        <v>831</v>
      </c>
      <c r="R24" s="76">
        <f t="shared" si="4"/>
        <v>475.17909600000002</v>
      </c>
      <c r="S24" s="77"/>
      <c r="T24" s="89">
        <v>198238</v>
      </c>
      <c r="U24" s="69">
        <f t="shared" si="13"/>
        <v>345</v>
      </c>
      <c r="V24" s="79">
        <f t="shared" si="5"/>
        <v>984.97500000000002</v>
      </c>
      <c r="W24" s="80"/>
      <c r="X24" s="84">
        <f t="shared" si="1"/>
        <v>4998.501096</v>
      </c>
      <c r="Y24" s="85">
        <v>93</v>
      </c>
      <c r="Z24" s="86">
        <f t="shared" si="6"/>
        <v>53.747323612903223</v>
      </c>
    </row>
    <row r="25" spans="1:26" x14ac:dyDescent="0.25">
      <c r="A25" s="13" t="s">
        <v>96</v>
      </c>
      <c r="B25" s="67">
        <f t="shared" si="7"/>
        <v>17</v>
      </c>
      <c r="C25" s="68">
        <v>4596884</v>
      </c>
      <c r="D25" s="69">
        <f t="shared" si="8"/>
        <v>4727</v>
      </c>
      <c r="E25" s="68">
        <v>4548897</v>
      </c>
      <c r="F25" s="69">
        <f t="shared" si="9"/>
        <v>4325</v>
      </c>
      <c r="G25" s="68">
        <v>4309901</v>
      </c>
      <c r="H25" s="69">
        <f t="shared" si="10"/>
        <v>4290</v>
      </c>
      <c r="I25" s="71">
        <f t="shared" si="2"/>
        <v>13342</v>
      </c>
      <c r="J25" s="72">
        <v>0.99</v>
      </c>
      <c r="K25" s="73">
        <f t="shared" si="3"/>
        <v>3348.8420000000001</v>
      </c>
      <c r="L25" s="74"/>
      <c r="M25" s="70">
        <v>106064</v>
      </c>
      <c r="N25" s="69">
        <f t="shared" si="11"/>
        <v>109</v>
      </c>
      <c r="O25" s="68">
        <v>1857814</v>
      </c>
      <c r="P25" s="69">
        <f t="shared" si="12"/>
        <v>803</v>
      </c>
      <c r="Q25" s="75">
        <f t="shared" si="0"/>
        <v>912</v>
      </c>
      <c r="R25" s="76">
        <f t="shared" si="4"/>
        <v>521.49619200000006</v>
      </c>
      <c r="S25" s="77"/>
      <c r="T25" s="89">
        <v>198660</v>
      </c>
      <c r="U25" s="69">
        <f t="shared" si="13"/>
        <v>422</v>
      </c>
      <c r="V25" s="79">
        <f t="shared" si="5"/>
        <v>1204.81</v>
      </c>
      <c r="W25" s="80"/>
      <c r="X25" s="84">
        <f t="shared" si="1"/>
        <v>5075.1481920000006</v>
      </c>
      <c r="Y25" s="85">
        <v>83</v>
      </c>
      <c r="Z25" s="86">
        <f t="shared" si="6"/>
        <v>61.146363759036149</v>
      </c>
    </row>
    <row r="26" spans="1:26" x14ac:dyDescent="0.25">
      <c r="A26" s="13" t="s">
        <v>121</v>
      </c>
      <c r="B26" s="67">
        <f t="shared" si="7"/>
        <v>18</v>
      </c>
      <c r="C26" s="68">
        <v>4601449</v>
      </c>
      <c r="D26" s="69">
        <f t="shared" si="8"/>
        <v>4565</v>
      </c>
      <c r="E26" s="68">
        <v>4553847</v>
      </c>
      <c r="F26" s="69">
        <f t="shared" si="9"/>
        <v>4950</v>
      </c>
      <c r="G26" s="68">
        <v>4314358</v>
      </c>
      <c r="H26" s="69">
        <f t="shared" si="10"/>
        <v>4457</v>
      </c>
      <c r="I26" s="71">
        <f t="shared" si="2"/>
        <v>13972</v>
      </c>
      <c r="J26" s="72">
        <v>0.99</v>
      </c>
      <c r="K26" s="73">
        <f t="shared" si="3"/>
        <v>3506.9720000000002</v>
      </c>
      <c r="L26" s="74"/>
      <c r="M26" s="70">
        <v>106189</v>
      </c>
      <c r="N26" s="69">
        <f t="shared" si="11"/>
        <v>125</v>
      </c>
      <c r="O26" s="68">
        <v>1858607</v>
      </c>
      <c r="P26" s="69">
        <f t="shared" si="12"/>
        <v>793</v>
      </c>
      <c r="Q26" s="75">
        <f t="shared" si="0"/>
        <v>918</v>
      </c>
      <c r="R26" s="76">
        <f t="shared" si="4"/>
        <v>524.92708800000003</v>
      </c>
      <c r="S26" s="77"/>
      <c r="T26" s="89">
        <v>199062</v>
      </c>
      <c r="U26" s="69">
        <f t="shared" si="13"/>
        <v>402</v>
      </c>
      <c r="V26" s="79">
        <f t="shared" si="5"/>
        <v>1147.71</v>
      </c>
      <c r="W26" s="80"/>
      <c r="X26" s="84">
        <f t="shared" si="1"/>
        <v>5179.6090880000002</v>
      </c>
      <c r="Y26" s="85">
        <v>79</v>
      </c>
      <c r="Z26" s="86">
        <f t="shared" si="6"/>
        <v>65.564672000000002</v>
      </c>
    </row>
    <row r="27" spans="1:26" x14ac:dyDescent="0.25">
      <c r="A27" s="13" t="s">
        <v>116</v>
      </c>
      <c r="B27" s="67">
        <f t="shared" si="7"/>
        <v>19</v>
      </c>
      <c r="C27" s="68">
        <v>4606331</v>
      </c>
      <c r="D27" s="69">
        <f t="shared" si="8"/>
        <v>4882</v>
      </c>
      <c r="E27" s="68">
        <v>4558760</v>
      </c>
      <c r="F27" s="69">
        <f t="shared" si="9"/>
        <v>4913</v>
      </c>
      <c r="G27" s="68">
        <v>4318998</v>
      </c>
      <c r="H27" s="69">
        <f t="shared" si="10"/>
        <v>4640</v>
      </c>
      <c r="I27" s="71">
        <f t="shared" si="2"/>
        <v>14435</v>
      </c>
      <c r="J27" s="72">
        <v>0.97</v>
      </c>
      <c r="K27" s="73">
        <f t="shared" si="3"/>
        <v>3623.1849999999999</v>
      </c>
      <c r="L27" s="99"/>
      <c r="M27" s="70">
        <v>106296</v>
      </c>
      <c r="N27" s="69">
        <f t="shared" si="11"/>
        <v>107</v>
      </c>
      <c r="O27" s="68">
        <v>1859315</v>
      </c>
      <c r="P27" s="69">
        <f t="shared" si="12"/>
        <v>708</v>
      </c>
      <c r="Q27" s="75">
        <f t="shared" si="0"/>
        <v>815</v>
      </c>
      <c r="R27" s="76">
        <f t="shared" si="4"/>
        <v>466.03004000000004</v>
      </c>
      <c r="S27" s="77"/>
      <c r="T27" s="89">
        <v>199413</v>
      </c>
      <c r="U27" s="69">
        <f t="shared" si="13"/>
        <v>351</v>
      </c>
      <c r="V27" s="79">
        <f t="shared" si="5"/>
        <v>1002.105</v>
      </c>
      <c r="W27" s="80"/>
      <c r="X27" s="84">
        <f t="shared" si="1"/>
        <v>5091.3200400000005</v>
      </c>
      <c r="Y27" s="85">
        <v>88</v>
      </c>
      <c r="Z27" s="86">
        <f t="shared" si="6"/>
        <v>57.855909545454551</v>
      </c>
    </row>
    <row r="28" spans="1:26" x14ac:dyDescent="0.25">
      <c r="A28" s="13" t="s">
        <v>117</v>
      </c>
      <c r="B28" s="92">
        <f t="shared" si="7"/>
        <v>20</v>
      </c>
      <c r="C28" s="90">
        <v>4611041</v>
      </c>
      <c r="D28" s="69">
        <f t="shared" si="8"/>
        <v>4710</v>
      </c>
      <c r="E28" s="90">
        <v>4563493</v>
      </c>
      <c r="F28" s="69">
        <f t="shared" si="9"/>
        <v>4733</v>
      </c>
      <c r="G28" s="90">
        <v>4323447</v>
      </c>
      <c r="H28" s="69">
        <f t="shared" si="10"/>
        <v>4449</v>
      </c>
      <c r="I28" s="71">
        <f t="shared" si="2"/>
        <v>13892</v>
      </c>
      <c r="J28" s="72">
        <v>0.98</v>
      </c>
      <c r="K28" s="73">
        <f t="shared" si="3"/>
        <v>3486.8919999999998</v>
      </c>
      <c r="L28" s="100"/>
      <c r="M28" s="70">
        <v>106418</v>
      </c>
      <c r="N28" s="69">
        <f t="shared" si="11"/>
        <v>122</v>
      </c>
      <c r="O28" s="68">
        <v>1860137</v>
      </c>
      <c r="P28" s="69">
        <f t="shared" si="12"/>
        <v>822</v>
      </c>
      <c r="Q28" s="75">
        <f t="shared" si="0"/>
        <v>944</v>
      </c>
      <c r="R28" s="76">
        <f t="shared" si="4"/>
        <v>539.79430400000001</v>
      </c>
      <c r="S28" s="68"/>
      <c r="T28" s="89">
        <v>199734</v>
      </c>
      <c r="U28" s="69">
        <f t="shared" si="13"/>
        <v>321</v>
      </c>
      <c r="V28" s="79">
        <f t="shared" si="5"/>
        <v>916.45500000000004</v>
      </c>
      <c r="W28" s="80"/>
      <c r="X28" s="101">
        <f t="shared" si="1"/>
        <v>4943.1413039999998</v>
      </c>
      <c r="Y28" s="85">
        <v>95</v>
      </c>
      <c r="Z28" s="95">
        <f t="shared" si="6"/>
        <v>52.033066357894732</v>
      </c>
    </row>
    <row r="29" spans="1:26" x14ac:dyDescent="0.25">
      <c r="A29" s="13" t="s">
        <v>118</v>
      </c>
      <c r="B29" s="96">
        <f t="shared" si="7"/>
        <v>21</v>
      </c>
      <c r="C29" s="68">
        <v>4616307</v>
      </c>
      <c r="D29" s="69">
        <f t="shared" si="8"/>
        <v>5266</v>
      </c>
      <c r="E29" s="68">
        <v>4568763</v>
      </c>
      <c r="F29" s="69">
        <f t="shared" si="9"/>
        <v>5270</v>
      </c>
      <c r="G29" s="68">
        <v>4328429</v>
      </c>
      <c r="H29" s="69">
        <f t="shared" si="10"/>
        <v>4982</v>
      </c>
      <c r="I29" s="71">
        <f t="shared" si="2"/>
        <v>15518</v>
      </c>
      <c r="J29" s="72">
        <v>0.97</v>
      </c>
      <c r="K29" s="73">
        <f t="shared" si="3"/>
        <v>3895.018</v>
      </c>
      <c r="L29" s="74"/>
      <c r="M29" s="70">
        <v>106539</v>
      </c>
      <c r="N29" s="69">
        <f t="shared" si="11"/>
        <v>121</v>
      </c>
      <c r="O29" s="68">
        <v>1860980</v>
      </c>
      <c r="P29" s="69">
        <f t="shared" si="12"/>
        <v>843</v>
      </c>
      <c r="Q29" s="75">
        <f t="shared" si="0"/>
        <v>964</v>
      </c>
      <c r="R29" s="76">
        <f t="shared" si="4"/>
        <v>551.23062400000003</v>
      </c>
      <c r="S29" s="77"/>
      <c r="T29" s="89">
        <v>199956</v>
      </c>
      <c r="U29" s="69">
        <f t="shared" si="13"/>
        <v>222</v>
      </c>
      <c r="V29" s="79">
        <f t="shared" si="5"/>
        <v>633.80999999999995</v>
      </c>
      <c r="W29" s="80"/>
      <c r="X29" s="81">
        <f t="shared" si="1"/>
        <v>5080.0586239999993</v>
      </c>
      <c r="Y29" s="85">
        <v>77</v>
      </c>
      <c r="Z29" s="83">
        <f t="shared" si="6"/>
        <v>65.974787324675319</v>
      </c>
    </row>
    <row r="30" spans="1:26" x14ac:dyDescent="0.25">
      <c r="A30" s="13" t="s">
        <v>119</v>
      </c>
      <c r="B30" s="67">
        <f t="shared" si="7"/>
        <v>22</v>
      </c>
      <c r="C30" s="68">
        <v>4621885</v>
      </c>
      <c r="D30" s="69">
        <f t="shared" si="8"/>
        <v>5578</v>
      </c>
      <c r="E30" s="68">
        <v>4574325</v>
      </c>
      <c r="F30" s="69">
        <f t="shared" si="9"/>
        <v>5562</v>
      </c>
      <c r="G30" s="68">
        <v>4333707</v>
      </c>
      <c r="H30" s="69">
        <f t="shared" si="10"/>
        <v>5278</v>
      </c>
      <c r="I30" s="71">
        <f t="shared" si="2"/>
        <v>16418</v>
      </c>
      <c r="J30" s="72">
        <v>0.98</v>
      </c>
      <c r="K30" s="73">
        <f t="shared" si="3"/>
        <v>4120.9179999999997</v>
      </c>
      <c r="L30" s="74"/>
      <c r="M30" s="70">
        <v>106671</v>
      </c>
      <c r="N30" s="69">
        <f t="shared" si="11"/>
        <v>132</v>
      </c>
      <c r="O30" s="68">
        <v>1861815</v>
      </c>
      <c r="P30" s="69">
        <f t="shared" si="12"/>
        <v>835</v>
      </c>
      <c r="Q30" s="75">
        <f t="shared" si="0"/>
        <v>967</v>
      </c>
      <c r="R30" s="76">
        <f t="shared" si="4"/>
        <v>552.94607200000007</v>
      </c>
      <c r="S30" s="77"/>
      <c r="T30" s="89">
        <v>200397</v>
      </c>
      <c r="U30" s="69">
        <f t="shared" si="13"/>
        <v>441</v>
      </c>
      <c r="V30" s="79">
        <f t="shared" si="5"/>
        <v>1259.0550000000001</v>
      </c>
      <c r="W30" s="80"/>
      <c r="X30" s="84">
        <f t="shared" si="1"/>
        <v>5932.9190719999997</v>
      </c>
      <c r="Y30" s="85">
        <v>71</v>
      </c>
      <c r="Z30" s="86">
        <f t="shared" si="6"/>
        <v>83.562240450704223</v>
      </c>
    </row>
    <row r="31" spans="1:26" x14ac:dyDescent="0.25">
      <c r="A31" s="13" t="s">
        <v>120</v>
      </c>
      <c r="B31" s="67">
        <f t="shared" si="7"/>
        <v>23</v>
      </c>
      <c r="C31" s="68">
        <v>4627426</v>
      </c>
      <c r="D31" s="69">
        <f t="shared" si="8"/>
        <v>5541</v>
      </c>
      <c r="E31" s="68">
        <v>4579878</v>
      </c>
      <c r="F31" s="69">
        <f t="shared" si="9"/>
        <v>5553</v>
      </c>
      <c r="G31" s="68">
        <v>4338951</v>
      </c>
      <c r="H31" s="69">
        <f t="shared" si="10"/>
        <v>5244</v>
      </c>
      <c r="I31" s="71">
        <f t="shared" si="2"/>
        <v>16338</v>
      </c>
      <c r="J31" s="72">
        <v>0.97</v>
      </c>
      <c r="K31" s="73">
        <f t="shared" si="3"/>
        <v>4100.8379999999997</v>
      </c>
      <c r="L31" s="74"/>
      <c r="M31" s="70">
        <v>106800</v>
      </c>
      <c r="N31" s="69">
        <f t="shared" si="11"/>
        <v>129</v>
      </c>
      <c r="O31" s="68">
        <v>1862549</v>
      </c>
      <c r="P31" s="69">
        <f t="shared" si="12"/>
        <v>734</v>
      </c>
      <c r="Q31" s="75">
        <f t="shared" si="0"/>
        <v>863</v>
      </c>
      <c r="R31" s="76">
        <f t="shared" si="4"/>
        <v>493.47720800000002</v>
      </c>
      <c r="S31" s="77"/>
      <c r="T31" s="89">
        <v>200626</v>
      </c>
      <c r="U31" s="69">
        <f t="shared" si="13"/>
        <v>229</v>
      </c>
      <c r="V31" s="79">
        <f t="shared" si="5"/>
        <v>653.79499999999996</v>
      </c>
      <c r="W31" s="80"/>
      <c r="X31" s="102">
        <f t="shared" si="1"/>
        <v>5248.1102080000001</v>
      </c>
      <c r="Y31" s="85">
        <v>64</v>
      </c>
      <c r="Z31" s="86">
        <f t="shared" si="6"/>
        <v>82.001722000000001</v>
      </c>
    </row>
    <row r="32" spans="1:26" x14ac:dyDescent="0.25">
      <c r="A32" s="13" t="s">
        <v>96</v>
      </c>
      <c r="B32" s="67">
        <f t="shared" si="7"/>
        <v>24</v>
      </c>
      <c r="C32" s="68">
        <v>4632004</v>
      </c>
      <c r="D32" s="69">
        <f t="shared" si="8"/>
        <v>4578</v>
      </c>
      <c r="E32" s="68">
        <v>4584411</v>
      </c>
      <c r="F32" s="69">
        <f t="shared" si="9"/>
        <v>4533</v>
      </c>
      <c r="G32" s="68">
        <v>4342954</v>
      </c>
      <c r="H32" s="69">
        <f t="shared" si="10"/>
        <v>4003</v>
      </c>
      <c r="I32" s="71">
        <f t="shared" si="2"/>
        <v>13114</v>
      </c>
      <c r="J32" s="72">
        <v>0.99</v>
      </c>
      <c r="K32" s="73">
        <f t="shared" si="3"/>
        <v>3291.614</v>
      </c>
      <c r="L32" s="74"/>
      <c r="M32" s="70">
        <v>106889</v>
      </c>
      <c r="N32" s="69">
        <f t="shared" si="11"/>
        <v>89</v>
      </c>
      <c r="O32" s="68">
        <v>1863412</v>
      </c>
      <c r="P32" s="69">
        <f t="shared" si="12"/>
        <v>863</v>
      </c>
      <c r="Q32" s="75">
        <f t="shared" si="0"/>
        <v>952</v>
      </c>
      <c r="R32" s="76">
        <f t="shared" si="4"/>
        <v>544.368832</v>
      </c>
      <c r="S32" s="77"/>
      <c r="T32" s="89">
        <v>200788</v>
      </c>
      <c r="U32" s="69">
        <f t="shared" si="13"/>
        <v>162</v>
      </c>
      <c r="V32" s="79">
        <f t="shared" si="5"/>
        <v>462.51</v>
      </c>
      <c r="W32" s="80"/>
      <c r="X32" s="102">
        <f t="shared" si="1"/>
        <v>4298.4928319999999</v>
      </c>
      <c r="Y32" s="85">
        <v>47</v>
      </c>
      <c r="Z32" s="86">
        <f t="shared" si="6"/>
        <v>91.457294297872338</v>
      </c>
    </row>
    <row r="33" spans="1:26" x14ac:dyDescent="0.25">
      <c r="A33" s="13" t="s">
        <v>121</v>
      </c>
      <c r="B33" s="67">
        <f t="shared" si="7"/>
        <v>25</v>
      </c>
      <c r="C33" s="68">
        <v>4636542</v>
      </c>
      <c r="D33" s="69">
        <f t="shared" si="8"/>
        <v>4538</v>
      </c>
      <c r="E33" s="68">
        <v>4589045</v>
      </c>
      <c r="F33" s="69">
        <f t="shared" si="9"/>
        <v>4634</v>
      </c>
      <c r="G33" s="68">
        <v>4347547</v>
      </c>
      <c r="H33" s="69">
        <f t="shared" si="10"/>
        <v>4593</v>
      </c>
      <c r="I33" s="71">
        <f t="shared" si="2"/>
        <v>13765</v>
      </c>
      <c r="J33" s="72">
        <v>0.99</v>
      </c>
      <c r="K33" s="73">
        <f t="shared" si="3"/>
        <v>3455.0149999999999</v>
      </c>
      <c r="L33" s="74"/>
      <c r="M33" s="70">
        <v>106979</v>
      </c>
      <c r="N33" s="69">
        <f t="shared" si="11"/>
        <v>90</v>
      </c>
      <c r="O33" s="68">
        <v>1864139</v>
      </c>
      <c r="P33" s="69">
        <f t="shared" si="12"/>
        <v>727</v>
      </c>
      <c r="Q33" s="75">
        <f t="shared" si="0"/>
        <v>817</v>
      </c>
      <c r="R33" s="76">
        <f t="shared" si="4"/>
        <v>467.17367200000001</v>
      </c>
      <c r="S33" s="77"/>
      <c r="T33" s="89">
        <v>200948</v>
      </c>
      <c r="U33" s="69">
        <f t="shared" si="13"/>
        <v>160</v>
      </c>
      <c r="V33" s="79">
        <f t="shared" si="5"/>
        <v>456.8</v>
      </c>
      <c r="W33" s="80"/>
      <c r="X33" s="102">
        <f t="shared" si="1"/>
        <v>4378.9886719999995</v>
      </c>
      <c r="Y33" s="85">
        <v>50</v>
      </c>
      <c r="Z33" s="86">
        <f t="shared" si="6"/>
        <v>87.579773439999997</v>
      </c>
    </row>
    <row r="34" spans="1:26" x14ac:dyDescent="0.25">
      <c r="A34" s="13" t="s">
        <v>116</v>
      </c>
      <c r="B34" s="67">
        <f t="shared" si="7"/>
        <v>26</v>
      </c>
      <c r="C34" s="90">
        <v>4640759</v>
      </c>
      <c r="D34" s="69">
        <f t="shared" si="8"/>
        <v>4217</v>
      </c>
      <c r="E34" s="68">
        <v>4593314</v>
      </c>
      <c r="F34" s="69">
        <f t="shared" si="9"/>
        <v>4269</v>
      </c>
      <c r="G34" s="68">
        <v>4351518</v>
      </c>
      <c r="H34" s="69">
        <f t="shared" si="10"/>
        <v>3971</v>
      </c>
      <c r="I34" s="71">
        <f t="shared" si="2"/>
        <v>12457</v>
      </c>
      <c r="J34" s="72">
        <v>0.99</v>
      </c>
      <c r="K34" s="73">
        <f t="shared" si="3"/>
        <v>3126.7069999999999</v>
      </c>
      <c r="L34" s="74"/>
      <c r="M34" s="70">
        <v>107093</v>
      </c>
      <c r="N34" s="69">
        <f t="shared" si="11"/>
        <v>114</v>
      </c>
      <c r="O34" s="68">
        <v>1864917</v>
      </c>
      <c r="P34" s="69">
        <f t="shared" si="12"/>
        <v>778</v>
      </c>
      <c r="Q34" s="75">
        <f t="shared" si="0"/>
        <v>892</v>
      </c>
      <c r="R34" s="76">
        <f t="shared" si="4"/>
        <v>510.05987199999998</v>
      </c>
      <c r="S34" s="77"/>
      <c r="T34" s="89">
        <v>201126</v>
      </c>
      <c r="U34" s="69">
        <f t="shared" si="13"/>
        <v>178</v>
      </c>
      <c r="V34" s="79">
        <f t="shared" si="5"/>
        <v>508.19</v>
      </c>
      <c r="W34" s="80"/>
      <c r="X34" s="102">
        <f t="shared" si="1"/>
        <v>4144.9568719999997</v>
      </c>
      <c r="Y34" s="85">
        <v>41</v>
      </c>
      <c r="Z34" s="86">
        <f t="shared" si="6"/>
        <v>101.09650907317072</v>
      </c>
    </row>
    <row r="35" spans="1:26" x14ac:dyDescent="0.25">
      <c r="A35" s="13" t="s">
        <v>117</v>
      </c>
      <c r="B35" s="67">
        <f t="shared" si="7"/>
        <v>27</v>
      </c>
      <c r="C35" s="90">
        <v>4645062</v>
      </c>
      <c r="D35" s="69">
        <f t="shared" si="8"/>
        <v>4303</v>
      </c>
      <c r="E35" s="68">
        <v>4597620</v>
      </c>
      <c r="F35" s="69">
        <f t="shared" si="9"/>
        <v>4306</v>
      </c>
      <c r="G35" s="68">
        <v>4355553</v>
      </c>
      <c r="H35" s="69">
        <f t="shared" si="10"/>
        <v>4035</v>
      </c>
      <c r="I35" s="71">
        <f t="shared" si="2"/>
        <v>12644</v>
      </c>
      <c r="J35" s="72">
        <v>0.99</v>
      </c>
      <c r="K35" s="73">
        <f t="shared" si="3"/>
        <v>3173.6440000000002</v>
      </c>
      <c r="L35" s="74"/>
      <c r="M35" s="70">
        <v>107206</v>
      </c>
      <c r="N35" s="69">
        <f t="shared" si="11"/>
        <v>113</v>
      </c>
      <c r="O35" s="68">
        <v>1865471</v>
      </c>
      <c r="P35" s="69">
        <f t="shared" si="12"/>
        <v>554</v>
      </c>
      <c r="Q35" s="75">
        <f t="shared" si="0"/>
        <v>667</v>
      </c>
      <c r="R35" s="76">
        <f t="shared" si="4"/>
        <v>381.40127200000006</v>
      </c>
      <c r="S35" s="77"/>
      <c r="T35" s="89">
        <v>201596</v>
      </c>
      <c r="U35" s="69">
        <f t="shared" si="13"/>
        <v>470</v>
      </c>
      <c r="V35" s="79">
        <f t="shared" si="5"/>
        <v>1341.85</v>
      </c>
      <c r="W35" s="80"/>
      <c r="X35" s="102">
        <f t="shared" si="1"/>
        <v>4896.8952719999997</v>
      </c>
      <c r="Y35" s="85">
        <v>40</v>
      </c>
      <c r="Z35" s="86">
        <f t="shared" si="6"/>
        <v>122.4223818</v>
      </c>
    </row>
    <row r="36" spans="1:26" x14ac:dyDescent="0.25">
      <c r="A36" s="13" t="s">
        <v>118</v>
      </c>
      <c r="B36" s="67">
        <f>B35+1</f>
        <v>28</v>
      </c>
      <c r="C36" s="90">
        <v>4649987</v>
      </c>
      <c r="D36" s="69">
        <f t="shared" si="8"/>
        <v>4925</v>
      </c>
      <c r="E36" s="103">
        <v>4602557</v>
      </c>
      <c r="F36" s="69">
        <f t="shared" si="9"/>
        <v>4937</v>
      </c>
      <c r="G36" s="103">
        <v>4360187</v>
      </c>
      <c r="H36" s="69">
        <f t="shared" si="10"/>
        <v>4634</v>
      </c>
      <c r="I36" s="71">
        <f t="shared" si="2"/>
        <v>14496</v>
      </c>
      <c r="J36" s="72">
        <v>0.99</v>
      </c>
      <c r="K36" s="73">
        <f t="shared" si="3"/>
        <v>3638.4960000000001</v>
      </c>
      <c r="L36" s="74"/>
      <c r="M36" s="70">
        <v>107312</v>
      </c>
      <c r="N36" s="69">
        <f t="shared" si="11"/>
        <v>106</v>
      </c>
      <c r="O36" s="68">
        <v>1866171</v>
      </c>
      <c r="P36" s="69">
        <f t="shared" si="12"/>
        <v>700</v>
      </c>
      <c r="Q36" s="75">
        <f t="shared" si="0"/>
        <v>806</v>
      </c>
      <c r="R36" s="76">
        <f t="shared" si="4"/>
        <v>460.88369600000004</v>
      </c>
      <c r="S36" s="77"/>
      <c r="T36" s="89">
        <v>202037</v>
      </c>
      <c r="U36" s="69">
        <f t="shared" si="13"/>
        <v>441</v>
      </c>
      <c r="V36" s="79">
        <f t="shared" si="5"/>
        <v>1259.0550000000001</v>
      </c>
      <c r="W36" s="80"/>
      <c r="X36" s="102">
        <f t="shared" si="1"/>
        <v>5358.4346960000003</v>
      </c>
      <c r="Y36" s="85">
        <v>36</v>
      </c>
      <c r="Z36" s="86">
        <f t="shared" si="6"/>
        <v>148.84540822222223</v>
      </c>
    </row>
    <row r="37" spans="1:26" x14ac:dyDescent="0.25">
      <c r="A37" s="13" t="s">
        <v>119</v>
      </c>
      <c r="B37" s="67">
        <f t="shared" si="7"/>
        <v>29</v>
      </c>
      <c r="C37" s="90">
        <v>4655279</v>
      </c>
      <c r="D37" s="69">
        <f t="shared" si="8"/>
        <v>5292</v>
      </c>
      <c r="E37" s="103">
        <v>4607845</v>
      </c>
      <c r="F37" s="69">
        <f t="shared" si="9"/>
        <v>5288</v>
      </c>
      <c r="G37" s="103">
        <v>4365149</v>
      </c>
      <c r="H37" s="69">
        <f t="shared" si="10"/>
        <v>4962</v>
      </c>
      <c r="I37" s="71">
        <f t="shared" si="2"/>
        <v>15542</v>
      </c>
      <c r="J37" s="72">
        <v>0.99</v>
      </c>
      <c r="K37" s="73">
        <f t="shared" si="3"/>
        <v>3901.0419999999999</v>
      </c>
      <c r="L37" s="74"/>
      <c r="M37" s="70">
        <v>107428</v>
      </c>
      <c r="N37" s="69">
        <f t="shared" si="11"/>
        <v>116</v>
      </c>
      <c r="O37" s="68">
        <v>1866915</v>
      </c>
      <c r="P37" s="69">
        <f t="shared" si="12"/>
        <v>744</v>
      </c>
      <c r="Q37" s="75">
        <f t="shared" si="0"/>
        <v>860</v>
      </c>
      <c r="R37" s="76">
        <f t="shared" si="4"/>
        <v>491.76176000000004</v>
      </c>
      <c r="S37" s="77"/>
      <c r="T37" s="89">
        <v>202449</v>
      </c>
      <c r="U37" s="69">
        <f t="shared" si="13"/>
        <v>412</v>
      </c>
      <c r="V37" s="79">
        <f t="shared" si="5"/>
        <v>1176.26</v>
      </c>
      <c r="W37" s="80"/>
      <c r="X37" s="102">
        <f t="shared" si="1"/>
        <v>5569.06376</v>
      </c>
      <c r="Y37" s="80">
        <v>38</v>
      </c>
      <c r="Z37" s="86">
        <f t="shared" si="6"/>
        <v>146.55430947368421</v>
      </c>
    </row>
    <row r="38" spans="1:26" x14ac:dyDescent="0.25">
      <c r="A38" s="13" t="s">
        <v>120</v>
      </c>
      <c r="B38" s="67">
        <f t="shared" si="7"/>
        <v>30</v>
      </c>
      <c r="C38" s="68">
        <v>4660025</v>
      </c>
      <c r="D38" s="69">
        <f t="shared" si="8"/>
        <v>4746</v>
      </c>
      <c r="E38" s="90">
        <v>4612458</v>
      </c>
      <c r="F38" s="69">
        <f t="shared" si="9"/>
        <v>4613</v>
      </c>
      <c r="G38" s="90">
        <v>4369442</v>
      </c>
      <c r="H38" s="69">
        <f t="shared" si="10"/>
        <v>4293</v>
      </c>
      <c r="I38" s="71">
        <f t="shared" si="2"/>
        <v>13652</v>
      </c>
      <c r="J38" s="72">
        <v>0.99</v>
      </c>
      <c r="K38" s="73">
        <f t="shared" si="3"/>
        <v>3426.652</v>
      </c>
      <c r="L38" s="74"/>
      <c r="M38" s="70">
        <v>107541</v>
      </c>
      <c r="N38" s="69">
        <f t="shared" si="11"/>
        <v>113</v>
      </c>
      <c r="O38" s="68">
        <v>1867641</v>
      </c>
      <c r="P38" s="69">
        <f t="shared" si="12"/>
        <v>726</v>
      </c>
      <c r="Q38" s="75">
        <f t="shared" si="0"/>
        <v>839</v>
      </c>
      <c r="R38" s="76">
        <f t="shared" si="4"/>
        <v>479.75362400000006</v>
      </c>
      <c r="S38" s="77"/>
      <c r="T38" s="89">
        <v>202688</v>
      </c>
      <c r="U38" s="69">
        <f t="shared" si="13"/>
        <v>239</v>
      </c>
      <c r="V38" s="79">
        <f t="shared" si="5"/>
        <v>682.34500000000003</v>
      </c>
      <c r="W38" s="80"/>
      <c r="X38" s="102">
        <f t="shared" si="1"/>
        <v>4588.7506240000002</v>
      </c>
      <c r="Y38" s="80">
        <v>39</v>
      </c>
      <c r="Z38" s="86">
        <f t="shared" si="6"/>
        <v>117.66027241025641</v>
      </c>
    </row>
    <row r="39" spans="1:26" x14ac:dyDescent="0.25">
      <c r="A39" s="13" t="s">
        <v>96</v>
      </c>
      <c r="B39" s="104">
        <v>31</v>
      </c>
      <c r="C39" s="105">
        <v>4664538</v>
      </c>
      <c r="D39" s="69">
        <f t="shared" si="8"/>
        <v>4513</v>
      </c>
      <c r="E39" s="106">
        <v>4617078</v>
      </c>
      <c r="F39" s="69">
        <f t="shared" si="9"/>
        <v>4620</v>
      </c>
      <c r="G39" s="88">
        <v>4373796</v>
      </c>
      <c r="H39" s="69">
        <f t="shared" si="10"/>
        <v>4354</v>
      </c>
      <c r="I39" s="71">
        <f t="shared" si="2"/>
        <v>13487</v>
      </c>
      <c r="J39" s="72">
        <v>0.99</v>
      </c>
      <c r="K39" s="73">
        <f t="shared" si="3"/>
        <v>3385.2370000000001</v>
      </c>
      <c r="L39" s="74"/>
      <c r="M39" s="105">
        <v>107649</v>
      </c>
      <c r="N39" s="69">
        <f t="shared" si="11"/>
        <v>108</v>
      </c>
      <c r="O39" s="105">
        <v>1868350</v>
      </c>
      <c r="P39" s="69">
        <f t="shared" si="12"/>
        <v>709</v>
      </c>
      <c r="Q39" s="75">
        <f t="shared" si="0"/>
        <v>817</v>
      </c>
      <c r="R39" s="76">
        <f t="shared" si="4"/>
        <v>467.17367200000001</v>
      </c>
      <c r="S39" s="77"/>
      <c r="T39" s="107">
        <v>203052</v>
      </c>
      <c r="U39" s="69">
        <f t="shared" si="13"/>
        <v>364</v>
      </c>
      <c r="V39" s="79">
        <f t="shared" si="5"/>
        <v>1039.22</v>
      </c>
      <c r="W39" s="80"/>
      <c r="X39" s="102">
        <f t="shared" si="1"/>
        <v>4891.6306720000002</v>
      </c>
      <c r="Y39" s="80">
        <v>28</v>
      </c>
      <c r="Z39" s="86">
        <f t="shared" si="6"/>
        <v>174.70109542857145</v>
      </c>
    </row>
    <row r="40" spans="1:26" x14ac:dyDescent="0.25">
      <c r="A40" s="13"/>
      <c r="B40" s="108"/>
      <c r="C40" s="160">
        <f>SUMIF(D9:D39,"&gt;0")</f>
        <v>144460</v>
      </c>
      <c r="D40" s="161"/>
      <c r="E40" s="162">
        <f>SUMIF(F9:F39,"&gt;0")</f>
        <v>144571</v>
      </c>
      <c r="F40" s="163"/>
      <c r="G40" s="160">
        <f>SUMIF(H9:H39,"&gt;0")</f>
        <v>135949</v>
      </c>
      <c r="H40" s="163"/>
      <c r="I40" s="109">
        <f>SUMIF(I9:I39,"&gt;0")</f>
        <v>424980</v>
      </c>
      <c r="J40" s="110"/>
      <c r="K40" s="111">
        <f>SUMIF(K9:K39,"&gt;0")</f>
        <v>106669.98</v>
      </c>
      <c r="L40" s="109"/>
      <c r="M40" s="160">
        <f>SUMIF(N9:N39,"&gt;0")</f>
        <v>3643</v>
      </c>
      <c r="N40" s="163"/>
      <c r="O40" s="160">
        <f>SUMIF(P9:P39,"&gt;0")</f>
        <v>23523</v>
      </c>
      <c r="P40" s="163"/>
      <c r="Q40" s="110">
        <f>SUMIF(Q9:Q39,"&gt;0")</f>
        <v>27166</v>
      </c>
      <c r="R40" s="111">
        <f>SUMIF(R9:R39,"&gt;0")</f>
        <v>15533.953456000001</v>
      </c>
      <c r="S40" s="112"/>
      <c r="T40" s="144">
        <f>SUMIF(U9:U39,"&gt;0")</f>
        <v>10592</v>
      </c>
      <c r="U40" s="144"/>
      <c r="V40" s="113">
        <f>SUMIF(V9:V39,"&gt;0")</f>
        <v>30240.159999999996</v>
      </c>
      <c r="W40" s="114"/>
      <c r="X40" s="115">
        <f>SUMIF(X9:X39,"&gt;0")</f>
        <v>152444.093456</v>
      </c>
      <c r="Y40" s="116">
        <f>SUM(Y9:Y39)</f>
        <v>2029</v>
      </c>
      <c r="Z40" s="117">
        <f>(SUMIF(Z9:Z36,"&gt;0")/31)</f>
        <v>69.892270308861981</v>
      </c>
    </row>
  </sheetData>
  <mergeCells count="13">
    <mergeCell ref="T40:U40"/>
    <mergeCell ref="B1:E4"/>
    <mergeCell ref="F1:V4"/>
    <mergeCell ref="W1:Z2"/>
    <mergeCell ref="W3:Z4"/>
    <mergeCell ref="C7:K7"/>
    <mergeCell ref="M7:R7"/>
    <mergeCell ref="T7:V7"/>
    <mergeCell ref="C40:D40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38"/>
  <sheetViews>
    <sheetView topLeftCell="A10" zoomScaleNormal="100" workbookViewId="0">
      <selection activeCell="R41" sqref="R41"/>
    </sheetView>
  </sheetViews>
  <sheetFormatPr defaultRowHeight="15" x14ac:dyDescent="0.25"/>
  <sheetData>
    <row r="6" spans="1:83" ht="15.75" thickBot="1" x14ac:dyDescent="0.3">
      <c r="B6" s="118">
        <v>49433</v>
      </c>
      <c r="C6" s="119">
        <v>79236</v>
      </c>
      <c r="D6" s="120">
        <v>15207</v>
      </c>
      <c r="E6" s="120">
        <v>13719</v>
      </c>
      <c r="F6" s="120">
        <v>189420</v>
      </c>
      <c r="G6" s="120">
        <v>3495</v>
      </c>
      <c r="H6" s="119">
        <v>1485</v>
      </c>
      <c r="I6" s="120">
        <v>380288</v>
      </c>
      <c r="J6" s="120">
        <v>68377</v>
      </c>
      <c r="K6" s="120">
        <v>7921</v>
      </c>
      <c r="L6" s="120">
        <v>29890</v>
      </c>
      <c r="M6" s="120">
        <v>52115</v>
      </c>
      <c r="N6" s="120">
        <v>38542</v>
      </c>
      <c r="O6" s="120">
        <v>181658</v>
      </c>
      <c r="P6" s="120">
        <v>375920</v>
      </c>
      <c r="Q6" s="120">
        <v>2808</v>
      </c>
      <c r="R6" s="120">
        <v>18050</v>
      </c>
      <c r="S6" s="120">
        <v>25503</v>
      </c>
      <c r="T6" s="120">
        <v>278413</v>
      </c>
      <c r="U6" s="120">
        <v>375407</v>
      </c>
      <c r="V6" s="120">
        <v>40159</v>
      </c>
      <c r="W6" s="120">
        <v>5416</v>
      </c>
      <c r="X6" s="120">
        <v>13927</v>
      </c>
      <c r="Y6" s="120">
        <v>86195</v>
      </c>
      <c r="Z6" s="119">
        <v>540</v>
      </c>
      <c r="AA6" s="120">
        <v>170186</v>
      </c>
      <c r="AB6" s="120">
        <v>7562</v>
      </c>
      <c r="AC6" s="120">
        <v>1974</v>
      </c>
      <c r="AD6" s="120">
        <v>17975</v>
      </c>
      <c r="AE6" s="120">
        <v>76508</v>
      </c>
      <c r="AF6" s="120">
        <v>205359</v>
      </c>
      <c r="AG6" s="120">
        <v>1125790</v>
      </c>
      <c r="AH6" s="120">
        <v>11123</v>
      </c>
      <c r="AI6" s="120">
        <v>483379</v>
      </c>
      <c r="AJ6" s="120">
        <v>637743</v>
      </c>
      <c r="AK6" s="120">
        <v>9334</v>
      </c>
      <c r="AL6" s="121">
        <v>29315</v>
      </c>
      <c r="AM6" s="120">
        <v>28542</v>
      </c>
      <c r="AN6" s="122">
        <v>596531</v>
      </c>
      <c r="AO6" s="122">
        <v>5246</v>
      </c>
      <c r="AP6" s="123">
        <v>0</v>
      </c>
      <c r="AQ6" s="120">
        <v>109712</v>
      </c>
      <c r="AR6" s="120">
        <v>217210</v>
      </c>
      <c r="AS6" s="120">
        <v>63112</v>
      </c>
      <c r="AT6" s="120">
        <v>560</v>
      </c>
      <c r="AU6" s="120">
        <v>107079</v>
      </c>
      <c r="AV6" s="120">
        <v>44534</v>
      </c>
      <c r="AW6" s="120">
        <v>38275</v>
      </c>
      <c r="AX6" s="120">
        <v>175158</v>
      </c>
      <c r="AY6" s="124">
        <v>481902</v>
      </c>
    </row>
    <row r="7" spans="1:83" ht="90" x14ac:dyDescent="0.25">
      <c r="A7" s="125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6" t="s">
        <v>63</v>
      </c>
      <c r="BA7" s="126" t="s">
        <v>64</v>
      </c>
      <c r="BB7" s="126" t="s">
        <v>65</v>
      </c>
      <c r="BC7" s="126" t="s">
        <v>66</v>
      </c>
      <c r="BD7" s="126" t="s">
        <v>67</v>
      </c>
      <c r="BE7" s="126" t="s">
        <v>68</v>
      </c>
      <c r="BF7" s="126" t="s">
        <v>69</v>
      </c>
      <c r="BG7" s="126" t="s">
        <v>70</v>
      </c>
      <c r="BH7" s="126" t="s">
        <v>71</v>
      </c>
      <c r="BI7" s="126" t="s">
        <v>72</v>
      </c>
      <c r="BJ7" s="126" t="s">
        <v>73</v>
      </c>
      <c r="BK7" s="126" t="s">
        <v>74</v>
      </c>
      <c r="BL7" s="126" t="s">
        <v>75</v>
      </c>
      <c r="BM7" s="126" t="s">
        <v>76</v>
      </c>
      <c r="BN7" s="126" t="s">
        <v>77</v>
      </c>
      <c r="BO7" s="126" t="s">
        <v>78</v>
      </c>
      <c r="BP7" s="126" t="s">
        <v>79</v>
      </c>
      <c r="BQ7" s="126" t="s">
        <v>80</v>
      </c>
      <c r="BR7" s="126" t="s">
        <v>81</v>
      </c>
      <c r="BS7" s="127" t="s">
        <v>82</v>
      </c>
      <c r="BT7" s="127" t="s">
        <v>83</v>
      </c>
      <c r="BU7" s="127" t="s">
        <v>84</v>
      </c>
      <c r="BV7" s="127" t="s">
        <v>85</v>
      </c>
      <c r="BW7" s="127" t="s">
        <v>86</v>
      </c>
      <c r="BX7" s="127" t="s">
        <v>87</v>
      </c>
      <c r="BY7" s="127" t="s">
        <v>88</v>
      </c>
      <c r="BZ7" s="127" t="s">
        <v>89</v>
      </c>
      <c r="CA7" s="127" t="s">
        <v>90</v>
      </c>
      <c r="CB7" s="127" t="s">
        <v>91</v>
      </c>
      <c r="CC7" s="127" t="s">
        <v>92</v>
      </c>
      <c r="CD7" s="127" t="s">
        <v>93</v>
      </c>
      <c r="CE7" s="127" t="s">
        <v>94</v>
      </c>
    </row>
    <row r="8" spans="1:83" ht="15.75" thickBot="1" x14ac:dyDescent="0.3">
      <c r="A8">
        <v>1</v>
      </c>
      <c r="B8" s="134">
        <v>55614</v>
      </c>
      <c r="C8" s="135">
        <v>87140</v>
      </c>
      <c r="D8" s="135">
        <v>16560</v>
      </c>
      <c r="E8" s="135">
        <v>14703</v>
      </c>
      <c r="F8" s="135">
        <v>203973</v>
      </c>
      <c r="G8" s="135">
        <v>3890</v>
      </c>
      <c r="H8" s="135">
        <v>2134</v>
      </c>
      <c r="I8" s="135">
        <v>411938</v>
      </c>
      <c r="J8" s="135">
        <v>74577</v>
      </c>
      <c r="K8" s="135">
        <v>7936</v>
      </c>
      <c r="L8" s="135">
        <v>31415</v>
      </c>
      <c r="M8" s="135">
        <v>54879</v>
      </c>
      <c r="N8" s="135">
        <v>41908</v>
      </c>
      <c r="O8" s="135">
        <v>201064</v>
      </c>
      <c r="P8" s="135">
        <v>427185</v>
      </c>
      <c r="Q8" s="135">
        <v>3275</v>
      </c>
      <c r="R8" s="135">
        <v>20381</v>
      </c>
      <c r="S8" s="135">
        <v>25503</v>
      </c>
      <c r="T8" s="135">
        <v>299190</v>
      </c>
      <c r="U8" s="135">
        <v>410424</v>
      </c>
      <c r="V8" s="135">
        <v>44560</v>
      </c>
      <c r="W8" s="135">
        <v>5726</v>
      </c>
      <c r="X8" s="135">
        <v>15383</v>
      </c>
      <c r="Y8" s="135">
        <v>96365</v>
      </c>
      <c r="Z8" s="135">
        <v>552</v>
      </c>
      <c r="AA8" s="135">
        <v>184403</v>
      </c>
      <c r="AB8" s="135">
        <v>9018</v>
      </c>
      <c r="AC8" s="135">
        <v>2127</v>
      </c>
      <c r="AD8" s="135">
        <v>19372</v>
      </c>
      <c r="AE8" s="135">
        <v>86982</v>
      </c>
      <c r="AF8" s="135">
        <v>225922</v>
      </c>
      <c r="AG8" s="135">
        <v>1192320</v>
      </c>
      <c r="AH8" s="135">
        <v>12201</v>
      </c>
      <c r="AI8" s="135">
        <v>485534</v>
      </c>
      <c r="AJ8" s="135">
        <v>687624</v>
      </c>
      <c r="AK8" s="135">
        <v>10278</v>
      </c>
      <c r="AL8" s="141">
        <v>32629</v>
      </c>
      <c r="AM8" s="135">
        <v>30972</v>
      </c>
      <c r="AN8" s="138">
        <v>646188</v>
      </c>
      <c r="AO8" s="138">
        <v>5345</v>
      </c>
      <c r="AP8" s="138">
        <v>0</v>
      </c>
      <c r="AQ8" s="135">
        <v>116358</v>
      </c>
      <c r="AR8" s="135">
        <v>233809</v>
      </c>
      <c r="AS8" s="135">
        <v>68089</v>
      </c>
      <c r="AT8" s="135">
        <v>635</v>
      </c>
      <c r="AU8" s="135">
        <v>115169</v>
      </c>
      <c r="AV8" s="135">
        <v>46115</v>
      </c>
      <c r="AW8" s="135">
        <v>39701</v>
      </c>
      <c r="AX8" s="135">
        <v>189567</v>
      </c>
      <c r="AY8" s="136">
        <v>528212</v>
      </c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</row>
    <row r="9" spans="1:83" x14ac:dyDescent="0.25">
      <c r="A9">
        <v>2</v>
      </c>
      <c r="B9" s="129">
        <v>55679</v>
      </c>
      <c r="C9" s="129">
        <v>87273</v>
      </c>
      <c r="D9" s="129">
        <v>16561</v>
      </c>
      <c r="E9" s="129">
        <v>14711</v>
      </c>
      <c r="F9" s="129">
        <v>204163</v>
      </c>
      <c r="G9" s="129">
        <v>3893</v>
      </c>
      <c r="H9" s="129">
        <v>2154</v>
      </c>
      <c r="I9" s="129">
        <v>412282</v>
      </c>
      <c r="J9" s="129">
        <v>74652</v>
      </c>
      <c r="K9" s="129">
        <v>7936</v>
      </c>
      <c r="L9" s="129">
        <v>31430</v>
      </c>
      <c r="M9" s="129">
        <v>54922</v>
      </c>
      <c r="N9" s="129">
        <v>41942</v>
      </c>
      <c r="O9" s="129">
        <v>201265</v>
      </c>
      <c r="P9" s="129">
        <v>427858</v>
      </c>
      <c r="Q9" s="129">
        <v>3281</v>
      </c>
      <c r="R9" s="129">
        <v>20401</v>
      </c>
      <c r="S9" s="129">
        <v>25503</v>
      </c>
      <c r="T9" s="129">
        <v>299398</v>
      </c>
      <c r="U9" s="129">
        <v>410787</v>
      </c>
      <c r="V9" s="129">
        <v>44608</v>
      </c>
      <c r="W9" s="129">
        <v>5727</v>
      </c>
      <c r="X9" s="129">
        <v>15400</v>
      </c>
      <c r="Y9" s="129">
        <v>96441</v>
      </c>
      <c r="Z9" s="129">
        <v>553</v>
      </c>
      <c r="AA9" s="129">
        <v>184534</v>
      </c>
      <c r="AB9" s="129">
        <v>9028</v>
      </c>
      <c r="AC9" s="129">
        <v>2129</v>
      </c>
      <c r="AD9" s="129">
        <v>19382</v>
      </c>
      <c r="AE9" s="129">
        <v>87078</v>
      </c>
      <c r="AF9" s="129">
        <v>226126</v>
      </c>
      <c r="AG9" s="129">
        <v>1193215</v>
      </c>
      <c r="AH9" s="129">
        <v>12229</v>
      </c>
      <c r="AI9" s="129">
        <v>485551</v>
      </c>
      <c r="AJ9" s="129">
        <v>688071</v>
      </c>
      <c r="AK9" s="129">
        <v>10294</v>
      </c>
      <c r="AL9" s="142">
        <v>32834</v>
      </c>
      <c r="AM9" s="129">
        <v>31050</v>
      </c>
      <c r="AN9" s="139">
        <v>646606</v>
      </c>
      <c r="AO9" s="139">
        <v>5345</v>
      </c>
      <c r="AP9" s="139">
        <v>0</v>
      </c>
      <c r="AQ9" s="129">
        <v>116435</v>
      </c>
      <c r="AR9" s="129">
        <v>233942</v>
      </c>
      <c r="AS9" s="129">
        <v>68132</v>
      </c>
      <c r="AT9" s="129">
        <v>636</v>
      </c>
      <c r="AU9" s="129">
        <v>115278</v>
      </c>
      <c r="AV9" s="129">
        <v>46142</v>
      </c>
      <c r="AW9" s="129">
        <v>39722</v>
      </c>
      <c r="AX9" s="129">
        <v>189817</v>
      </c>
      <c r="AY9" s="129">
        <v>528730</v>
      </c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</row>
    <row r="10" spans="1:83" x14ac:dyDescent="0.25">
      <c r="A10">
        <v>3</v>
      </c>
      <c r="B10" s="129">
        <v>55750</v>
      </c>
      <c r="C10" s="129">
        <v>87425</v>
      </c>
      <c r="D10" s="129">
        <v>16566</v>
      </c>
      <c r="E10" s="129">
        <v>14716</v>
      </c>
      <c r="F10" s="129">
        <v>204355</v>
      </c>
      <c r="G10" s="129">
        <v>3896</v>
      </c>
      <c r="H10" s="129">
        <v>2173</v>
      </c>
      <c r="I10" s="129">
        <v>412578</v>
      </c>
      <c r="J10" s="129">
        <v>74726</v>
      </c>
      <c r="K10" s="129">
        <v>7936</v>
      </c>
      <c r="L10" s="129">
        <v>31462</v>
      </c>
      <c r="M10" s="129">
        <v>54974</v>
      </c>
      <c r="N10" s="129">
        <v>41975</v>
      </c>
      <c r="O10" s="129">
        <v>201469</v>
      </c>
      <c r="P10" s="129">
        <v>428510</v>
      </c>
      <c r="Q10" s="129">
        <v>3288</v>
      </c>
      <c r="R10" s="129">
        <v>20425</v>
      </c>
      <c r="S10" s="129">
        <v>25503</v>
      </c>
      <c r="T10" s="129">
        <v>299607</v>
      </c>
      <c r="U10" s="129">
        <v>411173</v>
      </c>
      <c r="V10" s="129">
        <v>44655</v>
      </c>
      <c r="W10" s="129">
        <v>5728</v>
      </c>
      <c r="X10" s="129">
        <v>15416</v>
      </c>
      <c r="Y10" s="129">
        <v>96519</v>
      </c>
      <c r="Z10" s="129">
        <v>555</v>
      </c>
      <c r="AA10" s="129">
        <v>184667</v>
      </c>
      <c r="AB10" s="129">
        <v>9059</v>
      </c>
      <c r="AC10" s="129">
        <v>2131</v>
      </c>
      <c r="AD10" s="129">
        <v>19392</v>
      </c>
      <c r="AE10" s="129">
        <v>87169</v>
      </c>
      <c r="AF10" s="129">
        <v>226346</v>
      </c>
      <c r="AG10" s="129">
        <v>1194046</v>
      </c>
      <c r="AH10" s="129">
        <v>12257</v>
      </c>
      <c r="AI10" s="129">
        <v>485569</v>
      </c>
      <c r="AJ10" s="129">
        <v>688682</v>
      </c>
      <c r="AK10" s="129">
        <v>10313</v>
      </c>
      <c r="AL10" s="142">
        <v>32971</v>
      </c>
      <c r="AM10" s="129">
        <v>31132</v>
      </c>
      <c r="AN10" s="139">
        <v>647213</v>
      </c>
      <c r="AO10" s="139">
        <v>5346</v>
      </c>
      <c r="AP10" s="139">
        <v>0</v>
      </c>
      <c r="AQ10" s="129">
        <v>116514</v>
      </c>
      <c r="AR10" s="129">
        <v>234085</v>
      </c>
      <c r="AS10" s="129">
        <v>68174</v>
      </c>
      <c r="AT10" s="129">
        <v>637</v>
      </c>
      <c r="AU10" s="129">
        <v>115400</v>
      </c>
      <c r="AV10" s="129">
        <v>46169</v>
      </c>
      <c r="AW10" s="129">
        <v>39745</v>
      </c>
      <c r="AX10" s="129">
        <v>190076</v>
      </c>
      <c r="AY10" s="129">
        <v>529257</v>
      </c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</row>
    <row r="11" spans="1:83" x14ac:dyDescent="0.25">
      <c r="A11">
        <v>4</v>
      </c>
      <c r="B11" s="129">
        <v>55824</v>
      </c>
      <c r="C11" s="129">
        <v>87575</v>
      </c>
      <c r="D11" s="129">
        <v>16578</v>
      </c>
      <c r="E11" s="129">
        <v>14720</v>
      </c>
      <c r="F11" s="129">
        <v>204550</v>
      </c>
      <c r="G11" s="129">
        <v>3898</v>
      </c>
      <c r="H11" s="129">
        <v>2192</v>
      </c>
      <c r="I11" s="129">
        <v>412876</v>
      </c>
      <c r="J11" s="129">
        <v>74800</v>
      </c>
      <c r="K11" s="129">
        <v>7936</v>
      </c>
      <c r="L11" s="129">
        <v>31484</v>
      </c>
      <c r="M11" s="129">
        <v>55014</v>
      </c>
      <c r="N11" s="129">
        <v>42003</v>
      </c>
      <c r="O11" s="129">
        <v>201675</v>
      </c>
      <c r="P11" s="129">
        <v>429153</v>
      </c>
      <c r="Q11" s="129">
        <v>3292</v>
      </c>
      <c r="R11" s="129">
        <v>20441</v>
      </c>
      <c r="S11" s="129">
        <v>25503</v>
      </c>
      <c r="T11" s="129">
        <v>299810</v>
      </c>
      <c r="U11" s="129">
        <v>411539</v>
      </c>
      <c r="V11" s="129">
        <v>44702</v>
      </c>
      <c r="W11" s="129">
        <v>5731</v>
      </c>
      <c r="X11" s="129">
        <v>15430</v>
      </c>
      <c r="Y11" s="129">
        <v>96612</v>
      </c>
      <c r="Z11" s="129">
        <v>557</v>
      </c>
      <c r="AA11" s="129">
        <v>184805</v>
      </c>
      <c r="AB11" s="129">
        <v>9085</v>
      </c>
      <c r="AC11" s="129">
        <v>2133</v>
      </c>
      <c r="AD11" s="129">
        <v>19402</v>
      </c>
      <c r="AE11" s="129">
        <v>87263</v>
      </c>
      <c r="AF11" s="129">
        <v>226524</v>
      </c>
      <c r="AG11" s="129">
        <v>1195001</v>
      </c>
      <c r="AH11" s="129">
        <v>12275</v>
      </c>
      <c r="AI11" s="129">
        <v>485587</v>
      </c>
      <c r="AJ11" s="129">
        <v>689257</v>
      </c>
      <c r="AK11" s="129">
        <v>10331</v>
      </c>
      <c r="AL11" s="142">
        <v>33125</v>
      </c>
      <c r="AM11" s="129">
        <v>31236</v>
      </c>
      <c r="AN11" s="139">
        <v>647823</v>
      </c>
      <c r="AO11" s="139">
        <v>5347</v>
      </c>
      <c r="AP11" s="139">
        <v>0</v>
      </c>
      <c r="AQ11" s="129">
        <v>116601</v>
      </c>
      <c r="AR11" s="129">
        <v>234227</v>
      </c>
      <c r="AS11" s="129">
        <v>68223</v>
      </c>
      <c r="AT11" s="129">
        <v>637</v>
      </c>
      <c r="AU11" s="129">
        <v>115547</v>
      </c>
      <c r="AV11" s="129">
        <v>46198</v>
      </c>
      <c r="AW11" s="129">
        <v>39767</v>
      </c>
      <c r="AX11" s="129">
        <v>190290</v>
      </c>
      <c r="AY11" s="129">
        <v>529821</v>
      </c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</row>
    <row r="12" spans="1:83" x14ac:dyDescent="0.25">
      <c r="A12">
        <v>5</v>
      </c>
      <c r="B12" s="129">
        <v>55896</v>
      </c>
      <c r="C12" s="129">
        <v>87719</v>
      </c>
      <c r="D12" s="129">
        <v>16597</v>
      </c>
      <c r="E12" s="129">
        <v>14728</v>
      </c>
      <c r="F12" s="129">
        <v>204750</v>
      </c>
      <c r="G12" s="129">
        <v>3901</v>
      </c>
      <c r="H12" s="129">
        <v>2209</v>
      </c>
      <c r="I12" s="129">
        <v>413191</v>
      </c>
      <c r="J12" s="129">
        <v>74877</v>
      </c>
      <c r="K12" s="129">
        <v>7936</v>
      </c>
      <c r="L12" s="129">
        <v>31502</v>
      </c>
      <c r="M12" s="129">
        <v>55055</v>
      </c>
      <c r="N12" s="129">
        <v>42040</v>
      </c>
      <c r="O12" s="129">
        <v>201875</v>
      </c>
      <c r="P12" s="129">
        <v>429720</v>
      </c>
      <c r="Q12" s="129">
        <v>3297</v>
      </c>
      <c r="R12" s="129">
        <v>20461</v>
      </c>
      <c r="S12" s="129">
        <v>25503</v>
      </c>
      <c r="T12" s="129">
        <v>300042</v>
      </c>
      <c r="U12" s="129">
        <v>411891</v>
      </c>
      <c r="V12" s="129">
        <v>44749</v>
      </c>
      <c r="W12" s="129">
        <v>5733</v>
      </c>
      <c r="X12" s="129">
        <v>15445</v>
      </c>
      <c r="Y12" s="129">
        <v>96701</v>
      </c>
      <c r="Z12" s="129">
        <v>559</v>
      </c>
      <c r="AA12" s="129">
        <v>184949</v>
      </c>
      <c r="AB12" s="129">
        <v>9086</v>
      </c>
      <c r="AC12" s="129">
        <v>2135</v>
      </c>
      <c r="AD12" s="129">
        <v>19411</v>
      </c>
      <c r="AE12" s="129">
        <v>87342</v>
      </c>
      <c r="AF12" s="129">
        <v>226690</v>
      </c>
      <c r="AG12" s="129">
        <v>1195799</v>
      </c>
      <c r="AH12" s="129">
        <v>12297</v>
      </c>
      <c r="AI12" s="129">
        <v>485606</v>
      </c>
      <c r="AJ12" s="129">
        <v>689799</v>
      </c>
      <c r="AK12" s="129">
        <v>10351</v>
      </c>
      <c r="AL12" s="129">
        <v>33248</v>
      </c>
      <c r="AM12" s="129">
        <v>31316</v>
      </c>
      <c r="AN12" s="129">
        <v>648344</v>
      </c>
      <c r="AO12" s="129">
        <v>5349</v>
      </c>
      <c r="AP12" s="129">
        <v>0</v>
      </c>
      <c r="AQ12" s="129">
        <v>116684</v>
      </c>
      <c r="AR12" s="129">
        <v>234388</v>
      </c>
      <c r="AS12" s="129">
        <v>68260</v>
      </c>
      <c r="AT12" s="129">
        <v>638</v>
      </c>
      <c r="AU12" s="129">
        <v>115670</v>
      </c>
      <c r="AV12" s="129">
        <v>46221</v>
      </c>
      <c r="AW12" s="129">
        <v>39788</v>
      </c>
      <c r="AX12" s="129">
        <v>190458</v>
      </c>
      <c r="AY12" s="129">
        <v>530416</v>
      </c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</row>
    <row r="13" spans="1:83" x14ac:dyDescent="0.25">
      <c r="A13">
        <v>6</v>
      </c>
      <c r="B13" s="129">
        <v>55970</v>
      </c>
      <c r="C13" s="129">
        <v>87854</v>
      </c>
      <c r="D13" s="129">
        <v>16612</v>
      </c>
      <c r="E13" s="129">
        <v>14745</v>
      </c>
      <c r="F13" s="129">
        <v>204939</v>
      </c>
      <c r="G13" s="129">
        <v>3903</v>
      </c>
      <c r="H13" s="129">
        <v>2230</v>
      </c>
      <c r="I13" s="129">
        <v>413497</v>
      </c>
      <c r="J13" s="129">
        <v>74952</v>
      </c>
      <c r="K13" s="129">
        <v>7937</v>
      </c>
      <c r="L13" s="129">
        <v>31527</v>
      </c>
      <c r="M13" s="129">
        <v>55094</v>
      </c>
      <c r="N13" s="129">
        <v>42074</v>
      </c>
      <c r="O13" s="129">
        <v>202068</v>
      </c>
      <c r="P13" s="129">
        <v>430351</v>
      </c>
      <c r="Q13" s="129">
        <v>3303</v>
      </c>
      <c r="R13" s="129">
        <v>20477</v>
      </c>
      <c r="S13" s="129">
        <v>25503</v>
      </c>
      <c r="T13" s="129">
        <v>300273</v>
      </c>
      <c r="U13" s="129">
        <v>412257</v>
      </c>
      <c r="V13" s="129">
        <v>44795</v>
      </c>
      <c r="W13" s="129">
        <v>5736</v>
      </c>
      <c r="X13" s="129">
        <v>15460</v>
      </c>
      <c r="Y13" s="129">
        <v>96792</v>
      </c>
      <c r="Z13" s="129">
        <v>561</v>
      </c>
      <c r="AA13" s="129">
        <v>185079</v>
      </c>
      <c r="AB13" s="129">
        <v>9097</v>
      </c>
      <c r="AC13" s="129">
        <v>2139</v>
      </c>
      <c r="AD13" s="129">
        <v>19421</v>
      </c>
      <c r="AE13" s="129">
        <v>87423</v>
      </c>
      <c r="AF13" s="129">
        <v>226882</v>
      </c>
      <c r="AG13" s="129">
        <v>1196579</v>
      </c>
      <c r="AH13" s="129">
        <v>12303</v>
      </c>
      <c r="AI13" s="129">
        <v>485623</v>
      </c>
      <c r="AJ13" s="129">
        <v>690361</v>
      </c>
      <c r="AK13" s="129">
        <v>10369</v>
      </c>
      <c r="AL13" s="129">
        <v>33336</v>
      </c>
      <c r="AM13" s="129">
        <v>31392</v>
      </c>
      <c r="AN13" s="129">
        <v>648939</v>
      </c>
      <c r="AO13" s="129">
        <v>5350</v>
      </c>
      <c r="AP13" s="129">
        <v>0</v>
      </c>
      <c r="AQ13" s="129">
        <v>116763</v>
      </c>
      <c r="AR13" s="129">
        <v>234542</v>
      </c>
      <c r="AS13" s="129">
        <v>68296</v>
      </c>
      <c r="AT13" s="129">
        <v>638</v>
      </c>
      <c r="AU13" s="129">
        <v>115782</v>
      </c>
      <c r="AV13" s="129">
        <v>46242</v>
      </c>
      <c r="AW13" s="129">
        <v>39802</v>
      </c>
      <c r="AX13" s="129">
        <v>190633</v>
      </c>
      <c r="AY13" s="129">
        <v>530996</v>
      </c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</row>
    <row r="14" spans="1:83" x14ac:dyDescent="0.25">
      <c r="A14">
        <v>7</v>
      </c>
      <c r="B14" s="129">
        <v>56062</v>
      </c>
      <c r="C14" s="129">
        <v>87998</v>
      </c>
      <c r="D14" s="129">
        <v>16627</v>
      </c>
      <c r="E14" s="129">
        <v>14764</v>
      </c>
      <c r="F14" s="129">
        <v>205145</v>
      </c>
      <c r="G14" s="129">
        <v>3906</v>
      </c>
      <c r="H14" s="129">
        <v>2249</v>
      </c>
      <c r="I14" s="129">
        <v>413824</v>
      </c>
      <c r="J14" s="129">
        <v>75029</v>
      </c>
      <c r="K14" s="129">
        <v>7937</v>
      </c>
      <c r="L14" s="129">
        <v>31548</v>
      </c>
      <c r="M14" s="129">
        <v>55129</v>
      </c>
      <c r="N14" s="129">
        <v>42115</v>
      </c>
      <c r="O14" s="129">
        <v>202269</v>
      </c>
      <c r="P14" s="129">
        <v>431008</v>
      </c>
      <c r="Q14" s="129">
        <v>3311</v>
      </c>
      <c r="R14" s="129">
        <v>20496</v>
      </c>
      <c r="S14" s="129">
        <v>25503</v>
      </c>
      <c r="T14" s="129">
        <v>300485</v>
      </c>
      <c r="U14" s="129">
        <v>412640</v>
      </c>
      <c r="V14" s="129">
        <v>44842</v>
      </c>
      <c r="W14" s="129">
        <v>5738</v>
      </c>
      <c r="X14" s="129">
        <v>15475</v>
      </c>
      <c r="Y14" s="129">
        <v>96861</v>
      </c>
      <c r="Z14" s="129">
        <v>562</v>
      </c>
      <c r="AA14" s="129">
        <v>185219</v>
      </c>
      <c r="AB14" s="129">
        <v>9130</v>
      </c>
      <c r="AC14" s="129">
        <v>2141</v>
      </c>
      <c r="AD14" s="129">
        <v>19431</v>
      </c>
      <c r="AE14" s="129">
        <v>87505</v>
      </c>
      <c r="AF14" s="129">
        <v>227088</v>
      </c>
      <c r="AG14" s="129">
        <v>1197453</v>
      </c>
      <c r="AH14" s="129">
        <v>12306</v>
      </c>
      <c r="AI14" s="129">
        <v>485641</v>
      </c>
      <c r="AJ14" s="129">
        <v>691053</v>
      </c>
      <c r="AK14" s="129">
        <v>10386</v>
      </c>
      <c r="AL14" s="142">
        <v>33436</v>
      </c>
      <c r="AM14" s="129">
        <v>31447</v>
      </c>
      <c r="AN14" s="139">
        <v>649650</v>
      </c>
      <c r="AO14" s="139">
        <v>5351</v>
      </c>
      <c r="AP14" s="139">
        <v>0</v>
      </c>
      <c r="AQ14" s="129">
        <v>116846</v>
      </c>
      <c r="AR14" s="129">
        <v>234716</v>
      </c>
      <c r="AS14" s="129">
        <v>68336</v>
      </c>
      <c r="AT14" s="129">
        <v>639</v>
      </c>
      <c r="AU14" s="129">
        <v>115916</v>
      </c>
      <c r="AV14" s="129">
        <v>46264</v>
      </c>
      <c r="AW14" s="129">
        <v>39823</v>
      </c>
      <c r="AX14" s="129">
        <v>190826</v>
      </c>
      <c r="AY14" s="129">
        <v>531556</v>
      </c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</row>
    <row r="15" spans="1:83" x14ac:dyDescent="0.25">
      <c r="A15">
        <v>8</v>
      </c>
      <c r="B15" s="129">
        <v>56153</v>
      </c>
      <c r="C15" s="129">
        <v>88133</v>
      </c>
      <c r="D15" s="129">
        <v>16641</v>
      </c>
      <c r="E15" s="129">
        <v>14773</v>
      </c>
      <c r="F15" s="129">
        <v>205343</v>
      </c>
      <c r="G15" s="129">
        <v>3909</v>
      </c>
      <c r="H15" s="129">
        <v>2269</v>
      </c>
      <c r="I15" s="129">
        <v>414146</v>
      </c>
      <c r="J15" s="129">
        <v>75107</v>
      </c>
      <c r="K15" s="129">
        <v>7938</v>
      </c>
      <c r="L15" s="129">
        <v>31571</v>
      </c>
      <c r="M15" s="129">
        <v>55173</v>
      </c>
      <c r="N15" s="129">
        <v>42153</v>
      </c>
      <c r="O15" s="129">
        <v>202468</v>
      </c>
      <c r="P15" s="129">
        <v>431493</v>
      </c>
      <c r="Q15" s="129">
        <v>3316</v>
      </c>
      <c r="R15" s="129">
        <v>20514</v>
      </c>
      <c r="S15" s="129">
        <v>25503</v>
      </c>
      <c r="T15" s="129">
        <v>300692</v>
      </c>
      <c r="U15" s="129">
        <v>413020</v>
      </c>
      <c r="V15" s="129">
        <v>44893</v>
      </c>
      <c r="W15" s="129">
        <v>5739</v>
      </c>
      <c r="X15" s="129">
        <v>15491</v>
      </c>
      <c r="Y15" s="129">
        <v>96980</v>
      </c>
      <c r="Z15" s="129">
        <v>564</v>
      </c>
      <c r="AA15" s="129">
        <v>185364</v>
      </c>
      <c r="AB15" s="129">
        <v>9160</v>
      </c>
      <c r="AC15" s="129">
        <v>2143</v>
      </c>
      <c r="AD15" s="129">
        <v>19441</v>
      </c>
      <c r="AE15" s="129">
        <v>87596</v>
      </c>
      <c r="AF15" s="129">
        <v>227293</v>
      </c>
      <c r="AG15" s="129">
        <v>1198499</v>
      </c>
      <c r="AH15" s="129">
        <v>12312</v>
      </c>
      <c r="AI15" s="129">
        <v>485660</v>
      </c>
      <c r="AJ15" s="129">
        <v>691697</v>
      </c>
      <c r="AK15" s="129">
        <v>10404</v>
      </c>
      <c r="AL15" s="142">
        <v>33570</v>
      </c>
      <c r="AM15" s="129">
        <v>31517</v>
      </c>
      <c r="AN15" s="139">
        <v>650219</v>
      </c>
      <c r="AO15" s="139">
        <v>5353</v>
      </c>
      <c r="AP15" s="139">
        <v>0</v>
      </c>
      <c r="AQ15" s="129">
        <v>116946</v>
      </c>
      <c r="AR15" s="129">
        <v>234894</v>
      </c>
      <c r="AS15" s="129">
        <v>68375</v>
      </c>
      <c r="AT15" s="129">
        <v>640</v>
      </c>
      <c r="AU15" s="129">
        <v>116041</v>
      </c>
      <c r="AV15" s="129">
        <v>46288</v>
      </c>
      <c r="AW15" s="129">
        <v>39841</v>
      </c>
      <c r="AX15" s="129">
        <v>191000</v>
      </c>
      <c r="AY15" s="129">
        <v>532131</v>
      </c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</row>
    <row r="16" spans="1:83" x14ac:dyDescent="0.25">
      <c r="A16">
        <v>9</v>
      </c>
      <c r="B16" s="129">
        <v>56239</v>
      </c>
      <c r="C16" s="129">
        <v>88287</v>
      </c>
      <c r="D16" s="129">
        <v>16644</v>
      </c>
      <c r="E16" s="129">
        <v>14784</v>
      </c>
      <c r="F16" s="129">
        <v>205544</v>
      </c>
      <c r="G16" s="129">
        <v>3912</v>
      </c>
      <c r="H16" s="129">
        <v>2291</v>
      </c>
      <c r="I16" s="129">
        <v>414453</v>
      </c>
      <c r="J16" s="129">
        <v>75180</v>
      </c>
      <c r="K16" s="129">
        <v>7938</v>
      </c>
      <c r="L16" s="129">
        <v>37597</v>
      </c>
      <c r="M16" s="129">
        <v>55212</v>
      </c>
      <c r="N16" s="129">
        <v>42187</v>
      </c>
      <c r="O16" s="129">
        <v>202665</v>
      </c>
      <c r="P16" s="129">
        <v>431967</v>
      </c>
      <c r="Q16" s="129">
        <v>3320</v>
      </c>
      <c r="R16" s="129">
        <v>20533</v>
      </c>
      <c r="S16" s="129">
        <v>25503</v>
      </c>
      <c r="T16" s="129">
        <v>300902</v>
      </c>
      <c r="U16" s="129">
        <v>413388</v>
      </c>
      <c r="V16" s="129">
        <v>44940</v>
      </c>
      <c r="W16" s="129">
        <v>5740</v>
      </c>
      <c r="X16" s="129">
        <v>15507</v>
      </c>
      <c r="Y16" s="129">
        <v>97063</v>
      </c>
      <c r="Z16" s="129">
        <v>566</v>
      </c>
      <c r="AA16" s="129">
        <v>185503</v>
      </c>
      <c r="AB16" s="129">
        <v>9191</v>
      </c>
      <c r="AC16" s="129">
        <v>2147</v>
      </c>
      <c r="AD16" s="129">
        <v>19452</v>
      </c>
      <c r="AE16" s="129">
        <v>87682</v>
      </c>
      <c r="AF16" s="129">
        <v>227491</v>
      </c>
      <c r="AG16" s="129">
        <v>1199375</v>
      </c>
      <c r="AH16" s="129">
        <v>12318</v>
      </c>
      <c r="AI16" s="129">
        <v>485678</v>
      </c>
      <c r="AJ16" s="129">
        <v>692277</v>
      </c>
      <c r="AK16" s="129">
        <v>10419</v>
      </c>
      <c r="AL16" s="142">
        <v>33700</v>
      </c>
      <c r="AM16" s="129">
        <v>31583</v>
      </c>
      <c r="AN16" s="139">
        <v>650762</v>
      </c>
      <c r="AO16" s="139">
        <v>5354</v>
      </c>
      <c r="AP16" s="139">
        <v>0</v>
      </c>
      <c r="AQ16" s="129">
        <v>116948</v>
      </c>
      <c r="AR16" s="129">
        <v>235074</v>
      </c>
      <c r="AS16" s="129">
        <v>68409</v>
      </c>
      <c r="AT16" s="129">
        <v>640</v>
      </c>
      <c r="AU16" s="129">
        <v>116164</v>
      </c>
      <c r="AV16" s="129">
        <v>46313</v>
      </c>
      <c r="AW16" s="129">
        <v>39858</v>
      </c>
      <c r="AX16" s="129">
        <v>191170</v>
      </c>
      <c r="AY16" s="129">
        <v>532971</v>
      </c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</row>
    <row r="17" spans="1:83" x14ac:dyDescent="0.25">
      <c r="A17">
        <v>10</v>
      </c>
      <c r="B17" s="129">
        <v>56327</v>
      </c>
      <c r="C17" s="129">
        <v>88447</v>
      </c>
      <c r="D17" s="129">
        <v>16653</v>
      </c>
      <c r="E17" s="129">
        <v>14808</v>
      </c>
      <c r="F17" s="129">
        <v>205756</v>
      </c>
      <c r="G17" s="129">
        <v>3915</v>
      </c>
      <c r="H17" s="129">
        <v>2311</v>
      </c>
      <c r="I17" s="129">
        <v>414765</v>
      </c>
      <c r="J17" s="129">
        <v>75256</v>
      </c>
      <c r="K17" s="129">
        <v>7938</v>
      </c>
      <c r="L17" s="129">
        <v>31622</v>
      </c>
      <c r="M17" s="129">
        <v>55248</v>
      </c>
      <c r="N17" s="129">
        <v>42225</v>
      </c>
      <c r="O17" s="129">
        <v>202861</v>
      </c>
      <c r="P17" s="129">
        <v>432537</v>
      </c>
      <c r="Q17" s="129">
        <v>3327</v>
      </c>
      <c r="R17" s="129">
        <v>20552</v>
      </c>
      <c r="S17" s="129">
        <v>25503</v>
      </c>
      <c r="T17" s="129">
        <v>301129</v>
      </c>
      <c r="U17" s="129">
        <v>413768</v>
      </c>
      <c r="V17" s="129">
        <v>44990</v>
      </c>
      <c r="W17" s="129">
        <v>5744</v>
      </c>
      <c r="X17" s="129">
        <v>15521</v>
      </c>
      <c r="Y17" s="129">
        <v>97139</v>
      </c>
      <c r="Z17" s="129">
        <v>569</v>
      </c>
      <c r="AA17" s="129">
        <v>185649</v>
      </c>
      <c r="AB17" s="129">
        <v>9201</v>
      </c>
      <c r="AC17" s="129">
        <v>2149</v>
      </c>
      <c r="AD17" s="129">
        <v>19462</v>
      </c>
      <c r="AE17" s="129">
        <v>87777</v>
      </c>
      <c r="AF17" s="129">
        <v>227699</v>
      </c>
      <c r="AG17" s="129">
        <v>1200558</v>
      </c>
      <c r="AH17" s="129">
        <v>12326</v>
      </c>
      <c r="AI17" s="129">
        <v>485695</v>
      </c>
      <c r="AJ17" s="129">
        <v>692933</v>
      </c>
      <c r="AK17" s="129">
        <v>10451</v>
      </c>
      <c r="AL17" s="142">
        <v>33825</v>
      </c>
      <c r="AM17" s="129">
        <v>31652</v>
      </c>
      <c r="AN17" s="139">
        <v>651354</v>
      </c>
      <c r="AO17" s="139">
        <v>5355</v>
      </c>
      <c r="AP17" s="139">
        <v>0</v>
      </c>
      <c r="AQ17" s="129">
        <v>117035</v>
      </c>
      <c r="AR17" s="129">
        <v>235253</v>
      </c>
      <c r="AS17" s="129">
        <v>68441</v>
      </c>
      <c r="AT17" s="129">
        <v>641</v>
      </c>
      <c r="AU17" s="129">
        <v>116286</v>
      </c>
      <c r="AV17" s="129">
        <v>46336</v>
      </c>
      <c r="AW17" s="129">
        <v>39874</v>
      </c>
      <c r="AX17" s="129">
        <v>191406</v>
      </c>
      <c r="AY17" s="129">
        <v>533284</v>
      </c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</row>
    <row r="18" spans="1:83" x14ac:dyDescent="0.25">
      <c r="A18">
        <v>11</v>
      </c>
      <c r="B18" s="129">
        <v>56398</v>
      </c>
      <c r="C18" s="129">
        <v>88626</v>
      </c>
      <c r="D18" s="129">
        <v>16657</v>
      </c>
      <c r="E18" s="129">
        <v>14822</v>
      </c>
      <c r="F18" s="129">
        <v>205983</v>
      </c>
      <c r="G18" s="129">
        <v>3918</v>
      </c>
      <c r="H18" s="129">
        <v>2329</v>
      </c>
      <c r="I18" s="129">
        <v>415076</v>
      </c>
      <c r="J18" s="129">
        <v>75332</v>
      </c>
      <c r="K18" s="129">
        <v>7939</v>
      </c>
      <c r="L18" s="129">
        <v>31643</v>
      </c>
      <c r="M18" s="129">
        <v>55279</v>
      </c>
      <c r="N18" s="129">
        <v>42256</v>
      </c>
      <c r="O18" s="129">
        <v>203061</v>
      </c>
      <c r="P18" s="129">
        <v>433054</v>
      </c>
      <c r="Q18" s="129">
        <v>3331</v>
      </c>
      <c r="R18" s="129">
        <v>20572</v>
      </c>
      <c r="S18" s="129">
        <v>25503</v>
      </c>
      <c r="T18" s="129">
        <v>301378</v>
      </c>
      <c r="U18" s="129">
        <v>414108</v>
      </c>
      <c r="V18" s="129">
        <v>45039</v>
      </c>
      <c r="W18" s="129">
        <v>5750</v>
      </c>
      <c r="X18" s="129">
        <v>15535</v>
      </c>
      <c r="Y18" s="129">
        <v>97236</v>
      </c>
      <c r="Z18" s="129">
        <v>571</v>
      </c>
      <c r="AA18" s="129">
        <v>185802</v>
      </c>
      <c r="AB18" s="129">
        <v>9234</v>
      </c>
      <c r="AC18" s="129">
        <v>2151</v>
      </c>
      <c r="AD18" s="129">
        <v>19472</v>
      </c>
      <c r="AE18" s="129">
        <v>87878</v>
      </c>
      <c r="AF18" s="129">
        <v>227917</v>
      </c>
      <c r="AG18" s="129">
        <v>1201432</v>
      </c>
      <c r="AH18" s="129">
        <v>12328</v>
      </c>
      <c r="AI18" s="129">
        <v>485713</v>
      </c>
      <c r="AJ18" s="129">
        <v>693566</v>
      </c>
      <c r="AK18" s="129">
        <v>10467</v>
      </c>
      <c r="AL18" s="142">
        <v>33957</v>
      </c>
      <c r="AM18" s="129">
        <v>31732</v>
      </c>
      <c r="AN18" s="139">
        <v>652077</v>
      </c>
      <c r="AO18" s="139">
        <v>5356</v>
      </c>
      <c r="AP18" s="139">
        <v>0</v>
      </c>
      <c r="AQ18" s="129">
        <v>117209</v>
      </c>
      <c r="AR18" s="129">
        <v>235434</v>
      </c>
      <c r="AS18" s="129">
        <v>68474</v>
      </c>
      <c r="AT18" s="129">
        <v>642</v>
      </c>
      <c r="AU18" s="129">
        <v>116358</v>
      </c>
      <c r="AV18" s="129">
        <v>46366</v>
      </c>
      <c r="AW18" s="129">
        <v>39890</v>
      </c>
      <c r="AX18" s="129">
        <v>191664</v>
      </c>
      <c r="AY18" s="129">
        <v>533880</v>
      </c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</row>
    <row r="19" spans="1:83" x14ac:dyDescent="0.25">
      <c r="A19">
        <v>12</v>
      </c>
      <c r="B19" s="129">
        <v>56487</v>
      </c>
      <c r="C19" s="129">
        <v>88794</v>
      </c>
      <c r="D19" s="129">
        <v>16668</v>
      </c>
      <c r="E19" s="129">
        <v>14838</v>
      </c>
      <c r="F19" s="129">
        <v>206210</v>
      </c>
      <c r="G19" s="129">
        <v>3922</v>
      </c>
      <c r="H19" s="129">
        <v>2351</v>
      </c>
      <c r="I19" s="129">
        <v>415391</v>
      </c>
      <c r="J19" s="129">
        <v>75405</v>
      </c>
      <c r="K19" s="129">
        <v>7939</v>
      </c>
      <c r="L19" s="129">
        <v>31663</v>
      </c>
      <c r="M19" s="129">
        <v>55315</v>
      </c>
      <c r="N19" s="129">
        <v>42294</v>
      </c>
      <c r="O19" s="129">
        <v>203260</v>
      </c>
      <c r="P19" s="129">
        <v>433694</v>
      </c>
      <c r="Q19" s="129">
        <v>3335</v>
      </c>
      <c r="R19" s="129">
        <v>20595</v>
      </c>
      <c r="S19" s="129">
        <v>25503</v>
      </c>
      <c r="T19" s="129">
        <v>301609</v>
      </c>
      <c r="U19" s="129">
        <v>414459</v>
      </c>
      <c r="V19" s="129">
        <v>45091</v>
      </c>
      <c r="W19" s="129">
        <v>5751</v>
      </c>
      <c r="X19" s="129">
        <v>15551</v>
      </c>
      <c r="Y19" s="129">
        <v>97340</v>
      </c>
      <c r="Z19" s="129">
        <v>572</v>
      </c>
      <c r="AA19" s="129">
        <v>185948</v>
      </c>
      <c r="AB19" s="129">
        <v>9249</v>
      </c>
      <c r="AC19" s="129">
        <v>2153</v>
      </c>
      <c r="AD19" s="129">
        <v>19482</v>
      </c>
      <c r="AE19" s="129">
        <v>87989</v>
      </c>
      <c r="AF19" s="129">
        <v>228131</v>
      </c>
      <c r="AG19" s="129">
        <v>1202750</v>
      </c>
      <c r="AH19" s="129">
        <v>12335</v>
      </c>
      <c r="AI19" s="129">
        <v>485731</v>
      </c>
      <c r="AJ19" s="129">
        <v>694217</v>
      </c>
      <c r="AK19" s="129">
        <v>10488</v>
      </c>
      <c r="AL19" s="142">
        <v>34098</v>
      </c>
      <c r="AM19" s="129">
        <v>31814</v>
      </c>
      <c r="AN19" s="139">
        <v>652557</v>
      </c>
      <c r="AO19" s="139">
        <v>5357</v>
      </c>
      <c r="AP19" s="139">
        <v>0</v>
      </c>
      <c r="AQ19" s="129">
        <v>117300</v>
      </c>
      <c r="AR19" s="129">
        <v>235623</v>
      </c>
      <c r="AS19" s="129">
        <v>68505</v>
      </c>
      <c r="AT19" s="129">
        <v>642</v>
      </c>
      <c r="AU19" s="129">
        <v>116454</v>
      </c>
      <c r="AV19" s="129">
        <v>46389</v>
      </c>
      <c r="AW19" s="129">
        <v>39905</v>
      </c>
      <c r="AX19" s="129">
        <v>191904</v>
      </c>
      <c r="AY19" s="129">
        <v>534476</v>
      </c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</row>
    <row r="20" spans="1:83" x14ac:dyDescent="0.25">
      <c r="A20">
        <v>13</v>
      </c>
      <c r="B20" s="129">
        <v>56587</v>
      </c>
      <c r="C20" s="129">
        <v>88961</v>
      </c>
      <c r="D20" s="129">
        <v>16686</v>
      </c>
      <c r="E20" s="129">
        <v>14855</v>
      </c>
      <c r="F20" s="129">
        <v>206439</v>
      </c>
      <c r="G20" s="129">
        <v>3926</v>
      </c>
      <c r="H20" s="129">
        <v>2376</v>
      </c>
      <c r="I20" s="129">
        <v>415710</v>
      </c>
      <c r="J20" s="129">
        <v>75476</v>
      </c>
      <c r="K20" s="129">
        <v>7940</v>
      </c>
      <c r="L20" s="129">
        <v>31683</v>
      </c>
      <c r="M20" s="129">
        <v>55366</v>
      </c>
      <c r="N20" s="129">
        <v>42332</v>
      </c>
      <c r="O20" s="129">
        <v>203464</v>
      </c>
      <c r="P20" s="129">
        <v>434493</v>
      </c>
      <c r="Q20" s="129">
        <v>3339</v>
      </c>
      <c r="R20" s="129">
        <v>20620</v>
      </c>
      <c r="S20" s="129">
        <v>25503</v>
      </c>
      <c r="T20" s="129">
        <v>301848</v>
      </c>
      <c r="U20" s="129">
        <v>414844</v>
      </c>
      <c r="V20" s="129">
        <v>45145</v>
      </c>
      <c r="W20" s="129">
        <v>5752</v>
      </c>
      <c r="X20" s="129">
        <v>15570</v>
      </c>
      <c r="Y20" s="129">
        <v>97440</v>
      </c>
      <c r="Z20" s="129">
        <v>573</v>
      </c>
      <c r="AA20" s="129">
        <v>186093</v>
      </c>
      <c r="AB20" s="129">
        <v>9279</v>
      </c>
      <c r="AC20" s="129">
        <v>2157</v>
      </c>
      <c r="AD20" s="129">
        <v>19492</v>
      </c>
      <c r="AE20" s="129">
        <v>88118</v>
      </c>
      <c r="AF20" s="129">
        <v>228403</v>
      </c>
      <c r="AG20" s="129">
        <v>1204202</v>
      </c>
      <c r="AH20" s="129">
        <v>12347</v>
      </c>
      <c r="AI20" s="129">
        <v>485749</v>
      </c>
      <c r="AJ20" s="139">
        <v>694960</v>
      </c>
      <c r="AK20" s="139">
        <v>10511</v>
      </c>
      <c r="AL20" s="142">
        <v>34253</v>
      </c>
      <c r="AM20" s="139">
        <v>31922</v>
      </c>
      <c r="AN20" s="139">
        <v>653157</v>
      </c>
      <c r="AO20" s="139">
        <v>5358</v>
      </c>
      <c r="AP20" s="139">
        <v>0</v>
      </c>
      <c r="AQ20" s="139">
        <v>117394</v>
      </c>
      <c r="AR20" s="139">
        <v>235817</v>
      </c>
      <c r="AS20" s="139">
        <v>68541</v>
      </c>
      <c r="AT20" s="139">
        <v>643</v>
      </c>
      <c r="AU20" s="139">
        <v>116570</v>
      </c>
      <c r="AV20" s="139">
        <v>46411</v>
      </c>
      <c r="AW20" s="139">
        <v>39922</v>
      </c>
      <c r="AX20" s="139">
        <v>192154</v>
      </c>
      <c r="AY20" s="139">
        <v>535081</v>
      </c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</row>
    <row r="21" spans="1:83" x14ac:dyDescent="0.25">
      <c r="A21">
        <v>14</v>
      </c>
      <c r="B21" s="129">
        <v>56679</v>
      </c>
      <c r="C21" s="129">
        <v>89137</v>
      </c>
      <c r="D21" s="129">
        <v>16699</v>
      </c>
      <c r="E21" s="129">
        <v>14871</v>
      </c>
      <c r="F21" s="129">
        <v>206670</v>
      </c>
      <c r="G21" s="129">
        <v>3929</v>
      </c>
      <c r="H21" s="129">
        <v>2398</v>
      </c>
      <c r="I21" s="129">
        <v>416030</v>
      </c>
      <c r="J21" s="129">
        <v>75553</v>
      </c>
      <c r="K21" s="129">
        <v>7940</v>
      </c>
      <c r="L21" s="129">
        <v>31707</v>
      </c>
      <c r="M21" s="129">
        <v>55389</v>
      </c>
      <c r="N21" s="129">
        <v>42368</v>
      </c>
      <c r="O21" s="129">
        <v>203664</v>
      </c>
      <c r="P21" s="129">
        <v>435303</v>
      </c>
      <c r="Q21" s="129">
        <v>3342</v>
      </c>
      <c r="R21" s="129">
        <v>20638</v>
      </c>
      <c r="S21" s="129">
        <v>25503</v>
      </c>
      <c r="T21" s="129">
        <v>302069</v>
      </c>
      <c r="U21" s="129">
        <v>415212</v>
      </c>
      <c r="V21" s="129">
        <v>45198</v>
      </c>
      <c r="W21" s="129">
        <v>5752</v>
      </c>
      <c r="X21" s="129">
        <v>15588</v>
      </c>
      <c r="Y21" s="129">
        <v>97530</v>
      </c>
      <c r="Z21" s="129">
        <v>573</v>
      </c>
      <c r="AA21" s="129">
        <v>186244</v>
      </c>
      <c r="AB21" s="129">
        <v>9309</v>
      </c>
      <c r="AC21" s="129">
        <v>2159</v>
      </c>
      <c r="AD21" s="129">
        <v>19502</v>
      </c>
      <c r="AE21" s="129">
        <v>88242</v>
      </c>
      <c r="AF21" s="129">
        <v>228665</v>
      </c>
      <c r="AG21" s="129">
        <v>1205400</v>
      </c>
      <c r="AH21" s="129">
        <v>12352</v>
      </c>
      <c r="AI21" s="129">
        <v>485767</v>
      </c>
      <c r="AJ21" s="139">
        <v>695587</v>
      </c>
      <c r="AK21" s="139">
        <v>10531</v>
      </c>
      <c r="AL21" s="142">
        <v>34423</v>
      </c>
      <c r="AM21" s="139">
        <v>32035</v>
      </c>
      <c r="AN21" s="139">
        <v>653653</v>
      </c>
      <c r="AO21" s="139">
        <v>5359</v>
      </c>
      <c r="AP21" s="139">
        <v>0</v>
      </c>
      <c r="AQ21" s="139">
        <v>117484</v>
      </c>
      <c r="AR21" s="139">
        <v>236016</v>
      </c>
      <c r="AS21" s="139">
        <v>68572</v>
      </c>
      <c r="AT21" s="139">
        <v>644</v>
      </c>
      <c r="AU21" s="139">
        <v>116705</v>
      </c>
      <c r="AV21" s="139">
        <v>46450</v>
      </c>
      <c r="AW21" s="139">
        <v>39942</v>
      </c>
      <c r="AX21" s="139">
        <v>192404</v>
      </c>
      <c r="AY21" s="139">
        <v>535670</v>
      </c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</row>
    <row r="22" spans="1:83" x14ac:dyDescent="0.25">
      <c r="A22">
        <v>15</v>
      </c>
      <c r="B22" s="129">
        <v>56765</v>
      </c>
      <c r="C22" s="129">
        <v>89298</v>
      </c>
      <c r="D22" s="129">
        <v>16715</v>
      </c>
      <c r="E22" s="129">
        <v>14884</v>
      </c>
      <c r="F22" s="129">
        <v>206893</v>
      </c>
      <c r="G22" s="129">
        <v>3932</v>
      </c>
      <c r="H22" s="129">
        <v>2422</v>
      </c>
      <c r="I22" s="129">
        <v>416346</v>
      </c>
      <c r="J22" s="129">
        <v>75620</v>
      </c>
      <c r="K22" s="129">
        <v>7941</v>
      </c>
      <c r="L22" s="129">
        <v>31731</v>
      </c>
      <c r="M22" s="129">
        <v>55421</v>
      </c>
      <c r="N22" s="129">
        <v>42405</v>
      </c>
      <c r="O22" s="129">
        <v>203858</v>
      </c>
      <c r="P22" s="129">
        <v>436099</v>
      </c>
      <c r="Q22" s="129">
        <v>3345</v>
      </c>
      <c r="R22" s="129">
        <v>20656</v>
      </c>
      <c r="S22" s="129">
        <v>25503</v>
      </c>
      <c r="T22" s="129">
        <v>302297</v>
      </c>
      <c r="U22" s="129">
        <v>415580</v>
      </c>
      <c r="V22" s="129">
        <v>45252</v>
      </c>
      <c r="W22" s="129">
        <v>5753</v>
      </c>
      <c r="X22" s="129">
        <v>15603</v>
      </c>
      <c r="Y22" s="129">
        <v>97609</v>
      </c>
      <c r="Z22" s="129">
        <v>574</v>
      </c>
      <c r="AA22" s="129">
        <v>186393</v>
      </c>
      <c r="AB22" s="129">
        <v>9334</v>
      </c>
      <c r="AC22" s="129">
        <v>2161</v>
      </c>
      <c r="AD22" s="129">
        <v>19512</v>
      </c>
      <c r="AE22" s="129">
        <v>88377</v>
      </c>
      <c r="AF22" s="129">
        <v>228940</v>
      </c>
      <c r="AG22" s="129">
        <v>1206474</v>
      </c>
      <c r="AH22" s="129">
        <v>12354</v>
      </c>
      <c r="AI22" s="129">
        <v>485778</v>
      </c>
      <c r="AJ22" s="139">
        <v>696288</v>
      </c>
      <c r="AK22" s="139">
        <v>10548</v>
      </c>
      <c r="AL22" s="142">
        <v>34586</v>
      </c>
      <c r="AM22" s="139">
        <v>32142</v>
      </c>
      <c r="AN22" s="139">
        <v>654260</v>
      </c>
      <c r="AO22" s="139">
        <v>5360</v>
      </c>
      <c r="AP22" s="139">
        <v>0</v>
      </c>
      <c r="AQ22" s="139">
        <v>117576</v>
      </c>
      <c r="AR22" s="139">
        <v>236248</v>
      </c>
      <c r="AS22" s="139">
        <v>68604</v>
      </c>
      <c r="AT22" s="139">
        <v>644</v>
      </c>
      <c r="AU22" s="139">
        <v>116834</v>
      </c>
      <c r="AV22" s="139">
        <v>46496</v>
      </c>
      <c r="AW22" s="139">
        <v>39970</v>
      </c>
      <c r="AX22" s="139">
        <v>192648</v>
      </c>
      <c r="AY22" s="139">
        <v>536260</v>
      </c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</row>
    <row r="23" spans="1:83" x14ac:dyDescent="0.25">
      <c r="A23">
        <v>16</v>
      </c>
      <c r="B23" s="129">
        <v>56846</v>
      </c>
      <c r="C23" s="129">
        <v>89473</v>
      </c>
      <c r="D23" s="129">
        <v>16727</v>
      </c>
      <c r="E23" s="129">
        <v>14902</v>
      </c>
      <c r="F23" s="129">
        <v>207118</v>
      </c>
      <c r="G23" s="129">
        <v>3935</v>
      </c>
      <c r="H23" s="129">
        <v>2434</v>
      </c>
      <c r="I23" s="129">
        <v>416669</v>
      </c>
      <c r="J23" s="129">
        <v>75687</v>
      </c>
      <c r="K23" s="129">
        <v>7941</v>
      </c>
      <c r="L23" s="129">
        <v>31755</v>
      </c>
      <c r="M23" s="129">
        <v>55455</v>
      </c>
      <c r="N23" s="129">
        <v>42442</v>
      </c>
      <c r="O23" s="129">
        <v>204066</v>
      </c>
      <c r="P23" s="129">
        <v>436858</v>
      </c>
      <c r="Q23" s="129">
        <v>3348</v>
      </c>
      <c r="R23" s="129">
        <v>20678</v>
      </c>
      <c r="S23" s="129">
        <v>25503</v>
      </c>
      <c r="T23" s="129">
        <v>302526</v>
      </c>
      <c r="U23" s="129">
        <v>415957</v>
      </c>
      <c r="V23" s="129">
        <v>45303</v>
      </c>
      <c r="W23" s="129">
        <v>5753</v>
      </c>
      <c r="X23" s="129">
        <v>15619</v>
      </c>
      <c r="Y23" s="129">
        <v>97683</v>
      </c>
      <c r="Z23" s="129">
        <v>574</v>
      </c>
      <c r="AA23" s="129">
        <v>186536</v>
      </c>
      <c r="AB23" s="129">
        <v>9356</v>
      </c>
      <c r="AC23" s="129">
        <v>2162</v>
      </c>
      <c r="AD23" s="129">
        <v>19522</v>
      </c>
      <c r="AE23" s="129">
        <v>88497</v>
      </c>
      <c r="AF23" s="129">
        <v>229220</v>
      </c>
      <c r="AG23" s="129">
        <v>1207261</v>
      </c>
      <c r="AH23" s="129">
        <v>12358</v>
      </c>
      <c r="AI23" s="129">
        <v>485803</v>
      </c>
      <c r="AJ23" s="129">
        <v>696970</v>
      </c>
      <c r="AK23" s="129">
        <v>10565</v>
      </c>
      <c r="AL23" s="142">
        <v>34745</v>
      </c>
      <c r="AM23" s="129">
        <v>32249</v>
      </c>
      <c r="AN23" s="139">
        <v>654785</v>
      </c>
      <c r="AO23" s="139">
        <v>5361</v>
      </c>
      <c r="AP23" s="139">
        <v>0</v>
      </c>
      <c r="AQ23" s="129">
        <v>117676</v>
      </c>
      <c r="AR23" s="129">
        <v>236486</v>
      </c>
      <c r="AS23" s="129">
        <v>68638</v>
      </c>
      <c r="AT23" s="129">
        <v>645</v>
      </c>
      <c r="AU23" s="129">
        <v>116964</v>
      </c>
      <c r="AV23" s="129">
        <v>46532</v>
      </c>
      <c r="AW23" s="129">
        <v>40000</v>
      </c>
      <c r="AX23" s="129">
        <v>192900</v>
      </c>
      <c r="AY23" s="129">
        <v>536888</v>
      </c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</row>
    <row r="24" spans="1:83" x14ac:dyDescent="0.25">
      <c r="A24">
        <v>17</v>
      </c>
      <c r="B24" s="129">
        <v>56924</v>
      </c>
      <c r="C24" s="129">
        <v>89634</v>
      </c>
      <c r="D24" s="129">
        <v>16741</v>
      </c>
      <c r="E24" s="129">
        <v>14917</v>
      </c>
      <c r="F24" s="129">
        <v>207335</v>
      </c>
      <c r="G24" s="129">
        <v>3938</v>
      </c>
      <c r="H24" s="129">
        <v>2444</v>
      </c>
      <c r="I24" s="129">
        <v>416984</v>
      </c>
      <c r="J24" s="129">
        <v>75749</v>
      </c>
      <c r="K24" s="129">
        <v>7942</v>
      </c>
      <c r="L24" s="129">
        <v>31775</v>
      </c>
      <c r="M24" s="129">
        <v>55496</v>
      </c>
      <c r="N24" s="129">
        <v>42474</v>
      </c>
      <c r="O24" s="129">
        <v>204262</v>
      </c>
      <c r="P24" s="129">
        <v>437845</v>
      </c>
      <c r="Q24" s="129">
        <v>3352</v>
      </c>
      <c r="R24" s="129">
        <v>20697</v>
      </c>
      <c r="S24" s="129">
        <v>25503</v>
      </c>
      <c r="T24" s="129">
        <v>302761</v>
      </c>
      <c r="U24" s="129">
        <v>416343</v>
      </c>
      <c r="V24" s="129">
        <v>45451</v>
      </c>
      <c r="W24" s="129">
        <v>5754</v>
      </c>
      <c r="X24" s="129">
        <v>15633</v>
      </c>
      <c r="Y24" s="129">
        <v>97766</v>
      </c>
      <c r="Z24" s="129">
        <v>575</v>
      </c>
      <c r="AA24" s="129">
        <v>186680</v>
      </c>
      <c r="AB24" s="129">
        <v>9371</v>
      </c>
      <c r="AC24" s="129">
        <v>2164</v>
      </c>
      <c r="AD24" s="129">
        <v>19532</v>
      </c>
      <c r="AE24" s="129">
        <v>88607</v>
      </c>
      <c r="AF24" s="129">
        <v>229474</v>
      </c>
      <c r="AG24" s="129">
        <v>1208140</v>
      </c>
      <c r="AH24" s="129">
        <v>12368</v>
      </c>
      <c r="AI24" s="129">
        <v>485853</v>
      </c>
      <c r="AJ24" s="129">
        <v>697576</v>
      </c>
      <c r="AK24" s="129">
        <v>10582</v>
      </c>
      <c r="AL24" s="129">
        <v>34944</v>
      </c>
      <c r="AM24" s="129">
        <v>32339</v>
      </c>
      <c r="AN24" s="139">
        <v>655362</v>
      </c>
      <c r="AO24" s="139">
        <v>5362</v>
      </c>
      <c r="AP24" s="139">
        <v>0</v>
      </c>
      <c r="AQ24" s="129">
        <v>117771</v>
      </c>
      <c r="AR24" s="129">
        <v>236717</v>
      </c>
      <c r="AS24" s="129">
        <v>68671</v>
      </c>
      <c r="AT24" s="129">
        <v>646</v>
      </c>
      <c r="AU24" s="129">
        <v>117066</v>
      </c>
      <c r="AV24" s="129">
        <v>46567</v>
      </c>
      <c r="AW24" s="129">
        <v>40031</v>
      </c>
      <c r="AX24" s="129">
        <v>193131</v>
      </c>
      <c r="AY24" s="129">
        <v>537465</v>
      </c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</row>
    <row r="25" spans="1:83" x14ac:dyDescent="0.25">
      <c r="A25">
        <v>18</v>
      </c>
      <c r="B25" s="129">
        <v>57002</v>
      </c>
      <c r="C25" s="129">
        <v>89796</v>
      </c>
      <c r="D25" s="129">
        <v>16756</v>
      </c>
      <c r="E25" s="129">
        <v>14932</v>
      </c>
      <c r="F25" s="129">
        <v>207553</v>
      </c>
      <c r="G25" s="129">
        <v>3941</v>
      </c>
      <c r="H25" s="129">
        <v>2454</v>
      </c>
      <c r="I25" s="129">
        <v>417299</v>
      </c>
      <c r="J25" s="129">
        <v>75812</v>
      </c>
      <c r="K25" s="129">
        <v>7942</v>
      </c>
      <c r="L25" s="129">
        <v>31795</v>
      </c>
      <c r="M25" s="129">
        <v>55536</v>
      </c>
      <c r="N25" s="129">
        <v>42506</v>
      </c>
      <c r="O25" s="129">
        <v>204458</v>
      </c>
      <c r="P25" s="129">
        <v>438831</v>
      </c>
      <c r="Q25" s="129">
        <v>3355</v>
      </c>
      <c r="R25" s="129">
        <v>20716</v>
      </c>
      <c r="S25" s="129">
        <v>25503</v>
      </c>
      <c r="T25" s="129">
        <v>302995</v>
      </c>
      <c r="U25" s="129">
        <v>416728</v>
      </c>
      <c r="V25" s="129">
        <v>45599</v>
      </c>
      <c r="W25" s="129">
        <v>5755</v>
      </c>
      <c r="X25" s="129">
        <v>15647</v>
      </c>
      <c r="Y25" s="129">
        <v>97849</v>
      </c>
      <c r="Z25" s="129">
        <v>576</v>
      </c>
      <c r="AA25" s="129">
        <v>186824</v>
      </c>
      <c r="AB25" s="129">
        <v>9386</v>
      </c>
      <c r="AC25" s="129">
        <v>2166</v>
      </c>
      <c r="AD25" s="129">
        <v>19542</v>
      </c>
      <c r="AE25" s="129">
        <v>88716</v>
      </c>
      <c r="AF25" s="129">
        <v>229727</v>
      </c>
      <c r="AG25" s="129">
        <v>1209019</v>
      </c>
      <c r="AH25" s="129">
        <v>12378</v>
      </c>
      <c r="AI25" s="129">
        <v>485903</v>
      </c>
      <c r="AJ25" s="129">
        <v>698181</v>
      </c>
      <c r="AK25" s="129">
        <v>10599</v>
      </c>
      <c r="AL25" s="142">
        <v>35143</v>
      </c>
      <c r="AM25" s="129">
        <v>32429</v>
      </c>
      <c r="AN25" s="139">
        <v>655939</v>
      </c>
      <c r="AO25" s="139">
        <v>5363</v>
      </c>
      <c r="AP25" s="139">
        <v>0</v>
      </c>
      <c r="AQ25" s="129">
        <v>117866</v>
      </c>
      <c r="AR25" s="129">
        <v>236948</v>
      </c>
      <c r="AS25" s="129">
        <v>68703</v>
      </c>
      <c r="AT25" s="129">
        <v>646</v>
      </c>
      <c r="AU25" s="129">
        <v>117168</v>
      </c>
      <c r="AV25" s="129">
        <v>46601</v>
      </c>
      <c r="AW25" s="129">
        <v>40061</v>
      </c>
      <c r="AX25" s="129">
        <v>193362</v>
      </c>
      <c r="AY25" s="129">
        <v>538041</v>
      </c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</row>
    <row r="26" spans="1:83" x14ac:dyDescent="0.25">
      <c r="A26">
        <v>19</v>
      </c>
      <c r="B26" s="129">
        <v>57096</v>
      </c>
      <c r="C26" s="129">
        <v>89978</v>
      </c>
      <c r="D26" s="129">
        <v>16774</v>
      </c>
      <c r="E26" s="129">
        <v>14949</v>
      </c>
      <c r="F26" s="129">
        <v>207775</v>
      </c>
      <c r="G26" s="129">
        <v>3944</v>
      </c>
      <c r="H26" s="129">
        <v>2466</v>
      </c>
      <c r="I26" s="129">
        <v>417618</v>
      </c>
      <c r="J26" s="129">
        <v>75878</v>
      </c>
      <c r="K26" s="129">
        <v>7942</v>
      </c>
      <c r="L26" s="129">
        <v>31818</v>
      </c>
      <c r="M26" s="129">
        <v>55580</v>
      </c>
      <c r="N26" s="129">
        <v>42543</v>
      </c>
      <c r="O26" s="129">
        <v>204661</v>
      </c>
      <c r="P26" s="129">
        <v>439058</v>
      </c>
      <c r="Q26" s="129">
        <v>3358</v>
      </c>
      <c r="R26" s="129">
        <v>20737</v>
      </c>
      <c r="S26" s="129">
        <v>25503</v>
      </c>
      <c r="T26" s="129">
        <v>303225</v>
      </c>
      <c r="U26" s="129">
        <v>417135</v>
      </c>
      <c r="V26" s="129">
        <v>45449</v>
      </c>
      <c r="W26" s="129">
        <v>5755</v>
      </c>
      <c r="X26" s="129">
        <v>15662</v>
      </c>
      <c r="Y26" s="129">
        <v>97945</v>
      </c>
      <c r="Z26" s="129">
        <v>577</v>
      </c>
      <c r="AA26" s="129">
        <v>186972</v>
      </c>
      <c r="AB26" s="129">
        <v>9418</v>
      </c>
      <c r="AC26" s="129">
        <v>2168</v>
      </c>
      <c r="AD26" s="129">
        <v>19552</v>
      </c>
      <c r="AE26" s="129">
        <v>88817</v>
      </c>
      <c r="AF26" s="129">
        <v>229908</v>
      </c>
      <c r="AG26" s="129">
        <v>1210151</v>
      </c>
      <c r="AH26" s="129">
        <v>12380</v>
      </c>
      <c r="AI26" s="129">
        <v>485920</v>
      </c>
      <c r="AJ26" s="129">
        <v>698794</v>
      </c>
      <c r="AK26" s="129">
        <v>10614</v>
      </c>
      <c r="AL26" s="142">
        <v>35135</v>
      </c>
      <c r="AM26" s="129">
        <v>32505</v>
      </c>
      <c r="AN26" s="139">
        <v>656435</v>
      </c>
      <c r="AO26" s="139">
        <v>5363</v>
      </c>
      <c r="AP26" s="139">
        <v>0</v>
      </c>
      <c r="AQ26" s="129">
        <v>117965</v>
      </c>
      <c r="AR26" s="129">
        <v>237188</v>
      </c>
      <c r="AS26" s="129">
        <v>68740</v>
      </c>
      <c r="AT26" s="129">
        <v>647</v>
      </c>
      <c r="AU26" s="129">
        <v>117292</v>
      </c>
      <c r="AV26" s="129">
        <v>46636</v>
      </c>
      <c r="AW26" s="129">
        <v>40092</v>
      </c>
      <c r="AX26" s="129">
        <v>193606</v>
      </c>
      <c r="AY26" s="129">
        <v>538604</v>
      </c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</row>
    <row r="27" spans="1:83" x14ac:dyDescent="0.25">
      <c r="A27">
        <v>20</v>
      </c>
      <c r="B27" s="129">
        <v>57187</v>
      </c>
      <c r="C27" s="129">
        <v>90132</v>
      </c>
      <c r="D27" s="129">
        <v>16783</v>
      </c>
      <c r="E27" s="129">
        <v>14970</v>
      </c>
      <c r="F27" s="129">
        <v>207981</v>
      </c>
      <c r="G27" s="129">
        <v>3946</v>
      </c>
      <c r="H27" s="129">
        <v>2473</v>
      </c>
      <c r="I27" s="129">
        <v>417986</v>
      </c>
      <c r="J27" s="129">
        <v>75944</v>
      </c>
      <c r="K27" s="129">
        <v>7942</v>
      </c>
      <c r="L27" s="129">
        <v>31840</v>
      </c>
      <c r="M27" s="129">
        <v>55629</v>
      </c>
      <c r="N27" s="129">
        <v>42579</v>
      </c>
      <c r="O27" s="129">
        <v>204860</v>
      </c>
      <c r="P27" s="129">
        <v>439750</v>
      </c>
      <c r="Q27" s="129">
        <v>3361</v>
      </c>
      <c r="R27" s="129">
        <v>20758</v>
      </c>
      <c r="S27" s="129">
        <v>25503</v>
      </c>
      <c r="T27" s="129">
        <v>303452</v>
      </c>
      <c r="U27" s="129">
        <v>417543</v>
      </c>
      <c r="V27" s="129">
        <v>45497</v>
      </c>
      <c r="W27" s="129">
        <v>5756</v>
      </c>
      <c r="X27" s="129">
        <v>15674</v>
      </c>
      <c r="Y27" s="129">
        <v>98036</v>
      </c>
      <c r="Z27" s="129">
        <v>577</v>
      </c>
      <c r="AA27" s="129">
        <v>187124</v>
      </c>
      <c r="AB27" s="129">
        <v>9441</v>
      </c>
      <c r="AC27" s="129">
        <v>2172</v>
      </c>
      <c r="AD27" s="129">
        <v>19577</v>
      </c>
      <c r="AE27" s="129">
        <v>88930</v>
      </c>
      <c r="AF27" s="129">
        <v>230079</v>
      </c>
      <c r="AG27" s="129">
        <v>1211311</v>
      </c>
      <c r="AH27" s="129">
        <v>12385</v>
      </c>
      <c r="AI27" s="129">
        <v>486168</v>
      </c>
      <c r="AJ27" s="129">
        <v>699384</v>
      </c>
      <c r="AK27" s="129">
        <v>10628</v>
      </c>
      <c r="AL27" s="142">
        <v>35187</v>
      </c>
      <c r="AM27" s="129">
        <v>32567</v>
      </c>
      <c r="AN27" s="139">
        <v>656924</v>
      </c>
      <c r="AO27" s="139">
        <v>5363</v>
      </c>
      <c r="AP27" s="139">
        <v>0</v>
      </c>
      <c r="AQ27" s="129">
        <v>118066</v>
      </c>
      <c r="AR27" s="129">
        <v>237417</v>
      </c>
      <c r="AS27" s="129">
        <v>68772</v>
      </c>
      <c r="AT27" s="129">
        <v>647</v>
      </c>
      <c r="AU27" s="129">
        <v>117432</v>
      </c>
      <c r="AV27" s="129">
        <v>46667</v>
      </c>
      <c r="AW27" s="129">
        <v>40119</v>
      </c>
      <c r="AX27" s="129">
        <v>193871</v>
      </c>
      <c r="AY27" s="129">
        <v>539147</v>
      </c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</row>
    <row r="28" spans="1:83" x14ac:dyDescent="0.25">
      <c r="A28">
        <v>21</v>
      </c>
      <c r="B28" s="129">
        <v>57274</v>
      </c>
      <c r="C28" s="129">
        <v>90287</v>
      </c>
      <c r="D28" s="129">
        <v>16795</v>
      </c>
      <c r="E28" s="129">
        <v>14984</v>
      </c>
      <c r="F28" s="129">
        <v>208198</v>
      </c>
      <c r="G28" s="129">
        <v>3949</v>
      </c>
      <c r="H28" s="129">
        <v>2482</v>
      </c>
      <c r="I28" s="129">
        <v>418360</v>
      </c>
      <c r="J28" s="129">
        <v>76000</v>
      </c>
      <c r="K28" s="129">
        <v>7943</v>
      </c>
      <c r="L28" s="129">
        <v>31866</v>
      </c>
      <c r="M28" s="129">
        <v>55674</v>
      </c>
      <c r="N28" s="129">
        <v>42613</v>
      </c>
      <c r="O28" s="129">
        <v>205061</v>
      </c>
      <c r="P28" s="129">
        <v>440477</v>
      </c>
      <c r="Q28" s="129">
        <v>3364</v>
      </c>
      <c r="R28" s="129">
        <v>20771</v>
      </c>
      <c r="S28" s="129">
        <v>25503</v>
      </c>
      <c r="T28" s="129">
        <v>303673</v>
      </c>
      <c r="U28" s="129">
        <v>417945</v>
      </c>
      <c r="V28" s="129">
        <v>45544</v>
      </c>
      <c r="W28" s="129">
        <v>5757</v>
      </c>
      <c r="X28" s="129">
        <v>15687</v>
      </c>
      <c r="Y28" s="129">
        <v>98128</v>
      </c>
      <c r="Z28" s="129">
        <v>577</v>
      </c>
      <c r="AA28" s="129">
        <v>187267</v>
      </c>
      <c r="AB28" s="129">
        <v>9463</v>
      </c>
      <c r="AC28" s="129">
        <v>2174</v>
      </c>
      <c r="AD28" s="129">
        <v>19608</v>
      </c>
      <c r="AE28" s="129">
        <v>89042</v>
      </c>
      <c r="AF28" s="129">
        <v>230271</v>
      </c>
      <c r="AG28" s="129">
        <v>1212755</v>
      </c>
      <c r="AH28" s="129">
        <v>12392</v>
      </c>
      <c r="AI28" s="129">
        <v>486186</v>
      </c>
      <c r="AJ28" s="129">
        <v>700002</v>
      </c>
      <c r="AK28" s="129">
        <v>10646</v>
      </c>
      <c r="AL28" s="142">
        <v>35202</v>
      </c>
      <c r="AM28" s="129">
        <v>32667</v>
      </c>
      <c r="AN28" s="139">
        <v>657396</v>
      </c>
      <c r="AO28" s="139">
        <v>5363</v>
      </c>
      <c r="AP28" s="139">
        <v>0</v>
      </c>
      <c r="AQ28" s="129">
        <v>118162</v>
      </c>
      <c r="AR28" s="129">
        <v>237651</v>
      </c>
      <c r="AS28" s="129">
        <v>68811</v>
      </c>
      <c r="AT28" s="129">
        <v>648</v>
      </c>
      <c r="AU28" s="129">
        <v>117579</v>
      </c>
      <c r="AV28" s="129">
        <v>46701</v>
      </c>
      <c r="AW28" s="129">
        <v>40150</v>
      </c>
      <c r="AX28" s="129">
        <v>194130</v>
      </c>
      <c r="AY28" s="129">
        <v>539693</v>
      </c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8"/>
    </row>
    <row r="29" spans="1:83" x14ac:dyDescent="0.25">
      <c r="A29">
        <v>22</v>
      </c>
      <c r="B29" s="129">
        <v>57370</v>
      </c>
      <c r="C29" s="129">
        <v>90479</v>
      </c>
      <c r="D29" s="129">
        <v>16808</v>
      </c>
      <c r="E29" s="129">
        <v>15004</v>
      </c>
      <c r="F29" s="129">
        <v>208419</v>
      </c>
      <c r="G29" s="129">
        <v>3953</v>
      </c>
      <c r="H29" s="129">
        <v>2491</v>
      </c>
      <c r="I29" s="129">
        <v>418739</v>
      </c>
      <c r="J29" s="129">
        <v>76058</v>
      </c>
      <c r="K29" s="129">
        <v>7943</v>
      </c>
      <c r="L29" s="129">
        <v>31891</v>
      </c>
      <c r="M29" s="129">
        <v>55717</v>
      </c>
      <c r="N29" s="129">
        <v>42649</v>
      </c>
      <c r="O29" s="129">
        <v>205266</v>
      </c>
      <c r="P29" s="129">
        <v>441290</v>
      </c>
      <c r="Q29" s="129">
        <v>3368</v>
      </c>
      <c r="R29" s="129">
        <v>20795</v>
      </c>
      <c r="S29" s="129">
        <v>25503</v>
      </c>
      <c r="T29" s="129">
        <v>303910</v>
      </c>
      <c r="U29" s="129">
        <v>418346</v>
      </c>
      <c r="V29" s="129">
        <v>45590</v>
      </c>
      <c r="W29" s="129">
        <v>5758</v>
      </c>
      <c r="X29" s="129">
        <v>15697</v>
      </c>
      <c r="Y29" s="129">
        <v>98224</v>
      </c>
      <c r="Z29" s="129">
        <v>577</v>
      </c>
      <c r="AA29" s="129">
        <v>187424</v>
      </c>
      <c r="AB29" s="129">
        <v>9485</v>
      </c>
      <c r="AC29" s="129">
        <v>2176</v>
      </c>
      <c r="AD29" s="129">
        <v>19631</v>
      </c>
      <c r="AE29" s="129">
        <v>89133</v>
      </c>
      <c r="AF29" s="129">
        <v>230468</v>
      </c>
      <c r="AG29" s="129">
        <v>1214290</v>
      </c>
      <c r="AH29" s="129">
        <v>12404</v>
      </c>
      <c r="AI29" s="129">
        <v>486204</v>
      </c>
      <c r="AJ29" s="129">
        <v>700627</v>
      </c>
      <c r="AK29" s="129">
        <v>10661</v>
      </c>
      <c r="AL29" s="142">
        <v>35217</v>
      </c>
      <c r="AM29" s="129">
        <v>32759</v>
      </c>
      <c r="AN29" s="139">
        <v>657865</v>
      </c>
      <c r="AO29" s="139">
        <v>5363</v>
      </c>
      <c r="AP29" s="139">
        <v>0</v>
      </c>
      <c r="AQ29" s="129">
        <v>118258</v>
      </c>
      <c r="AR29" s="129">
        <v>237877</v>
      </c>
      <c r="AS29" s="129">
        <v>68855</v>
      </c>
      <c r="AT29" s="129">
        <v>649</v>
      </c>
      <c r="AU29" s="129">
        <v>117681</v>
      </c>
      <c r="AV29" s="129">
        <v>46734</v>
      </c>
      <c r="AW29" s="129">
        <v>40184</v>
      </c>
      <c r="AX29" s="129">
        <v>194383</v>
      </c>
      <c r="AY29" s="129">
        <v>540242</v>
      </c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8"/>
    </row>
    <row r="30" spans="1:83" x14ac:dyDescent="0.25">
      <c r="A30">
        <v>23</v>
      </c>
      <c r="B30" s="129">
        <v>57459</v>
      </c>
      <c r="C30" s="129">
        <v>90643</v>
      </c>
      <c r="D30" s="129">
        <v>16811</v>
      </c>
      <c r="E30" s="129">
        <v>15023</v>
      </c>
      <c r="F30" s="129">
        <v>208632</v>
      </c>
      <c r="G30" s="129">
        <v>3956</v>
      </c>
      <c r="H30" s="129">
        <v>2501</v>
      </c>
      <c r="I30" s="129">
        <v>419108</v>
      </c>
      <c r="J30" s="129">
        <v>76126</v>
      </c>
      <c r="K30" s="129">
        <v>7944</v>
      </c>
      <c r="L30" s="129">
        <v>31915</v>
      </c>
      <c r="M30" s="129">
        <v>55748</v>
      </c>
      <c r="N30" s="129">
        <v>42684</v>
      </c>
      <c r="O30" s="129">
        <v>205463</v>
      </c>
      <c r="P30" s="129">
        <v>441883</v>
      </c>
      <c r="Q30" s="129">
        <v>3372</v>
      </c>
      <c r="R30" s="129">
        <v>20816</v>
      </c>
      <c r="S30" s="129">
        <v>25503</v>
      </c>
      <c r="T30" s="129">
        <v>304162</v>
      </c>
      <c r="U30" s="129">
        <v>418730</v>
      </c>
      <c r="V30" s="129">
        <v>45634</v>
      </c>
      <c r="W30" s="129">
        <v>5759</v>
      </c>
      <c r="X30" s="129">
        <v>15710</v>
      </c>
      <c r="Y30" s="129">
        <v>98306</v>
      </c>
      <c r="Z30" s="129">
        <v>577</v>
      </c>
      <c r="AA30" s="129">
        <v>187571</v>
      </c>
      <c r="AB30" s="129">
        <v>9507</v>
      </c>
      <c r="AC30" s="129">
        <v>2178</v>
      </c>
      <c r="AD30" s="129">
        <v>19659</v>
      </c>
      <c r="AE30" s="129">
        <v>89244</v>
      </c>
      <c r="AF30" s="129">
        <v>230658</v>
      </c>
      <c r="AG30" s="129">
        <v>1215764</v>
      </c>
      <c r="AH30" s="129">
        <v>12407</v>
      </c>
      <c r="AI30" s="129">
        <v>486221</v>
      </c>
      <c r="AJ30" s="129">
        <v>701204</v>
      </c>
      <c r="AK30" s="129">
        <v>10678</v>
      </c>
      <c r="AL30" s="142">
        <v>35332</v>
      </c>
      <c r="AM30" s="129">
        <v>32839</v>
      </c>
      <c r="AN30" s="139">
        <v>658377</v>
      </c>
      <c r="AO30" s="139">
        <v>5363</v>
      </c>
      <c r="AP30" s="139">
        <v>0</v>
      </c>
      <c r="AQ30" s="129">
        <v>118353</v>
      </c>
      <c r="AR30" s="139">
        <v>238090</v>
      </c>
      <c r="AS30" s="129">
        <v>68894</v>
      </c>
      <c r="AT30" s="129">
        <v>649</v>
      </c>
      <c r="AU30" s="129">
        <v>117796</v>
      </c>
      <c r="AV30" s="129">
        <v>46767</v>
      </c>
      <c r="AW30" s="129">
        <v>40218</v>
      </c>
      <c r="AX30" s="129">
        <v>194591</v>
      </c>
      <c r="AY30" s="129">
        <v>540778</v>
      </c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</row>
    <row r="31" spans="1:83" x14ac:dyDescent="0.25">
      <c r="A31">
        <v>24</v>
      </c>
      <c r="B31" s="129">
        <v>57546</v>
      </c>
      <c r="C31" s="129">
        <v>90793</v>
      </c>
      <c r="D31" s="129">
        <v>16817</v>
      </c>
      <c r="E31" s="129">
        <v>15048</v>
      </c>
      <c r="F31" s="129">
        <v>208834</v>
      </c>
      <c r="G31" s="129">
        <v>3960</v>
      </c>
      <c r="H31" s="129">
        <v>2520</v>
      </c>
      <c r="I31" s="129">
        <v>419474</v>
      </c>
      <c r="J31" s="129">
        <v>76205</v>
      </c>
      <c r="K31" s="129">
        <v>7944</v>
      </c>
      <c r="L31" s="129">
        <v>31938</v>
      </c>
      <c r="M31" s="129">
        <v>55798</v>
      </c>
      <c r="N31" s="129">
        <v>42716</v>
      </c>
      <c r="O31" s="129">
        <v>205659</v>
      </c>
      <c r="P31" s="129">
        <v>442635</v>
      </c>
      <c r="Q31" s="129">
        <v>3377</v>
      </c>
      <c r="R31" s="129">
        <v>20836</v>
      </c>
      <c r="S31" s="129">
        <v>25503</v>
      </c>
      <c r="T31" s="129">
        <v>304405</v>
      </c>
      <c r="U31" s="129">
        <v>419112</v>
      </c>
      <c r="V31" s="129">
        <v>45678</v>
      </c>
      <c r="W31" s="129">
        <v>5760</v>
      </c>
      <c r="X31" s="129">
        <v>15723</v>
      </c>
      <c r="Y31" s="129">
        <v>98379</v>
      </c>
      <c r="Z31" s="129">
        <v>577</v>
      </c>
      <c r="AA31" s="129">
        <v>187707</v>
      </c>
      <c r="AB31" s="129">
        <v>9528</v>
      </c>
      <c r="AC31" s="129">
        <v>2180</v>
      </c>
      <c r="AD31" s="129">
        <v>19689</v>
      </c>
      <c r="AE31" s="129">
        <v>89342</v>
      </c>
      <c r="AF31" s="129">
        <v>230858</v>
      </c>
      <c r="AG31" s="129">
        <v>1216688</v>
      </c>
      <c r="AH31" s="129">
        <v>12412</v>
      </c>
      <c r="AI31" s="129">
        <v>486239</v>
      </c>
      <c r="AJ31" s="129">
        <v>701718</v>
      </c>
      <c r="AK31" s="129">
        <v>10692</v>
      </c>
      <c r="AL31" s="142">
        <v>35431</v>
      </c>
      <c r="AM31" s="129">
        <v>32906</v>
      </c>
      <c r="AN31" s="139">
        <v>658897</v>
      </c>
      <c r="AO31" s="139">
        <v>5363</v>
      </c>
      <c r="AP31" s="139">
        <v>0</v>
      </c>
      <c r="AQ31" s="129">
        <v>118449</v>
      </c>
      <c r="AR31" s="129">
        <v>238297</v>
      </c>
      <c r="AS31" s="129">
        <v>68926</v>
      </c>
      <c r="AT31" s="129">
        <v>650</v>
      </c>
      <c r="AU31" s="129">
        <v>117923</v>
      </c>
      <c r="AV31" s="129">
        <v>46798</v>
      </c>
      <c r="AW31" s="129">
        <v>40242</v>
      </c>
      <c r="AX31" s="129">
        <v>194812</v>
      </c>
      <c r="AY31" s="129">
        <v>541289</v>
      </c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  <c r="CC31" s="128"/>
      <c r="CD31" s="128"/>
      <c r="CE31" s="128"/>
    </row>
    <row r="32" spans="1:83" x14ac:dyDescent="0.25">
      <c r="A32">
        <v>25</v>
      </c>
      <c r="B32" s="129">
        <v>57631</v>
      </c>
      <c r="C32" s="129">
        <v>90967</v>
      </c>
      <c r="D32" s="129">
        <v>16823</v>
      </c>
      <c r="E32" s="129">
        <v>15077</v>
      </c>
      <c r="F32" s="129">
        <v>209054</v>
      </c>
      <c r="G32" s="129">
        <v>3963</v>
      </c>
      <c r="H32" s="129">
        <v>2533</v>
      </c>
      <c r="I32" s="129">
        <v>419854</v>
      </c>
      <c r="J32" s="129">
        <v>76280</v>
      </c>
      <c r="K32" s="129">
        <v>7944</v>
      </c>
      <c r="L32" s="129">
        <v>31964</v>
      </c>
      <c r="M32" s="129">
        <v>55844</v>
      </c>
      <c r="N32" s="129">
        <v>42749</v>
      </c>
      <c r="O32" s="129">
        <v>205868</v>
      </c>
      <c r="P32" s="129">
        <v>443088</v>
      </c>
      <c r="Q32" s="129">
        <v>3381</v>
      </c>
      <c r="R32" s="129">
        <v>20857</v>
      </c>
      <c r="S32" s="129">
        <v>25503</v>
      </c>
      <c r="T32" s="129">
        <v>304665</v>
      </c>
      <c r="U32" s="129">
        <v>419500</v>
      </c>
      <c r="V32" s="129">
        <v>45722</v>
      </c>
      <c r="W32" s="129">
        <v>5762</v>
      </c>
      <c r="X32" s="129">
        <v>15734</v>
      </c>
      <c r="Y32" s="129">
        <v>98478</v>
      </c>
      <c r="Z32" s="129">
        <v>577</v>
      </c>
      <c r="AA32" s="129">
        <v>187851</v>
      </c>
      <c r="AB32" s="129">
        <v>9543</v>
      </c>
      <c r="AC32" s="129">
        <v>2182</v>
      </c>
      <c r="AD32" s="129">
        <v>19714</v>
      </c>
      <c r="AE32" s="129">
        <v>89433</v>
      </c>
      <c r="AF32" s="129">
        <v>231068</v>
      </c>
      <c r="AG32" s="129">
        <v>1217637</v>
      </c>
      <c r="AH32" s="129">
        <v>12423</v>
      </c>
      <c r="AI32" s="129">
        <v>486321</v>
      </c>
      <c r="AJ32" s="129">
        <v>702289</v>
      </c>
      <c r="AK32" s="129">
        <v>10710</v>
      </c>
      <c r="AL32" s="142">
        <v>35555</v>
      </c>
      <c r="AM32" s="129">
        <v>32977</v>
      </c>
      <c r="AN32" s="139">
        <v>659450</v>
      </c>
      <c r="AO32" s="139">
        <v>5365</v>
      </c>
      <c r="AP32" s="139">
        <v>0</v>
      </c>
      <c r="AQ32" s="129">
        <v>118551</v>
      </c>
      <c r="AR32" s="129">
        <v>238511</v>
      </c>
      <c r="AS32" s="129">
        <v>68968</v>
      </c>
      <c r="AT32" s="129">
        <v>650</v>
      </c>
      <c r="AU32" s="129">
        <v>118035</v>
      </c>
      <c r="AV32" s="129">
        <v>46823</v>
      </c>
      <c r="AW32" s="129">
        <v>40265</v>
      </c>
      <c r="AX32" s="129">
        <v>195081</v>
      </c>
      <c r="AY32" s="129">
        <v>541872</v>
      </c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  <c r="CC32" s="128"/>
      <c r="CD32" s="128"/>
      <c r="CE32" s="128"/>
    </row>
    <row r="33" spans="1:83" x14ac:dyDescent="0.25">
      <c r="A33">
        <v>26</v>
      </c>
      <c r="B33" s="129">
        <v>57711</v>
      </c>
      <c r="C33" s="129">
        <v>91130</v>
      </c>
      <c r="D33" s="129">
        <v>16835</v>
      </c>
      <c r="E33" s="129">
        <v>15103</v>
      </c>
      <c r="F33" s="129">
        <v>209257</v>
      </c>
      <c r="G33" s="129">
        <v>3966</v>
      </c>
      <c r="H33" s="129">
        <v>2570</v>
      </c>
      <c r="I33" s="129">
        <v>420187</v>
      </c>
      <c r="J33" s="129">
        <v>76341</v>
      </c>
      <c r="K33" s="129">
        <v>7944</v>
      </c>
      <c r="L33" s="129">
        <v>31990</v>
      </c>
      <c r="M33" s="129">
        <v>55894</v>
      </c>
      <c r="N33" s="129">
        <v>42784</v>
      </c>
      <c r="O33" s="129">
        <v>206068</v>
      </c>
      <c r="P33" s="129">
        <v>443643</v>
      </c>
      <c r="Q33" s="129">
        <v>3387</v>
      </c>
      <c r="R33" s="129">
        <v>20883</v>
      </c>
      <c r="S33" s="129">
        <v>25503</v>
      </c>
      <c r="T33" s="129">
        <v>304916</v>
      </c>
      <c r="U33" s="129">
        <v>419857</v>
      </c>
      <c r="V33" s="129">
        <v>45766</v>
      </c>
      <c r="W33" s="129">
        <v>5764</v>
      </c>
      <c r="X33" s="129">
        <v>15751</v>
      </c>
      <c r="Y33" s="129">
        <v>98573</v>
      </c>
      <c r="Z33" s="129">
        <v>577</v>
      </c>
      <c r="AA33" s="129">
        <v>187995</v>
      </c>
      <c r="AB33" s="129">
        <v>9574</v>
      </c>
      <c r="AC33" s="129">
        <v>2184</v>
      </c>
      <c r="AD33" s="129">
        <v>19738</v>
      </c>
      <c r="AE33" s="129">
        <v>89524</v>
      </c>
      <c r="AF33" s="129">
        <v>231270</v>
      </c>
      <c r="AG33" s="129">
        <v>1218572</v>
      </c>
      <c r="AH33" s="129">
        <v>12432</v>
      </c>
      <c r="AI33" s="129">
        <v>486398</v>
      </c>
      <c r="AJ33" s="129">
        <v>702854</v>
      </c>
      <c r="AK33" s="129">
        <v>10726</v>
      </c>
      <c r="AL33" s="142">
        <v>35675</v>
      </c>
      <c r="AM33" s="129">
        <v>33043</v>
      </c>
      <c r="AN33" s="139">
        <v>660000</v>
      </c>
      <c r="AO33" s="139">
        <v>5366</v>
      </c>
      <c r="AP33" s="139">
        <v>0</v>
      </c>
      <c r="AQ33" s="129">
        <v>118649</v>
      </c>
      <c r="AR33" s="129">
        <v>238719</v>
      </c>
      <c r="AS33" s="129">
        <v>69006</v>
      </c>
      <c r="AT33" s="129">
        <v>651</v>
      </c>
      <c r="AU33" s="129">
        <v>118134</v>
      </c>
      <c r="AV33" s="129">
        <v>46842</v>
      </c>
      <c r="AW33" s="129">
        <v>40287</v>
      </c>
      <c r="AX33" s="129">
        <v>195346</v>
      </c>
      <c r="AY33" s="129">
        <v>542452</v>
      </c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  <c r="CC33" s="128"/>
      <c r="CD33" s="128"/>
      <c r="CE33" s="128"/>
    </row>
    <row r="34" spans="1:83" x14ac:dyDescent="0.25">
      <c r="A34">
        <v>27</v>
      </c>
      <c r="B34" s="129">
        <v>57786</v>
      </c>
      <c r="C34" s="129">
        <v>91290</v>
      </c>
      <c r="D34" s="129">
        <v>16845</v>
      </c>
      <c r="E34" s="129">
        <v>15110</v>
      </c>
      <c r="F34" s="129">
        <v>209436</v>
      </c>
      <c r="G34" s="129">
        <v>3969</v>
      </c>
      <c r="H34" s="129">
        <v>2594</v>
      </c>
      <c r="I34" s="129">
        <v>420531</v>
      </c>
      <c r="J34" s="129">
        <v>76403</v>
      </c>
      <c r="K34" s="129">
        <v>7945</v>
      </c>
      <c r="L34" s="129">
        <v>32021</v>
      </c>
      <c r="M34" s="129">
        <v>55941</v>
      </c>
      <c r="N34" s="129">
        <v>42821</v>
      </c>
      <c r="O34" s="129">
        <v>206264</v>
      </c>
      <c r="P34" s="129">
        <v>444260</v>
      </c>
      <c r="Q34" s="129">
        <v>3391</v>
      </c>
      <c r="R34" s="129">
        <v>20906</v>
      </c>
      <c r="S34" s="129">
        <v>25503</v>
      </c>
      <c r="T34" s="129">
        <v>305156</v>
      </c>
      <c r="U34" s="129">
        <v>420241</v>
      </c>
      <c r="V34" s="129">
        <v>45810</v>
      </c>
      <c r="W34" s="129">
        <v>5765</v>
      </c>
      <c r="X34" s="129">
        <v>15765</v>
      </c>
      <c r="Y34" s="129">
        <v>98641</v>
      </c>
      <c r="Z34" s="129">
        <v>577</v>
      </c>
      <c r="AA34" s="129">
        <v>188133</v>
      </c>
      <c r="AB34" s="129">
        <v>9598</v>
      </c>
      <c r="AC34" s="129">
        <v>2156</v>
      </c>
      <c r="AD34" s="129">
        <v>19763</v>
      </c>
      <c r="AE34" s="129">
        <v>89630</v>
      </c>
      <c r="AF34" s="129">
        <v>231465</v>
      </c>
      <c r="AG34" s="129">
        <v>1219405</v>
      </c>
      <c r="AH34" s="129">
        <v>12434</v>
      </c>
      <c r="AI34" s="129">
        <v>486416</v>
      </c>
      <c r="AJ34" s="129">
        <v>703415</v>
      </c>
      <c r="AK34" s="129">
        <v>10737</v>
      </c>
      <c r="AL34" s="142">
        <v>35802</v>
      </c>
      <c r="AM34" s="129">
        <v>33129</v>
      </c>
      <c r="AN34" s="139">
        <v>660656</v>
      </c>
      <c r="AO34" s="139">
        <v>5367</v>
      </c>
      <c r="AP34" s="139">
        <v>0</v>
      </c>
      <c r="AQ34" s="129">
        <v>118734</v>
      </c>
      <c r="AR34" s="129">
        <v>238913</v>
      </c>
      <c r="AS34" s="129">
        <v>69050</v>
      </c>
      <c r="AT34" s="129">
        <v>652</v>
      </c>
      <c r="AU34" s="129">
        <v>118255</v>
      </c>
      <c r="AV34" s="129">
        <v>46869</v>
      </c>
      <c r="AW34" s="129">
        <v>40311</v>
      </c>
      <c r="AX34" s="129">
        <v>195589</v>
      </c>
      <c r="AY34" s="129">
        <v>543074</v>
      </c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8"/>
    </row>
    <row r="35" spans="1:83" x14ac:dyDescent="0.25">
      <c r="A35">
        <v>28</v>
      </c>
      <c r="B35" s="129">
        <v>57870</v>
      </c>
      <c r="C35" s="129">
        <v>91455</v>
      </c>
      <c r="D35" s="129">
        <v>16856</v>
      </c>
      <c r="E35" s="129">
        <v>15118</v>
      </c>
      <c r="F35" s="129">
        <v>209640</v>
      </c>
      <c r="G35" s="129">
        <v>3972</v>
      </c>
      <c r="H35" s="129">
        <v>2627</v>
      </c>
      <c r="I35" s="129">
        <v>420891</v>
      </c>
      <c r="J35" s="129">
        <v>76471</v>
      </c>
      <c r="K35" s="129">
        <v>7945</v>
      </c>
      <c r="L35" s="129">
        <v>32048</v>
      </c>
      <c r="M35" s="129">
        <v>55979</v>
      </c>
      <c r="N35" s="129">
        <v>42858</v>
      </c>
      <c r="O35" s="129">
        <v>206466</v>
      </c>
      <c r="P35" s="129">
        <v>444702</v>
      </c>
      <c r="Q35" s="129">
        <v>3395</v>
      </c>
      <c r="R35" s="129">
        <v>20926</v>
      </c>
      <c r="S35" s="129">
        <v>25503</v>
      </c>
      <c r="T35" s="129">
        <v>305396</v>
      </c>
      <c r="U35" s="129">
        <v>420640</v>
      </c>
      <c r="V35" s="129">
        <v>45855</v>
      </c>
      <c r="W35" s="129">
        <v>5767</v>
      </c>
      <c r="X35" s="129">
        <v>15777</v>
      </c>
      <c r="Y35" s="129">
        <v>98753</v>
      </c>
      <c r="Z35" s="129">
        <v>579</v>
      </c>
      <c r="AA35" s="129">
        <v>188272</v>
      </c>
      <c r="AB35" s="129">
        <v>9619</v>
      </c>
      <c r="AC35" s="129">
        <v>2188</v>
      </c>
      <c r="AD35" s="129">
        <v>19785</v>
      </c>
      <c r="AE35" s="129">
        <v>89728</v>
      </c>
      <c r="AF35" s="129">
        <v>231681</v>
      </c>
      <c r="AG35" s="129">
        <v>1220747</v>
      </c>
      <c r="AH35" s="129">
        <v>12439</v>
      </c>
      <c r="AI35" s="129">
        <v>486434</v>
      </c>
      <c r="AJ35" s="129">
        <v>703982</v>
      </c>
      <c r="AK35" s="129">
        <v>10750</v>
      </c>
      <c r="AL35" s="142">
        <v>35954</v>
      </c>
      <c r="AM35" s="129">
        <v>33232</v>
      </c>
      <c r="AN35" s="139">
        <v>661310</v>
      </c>
      <c r="AO35" s="139">
        <v>5368</v>
      </c>
      <c r="AP35" s="139">
        <v>0</v>
      </c>
      <c r="AQ35" s="129">
        <v>118825</v>
      </c>
      <c r="AR35" s="129">
        <v>239111</v>
      </c>
      <c r="AS35" s="129">
        <v>69093</v>
      </c>
      <c r="AT35" s="129">
        <v>652</v>
      </c>
      <c r="AU35" s="129">
        <v>118409</v>
      </c>
      <c r="AV35" s="129">
        <v>46896</v>
      </c>
      <c r="AW35" s="129">
        <v>40338</v>
      </c>
      <c r="AX35" s="129">
        <v>195865</v>
      </c>
      <c r="AY35" s="129">
        <v>543711</v>
      </c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  <c r="CC35" s="128"/>
      <c r="CD35" s="128"/>
      <c r="CE35" s="128"/>
    </row>
    <row r="36" spans="1:83" x14ac:dyDescent="0.25">
      <c r="A36">
        <v>29</v>
      </c>
      <c r="B36" s="129">
        <v>57953</v>
      </c>
      <c r="C36" s="129">
        <v>91623</v>
      </c>
      <c r="D36" s="129">
        <v>16865</v>
      </c>
      <c r="E36" s="129">
        <v>15126</v>
      </c>
      <c r="F36" s="129">
        <v>209841</v>
      </c>
      <c r="G36" s="129">
        <v>3975</v>
      </c>
      <c r="H36" s="129">
        <v>2660</v>
      </c>
      <c r="I36" s="129">
        <v>421247</v>
      </c>
      <c r="J36" s="129">
        <v>76533</v>
      </c>
      <c r="K36" s="129">
        <v>7945</v>
      </c>
      <c r="L36" s="129">
        <v>32071</v>
      </c>
      <c r="M36" s="129">
        <v>56024</v>
      </c>
      <c r="N36" s="129">
        <v>42897</v>
      </c>
      <c r="O36" s="129">
        <v>206667</v>
      </c>
      <c r="P36" s="129">
        <v>445464</v>
      </c>
      <c r="Q36" s="129">
        <v>3399</v>
      </c>
      <c r="R36" s="129">
        <v>20945</v>
      </c>
      <c r="S36" s="129">
        <v>25503</v>
      </c>
      <c r="T36" s="129">
        <v>305767</v>
      </c>
      <c r="U36" s="129">
        <v>421025</v>
      </c>
      <c r="V36" s="129">
        <v>45900</v>
      </c>
      <c r="W36" s="129">
        <v>5768</v>
      </c>
      <c r="X36" s="129">
        <v>15791</v>
      </c>
      <c r="Y36" s="129">
        <v>98852</v>
      </c>
      <c r="Z36" s="129">
        <v>580</v>
      </c>
      <c r="AA36" s="129">
        <v>188415</v>
      </c>
      <c r="AB36" s="129">
        <v>9642</v>
      </c>
      <c r="AC36" s="129">
        <v>2190</v>
      </c>
      <c r="AD36" s="129">
        <v>19816</v>
      </c>
      <c r="AE36" s="129">
        <v>89803</v>
      </c>
      <c r="AF36" s="129">
        <v>231887</v>
      </c>
      <c r="AG36" s="129">
        <v>1222545</v>
      </c>
      <c r="AH36" s="129">
        <v>12449</v>
      </c>
      <c r="AI36" s="129">
        <v>486453</v>
      </c>
      <c r="AJ36" s="129">
        <v>704533</v>
      </c>
      <c r="AK36" s="129">
        <v>10766</v>
      </c>
      <c r="AL36" s="142">
        <v>36122</v>
      </c>
      <c r="AM36" s="129">
        <v>33348</v>
      </c>
      <c r="AN36" s="139">
        <v>661938</v>
      </c>
      <c r="AO36" s="139">
        <v>5369</v>
      </c>
      <c r="AP36" s="139">
        <v>0</v>
      </c>
      <c r="AQ36" s="129">
        <v>118916</v>
      </c>
      <c r="AR36" s="129">
        <v>239318</v>
      </c>
      <c r="AS36" s="129">
        <v>69139</v>
      </c>
      <c r="AT36" s="129">
        <v>653</v>
      </c>
      <c r="AU36" s="129">
        <v>118533</v>
      </c>
      <c r="AV36" s="129">
        <v>46928</v>
      </c>
      <c r="AW36" s="129">
        <v>40369</v>
      </c>
      <c r="AX36" s="129">
        <v>196138</v>
      </c>
      <c r="AY36" s="129">
        <v>544340</v>
      </c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  <c r="CC36" s="128"/>
      <c r="CD36" s="128"/>
      <c r="CE36" s="128"/>
    </row>
    <row r="37" spans="1:83" ht="15.75" thickBot="1" x14ac:dyDescent="0.3">
      <c r="A37">
        <v>30</v>
      </c>
      <c r="B37" s="131">
        <v>58033</v>
      </c>
      <c r="C37" s="129">
        <v>91810</v>
      </c>
      <c r="D37" s="129">
        <v>16872</v>
      </c>
      <c r="E37" s="129">
        <v>15132</v>
      </c>
      <c r="F37" s="129">
        <v>210039</v>
      </c>
      <c r="G37" s="129">
        <v>3978</v>
      </c>
      <c r="H37" s="129">
        <v>2693</v>
      </c>
      <c r="I37" s="129">
        <v>421613</v>
      </c>
      <c r="J37" s="129">
        <v>76598</v>
      </c>
      <c r="K37" s="129">
        <v>7946</v>
      </c>
      <c r="L37" s="129">
        <v>32091</v>
      </c>
      <c r="M37" s="129">
        <v>56068</v>
      </c>
      <c r="N37" s="129">
        <v>42932</v>
      </c>
      <c r="O37" s="129">
        <v>206867</v>
      </c>
      <c r="P37" s="129">
        <v>446145</v>
      </c>
      <c r="Q37" s="129">
        <v>3403</v>
      </c>
      <c r="R37" s="129">
        <v>20963</v>
      </c>
      <c r="S37" s="129">
        <v>25503</v>
      </c>
      <c r="T37" s="129">
        <v>305911</v>
      </c>
      <c r="U37" s="129">
        <v>421417</v>
      </c>
      <c r="V37" s="129">
        <v>45944</v>
      </c>
      <c r="W37" s="129">
        <v>5768</v>
      </c>
      <c r="X37" s="129">
        <v>15807</v>
      </c>
      <c r="Y37" s="129">
        <v>98925</v>
      </c>
      <c r="Z37" s="129">
        <v>582</v>
      </c>
      <c r="AA37" s="129">
        <v>188553</v>
      </c>
      <c r="AB37" s="129">
        <v>9657</v>
      </c>
      <c r="AC37" s="129">
        <v>2191</v>
      </c>
      <c r="AD37" s="129">
        <v>19850</v>
      </c>
      <c r="AE37" s="129">
        <v>89938</v>
      </c>
      <c r="AF37" s="129">
        <v>232098</v>
      </c>
      <c r="AG37" s="129">
        <v>1223506</v>
      </c>
      <c r="AH37" s="129">
        <v>12454</v>
      </c>
      <c r="AI37" s="129">
        <v>486471</v>
      </c>
      <c r="AJ37" s="129">
        <v>705026</v>
      </c>
      <c r="AK37" s="129">
        <v>10778</v>
      </c>
      <c r="AL37" s="142">
        <v>36280</v>
      </c>
      <c r="AM37" s="129">
        <v>33456</v>
      </c>
      <c r="AN37" s="139">
        <v>662588</v>
      </c>
      <c r="AO37" s="139">
        <v>5371</v>
      </c>
      <c r="AP37" s="139">
        <v>0</v>
      </c>
      <c r="AQ37" s="129">
        <v>119003</v>
      </c>
      <c r="AR37" s="129">
        <v>239518</v>
      </c>
      <c r="AS37" s="129">
        <v>69183</v>
      </c>
      <c r="AT37" s="129">
        <v>654</v>
      </c>
      <c r="AU37" s="129">
        <v>118655</v>
      </c>
      <c r="AV37" s="129">
        <v>46960</v>
      </c>
      <c r="AW37" s="129">
        <v>40398</v>
      </c>
      <c r="AX37" s="129">
        <v>196407</v>
      </c>
      <c r="AY37" s="130">
        <v>544981</v>
      </c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28"/>
      <c r="CB37" s="128"/>
      <c r="CC37" s="128"/>
      <c r="CD37" s="128"/>
      <c r="CE37" s="128"/>
    </row>
    <row r="38" spans="1:83" ht="15.75" thickBot="1" x14ac:dyDescent="0.3">
      <c r="A38">
        <v>31</v>
      </c>
      <c r="B38" s="132">
        <v>58111</v>
      </c>
      <c r="C38" s="129">
        <v>91984</v>
      </c>
      <c r="D38" s="133">
        <v>16877</v>
      </c>
      <c r="E38" s="133">
        <v>15139</v>
      </c>
      <c r="F38" s="133">
        <v>210234</v>
      </c>
      <c r="G38" s="133">
        <v>3981</v>
      </c>
      <c r="H38" s="129">
        <v>2717</v>
      </c>
      <c r="I38" s="133">
        <v>421983</v>
      </c>
      <c r="J38" s="133">
        <v>76673</v>
      </c>
      <c r="K38" s="133">
        <v>7946</v>
      </c>
      <c r="L38" s="133">
        <v>32107</v>
      </c>
      <c r="M38" s="133">
        <v>56100</v>
      </c>
      <c r="N38" s="133">
        <v>42964</v>
      </c>
      <c r="O38" s="133">
        <v>207059</v>
      </c>
      <c r="P38" s="133">
        <v>446851</v>
      </c>
      <c r="Q38" s="133">
        <v>3409</v>
      </c>
      <c r="R38" s="133">
        <v>20985</v>
      </c>
      <c r="S38" s="133">
        <v>25503</v>
      </c>
      <c r="T38" s="133">
        <v>306128</v>
      </c>
      <c r="U38" s="133">
        <v>421799</v>
      </c>
      <c r="V38" s="133">
        <v>45986</v>
      </c>
      <c r="W38" s="133">
        <v>5768</v>
      </c>
      <c r="X38" s="133">
        <v>15822</v>
      </c>
      <c r="Y38" s="133">
        <v>98997</v>
      </c>
      <c r="Z38" s="129">
        <v>583</v>
      </c>
      <c r="AA38" s="133">
        <v>188692</v>
      </c>
      <c r="AB38" s="133">
        <v>9691</v>
      </c>
      <c r="AC38" s="133">
        <v>2193</v>
      </c>
      <c r="AD38" s="133">
        <v>19882</v>
      </c>
      <c r="AE38" s="133">
        <v>90037</v>
      </c>
      <c r="AF38" s="133">
        <v>232285</v>
      </c>
      <c r="AG38" s="133">
        <v>1224233</v>
      </c>
      <c r="AH38" s="133">
        <v>12456</v>
      </c>
      <c r="AI38" s="133">
        <v>486488</v>
      </c>
      <c r="AJ38" s="133">
        <v>705614</v>
      </c>
      <c r="AK38" s="133">
        <v>10787</v>
      </c>
      <c r="AL38" s="143">
        <v>36408</v>
      </c>
      <c r="AM38" s="133">
        <v>33539</v>
      </c>
      <c r="AN38" s="140">
        <v>663125</v>
      </c>
      <c r="AO38" s="140">
        <v>5372</v>
      </c>
      <c r="AP38" s="139">
        <v>0</v>
      </c>
      <c r="AQ38" s="133">
        <v>119089</v>
      </c>
      <c r="AR38" s="133">
        <v>239720</v>
      </c>
      <c r="AS38" s="133">
        <v>69220</v>
      </c>
      <c r="AT38" s="133">
        <v>654</v>
      </c>
      <c r="AU38" s="133">
        <v>118749</v>
      </c>
      <c r="AV38" s="133">
        <v>46990</v>
      </c>
      <c r="AW38" s="133">
        <v>40421</v>
      </c>
      <c r="AX38" s="133">
        <v>196668</v>
      </c>
      <c r="AY38" s="137">
        <v>545556</v>
      </c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28"/>
      <c r="CB38" s="128"/>
      <c r="CC38" s="128"/>
      <c r="CD38" s="128"/>
      <c r="CE38" s="1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2020-09-01T14:27:06Z</dcterms:modified>
</cp:coreProperties>
</file>