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0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69e\AC\Temp\"/>
    </mc:Choice>
  </mc:AlternateContent>
  <xr:revisionPtr revIDLastSave="10" documentId="8_{3B41622B-1742-408C-95E1-6E1D86F779C8}" xr6:coauthVersionLast="47" xr6:coauthVersionMax="47" xr10:uidLastSave="{D6BF9269-E2DF-4B19-BD40-AB45D1E363A0}"/>
  <bookViews>
    <workbookView xWindow="-60" yWindow="-60" windowWidth="15480" windowHeight="11640" xr2:uid="{00000000-000D-0000-FFFF-FFFF00000000}"/>
  </bookViews>
  <sheets>
    <sheet name="TOTAL" sheetId="5" r:id="rId1"/>
    <sheet name="Submetering " sheetId="4" r:id="rId2"/>
    <sheet name="Hotel Data" sheetId="2" r:id="rId3"/>
  </sheets>
  <externalReferences>
    <externalReference r:id="rId4"/>
  </externalReference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2" i="5"/>
  <c r="BI41" i="2"/>
  <c r="BH41" i="2"/>
  <c r="BG41" i="2"/>
  <c r="BF41" i="2"/>
  <c r="BE41" i="2"/>
  <c r="AW41" i="2"/>
  <c r="AM41" i="2"/>
  <c r="AI41" i="2"/>
  <c r="AF41" i="2"/>
  <c r="AC41" i="2"/>
  <c r="Z41" i="2"/>
  <c r="W41" i="2"/>
  <c r="U41" i="2"/>
  <c r="S41" i="2"/>
  <c r="Q41" i="2"/>
  <c r="O41" i="2"/>
  <c r="K41" i="2"/>
  <c r="I41" i="2"/>
  <c r="M41" i="2" s="1"/>
  <c r="G41" i="2"/>
  <c r="E41" i="2"/>
  <c r="BI40" i="2"/>
  <c r="BH40" i="2"/>
  <c r="BG40" i="2"/>
  <c r="BF40" i="2"/>
  <c r="BE40" i="2"/>
  <c r="BD40" i="2"/>
  <c r="AW40" i="2"/>
  <c r="AM40" i="2"/>
  <c r="AI40" i="2"/>
  <c r="AF40" i="2"/>
  <c r="AC40" i="2"/>
  <c r="Z40" i="2"/>
  <c r="W40" i="2"/>
  <c r="U40" i="2"/>
  <c r="S40" i="2"/>
  <c r="Q40" i="2"/>
  <c r="O40" i="2"/>
  <c r="K40" i="2"/>
  <c r="I40" i="2"/>
  <c r="M40" i="2" s="1"/>
  <c r="G40" i="2"/>
  <c r="F31" i="4"/>
  <c r="E40" i="2"/>
  <c r="BI39" i="2"/>
  <c r="BH39" i="2"/>
  <c r="BG39" i="2"/>
  <c r="BF39" i="2"/>
  <c r="BE39" i="2"/>
  <c r="BD39" i="2"/>
  <c r="AW39" i="2"/>
  <c r="AM39" i="2"/>
  <c r="AI39" i="2"/>
  <c r="AF39" i="2"/>
  <c r="AC39" i="2"/>
  <c r="Z39" i="2"/>
  <c r="W39" i="2"/>
  <c r="U39" i="2"/>
  <c r="S39" i="2"/>
  <c r="Q39" i="2"/>
  <c r="O39" i="2"/>
  <c r="G30" i="4"/>
  <c r="K39" i="2"/>
  <c r="I39" i="2"/>
  <c r="M39" i="2" s="1"/>
  <c r="G39" i="2"/>
  <c r="E39" i="2"/>
  <c r="BI38" i="2"/>
  <c r="BH38" i="2"/>
  <c r="BG38" i="2"/>
  <c r="BF38" i="2"/>
  <c r="BE38" i="2"/>
  <c r="BD38" i="2"/>
  <c r="AW38" i="2"/>
  <c r="AM38" i="2"/>
  <c r="AI38" i="2"/>
  <c r="AF38" i="2"/>
  <c r="AC38" i="2"/>
  <c r="Z38" i="2"/>
  <c r="W38" i="2"/>
  <c r="U38" i="2"/>
  <c r="J29" i="4"/>
  <c r="S38" i="2"/>
  <c r="Q38" i="2"/>
  <c r="O38" i="2"/>
  <c r="K38" i="2"/>
  <c r="I38" i="2"/>
  <c r="M38" i="2" s="1"/>
  <c r="G38" i="2"/>
  <c r="E38" i="2"/>
  <c r="E29" i="4"/>
  <c r="BI37" i="2"/>
  <c r="BH37" i="2"/>
  <c r="BG37" i="2"/>
  <c r="BF37" i="2"/>
  <c r="BE37" i="2"/>
  <c r="BD37" i="2"/>
  <c r="AW37" i="2"/>
  <c r="AM37" i="2"/>
  <c r="AI37" i="2"/>
  <c r="AF37" i="2"/>
  <c r="AC37" i="2"/>
  <c r="Z37" i="2"/>
  <c r="W37" i="2"/>
  <c r="U37" i="2"/>
  <c r="S37" i="2"/>
  <c r="Q37" i="2"/>
  <c r="O37" i="2"/>
  <c r="G28" i="4"/>
  <c r="K37" i="2"/>
  <c r="I37" i="2"/>
  <c r="M37" i="2" s="1"/>
  <c r="G37" i="2"/>
  <c r="E37" i="2"/>
  <c r="BI36" i="2"/>
  <c r="BH36" i="2"/>
  <c r="BG36" i="2"/>
  <c r="BF36" i="2"/>
  <c r="BE36" i="2"/>
  <c r="BD36" i="2"/>
  <c r="AW36" i="2"/>
  <c r="AM36" i="2"/>
  <c r="AI36" i="2"/>
  <c r="AF36" i="2"/>
  <c r="AC36" i="2"/>
  <c r="Z36" i="2"/>
  <c r="W36" i="2"/>
  <c r="U36" i="2"/>
  <c r="J27" i="4"/>
  <c r="S36" i="2"/>
  <c r="Q36" i="2"/>
  <c r="O36" i="2"/>
  <c r="K36" i="2"/>
  <c r="I36" i="2"/>
  <c r="M36" i="2" s="1"/>
  <c r="G36" i="2"/>
  <c r="E36" i="2"/>
  <c r="E27" i="4"/>
  <c r="BI35" i="2"/>
  <c r="BH35" i="2"/>
  <c r="BG35" i="2"/>
  <c r="BF35" i="2"/>
  <c r="BE35" i="2"/>
  <c r="BD35" i="2"/>
  <c r="AW35" i="2"/>
  <c r="AM35" i="2"/>
  <c r="AI35" i="2"/>
  <c r="AF35" i="2"/>
  <c r="AC35" i="2"/>
  <c r="Z35" i="2"/>
  <c r="W35" i="2"/>
  <c r="U35" i="2"/>
  <c r="S35" i="2"/>
  <c r="Q35" i="2"/>
  <c r="O35" i="2"/>
  <c r="K35" i="2"/>
  <c r="I35" i="2"/>
  <c r="M35" i="2" s="1"/>
  <c r="G35" i="2"/>
  <c r="E35" i="2"/>
  <c r="BI34" i="2"/>
  <c r="BH34" i="2"/>
  <c r="BG34" i="2"/>
  <c r="BF34" i="2"/>
  <c r="BE34" i="2"/>
  <c r="BD34" i="2"/>
  <c r="AW34" i="2"/>
  <c r="AM34" i="2"/>
  <c r="AI34" i="2"/>
  <c r="AF34" i="2"/>
  <c r="AC34" i="2"/>
  <c r="Z34" i="2"/>
  <c r="W34" i="2"/>
  <c r="U34" i="2"/>
  <c r="J25" i="4"/>
  <c r="S34" i="2"/>
  <c r="Q34" i="2"/>
  <c r="O34" i="2"/>
  <c r="K34" i="2"/>
  <c r="I34" i="2"/>
  <c r="M34" i="2" s="1"/>
  <c r="G34" i="2"/>
  <c r="F25" i="4"/>
  <c r="E34" i="2"/>
  <c r="BI33" i="2"/>
  <c r="BH33" i="2"/>
  <c r="BG33" i="2"/>
  <c r="BF33" i="2"/>
  <c r="BE33" i="2"/>
  <c r="BD33" i="2"/>
  <c r="AW33" i="2"/>
  <c r="AM33" i="2"/>
  <c r="AI33" i="2"/>
  <c r="AF33" i="2"/>
  <c r="AC33" i="2"/>
  <c r="Z33" i="2"/>
  <c r="W33" i="2"/>
  <c r="U33" i="2"/>
  <c r="S33" i="2"/>
  <c r="Q33" i="2"/>
  <c r="O33" i="2"/>
  <c r="G24" i="4"/>
  <c r="K33" i="2"/>
  <c r="I33" i="2"/>
  <c r="M33" i="2" s="1"/>
  <c r="G33" i="2"/>
  <c r="E33" i="2"/>
  <c r="BI32" i="2"/>
  <c r="BH32" i="2"/>
  <c r="BG32" i="2"/>
  <c r="BF32" i="2"/>
  <c r="BE32" i="2"/>
  <c r="BD32" i="2"/>
  <c r="AW32" i="2"/>
  <c r="AM32" i="2"/>
  <c r="AI32" i="2"/>
  <c r="AF32" i="2"/>
  <c r="AC32" i="2"/>
  <c r="Z32" i="2"/>
  <c r="W32" i="2"/>
  <c r="U32" i="2"/>
  <c r="J23" i="4"/>
  <c r="S32" i="2"/>
  <c r="Q32" i="2"/>
  <c r="O32" i="2"/>
  <c r="K32" i="2"/>
  <c r="I32" i="2"/>
  <c r="M32" i="2" s="1"/>
  <c r="G32" i="2"/>
  <c r="E32" i="2"/>
  <c r="E23" i="4"/>
  <c r="BI31" i="2"/>
  <c r="BH31" i="2"/>
  <c r="BG31" i="2"/>
  <c r="BF31" i="2"/>
  <c r="BE31" i="2"/>
  <c r="BD31" i="2"/>
  <c r="AW31" i="2"/>
  <c r="AM31" i="2"/>
  <c r="AI31" i="2"/>
  <c r="AF31" i="2"/>
  <c r="AC31" i="2"/>
  <c r="Z31" i="2"/>
  <c r="W31" i="2"/>
  <c r="U31" i="2"/>
  <c r="S31" i="2"/>
  <c r="Q31" i="2"/>
  <c r="O31" i="2"/>
  <c r="K31" i="2"/>
  <c r="I31" i="2"/>
  <c r="M31" i="2" s="1"/>
  <c r="G31" i="2"/>
  <c r="E31" i="2"/>
  <c r="BI30" i="2"/>
  <c r="BH30" i="2"/>
  <c r="BG30" i="2"/>
  <c r="BF30" i="2"/>
  <c r="BE30" i="2"/>
  <c r="AW30" i="2"/>
  <c r="AM30" i="2"/>
  <c r="AI30" i="2"/>
  <c r="AF30" i="2"/>
  <c r="AC30" i="2"/>
  <c r="Z30" i="2"/>
  <c r="W30" i="2"/>
  <c r="U30" i="2"/>
  <c r="J21" i="4"/>
  <c r="S30" i="2"/>
  <c r="Q30" i="2"/>
  <c r="O30" i="2"/>
  <c r="K30" i="2"/>
  <c r="I30" i="2"/>
  <c r="M30" i="2" s="1"/>
  <c r="G30" i="2"/>
  <c r="F21" i="4"/>
  <c r="E30" i="2"/>
  <c r="E21" i="4"/>
  <c r="BI29" i="2"/>
  <c r="BH29" i="2"/>
  <c r="BG29" i="2"/>
  <c r="BF29" i="2"/>
  <c r="BE29" i="2"/>
  <c r="BD29" i="2"/>
  <c r="AW29" i="2"/>
  <c r="AM29" i="2"/>
  <c r="AI29" i="2"/>
  <c r="AF29" i="2"/>
  <c r="AC29" i="2"/>
  <c r="Z29" i="2"/>
  <c r="W29" i="2"/>
  <c r="U29" i="2"/>
  <c r="S29" i="2"/>
  <c r="Q29" i="2"/>
  <c r="O29" i="2"/>
  <c r="G20" i="4"/>
  <c r="K29" i="2"/>
  <c r="I29" i="2"/>
  <c r="M29" i="2" s="1"/>
  <c r="G29" i="2"/>
  <c r="E29" i="2"/>
  <c r="BI28" i="2"/>
  <c r="BH28" i="2"/>
  <c r="BG28" i="2"/>
  <c r="BF28" i="2"/>
  <c r="BE28" i="2"/>
  <c r="BD28" i="2"/>
  <c r="AW28" i="2"/>
  <c r="AM28" i="2"/>
  <c r="AI28" i="2"/>
  <c r="AF28" i="2"/>
  <c r="AC28" i="2"/>
  <c r="Z28" i="2"/>
  <c r="W28" i="2"/>
  <c r="U28" i="2"/>
  <c r="J19" i="4"/>
  <c r="S28" i="2"/>
  <c r="Q28" i="2"/>
  <c r="O28" i="2"/>
  <c r="K28" i="2"/>
  <c r="I28" i="2"/>
  <c r="M28" i="2" s="1"/>
  <c r="G28" i="2"/>
  <c r="F19" i="4"/>
  <c r="E28" i="2"/>
  <c r="E19" i="4"/>
  <c r="BI27" i="2"/>
  <c r="BH27" i="2"/>
  <c r="BG27" i="2"/>
  <c r="BF27" i="2"/>
  <c r="BE27" i="2"/>
  <c r="BD27" i="2"/>
  <c r="AW27" i="2"/>
  <c r="AM27" i="2"/>
  <c r="AI27" i="2"/>
  <c r="AF27" i="2"/>
  <c r="AC27" i="2"/>
  <c r="Z27" i="2"/>
  <c r="W27" i="2"/>
  <c r="U27" i="2"/>
  <c r="S27" i="2"/>
  <c r="Q27" i="2"/>
  <c r="O27" i="2"/>
  <c r="K27" i="2"/>
  <c r="I27" i="2"/>
  <c r="M27" i="2" s="1"/>
  <c r="G27" i="2"/>
  <c r="E27" i="2"/>
  <c r="BI26" i="2"/>
  <c r="BH26" i="2"/>
  <c r="BG26" i="2"/>
  <c r="BF26" i="2"/>
  <c r="BE26" i="2"/>
  <c r="BD26" i="2"/>
  <c r="AW26" i="2"/>
  <c r="AM26" i="2"/>
  <c r="AI26" i="2"/>
  <c r="AF26" i="2"/>
  <c r="AC26" i="2"/>
  <c r="Z26" i="2"/>
  <c r="W26" i="2"/>
  <c r="U26" i="2"/>
  <c r="J17" i="4"/>
  <c r="S26" i="2"/>
  <c r="Q26" i="2"/>
  <c r="O26" i="2"/>
  <c r="K26" i="2"/>
  <c r="I26" i="2"/>
  <c r="M26" i="2" s="1"/>
  <c r="G26" i="2"/>
  <c r="F17" i="4"/>
  <c r="E26" i="2"/>
  <c r="E17" i="4"/>
  <c r="BI25" i="2"/>
  <c r="BH25" i="2"/>
  <c r="BG25" i="2"/>
  <c r="BF25" i="2"/>
  <c r="BE25" i="2"/>
  <c r="BD25" i="2"/>
  <c r="AW25" i="2"/>
  <c r="AM25" i="2"/>
  <c r="AI25" i="2"/>
  <c r="AF25" i="2"/>
  <c r="AC25" i="2"/>
  <c r="Z25" i="2"/>
  <c r="W25" i="2"/>
  <c r="U25" i="2"/>
  <c r="S25" i="2"/>
  <c r="Q25" i="2"/>
  <c r="O25" i="2"/>
  <c r="K25" i="2"/>
  <c r="I25" i="2"/>
  <c r="M25" i="2" s="1"/>
  <c r="G25" i="2"/>
  <c r="E25" i="2"/>
  <c r="BI24" i="2"/>
  <c r="BH24" i="2"/>
  <c r="BG24" i="2"/>
  <c r="BF24" i="2"/>
  <c r="BE24" i="2"/>
  <c r="BD24" i="2"/>
  <c r="AW24" i="2"/>
  <c r="AM24" i="2"/>
  <c r="AI24" i="2"/>
  <c r="AF24" i="2"/>
  <c r="AC24" i="2"/>
  <c r="Z24" i="2"/>
  <c r="W24" i="2"/>
  <c r="U24" i="2"/>
  <c r="J15" i="4"/>
  <c r="S24" i="2"/>
  <c r="Q24" i="2"/>
  <c r="O24" i="2"/>
  <c r="K24" i="2"/>
  <c r="I24" i="2"/>
  <c r="M24" i="2"/>
  <c r="G24" i="2"/>
  <c r="F15" i="4"/>
  <c r="E24" i="2"/>
  <c r="E15" i="4"/>
  <c r="A24" i="2"/>
  <c r="A25" i="2"/>
  <c r="BI23" i="2"/>
  <c r="BH23" i="2"/>
  <c r="BG23" i="2"/>
  <c r="BF23" i="2"/>
  <c r="BE23" i="2"/>
  <c r="BD23" i="2"/>
  <c r="AW23" i="2"/>
  <c r="AM23" i="2"/>
  <c r="AI23" i="2"/>
  <c r="AF23" i="2"/>
  <c r="AC23" i="2"/>
  <c r="Z23" i="2"/>
  <c r="W23" i="2"/>
  <c r="U23" i="2"/>
  <c r="S23" i="2"/>
  <c r="Q23" i="2"/>
  <c r="O23" i="2"/>
  <c r="G14" i="4"/>
  <c r="K23" i="2"/>
  <c r="I23" i="2"/>
  <c r="G23" i="2"/>
  <c r="E23" i="2"/>
  <c r="BI22" i="2"/>
  <c r="BH22" i="2"/>
  <c r="BG22" i="2"/>
  <c r="BF22" i="2"/>
  <c r="BE22" i="2"/>
  <c r="BD22" i="2"/>
  <c r="AY22" i="2"/>
  <c r="AY23" i="2"/>
  <c r="AY24" i="2"/>
  <c r="AY25" i="2"/>
  <c r="AY26" i="2"/>
  <c r="AY27" i="2"/>
  <c r="AY28" i="2"/>
  <c r="AY29" i="2"/>
  <c r="AY30" i="2"/>
  <c r="AY31" i="2"/>
  <c r="AY32" i="2"/>
  <c r="AY33" i="2"/>
  <c r="AY34" i="2"/>
  <c r="AY35" i="2"/>
  <c r="AY36" i="2"/>
  <c r="AY37" i="2"/>
  <c r="AY38" i="2"/>
  <c r="AY39" i="2"/>
  <c r="AY40" i="2"/>
  <c r="AY41" i="2"/>
  <c r="AW22" i="2"/>
  <c r="AM22" i="2"/>
  <c r="AI22" i="2"/>
  <c r="AF22" i="2"/>
  <c r="AC22" i="2"/>
  <c r="Z22" i="2"/>
  <c r="W22" i="2"/>
  <c r="U22" i="2"/>
  <c r="J13" i="4"/>
  <c r="S22" i="2"/>
  <c r="I13" i="4"/>
  <c r="Q22" i="2"/>
  <c r="O22" i="2"/>
  <c r="K22" i="2"/>
  <c r="I22" i="2"/>
  <c r="M22" i="2" s="1"/>
  <c r="G22" i="2"/>
  <c r="E22" i="2"/>
  <c r="E13" i="4"/>
  <c r="BI21" i="2"/>
  <c r="BH21" i="2"/>
  <c r="BG21" i="2"/>
  <c r="BF21" i="2"/>
  <c r="BE21" i="2"/>
  <c r="BD21" i="2"/>
  <c r="AW21" i="2"/>
  <c r="AM21" i="2"/>
  <c r="AI21" i="2"/>
  <c r="AF21" i="2"/>
  <c r="AC21" i="2"/>
  <c r="Z21" i="2"/>
  <c r="W21" i="2"/>
  <c r="U21" i="2"/>
  <c r="S21" i="2"/>
  <c r="Q21" i="2"/>
  <c r="O21" i="2"/>
  <c r="K21" i="2"/>
  <c r="I21" i="2"/>
  <c r="M21" i="2"/>
  <c r="G21" i="2"/>
  <c r="E21" i="2"/>
  <c r="BI20" i="2"/>
  <c r="BH20" i="2"/>
  <c r="BG20" i="2"/>
  <c r="BF20" i="2"/>
  <c r="BE20" i="2"/>
  <c r="AW20" i="2"/>
  <c r="AM20" i="2"/>
  <c r="AI20" i="2"/>
  <c r="AF20" i="2"/>
  <c r="AC20" i="2"/>
  <c r="Z20" i="2"/>
  <c r="W20" i="2"/>
  <c r="U20" i="2"/>
  <c r="S20" i="2"/>
  <c r="I11" i="4"/>
  <c r="Q20" i="2"/>
  <c r="H11" i="4"/>
  <c r="O20" i="2"/>
  <c r="K20" i="2"/>
  <c r="I20" i="2"/>
  <c r="M20" i="2"/>
  <c r="G20" i="2"/>
  <c r="E20" i="2"/>
  <c r="A20" i="2"/>
  <c r="A21" i="2"/>
  <c r="BI19" i="2"/>
  <c r="BH19" i="2"/>
  <c r="BG19" i="2"/>
  <c r="BF19" i="2"/>
  <c r="BE19" i="2"/>
  <c r="BD19" i="2"/>
  <c r="AW19" i="2"/>
  <c r="AM19" i="2"/>
  <c r="AI19" i="2"/>
  <c r="AF19" i="2"/>
  <c r="AC19" i="2"/>
  <c r="Z19" i="2"/>
  <c r="W19" i="2"/>
  <c r="U19" i="2"/>
  <c r="S19" i="2"/>
  <c r="Q19" i="2"/>
  <c r="O19" i="2"/>
  <c r="K19" i="2"/>
  <c r="I19" i="2"/>
  <c r="M19" i="2"/>
  <c r="G19" i="2"/>
  <c r="E19" i="2"/>
  <c r="BI18" i="2"/>
  <c r="BH18" i="2"/>
  <c r="BG18" i="2"/>
  <c r="BF18" i="2"/>
  <c r="BE18" i="2"/>
  <c r="BD18" i="2"/>
  <c r="AW18" i="2"/>
  <c r="AM18" i="2"/>
  <c r="AI18" i="2"/>
  <c r="AF18" i="2"/>
  <c r="AC18" i="2"/>
  <c r="Z18" i="2"/>
  <c r="W18" i="2"/>
  <c r="U18" i="2"/>
  <c r="S18" i="2"/>
  <c r="Q18" i="2"/>
  <c r="H9" i="4"/>
  <c r="O18" i="2"/>
  <c r="G9" i="4"/>
  <c r="K18" i="2"/>
  <c r="I18" i="2"/>
  <c r="M18" i="2" s="1"/>
  <c r="G18" i="2"/>
  <c r="E18" i="2"/>
  <c r="BI17" i="2"/>
  <c r="BH17" i="2"/>
  <c r="BG17" i="2"/>
  <c r="BF17" i="2"/>
  <c r="BE17" i="2"/>
  <c r="BD17" i="2"/>
  <c r="AW17" i="2"/>
  <c r="AM17" i="2"/>
  <c r="AI17" i="2"/>
  <c r="AF17" i="2"/>
  <c r="AC17" i="2"/>
  <c r="Z17" i="2"/>
  <c r="W17" i="2"/>
  <c r="U17" i="2"/>
  <c r="S17" i="2"/>
  <c r="Q17" i="2"/>
  <c r="O17" i="2"/>
  <c r="K17" i="2"/>
  <c r="I17" i="2"/>
  <c r="M17" i="2"/>
  <c r="G17" i="2"/>
  <c r="E17" i="2"/>
  <c r="BI16" i="2"/>
  <c r="BH16" i="2"/>
  <c r="BG16" i="2"/>
  <c r="BF16" i="2"/>
  <c r="BE16" i="2"/>
  <c r="BD16" i="2"/>
  <c r="AW16" i="2"/>
  <c r="AM16" i="2"/>
  <c r="AI16" i="2"/>
  <c r="AF16" i="2"/>
  <c r="AC16" i="2"/>
  <c r="Z16" i="2"/>
  <c r="W16" i="2"/>
  <c r="U16" i="2"/>
  <c r="S16" i="2"/>
  <c r="Q16" i="2"/>
  <c r="H7" i="4"/>
  <c r="O16" i="2"/>
  <c r="G7" i="4"/>
  <c r="K16" i="2"/>
  <c r="I16" i="2"/>
  <c r="M16" i="2" s="1"/>
  <c r="G16" i="2"/>
  <c r="E16" i="2"/>
  <c r="BI15" i="2"/>
  <c r="BH15" i="2"/>
  <c r="BG15" i="2"/>
  <c r="BF15" i="2"/>
  <c r="BE15" i="2"/>
  <c r="BD15" i="2"/>
  <c r="AW15" i="2"/>
  <c r="AM15" i="2"/>
  <c r="AI15" i="2"/>
  <c r="AF15" i="2"/>
  <c r="AC15" i="2"/>
  <c r="Z15" i="2"/>
  <c r="W15" i="2"/>
  <c r="U15" i="2"/>
  <c r="S15" i="2"/>
  <c r="Q15" i="2"/>
  <c r="O15" i="2"/>
  <c r="K15" i="2"/>
  <c r="I15" i="2"/>
  <c r="M15" i="2"/>
  <c r="G15" i="2"/>
  <c r="E15" i="2"/>
  <c r="BI14" i="2"/>
  <c r="BH14" i="2"/>
  <c r="BG14" i="2"/>
  <c r="BF14" i="2"/>
  <c r="BE14" i="2"/>
  <c r="BD14" i="2"/>
  <c r="AW14" i="2"/>
  <c r="AM14" i="2"/>
  <c r="AI14" i="2"/>
  <c r="AF14" i="2"/>
  <c r="AC14" i="2"/>
  <c r="Z14" i="2"/>
  <c r="W14" i="2"/>
  <c r="U14" i="2"/>
  <c r="S14" i="2"/>
  <c r="Q14" i="2"/>
  <c r="H5" i="4"/>
  <c r="O14" i="2"/>
  <c r="G5" i="4"/>
  <c r="K14" i="2"/>
  <c r="I14" i="2"/>
  <c r="M14" i="2" s="1"/>
  <c r="G14" i="2"/>
  <c r="E14" i="2"/>
  <c r="BI13" i="2"/>
  <c r="BH13" i="2"/>
  <c r="BG13" i="2"/>
  <c r="BF13" i="2"/>
  <c r="BE13" i="2"/>
  <c r="BD13" i="2"/>
  <c r="AW13" i="2"/>
  <c r="AM13" i="2"/>
  <c r="AI13" i="2"/>
  <c r="AF13" i="2"/>
  <c r="AC13" i="2"/>
  <c r="Z13" i="2"/>
  <c r="W13" i="2"/>
  <c r="U13" i="2"/>
  <c r="S13" i="2"/>
  <c r="Q13" i="2"/>
  <c r="O13" i="2"/>
  <c r="K13" i="2"/>
  <c r="I13" i="2"/>
  <c r="G13" i="2"/>
  <c r="F4" i="4"/>
  <c r="E13" i="2"/>
  <c r="BI12" i="2"/>
  <c r="BH12" i="2"/>
  <c r="BG12" i="2"/>
  <c r="BF12" i="2"/>
  <c r="BE12" i="2"/>
  <c r="BD12" i="2"/>
  <c r="AY12" i="2"/>
  <c r="AY13" i="2" s="1"/>
  <c r="AY14" i="2" s="1"/>
  <c r="AY15" i="2" s="1"/>
  <c r="AY16" i="2" s="1"/>
  <c r="AY17" i="2" s="1"/>
  <c r="AY18" i="2" s="1"/>
  <c r="AY19" i="2" s="1"/>
  <c r="AY20" i="2" s="1"/>
  <c r="AW12" i="2"/>
  <c r="AM12" i="2"/>
  <c r="AI12" i="2"/>
  <c r="AF12" i="2"/>
  <c r="AC12" i="2"/>
  <c r="Z12" i="2"/>
  <c r="W12" i="2"/>
  <c r="U12" i="2"/>
  <c r="S12" i="2"/>
  <c r="Q12" i="2"/>
  <c r="H3" i="4"/>
  <c r="O12" i="2"/>
  <c r="G3" i="4"/>
  <c r="K12" i="2"/>
  <c r="I12" i="2"/>
  <c r="M12" i="2" s="1"/>
  <c r="G12" i="2"/>
  <c r="E12" i="2"/>
  <c r="A12" i="2"/>
  <c r="A13" i="2"/>
  <c r="BI11" i="2"/>
  <c r="BH11" i="2"/>
  <c r="BG11" i="2"/>
  <c r="BF11" i="2"/>
  <c r="BE11" i="2"/>
  <c r="BD11" i="2"/>
  <c r="AW11" i="2"/>
  <c r="AM11" i="2"/>
  <c r="AI11" i="2"/>
  <c r="AF11" i="2"/>
  <c r="AC11" i="2"/>
  <c r="Z11" i="2"/>
  <c r="W11" i="2"/>
  <c r="BE10" i="2"/>
  <c r="BC10" i="2"/>
  <c r="BB10" i="2"/>
  <c r="BA10" i="2"/>
  <c r="AZ10" i="2"/>
  <c r="AV10" i="2"/>
  <c r="AP10" i="2"/>
  <c r="AP42" i="2"/>
  <c r="AL10" i="2"/>
  <c r="AL42" i="2"/>
  <c r="AH10" i="2"/>
  <c r="AH42" i="2"/>
  <c r="AE10" i="2"/>
  <c r="AE42" i="2"/>
  <c r="AB10" i="2"/>
  <c r="Y10" i="2"/>
  <c r="Y42" i="2"/>
  <c r="V10" i="2"/>
  <c r="T10" i="2"/>
  <c r="U11" i="2"/>
  <c r="J2" i="4"/>
  <c r="R10" i="2"/>
  <c r="S11" i="2"/>
  <c r="I2" i="4"/>
  <c r="P10" i="2"/>
  <c r="Q11" i="2"/>
  <c r="H2" i="4"/>
  <c r="N10" i="2"/>
  <c r="BC23" i="2"/>
  <c r="J10" i="2"/>
  <c r="K11" i="2"/>
  <c r="H10" i="2"/>
  <c r="BB19" i="2"/>
  <c r="F10" i="2"/>
  <c r="BA21" i="2"/>
  <c r="BA11" i="2"/>
  <c r="D10" i="2"/>
  <c r="AZ23" i="2"/>
  <c r="J32" i="4"/>
  <c r="H32" i="4"/>
  <c r="G32" i="4"/>
  <c r="I31" i="4"/>
  <c r="H31" i="4"/>
  <c r="G31" i="4"/>
  <c r="J30" i="4"/>
  <c r="H30" i="4"/>
  <c r="H29" i="4"/>
  <c r="G29" i="4"/>
  <c r="I28" i="4"/>
  <c r="H28" i="4"/>
  <c r="F28" i="4"/>
  <c r="E28" i="4"/>
  <c r="I27" i="4"/>
  <c r="H27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2" i="4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2" i="5"/>
  <c r="AT42" i="2"/>
  <c r="AS42" i="2"/>
  <c r="X42" i="2"/>
  <c r="T42" i="2"/>
  <c r="R42" i="2"/>
  <c r="P42" i="2"/>
  <c r="I32" i="4"/>
  <c r="I30" i="4"/>
  <c r="I26" i="4"/>
  <c r="H26" i="4"/>
  <c r="G26" i="4"/>
  <c r="F26" i="4"/>
  <c r="E26" i="4"/>
  <c r="I25" i="4"/>
  <c r="G25" i="4"/>
  <c r="J24" i="4"/>
  <c r="I24" i="4"/>
  <c r="F24" i="4"/>
  <c r="I23" i="4"/>
  <c r="G23" i="4"/>
  <c r="J22" i="4"/>
  <c r="I22" i="4"/>
  <c r="G22" i="4"/>
  <c r="E22" i="4"/>
  <c r="I21" i="4"/>
  <c r="H21" i="4"/>
  <c r="G21" i="4"/>
  <c r="H20" i="4"/>
  <c r="H19" i="4"/>
  <c r="G19" i="4"/>
  <c r="I18" i="4"/>
  <c r="H18" i="4"/>
  <c r="G18" i="4"/>
  <c r="F18" i="4"/>
  <c r="I17" i="4"/>
  <c r="G17" i="4"/>
  <c r="H16" i="4"/>
  <c r="G16" i="4"/>
  <c r="E16" i="4"/>
  <c r="I15" i="4"/>
  <c r="H15" i="4"/>
  <c r="G15" i="4"/>
  <c r="I14" i="4"/>
  <c r="H14" i="4"/>
  <c r="F14" i="4"/>
  <c r="H12" i="4"/>
  <c r="J11" i="4"/>
  <c r="G11" i="4"/>
  <c r="J10" i="4"/>
  <c r="I10" i="4"/>
  <c r="H10" i="4"/>
  <c r="G10" i="4"/>
  <c r="J9" i="4"/>
  <c r="E9" i="4"/>
  <c r="J8" i="4"/>
  <c r="I8" i="4"/>
  <c r="E8" i="4"/>
  <c r="I7" i="4"/>
  <c r="F7" i="4"/>
  <c r="J6" i="4"/>
  <c r="I6" i="4"/>
  <c r="H6" i="4"/>
  <c r="G6" i="4"/>
  <c r="E5" i="4"/>
  <c r="H4" i="4"/>
  <c r="G4" i="4"/>
  <c r="J3" i="4"/>
  <c r="F3" i="4"/>
  <c r="AR42" i="2"/>
  <c r="AN42" i="2"/>
  <c r="AJ42" i="2"/>
  <c r="AG42" i="2"/>
  <c r="AD42" i="2"/>
  <c r="AB42" i="2"/>
  <c r="AA42" i="2"/>
  <c r="P32" i="4"/>
  <c r="O3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2" i="4"/>
  <c r="J4" i="4"/>
  <c r="J5" i="4"/>
  <c r="J7" i="4"/>
  <c r="J12" i="4"/>
  <c r="J14" i="4"/>
  <c r="J16" i="4"/>
  <c r="J18" i="4"/>
  <c r="J20" i="4"/>
  <c r="J26" i="4"/>
  <c r="J28" i="4"/>
  <c r="J31" i="4"/>
  <c r="I3" i="4"/>
  <c r="I4" i="4"/>
  <c r="I5" i="4"/>
  <c r="I9" i="4"/>
  <c r="I12" i="4"/>
  <c r="I16" i="4"/>
  <c r="I19" i="4"/>
  <c r="I20" i="4"/>
  <c r="I29" i="4"/>
  <c r="H8" i="4"/>
  <c r="H13" i="4"/>
  <c r="H17" i="4"/>
  <c r="H22" i="4"/>
  <c r="H23" i="4"/>
  <c r="H24" i="4"/>
  <c r="H25" i="4"/>
  <c r="G8" i="4"/>
  <c r="G12" i="4"/>
  <c r="G13" i="4"/>
  <c r="G27" i="4"/>
  <c r="F5" i="4"/>
  <c r="F10" i="4"/>
  <c r="F11" i="4"/>
  <c r="F13" i="4"/>
  <c r="F16" i="4"/>
  <c r="F20" i="4"/>
  <c r="F22" i="4"/>
  <c r="F30" i="4"/>
  <c r="E3" i="4"/>
  <c r="E6" i="4"/>
  <c r="E7" i="4"/>
  <c r="E10" i="4"/>
  <c r="E12" i="4"/>
  <c r="E14" i="4"/>
  <c r="E18" i="4"/>
  <c r="E20" i="4"/>
  <c r="E24" i="4"/>
  <c r="E30" i="4"/>
  <c r="E31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F42" i="2"/>
  <c r="V42" i="2"/>
  <c r="E4" i="4"/>
  <c r="F23" i="4"/>
  <c r="E32" i="4"/>
  <c r="F29" i="4"/>
  <c r="F32" i="4"/>
  <c r="AB43" i="2"/>
  <c r="AJ43" i="2"/>
  <c r="F12" i="4"/>
  <c r="E11" i="4"/>
  <c r="F9" i="4"/>
  <c r="H42" i="2"/>
  <c r="BA13" i="2"/>
  <c r="A14" i="2"/>
  <c r="A15" i="2"/>
  <c r="BB21" i="2"/>
  <c r="A22" i="2"/>
  <c r="BB22" i="2"/>
  <c r="A26" i="2"/>
  <c r="BA26" i="2"/>
  <c r="F8" i="4"/>
  <c r="BC12" i="2"/>
  <c r="AZ19" i="2"/>
  <c r="BD20" i="2"/>
  <c r="BB23" i="2"/>
  <c r="BB25" i="2"/>
  <c r="I11" i="2"/>
  <c r="BB11" i="2"/>
  <c r="BB13" i="2"/>
  <c r="BB15" i="2"/>
  <c r="BA24" i="2"/>
  <c r="E25" i="4"/>
  <c r="M13" i="2"/>
  <c r="BB24" i="2"/>
  <c r="BB26" i="2"/>
  <c r="F6" i="4"/>
  <c r="BA20" i="2"/>
  <c r="BA12" i="2"/>
  <c r="BA14" i="2"/>
  <c r="BB20" i="2"/>
  <c r="BB12" i="2"/>
  <c r="BB14" i="2"/>
  <c r="BA23" i="2"/>
  <c r="BA25" i="2"/>
  <c r="F27" i="4"/>
  <c r="AZ22" i="2"/>
  <c r="BA22" i="2"/>
  <c r="BA15" i="2"/>
  <c r="A16" i="2"/>
  <c r="AZ14" i="2"/>
  <c r="A27" i="2"/>
  <c r="A17" i="2"/>
  <c r="BA16" i="2"/>
  <c r="BB16" i="2"/>
  <c r="BC27" i="2"/>
  <c r="A28" i="2"/>
  <c r="BB27" i="2"/>
  <c r="BA27" i="2"/>
  <c r="A29" i="2"/>
  <c r="BA28" i="2"/>
  <c r="BB28" i="2"/>
  <c r="BA17" i="2"/>
  <c r="A18" i="2"/>
  <c r="BB17" i="2"/>
  <c r="BB18" i="2"/>
  <c r="AZ18" i="2"/>
  <c r="BA18" i="2"/>
  <c r="BC29" i="2"/>
  <c r="A30" i="2"/>
  <c r="BB29" i="2"/>
  <c r="BA29" i="2"/>
  <c r="A31" i="2"/>
  <c r="AZ30" i="2"/>
  <c r="BB30" i="2"/>
  <c r="BD30" i="2"/>
  <c r="BA30" i="2"/>
  <c r="A32" i="2"/>
  <c r="BA31" i="2"/>
  <c r="BB31" i="2"/>
  <c r="A33" i="2"/>
  <c r="BB32" i="2"/>
  <c r="BC32" i="2"/>
  <c r="BA32" i="2"/>
  <c r="A34" i="2"/>
  <c r="BA33" i="2"/>
  <c r="BB33" i="2"/>
  <c r="A35" i="2"/>
  <c r="BB34" i="2"/>
  <c r="BC34" i="2"/>
  <c r="BA34" i="2"/>
  <c r="A36" i="2"/>
  <c r="BA35" i="2"/>
  <c r="BB35" i="2"/>
  <c r="AZ36" i="2"/>
  <c r="A37" i="2"/>
  <c r="BB36" i="2"/>
  <c r="BA36" i="2"/>
  <c r="A38" i="2"/>
  <c r="BA37" i="2"/>
  <c r="BB37" i="2"/>
  <c r="AZ38" i="2"/>
  <c r="A39" i="2"/>
  <c r="BB38" i="2"/>
  <c r="BA38" i="2"/>
  <c r="A40" i="2"/>
  <c r="BB39" i="2"/>
  <c r="BA39" i="2"/>
  <c r="A41" i="2"/>
  <c r="BA40" i="2"/>
  <c r="BB40" i="2"/>
  <c r="BD41" i="2"/>
  <c r="BA41" i="2"/>
  <c r="BB41" i="2"/>
  <c r="BC20" i="2"/>
  <c r="G11" i="2"/>
  <c r="F2" i="4"/>
  <c r="AZ11" i="2"/>
  <c r="BA19" i="2"/>
  <c r="M23" i="2"/>
  <c r="BC38" i="2"/>
  <c r="BC36" i="2"/>
  <c r="BC22" i="2"/>
  <c r="N42" i="2"/>
  <c r="BC30" i="2"/>
  <c r="BC28" i="2"/>
  <c r="BC21" i="2"/>
  <c r="BC16" i="2"/>
  <c r="BC14" i="2"/>
  <c r="O11" i="2"/>
  <c r="G2" i="4"/>
  <c r="BC13" i="2"/>
  <c r="BC41" i="2"/>
  <c r="BC39" i="2"/>
  <c r="BC18" i="2"/>
  <c r="BC19" i="2"/>
  <c r="BC40" i="2"/>
  <c r="BC37" i="2"/>
  <c r="BC17" i="2"/>
  <c r="BC26" i="2"/>
  <c r="BC11" i="2"/>
  <c r="BC35" i="2"/>
  <c r="BC33" i="2"/>
  <c r="BC31" i="2"/>
  <c r="BC15" i="2"/>
  <c r="BC24" i="2"/>
  <c r="BC25" i="2"/>
  <c r="AZ40" i="2"/>
  <c r="AZ33" i="2"/>
  <c r="AZ41" i="2"/>
  <c r="AZ32" i="2"/>
  <c r="AZ39" i="2"/>
  <c r="AZ31" i="2"/>
  <c r="AZ17" i="2"/>
  <c r="AZ27" i="2"/>
  <c r="AZ26" i="2"/>
  <c r="AZ12" i="2"/>
  <c r="AZ13" i="2"/>
  <c r="AZ21" i="2"/>
  <c r="D42" i="2"/>
  <c r="AZ24" i="2"/>
  <c r="E11" i="2"/>
  <c r="AZ37" i="2"/>
  <c r="AZ35" i="2"/>
  <c r="AZ29" i="2"/>
  <c r="AZ28" i="2"/>
  <c r="AZ15" i="2"/>
  <c r="AZ25" i="2"/>
  <c r="AZ20" i="2"/>
  <c r="AZ34" i="2"/>
  <c r="AZ16" i="2"/>
  <c r="M11" i="2"/>
  <c r="E2" i="4"/>
</calcChain>
</file>

<file path=xl/sharedStrings.xml><?xml version="1.0" encoding="utf-8"?>
<sst xmlns="http://schemas.openxmlformats.org/spreadsheetml/2006/main" count="214" uniqueCount="84">
  <si>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</si>
  <si>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</si>
  <si>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</si>
  <si>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</si>
  <si>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</si>
  <si>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</si>
  <si>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</si>
  <si>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</si>
  <si>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</si>
  <si>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</si>
  <si>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</si>
  <si>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</si>
  <si>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Milan</t>
  </si>
  <si>
    <t>GAS RISCALD.(m3)</t>
  </si>
  <si>
    <t>GAS CUCINA (m3)</t>
  </si>
  <si>
    <t>H2O CONDIZION.ADD (m3)</t>
  </si>
  <si>
    <t>REINT. H2O ADD (m3)</t>
  </si>
  <si>
    <t>H2O ADD F CUC P (m3)</t>
  </si>
  <si>
    <t>H2O SANIT. CALDA (m3)</t>
  </si>
  <si>
    <t>ENEL CUC.PRINC. P (KWh)</t>
  </si>
  <si>
    <t>ENEL CUC.PRINC. N. (KWh)</t>
  </si>
  <si>
    <t>ENEL CUC.PREP. (KWh)</t>
  </si>
  <si>
    <t>ENEL CUC.VERANDA (KWh)</t>
  </si>
  <si>
    <t xml:space="preserve">   ENEL LAVANDERIA (KWh)</t>
  </si>
  <si>
    <t>FOUR SEASONS HOTEL MILANO</t>
  </si>
  <si>
    <t>REPARTO MANUTENZIONE</t>
  </si>
  <si>
    <t>LUGLIO '09</t>
  </si>
  <si>
    <t>LUGLIO '17</t>
  </si>
  <si>
    <t xml:space="preserve"> BUDGET</t>
  </si>
  <si>
    <t xml:space="preserve">  GAS RISCALD.</t>
  </si>
  <si>
    <t xml:space="preserve">   GAS CUCINA</t>
  </si>
  <si>
    <t xml:space="preserve">  H2O GENERALE</t>
  </si>
  <si>
    <t>H2O CONDIZION.ADD</t>
  </si>
  <si>
    <t>REINT. H2O ADD</t>
  </si>
  <si>
    <t>H2O ADD F CUC P</t>
  </si>
  <si>
    <t>H2O SANIT. CALDA</t>
  </si>
  <si>
    <t xml:space="preserve">  ENEL ATTIVA</t>
  </si>
  <si>
    <t>ENEL REATT.</t>
  </si>
  <si>
    <t xml:space="preserve">    ENEL CUC.PRINC. P</t>
  </si>
  <si>
    <t xml:space="preserve">    ENEL CUC.PRINC. N.</t>
  </si>
  <si>
    <t xml:space="preserve">         ENEL CUC.PREP.</t>
  </si>
  <si>
    <t xml:space="preserve">    ENEL CUC.VERANDA       </t>
  </si>
  <si>
    <t>ENEL LAVANDERIA</t>
  </si>
  <si>
    <t xml:space="preserve"> TEMPER.GG.</t>
  </si>
  <si>
    <t>RICAVI</t>
  </si>
  <si>
    <t xml:space="preserve">REFRIGERATA </t>
  </si>
  <si>
    <t>lt/ G</t>
  </si>
  <si>
    <t>GAS RISCALD</t>
  </si>
  <si>
    <t>GAS CUCINA</t>
  </si>
  <si>
    <t>ACQUA GENER.</t>
  </si>
  <si>
    <t>ACQUA CONDIZ.</t>
  </si>
  <si>
    <t>ENERGIA</t>
  </si>
  <si>
    <t>Proiezione BA</t>
  </si>
  <si>
    <t>ENEL CUC.PRINC.</t>
  </si>
  <si>
    <t>ENEL CUC.PREP.</t>
  </si>
  <si>
    <t>ENEL CUC.VER</t>
  </si>
  <si>
    <t>ENEL LAVAND.</t>
  </si>
  <si>
    <t>GG</t>
  </si>
  <si>
    <t>ORA</t>
  </si>
  <si>
    <t>NOTE</t>
  </si>
  <si>
    <t>LETTURA MC</t>
  </si>
  <si>
    <t>DIFF. G</t>
  </si>
  <si>
    <t>lett. BA</t>
  </si>
  <si>
    <t>GUESTS</t>
  </si>
  <si>
    <t>mcxcl</t>
  </si>
  <si>
    <t>LET. KWH*2200</t>
  </si>
  <si>
    <t>Consumo BA</t>
  </si>
  <si>
    <t>LET.KWT</t>
  </si>
  <si>
    <t>LET. KWH</t>
  </si>
  <si>
    <t>LET. KWH*80</t>
  </si>
  <si>
    <t>COVERS</t>
  </si>
  <si>
    <t>Consumo Ba</t>
  </si>
  <si>
    <t>MIN</t>
  </si>
  <si>
    <t>MAX</t>
  </si>
  <si>
    <t>LAVANDERIA</t>
  </si>
  <si>
    <t>00:00</t>
  </si>
  <si>
    <t>00:30</t>
  </si>
  <si>
    <t xml:space="preserve">TOTALE </t>
  </si>
  <si>
    <t>CONSUMI</t>
  </si>
  <si>
    <t xml:space="preserve">         MEDIA</t>
  </si>
  <si>
    <t>BUDGET</t>
  </si>
  <si>
    <t>RIMECO 14</t>
  </si>
  <si>
    <t>RIMECO 15</t>
  </si>
  <si>
    <t>RIMECO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</si>
</sst>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_-;\-* #,##0_-;_-* &quot;-&quot;_-;_-@_-"/>
    <numFmt numFmtId="165" formatCode="_-* #,##0.00_-;\-* #,##0.00_-;_-* &quot;-&quot;??_-;_-@_-"/>
    <numFmt numFmtId="166" formatCode="_-* #,##0.000_-;\-* #,##0.000_-;_-* &quot;-&quot;_-;_-@_-"/>
    <numFmt numFmtId="167" formatCode="#,##0_ ;\-#,##0\ "/>
    <numFmt numFmtId="168" formatCode="_-* #,##0.00_-;\-* #,##0.00_-;_-* &quot;-&quot;_-;_-@_-"/>
    <numFmt numFmtId="169" formatCode="_-* #,##0.00000_-;\-* #,##0.00000_-;_-* &quot;-&quot;_-;_-@_-"/>
    <numFmt numFmtId="170" formatCode="0_ ;\-0\ "/>
  </numFmts>
  <fonts count="19">
    <font>
      <sz val="11"/>
      <color theme="1"/>
      <name val="Calibri"/>
      <family val="2"/>
      <scheme val="minor"/>
    </font>
    <font>
      <b/>
      <sz val="12"/>
      <name val="Helv"/>
    </font>
    <font>
      <sz val="12"/>
      <name val="Arial"/>
      <family val="2"/>
    </font>
    <font>
      <b/>
      <sz val="12"/>
      <name val="Arial"/>
      <family val="2"/>
    </font>
    <font>
      <sz val="12"/>
      <color indexed="53"/>
      <name val="Arial"/>
      <family val="2"/>
    </font>
    <font>
      <sz val="12"/>
      <color indexed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sz val="12"/>
      <color indexed="17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9" tint="-0.249977111117893"/>
      <name val="Arial"/>
      <family val="2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sz val="12"/>
      <color rgb="FF00B050"/>
      <name val="Arial"/>
      <family val="2"/>
    </font>
    <font>
      <sz val="12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13"/>
        <bgColor indexed="64"/>
      </patternFill>
    </fill>
    <fill>
      <patternFill patternType="solid">
        <fgColor indexed="13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/>
      <bottom style="double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</borders>
  <cellStyleXfs count="2">
    <xf numFmtId="0" fontId="0" fillId="0" borderId="0"/>
    <xf numFmtId="164" fontId="9" fillId="0" borderId="0" applyFont="0" applyFill="0" applyBorder="0" applyAlignment="0" applyProtection="0"/>
  </cellStyleXfs>
  <cellXfs count="146">
    <xf numFmtId="0" fontId="0" fillId="0" borderId="0" xfId="0"/>
    <xf numFmtId="164" fontId="1" fillId="0" borderId="0" xfId="1" applyFont="1"/>
    <xf numFmtId="164" fontId="2" fillId="0" borderId="0" xfId="1" applyFont="1"/>
    <xf numFmtId="164" fontId="1" fillId="0" borderId="0" xfId="1" applyFont="1" applyProtection="1"/>
    <xf numFmtId="164" fontId="1" fillId="0" borderId="0" xfId="1" applyFont="1" applyAlignment="1" applyProtection="1">
      <alignment horizontal="left"/>
    </xf>
    <xf numFmtId="164" fontId="1" fillId="0" borderId="0" xfId="1" quotePrefix="1" applyFont="1" applyAlignment="1">
      <alignment horizontal="left"/>
    </xf>
    <xf numFmtId="164" fontId="1" fillId="0" borderId="0" xfId="1" quotePrefix="1" applyFont="1" applyAlignment="1" applyProtection="1">
      <alignment horizontal="left"/>
    </xf>
    <xf numFmtId="164" fontId="3" fillId="0" borderId="0" xfId="1" applyFont="1"/>
    <xf numFmtId="164" fontId="4" fillId="0" borderId="1" xfId="1" applyFont="1" applyFill="1" applyBorder="1"/>
    <xf numFmtId="164" fontId="4" fillId="0" borderId="1" xfId="1" applyFont="1" applyFill="1" applyBorder="1" applyAlignment="1">
      <alignment horizontal="center"/>
    </xf>
    <xf numFmtId="17" fontId="5" fillId="0" borderId="0" xfId="1" applyNumberFormat="1" applyFont="1" applyAlignment="1">
      <alignment horizontal="center"/>
    </xf>
    <xf numFmtId="164" fontId="2" fillId="3" borderId="2" xfId="1" applyFont="1" applyFill="1" applyBorder="1"/>
    <xf numFmtId="164" fontId="2" fillId="3" borderId="1" xfId="1" applyFont="1" applyFill="1" applyBorder="1"/>
    <xf numFmtId="164" fontId="3" fillId="3" borderId="3" xfId="1" applyFont="1" applyFill="1" applyBorder="1" applyAlignment="1" applyProtection="1">
      <alignment horizontal="center"/>
    </xf>
    <xf numFmtId="164" fontId="3" fillId="3" borderId="4" xfId="1" applyFont="1" applyFill="1" applyBorder="1" applyAlignment="1" applyProtection="1">
      <alignment horizontal="center"/>
    </xf>
    <xf numFmtId="164" fontId="3" fillId="3" borderId="4" xfId="1" applyFont="1" applyFill="1" applyBorder="1" applyAlignment="1" applyProtection="1">
      <alignment horizontal="left"/>
    </xf>
    <xf numFmtId="164" fontId="3" fillId="3" borderId="0" xfId="1" applyFont="1" applyFill="1" applyBorder="1" applyAlignment="1" applyProtection="1">
      <alignment horizontal="left"/>
    </xf>
    <xf numFmtId="164" fontId="3" fillId="3" borderId="3" xfId="1" applyFont="1" applyFill="1" applyBorder="1" applyAlignment="1" applyProtection="1">
      <alignment horizontal="left"/>
    </xf>
    <xf numFmtId="164" fontId="3" fillId="3" borderId="5" xfId="1" applyFont="1" applyFill="1" applyBorder="1" applyAlignment="1" applyProtection="1">
      <alignment horizontal="left"/>
    </xf>
    <xf numFmtId="164" fontId="6" fillId="3" borderId="6" xfId="1" applyFont="1" applyFill="1" applyBorder="1" applyAlignment="1" applyProtection="1">
      <alignment horizontal="left"/>
    </xf>
    <xf numFmtId="164" fontId="3" fillId="3" borderId="7" xfId="1" applyFont="1" applyFill="1" applyBorder="1" applyAlignment="1" applyProtection="1">
      <alignment horizontal="left"/>
    </xf>
    <xf numFmtId="164" fontId="3" fillId="3" borderId="8" xfId="1" applyFont="1" applyFill="1" applyBorder="1" applyAlignment="1" applyProtection="1">
      <alignment horizontal="left"/>
    </xf>
    <xf numFmtId="164" fontId="3" fillId="3" borderId="9" xfId="1" applyFont="1" applyFill="1" applyBorder="1" applyAlignment="1" applyProtection="1">
      <alignment horizontal="center"/>
    </xf>
    <xf numFmtId="164" fontId="3" fillId="3" borderId="10" xfId="1" applyFont="1" applyFill="1" applyBorder="1"/>
    <xf numFmtId="4" fontId="2" fillId="0" borderId="11" xfId="1" quotePrefix="1" applyNumberFormat="1" applyFont="1" applyBorder="1" applyAlignment="1" applyProtection="1">
      <alignment horizontal="left"/>
    </xf>
    <xf numFmtId="164" fontId="7" fillId="0" borderId="11" xfId="1" applyFont="1" applyBorder="1" applyProtection="1"/>
    <xf numFmtId="165" fontId="7" fillId="0" borderId="11" xfId="1" applyNumberFormat="1" applyFont="1" applyBorder="1" applyProtection="1"/>
    <xf numFmtId="164" fontId="12" fillId="0" borderId="11" xfId="1" applyFont="1" applyBorder="1" applyProtection="1"/>
    <xf numFmtId="164" fontId="5" fillId="0" borderId="11" xfId="1" applyFont="1" applyBorder="1" applyProtection="1"/>
    <xf numFmtId="164" fontId="2" fillId="0" borderId="11" xfId="1" applyFont="1" applyBorder="1" applyProtection="1"/>
    <xf numFmtId="3" fontId="2" fillId="0" borderId="11" xfId="1" applyNumberFormat="1" applyFont="1" applyBorder="1" applyProtection="1"/>
    <xf numFmtId="166" fontId="7" fillId="0" borderId="11" xfId="1" applyNumberFormat="1" applyFont="1" applyBorder="1" applyProtection="1"/>
    <xf numFmtId="164" fontId="3" fillId="4" borderId="12" xfId="1" applyFont="1" applyFill="1" applyBorder="1" applyProtection="1"/>
    <xf numFmtId="164" fontId="2" fillId="0" borderId="11" xfId="1" applyFont="1" applyBorder="1" applyAlignment="1" applyProtection="1">
      <alignment horizontal="left"/>
    </xf>
    <xf numFmtId="166" fontId="8" fillId="0" borderId="11" xfId="1" applyNumberFormat="1" applyFont="1" applyBorder="1" applyProtection="1"/>
    <xf numFmtId="3" fontId="7" fillId="0" borderId="11" xfId="1" applyNumberFormat="1" applyFont="1" applyBorder="1" applyProtection="1"/>
    <xf numFmtId="168" fontId="7" fillId="0" borderId="11" xfId="1" applyNumberFormat="1" applyFont="1" applyBorder="1" applyProtection="1"/>
    <xf numFmtId="164" fontId="7" fillId="0" borderId="11" xfId="1" applyFont="1" applyFill="1" applyBorder="1" applyProtection="1"/>
    <xf numFmtId="169" fontId="7" fillId="0" borderId="13" xfId="1" applyNumberFormat="1" applyFont="1" applyBorder="1" applyProtection="1"/>
    <xf numFmtId="164" fontId="3" fillId="4" borderId="1" xfId="1" applyFont="1" applyFill="1" applyBorder="1" applyProtection="1"/>
    <xf numFmtId="164" fontId="2" fillId="0" borderId="1" xfId="1" applyFont="1" applyBorder="1" applyProtection="1"/>
    <xf numFmtId="164" fontId="2" fillId="0" borderId="14" xfId="1" applyFont="1" applyBorder="1" applyProtection="1"/>
    <xf numFmtId="164" fontId="7" fillId="0" borderId="14" xfId="1" applyFont="1" applyFill="1" applyBorder="1" applyProtection="1"/>
    <xf numFmtId="164" fontId="2" fillId="0" borderId="11" xfId="1" applyFont="1" applyFill="1" applyBorder="1" applyProtection="1"/>
    <xf numFmtId="164" fontId="7" fillId="6" borderId="11" xfId="1" applyFont="1" applyFill="1" applyBorder="1" applyProtection="1"/>
    <xf numFmtId="164" fontId="7" fillId="0" borderId="11" xfId="1" applyFont="1" applyFill="1" applyBorder="1"/>
    <xf numFmtId="164" fontId="3" fillId="0" borderId="0" xfId="1" applyFont="1" applyAlignment="1" applyProtection="1">
      <alignment horizontal="left"/>
    </xf>
    <xf numFmtId="164" fontId="2" fillId="0" borderId="4" xfId="1" applyFont="1" applyBorder="1"/>
    <xf numFmtId="164" fontId="3" fillId="0" borderId="15" xfId="1" applyFont="1" applyBorder="1" applyProtection="1"/>
    <xf numFmtId="164" fontId="3" fillId="0" borderId="16" xfId="1" applyFont="1" applyBorder="1" applyProtection="1"/>
    <xf numFmtId="164" fontId="3" fillId="0" borderId="17" xfId="1" applyFont="1" applyBorder="1" applyProtection="1"/>
    <xf numFmtId="164" fontId="3" fillId="0" borderId="18" xfId="1" applyFont="1" applyBorder="1" applyProtection="1"/>
    <xf numFmtId="164" fontId="3" fillId="0" borderId="0" xfId="1" applyFont="1" applyBorder="1" applyProtection="1"/>
    <xf numFmtId="164" fontId="2" fillId="2" borderId="9" xfId="1" applyFont="1" applyFill="1" applyBorder="1"/>
    <xf numFmtId="164" fontId="2" fillId="0" borderId="9" xfId="1" applyFont="1" applyBorder="1"/>
    <xf numFmtId="164" fontId="2" fillId="0" borderId="3" xfId="1" applyFont="1" applyBorder="1"/>
    <xf numFmtId="164" fontId="3" fillId="7" borderId="19" xfId="1" applyFont="1" applyFill="1" applyBorder="1"/>
    <xf numFmtId="164" fontId="3" fillId="0" borderId="0" xfId="1" applyFont="1" applyAlignment="1" applyProtection="1">
      <alignment horizontal="center"/>
    </xf>
    <xf numFmtId="168" fontId="3" fillId="0" borderId="0" xfId="1" applyNumberFormat="1" applyFont="1" applyBorder="1" applyProtection="1"/>
    <xf numFmtId="168" fontId="2" fillId="0" borderId="0" xfId="1" applyNumberFormat="1" applyFont="1"/>
    <xf numFmtId="164" fontId="3" fillId="0" borderId="20" xfId="1" applyFont="1" applyBorder="1"/>
    <xf numFmtId="164" fontId="3" fillId="0" borderId="20" xfId="1" applyFont="1" applyBorder="1" applyProtection="1"/>
    <xf numFmtId="170" fontId="2" fillId="0" borderId="0" xfId="1" applyNumberFormat="1" applyFont="1"/>
    <xf numFmtId="1" fontId="0" fillId="0" borderId="0" xfId="0" applyNumberFormat="1"/>
    <xf numFmtId="1" fontId="10" fillId="0" borderId="0" xfId="0" applyNumberFormat="1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wrapText="1"/>
    </xf>
    <xf numFmtId="0" fontId="10" fillId="0" borderId="0" xfId="0" applyFont="1"/>
    <xf numFmtId="1" fontId="10" fillId="0" borderId="0" xfId="0" applyNumberFormat="1" applyFont="1" applyAlignment="1">
      <alignment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3" fontId="13" fillId="0" borderId="0" xfId="0" applyNumberFormat="1" applyFont="1"/>
    <xf numFmtId="164" fontId="16" fillId="6" borderId="0" xfId="1" applyFont="1" applyFill="1"/>
    <xf numFmtId="164" fontId="3" fillId="3" borderId="21" xfId="1" applyFont="1" applyFill="1" applyBorder="1" applyAlignment="1" applyProtection="1">
      <alignment horizontal="left"/>
    </xf>
    <xf numFmtId="164" fontId="3" fillId="3" borderId="9" xfId="1" applyFont="1" applyFill="1" applyBorder="1" applyAlignment="1" applyProtection="1"/>
    <xf numFmtId="164" fontId="3" fillId="3" borderId="22" xfId="1" applyFont="1" applyFill="1" applyBorder="1" applyAlignment="1" applyProtection="1"/>
    <xf numFmtId="164" fontId="2" fillId="3" borderId="12" xfId="1" applyFont="1" applyFill="1" applyBorder="1" applyAlignment="1"/>
    <xf numFmtId="4" fontId="2" fillId="0" borderId="11" xfId="1" quotePrefix="1" applyNumberFormat="1" applyFont="1" applyBorder="1" applyAlignment="1" applyProtection="1"/>
    <xf numFmtId="164" fontId="5" fillId="0" borderId="11" xfId="1" applyFont="1" applyBorder="1" applyAlignment="1" applyProtection="1"/>
    <xf numFmtId="4" fontId="2" fillId="0" borderId="11" xfId="1" applyNumberFormat="1" applyFont="1" applyBorder="1" applyAlignment="1" applyProtection="1"/>
    <xf numFmtId="3" fontId="2" fillId="0" borderId="3" xfId="1" applyNumberFormat="1" applyFont="1" applyBorder="1" applyAlignment="1" applyProtection="1"/>
    <xf numFmtId="164" fontId="2" fillId="0" borderId="23" xfId="1" applyFont="1" applyBorder="1" applyAlignment="1" applyProtection="1"/>
    <xf numFmtId="3" fontId="2" fillId="0" borderId="11" xfId="1" applyNumberFormat="1" applyFont="1" applyBorder="1" applyAlignment="1" applyProtection="1"/>
    <xf numFmtId="4" fontId="7" fillId="0" borderId="11" xfId="1" applyNumberFormat="1" applyFont="1" applyFill="1" applyBorder="1" applyAlignment="1" applyProtection="1"/>
    <xf numFmtId="164" fontId="2" fillId="0" borderId="0" xfId="1" applyFont="1" applyAlignment="1"/>
    <xf numFmtId="164" fontId="3" fillId="4" borderId="1" xfId="1" applyFont="1" applyFill="1" applyBorder="1" applyAlignment="1" applyProtection="1"/>
    <xf numFmtId="164" fontId="7" fillId="0" borderId="1" xfId="1" applyFont="1" applyBorder="1" applyAlignment="1" applyProtection="1"/>
    <xf numFmtId="164" fontId="7" fillId="0" borderId="14" xfId="1" applyFont="1" applyBorder="1" applyAlignment="1" applyProtection="1"/>
    <xf numFmtId="167" fontId="5" fillId="0" borderId="14" xfId="1" applyNumberFormat="1" applyFont="1" applyFill="1" applyBorder="1" applyAlignment="1"/>
    <xf numFmtId="164" fontId="5" fillId="0" borderId="14" xfId="1" applyFont="1" applyFill="1" applyBorder="1" applyAlignment="1"/>
    <xf numFmtId="3" fontId="7" fillId="0" borderId="11" xfId="1" applyNumberFormat="1" applyFont="1" applyBorder="1" applyAlignment="1" applyProtection="1">
      <alignment horizontal="right"/>
    </xf>
    <xf numFmtId="164" fontId="2" fillId="0" borderId="23" xfId="1" applyFont="1" applyBorder="1" applyProtection="1"/>
    <xf numFmtId="168" fontId="7" fillId="0" borderId="24" xfId="1" applyNumberFormat="1" applyFont="1" applyBorder="1" applyProtection="1"/>
    <xf numFmtId="164" fontId="5" fillId="0" borderId="11" xfId="1" applyFont="1" applyFill="1" applyBorder="1" applyProtection="1"/>
    <xf numFmtId="164" fontId="7" fillId="0" borderId="13" xfId="1" applyFont="1" applyBorder="1" applyProtection="1"/>
    <xf numFmtId="164" fontId="17" fillId="0" borderId="11" xfId="1" applyFont="1" applyBorder="1" applyProtection="1"/>
    <xf numFmtId="164" fontId="7" fillId="0" borderId="11" xfId="1" quotePrefix="1" applyFont="1" applyFill="1" applyBorder="1" applyProtection="1"/>
    <xf numFmtId="3" fontId="2" fillId="0" borderId="11" xfId="1" applyNumberFormat="1" applyFont="1" applyFill="1" applyBorder="1" applyProtection="1"/>
    <xf numFmtId="165" fontId="7" fillId="0" borderId="11" xfId="1" applyNumberFormat="1" applyFont="1" applyFill="1" applyBorder="1" applyProtection="1"/>
    <xf numFmtId="164" fontId="2" fillId="5" borderId="11" xfId="1" applyFont="1" applyFill="1" applyBorder="1" applyProtection="1"/>
    <xf numFmtId="164" fontId="7" fillId="0" borderId="11" xfId="1" quotePrefix="1" applyFont="1" applyFill="1" applyBorder="1"/>
    <xf numFmtId="164" fontId="5" fillId="0" borderId="11" xfId="1" applyFont="1" applyFill="1" applyBorder="1"/>
    <xf numFmtId="164" fontId="5" fillId="0" borderId="14" xfId="1" applyFont="1" applyFill="1" applyBorder="1" applyProtection="1"/>
    <xf numFmtId="1" fontId="7" fillId="0" borderId="11" xfId="1" applyNumberFormat="1" applyFont="1" applyBorder="1" applyProtection="1"/>
    <xf numFmtId="164" fontId="3" fillId="0" borderId="25" xfId="1" applyFont="1" applyBorder="1"/>
    <xf numFmtId="164" fontId="2" fillId="0" borderId="26" xfId="1" applyFont="1" applyBorder="1" applyProtection="1"/>
    <xf numFmtId="164" fontId="2" fillId="0" borderId="27" xfId="1" applyFont="1" applyBorder="1" applyProtection="1"/>
    <xf numFmtId="164" fontId="3" fillId="0" borderId="28" xfId="1" applyFont="1" applyFill="1" applyBorder="1"/>
    <xf numFmtId="1" fontId="13" fillId="0" borderId="0" xfId="0" applyNumberFormat="1" applyFont="1"/>
    <xf numFmtId="164" fontId="13" fillId="0" borderId="0" xfId="0" applyNumberFormat="1" applyFont="1"/>
    <xf numFmtId="1" fontId="18" fillId="0" borderId="0" xfId="0" applyNumberFormat="1" applyFont="1" applyAlignment="1">
      <alignment wrapText="1"/>
    </xf>
    <xf numFmtId="1" fontId="15" fillId="0" borderId="0" xfId="0" applyNumberFormat="1" applyFont="1"/>
    <xf numFmtId="1" fontId="11" fillId="0" borderId="0" xfId="0" applyNumberFormat="1" applyFont="1"/>
    <xf numFmtId="168" fontId="7" fillId="8" borderId="11" xfId="1" applyNumberFormat="1" applyFont="1" applyFill="1" applyBorder="1" applyProtection="1"/>
    <xf numFmtId="164" fontId="3" fillId="7" borderId="34" xfId="1" applyFont="1" applyFill="1" applyBorder="1" applyAlignment="1">
      <alignment horizontal="center"/>
    </xf>
    <xf numFmtId="164" fontId="2" fillId="7" borderId="35" xfId="1" applyFont="1" applyFill="1" applyBorder="1" applyAlignment="1">
      <alignment horizontal="center"/>
    </xf>
    <xf numFmtId="164" fontId="3" fillId="7" borderId="36" xfId="1" applyFont="1" applyFill="1" applyBorder="1" applyAlignment="1">
      <alignment horizontal="center"/>
    </xf>
    <xf numFmtId="164" fontId="3" fillId="3" borderId="30" xfId="1" applyFont="1" applyFill="1" applyBorder="1" applyAlignment="1" applyProtection="1">
      <alignment horizontal="center" vertical="center" wrapText="1"/>
    </xf>
    <xf numFmtId="164" fontId="3" fillId="3" borderId="37" xfId="1" applyFont="1" applyFill="1" applyBorder="1" applyAlignment="1" applyProtection="1">
      <alignment horizontal="center" vertical="center" wrapText="1"/>
    </xf>
    <xf numFmtId="164" fontId="3" fillId="3" borderId="31" xfId="1" applyFont="1" applyFill="1" applyBorder="1" applyAlignment="1" applyProtection="1">
      <alignment horizontal="center" vertical="center" wrapText="1"/>
    </xf>
    <xf numFmtId="164" fontId="3" fillId="3" borderId="32" xfId="1" applyFont="1" applyFill="1" applyBorder="1" applyAlignment="1" applyProtection="1">
      <alignment horizontal="center" vertical="center" wrapText="1"/>
    </xf>
    <xf numFmtId="164" fontId="3" fillId="3" borderId="38" xfId="1" applyFont="1" applyFill="1" applyBorder="1" applyAlignment="1" applyProtection="1">
      <alignment horizontal="center" vertical="center" wrapText="1"/>
    </xf>
    <xf numFmtId="164" fontId="3" fillId="3" borderId="33" xfId="1" applyFont="1" applyFill="1" applyBorder="1" applyAlignment="1" applyProtection="1">
      <alignment horizontal="center" vertical="center" wrapText="1"/>
    </xf>
    <xf numFmtId="164" fontId="3" fillId="3" borderId="29" xfId="1" applyFont="1" applyFill="1" applyBorder="1" applyAlignment="1" applyProtection="1">
      <alignment horizontal="center" vertical="center" wrapText="1"/>
    </xf>
    <xf numFmtId="164" fontId="3" fillId="3" borderId="14" xfId="1" applyFont="1" applyFill="1" applyBorder="1" applyAlignment="1" applyProtection="1">
      <alignment horizontal="center" vertical="center" wrapText="1"/>
    </xf>
    <xf numFmtId="164" fontId="3" fillId="3" borderId="39" xfId="1" applyFont="1" applyFill="1" applyBorder="1" applyAlignment="1">
      <alignment horizontal="center"/>
    </xf>
    <xf numFmtId="164" fontId="3" fillId="3" borderId="40" xfId="1" applyFont="1" applyFill="1" applyBorder="1" applyAlignment="1">
      <alignment horizontal="center"/>
    </xf>
    <xf numFmtId="4" fontId="3" fillId="3" borderId="31" xfId="1" applyNumberFormat="1" applyFont="1" applyFill="1" applyBorder="1" applyAlignment="1" applyProtection="1">
      <alignment horizontal="center" vertical="center" wrapText="1"/>
    </xf>
    <xf numFmtId="4" fontId="3" fillId="3" borderId="33" xfId="1" applyNumberFormat="1" applyFont="1" applyFill="1" applyBorder="1" applyAlignment="1" applyProtection="1">
      <alignment horizontal="center" vertical="center" wrapText="1"/>
    </xf>
    <xf numFmtId="4" fontId="3" fillId="3" borderId="41" xfId="1" applyNumberFormat="1" applyFont="1" applyFill="1" applyBorder="1" applyAlignment="1">
      <alignment horizontal="center" vertical="center" wrapText="1"/>
    </xf>
    <xf numFmtId="4" fontId="3" fillId="3" borderId="25" xfId="1" applyNumberFormat="1" applyFont="1" applyFill="1" applyBorder="1" applyAlignment="1">
      <alignment horizontal="center" vertical="center" wrapText="1"/>
    </xf>
    <xf numFmtId="164" fontId="3" fillId="3" borderId="41" xfId="1" applyFont="1" applyFill="1" applyBorder="1" applyAlignment="1">
      <alignment horizontal="center" vertical="center" wrapText="1"/>
    </xf>
    <xf numFmtId="164" fontId="3" fillId="3" borderId="25" xfId="1" applyFont="1" applyFill="1" applyBorder="1" applyAlignment="1">
      <alignment horizontal="center" vertical="center" wrapText="1"/>
    </xf>
    <xf numFmtId="164" fontId="2" fillId="3" borderId="30" xfId="1" applyFont="1" applyFill="1" applyBorder="1" applyAlignment="1">
      <alignment horizontal="center" vertical="center" wrapText="1"/>
    </xf>
    <xf numFmtId="164" fontId="2" fillId="3" borderId="37" xfId="1" applyFont="1" applyFill="1" applyBorder="1" applyAlignment="1">
      <alignment horizontal="center" vertical="center" wrapText="1"/>
    </xf>
    <xf numFmtId="164" fontId="2" fillId="3" borderId="31" xfId="1" applyFont="1" applyFill="1" applyBorder="1" applyAlignment="1">
      <alignment horizontal="center" vertical="center" wrapText="1"/>
    </xf>
    <xf numFmtId="164" fontId="2" fillId="3" borderId="32" xfId="1" applyFont="1" applyFill="1" applyBorder="1" applyAlignment="1">
      <alignment horizontal="center" vertical="center" wrapText="1"/>
    </xf>
    <xf numFmtId="164" fontId="2" fillId="3" borderId="38" xfId="1" applyFont="1" applyFill="1" applyBorder="1" applyAlignment="1">
      <alignment horizontal="center" vertical="center" wrapText="1"/>
    </xf>
    <xf numFmtId="164" fontId="2" fillId="3" borderId="33" xfId="1" applyFont="1" applyFill="1" applyBorder="1" applyAlignment="1">
      <alignment horizontal="center" vertical="center" wrapText="1"/>
    </xf>
    <xf numFmtId="164" fontId="3" fillId="3" borderId="42" xfId="1" applyFont="1" applyFill="1" applyBorder="1" applyAlignment="1" applyProtection="1">
      <alignment horizontal="center" vertical="center" wrapText="1"/>
    </xf>
    <xf numFmtId="164" fontId="3" fillId="3" borderId="43" xfId="1" applyFont="1" applyFill="1" applyBorder="1" applyAlignment="1" applyProtection="1">
      <alignment horizontal="center" vertical="center" wrapText="1"/>
    </xf>
    <xf numFmtId="164" fontId="3" fillId="3" borderId="30" xfId="1" applyFont="1" applyFill="1" applyBorder="1" applyAlignment="1">
      <alignment horizontal="center" vertical="center" wrapText="1"/>
    </xf>
    <xf numFmtId="164" fontId="3" fillId="3" borderId="31" xfId="1" applyFont="1" applyFill="1" applyBorder="1" applyAlignment="1">
      <alignment horizontal="center" vertical="center" wrapText="1"/>
    </xf>
    <xf numFmtId="164" fontId="3" fillId="3" borderId="32" xfId="1" applyFont="1" applyFill="1" applyBorder="1" applyAlignment="1">
      <alignment horizontal="center" vertical="center" wrapText="1"/>
    </xf>
    <xf numFmtId="164" fontId="3" fillId="3" borderId="33" xfId="1" applyFont="1" applyFill="1" applyBorder="1" applyAlignment="1">
      <alignment horizontal="center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NSUMI/CONS_GIORN/Consumi%202022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 "/>
      <sheetName val="August"/>
      <sheetName val="September"/>
      <sheetName val="October"/>
      <sheetName val="November"/>
      <sheetName val="December"/>
      <sheetName val="Forecast"/>
    </sheetNames>
    <sheetDataSet>
      <sheetData sheetId="0"/>
      <sheetData sheetId="1"/>
      <sheetData sheetId="2"/>
      <sheetData sheetId="3"/>
      <sheetData sheetId="4"/>
      <sheetData sheetId="5">
        <row r="38">
          <cell r="D38">
            <v>318983</v>
          </cell>
          <cell r="F38">
            <v>7042</v>
          </cell>
          <cell r="H38">
            <v>75199</v>
          </cell>
          <cell r="J38">
            <v>590610</v>
          </cell>
          <cell r="N38">
            <v>8407</v>
          </cell>
          <cell r="P38">
            <v>92645</v>
          </cell>
          <cell r="R38">
            <v>35</v>
          </cell>
          <cell r="T38">
            <v>195026</v>
          </cell>
          <cell r="V38">
            <v>4734.4449999999997</v>
          </cell>
          <cell r="Y38">
            <v>911.65200000000004</v>
          </cell>
          <cell r="AB38">
            <v>1735697</v>
          </cell>
          <cell r="AE38">
            <v>5116605</v>
          </cell>
          <cell r="AH38">
            <v>34005</v>
          </cell>
          <cell r="AL38">
            <v>187519</v>
          </cell>
          <cell r="AP38">
            <v>46601</v>
          </cell>
          <cell r="AV38"/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topLeftCell="B1" zoomScale="130" zoomScaleNormal="130" workbookViewId="0">
      <selection activeCell="S25" sqref="S25"/>
    </sheetView>
  </sheetViews>
  <sheetFormatPr defaultColWidth="11.5703125" defaultRowHeight="15"/>
  <cols>
    <col min="4" max="4" width="13.42578125" customWidth="1"/>
    <col min="5" max="5" width="13" style="113" customWidth="1"/>
    <col min="6" max="6" width="12.5703125" customWidth="1"/>
    <col min="7" max="7" width="13" style="63" customWidth="1"/>
  </cols>
  <sheetData>
    <row r="1" spans="1:12" s="67" customFormat="1" ht="60">
      <c r="A1" s="67" t="s">
        <v>0</v>
      </c>
      <c r="B1" s="67" t="s">
        <v>1</v>
      </c>
      <c r="C1" s="67" t="s">
        <v>2</v>
      </c>
      <c r="D1" s="67" t="s">
        <v>3</v>
      </c>
      <c r="E1" s="111" t="s">
        <v>4</v>
      </c>
      <c r="F1" s="66" t="s">
        <v>5</v>
      </c>
      <c r="G1" s="68" t="s">
        <v>6</v>
      </c>
      <c r="H1" s="66" t="s">
        <v>7</v>
      </c>
      <c r="I1" s="66" t="s">
        <v>8</v>
      </c>
      <c r="J1" s="66" t="s">
        <v>9</v>
      </c>
      <c r="K1" s="66" t="s">
        <v>10</v>
      </c>
      <c r="L1" s="66" t="s">
        <v>11</v>
      </c>
    </row>
    <row r="2" spans="1:12" s="69" customFormat="1" ht="12.75">
      <c r="A2" s="69" t="s">
        <v>12</v>
      </c>
      <c r="B2" s="69">
        <v>1</v>
      </c>
      <c r="C2" s="71">
        <v>7</v>
      </c>
      <c r="D2" s="69">
        <v>2022</v>
      </c>
      <c r="E2" s="112">
        <f>'Hotel Data'!X11</f>
        <v>18330</v>
      </c>
      <c r="F2" s="69">
        <v>0.51500000000000001</v>
      </c>
      <c r="G2" s="109">
        <f>INT('Hotel Data'!E11+'Hotel Data'!G11)</f>
        <v>99</v>
      </c>
      <c r="H2" s="69">
        <v>2.0699999999999998</v>
      </c>
      <c r="I2" s="69">
        <f>INT('Hotel Data'!I11)</f>
        <v>292</v>
      </c>
      <c r="J2" s="69">
        <v>1.0249999999999999</v>
      </c>
      <c r="K2" s="69">
        <v>98</v>
      </c>
      <c r="L2" s="69">
        <v>182</v>
      </c>
    </row>
    <row r="3" spans="1:12" s="70" customFormat="1">
      <c r="A3" s="70" t="s">
        <v>12</v>
      </c>
      <c r="B3" s="70">
        <f>B2+1</f>
        <v>2</v>
      </c>
      <c r="C3" s="71">
        <v>7</v>
      </c>
      <c r="D3" s="69">
        <v>2022</v>
      </c>
      <c r="E3" s="112">
        <f>'Hotel Data'!X12</f>
        <v>18303</v>
      </c>
      <c r="F3" s="69">
        <v>0.51500000000000001</v>
      </c>
      <c r="G3" s="109">
        <f>INT('Hotel Data'!E12+'Hotel Data'!G12)</f>
        <v>98</v>
      </c>
      <c r="H3" s="69">
        <v>2.0699999999999998</v>
      </c>
      <c r="I3" s="69">
        <f>INT('Hotel Data'!I12)</f>
        <v>298</v>
      </c>
      <c r="J3" s="69">
        <v>1.0249999999999999</v>
      </c>
      <c r="K3" s="69">
        <v>85</v>
      </c>
      <c r="L3" s="69">
        <v>162</v>
      </c>
    </row>
    <row r="4" spans="1:12" s="70" customFormat="1">
      <c r="A4" s="70" t="s">
        <v>12</v>
      </c>
      <c r="B4" s="70">
        <f t="shared" ref="B4:B32" si="0">B3+1</f>
        <v>3</v>
      </c>
      <c r="C4" s="71">
        <v>7</v>
      </c>
      <c r="D4" s="69">
        <v>2022</v>
      </c>
      <c r="E4" s="112">
        <f>'Hotel Data'!X13</f>
        <v>18693</v>
      </c>
      <c r="F4" s="69">
        <v>0.51500000000000001</v>
      </c>
      <c r="G4" s="109">
        <f>INT('Hotel Data'!E13+'Hotel Data'!G13)</f>
        <v>88</v>
      </c>
      <c r="H4" s="69">
        <v>2.0699999999999998</v>
      </c>
      <c r="I4" s="69">
        <f>INT('Hotel Data'!I13)</f>
        <v>285</v>
      </c>
      <c r="J4" s="69">
        <v>1.0249999999999999</v>
      </c>
      <c r="K4" s="69">
        <v>81</v>
      </c>
      <c r="L4" s="69">
        <v>150</v>
      </c>
    </row>
    <row r="5" spans="1:12" s="70" customFormat="1">
      <c r="A5" s="70" t="s">
        <v>12</v>
      </c>
      <c r="B5" s="70">
        <f t="shared" si="0"/>
        <v>4</v>
      </c>
      <c r="C5" s="71">
        <v>7</v>
      </c>
      <c r="D5" s="69">
        <v>2022</v>
      </c>
      <c r="E5" s="112">
        <f>'Hotel Data'!X14</f>
        <v>18537</v>
      </c>
      <c r="F5" s="69">
        <v>0.51500000000000001</v>
      </c>
      <c r="G5" s="109">
        <f>INT('Hotel Data'!E14+'Hotel Data'!G14)</f>
        <v>99</v>
      </c>
      <c r="H5" s="69">
        <v>2.0699999999999998</v>
      </c>
      <c r="I5" s="69">
        <f>INT('Hotel Data'!I14)</f>
        <v>291</v>
      </c>
      <c r="J5" s="69">
        <v>1.0249999999999999</v>
      </c>
      <c r="K5" s="69">
        <v>84</v>
      </c>
      <c r="L5" s="69">
        <v>150</v>
      </c>
    </row>
    <row r="6" spans="1:12" s="70" customFormat="1">
      <c r="A6" s="70" t="s">
        <v>12</v>
      </c>
      <c r="B6" s="70">
        <f t="shared" si="0"/>
        <v>5</v>
      </c>
      <c r="C6" s="71">
        <v>7</v>
      </c>
      <c r="D6" s="69">
        <v>2022</v>
      </c>
      <c r="E6" s="112">
        <f>'Hotel Data'!X15</f>
        <v>18942</v>
      </c>
      <c r="F6" s="69">
        <v>0.51500000000000001</v>
      </c>
      <c r="G6" s="109">
        <f>INT('Hotel Data'!E15+'Hotel Data'!G15)</f>
        <v>161</v>
      </c>
      <c r="H6" s="69">
        <v>2.0699999999999998</v>
      </c>
      <c r="I6" s="69">
        <f>INT('Hotel Data'!I15)</f>
        <v>289</v>
      </c>
      <c r="J6" s="69">
        <v>1.0249999999999999</v>
      </c>
      <c r="K6" s="69">
        <v>82</v>
      </c>
      <c r="L6" s="69">
        <v>154</v>
      </c>
    </row>
    <row r="7" spans="1:12" s="70" customFormat="1">
      <c r="A7" s="70" t="s">
        <v>12</v>
      </c>
      <c r="B7" s="70">
        <f t="shared" si="0"/>
        <v>6</v>
      </c>
      <c r="C7" s="71">
        <v>7</v>
      </c>
      <c r="D7" s="69">
        <v>2022</v>
      </c>
      <c r="E7" s="112">
        <f>'Hotel Data'!X16</f>
        <v>19281</v>
      </c>
      <c r="F7" s="69">
        <v>0.51500000000000001</v>
      </c>
      <c r="G7" s="109">
        <f>INT('Hotel Data'!E16+'Hotel Data'!G16)</f>
        <v>90</v>
      </c>
      <c r="H7" s="69">
        <v>2.0699999999999998</v>
      </c>
      <c r="I7" s="69">
        <f>INT('Hotel Data'!I16)</f>
        <v>300</v>
      </c>
      <c r="J7" s="69">
        <v>1.0249999999999999</v>
      </c>
      <c r="K7" s="69">
        <v>89</v>
      </c>
      <c r="L7" s="69">
        <v>159</v>
      </c>
    </row>
    <row r="8" spans="1:12" s="70" customFormat="1">
      <c r="A8" s="70" t="s">
        <v>12</v>
      </c>
      <c r="B8" s="70">
        <f t="shared" si="0"/>
        <v>7</v>
      </c>
      <c r="C8" s="71">
        <v>7</v>
      </c>
      <c r="D8" s="69">
        <v>2022</v>
      </c>
      <c r="E8" s="112">
        <f>'Hotel Data'!X17</f>
        <v>18253</v>
      </c>
      <c r="F8" s="69">
        <v>0.51500000000000001</v>
      </c>
      <c r="G8" s="109">
        <f>INT('Hotel Data'!E17+'Hotel Data'!G17)</f>
        <v>156</v>
      </c>
      <c r="H8" s="69">
        <v>2.0699999999999998</v>
      </c>
      <c r="I8" s="69">
        <f>INT('Hotel Data'!I17)</f>
        <v>296</v>
      </c>
      <c r="J8" s="69">
        <v>1.0249999999999999</v>
      </c>
      <c r="K8" s="69">
        <v>96</v>
      </c>
      <c r="L8" s="69">
        <v>185</v>
      </c>
    </row>
    <row r="9" spans="1:12" s="70" customFormat="1">
      <c r="A9" s="70" t="s">
        <v>12</v>
      </c>
      <c r="B9" s="70">
        <f t="shared" si="0"/>
        <v>8</v>
      </c>
      <c r="C9" s="71">
        <v>7</v>
      </c>
      <c r="D9" s="69">
        <v>2022</v>
      </c>
      <c r="E9" s="112">
        <f>'Hotel Data'!X18</f>
        <v>17264</v>
      </c>
      <c r="F9" s="69">
        <v>0.51500000000000001</v>
      </c>
      <c r="G9" s="109">
        <f>INT('Hotel Data'!E18+'Hotel Data'!G18)</f>
        <v>195</v>
      </c>
      <c r="H9" s="69">
        <v>2.0699999999999998</v>
      </c>
      <c r="I9" s="69">
        <f>INT('Hotel Data'!I18)</f>
        <v>278</v>
      </c>
      <c r="J9" s="69">
        <v>1.0249999999999999</v>
      </c>
      <c r="K9" s="69">
        <v>92</v>
      </c>
      <c r="L9" s="69">
        <v>181</v>
      </c>
    </row>
    <row r="10" spans="1:12" s="70" customFormat="1">
      <c r="A10" s="70" t="s">
        <v>12</v>
      </c>
      <c r="B10" s="70">
        <f t="shared" si="0"/>
        <v>9</v>
      </c>
      <c r="C10" s="71">
        <v>7</v>
      </c>
      <c r="D10" s="69">
        <v>2022</v>
      </c>
      <c r="E10" s="112">
        <f>'Hotel Data'!X19</f>
        <v>16850</v>
      </c>
      <c r="F10" s="69">
        <v>0.51500000000000001</v>
      </c>
      <c r="G10" s="109">
        <f>INT('Hotel Data'!E19+'Hotel Data'!G19)</f>
        <v>208</v>
      </c>
      <c r="H10" s="69">
        <v>2.0699999999999998</v>
      </c>
      <c r="I10" s="69">
        <f>INT('Hotel Data'!I19)</f>
        <v>286</v>
      </c>
      <c r="J10" s="69">
        <v>1.0249999999999999</v>
      </c>
      <c r="K10" s="69">
        <v>91</v>
      </c>
      <c r="L10" s="69">
        <v>156</v>
      </c>
    </row>
    <row r="11" spans="1:12" s="70" customFormat="1">
      <c r="A11" s="70" t="s">
        <v>12</v>
      </c>
      <c r="B11" s="70">
        <f t="shared" si="0"/>
        <v>10</v>
      </c>
      <c r="C11" s="71">
        <v>7</v>
      </c>
      <c r="D11" s="69">
        <v>2022</v>
      </c>
      <c r="E11" s="112">
        <f>'Hotel Data'!X20</f>
        <v>16285</v>
      </c>
      <c r="F11" s="69">
        <v>0.51500000000000001</v>
      </c>
      <c r="G11" s="109">
        <f>INT('Hotel Data'!E20+'Hotel Data'!G20)</f>
        <v>214</v>
      </c>
      <c r="H11" s="69">
        <v>2.0699999999999998</v>
      </c>
      <c r="I11" s="69">
        <f>INT('Hotel Data'!I20)</f>
        <v>257</v>
      </c>
      <c r="J11" s="69">
        <v>1.0249999999999999</v>
      </c>
      <c r="K11" s="69">
        <v>91</v>
      </c>
      <c r="L11" s="69">
        <v>156</v>
      </c>
    </row>
    <row r="12" spans="1:12" s="70" customFormat="1">
      <c r="A12" s="70" t="s">
        <v>12</v>
      </c>
      <c r="B12" s="70">
        <f t="shared" si="0"/>
        <v>11</v>
      </c>
      <c r="C12" s="71">
        <v>7</v>
      </c>
      <c r="D12" s="69">
        <v>2022</v>
      </c>
      <c r="E12" s="112">
        <f>'Hotel Data'!X21</f>
        <v>17500</v>
      </c>
      <c r="F12" s="69">
        <v>0.51500000000000001</v>
      </c>
      <c r="G12" s="109">
        <f>INT('Hotel Data'!E21+'Hotel Data'!G21)</f>
        <v>170</v>
      </c>
      <c r="H12" s="69">
        <v>2.0699999999999998</v>
      </c>
      <c r="I12" s="69">
        <f>INT('Hotel Data'!I21)</f>
        <v>274</v>
      </c>
      <c r="J12" s="69">
        <v>1.0249999999999999</v>
      </c>
      <c r="K12" s="69">
        <v>94</v>
      </c>
      <c r="L12" s="69">
        <v>147</v>
      </c>
    </row>
    <row r="13" spans="1:12" s="70" customFormat="1">
      <c r="A13" s="70" t="s">
        <v>12</v>
      </c>
      <c r="B13" s="70">
        <f t="shared" si="0"/>
        <v>12</v>
      </c>
      <c r="C13" s="71">
        <v>7</v>
      </c>
      <c r="D13" s="69">
        <v>2022</v>
      </c>
      <c r="E13" s="112">
        <f>'Hotel Data'!X22</f>
        <v>18025</v>
      </c>
      <c r="F13" s="69">
        <v>0.51500000000000001</v>
      </c>
      <c r="G13" s="109">
        <f>INT('Hotel Data'!E22+'Hotel Data'!G22)</f>
        <v>100</v>
      </c>
      <c r="H13" s="69">
        <v>2.0699999999999998</v>
      </c>
      <c r="I13" s="69">
        <f>INT('Hotel Data'!I22)</f>
        <v>263</v>
      </c>
      <c r="J13" s="69">
        <v>1.0249999999999999</v>
      </c>
      <c r="K13" s="69">
        <v>96</v>
      </c>
      <c r="L13" s="69">
        <v>174</v>
      </c>
    </row>
    <row r="14" spans="1:12" s="70" customFormat="1">
      <c r="A14" s="70" t="s">
        <v>12</v>
      </c>
      <c r="B14" s="70">
        <f t="shared" si="0"/>
        <v>13</v>
      </c>
      <c r="C14" s="71">
        <v>7</v>
      </c>
      <c r="D14" s="69">
        <v>2022</v>
      </c>
      <c r="E14" s="112">
        <f>'Hotel Data'!X23</f>
        <v>18014</v>
      </c>
      <c r="F14" s="69">
        <v>0.51500000000000001</v>
      </c>
      <c r="G14" s="109">
        <f>INT('Hotel Data'!E23+'Hotel Data'!G23)</f>
        <v>100</v>
      </c>
      <c r="H14" s="69">
        <v>2.0699999999999998</v>
      </c>
      <c r="I14" s="69">
        <f>INT('Hotel Data'!I23)</f>
        <v>204</v>
      </c>
      <c r="J14" s="69">
        <v>1.0249999999999999</v>
      </c>
      <c r="K14" s="69">
        <v>89</v>
      </c>
      <c r="L14" s="69">
        <v>172</v>
      </c>
    </row>
    <row r="15" spans="1:12" s="70" customFormat="1">
      <c r="A15" s="70" t="s">
        <v>12</v>
      </c>
      <c r="B15" s="70">
        <f t="shared" si="0"/>
        <v>14</v>
      </c>
      <c r="C15" s="71">
        <v>7</v>
      </c>
      <c r="D15" s="69">
        <v>2022</v>
      </c>
      <c r="E15" s="112">
        <f>'Hotel Data'!X24</f>
        <v>18472</v>
      </c>
      <c r="F15" s="69">
        <v>0.51500000000000001</v>
      </c>
      <c r="G15" s="109">
        <f>INT('Hotel Data'!E24+'Hotel Data'!G24)</f>
        <v>97</v>
      </c>
      <c r="H15" s="69">
        <v>2.0699999999999998</v>
      </c>
      <c r="I15" s="69">
        <f>INT('Hotel Data'!I24)</f>
        <v>379</v>
      </c>
      <c r="J15" s="69">
        <v>1.0249999999999999</v>
      </c>
      <c r="K15" s="69">
        <v>82</v>
      </c>
      <c r="L15" s="69">
        <v>159</v>
      </c>
    </row>
    <row r="16" spans="1:12" s="70" customFormat="1">
      <c r="A16" s="70" t="s">
        <v>12</v>
      </c>
      <c r="B16" s="70">
        <f t="shared" si="0"/>
        <v>15</v>
      </c>
      <c r="C16" s="71">
        <v>7</v>
      </c>
      <c r="D16" s="69">
        <v>2022</v>
      </c>
      <c r="E16" s="112">
        <f>'Hotel Data'!X25</f>
        <v>18789</v>
      </c>
      <c r="F16" s="69">
        <v>0.51500000000000001</v>
      </c>
      <c r="G16" s="109">
        <f>INT('Hotel Data'!E25+'Hotel Data'!G25)</f>
        <v>96</v>
      </c>
      <c r="H16" s="69">
        <v>2.0699999999999998</v>
      </c>
      <c r="I16" s="69">
        <f>INT('Hotel Data'!I25)</f>
        <v>316</v>
      </c>
      <c r="J16" s="69">
        <v>1.0249999999999999</v>
      </c>
      <c r="K16" s="69">
        <v>93</v>
      </c>
      <c r="L16" s="69">
        <v>182</v>
      </c>
    </row>
    <row r="17" spans="1:12" s="70" customFormat="1">
      <c r="A17" s="70" t="s">
        <v>12</v>
      </c>
      <c r="B17" s="70">
        <f t="shared" si="0"/>
        <v>16</v>
      </c>
      <c r="C17" s="71">
        <v>7</v>
      </c>
      <c r="D17" s="69">
        <v>2022</v>
      </c>
      <c r="E17" s="112">
        <f>'Hotel Data'!X26</f>
        <v>18780</v>
      </c>
      <c r="F17" s="69">
        <v>0.51500000000000001</v>
      </c>
      <c r="G17" s="109">
        <f>INT('Hotel Data'!E26+'Hotel Data'!G26)</f>
        <v>102</v>
      </c>
      <c r="H17" s="69">
        <v>2.0699999999999998</v>
      </c>
      <c r="I17" s="69">
        <f>INT('Hotel Data'!I26)</f>
        <v>295</v>
      </c>
      <c r="J17" s="69">
        <v>1.0249999999999999</v>
      </c>
      <c r="K17" s="69">
        <v>79</v>
      </c>
      <c r="L17" s="69">
        <v>160</v>
      </c>
    </row>
    <row r="18" spans="1:12" s="70" customFormat="1">
      <c r="A18" s="70" t="s">
        <v>12</v>
      </c>
      <c r="B18" s="70">
        <f t="shared" si="0"/>
        <v>17</v>
      </c>
      <c r="C18" s="71">
        <v>7</v>
      </c>
      <c r="D18" s="69">
        <v>2022</v>
      </c>
      <c r="E18" s="112">
        <f>'Hotel Data'!X27</f>
        <v>18945</v>
      </c>
      <c r="F18" s="69">
        <v>0.51500000000000001</v>
      </c>
      <c r="G18" s="109">
        <f>INT('Hotel Data'!E27+'Hotel Data'!G27)</f>
        <v>126</v>
      </c>
      <c r="H18" s="69">
        <v>2.0699999999999998</v>
      </c>
      <c r="I18" s="69">
        <f>INT('Hotel Data'!I27)</f>
        <v>299</v>
      </c>
      <c r="J18" s="69">
        <v>1.0249999999999999</v>
      </c>
      <c r="K18" s="69">
        <v>95</v>
      </c>
      <c r="L18" s="69">
        <v>194</v>
      </c>
    </row>
    <row r="19" spans="1:12" s="70" customFormat="1">
      <c r="A19" s="70" t="s">
        <v>12</v>
      </c>
      <c r="B19" s="70">
        <f t="shared" si="0"/>
        <v>18</v>
      </c>
      <c r="C19" s="71">
        <v>7</v>
      </c>
      <c r="D19" s="69">
        <v>2022</v>
      </c>
      <c r="E19" s="112">
        <f>'Hotel Data'!X28</f>
        <v>18630</v>
      </c>
      <c r="F19" s="69">
        <v>0.51500000000000001</v>
      </c>
      <c r="G19" s="109">
        <f>INT('Hotel Data'!E28+'Hotel Data'!G28)</f>
        <v>168</v>
      </c>
      <c r="H19" s="69">
        <v>2.0699999999999998</v>
      </c>
      <c r="I19" s="69">
        <f>INT('Hotel Data'!I28)</f>
        <v>318</v>
      </c>
      <c r="J19" s="69">
        <v>1.0249999999999999</v>
      </c>
      <c r="K19" s="69">
        <v>85</v>
      </c>
      <c r="L19" s="69">
        <v>175</v>
      </c>
    </row>
    <row r="20" spans="1:12" s="70" customFormat="1">
      <c r="A20" s="70" t="s">
        <v>12</v>
      </c>
      <c r="B20" s="70">
        <f t="shared" si="0"/>
        <v>19</v>
      </c>
      <c r="C20" s="71">
        <v>7</v>
      </c>
      <c r="D20" s="69">
        <v>2022</v>
      </c>
      <c r="E20" s="112">
        <f>'Hotel Data'!X29</f>
        <v>18979</v>
      </c>
      <c r="F20" s="69">
        <v>0.51500000000000001</v>
      </c>
      <c r="G20" s="109">
        <f>INT('Hotel Data'!E29+'Hotel Data'!G29)</f>
        <v>101</v>
      </c>
      <c r="H20" s="69">
        <v>2.0699999999999998</v>
      </c>
      <c r="I20" s="69">
        <f>INT('Hotel Data'!I29)</f>
        <v>350</v>
      </c>
      <c r="J20" s="69">
        <v>1.0249999999999999</v>
      </c>
      <c r="K20" s="69">
        <v>91</v>
      </c>
      <c r="L20" s="69">
        <v>187</v>
      </c>
    </row>
    <row r="21" spans="1:12" s="70" customFormat="1">
      <c r="A21" s="70" t="s">
        <v>12</v>
      </c>
      <c r="B21" s="70">
        <f t="shared" si="0"/>
        <v>20</v>
      </c>
      <c r="C21" s="71">
        <v>7</v>
      </c>
      <c r="D21" s="69">
        <v>2022</v>
      </c>
      <c r="E21" s="112">
        <f>'Hotel Data'!X30</f>
        <v>18499</v>
      </c>
      <c r="F21" s="69">
        <v>0.51500000000000001</v>
      </c>
      <c r="G21" s="109">
        <f>INT('Hotel Data'!E30+'Hotel Data'!G30)</f>
        <v>170</v>
      </c>
      <c r="H21" s="69">
        <v>2.0699999999999998</v>
      </c>
      <c r="I21" s="69">
        <f>INT('Hotel Data'!I30)</f>
        <v>364</v>
      </c>
      <c r="J21" s="69">
        <v>1.0249999999999999</v>
      </c>
      <c r="K21" s="69">
        <v>93</v>
      </c>
      <c r="L21" s="69">
        <v>169</v>
      </c>
    </row>
    <row r="22" spans="1:12" s="70" customFormat="1">
      <c r="A22" s="70" t="s">
        <v>12</v>
      </c>
      <c r="B22" s="70">
        <f t="shared" si="0"/>
        <v>21</v>
      </c>
      <c r="C22" s="71">
        <v>7</v>
      </c>
      <c r="D22" s="69">
        <v>2022</v>
      </c>
      <c r="E22" s="112">
        <f>'Hotel Data'!X31</f>
        <v>18723</v>
      </c>
      <c r="F22" s="69">
        <v>0.51500000000000001</v>
      </c>
      <c r="G22" s="109">
        <f>INT('Hotel Data'!E31+'Hotel Data'!G31)</f>
        <v>207</v>
      </c>
      <c r="H22" s="69">
        <v>2.0699999999999998</v>
      </c>
      <c r="I22" s="69">
        <f>INT('Hotel Data'!I31)</f>
        <v>364</v>
      </c>
      <c r="J22" s="69">
        <v>1.0249999999999999</v>
      </c>
      <c r="K22" s="69">
        <v>78</v>
      </c>
      <c r="L22" s="69">
        <v>145</v>
      </c>
    </row>
    <row r="23" spans="1:12" s="70" customFormat="1">
      <c r="A23" s="70" t="s">
        <v>12</v>
      </c>
      <c r="B23" s="70">
        <f t="shared" si="0"/>
        <v>22</v>
      </c>
      <c r="C23" s="71">
        <v>7</v>
      </c>
      <c r="D23" s="69">
        <v>2022</v>
      </c>
      <c r="E23" s="112">
        <f>'Hotel Data'!X32</f>
        <v>18867</v>
      </c>
      <c r="F23" s="69">
        <v>0.51500000000000001</v>
      </c>
      <c r="G23" s="109">
        <f>INT('Hotel Data'!E32+'Hotel Data'!G32)</f>
        <v>195</v>
      </c>
      <c r="H23" s="69">
        <v>2.0699999999999998</v>
      </c>
      <c r="I23" s="69">
        <f>INT('Hotel Data'!I32)</f>
        <v>349</v>
      </c>
      <c r="J23" s="69">
        <v>1.0249999999999999</v>
      </c>
      <c r="K23" s="69">
        <v>83</v>
      </c>
      <c r="L23" s="69">
        <v>162</v>
      </c>
    </row>
    <row r="24" spans="1:12" s="70" customFormat="1">
      <c r="A24" s="70" t="s">
        <v>12</v>
      </c>
      <c r="B24" s="70">
        <f t="shared" si="0"/>
        <v>23</v>
      </c>
      <c r="C24" s="71">
        <v>7</v>
      </c>
      <c r="D24" s="69">
        <v>2022</v>
      </c>
      <c r="E24" s="112">
        <f>'Hotel Data'!X33</f>
        <v>19488</v>
      </c>
      <c r="F24" s="69">
        <v>0.51500000000000001</v>
      </c>
      <c r="G24" s="109">
        <f>INT('Hotel Data'!E33+'Hotel Data'!G33)</f>
        <v>200</v>
      </c>
      <c r="H24" s="69">
        <v>2.0699999999999998</v>
      </c>
      <c r="I24" s="69">
        <f>INT('Hotel Data'!I33)</f>
        <v>370</v>
      </c>
      <c r="J24" s="69">
        <v>1.0249999999999999</v>
      </c>
      <c r="K24" s="69">
        <v>98</v>
      </c>
      <c r="L24" s="69">
        <v>164</v>
      </c>
    </row>
    <row r="25" spans="1:12" s="70" customFormat="1">
      <c r="A25" s="70" t="s">
        <v>12</v>
      </c>
      <c r="B25" s="70">
        <f t="shared" si="0"/>
        <v>24</v>
      </c>
      <c r="C25" s="71">
        <v>7</v>
      </c>
      <c r="D25" s="69">
        <v>2022</v>
      </c>
      <c r="E25" s="112">
        <f>'Hotel Data'!X34</f>
        <v>19664</v>
      </c>
      <c r="F25" s="69">
        <v>0.51500000000000001</v>
      </c>
      <c r="G25" s="109">
        <f>INT('Hotel Data'!E34+'Hotel Data'!G34)</f>
        <v>195</v>
      </c>
      <c r="H25" s="69">
        <v>2.0699999999999998</v>
      </c>
      <c r="I25" s="69">
        <f>INT('Hotel Data'!I34)</f>
        <v>362</v>
      </c>
      <c r="J25" s="69">
        <v>1.0249999999999999</v>
      </c>
      <c r="K25" s="69">
        <v>83</v>
      </c>
      <c r="L25" s="69">
        <v>164</v>
      </c>
    </row>
    <row r="26" spans="1:12" s="70" customFormat="1">
      <c r="A26" s="70" t="s">
        <v>12</v>
      </c>
      <c r="B26" s="70">
        <f>B25+1</f>
        <v>25</v>
      </c>
      <c r="C26" s="71">
        <v>7</v>
      </c>
      <c r="D26" s="69">
        <v>2022</v>
      </c>
      <c r="E26" s="112">
        <f>'Hotel Data'!X35</f>
        <v>19329</v>
      </c>
      <c r="F26" s="69">
        <v>0.51500000000000001</v>
      </c>
      <c r="G26" s="109">
        <f>INT('Hotel Data'!E35+'Hotel Data'!G35)</f>
        <v>156</v>
      </c>
      <c r="H26" s="69">
        <v>2.0699999999999998</v>
      </c>
      <c r="I26" s="69">
        <f>INT('Hotel Data'!I35)</f>
        <v>362</v>
      </c>
      <c r="J26" s="69">
        <v>1.0249999999999999</v>
      </c>
      <c r="K26" s="69">
        <v>96</v>
      </c>
      <c r="L26" s="69">
        <v>158</v>
      </c>
    </row>
    <row r="27" spans="1:12" s="70" customFormat="1">
      <c r="A27" s="70" t="s">
        <v>12</v>
      </c>
      <c r="B27" s="70">
        <f t="shared" si="0"/>
        <v>26</v>
      </c>
      <c r="C27" s="71">
        <v>7</v>
      </c>
      <c r="D27" s="69">
        <v>2022</v>
      </c>
      <c r="E27" s="112">
        <f>'Hotel Data'!X36</f>
        <v>19287</v>
      </c>
      <c r="F27" s="69">
        <v>0.51500000000000001</v>
      </c>
      <c r="G27" s="109">
        <f>INT('Hotel Data'!E36+'Hotel Data'!G36)</f>
        <v>141</v>
      </c>
      <c r="H27" s="69">
        <v>2.0699999999999998</v>
      </c>
      <c r="I27" s="69">
        <f>INT('Hotel Data'!I36)</f>
        <v>364</v>
      </c>
      <c r="J27" s="69">
        <v>1.0249999999999999</v>
      </c>
      <c r="K27" s="69">
        <v>93</v>
      </c>
      <c r="L27" s="69">
        <v>163</v>
      </c>
    </row>
    <row r="28" spans="1:12" s="70" customFormat="1">
      <c r="A28" s="70" t="s">
        <v>12</v>
      </c>
      <c r="B28" s="70">
        <f t="shared" si="0"/>
        <v>27</v>
      </c>
      <c r="C28" s="71">
        <v>7</v>
      </c>
      <c r="D28" s="69">
        <v>2022</v>
      </c>
      <c r="E28" s="112">
        <f>'Hotel Data'!X37</f>
        <v>18162</v>
      </c>
      <c r="F28" s="69">
        <v>0.51500000000000001</v>
      </c>
      <c r="G28" s="109">
        <f>INT('Hotel Data'!E37+'Hotel Data'!G37)</f>
        <v>211</v>
      </c>
      <c r="H28" s="69">
        <v>2.0699999999999998</v>
      </c>
      <c r="I28" s="69">
        <f>INT('Hotel Data'!I37)</f>
        <v>348</v>
      </c>
      <c r="J28" s="69">
        <v>1.0249999999999999</v>
      </c>
      <c r="K28" s="69">
        <v>96</v>
      </c>
      <c r="L28" s="69">
        <v>159</v>
      </c>
    </row>
    <row r="29" spans="1:12" s="70" customFormat="1">
      <c r="A29" s="70" t="s">
        <v>12</v>
      </c>
      <c r="B29" s="70">
        <f t="shared" si="0"/>
        <v>28</v>
      </c>
      <c r="C29" s="71">
        <v>7</v>
      </c>
      <c r="D29" s="69">
        <v>2022</v>
      </c>
      <c r="E29" s="112">
        <f>'Hotel Data'!X38</f>
        <v>18511</v>
      </c>
      <c r="F29" s="69">
        <v>0.51500000000000001</v>
      </c>
      <c r="G29" s="109">
        <f>INT('Hotel Data'!E38+'Hotel Data'!G38)</f>
        <v>218</v>
      </c>
      <c r="H29" s="69">
        <v>2.0699999999999998</v>
      </c>
      <c r="I29" s="69">
        <f>INT('Hotel Data'!I38)</f>
        <v>357</v>
      </c>
      <c r="J29" s="69">
        <v>1.0249999999999999</v>
      </c>
      <c r="K29" s="69">
        <v>89</v>
      </c>
      <c r="L29" s="69">
        <v>158</v>
      </c>
    </row>
    <row r="30" spans="1:12" s="70" customFormat="1">
      <c r="A30" s="70" t="s">
        <v>12</v>
      </c>
      <c r="B30" s="70">
        <f t="shared" si="0"/>
        <v>29</v>
      </c>
      <c r="C30" s="71">
        <v>7</v>
      </c>
      <c r="D30" s="69">
        <v>2022</v>
      </c>
      <c r="E30" s="112">
        <f>'Hotel Data'!X39</f>
        <v>18080</v>
      </c>
      <c r="F30" s="69">
        <v>0.51500000000000001</v>
      </c>
      <c r="G30" s="109">
        <f>INT('Hotel Data'!E39+'Hotel Data'!G39)</f>
        <v>203</v>
      </c>
      <c r="H30" s="69">
        <v>2.0699999999999998</v>
      </c>
      <c r="I30" s="69">
        <f>INT('Hotel Data'!I39)</f>
        <v>332</v>
      </c>
      <c r="J30" s="69">
        <v>1.0249999999999999</v>
      </c>
      <c r="K30" s="69">
        <v>92</v>
      </c>
      <c r="L30" s="69">
        <v>170</v>
      </c>
    </row>
    <row r="31" spans="1:12" s="69" customFormat="1" ht="12.75">
      <c r="A31" s="69" t="s">
        <v>12</v>
      </c>
      <c r="B31" s="69">
        <f t="shared" si="0"/>
        <v>30</v>
      </c>
      <c r="C31" s="71">
        <v>7</v>
      </c>
      <c r="D31" s="69">
        <v>2022</v>
      </c>
      <c r="E31" s="112">
        <f>'Hotel Data'!X40</f>
        <v>17203</v>
      </c>
      <c r="F31" s="69">
        <v>0.51500000000000001</v>
      </c>
      <c r="G31" s="109">
        <f>INT('Hotel Data'!E40+'Hotel Data'!G40)</f>
        <v>215</v>
      </c>
      <c r="H31" s="69">
        <v>2.0699999999999998</v>
      </c>
      <c r="I31" s="69">
        <f>INT('Hotel Data'!I40)</f>
        <v>330</v>
      </c>
      <c r="J31" s="69">
        <v>1.0249999999999999</v>
      </c>
      <c r="K31" s="69">
        <v>100</v>
      </c>
      <c r="L31" s="69">
        <v>188</v>
      </c>
    </row>
    <row r="32" spans="1:12">
      <c r="A32" s="69" t="s">
        <v>12</v>
      </c>
      <c r="B32" s="69">
        <f t="shared" si="0"/>
        <v>31</v>
      </c>
      <c r="C32" s="71">
        <v>7</v>
      </c>
      <c r="D32" s="69">
        <v>2022</v>
      </c>
      <c r="E32" s="112">
        <f>'Hotel Data'!X41</f>
        <v>16886</v>
      </c>
      <c r="F32" s="69">
        <v>0.51500000000000001</v>
      </c>
      <c r="G32" s="109">
        <f>INT('Hotel Data'!E41+'Hotel Data'!G41)</f>
        <v>212</v>
      </c>
      <c r="H32" s="69">
        <v>2.0699999999999998</v>
      </c>
      <c r="I32" s="69">
        <f>INT('Hotel Data'!I41)</f>
        <v>286</v>
      </c>
      <c r="J32" s="69">
        <v>1.0249999999999999</v>
      </c>
      <c r="K32" s="69">
        <v>90</v>
      </c>
      <c r="L32" s="69">
        <v>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2"/>
  <sheetViews>
    <sheetView topLeftCell="D1" workbookViewId="0">
      <selection activeCell="D2" sqref="D2:D32"/>
    </sheetView>
  </sheetViews>
  <sheetFormatPr defaultColWidth="11.5703125" defaultRowHeight="15"/>
  <cols>
    <col min="4" max="4" width="13.42578125" customWidth="1"/>
    <col min="5" max="5" width="13" style="63" customWidth="1"/>
    <col min="6" max="6" width="12.5703125" customWidth="1"/>
    <col min="7" max="7" width="13" style="63" customWidth="1"/>
    <col min="12" max="12" width="11.5703125" style="63"/>
    <col min="15" max="15" width="14" customWidth="1"/>
  </cols>
  <sheetData>
    <row r="1" spans="1:16" s="67" customFormat="1" ht="45">
      <c r="A1" s="67" t="s">
        <v>0</v>
      </c>
      <c r="B1" s="67" t="s">
        <v>1</v>
      </c>
      <c r="C1" s="67" t="s">
        <v>2</v>
      </c>
      <c r="D1" s="67" t="s">
        <v>3</v>
      </c>
      <c r="E1" s="64" t="s">
        <v>13</v>
      </c>
      <c r="F1" s="64" t="s">
        <v>14</v>
      </c>
      <c r="G1" s="64" t="s">
        <v>15</v>
      </c>
      <c r="H1" s="65" t="s">
        <v>16</v>
      </c>
      <c r="I1" s="65" t="s">
        <v>17</v>
      </c>
      <c r="J1" s="65" t="s">
        <v>18</v>
      </c>
      <c r="K1" s="65" t="s">
        <v>19</v>
      </c>
      <c r="L1" s="64" t="s">
        <v>20</v>
      </c>
      <c r="M1" s="65" t="s">
        <v>21</v>
      </c>
      <c r="N1" s="65" t="s">
        <v>22</v>
      </c>
      <c r="O1" s="66" t="s">
        <v>23</v>
      </c>
      <c r="P1" s="66" t="s">
        <v>10</v>
      </c>
    </row>
    <row r="2" spans="1:16" s="69" customFormat="1">
      <c r="A2" s="69" t="s">
        <v>12</v>
      </c>
      <c r="B2" s="69">
        <v>1</v>
      </c>
      <c r="C2" s="71">
        <v>7</v>
      </c>
      <c r="D2" s="69">
        <v>2022</v>
      </c>
      <c r="E2" s="109">
        <f>'Hotel Data'!E11</f>
        <v>99</v>
      </c>
      <c r="F2" s="109">
        <f>'Hotel Data'!G11</f>
        <v>0</v>
      </c>
      <c r="G2" s="69">
        <f>'Hotel Data'!O11</f>
        <v>83</v>
      </c>
      <c r="H2" s="69">
        <f>'Hotel Data'!Q11</f>
        <v>34</v>
      </c>
      <c r="I2" s="69">
        <f>'Hotel Data'!S11</f>
        <v>0</v>
      </c>
      <c r="J2" s="69">
        <f>'Hotel Data'!U11</f>
        <v>61</v>
      </c>
      <c r="K2" s="72">
        <f>'Hotel Data'!AD11</f>
        <v>327</v>
      </c>
      <c r="L2" s="109">
        <f>'Hotel Data'!AG11</f>
        <v>1157</v>
      </c>
      <c r="M2" s="110">
        <f>'Hotel Data'!AJ11</f>
        <v>160</v>
      </c>
      <c r="N2" s="110">
        <f>'Hotel Data'!AN11</f>
        <v>501</v>
      </c>
      <c r="O2" s="69">
        <f>'Hotel Data'!AR11</f>
        <v>320</v>
      </c>
      <c r="P2" s="70">
        <f>TOTAL!K2</f>
        <v>98</v>
      </c>
    </row>
    <row r="3" spans="1:16" s="70" customFormat="1">
      <c r="A3" s="70" t="s">
        <v>12</v>
      </c>
      <c r="B3" s="70">
        <f>B2+1</f>
        <v>2</v>
      </c>
      <c r="C3" s="71">
        <v>7</v>
      </c>
      <c r="D3" s="69">
        <v>2022</v>
      </c>
      <c r="E3" s="109">
        <f>'Hotel Data'!E12</f>
        <v>97</v>
      </c>
      <c r="F3" s="109">
        <f>'Hotel Data'!G12</f>
        <v>1</v>
      </c>
      <c r="G3" s="69">
        <f>'Hotel Data'!O12</f>
        <v>92</v>
      </c>
      <c r="H3" s="69">
        <f>'Hotel Data'!Q12</f>
        <v>41</v>
      </c>
      <c r="I3" s="69">
        <f>'Hotel Data'!S12</f>
        <v>0</v>
      </c>
      <c r="J3" s="69">
        <f>'Hotel Data'!U12</f>
        <v>73</v>
      </c>
      <c r="K3" s="72">
        <f>'Hotel Data'!AD12</f>
        <v>345</v>
      </c>
      <c r="L3" s="109">
        <f>'Hotel Data'!AG12</f>
        <v>1185</v>
      </c>
      <c r="M3" s="110">
        <f>'Hotel Data'!AJ12</f>
        <v>144</v>
      </c>
      <c r="N3" s="110">
        <f>'Hotel Data'!AN12</f>
        <v>535</v>
      </c>
      <c r="O3" s="69">
        <f>'Hotel Data'!AR12</f>
        <v>288</v>
      </c>
      <c r="P3" s="70">
        <f>TOTAL!K3</f>
        <v>85</v>
      </c>
    </row>
    <row r="4" spans="1:16" s="70" customFormat="1">
      <c r="A4" s="70" t="s">
        <v>12</v>
      </c>
      <c r="B4" s="70">
        <f t="shared" ref="B4:B31" si="0">B3+1</f>
        <v>3</v>
      </c>
      <c r="C4" s="71">
        <v>7</v>
      </c>
      <c r="D4" s="69">
        <v>2022</v>
      </c>
      <c r="E4" s="109">
        <f>'Hotel Data'!E13</f>
        <v>88</v>
      </c>
      <c r="F4" s="109">
        <f>'Hotel Data'!G13</f>
        <v>0</v>
      </c>
      <c r="G4" s="69">
        <f>'Hotel Data'!O13</f>
        <v>74</v>
      </c>
      <c r="H4" s="69">
        <f>'Hotel Data'!Q13</f>
        <v>33</v>
      </c>
      <c r="I4" s="69">
        <f>'Hotel Data'!S13</f>
        <v>0</v>
      </c>
      <c r="J4" s="69">
        <f>'Hotel Data'!U13</f>
        <v>52</v>
      </c>
      <c r="K4" s="72">
        <f>'Hotel Data'!AD13</f>
        <v>333</v>
      </c>
      <c r="L4" s="109">
        <f>'Hotel Data'!AG13</f>
        <v>1053</v>
      </c>
      <c r="M4" s="110">
        <f>'Hotel Data'!AJ13</f>
        <v>160</v>
      </c>
      <c r="N4" s="110">
        <f>'Hotel Data'!AN13</f>
        <v>501</v>
      </c>
      <c r="O4" s="69">
        <f>'Hotel Data'!AR13</f>
        <v>312</v>
      </c>
      <c r="P4" s="70">
        <f>TOTAL!K4</f>
        <v>81</v>
      </c>
    </row>
    <row r="5" spans="1:16" s="70" customFormat="1">
      <c r="A5" s="70" t="s">
        <v>12</v>
      </c>
      <c r="B5" s="70">
        <f t="shared" si="0"/>
        <v>4</v>
      </c>
      <c r="C5" s="71">
        <v>7</v>
      </c>
      <c r="D5" s="69">
        <v>2022</v>
      </c>
      <c r="E5" s="109">
        <f>'Hotel Data'!E14</f>
        <v>99</v>
      </c>
      <c r="F5" s="109">
        <f>'Hotel Data'!G14</f>
        <v>0</v>
      </c>
      <c r="G5" s="69">
        <f>'Hotel Data'!O14</f>
        <v>94</v>
      </c>
      <c r="H5" s="69">
        <f>'Hotel Data'!Q14</f>
        <v>37</v>
      </c>
      <c r="I5" s="69">
        <f>'Hotel Data'!S14</f>
        <v>0</v>
      </c>
      <c r="J5" s="69">
        <f>'Hotel Data'!U14</f>
        <v>64</v>
      </c>
      <c r="K5" s="72">
        <f>'Hotel Data'!AD14</f>
        <v>334</v>
      </c>
      <c r="L5" s="109">
        <f>'Hotel Data'!AG14</f>
        <v>1078</v>
      </c>
      <c r="M5" s="110">
        <f>'Hotel Data'!AJ14</f>
        <v>144</v>
      </c>
      <c r="N5" s="110">
        <f>'Hotel Data'!AN14</f>
        <v>505</v>
      </c>
      <c r="O5" s="69">
        <f>'Hotel Data'!AR14</f>
        <v>288</v>
      </c>
      <c r="P5" s="70">
        <f>TOTAL!K5</f>
        <v>84</v>
      </c>
    </row>
    <row r="6" spans="1:16" s="70" customFormat="1">
      <c r="A6" s="70" t="s">
        <v>12</v>
      </c>
      <c r="B6" s="70">
        <f t="shared" si="0"/>
        <v>5</v>
      </c>
      <c r="C6" s="71">
        <v>7</v>
      </c>
      <c r="D6" s="69">
        <v>2022</v>
      </c>
      <c r="E6" s="109">
        <f>'Hotel Data'!E15</f>
        <v>161</v>
      </c>
      <c r="F6" s="109">
        <f>'Hotel Data'!G15</f>
        <v>0</v>
      </c>
      <c r="G6" s="69">
        <f>'Hotel Data'!O15</f>
        <v>101</v>
      </c>
      <c r="H6" s="69">
        <f>'Hotel Data'!Q15</f>
        <v>45</v>
      </c>
      <c r="I6" s="69">
        <f>'Hotel Data'!S15</f>
        <v>0</v>
      </c>
      <c r="J6" s="69">
        <f>'Hotel Data'!U15</f>
        <v>76</v>
      </c>
      <c r="K6" s="72">
        <f>'Hotel Data'!AD15</f>
        <v>339</v>
      </c>
      <c r="L6" s="109">
        <f>'Hotel Data'!AG15</f>
        <v>1187</v>
      </c>
      <c r="M6" s="110">
        <f>'Hotel Data'!AJ15</f>
        <v>152</v>
      </c>
      <c r="N6" s="110">
        <f>'Hotel Data'!AN15</f>
        <v>515</v>
      </c>
      <c r="O6" s="69">
        <f>'Hotel Data'!AR15</f>
        <v>248</v>
      </c>
      <c r="P6" s="70">
        <f>TOTAL!K6</f>
        <v>82</v>
      </c>
    </row>
    <row r="7" spans="1:16" s="70" customFormat="1">
      <c r="A7" s="70" t="s">
        <v>12</v>
      </c>
      <c r="B7" s="70">
        <f t="shared" si="0"/>
        <v>6</v>
      </c>
      <c r="C7" s="71">
        <v>7</v>
      </c>
      <c r="D7" s="69">
        <v>2022</v>
      </c>
      <c r="E7" s="109">
        <f>'Hotel Data'!E16</f>
        <v>90</v>
      </c>
      <c r="F7" s="109">
        <f>'Hotel Data'!G16</f>
        <v>0</v>
      </c>
      <c r="G7" s="69">
        <f>'Hotel Data'!O16</f>
        <v>86</v>
      </c>
      <c r="H7" s="69">
        <f>'Hotel Data'!Q16</f>
        <v>39</v>
      </c>
      <c r="I7" s="69">
        <f>'Hotel Data'!S16</f>
        <v>0</v>
      </c>
      <c r="J7" s="69">
        <f>'Hotel Data'!U16</f>
        <v>67</v>
      </c>
      <c r="K7" s="72">
        <f>'Hotel Data'!AD16</f>
        <v>367</v>
      </c>
      <c r="L7" s="109">
        <f>'Hotel Data'!AG16</f>
        <v>1215</v>
      </c>
      <c r="M7" s="110">
        <f>'Hotel Data'!AJ16</f>
        <v>168</v>
      </c>
      <c r="N7" s="110">
        <f>'Hotel Data'!AN16</f>
        <v>496</v>
      </c>
      <c r="O7" s="69">
        <f>'Hotel Data'!AR16</f>
        <v>272</v>
      </c>
      <c r="P7" s="70">
        <f>TOTAL!K7</f>
        <v>89</v>
      </c>
    </row>
    <row r="8" spans="1:16" s="70" customFormat="1">
      <c r="A8" s="70" t="s">
        <v>12</v>
      </c>
      <c r="B8" s="70">
        <f t="shared" si="0"/>
        <v>7</v>
      </c>
      <c r="C8" s="71">
        <v>7</v>
      </c>
      <c r="D8" s="69">
        <v>2022</v>
      </c>
      <c r="E8" s="109">
        <f>'Hotel Data'!E17</f>
        <v>155</v>
      </c>
      <c r="F8" s="109">
        <f>'Hotel Data'!G17</f>
        <v>1</v>
      </c>
      <c r="G8" s="69">
        <f>'Hotel Data'!O17</f>
        <v>86</v>
      </c>
      <c r="H8" s="69">
        <f>'Hotel Data'!Q17</f>
        <v>38</v>
      </c>
      <c r="I8" s="69">
        <f>'Hotel Data'!S17</f>
        <v>0</v>
      </c>
      <c r="J8" s="69">
        <f>'Hotel Data'!U17</f>
        <v>67</v>
      </c>
      <c r="K8" s="72">
        <f>'Hotel Data'!AD17</f>
        <v>345</v>
      </c>
      <c r="L8" s="109">
        <f>'Hotel Data'!AG17</f>
        <v>1160</v>
      </c>
      <c r="M8" s="110">
        <f>'Hotel Data'!AJ17</f>
        <v>168</v>
      </c>
      <c r="N8" s="110">
        <f>'Hotel Data'!AN17</f>
        <v>476</v>
      </c>
      <c r="O8" s="69">
        <f>'Hotel Data'!AR17</f>
        <v>296</v>
      </c>
      <c r="P8" s="70">
        <f>TOTAL!K8</f>
        <v>96</v>
      </c>
    </row>
    <row r="9" spans="1:16" s="70" customFormat="1">
      <c r="A9" s="70" t="s">
        <v>12</v>
      </c>
      <c r="B9" s="70">
        <f t="shared" si="0"/>
        <v>8</v>
      </c>
      <c r="C9" s="71">
        <v>7</v>
      </c>
      <c r="D9" s="69">
        <v>2022</v>
      </c>
      <c r="E9" s="109">
        <f>'Hotel Data'!E18</f>
        <v>194</v>
      </c>
      <c r="F9" s="109">
        <f>'Hotel Data'!G18</f>
        <v>1</v>
      </c>
      <c r="G9" s="69">
        <f>'Hotel Data'!O18</f>
        <v>75</v>
      </c>
      <c r="H9" s="69">
        <f>'Hotel Data'!Q18</f>
        <v>40</v>
      </c>
      <c r="I9" s="69">
        <f>'Hotel Data'!S18</f>
        <v>0</v>
      </c>
      <c r="J9" s="69">
        <f>'Hotel Data'!U18</f>
        <v>67</v>
      </c>
      <c r="K9" s="72">
        <f>'Hotel Data'!AD18</f>
        <v>359</v>
      </c>
      <c r="L9" s="109">
        <f>'Hotel Data'!AG18</f>
        <v>1104</v>
      </c>
      <c r="M9" s="110">
        <f>'Hotel Data'!AJ18</f>
        <v>176</v>
      </c>
      <c r="N9" s="110">
        <f>'Hotel Data'!AN18</f>
        <v>475</v>
      </c>
      <c r="O9" s="69">
        <f>'Hotel Data'!AR18</f>
        <v>272</v>
      </c>
      <c r="P9" s="70">
        <f>TOTAL!K9</f>
        <v>92</v>
      </c>
    </row>
    <row r="10" spans="1:16" s="70" customFormat="1">
      <c r="A10" s="70" t="s">
        <v>12</v>
      </c>
      <c r="B10" s="70">
        <f t="shared" si="0"/>
        <v>9</v>
      </c>
      <c r="C10" s="71">
        <v>7</v>
      </c>
      <c r="D10" s="69">
        <v>2022</v>
      </c>
      <c r="E10" s="109">
        <f>'Hotel Data'!E19</f>
        <v>208</v>
      </c>
      <c r="F10" s="109">
        <f>'Hotel Data'!G19</f>
        <v>0</v>
      </c>
      <c r="G10" s="69">
        <f>'Hotel Data'!O19</f>
        <v>75</v>
      </c>
      <c r="H10" s="69">
        <f>'Hotel Data'!Q19</f>
        <v>37</v>
      </c>
      <c r="I10" s="69">
        <f>'Hotel Data'!S19</f>
        <v>0</v>
      </c>
      <c r="J10" s="69">
        <f>'Hotel Data'!U19</f>
        <v>68</v>
      </c>
      <c r="K10" s="72">
        <f>'Hotel Data'!AD19</f>
        <v>346</v>
      </c>
      <c r="L10" s="109">
        <f>'Hotel Data'!AG19</f>
        <v>1151</v>
      </c>
      <c r="M10" s="110">
        <f>'Hotel Data'!AJ19</f>
        <v>144</v>
      </c>
      <c r="N10" s="110">
        <f>'Hotel Data'!AN19</f>
        <v>505</v>
      </c>
      <c r="O10" s="69">
        <f>'Hotel Data'!AR19</f>
        <v>296</v>
      </c>
      <c r="P10" s="70">
        <f>TOTAL!K10</f>
        <v>91</v>
      </c>
    </row>
    <row r="11" spans="1:16" s="70" customFormat="1">
      <c r="A11" s="70" t="s">
        <v>12</v>
      </c>
      <c r="B11" s="70">
        <f t="shared" si="0"/>
        <v>10</v>
      </c>
      <c r="C11" s="71">
        <v>7</v>
      </c>
      <c r="D11" s="69">
        <v>2022</v>
      </c>
      <c r="E11" s="109">
        <f>'Hotel Data'!E20</f>
        <v>214</v>
      </c>
      <c r="F11" s="109">
        <f>'Hotel Data'!G20</f>
        <v>0</v>
      </c>
      <c r="G11" s="69">
        <f>'Hotel Data'!O20</f>
        <v>76</v>
      </c>
      <c r="H11" s="69">
        <f>'Hotel Data'!Q20</f>
        <v>33</v>
      </c>
      <c r="I11" s="69">
        <f>'Hotel Data'!S20</f>
        <v>0</v>
      </c>
      <c r="J11" s="69">
        <f>'Hotel Data'!U20</f>
        <v>59</v>
      </c>
      <c r="K11" s="72">
        <f>'Hotel Data'!AD20</f>
        <v>364</v>
      </c>
      <c r="L11" s="109">
        <f>'Hotel Data'!AG20</f>
        <v>1156</v>
      </c>
      <c r="M11" s="110">
        <f>'Hotel Data'!AJ20</f>
        <v>160</v>
      </c>
      <c r="N11" s="110">
        <f>'Hotel Data'!AN20</f>
        <v>508</v>
      </c>
      <c r="O11" s="69">
        <f>'Hotel Data'!AR20</f>
        <v>336</v>
      </c>
      <c r="P11" s="70">
        <f>TOTAL!K11</f>
        <v>91</v>
      </c>
    </row>
    <row r="12" spans="1:16" s="70" customFormat="1">
      <c r="A12" s="70" t="s">
        <v>12</v>
      </c>
      <c r="B12" s="70">
        <f t="shared" si="0"/>
        <v>11</v>
      </c>
      <c r="C12" s="71">
        <v>7</v>
      </c>
      <c r="D12" s="69">
        <v>2022</v>
      </c>
      <c r="E12" s="109">
        <f>'Hotel Data'!E21</f>
        <v>170</v>
      </c>
      <c r="F12" s="109">
        <f>'Hotel Data'!G21</f>
        <v>0</v>
      </c>
      <c r="G12" s="69">
        <f>'Hotel Data'!O21</f>
        <v>77</v>
      </c>
      <c r="H12" s="69">
        <f>'Hotel Data'!Q21</f>
        <v>38</v>
      </c>
      <c r="I12" s="69">
        <f>'Hotel Data'!S21</f>
        <v>0</v>
      </c>
      <c r="J12" s="69">
        <f>'Hotel Data'!U21</f>
        <v>59</v>
      </c>
      <c r="K12" s="72">
        <f>'Hotel Data'!AD21</f>
        <v>356</v>
      </c>
      <c r="L12" s="109">
        <f>'Hotel Data'!AG21</f>
        <v>1180</v>
      </c>
      <c r="M12" s="110">
        <f>'Hotel Data'!AJ21</f>
        <v>168</v>
      </c>
      <c r="N12" s="110">
        <f>'Hotel Data'!AN21</f>
        <v>499</v>
      </c>
      <c r="O12" s="69">
        <f>'Hotel Data'!AR21</f>
        <v>320</v>
      </c>
      <c r="P12" s="70">
        <f>TOTAL!K12</f>
        <v>94</v>
      </c>
    </row>
    <row r="13" spans="1:16" s="70" customFormat="1">
      <c r="A13" s="70" t="s">
        <v>12</v>
      </c>
      <c r="B13" s="70">
        <f t="shared" si="0"/>
        <v>12</v>
      </c>
      <c r="C13" s="71">
        <v>7</v>
      </c>
      <c r="D13" s="69">
        <v>2022</v>
      </c>
      <c r="E13" s="109">
        <f>'Hotel Data'!E22</f>
        <v>98</v>
      </c>
      <c r="F13" s="109">
        <f>'Hotel Data'!G22</f>
        <v>2</v>
      </c>
      <c r="G13" s="69">
        <f>'Hotel Data'!O22</f>
        <v>80</v>
      </c>
      <c r="H13" s="69">
        <f>'Hotel Data'!Q22</f>
        <v>30</v>
      </c>
      <c r="I13" s="69">
        <f>'Hotel Data'!S22</f>
        <v>0</v>
      </c>
      <c r="J13" s="69">
        <f>'Hotel Data'!U22</f>
        <v>56</v>
      </c>
      <c r="K13" s="72">
        <f>'Hotel Data'!AD22</f>
        <v>345</v>
      </c>
      <c r="L13" s="109">
        <f>'Hotel Data'!AG22</f>
        <v>1197</v>
      </c>
      <c r="M13" s="110">
        <f>'Hotel Data'!AJ22</f>
        <v>200</v>
      </c>
      <c r="N13" s="110">
        <f>'Hotel Data'!AN22</f>
        <v>472</v>
      </c>
      <c r="O13" s="69">
        <f>'Hotel Data'!AR22</f>
        <v>296</v>
      </c>
      <c r="P13" s="70">
        <f>TOTAL!K13</f>
        <v>96</v>
      </c>
    </row>
    <row r="14" spans="1:16" s="70" customFormat="1">
      <c r="A14" s="70" t="s">
        <v>12</v>
      </c>
      <c r="B14" s="70">
        <f t="shared" si="0"/>
        <v>13</v>
      </c>
      <c r="C14" s="71">
        <v>7</v>
      </c>
      <c r="D14" s="69">
        <v>2022</v>
      </c>
      <c r="E14" s="109">
        <f>'Hotel Data'!E23</f>
        <v>100</v>
      </c>
      <c r="F14" s="109">
        <f>'Hotel Data'!G23</f>
        <v>0</v>
      </c>
      <c r="G14" s="69">
        <f>'Hotel Data'!O23</f>
        <v>80</v>
      </c>
      <c r="H14" s="69">
        <f>'Hotel Data'!Q23</f>
        <v>36</v>
      </c>
      <c r="I14" s="69">
        <f>'Hotel Data'!S23</f>
        <v>0</v>
      </c>
      <c r="J14" s="69">
        <f>'Hotel Data'!U23</f>
        <v>74</v>
      </c>
      <c r="K14" s="72">
        <f>'Hotel Data'!AD23</f>
        <v>332</v>
      </c>
      <c r="L14" s="109">
        <f>'Hotel Data'!AG23</f>
        <v>1206</v>
      </c>
      <c r="M14" s="110">
        <f>'Hotel Data'!AJ23</f>
        <v>144</v>
      </c>
      <c r="N14" s="110">
        <f>'Hotel Data'!AN23</f>
        <v>474</v>
      </c>
      <c r="O14" s="69">
        <f>'Hotel Data'!AR23</f>
        <v>208</v>
      </c>
      <c r="P14" s="70">
        <f>TOTAL!K14</f>
        <v>89</v>
      </c>
    </row>
    <row r="15" spans="1:16" s="70" customFormat="1">
      <c r="A15" s="70" t="s">
        <v>12</v>
      </c>
      <c r="B15" s="70">
        <f t="shared" si="0"/>
        <v>14</v>
      </c>
      <c r="C15" s="71">
        <v>7</v>
      </c>
      <c r="D15" s="69">
        <v>2022</v>
      </c>
      <c r="E15" s="109">
        <f>'Hotel Data'!E24</f>
        <v>97</v>
      </c>
      <c r="F15" s="109">
        <f>'Hotel Data'!G24</f>
        <v>0</v>
      </c>
      <c r="G15" s="69">
        <f>'Hotel Data'!O24</f>
        <v>90</v>
      </c>
      <c r="H15" s="69">
        <f>'Hotel Data'!Q24</f>
        <v>35</v>
      </c>
      <c r="I15" s="69">
        <f>'Hotel Data'!S24</f>
        <v>0</v>
      </c>
      <c r="J15" s="69">
        <f>'Hotel Data'!U24</f>
        <v>63</v>
      </c>
      <c r="K15" s="72">
        <f>'Hotel Data'!AD24</f>
        <v>367</v>
      </c>
      <c r="L15" s="109">
        <f>'Hotel Data'!AG24</f>
        <v>1201</v>
      </c>
      <c r="M15" s="110">
        <f>'Hotel Data'!AJ24</f>
        <v>152</v>
      </c>
      <c r="N15" s="110">
        <f>'Hotel Data'!AN24</f>
        <v>478</v>
      </c>
      <c r="O15" s="69">
        <f>'Hotel Data'!AR24</f>
        <v>304</v>
      </c>
      <c r="P15" s="70">
        <f>TOTAL!K15</f>
        <v>82</v>
      </c>
    </row>
    <row r="16" spans="1:16" s="70" customFormat="1">
      <c r="A16" s="70" t="s">
        <v>12</v>
      </c>
      <c r="B16" s="70">
        <f t="shared" si="0"/>
        <v>15</v>
      </c>
      <c r="C16" s="71">
        <v>7</v>
      </c>
      <c r="D16" s="69">
        <v>2022</v>
      </c>
      <c r="E16" s="109">
        <f>'Hotel Data'!E25</f>
        <v>96</v>
      </c>
      <c r="F16" s="109">
        <f>'Hotel Data'!G25</f>
        <v>0</v>
      </c>
      <c r="G16" s="69">
        <f>'Hotel Data'!O25</f>
        <v>91</v>
      </c>
      <c r="H16" s="69">
        <f>'Hotel Data'!Q25</f>
        <v>35</v>
      </c>
      <c r="I16" s="69">
        <f>'Hotel Data'!S25</f>
        <v>0</v>
      </c>
      <c r="J16" s="69">
        <f>'Hotel Data'!U25</f>
        <v>67</v>
      </c>
      <c r="K16" s="72">
        <f>'Hotel Data'!AD25</f>
        <v>355</v>
      </c>
      <c r="L16" s="109">
        <f>'Hotel Data'!AG25</f>
        <v>1144</v>
      </c>
      <c r="M16" s="110">
        <f>'Hotel Data'!AJ25</f>
        <v>152</v>
      </c>
      <c r="N16" s="110">
        <f>'Hotel Data'!AN25</f>
        <v>452</v>
      </c>
      <c r="O16" s="69">
        <f>'Hotel Data'!AR25</f>
        <v>296</v>
      </c>
      <c r="P16" s="70">
        <f>TOTAL!K16</f>
        <v>93</v>
      </c>
    </row>
    <row r="17" spans="1:16" s="70" customFormat="1">
      <c r="A17" s="70" t="s">
        <v>12</v>
      </c>
      <c r="B17" s="70">
        <f t="shared" si="0"/>
        <v>16</v>
      </c>
      <c r="C17" s="71">
        <v>7</v>
      </c>
      <c r="D17" s="69">
        <v>2022</v>
      </c>
      <c r="E17" s="109">
        <f>'Hotel Data'!E26</f>
        <v>100</v>
      </c>
      <c r="F17" s="109">
        <f>'Hotel Data'!G26</f>
        <v>2</v>
      </c>
      <c r="G17" s="69">
        <f>'Hotel Data'!O26</f>
        <v>90</v>
      </c>
      <c r="H17" s="69">
        <f>'Hotel Data'!Q26</f>
        <v>38</v>
      </c>
      <c r="I17" s="69">
        <f>'Hotel Data'!S26</f>
        <v>0</v>
      </c>
      <c r="J17" s="69">
        <f>'Hotel Data'!U26</f>
        <v>68</v>
      </c>
      <c r="K17" s="72">
        <f>'Hotel Data'!AD26</f>
        <v>366</v>
      </c>
      <c r="L17" s="109">
        <f>'Hotel Data'!AG26</f>
        <v>1222</v>
      </c>
      <c r="M17" s="110">
        <f>'Hotel Data'!AJ26</f>
        <v>192</v>
      </c>
      <c r="N17" s="110">
        <f>'Hotel Data'!AN26</f>
        <v>439</v>
      </c>
      <c r="O17" s="69">
        <f>'Hotel Data'!AR26</f>
        <v>288</v>
      </c>
      <c r="P17" s="70">
        <f>TOTAL!K17</f>
        <v>79</v>
      </c>
    </row>
    <row r="18" spans="1:16" s="70" customFormat="1">
      <c r="A18" s="70" t="s">
        <v>12</v>
      </c>
      <c r="B18" s="70">
        <f t="shared" si="0"/>
        <v>17</v>
      </c>
      <c r="C18" s="71">
        <v>7</v>
      </c>
      <c r="D18" s="69">
        <v>2022</v>
      </c>
      <c r="E18" s="109">
        <f>'Hotel Data'!E27</f>
        <v>126</v>
      </c>
      <c r="F18" s="109">
        <f>'Hotel Data'!G27</f>
        <v>0</v>
      </c>
      <c r="G18" s="69">
        <f>'Hotel Data'!O27</f>
        <v>92</v>
      </c>
      <c r="H18" s="69">
        <f>'Hotel Data'!Q27</f>
        <v>38</v>
      </c>
      <c r="I18" s="69">
        <f>'Hotel Data'!S27</f>
        <v>0</v>
      </c>
      <c r="J18" s="69">
        <f>'Hotel Data'!U27</f>
        <v>68</v>
      </c>
      <c r="K18" s="72">
        <f>'Hotel Data'!AD27</f>
        <v>362</v>
      </c>
      <c r="L18" s="109">
        <f>'Hotel Data'!AG27</f>
        <v>1137</v>
      </c>
      <c r="M18" s="110">
        <f>'Hotel Data'!AJ27</f>
        <v>192</v>
      </c>
      <c r="N18" s="110">
        <f>'Hotel Data'!AN27</f>
        <v>478</v>
      </c>
      <c r="O18" s="69">
        <f>'Hotel Data'!AR27</f>
        <v>368</v>
      </c>
      <c r="P18" s="70">
        <f>TOTAL!K18</f>
        <v>95</v>
      </c>
    </row>
    <row r="19" spans="1:16" s="70" customFormat="1">
      <c r="A19" s="70" t="s">
        <v>12</v>
      </c>
      <c r="B19" s="70">
        <f t="shared" si="0"/>
        <v>18</v>
      </c>
      <c r="C19" s="71">
        <v>7</v>
      </c>
      <c r="D19" s="69">
        <v>2022</v>
      </c>
      <c r="E19" s="109">
        <f>'Hotel Data'!E28</f>
        <v>168</v>
      </c>
      <c r="F19" s="109">
        <f>'Hotel Data'!G28</f>
        <v>0</v>
      </c>
      <c r="G19" s="69">
        <f>'Hotel Data'!O28</f>
        <v>97</v>
      </c>
      <c r="H19" s="69">
        <f>'Hotel Data'!Q28</f>
        <v>40</v>
      </c>
      <c r="I19" s="69">
        <f>'Hotel Data'!S28</f>
        <v>0</v>
      </c>
      <c r="J19" s="69">
        <f>'Hotel Data'!U28</f>
        <v>73</v>
      </c>
      <c r="K19" s="72">
        <f>'Hotel Data'!AD28</f>
        <v>354</v>
      </c>
      <c r="L19" s="109">
        <f>'Hotel Data'!AG28</f>
        <v>1101</v>
      </c>
      <c r="M19" s="110">
        <f>'Hotel Data'!AJ28</f>
        <v>184</v>
      </c>
      <c r="N19" s="110">
        <f>'Hotel Data'!AN28</f>
        <v>486</v>
      </c>
      <c r="O19" s="69">
        <f>'Hotel Data'!AR28</f>
        <v>312</v>
      </c>
      <c r="P19" s="70">
        <f>TOTAL!K19</f>
        <v>85</v>
      </c>
    </row>
    <row r="20" spans="1:16" s="70" customFormat="1">
      <c r="A20" s="70" t="s">
        <v>12</v>
      </c>
      <c r="B20" s="70">
        <f t="shared" si="0"/>
        <v>19</v>
      </c>
      <c r="C20" s="71">
        <v>7</v>
      </c>
      <c r="D20" s="69">
        <v>2022</v>
      </c>
      <c r="E20" s="109">
        <f>'Hotel Data'!E29</f>
        <v>100</v>
      </c>
      <c r="F20" s="109">
        <f>'Hotel Data'!G29</f>
        <v>1</v>
      </c>
      <c r="G20" s="69">
        <f>'Hotel Data'!O29</f>
        <v>91</v>
      </c>
      <c r="H20" s="69">
        <f>'Hotel Data'!Q29</f>
        <v>97</v>
      </c>
      <c r="I20" s="69">
        <f>'Hotel Data'!S29</f>
        <v>0</v>
      </c>
      <c r="J20" s="69">
        <f>'Hotel Data'!U29</f>
        <v>121</v>
      </c>
      <c r="K20" s="72">
        <f>'Hotel Data'!AD29</f>
        <v>368</v>
      </c>
      <c r="L20" s="109">
        <f>'Hotel Data'!AG29</f>
        <v>1288</v>
      </c>
      <c r="M20" s="110">
        <f>'Hotel Data'!AJ29</f>
        <v>176</v>
      </c>
      <c r="N20" s="110">
        <f>'Hotel Data'!AN29</f>
        <v>456</v>
      </c>
      <c r="O20" s="69">
        <f>'Hotel Data'!AR29</f>
        <v>280</v>
      </c>
      <c r="P20" s="70">
        <f>TOTAL!K20</f>
        <v>91</v>
      </c>
    </row>
    <row r="21" spans="1:16" s="70" customFormat="1">
      <c r="A21" s="70" t="s">
        <v>12</v>
      </c>
      <c r="B21" s="70">
        <f t="shared" si="0"/>
        <v>20</v>
      </c>
      <c r="C21" s="71">
        <v>7</v>
      </c>
      <c r="D21" s="69">
        <v>2022</v>
      </c>
      <c r="E21" s="109">
        <f>'Hotel Data'!E30</f>
        <v>170</v>
      </c>
      <c r="F21" s="109">
        <f>'Hotel Data'!G30</f>
        <v>0</v>
      </c>
      <c r="G21" s="69">
        <f>'Hotel Data'!O30</f>
        <v>91</v>
      </c>
      <c r="H21" s="69">
        <f>'Hotel Data'!Q30</f>
        <v>98</v>
      </c>
      <c r="I21" s="69">
        <f>'Hotel Data'!S30</f>
        <v>0</v>
      </c>
      <c r="J21" s="69">
        <f>'Hotel Data'!U30</f>
        <v>130</v>
      </c>
      <c r="K21" s="72">
        <f>'Hotel Data'!AD30</f>
        <v>354</v>
      </c>
      <c r="L21" s="109">
        <f>'Hotel Data'!AG30</f>
        <v>1246</v>
      </c>
      <c r="M21" s="110">
        <f>'Hotel Data'!AJ30</f>
        <v>168</v>
      </c>
      <c r="N21" s="110">
        <f>'Hotel Data'!AN30</f>
        <v>472</v>
      </c>
      <c r="O21" s="69">
        <f>'Hotel Data'!AR30</f>
        <v>296</v>
      </c>
      <c r="P21" s="70">
        <f>TOTAL!K21</f>
        <v>93</v>
      </c>
    </row>
    <row r="22" spans="1:16" s="70" customFormat="1">
      <c r="A22" s="70" t="s">
        <v>12</v>
      </c>
      <c r="B22" s="70">
        <f t="shared" si="0"/>
        <v>21</v>
      </c>
      <c r="C22" s="71">
        <v>7</v>
      </c>
      <c r="D22" s="69">
        <v>2022</v>
      </c>
      <c r="E22" s="109">
        <f>'Hotel Data'!E31</f>
        <v>207</v>
      </c>
      <c r="F22" s="109">
        <f>'Hotel Data'!G31</f>
        <v>0</v>
      </c>
      <c r="G22" s="69">
        <f>'Hotel Data'!O31</f>
        <v>96</v>
      </c>
      <c r="H22" s="69">
        <f>'Hotel Data'!Q31</f>
        <v>100</v>
      </c>
      <c r="I22" s="69">
        <f>'Hotel Data'!S31</f>
        <v>0</v>
      </c>
      <c r="J22" s="69">
        <f>'Hotel Data'!U31</f>
        <v>129</v>
      </c>
      <c r="K22" s="72">
        <f>'Hotel Data'!AD31</f>
        <v>354</v>
      </c>
      <c r="L22" s="109">
        <f>'Hotel Data'!AG31</f>
        <v>1124</v>
      </c>
      <c r="M22" s="110">
        <f>'Hotel Data'!AJ31</f>
        <v>184</v>
      </c>
      <c r="N22" s="110">
        <f>'Hotel Data'!AN31</f>
        <v>478</v>
      </c>
      <c r="O22" s="69">
        <f>'Hotel Data'!AR31</f>
        <v>296</v>
      </c>
      <c r="P22" s="70">
        <f>TOTAL!K22</f>
        <v>78</v>
      </c>
    </row>
    <row r="23" spans="1:16" s="70" customFormat="1">
      <c r="A23" s="70" t="s">
        <v>12</v>
      </c>
      <c r="B23" s="70">
        <f t="shared" si="0"/>
        <v>22</v>
      </c>
      <c r="C23" s="71">
        <v>7</v>
      </c>
      <c r="D23" s="69">
        <v>2022</v>
      </c>
      <c r="E23" s="109">
        <f>'Hotel Data'!E32</f>
        <v>195</v>
      </c>
      <c r="F23" s="109">
        <f>'Hotel Data'!G32</f>
        <v>0</v>
      </c>
      <c r="G23" s="69">
        <f>'Hotel Data'!O32</f>
        <v>100</v>
      </c>
      <c r="H23" s="69">
        <f>'Hotel Data'!Q32</f>
        <v>98</v>
      </c>
      <c r="I23" s="69">
        <f>'Hotel Data'!S32</f>
        <v>0</v>
      </c>
      <c r="J23" s="69">
        <f>'Hotel Data'!U32</f>
        <v>120</v>
      </c>
      <c r="K23" s="72">
        <f>'Hotel Data'!AD32</f>
        <v>362</v>
      </c>
      <c r="L23" s="109">
        <f>'Hotel Data'!AG32</f>
        <v>1097</v>
      </c>
      <c r="M23" s="110">
        <f>'Hotel Data'!AJ32</f>
        <v>160</v>
      </c>
      <c r="N23" s="110">
        <f>'Hotel Data'!AN32</f>
        <v>484</v>
      </c>
      <c r="O23" s="69">
        <f>'Hotel Data'!AR32</f>
        <v>264</v>
      </c>
      <c r="P23" s="70">
        <f>TOTAL!K23</f>
        <v>83</v>
      </c>
    </row>
    <row r="24" spans="1:16" s="70" customFormat="1">
      <c r="A24" s="70" t="s">
        <v>12</v>
      </c>
      <c r="B24" s="70">
        <f t="shared" si="0"/>
        <v>23</v>
      </c>
      <c r="C24" s="71">
        <v>7</v>
      </c>
      <c r="D24" s="69">
        <v>2022</v>
      </c>
      <c r="E24" s="109">
        <f>'Hotel Data'!E33</f>
        <v>200</v>
      </c>
      <c r="F24" s="109">
        <f>'Hotel Data'!G33</f>
        <v>0</v>
      </c>
      <c r="G24" s="69">
        <f>'Hotel Data'!O33</f>
        <v>103</v>
      </c>
      <c r="H24" s="69">
        <f>'Hotel Data'!Q33</f>
        <v>102</v>
      </c>
      <c r="I24" s="69">
        <f>'Hotel Data'!S33</f>
        <v>0</v>
      </c>
      <c r="J24" s="69">
        <f>'Hotel Data'!U33</f>
        <v>129</v>
      </c>
      <c r="K24" s="72">
        <f>'Hotel Data'!AD33</f>
        <v>341</v>
      </c>
      <c r="L24" s="109">
        <f>'Hotel Data'!AG33</f>
        <v>1114</v>
      </c>
      <c r="M24" s="110">
        <f>'Hotel Data'!AJ33</f>
        <v>184</v>
      </c>
      <c r="N24" s="110">
        <f>'Hotel Data'!AN33</f>
        <v>505</v>
      </c>
      <c r="O24" s="69">
        <f>'Hotel Data'!AR33</f>
        <v>288</v>
      </c>
      <c r="P24" s="70">
        <f>TOTAL!K24</f>
        <v>98</v>
      </c>
    </row>
    <row r="25" spans="1:16" s="70" customFormat="1">
      <c r="A25" s="70" t="s">
        <v>12</v>
      </c>
      <c r="B25" s="70">
        <f t="shared" si="0"/>
        <v>24</v>
      </c>
      <c r="C25" s="71">
        <v>7</v>
      </c>
      <c r="D25" s="69">
        <v>2022</v>
      </c>
      <c r="E25" s="109">
        <f>'Hotel Data'!E34</f>
        <v>195</v>
      </c>
      <c r="F25" s="109">
        <f>'Hotel Data'!G34</f>
        <v>0</v>
      </c>
      <c r="G25" s="69">
        <f>'Hotel Data'!O34</f>
        <v>97</v>
      </c>
      <c r="H25" s="69">
        <f>'Hotel Data'!Q34</f>
        <v>98</v>
      </c>
      <c r="I25" s="69">
        <f>'Hotel Data'!S34</f>
        <v>0</v>
      </c>
      <c r="J25" s="69">
        <f>'Hotel Data'!U34</f>
        <v>128</v>
      </c>
      <c r="K25" s="72">
        <f>'Hotel Data'!AD34</f>
        <v>348</v>
      </c>
      <c r="L25" s="109">
        <f>'Hotel Data'!AG34</f>
        <v>1207</v>
      </c>
      <c r="M25" s="110">
        <f>'Hotel Data'!AJ34</f>
        <v>192</v>
      </c>
      <c r="N25" s="110">
        <f>'Hotel Data'!AN34</f>
        <v>485</v>
      </c>
      <c r="O25" s="69">
        <f>'Hotel Data'!AR34</f>
        <v>288</v>
      </c>
      <c r="P25" s="70">
        <f>TOTAL!K25</f>
        <v>83</v>
      </c>
    </row>
    <row r="26" spans="1:16" s="70" customFormat="1">
      <c r="A26" s="70" t="s">
        <v>12</v>
      </c>
      <c r="B26" s="70">
        <f>B25+1</f>
        <v>25</v>
      </c>
      <c r="C26" s="71">
        <v>7</v>
      </c>
      <c r="D26" s="69">
        <v>2022</v>
      </c>
      <c r="E26" s="109">
        <f>'Hotel Data'!E35</f>
        <v>156</v>
      </c>
      <c r="F26" s="109">
        <f>'Hotel Data'!G35</f>
        <v>0</v>
      </c>
      <c r="G26" s="69">
        <f>'Hotel Data'!O35</f>
        <v>103</v>
      </c>
      <c r="H26" s="69">
        <f>'Hotel Data'!Q35</f>
        <v>99</v>
      </c>
      <c r="I26" s="69">
        <f>'Hotel Data'!S35</f>
        <v>0</v>
      </c>
      <c r="J26" s="69">
        <f>'Hotel Data'!U35</f>
        <v>123</v>
      </c>
      <c r="K26" s="72">
        <f>'Hotel Data'!AD35</f>
        <v>340</v>
      </c>
      <c r="L26" s="109">
        <f>'Hotel Data'!AG35</f>
        <v>1091</v>
      </c>
      <c r="M26" s="110">
        <f>'Hotel Data'!AJ35</f>
        <v>152</v>
      </c>
      <c r="N26" s="110">
        <f>'Hotel Data'!AN35</f>
        <v>493</v>
      </c>
      <c r="O26" s="69">
        <f>'Hotel Data'!AR35</f>
        <v>264</v>
      </c>
      <c r="P26" s="70">
        <f>TOTAL!K26</f>
        <v>96</v>
      </c>
    </row>
    <row r="27" spans="1:16" s="70" customFormat="1">
      <c r="A27" s="70" t="s">
        <v>12</v>
      </c>
      <c r="B27" s="70">
        <f t="shared" si="0"/>
        <v>26</v>
      </c>
      <c r="C27" s="71">
        <v>7</v>
      </c>
      <c r="D27" s="69">
        <v>2022</v>
      </c>
      <c r="E27" s="109">
        <f>'Hotel Data'!E36</f>
        <v>141</v>
      </c>
      <c r="F27" s="109">
        <f>'Hotel Data'!G36</f>
        <v>0</v>
      </c>
      <c r="G27" s="69">
        <f>'Hotel Data'!O36</f>
        <v>96</v>
      </c>
      <c r="H27" s="69">
        <f>'Hotel Data'!Q36</f>
        <v>100</v>
      </c>
      <c r="I27" s="69">
        <f>'Hotel Data'!S36</f>
        <v>0</v>
      </c>
      <c r="J27" s="69">
        <f>'Hotel Data'!U36</f>
        <v>125</v>
      </c>
      <c r="K27" s="72">
        <f>'Hotel Data'!AD36</f>
        <v>347</v>
      </c>
      <c r="L27" s="109">
        <f>'Hotel Data'!AG36</f>
        <v>1069</v>
      </c>
      <c r="M27" s="110">
        <f>'Hotel Data'!AJ36</f>
        <v>160</v>
      </c>
      <c r="N27" s="110">
        <f>'Hotel Data'!AN36</f>
        <v>497</v>
      </c>
      <c r="O27" s="69">
        <f>'Hotel Data'!AR36</f>
        <v>256</v>
      </c>
      <c r="P27" s="70">
        <f>TOTAL!K27</f>
        <v>93</v>
      </c>
    </row>
    <row r="28" spans="1:16" s="70" customFormat="1">
      <c r="A28" s="70" t="s">
        <v>12</v>
      </c>
      <c r="B28" s="70">
        <f t="shared" si="0"/>
        <v>27</v>
      </c>
      <c r="C28" s="71">
        <v>7</v>
      </c>
      <c r="D28" s="69">
        <v>2022</v>
      </c>
      <c r="E28" s="109">
        <f>'Hotel Data'!E37</f>
        <v>211</v>
      </c>
      <c r="F28" s="109">
        <f>'Hotel Data'!G37</f>
        <v>0</v>
      </c>
      <c r="G28" s="69">
        <f>'Hotel Data'!O37</f>
        <v>83</v>
      </c>
      <c r="H28" s="69">
        <f>'Hotel Data'!Q37</f>
        <v>99</v>
      </c>
      <c r="I28" s="69">
        <f>'Hotel Data'!S37</f>
        <v>0</v>
      </c>
      <c r="J28" s="69">
        <f>'Hotel Data'!U37</f>
        <v>129</v>
      </c>
      <c r="K28" s="72">
        <f>'Hotel Data'!AD37</f>
        <v>347</v>
      </c>
      <c r="L28" s="109">
        <f>'Hotel Data'!AG37</f>
        <v>1073</v>
      </c>
      <c r="M28" s="110">
        <f>'Hotel Data'!AJ37</f>
        <v>152</v>
      </c>
      <c r="N28" s="110">
        <f>'Hotel Data'!AN37</f>
        <v>445</v>
      </c>
      <c r="O28" s="69">
        <f>'Hotel Data'!AR37</f>
        <v>240</v>
      </c>
      <c r="P28" s="70">
        <f>TOTAL!K28</f>
        <v>96</v>
      </c>
    </row>
    <row r="29" spans="1:16" s="70" customFormat="1">
      <c r="A29" s="70" t="s">
        <v>12</v>
      </c>
      <c r="B29" s="70">
        <f t="shared" si="0"/>
        <v>28</v>
      </c>
      <c r="C29" s="71">
        <v>7</v>
      </c>
      <c r="D29" s="69">
        <v>2022</v>
      </c>
      <c r="E29" s="109">
        <f>'Hotel Data'!E38</f>
        <v>218</v>
      </c>
      <c r="F29" s="109">
        <f>'Hotel Data'!G38</f>
        <v>0</v>
      </c>
      <c r="G29" s="69">
        <f>'Hotel Data'!O38</f>
        <v>86</v>
      </c>
      <c r="H29" s="69">
        <f>'Hotel Data'!Q38</f>
        <v>98</v>
      </c>
      <c r="I29" s="69">
        <f>'Hotel Data'!S38</f>
        <v>1</v>
      </c>
      <c r="J29" s="69">
        <f>'Hotel Data'!U38</f>
        <v>130</v>
      </c>
      <c r="K29" s="72">
        <f>'Hotel Data'!AD38</f>
        <v>355</v>
      </c>
      <c r="L29" s="109">
        <f>'Hotel Data'!AG38</f>
        <v>1076</v>
      </c>
      <c r="M29" s="110">
        <f>'Hotel Data'!AJ38</f>
        <v>152</v>
      </c>
      <c r="N29" s="110">
        <f>'Hotel Data'!AN38</f>
        <v>434</v>
      </c>
      <c r="O29" s="69">
        <f>'Hotel Data'!AR38</f>
        <v>288</v>
      </c>
      <c r="P29" s="70">
        <f>TOTAL!K29</f>
        <v>89</v>
      </c>
    </row>
    <row r="30" spans="1:16" s="70" customFormat="1">
      <c r="A30" s="70" t="s">
        <v>12</v>
      </c>
      <c r="B30" s="70">
        <f t="shared" si="0"/>
        <v>29</v>
      </c>
      <c r="C30" s="71">
        <v>7</v>
      </c>
      <c r="D30" s="69">
        <v>2022</v>
      </c>
      <c r="E30" s="109">
        <f>'Hotel Data'!E39</f>
        <v>203</v>
      </c>
      <c r="F30" s="109">
        <f>'Hotel Data'!G39</f>
        <v>0</v>
      </c>
      <c r="G30" s="69">
        <f>'Hotel Data'!O39</f>
        <v>60</v>
      </c>
      <c r="H30" s="69">
        <f>'Hotel Data'!Q39</f>
        <v>89</v>
      </c>
      <c r="I30" s="69">
        <f>'Hotel Data'!S39</f>
        <v>0</v>
      </c>
      <c r="J30" s="69">
        <f>'Hotel Data'!U39</f>
        <v>113</v>
      </c>
      <c r="K30" s="72">
        <f>'Hotel Data'!AD39</f>
        <v>349</v>
      </c>
      <c r="L30" s="109">
        <f>'Hotel Data'!AG39</f>
        <v>1187</v>
      </c>
      <c r="M30" s="110">
        <f>'Hotel Data'!AJ39</f>
        <v>176</v>
      </c>
      <c r="N30" s="110">
        <f>'Hotel Data'!AN39</f>
        <v>474</v>
      </c>
      <c r="O30" s="69">
        <f>'Hotel Data'!AR39</f>
        <v>328</v>
      </c>
      <c r="P30" s="70">
        <f>TOTAL!K30</f>
        <v>92</v>
      </c>
    </row>
    <row r="31" spans="1:16" s="69" customFormat="1">
      <c r="A31" s="69" t="s">
        <v>12</v>
      </c>
      <c r="B31" s="69">
        <f t="shared" si="0"/>
        <v>30</v>
      </c>
      <c r="C31" s="71">
        <v>7</v>
      </c>
      <c r="D31" s="69">
        <v>2022</v>
      </c>
      <c r="E31" s="109">
        <f>'Hotel Data'!E40</f>
        <v>215</v>
      </c>
      <c r="F31" s="109">
        <f>'Hotel Data'!G40</f>
        <v>0</v>
      </c>
      <c r="G31" s="69">
        <f>'Hotel Data'!O40</f>
        <v>68</v>
      </c>
      <c r="H31" s="69">
        <f>'Hotel Data'!Q40</f>
        <v>102</v>
      </c>
      <c r="I31" s="69">
        <f>'Hotel Data'!S40</f>
        <v>0</v>
      </c>
      <c r="J31" s="69">
        <f>'Hotel Data'!U40</f>
        <v>131</v>
      </c>
      <c r="K31" s="72">
        <f>'Hotel Data'!AD40</f>
        <v>343</v>
      </c>
      <c r="L31" s="109">
        <f>'Hotel Data'!AG40</f>
        <v>1164</v>
      </c>
      <c r="M31" s="110">
        <f>'Hotel Data'!AJ40</f>
        <v>160</v>
      </c>
      <c r="N31" s="110">
        <f>'Hotel Data'!AN40</f>
        <v>477</v>
      </c>
      <c r="O31" s="69">
        <f>'Hotel Data'!AR40</f>
        <v>264</v>
      </c>
      <c r="P31" s="70">
        <f>TOTAL!K31</f>
        <v>100</v>
      </c>
    </row>
    <row r="32" spans="1:16">
      <c r="D32" s="69">
        <v>2022</v>
      </c>
      <c r="E32" s="109">
        <f>'Hotel Data'!E41</f>
        <v>212</v>
      </c>
      <c r="F32" s="109">
        <f>'Hotel Data'!G41</f>
        <v>0</v>
      </c>
      <c r="G32" s="69">
        <f>'Hotel Data'!O41</f>
        <v>58</v>
      </c>
      <c r="H32" s="69">
        <f>'Hotel Data'!Q41</f>
        <v>90</v>
      </c>
      <c r="I32" s="69">
        <f>'Hotel Data'!S41</f>
        <v>0</v>
      </c>
      <c r="J32" s="69">
        <f>'Hotel Data'!U41</f>
        <v>118</v>
      </c>
      <c r="K32" s="72">
        <f>'Hotel Data'!AD41</f>
        <v>333</v>
      </c>
      <c r="L32" s="109">
        <f>'Hotel Data'!AG41</f>
        <v>1156</v>
      </c>
      <c r="M32" s="110">
        <f>'Hotel Data'!AJ41</f>
        <v>160</v>
      </c>
      <c r="N32" s="110">
        <f>'Hotel Data'!AN41</f>
        <v>497</v>
      </c>
      <c r="O32" s="69">
        <f>'Hotel Data'!AR41</f>
        <v>296</v>
      </c>
      <c r="P32" s="70">
        <f>TOTAL!K32</f>
        <v>90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50"/>
  <sheetViews>
    <sheetView zoomScale="85" zoomScaleNormal="85" workbookViewId="0">
      <selection activeCell="R15" sqref="R15"/>
    </sheetView>
  </sheetViews>
  <sheetFormatPr defaultColWidth="8.5703125" defaultRowHeight="15"/>
  <cols>
    <col min="1" max="1" width="7.85546875" style="2" customWidth="1"/>
    <col min="2" max="2" width="7" style="2" customWidth="1"/>
    <col min="3" max="3" width="8.5703125" style="2" customWidth="1"/>
    <col min="4" max="4" width="13.7109375" style="2" customWidth="1"/>
    <col min="5" max="5" width="10" style="2" customWidth="1"/>
    <col min="6" max="6" width="12.28515625" style="2" customWidth="1"/>
    <col min="7" max="7" width="8.28515625" style="2" customWidth="1"/>
    <col min="8" max="8" width="12.5703125" style="2" customWidth="1"/>
    <col min="9" max="9" width="7.5703125" style="2" customWidth="1"/>
    <col min="10" max="10" width="11.42578125" style="2" bestFit="1" customWidth="1"/>
    <col min="11" max="12" width="9.7109375" style="2" customWidth="1"/>
    <col min="13" max="13" width="9.28515625" style="2" customWidth="1"/>
    <col min="14" max="14" width="12.28515625" style="2" customWidth="1"/>
    <col min="15" max="15" width="7.42578125" style="2" customWidth="1"/>
    <col min="16" max="16" width="10.28515625" style="2" customWidth="1"/>
    <col min="17" max="17" width="7.85546875" style="2" customWidth="1"/>
    <col min="18" max="18" width="9.85546875" style="2" customWidth="1"/>
    <col min="19" max="19" width="7.7109375" style="2" customWidth="1"/>
    <col min="20" max="20" width="12.5703125" style="2" customWidth="1"/>
    <col min="21" max="21" width="7.42578125" style="2" customWidth="1"/>
    <col min="22" max="22" width="12.85546875" style="2" customWidth="1"/>
    <col min="23" max="23" width="16.7109375" style="2" customWidth="1"/>
    <col min="24" max="24" width="14.5703125" style="2" customWidth="1"/>
    <col min="25" max="25" width="12.42578125" style="2" customWidth="1"/>
    <col min="26" max="26" width="16.28515625" style="2" customWidth="1"/>
    <col min="27" max="27" width="11.85546875" style="2" customWidth="1"/>
    <col min="28" max="28" width="14.28515625" style="2" customWidth="1"/>
    <col min="29" max="29" width="16.28515625" style="2" customWidth="1"/>
    <col min="30" max="30" width="14" style="2" customWidth="1"/>
    <col min="31" max="31" width="14.140625" style="2" bestFit="1" customWidth="1"/>
    <col min="32" max="32" width="12.42578125" style="2" customWidth="1"/>
    <col min="33" max="33" width="12.5703125" style="2" customWidth="1"/>
    <col min="34" max="34" width="13.42578125" style="2" customWidth="1"/>
    <col min="35" max="35" width="13.42578125" style="2" bestFit="1" customWidth="1"/>
    <col min="36" max="36" width="12.5703125" style="2" customWidth="1"/>
    <col min="37" max="37" width="7.7109375" style="2" customWidth="1"/>
    <col min="38" max="38" width="14" style="2" bestFit="1" customWidth="1"/>
    <col min="39" max="39" width="13.28515625" style="2" bestFit="1" customWidth="1"/>
    <col min="40" max="40" width="11.85546875" style="2" customWidth="1"/>
    <col min="41" max="41" width="8.5703125" style="2" customWidth="1"/>
    <col min="42" max="42" width="17.7109375" style="2" bestFit="1" customWidth="1"/>
    <col min="43" max="43" width="13.42578125" style="2" bestFit="1" customWidth="1"/>
    <col min="44" max="44" width="10" style="2" customWidth="1"/>
    <col min="45" max="45" width="9.85546875" style="2" customWidth="1"/>
    <col min="46" max="46" width="8.85546875" style="2" customWidth="1"/>
    <col min="47" max="47" width="11" style="2" customWidth="1"/>
    <col min="48" max="48" width="11.85546875" style="2" customWidth="1"/>
    <col min="49" max="49" width="11.42578125" style="2" bestFit="1" customWidth="1"/>
    <col min="50" max="50" width="5.85546875" style="2" customWidth="1"/>
    <col min="51" max="51" width="6" style="2" customWidth="1"/>
    <col min="52" max="52" width="13.5703125" style="2" customWidth="1"/>
    <col min="53" max="55" width="11.42578125" style="2" customWidth="1"/>
    <col min="56" max="56" width="12.85546875" style="2" customWidth="1"/>
    <col min="57" max="57" width="15.140625" style="2" customWidth="1"/>
    <col min="58" max="58" width="14.42578125" style="2" customWidth="1"/>
    <col min="59" max="59" width="13" style="2" customWidth="1"/>
    <col min="60" max="60" width="11.42578125" style="2" customWidth="1"/>
    <col min="61" max="61" width="13.140625" style="2" customWidth="1"/>
    <col min="62" max="16384" width="8.5703125" style="2"/>
  </cols>
  <sheetData>
    <row r="1" spans="1:61" ht="12" customHeight="1">
      <c r="A1" s="1"/>
      <c r="H1" s="3"/>
      <c r="AS1" s="1"/>
      <c r="AT1" s="1"/>
      <c r="AU1" s="1"/>
    </row>
    <row r="2" spans="1:61" ht="15.75">
      <c r="A2" s="4" t="s">
        <v>24</v>
      </c>
      <c r="H2" s="4" t="s">
        <v>25</v>
      </c>
      <c r="V2" s="5"/>
      <c r="Y2" s="4"/>
      <c r="AP2" s="1"/>
      <c r="AQ2" s="6"/>
      <c r="AR2" s="6"/>
    </row>
    <row r="3" spans="1:61" ht="15.75">
      <c r="C3" s="7" t="s">
        <v>26</v>
      </c>
    </row>
    <row r="4" spans="1:61" ht="15.75">
      <c r="A4" s="4" t="s">
        <v>24</v>
      </c>
      <c r="H4" s="4" t="s">
        <v>25</v>
      </c>
      <c r="AZ4" s="73"/>
      <c r="BA4" s="73"/>
      <c r="BB4" s="73"/>
      <c r="BC4" s="73"/>
      <c r="BD4" s="73"/>
      <c r="BE4" s="73"/>
    </row>
    <row r="5" spans="1:61" ht="13.9" customHeight="1">
      <c r="C5" s="7" t="s">
        <v>27</v>
      </c>
    </row>
    <row r="6" spans="1:61" ht="15.75" thickBot="1">
      <c r="AZ6" s="8" t="s">
        <v>28</v>
      </c>
      <c r="BA6" s="9" t="s">
        <v>28</v>
      </c>
      <c r="BB6" s="9" t="s">
        <v>28</v>
      </c>
      <c r="BC6" s="9" t="s">
        <v>28</v>
      </c>
      <c r="BD6" s="9" t="s">
        <v>28</v>
      </c>
      <c r="BE6" s="9" t="s">
        <v>28</v>
      </c>
      <c r="BF6" s="10">
        <v>42186</v>
      </c>
      <c r="BG6" s="10">
        <v>42186</v>
      </c>
      <c r="BH6" s="10">
        <v>42186</v>
      </c>
      <c r="BI6" s="10">
        <v>42186</v>
      </c>
    </row>
    <row r="7" spans="1:61" ht="15" customHeight="1">
      <c r="A7" s="134"/>
      <c r="B7" s="135"/>
      <c r="C7" s="136"/>
      <c r="D7" s="118" t="s">
        <v>29</v>
      </c>
      <c r="E7" s="120"/>
      <c r="F7" s="118" t="s">
        <v>30</v>
      </c>
      <c r="G7" s="119"/>
      <c r="H7" s="140" t="s">
        <v>31</v>
      </c>
      <c r="I7" s="140"/>
      <c r="J7" s="140"/>
      <c r="K7" s="140"/>
      <c r="L7" s="140"/>
      <c r="M7" s="140"/>
      <c r="N7" s="118" t="s">
        <v>32</v>
      </c>
      <c r="O7" s="120"/>
      <c r="P7" s="142" t="s">
        <v>33</v>
      </c>
      <c r="Q7" s="143"/>
      <c r="R7" s="142" t="s">
        <v>34</v>
      </c>
      <c r="S7" s="143"/>
      <c r="T7" s="142" t="s">
        <v>35</v>
      </c>
      <c r="U7" s="143"/>
      <c r="V7" s="118" t="s">
        <v>36</v>
      </c>
      <c r="W7" s="119"/>
      <c r="X7" s="120"/>
      <c r="Y7" s="118" t="s">
        <v>37</v>
      </c>
      <c r="Z7" s="119"/>
      <c r="AA7" s="120"/>
      <c r="AB7" s="118" t="s">
        <v>38</v>
      </c>
      <c r="AC7" s="119"/>
      <c r="AD7" s="120"/>
      <c r="AE7" s="118" t="s">
        <v>39</v>
      </c>
      <c r="AF7" s="119"/>
      <c r="AG7" s="120"/>
      <c r="AH7" s="118" t="s">
        <v>40</v>
      </c>
      <c r="AI7" s="119"/>
      <c r="AJ7" s="119"/>
      <c r="AK7" s="120"/>
      <c r="AL7" s="118" t="s">
        <v>41</v>
      </c>
      <c r="AM7" s="119"/>
      <c r="AN7" s="119"/>
      <c r="AO7" s="120"/>
      <c r="AP7" s="118" t="s">
        <v>42</v>
      </c>
      <c r="AQ7" s="119"/>
      <c r="AR7" s="120"/>
      <c r="AS7" s="118" t="s">
        <v>43</v>
      </c>
      <c r="AT7" s="120"/>
      <c r="AU7" s="132" t="s">
        <v>44</v>
      </c>
      <c r="AV7" s="130" t="s">
        <v>45</v>
      </c>
      <c r="AW7" s="128" t="s">
        <v>46</v>
      </c>
      <c r="AY7" s="11"/>
      <c r="AZ7" s="124" t="s">
        <v>47</v>
      </c>
      <c r="BA7" s="124" t="s">
        <v>48</v>
      </c>
      <c r="BB7" s="124" t="s">
        <v>49</v>
      </c>
      <c r="BC7" s="124" t="s">
        <v>50</v>
      </c>
      <c r="BD7" s="124" t="s">
        <v>51</v>
      </c>
      <c r="BE7" s="124" t="s">
        <v>52</v>
      </c>
      <c r="BF7" s="124" t="s">
        <v>53</v>
      </c>
      <c r="BG7" s="124" t="s">
        <v>54</v>
      </c>
      <c r="BH7" s="124" t="s">
        <v>55</v>
      </c>
      <c r="BI7" s="124" t="s">
        <v>56</v>
      </c>
    </row>
    <row r="8" spans="1:61" ht="18.75" customHeight="1" thickBot="1">
      <c r="A8" s="137"/>
      <c r="B8" s="138"/>
      <c r="C8" s="139"/>
      <c r="D8" s="121"/>
      <c r="E8" s="123"/>
      <c r="F8" s="121"/>
      <c r="G8" s="122"/>
      <c r="H8" s="141"/>
      <c r="I8" s="141"/>
      <c r="J8" s="141"/>
      <c r="K8" s="141"/>
      <c r="L8" s="141"/>
      <c r="M8" s="141"/>
      <c r="N8" s="121"/>
      <c r="O8" s="123"/>
      <c r="P8" s="144"/>
      <c r="Q8" s="145"/>
      <c r="R8" s="144"/>
      <c r="S8" s="145"/>
      <c r="T8" s="144"/>
      <c r="U8" s="145"/>
      <c r="V8" s="121"/>
      <c r="W8" s="122"/>
      <c r="X8" s="123"/>
      <c r="Y8" s="121"/>
      <c r="Z8" s="122"/>
      <c r="AA8" s="123"/>
      <c r="AB8" s="121"/>
      <c r="AC8" s="122"/>
      <c r="AD8" s="123"/>
      <c r="AE8" s="121"/>
      <c r="AF8" s="122"/>
      <c r="AG8" s="123"/>
      <c r="AH8" s="121"/>
      <c r="AI8" s="122"/>
      <c r="AJ8" s="122"/>
      <c r="AK8" s="123"/>
      <c r="AL8" s="121"/>
      <c r="AM8" s="122"/>
      <c r="AN8" s="122"/>
      <c r="AO8" s="123"/>
      <c r="AP8" s="121"/>
      <c r="AQ8" s="122"/>
      <c r="AR8" s="123"/>
      <c r="AS8" s="121"/>
      <c r="AT8" s="123"/>
      <c r="AU8" s="133"/>
      <c r="AV8" s="131"/>
      <c r="AW8" s="129"/>
      <c r="AY8" s="12"/>
      <c r="AZ8" s="125"/>
      <c r="BA8" s="125"/>
      <c r="BB8" s="125"/>
      <c r="BC8" s="125"/>
      <c r="BD8" s="125"/>
      <c r="BE8" s="125"/>
      <c r="BF8" s="125"/>
      <c r="BG8" s="125"/>
      <c r="BH8" s="125"/>
      <c r="BI8" s="125"/>
    </row>
    <row r="9" spans="1:61" ht="26.25" customHeight="1" thickBot="1">
      <c r="A9" s="74" t="s">
        <v>57</v>
      </c>
      <c r="B9" s="13" t="s">
        <v>58</v>
      </c>
      <c r="C9" s="14" t="s">
        <v>59</v>
      </c>
      <c r="D9" s="15" t="s">
        <v>60</v>
      </c>
      <c r="E9" s="16" t="s">
        <v>61</v>
      </c>
      <c r="F9" s="17" t="s">
        <v>60</v>
      </c>
      <c r="G9" s="17" t="s">
        <v>61</v>
      </c>
      <c r="H9" s="17" t="s">
        <v>60</v>
      </c>
      <c r="I9" s="17" t="s">
        <v>61</v>
      </c>
      <c r="J9" s="18" t="s">
        <v>62</v>
      </c>
      <c r="K9" s="19" t="s">
        <v>61</v>
      </c>
      <c r="L9" s="17" t="s">
        <v>63</v>
      </c>
      <c r="M9" s="17" t="s">
        <v>64</v>
      </c>
      <c r="N9" s="17" t="s">
        <v>60</v>
      </c>
      <c r="O9" s="17" t="s">
        <v>61</v>
      </c>
      <c r="P9" s="20" t="s">
        <v>60</v>
      </c>
      <c r="Q9" s="21" t="s">
        <v>61</v>
      </c>
      <c r="R9" s="20" t="s">
        <v>60</v>
      </c>
      <c r="S9" s="21" t="s">
        <v>61</v>
      </c>
      <c r="T9" s="20" t="s">
        <v>60</v>
      </c>
      <c r="U9" s="21" t="s">
        <v>61</v>
      </c>
      <c r="V9" s="18" t="s">
        <v>65</v>
      </c>
      <c r="W9" s="75" t="s">
        <v>61</v>
      </c>
      <c r="X9" s="76" t="s">
        <v>66</v>
      </c>
      <c r="Y9" s="18" t="s">
        <v>67</v>
      </c>
      <c r="Z9" s="17" t="s">
        <v>61</v>
      </c>
      <c r="AA9" s="17" t="s">
        <v>66</v>
      </c>
      <c r="AB9" s="17" t="s">
        <v>68</v>
      </c>
      <c r="AC9" s="17" t="s">
        <v>61</v>
      </c>
      <c r="AD9" s="17" t="s">
        <v>66</v>
      </c>
      <c r="AE9" s="17" t="s">
        <v>68</v>
      </c>
      <c r="AF9" s="17" t="s">
        <v>61</v>
      </c>
      <c r="AG9" s="17" t="s">
        <v>66</v>
      </c>
      <c r="AH9" s="17" t="s">
        <v>69</v>
      </c>
      <c r="AI9" s="17" t="s">
        <v>61</v>
      </c>
      <c r="AJ9" s="17" t="s">
        <v>66</v>
      </c>
      <c r="AK9" s="17" t="s">
        <v>70</v>
      </c>
      <c r="AL9" s="17" t="s">
        <v>68</v>
      </c>
      <c r="AM9" s="17" t="s">
        <v>61</v>
      </c>
      <c r="AN9" s="17" t="s">
        <v>71</v>
      </c>
      <c r="AO9" s="17" t="s">
        <v>70</v>
      </c>
      <c r="AP9" s="17" t="s">
        <v>69</v>
      </c>
      <c r="AQ9" s="17" t="s">
        <v>61</v>
      </c>
      <c r="AR9" s="17" t="s">
        <v>66</v>
      </c>
      <c r="AS9" s="13" t="s">
        <v>72</v>
      </c>
      <c r="AT9" s="22" t="s">
        <v>73</v>
      </c>
      <c r="AU9" s="126" t="s">
        <v>74</v>
      </c>
      <c r="AV9" s="127"/>
      <c r="AW9" s="23"/>
      <c r="AY9" s="12"/>
      <c r="AZ9" s="125"/>
      <c r="BA9" s="125"/>
      <c r="BB9" s="125"/>
      <c r="BC9" s="125"/>
      <c r="BD9" s="125"/>
      <c r="BE9" s="125"/>
      <c r="BF9" s="125"/>
      <c r="BG9" s="125"/>
      <c r="BH9" s="125"/>
      <c r="BI9" s="125"/>
    </row>
    <row r="10" spans="1:61" s="85" customFormat="1" ht="13.9" customHeight="1">
      <c r="A10" s="77"/>
      <c r="B10" s="78"/>
      <c r="C10" s="79"/>
      <c r="D10" s="25">
        <f>[1]June!D38</f>
        <v>318983</v>
      </c>
      <c r="E10" s="80"/>
      <c r="F10" s="26">
        <f>[1]June!F38</f>
        <v>7042</v>
      </c>
      <c r="G10" s="80"/>
      <c r="H10" s="25">
        <f>[1]June!H38</f>
        <v>75199</v>
      </c>
      <c r="I10" s="80"/>
      <c r="J10" s="27">
        <f>[1]June!J38</f>
        <v>590610</v>
      </c>
      <c r="K10" s="80"/>
      <c r="L10" s="79"/>
      <c r="M10" s="79"/>
      <c r="N10" s="25">
        <f>[1]June!N38</f>
        <v>8407</v>
      </c>
      <c r="O10" s="80"/>
      <c r="P10" s="25">
        <f>[1]June!P38</f>
        <v>92645</v>
      </c>
      <c r="Q10" s="81"/>
      <c r="R10" s="25">
        <f>[1]June!R38</f>
        <v>35</v>
      </c>
      <c r="S10" s="81"/>
      <c r="T10" s="25">
        <f>[1]June!T38</f>
        <v>195026</v>
      </c>
      <c r="U10" s="81"/>
      <c r="V10" s="25">
        <f>[1]June!V38</f>
        <v>4734.4449999999997</v>
      </c>
      <c r="W10" s="82"/>
      <c r="X10" s="27"/>
      <c r="Y10" s="25">
        <f>[1]June!Y38</f>
        <v>911.65200000000004</v>
      </c>
      <c r="Z10" s="83"/>
      <c r="AA10" s="27"/>
      <c r="AB10" s="25">
        <f>[1]June!AB38</f>
        <v>1735697</v>
      </c>
      <c r="AC10" s="83"/>
      <c r="AD10" s="27"/>
      <c r="AE10" s="25">
        <f>[1]June!AE38</f>
        <v>5116605</v>
      </c>
      <c r="AF10" s="30"/>
      <c r="AG10" s="27"/>
      <c r="AH10" s="25">
        <f>[1]June!AH38</f>
        <v>34005</v>
      </c>
      <c r="AI10" s="80"/>
      <c r="AJ10" s="27"/>
      <c r="AK10" s="79"/>
      <c r="AL10" s="25">
        <f>[1]June!AL38</f>
        <v>187519</v>
      </c>
      <c r="AM10" s="80"/>
      <c r="AN10" s="27"/>
      <c r="AO10" s="79"/>
      <c r="AP10" s="25">
        <f>[1]June!AP38</f>
        <v>46601</v>
      </c>
      <c r="AQ10" s="80"/>
      <c r="AR10" s="27"/>
      <c r="AU10" s="84"/>
      <c r="AV10" s="31">
        <f>[1]June!AV38</f>
        <v>0</v>
      </c>
      <c r="AW10" s="83"/>
      <c r="AY10" s="86"/>
      <c r="AZ10" s="87">
        <f>D45</f>
        <v>0</v>
      </c>
      <c r="BA10" s="87">
        <f>F45</f>
        <v>0</v>
      </c>
      <c r="BB10" s="87">
        <f>H45</f>
        <v>0</v>
      </c>
      <c r="BC10" s="87">
        <f>N45</f>
        <v>0</v>
      </c>
      <c r="BD10" s="88">
        <v>570000</v>
      </c>
      <c r="BE10" s="88">
        <f>BD10</f>
        <v>570000</v>
      </c>
      <c r="BF10" s="89">
        <v>47307</v>
      </c>
      <c r="BG10" s="90">
        <v>6432</v>
      </c>
      <c r="BH10" s="90">
        <v>13443</v>
      </c>
      <c r="BI10" s="90">
        <v>11344</v>
      </c>
    </row>
    <row r="11" spans="1:61" ht="15.75">
      <c r="A11" s="32">
        <v>1</v>
      </c>
      <c r="B11" s="24" t="s">
        <v>75</v>
      </c>
      <c r="C11" s="33"/>
      <c r="D11" s="25">
        <v>319082</v>
      </c>
      <c r="E11" s="29">
        <f t="shared" ref="E11:E41" si="0">IF(ISBLANK(D11),0,D11-D10)</f>
        <v>99</v>
      </c>
      <c r="F11" s="26">
        <v>7042</v>
      </c>
      <c r="G11" s="29">
        <f t="shared" ref="G11:G41" si="1">IF(ISBLANK(F11),0,F11-F10)</f>
        <v>0</v>
      </c>
      <c r="H11" s="25">
        <v>75491</v>
      </c>
      <c r="I11" s="29">
        <f t="shared" ref="I11:K41" si="2">IF(ISBLANK(H11),0,H11-H10)</f>
        <v>292</v>
      </c>
      <c r="J11" s="27">
        <v>590891</v>
      </c>
      <c r="K11" s="29">
        <f t="shared" si="2"/>
        <v>281</v>
      </c>
      <c r="L11" s="28"/>
      <c r="M11" s="34" t="e">
        <f>I11/L11</f>
        <v>#DIV/0!</v>
      </c>
      <c r="N11" s="25">
        <v>8490</v>
      </c>
      <c r="O11" s="29">
        <f t="shared" ref="O11:O41" si="3">IF(ISBLANK(N11),0,N11-N10)</f>
        <v>83</v>
      </c>
      <c r="P11" s="35">
        <v>92679</v>
      </c>
      <c r="Q11" s="30">
        <f t="shared" ref="Q11:S26" si="4">IF(ISBLANK(P11),0,P11-P10)</f>
        <v>34</v>
      </c>
      <c r="R11" s="91">
        <v>35</v>
      </c>
      <c r="S11" s="30">
        <f t="shared" si="4"/>
        <v>0</v>
      </c>
      <c r="T11" s="35">
        <v>195087</v>
      </c>
      <c r="U11" s="30">
        <f t="shared" ref="U11:U41" si="5">IF(ISBLANK(T11),0,T11-T10)</f>
        <v>61</v>
      </c>
      <c r="V11" s="36"/>
      <c r="W11" s="92">
        <f t="shared" ref="W11:W41" si="6">IF(ISBLANK(V11),0,SUM(V11-V10)*2200)</f>
        <v>0</v>
      </c>
      <c r="X11" s="27">
        <v>18330</v>
      </c>
      <c r="Y11" s="93"/>
      <c r="Z11" s="29">
        <f t="shared" ref="Z11:Z41" si="7">IF(ISBLANK(Y11),0,SUM(Y11-Y10)*2200)</f>
        <v>0</v>
      </c>
      <c r="AA11" s="27">
        <v>2923</v>
      </c>
      <c r="AB11" s="25"/>
      <c r="AC11" s="30">
        <f>IF(ISBLANK(AB11),0,SUM(AB11-AB10))</f>
        <v>0</v>
      </c>
      <c r="AD11" s="27">
        <v>327</v>
      </c>
      <c r="AE11" s="35"/>
      <c r="AF11" s="30">
        <f>IF(ISBLANK(AE11),0,SUM(AE11-AE10))</f>
        <v>0</v>
      </c>
      <c r="AG11" s="27">
        <v>1157</v>
      </c>
      <c r="AH11" s="25"/>
      <c r="AI11" s="29">
        <f>IF(ISBLANK(AH11),0,SUM(AH11-AH10)*80)</f>
        <v>0</v>
      </c>
      <c r="AJ11" s="27">
        <v>160</v>
      </c>
      <c r="AK11" s="28"/>
      <c r="AL11" s="25"/>
      <c r="AM11" s="29">
        <f t="shared" ref="AM11:AM41" si="8">IF(ISBLANK(AL11),0,AL11-AL10)</f>
        <v>0</v>
      </c>
      <c r="AN11" s="27">
        <v>501</v>
      </c>
      <c r="AO11" s="28"/>
      <c r="AP11" s="25"/>
      <c r="AQ11" s="29"/>
      <c r="AR11" s="27">
        <v>320</v>
      </c>
      <c r="AS11" s="37">
        <v>20</v>
      </c>
      <c r="AT11" s="37">
        <v>34</v>
      </c>
      <c r="AU11" s="94"/>
      <c r="AV11" s="31"/>
      <c r="AW11" s="95">
        <f t="shared" ref="AW11:AW41" si="9">IF(ISBLANK(AV11),0,AV11-AV10)</f>
        <v>0</v>
      </c>
      <c r="AY11" s="39">
        <v>1</v>
      </c>
      <c r="AZ11" s="40">
        <f>IF(D11&lt;&gt;0,(+D11-D$10)/A11*31,0)</f>
        <v>3069</v>
      </c>
      <c r="BA11" s="40">
        <f>IF(F11&lt;&gt;0,(+F11-F$10)/$A11*31,0)</f>
        <v>0</v>
      </c>
      <c r="BB11" s="40">
        <f>IF(H11&lt;&gt;0,(+H11-H$10)/$A11*31,0)</f>
        <v>9052</v>
      </c>
      <c r="BC11" s="40">
        <f>IF(N11&lt;&gt;0,(+N11-N$10)/$A11*31,0)</f>
        <v>2573</v>
      </c>
      <c r="BD11" s="41">
        <f>IF(V11&lt;&gt;0,(+V11-V$10)*2200/$A11*31,0)</f>
        <v>0</v>
      </c>
      <c r="BE11" s="40">
        <f>IF(X11&lt;&gt;0,AVERAGE(X11:X$11)*31,)</f>
        <v>568230</v>
      </c>
      <c r="BF11" s="40">
        <f>IF(AD11+AG11&lt;&gt;0,AVERAGE(AD$11:AD11)*31+AVERAGE(AG$11:AG11)*31,)</f>
        <v>46004</v>
      </c>
      <c r="BG11" s="41">
        <f>IF(AJ11&lt;&gt;0,AVERAGE(AJ11:AJ$11)*31,)</f>
        <v>4960</v>
      </c>
      <c r="BH11" s="41">
        <f>IF(AN11&lt;&gt;0,AVERAGE(AN11:AN$11)*31,)</f>
        <v>15531</v>
      </c>
      <c r="BI11" s="41">
        <f>IF(AR11&lt;&gt;0,AVERAGE(AR11:AR$11)*31,)</f>
        <v>9920</v>
      </c>
    </row>
    <row r="12" spans="1:61" ht="15.75">
      <c r="A12" s="32">
        <f t="shared" ref="A12:A18" si="10">1+A11</f>
        <v>2</v>
      </c>
      <c r="B12" s="24" t="s">
        <v>75</v>
      </c>
      <c r="C12" s="33"/>
      <c r="D12" s="25">
        <v>319179</v>
      </c>
      <c r="E12" s="29">
        <f t="shared" si="0"/>
        <v>97</v>
      </c>
      <c r="F12" s="26">
        <v>7043</v>
      </c>
      <c r="G12" s="29">
        <f t="shared" si="1"/>
        <v>1</v>
      </c>
      <c r="H12" s="25">
        <v>75789</v>
      </c>
      <c r="I12" s="29">
        <f t="shared" si="2"/>
        <v>298</v>
      </c>
      <c r="J12" s="27">
        <v>591179</v>
      </c>
      <c r="K12" s="29">
        <f t="shared" si="2"/>
        <v>288</v>
      </c>
      <c r="L12" s="28"/>
      <c r="M12" s="34" t="e">
        <f t="shared" ref="M12:M41" si="11">I12/L12</f>
        <v>#DIV/0!</v>
      </c>
      <c r="N12" s="25">
        <v>8582</v>
      </c>
      <c r="O12" s="29">
        <f t="shared" si="3"/>
        <v>92</v>
      </c>
      <c r="P12" s="35">
        <v>92720</v>
      </c>
      <c r="Q12" s="30">
        <f t="shared" si="4"/>
        <v>41</v>
      </c>
      <c r="R12" s="35">
        <v>35</v>
      </c>
      <c r="S12" s="30">
        <f t="shared" si="4"/>
        <v>0</v>
      </c>
      <c r="T12" s="35">
        <v>195160</v>
      </c>
      <c r="U12" s="30">
        <f t="shared" si="5"/>
        <v>73</v>
      </c>
      <c r="V12" s="36"/>
      <c r="W12" s="29">
        <f t="shared" si="6"/>
        <v>0</v>
      </c>
      <c r="X12" s="27">
        <v>18303</v>
      </c>
      <c r="Y12" s="26"/>
      <c r="Z12" s="29">
        <f t="shared" si="7"/>
        <v>0</v>
      </c>
      <c r="AA12" s="27">
        <v>3046</v>
      </c>
      <c r="AB12" s="25"/>
      <c r="AC12" s="30">
        <f t="shared" ref="AC12:AC41" si="12">IF(ISBLANK(AB12),0,SUM(AB12-AB11))</f>
        <v>0</v>
      </c>
      <c r="AD12" s="27">
        <v>345</v>
      </c>
      <c r="AE12" s="35"/>
      <c r="AF12" s="30">
        <f t="shared" ref="AF12:AF41" si="13">IF(ISBLANK(AE12),0,SUM(AE12-AE11))</f>
        <v>0</v>
      </c>
      <c r="AG12" s="27">
        <v>1185</v>
      </c>
      <c r="AH12" s="25"/>
      <c r="AI12" s="29">
        <f t="shared" ref="AI12:AI41" si="14">IF(ISBLANK(AH12),0,SUM(AH12-AH11)*80)</f>
        <v>0</v>
      </c>
      <c r="AJ12" s="27">
        <v>144</v>
      </c>
      <c r="AK12" s="28"/>
      <c r="AL12" s="25"/>
      <c r="AM12" s="29">
        <f t="shared" si="8"/>
        <v>0</v>
      </c>
      <c r="AN12" s="27">
        <v>535</v>
      </c>
      <c r="AO12" s="28"/>
      <c r="AP12" s="25"/>
      <c r="AQ12" s="29"/>
      <c r="AR12" s="27">
        <v>288</v>
      </c>
      <c r="AS12" s="37">
        <v>25</v>
      </c>
      <c r="AT12" s="37">
        <v>35</v>
      </c>
      <c r="AU12" s="94"/>
      <c r="AV12" s="31"/>
      <c r="AW12" s="95">
        <f t="shared" si="9"/>
        <v>0</v>
      </c>
      <c r="AY12" s="39">
        <f t="shared" ref="AY12:AY20" si="15">1+AY11</f>
        <v>2</v>
      </c>
      <c r="AZ12" s="40">
        <f t="shared" ref="AZ12:AZ41" si="16">IF(D12&lt;&gt;0,(+D12-D$10)/A12*31,0)</f>
        <v>3038</v>
      </c>
      <c r="BA12" s="40">
        <f t="shared" ref="BA12:BA41" si="17">IF(F12&lt;&gt;0,(+F12-F$10)/$A12*31,0)</f>
        <v>15.5</v>
      </c>
      <c r="BB12" s="40">
        <f t="shared" ref="BB12:BB41" si="18">IF(H12&lt;&gt;0,(+H12-H$10)/$A12*31,0)</f>
        <v>9145</v>
      </c>
      <c r="BC12" s="40">
        <f t="shared" ref="BC12:BC41" si="19">IF(N12&lt;&gt;0,(+N12-N$10)/$A12*31,0)</f>
        <v>2712.5</v>
      </c>
      <c r="BD12" s="41">
        <f t="shared" ref="BD12:BD41" si="20">IF(V12&lt;&gt;0,(+V12-V$10)*2200/$A12*31,0)</f>
        <v>0</v>
      </c>
      <c r="BE12" s="40">
        <f>IF(X12&lt;&gt;0,AVERAGE(X$11:X12)*31,)</f>
        <v>567811.5</v>
      </c>
      <c r="BF12" s="40">
        <f>IF(AD12+AG12&lt;&gt;0,AVERAGE(AD$11:AD12)*31+AVERAGE(AG$11:AG12)*31,)</f>
        <v>46717</v>
      </c>
      <c r="BG12" s="41">
        <f>IF(AJ12&lt;&gt;0,AVERAGE(AJ$11:AJ12)*31,)</f>
        <v>4712</v>
      </c>
      <c r="BH12" s="41">
        <f>IF(AN12&lt;&gt;0,AVERAGE(AN$11:AN12)*31,)</f>
        <v>16058</v>
      </c>
      <c r="BI12" s="41">
        <f>IF(AR12&lt;&gt;0,AVERAGE(AR$11:AR12)*31,)</f>
        <v>9424</v>
      </c>
    </row>
    <row r="13" spans="1:61" ht="15.75">
      <c r="A13" s="32">
        <f t="shared" si="10"/>
        <v>3</v>
      </c>
      <c r="B13" s="24" t="s">
        <v>75</v>
      </c>
      <c r="C13" s="33"/>
      <c r="D13" s="25">
        <v>319267</v>
      </c>
      <c r="E13" s="29">
        <f t="shared" si="0"/>
        <v>88</v>
      </c>
      <c r="F13" s="26">
        <v>7043</v>
      </c>
      <c r="G13" s="29">
        <f t="shared" si="1"/>
        <v>0</v>
      </c>
      <c r="H13" s="25">
        <v>76074</v>
      </c>
      <c r="I13" s="29">
        <f t="shared" si="2"/>
        <v>285</v>
      </c>
      <c r="J13" s="27">
        <v>591453</v>
      </c>
      <c r="K13" s="29">
        <f t="shared" si="2"/>
        <v>274</v>
      </c>
      <c r="L13" s="28"/>
      <c r="M13" s="34" t="e">
        <f t="shared" si="11"/>
        <v>#DIV/0!</v>
      </c>
      <c r="N13" s="25">
        <v>8656</v>
      </c>
      <c r="O13" s="29">
        <f t="shared" si="3"/>
        <v>74</v>
      </c>
      <c r="P13" s="35">
        <v>92753</v>
      </c>
      <c r="Q13" s="30">
        <f t="shared" si="4"/>
        <v>33</v>
      </c>
      <c r="R13" s="35">
        <v>35</v>
      </c>
      <c r="S13" s="30">
        <f t="shared" si="4"/>
        <v>0</v>
      </c>
      <c r="T13" s="35">
        <v>195212</v>
      </c>
      <c r="U13" s="30">
        <f t="shared" si="5"/>
        <v>52</v>
      </c>
      <c r="V13" s="36"/>
      <c r="W13" s="29">
        <f t="shared" si="6"/>
        <v>0</v>
      </c>
      <c r="X13" s="27">
        <v>18693</v>
      </c>
      <c r="Y13" s="26"/>
      <c r="Z13" s="29">
        <f t="shared" si="7"/>
        <v>0</v>
      </c>
      <c r="AA13" s="27">
        <v>3180</v>
      </c>
      <c r="AB13" s="25"/>
      <c r="AC13" s="30">
        <f t="shared" si="12"/>
        <v>0</v>
      </c>
      <c r="AD13" s="27">
        <v>333</v>
      </c>
      <c r="AE13" s="35"/>
      <c r="AF13" s="30">
        <f t="shared" si="13"/>
        <v>0</v>
      </c>
      <c r="AG13" s="27">
        <v>1053</v>
      </c>
      <c r="AH13" s="25"/>
      <c r="AI13" s="29">
        <f t="shared" si="14"/>
        <v>0</v>
      </c>
      <c r="AJ13" s="27">
        <v>160</v>
      </c>
      <c r="AK13" s="28"/>
      <c r="AL13" s="25"/>
      <c r="AM13" s="29">
        <f t="shared" si="8"/>
        <v>0</v>
      </c>
      <c r="AN13" s="27">
        <v>501</v>
      </c>
      <c r="AO13" s="28"/>
      <c r="AP13" s="25"/>
      <c r="AQ13" s="29"/>
      <c r="AR13" s="27">
        <v>312</v>
      </c>
      <c r="AS13" s="37">
        <v>26</v>
      </c>
      <c r="AT13" s="37">
        <v>37</v>
      </c>
      <c r="AU13" s="94"/>
      <c r="AV13" s="31"/>
      <c r="AW13" s="95">
        <f t="shared" si="9"/>
        <v>0</v>
      </c>
      <c r="AY13" s="39">
        <f t="shared" si="15"/>
        <v>3</v>
      </c>
      <c r="AZ13" s="40">
        <f t="shared" si="16"/>
        <v>2934.666666666667</v>
      </c>
      <c r="BA13" s="40">
        <f t="shared" si="17"/>
        <v>10.333333333333332</v>
      </c>
      <c r="BB13" s="40">
        <f t="shared" si="18"/>
        <v>9041.6666666666679</v>
      </c>
      <c r="BC13" s="40">
        <f t="shared" si="19"/>
        <v>2573</v>
      </c>
      <c r="BD13" s="41">
        <f t="shared" si="20"/>
        <v>0</v>
      </c>
      <c r="BE13" s="40">
        <f>IF(X13&lt;&gt;0,AVERAGE(X$11:X13)*31,)</f>
        <v>571702</v>
      </c>
      <c r="BF13" s="40">
        <f>IF(AD13+AG13&lt;&gt;0,AVERAGE(AD$11:AD13)*31+AVERAGE(AG$11:AG13)*31,)</f>
        <v>45466.666666666672</v>
      </c>
      <c r="BG13" s="41">
        <f>IF(AJ13&lt;&gt;0,AVERAGE(AJ$11:AJ13)*31,)</f>
        <v>4794.6666666666661</v>
      </c>
      <c r="BH13" s="41">
        <f>IF(AN13&lt;&gt;0,AVERAGE(AN$11:AN13)*31,)</f>
        <v>15882.333333333334</v>
      </c>
      <c r="BI13" s="41">
        <f>IF(AR13&lt;&gt;0,AVERAGE(AR$11:AR13)*31,)</f>
        <v>9506.6666666666679</v>
      </c>
    </row>
    <row r="14" spans="1:61" ht="15.75">
      <c r="A14" s="32">
        <f t="shared" si="10"/>
        <v>4</v>
      </c>
      <c r="B14" s="24" t="s">
        <v>75</v>
      </c>
      <c r="C14" s="33"/>
      <c r="D14" s="25">
        <v>319366</v>
      </c>
      <c r="E14" s="29">
        <f t="shared" si="0"/>
        <v>99</v>
      </c>
      <c r="F14" s="26">
        <v>7043</v>
      </c>
      <c r="G14" s="29">
        <f t="shared" si="1"/>
        <v>0</v>
      </c>
      <c r="H14" s="25">
        <v>76365</v>
      </c>
      <c r="I14" s="29">
        <f t="shared" si="2"/>
        <v>291</v>
      </c>
      <c r="J14" s="27">
        <v>591733</v>
      </c>
      <c r="K14" s="29">
        <f t="shared" si="2"/>
        <v>280</v>
      </c>
      <c r="L14" s="28"/>
      <c r="M14" s="34" t="e">
        <f t="shared" si="11"/>
        <v>#DIV/0!</v>
      </c>
      <c r="N14" s="25">
        <v>8750</v>
      </c>
      <c r="O14" s="29">
        <f t="shared" si="3"/>
        <v>94</v>
      </c>
      <c r="P14" s="35">
        <v>92790</v>
      </c>
      <c r="Q14" s="30">
        <f t="shared" si="4"/>
        <v>37</v>
      </c>
      <c r="R14" s="35">
        <v>35</v>
      </c>
      <c r="S14" s="30">
        <f t="shared" si="4"/>
        <v>0</v>
      </c>
      <c r="T14" s="35">
        <v>195276</v>
      </c>
      <c r="U14" s="30">
        <f t="shared" si="5"/>
        <v>64</v>
      </c>
      <c r="V14" s="36"/>
      <c r="W14" s="29">
        <f t="shared" si="6"/>
        <v>0</v>
      </c>
      <c r="X14" s="27">
        <v>18537</v>
      </c>
      <c r="Y14" s="26"/>
      <c r="Z14" s="29">
        <f t="shared" si="7"/>
        <v>0</v>
      </c>
      <c r="AA14" s="27">
        <v>2961</v>
      </c>
      <c r="AB14" s="25"/>
      <c r="AC14" s="30">
        <f t="shared" si="12"/>
        <v>0</v>
      </c>
      <c r="AD14" s="27">
        <v>334</v>
      </c>
      <c r="AE14" s="35"/>
      <c r="AF14" s="30">
        <f t="shared" si="13"/>
        <v>0</v>
      </c>
      <c r="AG14" s="27">
        <v>1078</v>
      </c>
      <c r="AH14" s="25"/>
      <c r="AI14" s="29">
        <f t="shared" si="14"/>
        <v>0</v>
      </c>
      <c r="AJ14" s="27">
        <v>144</v>
      </c>
      <c r="AK14" s="28"/>
      <c r="AL14" s="25"/>
      <c r="AM14" s="29">
        <f t="shared" si="8"/>
        <v>0</v>
      </c>
      <c r="AN14" s="27">
        <v>505</v>
      </c>
      <c r="AO14" s="28"/>
      <c r="AP14" s="25"/>
      <c r="AQ14" s="29"/>
      <c r="AR14" s="27">
        <v>288</v>
      </c>
      <c r="AS14" s="37">
        <v>23</v>
      </c>
      <c r="AT14" s="37">
        <v>34</v>
      </c>
      <c r="AU14" s="94"/>
      <c r="AV14" s="31"/>
      <c r="AW14" s="95">
        <f t="shared" si="9"/>
        <v>0</v>
      </c>
      <c r="AY14" s="39">
        <f t="shared" si="15"/>
        <v>4</v>
      </c>
      <c r="AZ14" s="40">
        <f t="shared" si="16"/>
        <v>2968.25</v>
      </c>
      <c r="BA14" s="40">
        <f t="shared" si="17"/>
        <v>7.75</v>
      </c>
      <c r="BB14" s="40">
        <f t="shared" si="18"/>
        <v>9036.5</v>
      </c>
      <c r="BC14" s="40">
        <f t="shared" si="19"/>
        <v>2658.25</v>
      </c>
      <c r="BD14" s="41">
        <f t="shared" si="20"/>
        <v>0</v>
      </c>
      <c r="BE14" s="40">
        <f>IF(X14&lt;&gt;0,AVERAGE(X$11:X14)*31,)</f>
        <v>572438.25</v>
      </c>
      <c r="BF14" s="40">
        <f>IF(AD14+AG14&lt;&gt;0,AVERAGE(AD$11:AD14)*31+AVERAGE(AG$11:AG14)*31,)</f>
        <v>45043</v>
      </c>
      <c r="BG14" s="41">
        <f>IF(AJ14&lt;&gt;0,AVERAGE(AJ$11:AJ14)*31,)</f>
        <v>4712</v>
      </c>
      <c r="BH14" s="41">
        <f>IF(AN14&lt;&gt;0,AVERAGE(AN$11:AN14)*31,)</f>
        <v>15825.5</v>
      </c>
      <c r="BI14" s="41">
        <f>IF(AR14&lt;&gt;0,AVERAGE(AR$11:AR14)*31,)</f>
        <v>9362</v>
      </c>
    </row>
    <row r="15" spans="1:61" ht="15.75">
      <c r="A15" s="32">
        <f t="shared" si="10"/>
        <v>5</v>
      </c>
      <c r="B15" s="24" t="s">
        <v>75</v>
      </c>
      <c r="C15" s="33"/>
      <c r="D15" s="25">
        <v>319527</v>
      </c>
      <c r="E15" s="29">
        <f t="shared" si="0"/>
        <v>161</v>
      </c>
      <c r="F15" s="26">
        <v>7043</v>
      </c>
      <c r="G15" s="29">
        <f t="shared" si="1"/>
        <v>0</v>
      </c>
      <c r="H15" s="25">
        <v>76654</v>
      </c>
      <c r="I15" s="29">
        <f t="shared" si="2"/>
        <v>289</v>
      </c>
      <c r="J15" s="27">
        <v>592013</v>
      </c>
      <c r="K15" s="29">
        <f t="shared" si="2"/>
        <v>280</v>
      </c>
      <c r="L15" s="28"/>
      <c r="M15" s="34" t="e">
        <f t="shared" si="11"/>
        <v>#DIV/0!</v>
      </c>
      <c r="N15" s="25">
        <v>8851</v>
      </c>
      <c r="O15" s="29">
        <f t="shared" si="3"/>
        <v>101</v>
      </c>
      <c r="P15" s="2">
        <v>92835</v>
      </c>
      <c r="Q15" s="30">
        <f t="shared" si="4"/>
        <v>45</v>
      </c>
      <c r="R15" s="35">
        <v>35</v>
      </c>
      <c r="S15" s="30">
        <f t="shared" si="4"/>
        <v>0</v>
      </c>
      <c r="T15" s="35">
        <v>195352</v>
      </c>
      <c r="U15" s="30">
        <f t="shared" si="5"/>
        <v>76</v>
      </c>
      <c r="V15" s="36"/>
      <c r="W15" s="29">
        <f t="shared" si="6"/>
        <v>0</v>
      </c>
      <c r="X15" s="27">
        <v>18942</v>
      </c>
      <c r="Y15" s="26"/>
      <c r="Z15" s="29">
        <f t="shared" si="7"/>
        <v>0</v>
      </c>
      <c r="AA15" s="27">
        <v>2879</v>
      </c>
      <c r="AB15" s="25"/>
      <c r="AC15" s="30">
        <f t="shared" si="12"/>
        <v>0</v>
      </c>
      <c r="AD15" s="27">
        <v>339</v>
      </c>
      <c r="AE15" s="35"/>
      <c r="AF15" s="30">
        <f t="shared" si="13"/>
        <v>0</v>
      </c>
      <c r="AG15" s="27">
        <v>1187</v>
      </c>
      <c r="AH15" s="25"/>
      <c r="AI15" s="29">
        <f t="shared" si="14"/>
        <v>0</v>
      </c>
      <c r="AJ15" s="27">
        <v>152</v>
      </c>
      <c r="AK15" s="28"/>
      <c r="AL15" s="25"/>
      <c r="AM15" s="29">
        <f t="shared" si="8"/>
        <v>0</v>
      </c>
      <c r="AN15" s="27">
        <v>515</v>
      </c>
      <c r="AO15" s="28"/>
      <c r="AP15" s="25"/>
      <c r="AQ15" s="29"/>
      <c r="AR15" s="27">
        <v>248</v>
      </c>
      <c r="AS15" s="37">
        <v>22</v>
      </c>
      <c r="AT15" s="42">
        <v>34</v>
      </c>
      <c r="AU15" s="94"/>
      <c r="AV15" s="31"/>
      <c r="AW15" s="95">
        <f t="shared" si="9"/>
        <v>0</v>
      </c>
      <c r="AY15" s="39">
        <f t="shared" si="15"/>
        <v>5</v>
      </c>
      <c r="AZ15" s="40">
        <f t="shared" si="16"/>
        <v>3372.7999999999997</v>
      </c>
      <c r="BA15" s="40">
        <f t="shared" si="17"/>
        <v>6.2</v>
      </c>
      <c r="BB15" s="40">
        <f t="shared" si="18"/>
        <v>9021</v>
      </c>
      <c r="BC15" s="40">
        <f t="shared" si="19"/>
        <v>2752.7999999999997</v>
      </c>
      <c r="BD15" s="41">
        <f t="shared" si="20"/>
        <v>0</v>
      </c>
      <c r="BE15" s="40">
        <f>IF(X15&lt;&gt;0,AVERAGE(X$11:X15)*31,)</f>
        <v>575391</v>
      </c>
      <c r="BF15" s="40">
        <f>IF(AD15+AG15&lt;&gt;0,AVERAGE(AD$11:AD15)*31+AVERAGE(AG$11:AG15)*31,)</f>
        <v>45495.6</v>
      </c>
      <c r="BG15" s="41">
        <f>IF(AJ15&lt;&gt;0,AVERAGE(AJ$11:AJ15)*31,)</f>
        <v>4712</v>
      </c>
      <c r="BH15" s="41">
        <f>IF(AN15&lt;&gt;0,AVERAGE(AN$11:AN15)*31,)</f>
        <v>15853.4</v>
      </c>
      <c r="BI15" s="41">
        <f>IF(AR15&lt;&gt;0,AVERAGE(AR$11:AR15)*31,)</f>
        <v>9027.1999999999989</v>
      </c>
    </row>
    <row r="16" spans="1:61" ht="15.75">
      <c r="A16" s="32">
        <f t="shared" si="10"/>
        <v>6</v>
      </c>
      <c r="B16" s="24" t="s">
        <v>75</v>
      </c>
      <c r="C16" s="33"/>
      <c r="D16" s="25">
        <v>319617</v>
      </c>
      <c r="E16" s="29">
        <f t="shared" si="0"/>
        <v>90</v>
      </c>
      <c r="F16" s="26">
        <v>7043</v>
      </c>
      <c r="G16" s="29">
        <f t="shared" si="1"/>
        <v>0</v>
      </c>
      <c r="H16" s="25">
        <v>76954</v>
      </c>
      <c r="I16" s="29">
        <f t="shared" si="2"/>
        <v>300</v>
      </c>
      <c r="J16" s="27">
        <v>592302</v>
      </c>
      <c r="K16" s="29">
        <f t="shared" si="2"/>
        <v>289</v>
      </c>
      <c r="L16" s="28"/>
      <c r="M16" s="34" t="e">
        <f t="shared" si="11"/>
        <v>#DIV/0!</v>
      </c>
      <c r="N16" s="25">
        <v>8937</v>
      </c>
      <c r="O16" s="29">
        <f t="shared" si="3"/>
        <v>86</v>
      </c>
      <c r="P16" s="35">
        <v>92874</v>
      </c>
      <c r="Q16" s="30">
        <f t="shared" si="4"/>
        <v>39</v>
      </c>
      <c r="R16" s="35">
        <v>35</v>
      </c>
      <c r="S16" s="30">
        <f t="shared" si="4"/>
        <v>0</v>
      </c>
      <c r="T16" s="35">
        <v>195419</v>
      </c>
      <c r="U16" s="30">
        <f t="shared" si="5"/>
        <v>67</v>
      </c>
      <c r="V16" s="36"/>
      <c r="W16" s="29">
        <f t="shared" si="6"/>
        <v>0</v>
      </c>
      <c r="X16" s="27">
        <v>19281</v>
      </c>
      <c r="Y16" s="26"/>
      <c r="Z16" s="29">
        <f t="shared" si="7"/>
        <v>0</v>
      </c>
      <c r="AA16" s="27">
        <v>2858</v>
      </c>
      <c r="AB16" s="25"/>
      <c r="AC16" s="30">
        <f t="shared" si="12"/>
        <v>0</v>
      </c>
      <c r="AD16" s="27">
        <v>367</v>
      </c>
      <c r="AE16" s="35"/>
      <c r="AF16" s="30">
        <f t="shared" si="13"/>
        <v>0</v>
      </c>
      <c r="AG16" s="27">
        <v>1215</v>
      </c>
      <c r="AH16" s="25"/>
      <c r="AI16" s="29">
        <f t="shared" si="14"/>
        <v>0</v>
      </c>
      <c r="AJ16" s="27">
        <v>168</v>
      </c>
      <c r="AK16" s="28"/>
      <c r="AL16" s="25"/>
      <c r="AM16" s="29">
        <f t="shared" si="8"/>
        <v>0</v>
      </c>
      <c r="AN16" s="27">
        <v>496</v>
      </c>
      <c r="AO16" s="28"/>
      <c r="AP16" s="25"/>
      <c r="AQ16" s="29"/>
      <c r="AR16" s="27">
        <v>272</v>
      </c>
      <c r="AS16" s="37">
        <v>24</v>
      </c>
      <c r="AT16" s="37">
        <v>33</v>
      </c>
      <c r="AU16" s="94"/>
      <c r="AV16" s="31"/>
      <c r="AW16" s="95">
        <f t="shared" si="9"/>
        <v>0</v>
      </c>
      <c r="AY16" s="39">
        <f t="shared" si="15"/>
        <v>6</v>
      </c>
      <c r="AZ16" s="40">
        <f t="shared" si="16"/>
        <v>3275.666666666667</v>
      </c>
      <c r="BA16" s="40">
        <f t="shared" si="17"/>
        <v>5.1666666666666661</v>
      </c>
      <c r="BB16" s="40">
        <f t="shared" si="18"/>
        <v>9067.5</v>
      </c>
      <c r="BC16" s="40">
        <f t="shared" si="19"/>
        <v>2738.333333333333</v>
      </c>
      <c r="BD16" s="41">
        <f t="shared" si="20"/>
        <v>0</v>
      </c>
      <c r="BE16" s="40">
        <f>IF(X16&lt;&gt;0,AVERAGE(X$11:X16)*31,)</f>
        <v>579111</v>
      </c>
      <c r="BF16" s="40">
        <f>IF(AD16+AG16&lt;&gt;0,AVERAGE(AD$11:AD16)*31+AVERAGE(AG$11:AG16)*31,)</f>
        <v>46086.666666666657</v>
      </c>
      <c r="BG16" s="41">
        <f>IF(AJ16&lt;&gt;0,AVERAGE(AJ$11:AJ16)*31,)</f>
        <v>4794.6666666666661</v>
      </c>
      <c r="BH16" s="41">
        <f>IF(AN16&lt;&gt;0,AVERAGE(AN$11:AN16)*31,)</f>
        <v>15773.833333333332</v>
      </c>
      <c r="BI16" s="41">
        <f>IF(AR16&lt;&gt;0,AVERAGE(AR$11:AR16)*31,)</f>
        <v>8928</v>
      </c>
    </row>
    <row r="17" spans="1:61" ht="15.75">
      <c r="A17" s="32">
        <f t="shared" si="10"/>
        <v>7</v>
      </c>
      <c r="B17" s="24" t="s">
        <v>75</v>
      </c>
      <c r="C17" s="33"/>
      <c r="D17" s="25">
        <v>319772</v>
      </c>
      <c r="E17" s="29">
        <f t="shared" si="0"/>
        <v>155</v>
      </c>
      <c r="F17" s="26">
        <v>7044</v>
      </c>
      <c r="G17" s="29">
        <f t="shared" si="1"/>
        <v>1</v>
      </c>
      <c r="H17" s="25">
        <v>77250</v>
      </c>
      <c r="I17" s="29">
        <f t="shared" si="2"/>
        <v>296</v>
      </c>
      <c r="J17" s="27">
        <v>592587</v>
      </c>
      <c r="K17" s="29">
        <f t="shared" si="2"/>
        <v>285</v>
      </c>
      <c r="L17" s="28"/>
      <c r="M17" s="34" t="e">
        <f t="shared" si="11"/>
        <v>#DIV/0!</v>
      </c>
      <c r="N17" s="25">
        <v>9023</v>
      </c>
      <c r="O17" s="29">
        <f t="shared" si="3"/>
        <v>86</v>
      </c>
      <c r="P17" s="35">
        <v>92912</v>
      </c>
      <c r="Q17" s="30">
        <f t="shared" si="4"/>
        <v>38</v>
      </c>
      <c r="R17" s="35">
        <v>35</v>
      </c>
      <c r="S17" s="30">
        <f t="shared" si="4"/>
        <v>0</v>
      </c>
      <c r="T17" s="35">
        <v>195486</v>
      </c>
      <c r="U17" s="30">
        <f t="shared" si="5"/>
        <v>67</v>
      </c>
      <c r="V17" s="36"/>
      <c r="W17" s="29">
        <f t="shared" si="6"/>
        <v>0</v>
      </c>
      <c r="X17" s="27">
        <v>18253</v>
      </c>
      <c r="Y17" s="26"/>
      <c r="Z17" s="29">
        <f t="shared" si="7"/>
        <v>0</v>
      </c>
      <c r="AA17" s="27">
        <v>2761</v>
      </c>
      <c r="AB17" s="25"/>
      <c r="AC17" s="30">
        <f t="shared" si="12"/>
        <v>0</v>
      </c>
      <c r="AD17" s="27">
        <v>345</v>
      </c>
      <c r="AE17" s="35"/>
      <c r="AF17" s="30">
        <f t="shared" si="13"/>
        <v>0</v>
      </c>
      <c r="AG17" s="27">
        <v>1160</v>
      </c>
      <c r="AH17" s="25"/>
      <c r="AI17" s="29">
        <f t="shared" si="14"/>
        <v>0</v>
      </c>
      <c r="AJ17" s="27">
        <v>168</v>
      </c>
      <c r="AK17" s="28"/>
      <c r="AL17" s="25"/>
      <c r="AM17" s="29">
        <f t="shared" si="8"/>
        <v>0</v>
      </c>
      <c r="AN17" s="27">
        <v>476</v>
      </c>
      <c r="AO17" s="28"/>
      <c r="AP17" s="25"/>
      <c r="AQ17" s="29"/>
      <c r="AR17" s="27">
        <v>296</v>
      </c>
      <c r="AS17" s="37">
        <v>23</v>
      </c>
      <c r="AT17" s="37">
        <v>35</v>
      </c>
      <c r="AU17" s="94"/>
      <c r="AV17" s="31"/>
      <c r="AW17" s="95">
        <f>IF(ISBLANK(AV17),0,AV17-AV16)</f>
        <v>0</v>
      </c>
      <c r="AY17" s="39">
        <f t="shared" si="15"/>
        <v>7</v>
      </c>
      <c r="AZ17" s="40">
        <f t="shared" si="16"/>
        <v>3494.1428571428569</v>
      </c>
      <c r="BA17" s="40">
        <f t="shared" si="17"/>
        <v>8.8571428571428559</v>
      </c>
      <c r="BB17" s="40">
        <f t="shared" si="18"/>
        <v>9083</v>
      </c>
      <c r="BC17" s="40">
        <f t="shared" si="19"/>
        <v>2728</v>
      </c>
      <c r="BD17" s="41">
        <f t="shared" si="20"/>
        <v>0</v>
      </c>
      <c r="BE17" s="40">
        <f>IF(X17&lt;&gt;0,AVERAGE(X$11:X17)*31,)</f>
        <v>577215.57142857136</v>
      </c>
      <c r="BF17" s="40">
        <f>IF(AD17+AG17&lt;&gt;0,AVERAGE(AD$11:AD17)*31+AVERAGE(AG$11:AG17)*31,)</f>
        <v>46167.857142857145</v>
      </c>
      <c r="BG17" s="41">
        <f>IF(AJ17&lt;&gt;0,AVERAGE(AJ$11:AJ17)*31,)</f>
        <v>4853.7142857142862</v>
      </c>
      <c r="BH17" s="41">
        <f>IF(AN17&lt;&gt;0,AVERAGE(AN$11:AN17)*31,)</f>
        <v>15628.428571428572</v>
      </c>
      <c r="BI17" s="41">
        <f>IF(AR17&lt;&gt;0,AVERAGE(AR$11:AR17)*31,)</f>
        <v>8963.4285714285725</v>
      </c>
    </row>
    <row r="18" spans="1:61" ht="15.75">
      <c r="A18" s="32">
        <f t="shared" si="10"/>
        <v>8</v>
      </c>
      <c r="B18" s="24" t="s">
        <v>75</v>
      </c>
      <c r="C18" s="33"/>
      <c r="D18" s="25">
        <v>319966</v>
      </c>
      <c r="E18" s="29">
        <f t="shared" si="0"/>
        <v>194</v>
      </c>
      <c r="F18" s="26">
        <v>7045</v>
      </c>
      <c r="G18" s="29">
        <f t="shared" si="1"/>
        <v>1</v>
      </c>
      <c r="H18" s="25">
        <v>77528</v>
      </c>
      <c r="I18" s="29">
        <f>IF(ISBLANK(H18),0,H18-H17)</f>
        <v>278</v>
      </c>
      <c r="J18" s="27">
        <v>592854</v>
      </c>
      <c r="K18" s="29">
        <f t="shared" si="2"/>
        <v>267</v>
      </c>
      <c r="L18" s="28"/>
      <c r="M18" s="34" t="e">
        <f t="shared" si="11"/>
        <v>#DIV/0!</v>
      </c>
      <c r="N18" s="25">
        <v>9098</v>
      </c>
      <c r="O18" s="29">
        <f t="shared" si="3"/>
        <v>75</v>
      </c>
      <c r="P18" s="35">
        <v>92952</v>
      </c>
      <c r="Q18" s="30">
        <f t="shared" si="4"/>
        <v>40</v>
      </c>
      <c r="R18" s="35">
        <v>35</v>
      </c>
      <c r="S18" s="30">
        <f t="shared" si="4"/>
        <v>0</v>
      </c>
      <c r="T18" s="35">
        <v>195553</v>
      </c>
      <c r="U18" s="30">
        <f t="shared" si="5"/>
        <v>67</v>
      </c>
      <c r="V18" s="36"/>
      <c r="W18" s="29">
        <f t="shared" si="6"/>
        <v>0</v>
      </c>
      <c r="X18" s="27">
        <v>17264</v>
      </c>
      <c r="Y18" s="26"/>
      <c r="Z18" s="29">
        <f t="shared" si="7"/>
        <v>0</v>
      </c>
      <c r="AA18" s="27">
        <v>2508</v>
      </c>
      <c r="AB18" s="25"/>
      <c r="AC18" s="30">
        <f t="shared" si="12"/>
        <v>0</v>
      </c>
      <c r="AD18" s="27">
        <v>359</v>
      </c>
      <c r="AE18" s="35"/>
      <c r="AF18" s="30">
        <f t="shared" si="13"/>
        <v>0</v>
      </c>
      <c r="AG18" s="27">
        <v>1104</v>
      </c>
      <c r="AH18" s="25"/>
      <c r="AI18" s="29">
        <f t="shared" si="14"/>
        <v>0</v>
      </c>
      <c r="AJ18" s="27">
        <v>176</v>
      </c>
      <c r="AK18" s="28"/>
      <c r="AL18" s="25"/>
      <c r="AM18" s="29">
        <f t="shared" si="8"/>
        <v>0</v>
      </c>
      <c r="AN18" s="27">
        <v>475</v>
      </c>
      <c r="AO18" s="28"/>
      <c r="AP18" s="25"/>
      <c r="AQ18" s="29"/>
      <c r="AR18" s="27">
        <v>272</v>
      </c>
      <c r="AS18" s="37">
        <v>22</v>
      </c>
      <c r="AT18" s="37">
        <v>31</v>
      </c>
      <c r="AU18" s="94"/>
      <c r="AV18" s="31"/>
      <c r="AW18" s="95">
        <f t="shared" si="9"/>
        <v>0</v>
      </c>
      <c r="AY18" s="39">
        <f t="shared" si="15"/>
        <v>8</v>
      </c>
      <c r="AZ18" s="40">
        <f t="shared" si="16"/>
        <v>3809.125</v>
      </c>
      <c r="BA18" s="40">
        <f t="shared" si="17"/>
        <v>11.625</v>
      </c>
      <c r="BB18" s="40">
        <f t="shared" si="18"/>
        <v>9024.875</v>
      </c>
      <c r="BC18" s="40">
        <f t="shared" si="19"/>
        <v>2677.625</v>
      </c>
      <c r="BD18" s="41">
        <f t="shared" si="20"/>
        <v>0</v>
      </c>
      <c r="BE18" s="40">
        <f>IF(X18&lt;&gt;0,AVERAGE(X$11:X18)*31,)</f>
        <v>571961.625</v>
      </c>
      <c r="BF18" s="40">
        <f>IF(AD18+AG18&lt;&gt;0,AVERAGE(AD$11:AD18)*31+AVERAGE(AG$11:AG18)*31,)</f>
        <v>46066</v>
      </c>
      <c r="BG18" s="41">
        <f>IF(AJ18&lt;&gt;0,AVERAGE(AJ$11:AJ18)*31,)</f>
        <v>4929</v>
      </c>
      <c r="BH18" s="41">
        <f>IF(AN18&lt;&gt;0,AVERAGE(AN$11:AN18)*31,)</f>
        <v>15515.5</v>
      </c>
      <c r="BI18" s="41">
        <f>IF(AR18&lt;&gt;0,AVERAGE(AR$11:AR18)*31,)</f>
        <v>8897</v>
      </c>
    </row>
    <row r="19" spans="1:61" ht="15.75">
      <c r="A19" s="32">
        <v>9</v>
      </c>
      <c r="B19" s="24" t="s">
        <v>75</v>
      </c>
      <c r="C19" s="33"/>
      <c r="D19" s="25">
        <v>320174</v>
      </c>
      <c r="E19" s="29">
        <f t="shared" si="0"/>
        <v>208</v>
      </c>
      <c r="F19" s="26">
        <v>7045</v>
      </c>
      <c r="G19" s="29">
        <f t="shared" si="1"/>
        <v>0</v>
      </c>
      <c r="H19" s="96">
        <v>77814</v>
      </c>
      <c r="I19" s="29">
        <f t="shared" si="2"/>
        <v>286</v>
      </c>
      <c r="J19" s="27">
        <v>593130</v>
      </c>
      <c r="K19" s="29">
        <f t="shared" si="2"/>
        <v>276</v>
      </c>
      <c r="L19" s="28"/>
      <c r="M19" s="34" t="e">
        <f t="shared" si="11"/>
        <v>#DIV/0!</v>
      </c>
      <c r="N19" s="25">
        <v>9173</v>
      </c>
      <c r="O19" s="29">
        <f>IF(ISBLANK(N19),0,N19-N18)</f>
        <v>75</v>
      </c>
      <c r="P19" s="35">
        <v>92989</v>
      </c>
      <c r="Q19" s="30">
        <f t="shared" si="4"/>
        <v>37</v>
      </c>
      <c r="R19" s="35">
        <v>35</v>
      </c>
      <c r="S19" s="30">
        <f t="shared" si="4"/>
        <v>0</v>
      </c>
      <c r="T19" s="35">
        <v>195621</v>
      </c>
      <c r="U19" s="30">
        <f t="shared" si="5"/>
        <v>68</v>
      </c>
      <c r="V19" s="36"/>
      <c r="W19" s="29">
        <f t="shared" si="6"/>
        <v>0</v>
      </c>
      <c r="X19" s="27">
        <v>16850</v>
      </c>
      <c r="Y19" s="26"/>
      <c r="Z19" s="29">
        <f t="shared" si="7"/>
        <v>0</v>
      </c>
      <c r="AA19" s="27">
        <v>2718</v>
      </c>
      <c r="AB19" s="25"/>
      <c r="AC19" s="30">
        <f t="shared" si="12"/>
        <v>0</v>
      </c>
      <c r="AD19" s="27">
        <v>346</v>
      </c>
      <c r="AE19" s="35"/>
      <c r="AF19" s="30">
        <f t="shared" si="13"/>
        <v>0</v>
      </c>
      <c r="AG19" s="27">
        <v>1151</v>
      </c>
      <c r="AH19" s="25"/>
      <c r="AI19" s="29">
        <f t="shared" si="14"/>
        <v>0</v>
      </c>
      <c r="AJ19" s="27">
        <v>144</v>
      </c>
      <c r="AK19" s="28"/>
      <c r="AL19" s="25"/>
      <c r="AM19" s="29">
        <f t="shared" si="8"/>
        <v>0</v>
      </c>
      <c r="AN19" s="27">
        <v>505</v>
      </c>
      <c r="AO19" s="28"/>
      <c r="AP19" s="25"/>
      <c r="AQ19" s="29"/>
      <c r="AR19" s="27">
        <v>296</v>
      </c>
      <c r="AS19" s="37">
        <v>21</v>
      </c>
      <c r="AT19" s="37">
        <v>32</v>
      </c>
      <c r="AU19" s="94"/>
      <c r="AV19" s="31"/>
      <c r="AW19" s="95">
        <f t="shared" si="9"/>
        <v>0</v>
      </c>
      <c r="AY19" s="39">
        <f t="shared" si="15"/>
        <v>9</v>
      </c>
      <c r="AZ19" s="40">
        <f t="shared" si="16"/>
        <v>4102.3333333333339</v>
      </c>
      <c r="BA19" s="40">
        <f t="shared" si="17"/>
        <v>10.333333333333332</v>
      </c>
      <c r="BB19" s="40">
        <f t="shared" si="18"/>
        <v>9007.2222222222226</v>
      </c>
      <c r="BC19" s="40">
        <f>IF(N19&lt;&gt;0,(+N19-N$10)/$A19*31,0)</f>
        <v>2638.4444444444443</v>
      </c>
      <c r="BD19" s="41">
        <f t="shared" si="20"/>
        <v>0</v>
      </c>
      <c r="BE19" s="40">
        <f>IF(X19&lt;&gt;0,AVERAGE(X$11:X19)*31,)</f>
        <v>566449.22222222225</v>
      </c>
      <c r="BF19" s="40">
        <f>IF(AD19+AG19&lt;&gt;0,AVERAGE(AD$11:AD19)*31+AVERAGE(AG$11:AG19)*31,)</f>
        <v>46103.888888888883</v>
      </c>
      <c r="BG19" s="41">
        <f>IF(AJ19&lt;&gt;0,AVERAGE(AJ$11:AJ19)*31,)</f>
        <v>4877.3333333333339</v>
      </c>
      <c r="BH19" s="41">
        <f>IF(AN19&lt;&gt;0,AVERAGE(AN$11:AN19)*31,)</f>
        <v>15531</v>
      </c>
      <c r="BI19" s="41">
        <f>IF(AR19&lt;&gt;0,AVERAGE(AR$11:AR19)*31,)</f>
        <v>8928</v>
      </c>
    </row>
    <row r="20" spans="1:61" ht="15.75">
      <c r="A20" s="32">
        <f>1+A19</f>
        <v>10</v>
      </c>
      <c r="B20" s="24" t="s">
        <v>75</v>
      </c>
      <c r="C20" s="33"/>
      <c r="D20" s="25">
        <v>320388</v>
      </c>
      <c r="E20" s="29">
        <f t="shared" si="0"/>
        <v>214</v>
      </c>
      <c r="F20" s="26">
        <v>7045</v>
      </c>
      <c r="G20" s="29">
        <f t="shared" si="1"/>
        <v>0</v>
      </c>
      <c r="H20" s="96">
        <v>78071</v>
      </c>
      <c r="I20" s="29">
        <f t="shared" si="2"/>
        <v>257</v>
      </c>
      <c r="J20" s="27">
        <v>593378</v>
      </c>
      <c r="K20" s="29">
        <f t="shared" si="2"/>
        <v>248</v>
      </c>
      <c r="L20" s="28"/>
      <c r="M20" s="34" t="e">
        <f t="shared" si="11"/>
        <v>#DIV/0!</v>
      </c>
      <c r="N20" s="25">
        <v>9249</v>
      </c>
      <c r="O20" s="29">
        <f>IF(ISBLANK(N20),0,N20-N19)</f>
        <v>76</v>
      </c>
      <c r="P20" s="35">
        <v>93022</v>
      </c>
      <c r="Q20" s="30">
        <f t="shared" si="4"/>
        <v>33</v>
      </c>
      <c r="R20" s="35">
        <v>35</v>
      </c>
      <c r="S20" s="30">
        <f t="shared" si="4"/>
        <v>0</v>
      </c>
      <c r="T20" s="35">
        <v>195680</v>
      </c>
      <c r="U20" s="30">
        <f t="shared" si="5"/>
        <v>59</v>
      </c>
      <c r="V20" s="36">
        <v>4819</v>
      </c>
      <c r="W20" s="29">
        <f t="shared" si="6"/>
        <v>10601800</v>
      </c>
      <c r="X20" s="27">
        <v>16285</v>
      </c>
      <c r="Y20" s="26">
        <v>926</v>
      </c>
      <c r="Z20" s="29">
        <f t="shared" si="7"/>
        <v>2037200</v>
      </c>
      <c r="AA20" s="27">
        <v>2773</v>
      </c>
      <c r="AB20" s="25">
        <v>1739163</v>
      </c>
      <c r="AC20" s="30">
        <f t="shared" si="12"/>
        <v>1739163</v>
      </c>
      <c r="AD20" s="27">
        <v>364</v>
      </c>
      <c r="AE20" s="35">
        <v>5128051</v>
      </c>
      <c r="AF20" s="30">
        <f t="shared" si="13"/>
        <v>5128051</v>
      </c>
      <c r="AG20" s="27">
        <v>1156</v>
      </c>
      <c r="AH20" s="25">
        <v>34024.699999999997</v>
      </c>
      <c r="AI20" s="29">
        <f t="shared" si="14"/>
        <v>2721976</v>
      </c>
      <c r="AJ20" s="27">
        <v>160</v>
      </c>
      <c r="AK20" s="28"/>
      <c r="AL20" s="25">
        <v>192573</v>
      </c>
      <c r="AM20" s="29">
        <f t="shared" si="8"/>
        <v>192573</v>
      </c>
      <c r="AN20" s="27">
        <v>508</v>
      </c>
      <c r="AO20" s="28"/>
      <c r="AP20" s="25">
        <v>46638</v>
      </c>
      <c r="AQ20" s="29"/>
      <c r="AR20" s="27">
        <v>336</v>
      </c>
      <c r="AS20" s="37">
        <v>21</v>
      </c>
      <c r="AT20" s="37">
        <v>33</v>
      </c>
      <c r="AU20" s="94"/>
      <c r="AV20" s="31"/>
      <c r="AW20" s="38">
        <f t="shared" si="9"/>
        <v>0</v>
      </c>
      <c r="AY20" s="39">
        <f t="shared" si="15"/>
        <v>10</v>
      </c>
      <c r="AZ20" s="40">
        <f t="shared" si="16"/>
        <v>4355.5</v>
      </c>
      <c r="BA20" s="40">
        <f t="shared" si="17"/>
        <v>9.2999999999999989</v>
      </c>
      <c r="BB20" s="40">
        <f t="shared" si="18"/>
        <v>8903.1999999999989</v>
      </c>
      <c r="BC20" s="40">
        <f t="shared" si="19"/>
        <v>2610.2000000000003</v>
      </c>
      <c r="BD20" s="41">
        <f t="shared" si="20"/>
        <v>576665.10000000196</v>
      </c>
      <c r="BE20" s="40">
        <f>IF(X20&lt;&gt;0,AVERAGE(X$11:X20)*31,)</f>
        <v>560287.79999999993</v>
      </c>
      <c r="BF20" s="40">
        <f>IF(AD20+AG20&lt;&gt;0,AVERAGE(AD$11:AD20)*31+AVERAGE(AG$11:AG20)*31,)</f>
        <v>46205.5</v>
      </c>
      <c r="BG20" s="41">
        <f>IF(AJ20&lt;&gt;0,AVERAGE(AJ$11:AJ20)*31,)</f>
        <v>4885.5999999999995</v>
      </c>
      <c r="BH20" s="41">
        <f>IF(AN20&lt;&gt;0,AVERAGE(AN$11:AN20)*31,)</f>
        <v>15552.699999999999</v>
      </c>
      <c r="BI20" s="41">
        <f>IF(AR20&lt;&gt;0,AVERAGE(AR$11:AR20)*31,)</f>
        <v>9076.8000000000011</v>
      </c>
    </row>
    <row r="21" spans="1:61" ht="15.75">
      <c r="A21" s="32">
        <f>1+A20</f>
        <v>11</v>
      </c>
      <c r="B21" s="24" t="s">
        <v>75</v>
      </c>
      <c r="C21" s="33"/>
      <c r="D21" s="25">
        <v>320558</v>
      </c>
      <c r="E21" s="29">
        <f t="shared" si="0"/>
        <v>170</v>
      </c>
      <c r="F21" s="26">
        <v>7045</v>
      </c>
      <c r="G21" s="29">
        <f t="shared" si="1"/>
        <v>0</v>
      </c>
      <c r="H21" s="25">
        <v>78345</v>
      </c>
      <c r="I21" s="29">
        <f t="shared" si="2"/>
        <v>274</v>
      </c>
      <c r="J21" s="27">
        <v>593642</v>
      </c>
      <c r="K21" s="29">
        <f t="shared" si="2"/>
        <v>264</v>
      </c>
      <c r="L21" s="28"/>
      <c r="M21" s="34" t="e">
        <f t="shared" si="11"/>
        <v>#DIV/0!</v>
      </c>
      <c r="N21" s="25">
        <v>9326</v>
      </c>
      <c r="O21" s="29">
        <f>IF(ISBLANK(N21),0,N21-N20)</f>
        <v>77</v>
      </c>
      <c r="P21" s="35">
        <v>93060</v>
      </c>
      <c r="Q21" s="30">
        <f t="shared" si="4"/>
        <v>38</v>
      </c>
      <c r="R21" s="35">
        <v>35</v>
      </c>
      <c r="S21" s="30">
        <f t="shared" si="4"/>
        <v>0</v>
      </c>
      <c r="T21" s="35">
        <v>195739</v>
      </c>
      <c r="U21" s="30">
        <f t="shared" si="5"/>
        <v>59</v>
      </c>
      <c r="V21" s="36"/>
      <c r="W21" s="29">
        <f t="shared" si="6"/>
        <v>0</v>
      </c>
      <c r="X21" s="27">
        <v>17500</v>
      </c>
      <c r="Y21" s="26"/>
      <c r="Z21" s="29">
        <f t="shared" si="7"/>
        <v>0</v>
      </c>
      <c r="AA21" s="27">
        <v>2661</v>
      </c>
      <c r="AB21" s="25"/>
      <c r="AC21" s="30">
        <f t="shared" si="12"/>
        <v>0</v>
      </c>
      <c r="AD21" s="27">
        <v>356</v>
      </c>
      <c r="AE21" s="35"/>
      <c r="AF21" s="30">
        <f t="shared" si="13"/>
        <v>0</v>
      </c>
      <c r="AG21" s="27">
        <v>1180</v>
      </c>
      <c r="AH21" s="25"/>
      <c r="AI21" s="29">
        <f t="shared" si="14"/>
        <v>0</v>
      </c>
      <c r="AJ21" s="27">
        <v>168</v>
      </c>
      <c r="AK21" s="28"/>
      <c r="AL21" s="25"/>
      <c r="AM21" s="29">
        <f t="shared" si="8"/>
        <v>0</v>
      </c>
      <c r="AN21" s="27">
        <v>499</v>
      </c>
      <c r="AO21" s="28"/>
      <c r="AP21" s="25"/>
      <c r="AQ21" s="29"/>
      <c r="AR21" s="27">
        <v>320</v>
      </c>
      <c r="AS21" s="37">
        <v>22</v>
      </c>
      <c r="AT21" s="37">
        <v>32</v>
      </c>
      <c r="AU21" s="94"/>
      <c r="AV21" s="31"/>
      <c r="AW21" s="38">
        <f t="shared" si="9"/>
        <v>0</v>
      </c>
      <c r="AY21" s="39">
        <v>11</v>
      </c>
      <c r="AZ21" s="40">
        <f t="shared" si="16"/>
        <v>4438.636363636364</v>
      </c>
      <c r="BA21" s="40">
        <f t="shared" si="17"/>
        <v>8.4545454545454533</v>
      </c>
      <c r="BB21" s="40">
        <f t="shared" si="18"/>
        <v>8866</v>
      </c>
      <c r="BC21" s="40">
        <f>IF(N21&lt;&gt;0,(+N21-N$10)/$A21*31,0)</f>
        <v>2589.909090909091</v>
      </c>
      <c r="BD21" s="41">
        <f t="shared" si="20"/>
        <v>0</v>
      </c>
      <c r="BE21" s="40">
        <f>IF(X21&lt;&gt;0,AVERAGE(X$11:X21)*31,)</f>
        <v>558670.72727272729</v>
      </c>
      <c r="BF21" s="40">
        <f>IF(AD21+AG21&lt;&gt;0,AVERAGE(AD$11:AD21)*31+AVERAGE(AG$11:AG21)*31,)</f>
        <v>46333.727272727265</v>
      </c>
      <c r="BG21" s="41">
        <f>IF(AJ21&lt;&gt;0,AVERAGE(AJ$11:AJ21)*31,)</f>
        <v>4914.9090909090901</v>
      </c>
      <c r="BH21" s="41">
        <f>IF(AN21&lt;&gt;0,AVERAGE(AN$11:AN21)*31,)</f>
        <v>15545.090909090908</v>
      </c>
      <c r="BI21" s="41">
        <f>IF(AR21&lt;&gt;0,AVERAGE(AR$11:AR21)*31,)</f>
        <v>9153.4545454545441</v>
      </c>
    </row>
    <row r="22" spans="1:61" ht="15.75">
      <c r="A22" s="32">
        <f>1+A21</f>
        <v>12</v>
      </c>
      <c r="B22" s="24" t="s">
        <v>75</v>
      </c>
      <c r="C22" s="33"/>
      <c r="D22" s="25">
        <v>320656</v>
      </c>
      <c r="E22" s="29">
        <f t="shared" si="0"/>
        <v>98</v>
      </c>
      <c r="F22" s="26">
        <v>7047</v>
      </c>
      <c r="G22" s="29">
        <f t="shared" si="1"/>
        <v>2</v>
      </c>
      <c r="H22" s="25">
        <v>78608</v>
      </c>
      <c r="I22" s="29">
        <f t="shared" si="2"/>
        <v>263</v>
      </c>
      <c r="J22" s="27">
        <v>593896</v>
      </c>
      <c r="K22" s="29">
        <f t="shared" si="2"/>
        <v>254</v>
      </c>
      <c r="L22" s="28"/>
      <c r="M22" s="34" t="e">
        <f t="shared" si="11"/>
        <v>#DIV/0!</v>
      </c>
      <c r="N22" s="25">
        <v>9406</v>
      </c>
      <c r="O22" s="29">
        <f>IF(ISBLANK(N22),0,N22-N21)</f>
        <v>80</v>
      </c>
      <c r="P22" s="35">
        <v>93090</v>
      </c>
      <c r="Q22" s="30">
        <f>IF(ISBLANK(P22),0,P22-P21)</f>
        <v>30</v>
      </c>
      <c r="R22" s="35">
        <v>35</v>
      </c>
      <c r="S22" s="30">
        <f t="shared" si="4"/>
        <v>0</v>
      </c>
      <c r="T22" s="35">
        <v>195795</v>
      </c>
      <c r="U22" s="30">
        <f t="shared" si="5"/>
        <v>56</v>
      </c>
      <c r="V22" s="36"/>
      <c r="W22" s="29">
        <f t="shared" si="6"/>
        <v>0</v>
      </c>
      <c r="X22" s="27">
        <v>18025</v>
      </c>
      <c r="Y22" s="26"/>
      <c r="Z22" s="29">
        <f t="shared" si="7"/>
        <v>0</v>
      </c>
      <c r="AA22" s="27">
        <v>2794</v>
      </c>
      <c r="AB22" s="25"/>
      <c r="AC22" s="30">
        <f t="shared" si="12"/>
        <v>0</v>
      </c>
      <c r="AD22" s="27">
        <v>345</v>
      </c>
      <c r="AE22" s="35"/>
      <c r="AF22" s="30">
        <f t="shared" si="13"/>
        <v>0</v>
      </c>
      <c r="AG22" s="27">
        <v>1197</v>
      </c>
      <c r="AH22" s="25"/>
      <c r="AI22" s="29">
        <f t="shared" si="14"/>
        <v>0</v>
      </c>
      <c r="AJ22" s="27">
        <v>200</v>
      </c>
      <c r="AK22" s="28"/>
      <c r="AL22" s="25"/>
      <c r="AM22" s="29">
        <f t="shared" si="8"/>
        <v>0</v>
      </c>
      <c r="AN22" s="27">
        <v>472</v>
      </c>
      <c r="AO22" s="28"/>
      <c r="AP22" s="25"/>
      <c r="AQ22" s="29"/>
      <c r="AR22" s="27">
        <v>296</v>
      </c>
      <c r="AS22" s="37">
        <v>22</v>
      </c>
      <c r="AT22" s="37">
        <v>31</v>
      </c>
      <c r="AU22" s="94"/>
      <c r="AV22" s="31"/>
      <c r="AW22" s="38">
        <f t="shared" si="9"/>
        <v>0</v>
      </c>
      <c r="AY22" s="39">
        <f t="shared" ref="AY22:AY41" si="21">1+AY21</f>
        <v>12</v>
      </c>
      <c r="AZ22" s="40">
        <f t="shared" si="16"/>
        <v>4321.9166666666661</v>
      </c>
      <c r="BA22" s="40">
        <f t="shared" si="17"/>
        <v>12.916666666666668</v>
      </c>
      <c r="BB22" s="40">
        <f t="shared" si="18"/>
        <v>8806.5833333333321</v>
      </c>
      <c r="BC22" s="40">
        <f t="shared" si="19"/>
        <v>2580.75</v>
      </c>
      <c r="BD22" s="41">
        <f t="shared" si="20"/>
        <v>0</v>
      </c>
      <c r="BE22" s="40">
        <f>IF(X22&lt;&gt;0,AVERAGE(X$11:X22)*31,)</f>
        <v>558679.41666666674</v>
      </c>
      <c r="BF22" s="40">
        <f>IF(AD22+AG22&lt;&gt;0,AVERAGE(AD$11:AD22)*31+AVERAGE(AG$11:AG22)*31,)</f>
        <v>46456.083333333343</v>
      </c>
      <c r="BG22" s="41">
        <f>IF(AJ22&lt;&gt;0,AVERAGE(AJ$11:AJ22)*31,)</f>
        <v>5022</v>
      </c>
      <c r="BH22" s="41">
        <f>IF(AN22&lt;&gt;0,AVERAGE(AN$11:AN22)*31,)</f>
        <v>15469</v>
      </c>
      <c r="BI22" s="41">
        <f>IF(AR22&lt;&gt;0,AVERAGE(AR$11:AR22)*31,)</f>
        <v>9155.3333333333321</v>
      </c>
    </row>
    <row r="23" spans="1:61" ht="15.75">
      <c r="A23" s="32">
        <v>13</v>
      </c>
      <c r="B23" s="24" t="s">
        <v>75</v>
      </c>
      <c r="C23" s="33"/>
      <c r="D23" s="25">
        <v>320756</v>
      </c>
      <c r="E23" s="29">
        <f t="shared" si="0"/>
        <v>100</v>
      </c>
      <c r="F23" s="26">
        <v>7047</v>
      </c>
      <c r="G23" s="29">
        <f t="shared" si="1"/>
        <v>0</v>
      </c>
      <c r="H23" s="25">
        <v>78812</v>
      </c>
      <c r="I23" s="29">
        <f t="shared" si="2"/>
        <v>204</v>
      </c>
      <c r="J23" s="27">
        <v>594189</v>
      </c>
      <c r="K23" s="29">
        <f t="shared" si="2"/>
        <v>293</v>
      </c>
      <c r="L23" s="28"/>
      <c r="M23" s="34" t="e">
        <f t="shared" si="11"/>
        <v>#DIV/0!</v>
      </c>
      <c r="N23" s="25">
        <v>9486</v>
      </c>
      <c r="O23" s="29">
        <f t="shared" si="3"/>
        <v>80</v>
      </c>
      <c r="P23" s="35">
        <v>93126</v>
      </c>
      <c r="Q23" s="30">
        <f t="shared" si="4"/>
        <v>36</v>
      </c>
      <c r="R23" s="35">
        <v>35</v>
      </c>
      <c r="S23" s="30">
        <f t="shared" si="4"/>
        <v>0</v>
      </c>
      <c r="T23" s="35">
        <v>195869</v>
      </c>
      <c r="U23" s="30">
        <f t="shared" si="5"/>
        <v>74</v>
      </c>
      <c r="V23" s="36"/>
      <c r="W23" s="29">
        <f t="shared" si="6"/>
        <v>0</v>
      </c>
      <c r="X23" s="27">
        <v>18014</v>
      </c>
      <c r="Y23" s="26"/>
      <c r="Z23" s="29">
        <f t="shared" si="7"/>
        <v>0</v>
      </c>
      <c r="AA23" s="27">
        <v>2776</v>
      </c>
      <c r="AB23" s="25"/>
      <c r="AC23" s="30">
        <f t="shared" si="12"/>
        <v>0</v>
      </c>
      <c r="AD23" s="27">
        <v>332</v>
      </c>
      <c r="AE23" s="35"/>
      <c r="AF23" s="30">
        <f t="shared" si="13"/>
        <v>0</v>
      </c>
      <c r="AG23" s="27">
        <v>1206</v>
      </c>
      <c r="AH23" s="25"/>
      <c r="AI23" s="29">
        <f t="shared" si="14"/>
        <v>0</v>
      </c>
      <c r="AJ23" s="27">
        <v>144</v>
      </c>
      <c r="AK23" s="28"/>
      <c r="AL23" s="25"/>
      <c r="AM23" s="29">
        <f t="shared" si="8"/>
        <v>0</v>
      </c>
      <c r="AN23" s="27">
        <v>474</v>
      </c>
      <c r="AO23" s="28"/>
      <c r="AP23" s="25"/>
      <c r="AQ23" s="29"/>
      <c r="AR23" s="27">
        <v>208</v>
      </c>
      <c r="AS23" s="97">
        <v>23</v>
      </c>
      <c r="AT23" s="97">
        <v>33</v>
      </c>
      <c r="AU23" s="94"/>
      <c r="AV23" s="31"/>
      <c r="AW23" s="38">
        <f t="shared" si="9"/>
        <v>0</v>
      </c>
      <c r="AY23" s="39">
        <f t="shared" si="21"/>
        <v>13</v>
      </c>
      <c r="AZ23" s="40">
        <f t="shared" si="16"/>
        <v>4227.9230769230771</v>
      </c>
      <c r="BA23" s="40">
        <f t="shared" si="17"/>
        <v>11.923076923076923</v>
      </c>
      <c r="BB23" s="40">
        <f t="shared" si="18"/>
        <v>8615.6153846153848</v>
      </c>
      <c r="BC23" s="40">
        <f t="shared" si="19"/>
        <v>2573</v>
      </c>
      <c r="BD23" s="41">
        <f t="shared" si="20"/>
        <v>0</v>
      </c>
      <c r="BE23" s="40">
        <f>IF(X23&lt;&gt;0,AVERAGE(X$11:X23)*31,)</f>
        <v>558660.53846153838</v>
      </c>
      <c r="BF23" s="40">
        <f>IF(AD23+AG23&lt;&gt;0,AVERAGE(AD$11:AD23)*31+AVERAGE(AG$11:AG23)*31,)</f>
        <v>46550.076923076922</v>
      </c>
      <c r="BG23" s="41">
        <f>IF(AJ23&lt;&gt;0,AVERAGE(AJ$11:AJ23)*31,)</f>
        <v>4979.0769230769229</v>
      </c>
      <c r="BH23" s="41">
        <f>IF(AN23&lt;&gt;0,AVERAGE(AN$11:AN23)*31,)</f>
        <v>15409.384615384615</v>
      </c>
      <c r="BI23" s="41">
        <f>IF(AR23&lt;&gt;0,AVERAGE(AR$11:AR23)*31,)</f>
        <v>8947.0769230769238</v>
      </c>
    </row>
    <row r="24" spans="1:61" ht="15.75">
      <c r="A24" s="32">
        <f t="shared" ref="A24:A41" si="22">1+A23</f>
        <v>14</v>
      </c>
      <c r="B24" s="24" t="s">
        <v>75</v>
      </c>
      <c r="C24" s="33"/>
      <c r="D24" s="25">
        <v>320853</v>
      </c>
      <c r="E24" s="29">
        <f t="shared" si="0"/>
        <v>97</v>
      </c>
      <c r="F24" s="26">
        <v>7047</v>
      </c>
      <c r="G24" s="29">
        <f t="shared" si="1"/>
        <v>0</v>
      </c>
      <c r="H24" s="25">
        <v>79191</v>
      </c>
      <c r="I24" s="29">
        <f t="shared" si="2"/>
        <v>379</v>
      </c>
      <c r="J24" s="27">
        <v>594458</v>
      </c>
      <c r="K24" s="29">
        <f t="shared" si="2"/>
        <v>269</v>
      </c>
      <c r="L24" s="28"/>
      <c r="M24" s="34" t="e">
        <f t="shared" si="11"/>
        <v>#DIV/0!</v>
      </c>
      <c r="N24" s="25">
        <v>9576</v>
      </c>
      <c r="O24" s="29">
        <f t="shared" si="3"/>
        <v>90</v>
      </c>
      <c r="P24" s="35">
        <v>93161</v>
      </c>
      <c r="Q24" s="30">
        <f t="shared" si="4"/>
        <v>35</v>
      </c>
      <c r="R24" s="35">
        <v>35</v>
      </c>
      <c r="S24" s="30">
        <f t="shared" si="4"/>
        <v>0</v>
      </c>
      <c r="T24" s="35">
        <v>195932</v>
      </c>
      <c r="U24" s="30">
        <f t="shared" si="5"/>
        <v>63</v>
      </c>
      <c r="V24" s="36"/>
      <c r="W24" s="29">
        <f t="shared" si="6"/>
        <v>0</v>
      </c>
      <c r="X24" s="27">
        <v>18472</v>
      </c>
      <c r="Y24" s="26"/>
      <c r="Z24" s="29">
        <f t="shared" si="7"/>
        <v>0</v>
      </c>
      <c r="AA24" s="27">
        <v>2978</v>
      </c>
      <c r="AB24" s="37"/>
      <c r="AC24" s="98">
        <f t="shared" si="12"/>
        <v>0</v>
      </c>
      <c r="AD24" s="27">
        <v>367</v>
      </c>
      <c r="AE24" s="35"/>
      <c r="AF24" s="30">
        <f t="shared" si="13"/>
        <v>0</v>
      </c>
      <c r="AG24" s="27">
        <v>1201</v>
      </c>
      <c r="AH24" s="25"/>
      <c r="AI24" s="29">
        <f t="shared" si="14"/>
        <v>0</v>
      </c>
      <c r="AJ24" s="27">
        <v>152</v>
      </c>
      <c r="AK24" s="28"/>
      <c r="AL24" s="25"/>
      <c r="AM24" s="29">
        <f t="shared" si="8"/>
        <v>0</v>
      </c>
      <c r="AN24" s="27">
        <v>478</v>
      </c>
      <c r="AO24" s="28"/>
      <c r="AP24" s="25"/>
      <c r="AQ24" s="29"/>
      <c r="AR24" s="27">
        <v>304</v>
      </c>
      <c r="AS24" s="37">
        <v>22</v>
      </c>
      <c r="AT24" s="37">
        <v>31</v>
      </c>
      <c r="AU24" s="94"/>
      <c r="AV24" s="31"/>
      <c r="AW24" s="38">
        <f t="shared" si="9"/>
        <v>0</v>
      </c>
      <c r="AY24" s="39">
        <f t="shared" si="21"/>
        <v>14</v>
      </c>
      <c r="AZ24" s="40">
        <f t="shared" si="16"/>
        <v>4140.7142857142862</v>
      </c>
      <c r="BA24" s="40">
        <f t="shared" si="17"/>
        <v>11.071428571428571</v>
      </c>
      <c r="BB24" s="40">
        <f t="shared" si="18"/>
        <v>8839.4285714285725</v>
      </c>
      <c r="BC24" s="40">
        <f t="shared" si="19"/>
        <v>2588.5</v>
      </c>
      <c r="BD24" s="41">
        <f t="shared" si="20"/>
        <v>0</v>
      </c>
      <c r="BE24" s="40">
        <f>IF(X24&lt;&gt;0,AVERAGE(X$11:X24)*31,)</f>
        <v>559658.5</v>
      </c>
      <c r="BF24" s="40">
        <f>IF(AD24+AG24&lt;&gt;0,AVERAGE(AD$11:AD24)*31+AVERAGE(AG$11:AG24)*31,)</f>
        <v>46697.07142857142</v>
      </c>
      <c r="BG24" s="41">
        <f>IF(AJ24&lt;&gt;0,AVERAGE(AJ$11:AJ24)*31,)</f>
        <v>4960</v>
      </c>
      <c r="BH24" s="41">
        <f>IF(AN24&lt;&gt;0,AVERAGE(AN$11:AN24)*31,)</f>
        <v>15367.142857142857</v>
      </c>
      <c r="BI24" s="41">
        <f>IF(AR24&lt;&gt;0,AVERAGE(AR$11:AR24)*31,)</f>
        <v>8981.1428571428569</v>
      </c>
    </row>
    <row r="25" spans="1:61" ht="15.75">
      <c r="A25" s="32">
        <f t="shared" si="22"/>
        <v>15</v>
      </c>
      <c r="B25" s="24" t="s">
        <v>76</v>
      </c>
      <c r="C25" s="33"/>
      <c r="D25" s="25">
        <v>320949</v>
      </c>
      <c r="E25" s="29">
        <f t="shared" si="0"/>
        <v>96</v>
      </c>
      <c r="F25" s="26">
        <v>7047</v>
      </c>
      <c r="G25" s="29">
        <f t="shared" si="1"/>
        <v>0</v>
      </c>
      <c r="H25" s="25">
        <v>79507</v>
      </c>
      <c r="I25" s="29">
        <f t="shared" si="2"/>
        <v>316</v>
      </c>
      <c r="J25" s="27">
        <v>594762</v>
      </c>
      <c r="K25" s="29">
        <f t="shared" si="2"/>
        <v>304</v>
      </c>
      <c r="L25" s="28"/>
      <c r="M25" s="34" t="e">
        <f t="shared" si="11"/>
        <v>#DIV/0!</v>
      </c>
      <c r="N25" s="25">
        <v>9667</v>
      </c>
      <c r="O25" s="29">
        <f t="shared" si="3"/>
        <v>91</v>
      </c>
      <c r="P25" s="35">
        <v>93196</v>
      </c>
      <c r="Q25" s="30">
        <f t="shared" si="4"/>
        <v>35</v>
      </c>
      <c r="R25" s="35">
        <v>35</v>
      </c>
      <c r="S25" s="30">
        <f t="shared" si="4"/>
        <v>0</v>
      </c>
      <c r="T25" s="35">
        <v>195999</v>
      </c>
      <c r="U25" s="30">
        <f t="shared" si="5"/>
        <v>67</v>
      </c>
      <c r="V25" s="36"/>
      <c r="W25" s="29">
        <f t="shared" si="6"/>
        <v>0</v>
      </c>
      <c r="X25" s="27">
        <v>18789</v>
      </c>
      <c r="Y25" s="26"/>
      <c r="Z25" s="29">
        <f t="shared" si="7"/>
        <v>0</v>
      </c>
      <c r="AA25" s="27">
        <v>2776</v>
      </c>
      <c r="AB25" s="37"/>
      <c r="AC25" s="98">
        <f t="shared" si="12"/>
        <v>0</v>
      </c>
      <c r="AD25" s="27">
        <v>355</v>
      </c>
      <c r="AE25" s="35"/>
      <c r="AF25" s="30">
        <f t="shared" si="13"/>
        <v>0</v>
      </c>
      <c r="AG25" s="27">
        <v>1144</v>
      </c>
      <c r="AH25" s="25"/>
      <c r="AI25" s="29">
        <f t="shared" si="14"/>
        <v>0</v>
      </c>
      <c r="AJ25" s="27">
        <v>152</v>
      </c>
      <c r="AK25" s="28"/>
      <c r="AL25" s="25"/>
      <c r="AM25" s="29">
        <f t="shared" si="8"/>
        <v>0</v>
      </c>
      <c r="AN25" s="27">
        <v>452</v>
      </c>
      <c r="AO25" s="28"/>
      <c r="AP25" s="25"/>
      <c r="AQ25" s="29"/>
      <c r="AR25" s="27">
        <v>296</v>
      </c>
      <c r="AS25" s="37">
        <v>24</v>
      </c>
      <c r="AT25" s="37">
        <v>29</v>
      </c>
      <c r="AU25" s="94"/>
      <c r="AV25" s="31"/>
      <c r="AW25" s="38">
        <f t="shared" si="9"/>
        <v>0</v>
      </c>
      <c r="AY25" s="39">
        <f t="shared" si="21"/>
        <v>15</v>
      </c>
      <c r="AZ25" s="40">
        <f t="shared" si="16"/>
        <v>4063.0666666666666</v>
      </c>
      <c r="BA25" s="40">
        <f t="shared" si="17"/>
        <v>10.333333333333332</v>
      </c>
      <c r="BB25" s="40">
        <f t="shared" si="18"/>
        <v>8903.1999999999989</v>
      </c>
      <c r="BC25" s="40">
        <f t="shared" si="19"/>
        <v>2604</v>
      </c>
      <c r="BD25" s="41">
        <f t="shared" si="20"/>
        <v>0</v>
      </c>
      <c r="BE25" s="40">
        <f>IF(X25&lt;&gt;0,AVERAGE(X$11:X25)*31,)</f>
        <v>561178.53333333333</v>
      </c>
      <c r="BF25" s="40">
        <f>IF(AD25+AG25&lt;&gt;0,AVERAGE(AD$11:AD25)*31+AVERAGE(AG$11:AG25)*31,)</f>
        <v>46681.866666666661</v>
      </c>
      <c r="BG25" s="41">
        <f>IF(AJ25&lt;&gt;0,AVERAGE(AJ$11:AJ25)*31,)</f>
        <v>4943.4666666666672</v>
      </c>
      <c r="BH25" s="41">
        <f>IF(AN25&lt;&gt;0,AVERAGE(AN$11:AN25)*31,)</f>
        <v>15276.800000000001</v>
      </c>
      <c r="BI25" s="41">
        <f>IF(AR25&lt;&gt;0,AVERAGE(AR$11:AR25)*31,)</f>
        <v>8994.1333333333332</v>
      </c>
    </row>
    <row r="26" spans="1:61" ht="15.75">
      <c r="A26" s="32">
        <f t="shared" si="22"/>
        <v>16</v>
      </c>
      <c r="B26" s="24" t="s">
        <v>75</v>
      </c>
      <c r="C26" s="33"/>
      <c r="D26" s="25">
        <v>321049</v>
      </c>
      <c r="E26" s="29">
        <f t="shared" si="0"/>
        <v>100</v>
      </c>
      <c r="F26" s="26">
        <v>7049</v>
      </c>
      <c r="G26" s="29">
        <f t="shared" si="1"/>
        <v>2</v>
      </c>
      <c r="H26" s="25">
        <v>79802</v>
      </c>
      <c r="I26" s="29">
        <f t="shared" si="2"/>
        <v>295</v>
      </c>
      <c r="J26" s="27">
        <v>595046</v>
      </c>
      <c r="K26" s="29">
        <f t="shared" si="2"/>
        <v>284</v>
      </c>
      <c r="L26" s="28"/>
      <c r="M26" s="34" t="e">
        <f t="shared" si="11"/>
        <v>#DIV/0!</v>
      </c>
      <c r="N26" s="25">
        <v>9757</v>
      </c>
      <c r="O26" s="29">
        <f t="shared" si="3"/>
        <v>90</v>
      </c>
      <c r="P26" s="35">
        <v>93234</v>
      </c>
      <c r="Q26" s="30">
        <f t="shared" si="4"/>
        <v>38</v>
      </c>
      <c r="R26" s="35">
        <v>35</v>
      </c>
      <c r="S26" s="30">
        <f t="shared" si="4"/>
        <v>0</v>
      </c>
      <c r="T26" s="35">
        <v>196067</v>
      </c>
      <c r="U26" s="30">
        <f t="shared" si="5"/>
        <v>68</v>
      </c>
      <c r="V26" s="36"/>
      <c r="W26" s="29">
        <f t="shared" si="6"/>
        <v>0</v>
      </c>
      <c r="X26" s="27">
        <v>18780</v>
      </c>
      <c r="Y26" s="26"/>
      <c r="Z26" s="29">
        <f t="shared" si="7"/>
        <v>0</v>
      </c>
      <c r="AA26" s="27">
        <v>3175</v>
      </c>
      <c r="AB26" s="25"/>
      <c r="AC26" s="30">
        <f t="shared" si="12"/>
        <v>0</v>
      </c>
      <c r="AD26" s="27">
        <v>366</v>
      </c>
      <c r="AE26" s="35"/>
      <c r="AF26" s="30">
        <f t="shared" si="13"/>
        <v>0</v>
      </c>
      <c r="AG26" s="27">
        <v>1222</v>
      </c>
      <c r="AH26" s="25"/>
      <c r="AI26" s="29">
        <f t="shared" si="14"/>
        <v>0</v>
      </c>
      <c r="AJ26" s="27">
        <v>192</v>
      </c>
      <c r="AK26" s="28"/>
      <c r="AL26" s="25"/>
      <c r="AM26" s="29">
        <f t="shared" si="8"/>
        <v>0</v>
      </c>
      <c r="AN26" s="27">
        <v>439</v>
      </c>
      <c r="AO26" s="28"/>
      <c r="AP26" s="25"/>
      <c r="AQ26" s="29"/>
      <c r="AR26" s="27">
        <v>288</v>
      </c>
      <c r="AS26" s="37">
        <v>24</v>
      </c>
      <c r="AT26" s="37">
        <v>24</v>
      </c>
      <c r="AU26" s="94"/>
      <c r="AV26" s="31"/>
      <c r="AW26" s="38">
        <f t="shared" si="9"/>
        <v>0</v>
      </c>
      <c r="AY26" s="39">
        <f t="shared" si="21"/>
        <v>16</v>
      </c>
      <c r="AZ26" s="40">
        <f t="shared" si="16"/>
        <v>4002.875</v>
      </c>
      <c r="BA26" s="40">
        <f t="shared" si="17"/>
        <v>13.5625</v>
      </c>
      <c r="BB26" s="40">
        <f t="shared" si="18"/>
        <v>8918.3125</v>
      </c>
      <c r="BC26" s="40">
        <f t="shared" si="19"/>
        <v>2615.625</v>
      </c>
      <c r="BD26" s="41">
        <f t="shared" si="20"/>
        <v>0</v>
      </c>
      <c r="BE26" s="40">
        <f>IF(X26&lt;&gt;0,AVERAGE(X$11:X26)*31,)</f>
        <v>562491.125</v>
      </c>
      <c r="BF26" s="40">
        <f>IF(AD26+AG26&lt;&gt;0,AVERAGE(AD$11:AD26)*31+AVERAGE(AG$11:AG26)*31,)</f>
        <v>46841</v>
      </c>
      <c r="BG26" s="41">
        <f>IF(AJ26&lt;&gt;0,AVERAGE(AJ$11:AJ26)*31,)</f>
        <v>5006.5</v>
      </c>
      <c r="BH26" s="41">
        <f>IF(AN26&lt;&gt;0,AVERAGE(AN$11:AN26)*31,)</f>
        <v>15172.5625</v>
      </c>
      <c r="BI26" s="41">
        <f>IF(AR26&lt;&gt;0,AVERAGE(AR$11:AR26)*31,)</f>
        <v>8990</v>
      </c>
    </row>
    <row r="27" spans="1:61" ht="15.75">
      <c r="A27" s="32">
        <f t="shared" si="22"/>
        <v>17</v>
      </c>
      <c r="B27" s="24" t="s">
        <v>75</v>
      </c>
      <c r="C27" s="33"/>
      <c r="D27" s="25">
        <v>321175</v>
      </c>
      <c r="E27" s="29">
        <f t="shared" si="0"/>
        <v>126</v>
      </c>
      <c r="F27" s="26">
        <v>7049</v>
      </c>
      <c r="G27" s="29">
        <f t="shared" si="1"/>
        <v>0</v>
      </c>
      <c r="H27" s="25">
        <v>80101</v>
      </c>
      <c r="I27" s="29">
        <f t="shared" si="2"/>
        <v>299</v>
      </c>
      <c r="J27" s="27">
        <v>595335</v>
      </c>
      <c r="K27" s="29">
        <f t="shared" si="2"/>
        <v>289</v>
      </c>
      <c r="L27" s="28"/>
      <c r="M27" s="34" t="e">
        <f t="shared" si="11"/>
        <v>#DIV/0!</v>
      </c>
      <c r="N27" s="25">
        <v>9849</v>
      </c>
      <c r="O27" s="29">
        <f t="shared" si="3"/>
        <v>92</v>
      </c>
      <c r="P27" s="35">
        <v>93272</v>
      </c>
      <c r="Q27" s="30">
        <f t="shared" ref="Q27:S41" si="23">IF(ISBLANK(P27),0,P27-P26)</f>
        <v>38</v>
      </c>
      <c r="R27" s="35">
        <v>35</v>
      </c>
      <c r="S27" s="30">
        <f t="shared" si="23"/>
        <v>0</v>
      </c>
      <c r="T27" s="35">
        <v>196135</v>
      </c>
      <c r="U27" s="30">
        <f t="shared" si="5"/>
        <v>68</v>
      </c>
      <c r="V27" s="36"/>
      <c r="W27" s="29">
        <f t="shared" si="6"/>
        <v>0</v>
      </c>
      <c r="X27" s="27">
        <v>18945</v>
      </c>
      <c r="Y27" s="99"/>
      <c r="Z27" s="29">
        <f t="shared" si="7"/>
        <v>0</v>
      </c>
      <c r="AA27" s="27">
        <v>3352</v>
      </c>
      <c r="AB27" s="25"/>
      <c r="AC27" s="30">
        <f t="shared" si="12"/>
        <v>0</v>
      </c>
      <c r="AD27" s="27">
        <v>362</v>
      </c>
      <c r="AE27" s="35"/>
      <c r="AF27" s="30">
        <f t="shared" si="13"/>
        <v>0</v>
      </c>
      <c r="AG27" s="27">
        <v>1137</v>
      </c>
      <c r="AH27" s="25"/>
      <c r="AI27" s="29">
        <f t="shared" si="14"/>
        <v>0</v>
      </c>
      <c r="AJ27" s="27">
        <v>192</v>
      </c>
      <c r="AK27" s="28"/>
      <c r="AL27" s="25"/>
      <c r="AM27" s="29">
        <f t="shared" si="8"/>
        <v>0</v>
      </c>
      <c r="AN27" s="27">
        <v>478</v>
      </c>
      <c r="AO27" s="28"/>
      <c r="AP27" s="25"/>
      <c r="AQ27" s="29"/>
      <c r="AR27" s="27">
        <v>368</v>
      </c>
      <c r="AS27" s="37">
        <v>25</v>
      </c>
      <c r="AT27" s="37">
        <v>29</v>
      </c>
      <c r="AU27" s="94"/>
      <c r="AV27" s="31"/>
      <c r="AW27" s="38">
        <f t="shared" si="9"/>
        <v>0</v>
      </c>
      <c r="AY27" s="39">
        <f t="shared" si="21"/>
        <v>17</v>
      </c>
      <c r="AZ27" s="40">
        <f t="shared" si="16"/>
        <v>3997.1764705882351</v>
      </c>
      <c r="BA27" s="40">
        <f t="shared" si="17"/>
        <v>12.76470588235294</v>
      </c>
      <c r="BB27" s="40">
        <f t="shared" si="18"/>
        <v>8938.9411764705892</v>
      </c>
      <c r="BC27" s="40">
        <f t="shared" si="19"/>
        <v>2629.5294117647059</v>
      </c>
      <c r="BD27" s="41">
        <f t="shared" si="20"/>
        <v>0</v>
      </c>
      <c r="BE27" s="40">
        <f>IF(X27&lt;&gt;0,AVERAGE(X$11:X27)*31,)</f>
        <v>563950.17647058819</v>
      </c>
      <c r="BF27" s="40">
        <f>IF(AD27+AG27&lt;&gt;0,AVERAGE(AD$11:AD27)*31+AVERAGE(AG$11:AG27)*31,)</f>
        <v>46819.117647058825</v>
      </c>
      <c r="BG27" s="41">
        <f>IF(AJ27&lt;&gt;0,AVERAGE(AJ$11:AJ27)*31,)</f>
        <v>5062.1176470588234</v>
      </c>
      <c r="BH27" s="41">
        <f>IF(AN27&lt;&gt;0,AVERAGE(AN$11:AN27)*31,)</f>
        <v>15151.705882352941</v>
      </c>
      <c r="BI27" s="41">
        <f>IF(AR27&lt;&gt;0,AVERAGE(AR$11:AR27)*31,)</f>
        <v>9132.2352941176468</v>
      </c>
    </row>
    <row r="28" spans="1:61" ht="15.75">
      <c r="A28" s="32">
        <f t="shared" si="22"/>
        <v>18</v>
      </c>
      <c r="B28" s="24" t="s">
        <v>75</v>
      </c>
      <c r="C28" s="33"/>
      <c r="D28" s="25">
        <v>321343</v>
      </c>
      <c r="E28" s="29">
        <f t="shared" si="0"/>
        <v>168</v>
      </c>
      <c r="F28" s="26">
        <v>7049</v>
      </c>
      <c r="G28" s="29">
        <f t="shared" si="1"/>
        <v>0</v>
      </c>
      <c r="H28" s="25">
        <v>80419</v>
      </c>
      <c r="I28" s="29">
        <f t="shared" si="2"/>
        <v>318</v>
      </c>
      <c r="J28" s="27">
        <v>595641</v>
      </c>
      <c r="K28" s="29">
        <f t="shared" si="2"/>
        <v>306</v>
      </c>
      <c r="L28" s="28"/>
      <c r="M28" s="34" t="e">
        <f t="shared" si="11"/>
        <v>#DIV/0!</v>
      </c>
      <c r="N28" s="25">
        <v>9946</v>
      </c>
      <c r="O28" s="29">
        <f t="shared" si="3"/>
        <v>97</v>
      </c>
      <c r="P28" s="35">
        <v>93312</v>
      </c>
      <c r="Q28" s="30">
        <f t="shared" si="23"/>
        <v>40</v>
      </c>
      <c r="R28" s="35">
        <v>35</v>
      </c>
      <c r="S28" s="30">
        <f t="shared" si="23"/>
        <v>0</v>
      </c>
      <c r="T28" s="35">
        <v>196208</v>
      </c>
      <c r="U28" s="30">
        <f t="shared" si="5"/>
        <v>73</v>
      </c>
      <c r="V28" s="36"/>
      <c r="W28" s="29">
        <f t="shared" si="6"/>
        <v>0</v>
      </c>
      <c r="X28" s="27">
        <v>18630</v>
      </c>
      <c r="Y28" s="26"/>
      <c r="Z28" s="29">
        <f t="shared" si="7"/>
        <v>0</v>
      </c>
      <c r="AA28" s="27">
        <v>2967</v>
      </c>
      <c r="AB28" s="25"/>
      <c r="AC28" s="30">
        <f t="shared" si="12"/>
        <v>0</v>
      </c>
      <c r="AD28" s="27">
        <v>354</v>
      </c>
      <c r="AE28" s="35"/>
      <c r="AF28" s="30">
        <f t="shared" si="13"/>
        <v>0</v>
      </c>
      <c r="AG28" s="27">
        <v>1101</v>
      </c>
      <c r="AH28" s="25"/>
      <c r="AI28" s="29">
        <f t="shared" si="14"/>
        <v>0</v>
      </c>
      <c r="AJ28" s="27">
        <v>184</v>
      </c>
      <c r="AK28" s="28"/>
      <c r="AL28" s="25"/>
      <c r="AM28" s="29">
        <f t="shared" si="8"/>
        <v>0</v>
      </c>
      <c r="AN28" s="27">
        <v>486</v>
      </c>
      <c r="AO28" s="28"/>
      <c r="AP28" s="25"/>
      <c r="AQ28" s="29"/>
      <c r="AR28" s="27">
        <v>312</v>
      </c>
      <c r="AS28" s="37">
        <v>21</v>
      </c>
      <c r="AT28" s="37">
        <v>33</v>
      </c>
      <c r="AU28" s="94"/>
      <c r="AV28" s="31"/>
      <c r="AW28" s="38">
        <f t="shared" si="9"/>
        <v>0</v>
      </c>
      <c r="AY28" s="39">
        <f t="shared" si="21"/>
        <v>18</v>
      </c>
      <c r="AZ28" s="40">
        <f t="shared" si="16"/>
        <v>4064.4444444444443</v>
      </c>
      <c r="BA28" s="40">
        <f t="shared" si="17"/>
        <v>12.055555555555555</v>
      </c>
      <c r="BB28" s="40">
        <f t="shared" si="18"/>
        <v>8990</v>
      </c>
      <c r="BC28" s="40">
        <f t="shared" si="19"/>
        <v>2650.5</v>
      </c>
      <c r="BD28" s="41">
        <f t="shared" si="20"/>
        <v>0</v>
      </c>
      <c r="BE28" s="40">
        <f>IF(X28&lt;&gt;0,AVERAGE(X$11:X28)*31,)</f>
        <v>564704.61111111112</v>
      </c>
      <c r="BF28" s="40">
        <f>IF(AD28+AG28&lt;&gt;0,AVERAGE(AD$11:AD28)*31+AVERAGE(AG$11:AG28)*31,)</f>
        <v>46723.888888888883</v>
      </c>
      <c r="BG28" s="41">
        <f>IF(AJ28&lt;&gt;0,AVERAGE(AJ$11:AJ28)*31,)</f>
        <v>5097.7777777777783</v>
      </c>
      <c r="BH28" s="41">
        <f>IF(AN28&lt;&gt;0,AVERAGE(AN$11:AN28)*31,)</f>
        <v>15146.944444444443</v>
      </c>
      <c r="BI28" s="41">
        <f>IF(AR28&lt;&gt;0,AVERAGE(AR$11:AR28)*31,)</f>
        <v>9162.2222222222226</v>
      </c>
    </row>
    <row r="29" spans="1:61" ht="15.75">
      <c r="A29" s="32">
        <f t="shared" si="22"/>
        <v>19</v>
      </c>
      <c r="B29" s="24" t="s">
        <v>75</v>
      </c>
      <c r="C29" s="33"/>
      <c r="D29" s="25">
        <v>321443</v>
      </c>
      <c r="E29" s="29">
        <f t="shared" si="0"/>
        <v>100</v>
      </c>
      <c r="F29" s="26">
        <v>7050</v>
      </c>
      <c r="G29" s="29">
        <f t="shared" si="1"/>
        <v>1</v>
      </c>
      <c r="H29" s="25">
        <v>80769</v>
      </c>
      <c r="I29" s="29">
        <f t="shared" si="2"/>
        <v>350</v>
      </c>
      <c r="J29" s="27">
        <v>595978</v>
      </c>
      <c r="K29" s="29">
        <f t="shared" si="2"/>
        <v>337</v>
      </c>
      <c r="L29" s="28"/>
      <c r="M29" s="34" t="e">
        <f t="shared" si="11"/>
        <v>#DIV/0!</v>
      </c>
      <c r="N29" s="25">
        <v>10037</v>
      </c>
      <c r="O29" s="29">
        <f t="shared" si="3"/>
        <v>91</v>
      </c>
      <c r="P29" s="35">
        <v>93409</v>
      </c>
      <c r="Q29" s="30">
        <f t="shared" si="23"/>
        <v>97</v>
      </c>
      <c r="R29" s="35">
        <v>35</v>
      </c>
      <c r="S29" s="30">
        <f t="shared" si="23"/>
        <v>0</v>
      </c>
      <c r="T29" s="35">
        <v>196329</v>
      </c>
      <c r="U29" s="30">
        <f t="shared" si="5"/>
        <v>121</v>
      </c>
      <c r="V29" s="36"/>
      <c r="W29" s="29">
        <f t="shared" si="6"/>
        <v>0</v>
      </c>
      <c r="X29" s="27">
        <v>18979</v>
      </c>
      <c r="Y29" s="26"/>
      <c r="Z29" s="29">
        <f t="shared" si="7"/>
        <v>0</v>
      </c>
      <c r="AA29" s="27">
        <v>2995</v>
      </c>
      <c r="AB29" s="25"/>
      <c r="AC29" s="30">
        <f t="shared" si="12"/>
        <v>0</v>
      </c>
      <c r="AD29" s="27">
        <v>368</v>
      </c>
      <c r="AE29" s="35"/>
      <c r="AF29" s="30">
        <f t="shared" si="13"/>
        <v>0</v>
      </c>
      <c r="AG29" s="27">
        <v>1288</v>
      </c>
      <c r="AH29" s="25"/>
      <c r="AI29" s="29">
        <f t="shared" si="14"/>
        <v>0</v>
      </c>
      <c r="AJ29" s="27">
        <v>176</v>
      </c>
      <c r="AK29" s="28"/>
      <c r="AL29" s="25"/>
      <c r="AM29" s="29">
        <f t="shared" si="8"/>
        <v>0</v>
      </c>
      <c r="AN29" s="27">
        <v>456</v>
      </c>
      <c r="AO29" s="28"/>
      <c r="AP29" s="25"/>
      <c r="AQ29" s="29"/>
      <c r="AR29" s="27">
        <v>280</v>
      </c>
      <c r="AS29" s="37">
        <v>25</v>
      </c>
      <c r="AT29" s="37">
        <v>35</v>
      </c>
      <c r="AU29" s="94"/>
      <c r="AV29" s="31"/>
      <c r="AW29" s="38">
        <f t="shared" si="9"/>
        <v>0</v>
      </c>
      <c r="AY29" s="39">
        <f t="shared" si="21"/>
        <v>19</v>
      </c>
      <c r="AZ29" s="40">
        <f t="shared" si="16"/>
        <v>4013.6842105263163</v>
      </c>
      <c r="BA29" s="40">
        <f t="shared" si="17"/>
        <v>13.052631578947368</v>
      </c>
      <c r="BB29" s="40">
        <f t="shared" si="18"/>
        <v>9087.894736842105</v>
      </c>
      <c r="BC29" s="40">
        <f t="shared" si="19"/>
        <v>2659.4736842105262</v>
      </c>
      <c r="BD29" s="41">
        <f t="shared" si="20"/>
        <v>0</v>
      </c>
      <c r="BE29" s="40">
        <f>IF(X29&lt;&gt;0,AVERAGE(X$11:X29)*31,)</f>
        <v>565949.05263157899</v>
      </c>
      <c r="BF29" s="40">
        <f>IF(AD29+AG29&lt;&gt;0,AVERAGE(AD$11:AD29)*31+AVERAGE(AG$11:AG29)*31,)</f>
        <v>46966.631578947367</v>
      </c>
      <c r="BG29" s="41">
        <f>IF(AJ29&lt;&gt;0,AVERAGE(AJ$11:AJ29)*31,)</f>
        <v>5116.6315789473683</v>
      </c>
      <c r="BH29" s="41">
        <f>IF(AN29&lt;&gt;0,AVERAGE(AN$11:AN29)*31,)</f>
        <v>15093.736842105263</v>
      </c>
      <c r="BI29" s="41">
        <f>IF(AR29&lt;&gt;0,AVERAGE(AR$11:AR29)*31,)</f>
        <v>9136.8421052631584</v>
      </c>
    </row>
    <row r="30" spans="1:61" ht="15" customHeight="1">
      <c r="A30" s="32">
        <f t="shared" si="22"/>
        <v>20</v>
      </c>
      <c r="B30" s="24" t="s">
        <v>75</v>
      </c>
      <c r="C30" s="33"/>
      <c r="D30" s="25">
        <v>321613</v>
      </c>
      <c r="E30" s="29">
        <f t="shared" si="0"/>
        <v>170</v>
      </c>
      <c r="F30" s="26">
        <v>7050</v>
      </c>
      <c r="G30" s="29">
        <f t="shared" si="1"/>
        <v>0</v>
      </c>
      <c r="H30" s="25">
        <v>81133</v>
      </c>
      <c r="I30" s="29">
        <f t="shared" si="2"/>
        <v>364</v>
      </c>
      <c r="J30" s="27">
        <v>596329</v>
      </c>
      <c r="K30" s="29">
        <f t="shared" si="2"/>
        <v>351</v>
      </c>
      <c r="L30" s="28"/>
      <c r="M30" s="34" t="e">
        <f t="shared" si="11"/>
        <v>#DIV/0!</v>
      </c>
      <c r="N30" s="25">
        <v>10128</v>
      </c>
      <c r="O30" s="29">
        <f t="shared" si="3"/>
        <v>91</v>
      </c>
      <c r="P30" s="35">
        <v>93507</v>
      </c>
      <c r="Q30" s="30">
        <f t="shared" si="23"/>
        <v>98</v>
      </c>
      <c r="R30" s="35">
        <v>35</v>
      </c>
      <c r="S30" s="30">
        <f t="shared" si="23"/>
        <v>0</v>
      </c>
      <c r="T30" s="35">
        <v>196459</v>
      </c>
      <c r="U30" s="30">
        <f t="shared" si="5"/>
        <v>130</v>
      </c>
      <c r="V30" s="36">
        <v>4904</v>
      </c>
      <c r="W30" s="29">
        <f t="shared" si="6"/>
        <v>10788800</v>
      </c>
      <c r="X30" s="27">
        <v>18499</v>
      </c>
      <c r="Y30" s="26">
        <v>940</v>
      </c>
      <c r="Z30" s="29">
        <f t="shared" si="7"/>
        <v>2068000</v>
      </c>
      <c r="AA30" s="27">
        <v>2478</v>
      </c>
      <c r="AB30" s="25">
        <v>1742717</v>
      </c>
      <c r="AC30" s="30">
        <f t="shared" si="12"/>
        <v>1742717</v>
      </c>
      <c r="AD30" s="27">
        <v>354</v>
      </c>
      <c r="AE30" s="35">
        <v>5144006</v>
      </c>
      <c r="AF30" s="30">
        <f t="shared" si="13"/>
        <v>5144006</v>
      </c>
      <c r="AG30" s="27">
        <v>1246</v>
      </c>
      <c r="AH30" s="25">
        <v>34046</v>
      </c>
      <c r="AI30" s="29">
        <f t="shared" si="14"/>
        <v>2723680</v>
      </c>
      <c r="AJ30" s="27">
        <v>168</v>
      </c>
      <c r="AK30" s="28"/>
      <c r="AL30" s="25">
        <v>197275</v>
      </c>
      <c r="AM30" s="29">
        <f t="shared" si="8"/>
        <v>197275</v>
      </c>
      <c r="AN30" s="27">
        <v>472</v>
      </c>
      <c r="AO30" s="28"/>
      <c r="AP30" s="25">
        <v>46675</v>
      </c>
      <c r="AQ30" s="29"/>
      <c r="AR30" s="27">
        <v>296</v>
      </c>
      <c r="AS30" s="37">
        <v>25</v>
      </c>
      <c r="AT30" s="37">
        <v>37</v>
      </c>
      <c r="AU30" s="94"/>
      <c r="AV30" s="31"/>
      <c r="AW30" s="38">
        <f t="shared" si="9"/>
        <v>0</v>
      </c>
      <c r="AY30" s="39">
        <f t="shared" si="21"/>
        <v>20</v>
      </c>
      <c r="AZ30" s="40">
        <f t="shared" si="16"/>
        <v>4076.5</v>
      </c>
      <c r="BA30" s="40">
        <f t="shared" si="17"/>
        <v>12.4</v>
      </c>
      <c r="BB30" s="40">
        <f t="shared" si="18"/>
        <v>9197.6999999999989</v>
      </c>
      <c r="BC30" s="40">
        <f t="shared" si="19"/>
        <v>2667.5499999999997</v>
      </c>
      <c r="BD30" s="41">
        <f t="shared" si="20"/>
        <v>578182.55000000098</v>
      </c>
      <c r="BE30" s="40">
        <f>IF(X30&lt;&gt;0,AVERAGE(X$11:X30)*31,)</f>
        <v>566325.04999999993</v>
      </c>
      <c r="BF30" s="40">
        <f>IF(AD30+AG30&lt;&gt;0,AVERAGE(AD$11:AD30)*31+AVERAGE(AG$11:AG30)*31,)</f>
        <v>47098.3</v>
      </c>
      <c r="BG30" s="41">
        <f>IF(AJ30&lt;&gt;0,AVERAGE(AJ$11:AJ30)*31,)</f>
        <v>5121.2</v>
      </c>
      <c r="BH30" s="41">
        <f>IF(AN30&lt;&gt;0,AVERAGE(AN$11:AN30)*31,)</f>
        <v>15070.65</v>
      </c>
      <c r="BI30" s="41">
        <f>IF(AR30&lt;&gt;0,AVERAGE(AR$11:AR30)*31,)</f>
        <v>9138.8000000000011</v>
      </c>
    </row>
    <row r="31" spans="1:61" ht="15.75">
      <c r="A31" s="32">
        <f t="shared" si="22"/>
        <v>21</v>
      </c>
      <c r="B31" s="24" t="s">
        <v>75</v>
      </c>
      <c r="C31" s="33"/>
      <c r="D31" s="25">
        <v>321820</v>
      </c>
      <c r="E31" s="29">
        <f t="shared" si="0"/>
        <v>207</v>
      </c>
      <c r="F31" s="26">
        <v>7050</v>
      </c>
      <c r="G31" s="29">
        <f t="shared" si="1"/>
        <v>0</v>
      </c>
      <c r="H31" s="25">
        <v>81497</v>
      </c>
      <c r="I31" s="29">
        <f t="shared" si="2"/>
        <v>364</v>
      </c>
      <c r="J31" s="27">
        <v>596680</v>
      </c>
      <c r="K31" s="29">
        <f t="shared" si="2"/>
        <v>351</v>
      </c>
      <c r="L31" s="28"/>
      <c r="M31" s="34" t="e">
        <f t="shared" si="11"/>
        <v>#DIV/0!</v>
      </c>
      <c r="N31" s="25">
        <v>10224</v>
      </c>
      <c r="O31" s="29">
        <f t="shared" si="3"/>
        <v>96</v>
      </c>
      <c r="P31" s="35">
        <v>93607</v>
      </c>
      <c r="Q31" s="30">
        <f t="shared" si="23"/>
        <v>100</v>
      </c>
      <c r="R31" s="35">
        <v>35</v>
      </c>
      <c r="S31" s="30">
        <f t="shared" si="23"/>
        <v>0</v>
      </c>
      <c r="T31" s="35">
        <v>196588</v>
      </c>
      <c r="U31" s="30">
        <f t="shared" si="5"/>
        <v>129</v>
      </c>
      <c r="V31" s="36"/>
      <c r="W31" s="29">
        <f t="shared" si="6"/>
        <v>0</v>
      </c>
      <c r="X31" s="27">
        <v>18723</v>
      </c>
      <c r="Y31" s="26"/>
      <c r="Z31" s="29">
        <f t="shared" si="7"/>
        <v>0</v>
      </c>
      <c r="AA31" s="27">
        <v>2839</v>
      </c>
      <c r="AB31" s="25"/>
      <c r="AC31" s="30">
        <f t="shared" si="12"/>
        <v>0</v>
      </c>
      <c r="AD31" s="27">
        <v>354</v>
      </c>
      <c r="AE31" s="35"/>
      <c r="AF31" s="30">
        <f t="shared" si="13"/>
        <v>0</v>
      </c>
      <c r="AG31" s="27">
        <v>1124</v>
      </c>
      <c r="AH31" s="25"/>
      <c r="AI31" s="29">
        <f t="shared" si="14"/>
        <v>0</v>
      </c>
      <c r="AJ31" s="27">
        <v>184</v>
      </c>
      <c r="AK31" s="28"/>
      <c r="AL31" s="25"/>
      <c r="AM31" s="29">
        <f t="shared" si="8"/>
        <v>0</v>
      </c>
      <c r="AN31" s="27">
        <v>478</v>
      </c>
      <c r="AO31" s="28"/>
      <c r="AP31" s="25"/>
      <c r="AQ31" s="29"/>
      <c r="AR31" s="27">
        <v>296</v>
      </c>
      <c r="AS31" s="37">
        <v>27</v>
      </c>
      <c r="AT31" s="37">
        <v>37</v>
      </c>
      <c r="AU31" s="94"/>
      <c r="AV31" s="31"/>
      <c r="AW31" s="38">
        <f t="shared" si="9"/>
        <v>0</v>
      </c>
      <c r="AY31" s="39">
        <f t="shared" si="21"/>
        <v>21</v>
      </c>
      <c r="AZ31" s="40">
        <f t="shared" si="16"/>
        <v>4187.9523809523807</v>
      </c>
      <c r="BA31" s="40">
        <f t="shared" si="17"/>
        <v>11.809523809523808</v>
      </c>
      <c r="BB31" s="40">
        <f t="shared" si="18"/>
        <v>9297.0476190476202</v>
      </c>
      <c r="BC31" s="40">
        <f t="shared" si="19"/>
        <v>2682.238095238095</v>
      </c>
      <c r="BD31" s="41">
        <f t="shared" si="20"/>
        <v>0</v>
      </c>
      <c r="BE31" s="40">
        <f>IF(X31&lt;&gt;0,AVERAGE(X$11:X31)*31,)</f>
        <v>566995.90476190473</v>
      </c>
      <c r="BF31" s="40">
        <f>IF(AD31+AG31&lt;&gt;0,AVERAGE(AD$11:AD31)*31+AVERAGE(AG$11:AG31)*31,)</f>
        <v>47037.333333333328</v>
      </c>
      <c r="BG31" s="41">
        <f>IF(AJ31&lt;&gt;0,AVERAGE(AJ$11:AJ31)*31,)</f>
        <v>5148.9523809523807</v>
      </c>
      <c r="BH31" s="41">
        <f>IF(AN31&lt;&gt;0,AVERAGE(AN$11:AN31)*31,)</f>
        <v>15058.619047619048</v>
      </c>
      <c r="BI31" s="41">
        <f>IF(AR31&lt;&gt;0,AVERAGE(AR$11:AR31)*31,)</f>
        <v>9140.5714285714275</v>
      </c>
    </row>
    <row r="32" spans="1:61" ht="15.75">
      <c r="A32" s="32">
        <f t="shared" si="22"/>
        <v>22</v>
      </c>
      <c r="B32" s="24" t="s">
        <v>75</v>
      </c>
      <c r="C32" s="33"/>
      <c r="D32" s="25">
        <v>322015</v>
      </c>
      <c r="E32" s="29">
        <f t="shared" si="0"/>
        <v>195</v>
      </c>
      <c r="F32" s="26">
        <v>7050</v>
      </c>
      <c r="G32" s="29">
        <f t="shared" si="1"/>
        <v>0</v>
      </c>
      <c r="H32" s="25">
        <v>81846</v>
      </c>
      <c r="I32" s="29">
        <f t="shared" si="2"/>
        <v>349</v>
      </c>
      <c r="J32" s="27">
        <v>597016</v>
      </c>
      <c r="K32" s="29">
        <f t="shared" si="2"/>
        <v>336</v>
      </c>
      <c r="L32" s="28"/>
      <c r="M32" s="34" t="e">
        <f t="shared" si="11"/>
        <v>#DIV/0!</v>
      </c>
      <c r="N32" s="25">
        <v>10324</v>
      </c>
      <c r="O32" s="29">
        <f t="shared" si="3"/>
        <v>100</v>
      </c>
      <c r="P32" s="35">
        <v>93705</v>
      </c>
      <c r="Q32" s="30">
        <f t="shared" si="23"/>
        <v>98</v>
      </c>
      <c r="R32" s="35">
        <v>35</v>
      </c>
      <c r="S32" s="30">
        <f t="shared" si="23"/>
        <v>0</v>
      </c>
      <c r="T32" s="35">
        <v>196708</v>
      </c>
      <c r="U32" s="30">
        <f t="shared" si="5"/>
        <v>120</v>
      </c>
      <c r="V32" s="36"/>
      <c r="W32" s="29">
        <f t="shared" si="6"/>
        <v>0</v>
      </c>
      <c r="X32" s="27">
        <v>18867</v>
      </c>
      <c r="Y32" s="26"/>
      <c r="Z32" s="29">
        <f t="shared" si="7"/>
        <v>0</v>
      </c>
      <c r="AA32" s="27">
        <v>2787</v>
      </c>
      <c r="AB32" s="25"/>
      <c r="AC32" s="30">
        <f t="shared" si="12"/>
        <v>0</v>
      </c>
      <c r="AD32" s="27">
        <v>362</v>
      </c>
      <c r="AE32" s="35"/>
      <c r="AF32" s="30">
        <f t="shared" si="13"/>
        <v>0</v>
      </c>
      <c r="AG32" s="27">
        <v>1097</v>
      </c>
      <c r="AH32" s="25"/>
      <c r="AI32" s="29">
        <f t="shared" si="14"/>
        <v>0</v>
      </c>
      <c r="AJ32" s="27">
        <v>160</v>
      </c>
      <c r="AK32" s="28"/>
      <c r="AL32" s="25"/>
      <c r="AM32" s="29">
        <f t="shared" si="8"/>
        <v>0</v>
      </c>
      <c r="AN32" s="27">
        <v>484</v>
      </c>
      <c r="AO32" s="28"/>
      <c r="AP32" s="25"/>
      <c r="AQ32" s="29"/>
      <c r="AR32" s="27">
        <v>264</v>
      </c>
      <c r="AS32" s="37">
        <v>24</v>
      </c>
      <c r="AT32" s="37">
        <v>38</v>
      </c>
      <c r="AU32" s="94"/>
      <c r="AV32" s="31"/>
      <c r="AW32" s="38">
        <f t="shared" si="9"/>
        <v>0</v>
      </c>
      <c r="AY32" s="39">
        <f t="shared" si="21"/>
        <v>22</v>
      </c>
      <c r="AZ32" s="40">
        <f t="shared" si="16"/>
        <v>4272.363636363636</v>
      </c>
      <c r="BA32" s="40">
        <f t="shared" si="17"/>
        <v>11.272727272727273</v>
      </c>
      <c r="BB32" s="40">
        <f t="shared" si="18"/>
        <v>9366.2272727272721</v>
      </c>
      <c r="BC32" s="40">
        <f t="shared" si="19"/>
        <v>2701.227272727273</v>
      </c>
      <c r="BD32" s="41">
        <f t="shared" si="20"/>
        <v>0</v>
      </c>
      <c r="BE32" s="40">
        <f>IF(X32&lt;&gt;0,AVERAGE(X$11:X32)*31,)</f>
        <v>567808.68181818188</v>
      </c>
      <c r="BF32" s="40">
        <f>IF(AD32+AG32&lt;&gt;0,AVERAGE(AD$11:AD32)*31+AVERAGE(AG$11:AG32)*31,)</f>
        <v>46955.136363636368</v>
      </c>
      <c r="BG32" s="41">
        <f>IF(AJ32&lt;&gt;0,AVERAGE(AJ$11:AJ32)*31,)</f>
        <v>5140.363636363636</v>
      </c>
      <c r="BH32" s="41">
        <f>IF(AN32&lt;&gt;0,AVERAGE(AN$11:AN32)*31,)</f>
        <v>15056.136363636364</v>
      </c>
      <c r="BI32" s="41">
        <f>IF(AR32&lt;&gt;0,AVERAGE(AR$11:AR32)*31,)</f>
        <v>9097.0909090909081</v>
      </c>
    </row>
    <row r="33" spans="1:61" ht="15.75">
      <c r="A33" s="32">
        <f t="shared" si="22"/>
        <v>23</v>
      </c>
      <c r="B33" s="24" t="s">
        <v>75</v>
      </c>
      <c r="C33" s="33"/>
      <c r="D33" s="25">
        <v>322215</v>
      </c>
      <c r="E33" s="29">
        <f t="shared" si="0"/>
        <v>200</v>
      </c>
      <c r="F33" s="26">
        <v>7050</v>
      </c>
      <c r="G33" s="29">
        <f t="shared" si="1"/>
        <v>0</v>
      </c>
      <c r="H33" s="25">
        <v>82216</v>
      </c>
      <c r="I33" s="29">
        <f t="shared" si="2"/>
        <v>370</v>
      </c>
      <c r="J33" s="27">
        <v>597374</v>
      </c>
      <c r="K33" s="29">
        <f t="shared" si="2"/>
        <v>358</v>
      </c>
      <c r="L33" s="28"/>
      <c r="M33" s="34" t="e">
        <f t="shared" si="11"/>
        <v>#DIV/0!</v>
      </c>
      <c r="N33" s="25">
        <v>10427</v>
      </c>
      <c r="O33" s="29">
        <f t="shared" si="3"/>
        <v>103</v>
      </c>
      <c r="P33" s="35">
        <v>93807</v>
      </c>
      <c r="Q33" s="30">
        <f t="shared" si="23"/>
        <v>102</v>
      </c>
      <c r="R33" s="35">
        <v>35</v>
      </c>
      <c r="S33" s="30">
        <f t="shared" si="23"/>
        <v>0</v>
      </c>
      <c r="T33" s="35">
        <v>196837</v>
      </c>
      <c r="U33" s="30">
        <f t="shared" si="5"/>
        <v>129</v>
      </c>
      <c r="V33" s="36"/>
      <c r="W33" s="29">
        <f t="shared" si="6"/>
        <v>0</v>
      </c>
      <c r="X33" s="27">
        <v>19488</v>
      </c>
      <c r="Y33" s="26"/>
      <c r="Z33" s="29">
        <f t="shared" si="7"/>
        <v>0</v>
      </c>
      <c r="AA33" s="27">
        <v>2894</v>
      </c>
      <c r="AB33" s="25"/>
      <c r="AC33" s="30">
        <f t="shared" si="12"/>
        <v>0</v>
      </c>
      <c r="AD33" s="27">
        <v>341</v>
      </c>
      <c r="AE33" s="35"/>
      <c r="AF33" s="30">
        <f t="shared" si="13"/>
        <v>0</v>
      </c>
      <c r="AG33" s="27">
        <v>1114</v>
      </c>
      <c r="AH33" s="25"/>
      <c r="AI33" s="29">
        <f t="shared" si="14"/>
        <v>0</v>
      </c>
      <c r="AJ33" s="27">
        <v>184</v>
      </c>
      <c r="AK33" s="28"/>
      <c r="AL33" s="25"/>
      <c r="AM33" s="29">
        <f t="shared" si="8"/>
        <v>0</v>
      </c>
      <c r="AN33" s="27">
        <v>505</v>
      </c>
      <c r="AO33" s="28"/>
      <c r="AP33" s="25"/>
      <c r="AQ33" s="29"/>
      <c r="AR33" s="27">
        <v>288</v>
      </c>
      <c r="AS33" s="44">
        <v>19</v>
      </c>
      <c r="AT33" s="37">
        <v>34</v>
      </c>
      <c r="AU33" s="94"/>
      <c r="AV33" s="31"/>
      <c r="AW33" s="38">
        <f t="shared" si="9"/>
        <v>0</v>
      </c>
      <c r="AY33" s="39">
        <f t="shared" si="21"/>
        <v>23</v>
      </c>
      <c r="AZ33" s="40">
        <f t="shared" si="16"/>
        <v>4356.173913043478</v>
      </c>
      <c r="BA33" s="40">
        <f t="shared" si="17"/>
        <v>10.782608695652174</v>
      </c>
      <c r="BB33" s="40">
        <f t="shared" si="18"/>
        <v>9457.6956521739121</v>
      </c>
      <c r="BC33" s="40">
        <f t="shared" si="19"/>
        <v>2722.608695652174</v>
      </c>
      <c r="BD33" s="41">
        <f t="shared" si="20"/>
        <v>0</v>
      </c>
      <c r="BE33" s="40">
        <f>IF(X33&lt;&gt;0,AVERAGE(X$11:X33)*31,)</f>
        <v>569387.78260869568</v>
      </c>
      <c r="BF33" s="40">
        <f>IF(AD33+AG33&lt;&gt;0,AVERAGE(AD$11:AD33)*31+AVERAGE(AG$11:AG33)*31,)</f>
        <v>46874.695652173912</v>
      </c>
      <c r="BG33" s="41">
        <f>IF(AJ33&lt;&gt;0,AVERAGE(AJ$11:AJ33)*31,)</f>
        <v>5164.869565217391</v>
      </c>
      <c r="BH33" s="41">
        <f>IF(AN33&lt;&gt;0,AVERAGE(AN$11:AN33)*31,)</f>
        <v>15082.17391304348</v>
      </c>
      <c r="BI33" s="41">
        <f>IF(AR33&lt;&gt;0,AVERAGE(AR$11:AR33)*31,)</f>
        <v>9089.7391304347821</v>
      </c>
    </row>
    <row r="34" spans="1:61" ht="15.75">
      <c r="A34" s="32">
        <f t="shared" si="22"/>
        <v>24</v>
      </c>
      <c r="B34" s="24" t="s">
        <v>75</v>
      </c>
      <c r="C34" s="33"/>
      <c r="D34" s="25">
        <v>322410</v>
      </c>
      <c r="E34" s="29">
        <f t="shared" si="0"/>
        <v>195</v>
      </c>
      <c r="F34" s="26">
        <v>7050</v>
      </c>
      <c r="G34" s="29">
        <f t="shared" si="1"/>
        <v>0</v>
      </c>
      <c r="H34" s="37">
        <v>82578</v>
      </c>
      <c r="I34" s="43">
        <f t="shared" si="2"/>
        <v>362</v>
      </c>
      <c r="J34" s="27">
        <v>597722</v>
      </c>
      <c r="K34" s="29">
        <f t="shared" si="2"/>
        <v>348</v>
      </c>
      <c r="L34" s="28"/>
      <c r="M34" s="34" t="e">
        <f t="shared" si="11"/>
        <v>#DIV/0!</v>
      </c>
      <c r="N34" s="25">
        <v>10524</v>
      </c>
      <c r="O34" s="29">
        <f t="shared" si="3"/>
        <v>97</v>
      </c>
      <c r="P34" s="35">
        <v>93905</v>
      </c>
      <c r="Q34" s="30">
        <f t="shared" si="23"/>
        <v>98</v>
      </c>
      <c r="R34" s="35">
        <v>35</v>
      </c>
      <c r="S34" s="30">
        <f t="shared" si="23"/>
        <v>0</v>
      </c>
      <c r="T34" s="35">
        <v>196965</v>
      </c>
      <c r="U34" s="30">
        <f t="shared" si="5"/>
        <v>128</v>
      </c>
      <c r="V34" s="36"/>
      <c r="W34" s="29">
        <f t="shared" si="6"/>
        <v>0</v>
      </c>
      <c r="X34" s="27">
        <v>19664</v>
      </c>
      <c r="Y34" s="26"/>
      <c r="Z34" s="29">
        <f t="shared" si="7"/>
        <v>0</v>
      </c>
      <c r="AA34" s="27">
        <v>3303</v>
      </c>
      <c r="AB34" s="25"/>
      <c r="AC34" s="30">
        <f t="shared" si="12"/>
        <v>0</v>
      </c>
      <c r="AD34" s="27">
        <v>348</v>
      </c>
      <c r="AE34" s="35"/>
      <c r="AF34" s="30">
        <f t="shared" si="13"/>
        <v>0</v>
      </c>
      <c r="AG34" s="27">
        <v>1207</v>
      </c>
      <c r="AH34" s="25"/>
      <c r="AI34" s="29">
        <f t="shared" si="14"/>
        <v>0</v>
      </c>
      <c r="AJ34" s="27">
        <v>192</v>
      </c>
      <c r="AK34" s="28"/>
      <c r="AL34" s="25"/>
      <c r="AM34" s="29">
        <f t="shared" si="8"/>
        <v>0</v>
      </c>
      <c r="AN34" s="27">
        <v>485</v>
      </c>
      <c r="AO34" s="28"/>
      <c r="AP34" s="25"/>
      <c r="AQ34" s="29"/>
      <c r="AR34" s="27">
        <v>288</v>
      </c>
      <c r="AS34" s="44">
        <v>24</v>
      </c>
      <c r="AT34" s="44">
        <v>35</v>
      </c>
      <c r="AU34" s="94"/>
      <c r="AV34" s="31"/>
      <c r="AW34" s="38">
        <f t="shared" si="9"/>
        <v>0</v>
      </c>
      <c r="AY34" s="39">
        <f t="shared" si="21"/>
        <v>24</v>
      </c>
      <c r="AZ34" s="40">
        <f t="shared" si="16"/>
        <v>4426.5416666666661</v>
      </c>
      <c r="BA34" s="40">
        <f t="shared" si="17"/>
        <v>10.333333333333332</v>
      </c>
      <c r="BB34" s="40">
        <f t="shared" si="18"/>
        <v>9531.2083333333321</v>
      </c>
      <c r="BC34" s="40">
        <f t="shared" si="19"/>
        <v>2734.458333333333</v>
      </c>
      <c r="BD34" s="41">
        <f t="shared" si="20"/>
        <v>0</v>
      </c>
      <c r="BE34" s="40">
        <f>IF(X34&lt;&gt;0,AVERAGE(X$11:X34)*31,)</f>
        <v>571062.625</v>
      </c>
      <c r="BF34" s="40">
        <f>IF(AD34+AG34&lt;&gt;0,AVERAGE(AD$11:AD34)*31+AVERAGE(AG$11:AG34)*31,)</f>
        <v>46930.125</v>
      </c>
      <c r="BG34" s="41">
        <f>IF(AJ34&lt;&gt;0,AVERAGE(AJ$11:AJ34)*31,)</f>
        <v>5197.6666666666661</v>
      </c>
      <c r="BH34" s="41">
        <f>IF(AN34&lt;&gt;0,AVERAGE(AN$11:AN34)*31,)</f>
        <v>15080.208333333332</v>
      </c>
      <c r="BI34" s="41">
        <f>IF(AR34&lt;&gt;0,AVERAGE(AR$11:AR34)*31,)</f>
        <v>9083</v>
      </c>
    </row>
    <row r="35" spans="1:61" ht="15.75">
      <c r="A35" s="32">
        <f t="shared" si="22"/>
        <v>25</v>
      </c>
      <c r="B35" s="24" t="s">
        <v>75</v>
      </c>
      <c r="C35" s="33"/>
      <c r="D35" s="25">
        <v>322566</v>
      </c>
      <c r="E35" s="29">
        <f t="shared" si="0"/>
        <v>156</v>
      </c>
      <c r="F35" s="26">
        <v>7050</v>
      </c>
      <c r="G35" s="29">
        <f t="shared" si="1"/>
        <v>0</v>
      </c>
      <c r="H35" s="25">
        <v>82940</v>
      </c>
      <c r="I35" s="29">
        <f t="shared" si="2"/>
        <v>362</v>
      </c>
      <c r="J35" s="27">
        <v>598072</v>
      </c>
      <c r="K35" s="29">
        <f t="shared" si="2"/>
        <v>350</v>
      </c>
      <c r="L35" s="28"/>
      <c r="M35" s="34" t="e">
        <f t="shared" si="11"/>
        <v>#DIV/0!</v>
      </c>
      <c r="N35" s="25">
        <v>10627</v>
      </c>
      <c r="O35" s="29">
        <f t="shared" si="3"/>
        <v>103</v>
      </c>
      <c r="P35" s="35">
        <v>94004</v>
      </c>
      <c r="Q35" s="30">
        <f t="shared" si="23"/>
        <v>99</v>
      </c>
      <c r="R35" s="35">
        <v>35</v>
      </c>
      <c r="S35" s="30">
        <f t="shared" si="23"/>
        <v>0</v>
      </c>
      <c r="T35" s="35">
        <v>197088</v>
      </c>
      <c r="U35" s="30">
        <f t="shared" si="5"/>
        <v>123</v>
      </c>
      <c r="V35" s="36"/>
      <c r="W35" s="29">
        <f t="shared" si="6"/>
        <v>0</v>
      </c>
      <c r="X35" s="27">
        <v>19329</v>
      </c>
      <c r="Y35" s="26"/>
      <c r="Z35" s="29">
        <f t="shared" si="7"/>
        <v>0</v>
      </c>
      <c r="AA35" s="27">
        <v>2949</v>
      </c>
      <c r="AB35" s="25"/>
      <c r="AC35" s="30">
        <f t="shared" si="12"/>
        <v>0</v>
      </c>
      <c r="AD35" s="27">
        <v>340</v>
      </c>
      <c r="AE35" s="35"/>
      <c r="AF35" s="30">
        <f t="shared" si="13"/>
        <v>0</v>
      </c>
      <c r="AG35" s="27">
        <v>1091</v>
      </c>
      <c r="AH35" s="25"/>
      <c r="AI35" s="29">
        <f t="shared" si="14"/>
        <v>0</v>
      </c>
      <c r="AJ35" s="27">
        <v>152</v>
      </c>
      <c r="AK35" s="28"/>
      <c r="AL35" s="25"/>
      <c r="AM35" s="29">
        <f t="shared" si="8"/>
        <v>0</v>
      </c>
      <c r="AN35" s="27">
        <v>493</v>
      </c>
      <c r="AO35" s="28"/>
      <c r="AP35" s="25"/>
      <c r="AQ35" s="29"/>
      <c r="AR35" s="27">
        <v>264</v>
      </c>
      <c r="AS35" s="37">
        <v>24</v>
      </c>
      <c r="AT35" s="37">
        <v>35</v>
      </c>
      <c r="AU35" s="94"/>
      <c r="AV35" s="31"/>
      <c r="AW35" s="38">
        <f t="shared" si="9"/>
        <v>0</v>
      </c>
      <c r="AY35" s="39">
        <f t="shared" si="21"/>
        <v>25</v>
      </c>
      <c r="AZ35" s="40">
        <f t="shared" si="16"/>
        <v>4442.92</v>
      </c>
      <c r="BA35" s="40">
        <f t="shared" si="17"/>
        <v>9.92</v>
      </c>
      <c r="BB35" s="40">
        <f t="shared" si="18"/>
        <v>9598.84</v>
      </c>
      <c r="BC35" s="40">
        <f t="shared" si="19"/>
        <v>2752.7999999999997</v>
      </c>
      <c r="BD35" s="41">
        <f t="shared" si="20"/>
        <v>0</v>
      </c>
      <c r="BE35" s="40">
        <f>IF(X35&lt;&gt;0,AVERAGE(X$11:X35)*31,)</f>
        <v>572188.07999999996</v>
      </c>
      <c r="BF35" s="40">
        <f>IF(AD35+AG35&lt;&gt;0,AVERAGE(AD$11:AD35)*31+AVERAGE(AG$11:AG35)*31,)</f>
        <v>46827.360000000001</v>
      </c>
      <c r="BG35" s="41">
        <f>IF(AJ35&lt;&gt;0,AVERAGE(AJ$11:AJ35)*31,)</f>
        <v>5178.24</v>
      </c>
      <c r="BH35" s="41">
        <f>IF(AN35&lt;&gt;0,AVERAGE(AN$11:AN35)*31,)</f>
        <v>15088.320000000002</v>
      </c>
      <c r="BI35" s="41">
        <f>IF(AR35&lt;&gt;0,AVERAGE(AR$11:AR35)*31,)</f>
        <v>9047.0399999999991</v>
      </c>
    </row>
    <row r="36" spans="1:61" ht="15.75">
      <c r="A36" s="32">
        <f t="shared" si="22"/>
        <v>26</v>
      </c>
      <c r="B36" s="24" t="s">
        <v>75</v>
      </c>
      <c r="C36" s="33"/>
      <c r="D36" s="25">
        <v>322707</v>
      </c>
      <c r="E36" s="29">
        <f t="shared" si="0"/>
        <v>141</v>
      </c>
      <c r="F36" s="26">
        <v>7050</v>
      </c>
      <c r="G36" s="29">
        <f t="shared" si="1"/>
        <v>0</v>
      </c>
      <c r="H36" s="25">
        <v>83304</v>
      </c>
      <c r="I36" s="29">
        <f t="shared" si="2"/>
        <v>364</v>
      </c>
      <c r="J36" s="27">
        <v>598422</v>
      </c>
      <c r="K36" s="29">
        <f t="shared" si="2"/>
        <v>350</v>
      </c>
      <c r="L36" s="28"/>
      <c r="M36" s="34" t="e">
        <f t="shared" si="11"/>
        <v>#DIV/0!</v>
      </c>
      <c r="N36" s="25">
        <v>10723</v>
      </c>
      <c r="O36" s="29">
        <f t="shared" si="3"/>
        <v>96</v>
      </c>
      <c r="P36" s="35">
        <v>94104</v>
      </c>
      <c r="Q36" s="30">
        <f t="shared" si="23"/>
        <v>100</v>
      </c>
      <c r="R36" s="35">
        <v>35</v>
      </c>
      <c r="S36" s="30">
        <f t="shared" si="23"/>
        <v>0</v>
      </c>
      <c r="T36" s="35">
        <v>197213</v>
      </c>
      <c r="U36" s="30">
        <f t="shared" si="5"/>
        <v>125</v>
      </c>
      <c r="V36" s="36"/>
      <c r="W36" s="29">
        <f t="shared" si="6"/>
        <v>0</v>
      </c>
      <c r="X36" s="27">
        <v>19287</v>
      </c>
      <c r="Y36" s="26"/>
      <c r="Z36" s="29">
        <f t="shared" si="7"/>
        <v>0</v>
      </c>
      <c r="AA36" s="27">
        <v>2886</v>
      </c>
      <c r="AB36" s="25"/>
      <c r="AC36" s="30">
        <f t="shared" si="12"/>
        <v>0</v>
      </c>
      <c r="AD36" s="27">
        <v>347</v>
      </c>
      <c r="AE36" s="35"/>
      <c r="AF36" s="30">
        <f t="shared" si="13"/>
        <v>0</v>
      </c>
      <c r="AG36" s="27">
        <v>1069</v>
      </c>
      <c r="AH36" s="25"/>
      <c r="AI36" s="29">
        <f t="shared" si="14"/>
        <v>0</v>
      </c>
      <c r="AJ36" s="27">
        <v>160</v>
      </c>
      <c r="AK36" s="28"/>
      <c r="AL36" s="25"/>
      <c r="AM36" s="29">
        <f t="shared" si="8"/>
        <v>0</v>
      </c>
      <c r="AN36" s="27">
        <v>497</v>
      </c>
      <c r="AO36" s="28"/>
      <c r="AP36" s="25"/>
      <c r="AQ36" s="29"/>
      <c r="AR36" s="27">
        <v>256</v>
      </c>
      <c r="AS36" s="37">
        <v>23</v>
      </c>
      <c r="AT36" s="37">
        <v>32</v>
      </c>
      <c r="AU36" s="94"/>
      <c r="AV36" s="31"/>
      <c r="AW36" s="38">
        <f>IF(ISBLANK(AV36),0,AV36-AV35)</f>
        <v>0</v>
      </c>
      <c r="AY36" s="39">
        <f t="shared" si="21"/>
        <v>26</v>
      </c>
      <c r="AZ36" s="40">
        <f t="shared" si="16"/>
        <v>4440.1538461538457</v>
      </c>
      <c r="BA36" s="40">
        <f t="shared" si="17"/>
        <v>9.5384615384615383</v>
      </c>
      <c r="BB36" s="40">
        <f t="shared" si="18"/>
        <v>9663.6538461538457</v>
      </c>
      <c r="BC36" s="40">
        <f t="shared" si="19"/>
        <v>2761.3846153846157</v>
      </c>
      <c r="BD36" s="41">
        <f t="shared" si="20"/>
        <v>0</v>
      </c>
      <c r="BE36" s="40">
        <f>IF(X36&lt;&gt;0,AVERAGE(X$11:X36)*31,)</f>
        <v>573176.88461538462</v>
      </c>
      <c r="BF36" s="40">
        <f>IF(AD36+AG36&lt;&gt;0,AVERAGE(AD$11:AD36)*31+AVERAGE(AG$11:AG36)*31,)</f>
        <v>46714.615384615383</v>
      </c>
      <c r="BG36" s="41">
        <f>IF(AJ36&lt;&gt;0,AVERAGE(AJ$11:AJ36)*31,)</f>
        <v>5169.8461538461543</v>
      </c>
      <c r="BH36" s="41">
        <f>IF(AN36&lt;&gt;0,AVERAGE(AN$11:AN36)*31,)</f>
        <v>15100.576923076924</v>
      </c>
      <c r="BI36" s="41">
        <f>IF(AR36&lt;&gt;0,AVERAGE(AR$11:AR36)*31,)</f>
        <v>9004.3076923076915</v>
      </c>
    </row>
    <row r="37" spans="1:61" ht="15.75">
      <c r="A37" s="32">
        <f t="shared" si="22"/>
        <v>27</v>
      </c>
      <c r="B37" s="24" t="s">
        <v>75</v>
      </c>
      <c r="C37" s="33"/>
      <c r="D37" s="25">
        <v>322918</v>
      </c>
      <c r="E37" s="29">
        <f t="shared" si="0"/>
        <v>211</v>
      </c>
      <c r="F37" s="26">
        <v>7050</v>
      </c>
      <c r="G37" s="100">
        <f t="shared" si="1"/>
        <v>0</v>
      </c>
      <c r="H37" s="25">
        <v>83652</v>
      </c>
      <c r="I37" s="29">
        <f t="shared" si="2"/>
        <v>348</v>
      </c>
      <c r="J37" s="27">
        <v>598758</v>
      </c>
      <c r="K37" s="29">
        <f t="shared" si="2"/>
        <v>336</v>
      </c>
      <c r="L37" s="28"/>
      <c r="M37" s="34" t="e">
        <f t="shared" si="11"/>
        <v>#DIV/0!</v>
      </c>
      <c r="N37" s="25">
        <v>10806</v>
      </c>
      <c r="O37" s="29">
        <f t="shared" si="3"/>
        <v>83</v>
      </c>
      <c r="P37" s="35">
        <v>94203</v>
      </c>
      <c r="Q37" s="30">
        <f t="shared" si="23"/>
        <v>99</v>
      </c>
      <c r="R37" s="35">
        <v>35</v>
      </c>
      <c r="S37" s="30">
        <f t="shared" si="23"/>
        <v>0</v>
      </c>
      <c r="T37" s="35">
        <v>197342</v>
      </c>
      <c r="U37" s="30">
        <f t="shared" si="5"/>
        <v>129</v>
      </c>
      <c r="V37" s="36"/>
      <c r="W37" s="29">
        <f t="shared" si="6"/>
        <v>0</v>
      </c>
      <c r="X37" s="27">
        <v>18162</v>
      </c>
      <c r="Y37" s="26"/>
      <c r="Z37" s="29">
        <f t="shared" si="7"/>
        <v>0</v>
      </c>
      <c r="AA37" s="27">
        <v>2841</v>
      </c>
      <c r="AB37" s="25"/>
      <c r="AC37" s="30">
        <f t="shared" si="12"/>
        <v>0</v>
      </c>
      <c r="AD37" s="27">
        <v>347</v>
      </c>
      <c r="AE37" s="35"/>
      <c r="AF37" s="30">
        <f t="shared" si="13"/>
        <v>0</v>
      </c>
      <c r="AG37" s="27">
        <v>1073</v>
      </c>
      <c r="AH37" s="25"/>
      <c r="AI37" s="29">
        <f t="shared" si="14"/>
        <v>0</v>
      </c>
      <c r="AJ37" s="27">
        <v>152</v>
      </c>
      <c r="AK37" s="28"/>
      <c r="AL37" s="25"/>
      <c r="AM37" s="29">
        <f t="shared" si="8"/>
        <v>0</v>
      </c>
      <c r="AN37" s="27">
        <v>445</v>
      </c>
      <c r="AO37" s="28"/>
      <c r="AP37" s="25"/>
      <c r="AQ37" s="29"/>
      <c r="AR37" s="27">
        <v>240</v>
      </c>
      <c r="AS37" s="101">
        <v>22</v>
      </c>
      <c r="AT37" s="45">
        <v>30</v>
      </c>
      <c r="AU37" s="102"/>
      <c r="AV37" s="31"/>
      <c r="AW37" s="38">
        <f>IF(ISBLANK(AV37),0,AV37-AV36)</f>
        <v>0</v>
      </c>
      <c r="AY37" s="39">
        <f t="shared" si="21"/>
        <v>27</v>
      </c>
      <c r="AZ37" s="40">
        <f t="shared" si="16"/>
        <v>4517.9629629629626</v>
      </c>
      <c r="BA37" s="40">
        <f t="shared" si="17"/>
        <v>9.1851851851851851</v>
      </c>
      <c r="BB37" s="40">
        <f t="shared" si="18"/>
        <v>9705.2962962962956</v>
      </c>
      <c r="BC37" s="40">
        <f t="shared" si="19"/>
        <v>2754.4074074074074</v>
      </c>
      <c r="BD37" s="41">
        <f t="shared" si="20"/>
        <v>0</v>
      </c>
      <c r="BE37" s="40">
        <f>IF(X37&lt;&gt;0,AVERAGE(X$11:X37)*31,)</f>
        <v>572800.77777777775</v>
      </c>
      <c r="BF37" s="40">
        <f>IF(AD37+AG37&lt;&gt;0,AVERAGE(AD$11:AD37)*31+AVERAGE(AG$11:AG37)*31,)</f>
        <v>46614.81481481481</v>
      </c>
      <c r="BG37" s="41">
        <f>IF(AJ37&lt;&gt;0,AVERAGE(AJ$11:AJ37)*31,)</f>
        <v>5152.8888888888887</v>
      </c>
      <c r="BH37" s="41">
        <f>IF(AN37&lt;&gt;0,AVERAGE(AN$11:AN37)*31,)</f>
        <v>15052.222222222223</v>
      </c>
      <c r="BI37" s="41">
        <f>IF(AR37&lt;&gt;0,AVERAGE(AR$11:AR37)*31,)</f>
        <v>8946.3703703703704</v>
      </c>
    </row>
    <row r="38" spans="1:61" ht="15.75">
      <c r="A38" s="32">
        <f t="shared" si="22"/>
        <v>28</v>
      </c>
      <c r="B38" s="24" t="s">
        <v>75</v>
      </c>
      <c r="C38" s="33"/>
      <c r="D38" s="25">
        <v>323136</v>
      </c>
      <c r="E38" s="29">
        <f t="shared" si="0"/>
        <v>218</v>
      </c>
      <c r="F38" s="26">
        <v>7050</v>
      </c>
      <c r="G38" s="29">
        <f t="shared" si="1"/>
        <v>0</v>
      </c>
      <c r="H38" s="25">
        <v>84009</v>
      </c>
      <c r="I38" s="29">
        <f t="shared" si="2"/>
        <v>357</v>
      </c>
      <c r="J38" s="27">
        <v>599202</v>
      </c>
      <c r="K38" s="29">
        <f t="shared" si="2"/>
        <v>444</v>
      </c>
      <c r="L38" s="28"/>
      <c r="M38" s="34" t="e">
        <f t="shared" si="11"/>
        <v>#DIV/0!</v>
      </c>
      <c r="N38" s="25">
        <v>10892</v>
      </c>
      <c r="O38" s="29">
        <f t="shared" si="3"/>
        <v>86</v>
      </c>
      <c r="P38" s="35">
        <v>94301</v>
      </c>
      <c r="Q38" s="30">
        <f t="shared" si="23"/>
        <v>98</v>
      </c>
      <c r="R38" s="35">
        <v>36</v>
      </c>
      <c r="S38" s="30">
        <f t="shared" si="23"/>
        <v>1</v>
      </c>
      <c r="T38" s="35">
        <v>197472</v>
      </c>
      <c r="U38" s="30">
        <f t="shared" si="5"/>
        <v>130</v>
      </c>
      <c r="V38" s="36"/>
      <c r="W38" s="29">
        <f t="shared" si="6"/>
        <v>0</v>
      </c>
      <c r="X38" s="27">
        <v>18511</v>
      </c>
      <c r="Y38" s="26"/>
      <c r="Z38" s="29">
        <f t="shared" si="7"/>
        <v>0</v>
      </c>
      <c r="AA38" s="27">
        <v>2991</v>
      </c>
      <c r="AB38" s="25"/>
      <c r="AC38" s="30">
        <f t="shared" si="12"/>
        <v>0</v>
      </c>
      <c r="AD38" s="27">
        <v>355</v>
      </c>
      <c r="AE38" s="35"/>
      <c r="AF38" s="30">
        <f t="shared" si="13"/>
        <v>0</v>
      </c>
      <c r="AG38" s="27">
        <v>1076</v>
      </c>
      <c r="AH38" s="25"/>
      <c r="AI38" s="29">
        <f t="shared" si="14"/>
        <v>0</v>
      </c>
      <c r="AJ38" s="27">
        <v>152</v>
      </c>
      <c r="AK38" s="28"/>
      <c r="AL38" s="25"/>
      <c r="AM38" s="29">
        <f t="shared" si="8"/>
        <v>0</v>
      </c>
      <c r="AN38" s="27">
        <v>434</v>
      </c>
      <c r="AO38" s="28"/>
      <c r="AP38" s="25"/>
      <c r="AQ38" s="29"/>
      <c r="AR38" s="27">
        <v>288</v>
      </c>
      <c r="AS38" s="37">
        <v>19</v>
      </c>
      <c r="AT38" s="37">
        <v>31</v>
      </c>
      <c r="AU38" s="103"/>
      <c r="AV38" s="31"/>
      <c r="AW38" s="38">
        <f>IF(ISBLANK(AV38),0,AV38-AV37)</f>
        <v>0</v>
      </c>
      <c r="AY38" s="39">
        <f t="shared" si="21"/>
        <v>28</v>
      </c>
      <c r="AZ38" s="40">
        <f t="shared" si="16"/>
        <v>4597.9642857142862</v>
      </c>
      <c r="BA38" s="40">
        <f t="shared" si="17"/>
        <v>8.8571428571428559</v>
      </c>
      <c r="BB38" s="40">
        <f t="shared" si="18"/>
        <v>9753.9285714285725</v>
      </c>
      <c r="BC38" s="40">
        <f t="shared" si="19"/>
        <v>2751.25</v>
      </c>
      <c r="BD38" s="41">
        <f t="shared" si="20"/>
        <v>0</v>
      </c>
      <c r="BE38" s="40">
        <f>IF(X38&lt;&gt;0,AVERAGE(X$11:X38)*31,)</f>
        <v>572837.92857142864</v>
      </c>
      <c r="BF38" s="40">
        <f>IF(AD38+AG38&lt;&gt;0,AVERAGE(AD$11:AD38)*31+AVERAGE(AG$11:AG38)*31,)</f>
        <v>46534.321428571428</v>
      </c>
      <c r="BG38" s="41">
        <f>IF(AJ38&lt;&gt;0,AVERAGE(AJ$11:AJ38)*31,)</f>
        <v>5137.1428571428578</v>
      </c>
      <c r="BH38" s="41">
        <f>IF(AN38&lt;&gt;0,AVERAGE(AN$11:AN38)*31,)</f>
        <v>14995.142857142857</v>
      </c>
      <c r="BI38" s="41">
        <f>IF(AR38&lt;&gt;0,AVERAGE(AR$11:AR38)*31,)</f>
        <v>8945.7142857142844</v>
      </c>
    </row>
    <row r="39" spans="1:61" ht="15.75">
      <c r="A39" s="32">
        <f t="shared" si="22"/>
        <v>29</v>
      </c>
      <c r="B39" s="24" t="s">
        <v>75</v>
      </c>
      <c r="C39" s="29"/>
      <c r="D39" s="25">
        <v>323339</v>
      </c>
      <c r="E39" s="29">
        <f t="shared" si="0"/>
        <v>203</v>
      </c>
      <c r="F39" s="26">
        <v>7050</v>
      </c>
      <c r="G39" s="29">
        <f t="shared" si="1"/>
        <v>0</v>
      </c>
      <c r="H39" s="25">
        <v>84341</v>
      </c>
      <c r="I39" s="29">
        <f t="shared" si="2"/>
        <v>332</v>
      </c>
      <c r="J39" s="27">
        <v>599422</v>
      </c>
      <c r="K39" s="29">
        <f t="shared" si="2"/>
        <v>220</v>
      </c>
      <c r="L39" s="28"/>
      <c r="M39" s="34" t="e">
        <f t="shared" si="11"/>
        <v>#DIV/0!</v>
      </c>
      <c r="N39" s="25">
        <v>10952</v>
      </c>
      <c r="O39" s="29">
        <f t="shared" si="3"/>
        <v>60</v>
      </c>
      <c r="P39" s="35">
        <v>94390</v>
      </c>
      <c r="Q39" s="30">
        <f t="shared" si="23"/>
        <v>89</v>
      </c>
      <c r="R39" s="35">
        <v>36</v>
      </c>
      <c r="S39" s="30">
        <f t="shared" si="23"/>
        <v>0</v>
      </c>
      <c r="T39" s="35">
        <v>197585</v>
      </c>
      <c r="U39" s="30">
        <f t="shared" si="5"/>
        <v>113</v>
      </c>
      <c r="V39" s="36"/>
      <c r="W39" s="29">
        <f t="shared" si="6"/>
        <v>0</v>
      </c>
      <c r="X39" s="27">
        <v>18080</v>
      </c>
      <c r="Y39" s="26"/>
      <c r="Z39" s="29">
        <f t="shared" si="7"/>
        <v>0</v>
      </c>
      <c r="AA39" s="27">
        <v>2809</v>
      </c>
      <c r="AB39" s="25"/>
      <c r="AC39" s="30">
        <f t="shared" si="12"/>
        <v>0</v>
      </c>
      <c r="AD39" s="27">
        <v>349</v>
      </c>
      <c r="AE39" s="35"/>
      <c r="AF39" s="30">
        <f t="shared" si="13"/>
        <v>0</v>
      </c>
      <c r="AG39" s="27">
        <v>1187</v>
      </c>
      <c r="AH39" s="25"/>
      <c r="AI39" s="29">
        <f t="shared" si="14"/>
        <v>0</v>
      </c>
      <c r="AJ39" s="27">
        <v>176</v>
      </c>
      <c r="AK39" s="28"/>
      <c r="AL39" s="25"/>
      <c r="AM39" s="29">
        <f t="shared" si="8"/>
        <v>0</v>
      </c>
      <c r="AN39" s="27">
        <v>474</v>
      </c>
      <c r="AO39" s="28"/>
      <c r="AP39" s="25"/>
      <c r="AQ39" s="29"/>
      <c r="AR39" s="27">
        <v>328</v>
      </c>
      <c r="AS39" s="37">
        <v>20</v>
      </c>
      <c r="AT39" s="37">
        <v>25</v>
      </c>
      <c r="AU39" s="94"/>
      <c r="AV39" s="31"/>
      <c r="AW39" s="38">
        <f t="shared" si="9"/>
        <v>0</v>
      </c>
      <c r="AY39" s="39">
        <f t="shared" si="21"/>
        <v>29</v>
      </c>
      <c r="AZ39" s="40">
        <f t="shared" si="16"/>
        <v>4656.4137931034484</v>
      </c>
      <c r="BA39" s="40">
        <f t="shared" si="17"/>
        <v>8.5517241379310338</v>
      </c>
      <c r="BB39" s="40">
        <f t="shared" si="18"/>
        <v>9772.4827586206902</v>
      </c>
      <c r="BC39" s="40">
        <f t="shared" si="19"/>
        <v>2720.5172413793102</v>
      </c>
      <c r="BD39" s="41">
        <f t="shared" si="20"/>
        <v>0</v>
      </c>
      <c r="BE39" s="40">
        <f>IF(X39&lt;&gt;0,AVERAGE(X$11:X39)*31,)</f>
        <v>572411.79310344823</v>
      </c>
      <c r="BF39" s="40">
        <f>IF(AD39+AG39&lt;&gt;0,AVERAGE(AD$11:AD39)*31+AVERAGE(AG$11:AG39)*31,)</f>
        <v>46571.620689655167</v>
      </c>
      <c r="BG39" s="41">
        <f>IF(AJ39&lt;&gt;0,AVERAGE(AJ$11:AJ39)*31,)</f>
        <v>5148.1379310344828</v>
      </c>
      <c r="BH39" s="41">
        <f>IF(AN39&lt;&gt;0,AVERAGE(AN$11:AN39)*31,)</f>
        <v>14984.758620689654</v>
      </c>
      <c r="BI39" s="41">
        <f>IF(AR39&lt;&gt;0,AVERAGE(AR$11:AR39)*31,)</f>
        <v>8987.8620689655163</v>
      </c>
    </row>
    <row r="40" spans="1:61" ht="15.75">
      <c r="A40" s="32">
        <f t="shared" si="22"/>
        <v>30</v>
      </c>
      <c r="B40" s="24" t="s">
        <v>75</v>
      </c>
      <c r="C40" s="33"/>
      <c r="D40" s="25">
        <v>323554</v>
      </c>
      <c r="E40" s="29">
        <f t="shared" si="0"/>
        <v>215</v>
      </c>
      <c r="F40" s="26">
        <v>7050</v>
      </c>
      <c r="G40" s="29">
        <f t="shared" si="1"/>
        <v>0</v>
      </c>
      <c r="H40" s="25">
        <v>84671</v>
      </c>
      <c r="I40" s="29">
        <f t="shared" si="2"/>
        <v>330</v>
      </c>
      <c r="J40" s="27">
        <v>599740</v>
      </c>
      <c r="K40" s="29">
        <f t="shared" si="2"/>
        <v>318</v>
      </c>
      <c r="L40" s="28"/>
      <c r="M40" s="34" t="e">
        <f t="shared" si="11"/>
        <v>#DIV/0!</v>
      </c>
      <c r="N40" s="25">
        <v>11020</v>
      </c>
      <c r="O40" s="29">
        <f t="shared" si="3"/>
        <v>68</v>
      </c>
      <c r="P40" s="35">
        <v>94492</v>
      </c>
      <c r="Q40" s="30">
        <f t="shared" si="23"/>
        <v>102</v>
      </c>
      <c r="R40" s="35">
        <v>36</v>
      </c>
      <c r="S40" s="30">
        <f t="shared" si="23"/>
        <v>0</v>
      </c>
      <c r="T40" s="35">
        <v>197716</v>
      </c>
      <c r="U40" s="30">
        <f t="shared" si="5"/>
        <v>131</v>
      </c>
      <c r="V40" s="36"/>
      <c r="W40" s="29">
        <f t="shared" si="6"/>
        <v>0</v>
      </c>
      <c r="X40" s="27">
        <v>17203</v>
      </c>
      <c r="Y40" s="26"/>
      <c r="Z40" s="29">
        <f t="shared" si="7"/>
        <v>0</v>
      </c>
      <c r="AA40" s="27">
        <v>2983</v>
      </c>
      <c r="AB40" s="25"/>
      <c r="AC40" s="30">
        <f t="shared" si="12"/>
        <v>0</v>
      </c>
      <c r="AD40" s="27">
        <v>343</v>
      </c>
      <c r="AE40" s="35"/>
      <c r="AF40" s="30">
        <f t="shared" si="13"/>
        <v>0</v>
      </c>
      <c r="AG40" s="27">
        <v>1164</v>
      </c>
      <c r="AH40" s="25"/>
      <c r="AI40" s="29">
        <f t="shared" si="14"/>
        <v>0</v>
      </c>
      <c r="AJ40" s="27">
        <v>160</v>
      </c>
      <c r="AK40" s="28"/>
      <c r="AL40" s="25"/>
      <c r="AM40" s="29">
        <f t="shared" si="8"/>
        <v>0</v>
      </c>
      <c r="AN40" s="27">
        <v>477</v>
      </c>
      <c r="AO40" s="28"/>
      <c r="AP40" s="25"/>
      <c r="AQ40" s="29"/>
      <c r="AR40" s="27">
        <v>264</v>
      </c>
      <c r="AS40" s="37">
        <v>26</v>
      </c>
      <c r="AT40" s="37">
        <v>32</v>
      </c>
      <c r="AU40" s="103"/>
      <c r="AV40" s="31"/>
      <c r="AW40" s="38">
        <f t="shared" si="9"/>
        <v>0</v>
      </c>
      <c r="AY40" s="39">
        <f t="shared" si="21"/>
        <v>30</v>
      </c>
      <c r="AZ40" s="40">
        <f t="shared" si="16"/>
        <v>4723.3666666666668</v>
      </c>
      <c r="BA40" s="40">
        <f t="shared" si="17"/>
        <v>8.2666666666666657</v>
      </c>
      <c r="BB40" s="40">
        <f t="shared" si="18"/>
        <v>9787.7333333333336</v>
      </c>
      <c r="BC40" s="40">
        <f t="shared" si="19"/>
        <v>2700.1</v>
      </c>
      <c r="BD40" s="41">
        <f t="shared" si="20"/>
        <v>0</v>
      </c>
      <c r="BE40" s="40">
        <f>IF(X40&lt;&gt;0,AVERAGE(X$11:X40)*31,)</f>
        <v>571107.83333333326</v>
      </c>
      <c r="BF40" s="40">
        <f>IF(AD40+AG40&lt;&gt;0,AVERAGE(AD$11:AD40)*31+AVERAGE(AG$11:AG40)*31,)</f>
        <v>46576.46666666666</v>
      </c>
      <c r="BG40" s="41">
        <f>IF(AJ40&lt;&gt;0,AVERAGE(AJ$11:AJ40)*31,)</f>
        <v>5141.8666666666668</v>
      </c>
      <c r="BH40" s="41">
        <f>IF(AN40&lt;&gt;0,AVERAGE(AN$11:AN40)*31,)</f>
        <v>14978.166666666668</v>
      </c>
      <c r="BI40" s="41">
        <f>IF(AR40&lt;&gt;0,AVERAGE(AR$11:AR40)*31,)</f>
        <v>8961.0666666666657</v>
      </c>
    </row>
    <row r="41" spans="1:61" ht="16.5" customHeight="1" thickBot="1">
      <c r="A41" s="32">
        <f t="shared" si="22"/>
        <v>31</v>
      </c>
      <c r="B41" s="24" t="s">
        <v>75</v>
      </c>
      <c r="C41" s="33"/>
      <c r="D41" s="25">
        <v>323766</v>
      </c>
      <c r="E41" s="29">
        <f t="shared" si="0"/>
        <v>212</v>
      </c>
      <c r="F41" s="26">
        <v>7050</v>
      </c>
      <c r="G41" s="29">
        <f t="shared" si="1"/>
        <v>0</v>
      </c>
      <c r="H41" s="25">
        <v>84957</v>
      </c>
      <c r="I41" s="29">
        <f t="shared" si="2"/>
        <v>286</v>
      </c>
      <c r="J41" s="27">
        <v>600015</v>
      </c>
      <c r="K41" s="29">
        <f t="shared" si="2"/>
        <v>275</v>
      </c>
      <c r="L41" s="28"/>
      <c r="M41" s="34" t="e">
        <f t="shared" si="11"/>
        <v>#DIV/0!</v>
      </c>
      <c r="N41" s="25">
        <v>11078</v>
      </c>
      <c r="O41" s="29">
        <f t="shared" si="3"/>
        <v>58</v>
      </c>
      <c r="P41" s="104">
        <v>94582</v>
      </c>
      <c r="Q41" s="30">
        <f t="shared" si="23"/>
        <v>90</v>
      </c>
      <c r="R41" s="35">
        <v>36</v>
      </c>
      <c r="S41" s="30">
        <f t="shared" si="23"/>
        <v>0</v>
      </c>
      <c r="T41" s="35">
        <v>197834</v>
      </c>
      <c r="U41" s="30">
        <f t="shared" si="5"/>
        <v>118</v>
      </c>
      <c r="V41" s="114">
        <v>4998.4399999999996</v>
      </c>
      <c r="W41" s="29">
        <f t="shared" si="6"/>
        <v>10996568</v>
      </c>
      <c r="X41" s="27">
        <v>16886</v>
      </c>
      <c r="Y41" s="36">
        <v>956.38</v>
      </c>
      <c r="Z41" s="29">
        <f t="shared" si="7"/>
        <v>2104036</v>
      </c>
      <c r="AA41" s="27">
        <v>2913</v>
      </c>
      <c r="AB41" s="25">
        <v>1746536</v>
      </c>
      <c r="AC41" s="30">
        <f t="shared" si="12"/>
        <v>1746536</v>
      </c>
      <c r="AD41" s="27">
        <v>333</v>
      </c>
      <c r="AE41" s="25">
        <v>5152419</v>
      </c>
      <c r="AF41" s="30">
        <f t="shared" si="13"/>
        <v>5152419</v>
      </c>
      <c r="AG41" s="27">
        <v>1156</v>
      </c>
      <c r="AH41" s="25">
        <v>34068</v>
      </c>
      <c r="AI41" s="29">
        <f t="shared" si="14"/>
        <v>2725440</v>
      </c>
      <c r="AJ41" s="27">
        <v>160</v>
      </c>
      <c r="AK41" s="28"/>
      <c r="AL41" s="25">
        <v>202543</v>
      </c>
      <c r="AM41" s="29">
        <f t="shared" si="8"/>
        <v>202543</v>
      </c>
      <c r="AN41" s="27">
        <v>497</v>
      </c>
      <c r="AO41" s="28"/>
      <c r="AP41" s="25">
        <v>46711</v>
      </c>
      <c r="AQ41" s="29"/>
      <c r="AR41" s="27">
        <v>296</v>
      </c>
      <c r="AS41" s="37">
        <v>24</v>
      </c>
      <c r="AT41" s="37">
        <v>31</v>
      </c>
      <c r="AU41" s="94"/>
      <c r="AV41" s="31"/>
      <c r="AW41" s="38">
        <f t="shared" si="9"/>
        <v>0</v>
      </c>
      <c r="AY41" s="39">
        <f t="shared" si="21"/>
        <v>31</v>
      </c>
      <c r="AZ41" s="40">
        <f t="shared" si="16"/>
        <v>4783</v>
      </c>
      <c r="BA41" s="40">
        <f t="shared" si="17"/>
        <v>8</v>
      </c>
      <c r="BB41" s="40">
        <f t="shared" si="18"/>
        <v>9758</v>
      </c>
      <c r="BC41" s="40">
        <f t="shared" si="19"/>
        <v>2671</v>
      </c>
      <c r="BD41" s="41">
        <f t="shared" si="20"/>
        <v>580788.99999999977</v>
      </c>
      <c r="BE41" s="40">
        <f>IF(X41&lt;&gt;0,AVERAGE(X$11:X41)*31,)</f>
        <v>569571</v>
      </c>
      <c r="BF41" s="40">
        <f>IF(AD41+AG41&lt;&gt;0,AVERAGE(AD$11:AD41)*31+AVERAGE(AG$11:AG41)*31,)</f>
        <v>46563</v>
      </c>
      <c r="BG41" s="41">
        <f>IF(AJ41&lt;&gt;0,AVERAGE(AJ$11:AJ41)*31,)</f>
        <v>5136</v>
      </c>
      <c r="BH41" s="41">
        <f>IF(AN41&lt;&gt;0,AVERAGE(AN$11:AN41)*31,)</f>
        <v>14992</v>
      </c>
      <c r="BI41" s="41">
        <f>IF(AR41&lt;&gt;0,AVERAGE(AR$11:AR41)*31,)</f>
        <v>8968</v>
      </c>
    </row>
    <row r="42" spans="1:61" ht="16.5" customHeight="1" thickTop="1" thickBot="1">
      <c r="A42" s="46" t="s">
        <v>77</v>
      </c>
      <c r="C42" s="47"/>
      <c r="D42" s="48">
        <f>D41-D10</f>
        <v>4783</v>
      </c>
      <c r="F42" s="48">
        <f>F41-F10</f>
        <v>8</v>
      </c>
      <c r="G42" s="7"/>
      <c r="H42" s="48">
        <f>H41-H10</f>
        <v>9758</v>
      </c>
      <c r="I42" s="7"/>
      <c r="J42" s="7"/>
      <c r="K42" s="7"/>
      <c r="L42" s="7"/>
      <c r="M42" s="7"/>
      <c r="N42" s="48">
        <f>N41-N10</f>
        <v>2671</v>
      </c>
      <c r="O42" s="7"/>
      <c r="P42" s="48">
        <f>P41-P11</f>
        <v>1903</v>
      </c>
      <c r="Q42" s="7"/>
      <c r="R42" s="48">
        <f>R41-R11</f>
        <v>1</v>
      </c>
      <c r="S42" s="7"/>
      <c r="T42" s="48">
        <f>T40-T11</f>
        <v>2629</v>
      </c>
      <c r="U42" s="7"/>
      <c r="V42" s="48">
        <f>SUM(+V41-V10)*2200</f>
        <v>580788.99999999977</v>
      </c>
      <c r="W42" s="7"/>
      <c r="X42" s="105">
        <f>SUM(X11:X41)</f>
        <v>569571</v>
      </c>
      <c r="Y42" s="48">
        <f>Y41-Y10</f>
        <v>44.727999999999952</v>
      </c>
      <c r="Z42" s="7"/>
      <c r="AA42" s="105">
        <f>SUM(AA10:AA41)</f>
        <v>89754</v>
      </c>
      <c r="AB42" s="49">
        <f>SUM(+AB41-AB10)</f>
        <v>10839</v>
      </c>
      <c r="AC42" s="7"/>
      <c r="AD42" s="105">
        <f>SUM(AD10:AD41)</f>
        <v>10837</v>
      </c>
      <c r="AE42" s="49">
        <f>SUM(+AE41-AE10)</f>
        <v>35814</v>
      </c>
      <c r="AF42" s="7"/>
      <c r="AG42" s="105">
        <f>SUM(AG10:AG41)</f>
        <v>35726</v>
      </c>
      <c r="AH42" s="48">
        <f>SUM(+AH41-AH10)*80</f>
        <v>5040</v>
      </c>
      <c r="AI42" s="7"/>
      <c r="AJ42" s="105">
        <f>SUM(AJ10:AJ41)</f>
        <v>5136</v>
      </c>
      <c r="AK42" s="7"/>
      <c r="AL42" s="48">
        <f>SUM(+AL41-AL10)</f>
        <v>15024</v>
      </c>
      <c r="AM42" s="7"/>
      <c r="AN42" s="105">
        <f>SUM(AN10:AN41)</f>
        <v>14992</v>
      </c>
      <c r="AO42" s="7"/>
      <c r="AP42" s="48">
        <f>SUM(+AP41-AP10)*80</f>
        <v>8800</v>
      </c>
      <c r="AQ42" s="7"/>
      <c r="AR42" s="105">
        <f>SUM(AR10:AR41)</f>
        <v>8968</v>
      </c>
      <c r="AS42" s="50">
        <f>AVERAGE(AS11:AS41)</f>
        <v>22.967741935483872</v>
      </c>
      <c r="AT42" s="51">
        <f>AVERAGE(AT11:AT41)</f>
        <v>32.645161290322584</v>
      </c>
      <c r="AU42" s="52"/>
      <c r="AY42" s="53"/>
      <c r="AZ42" s="54"/>
      <c r="BA42" s="54"/>
      <c r="BB42" s="54"/>
      <c r="BC42" s="54"/>
      <c r="BD42" s="55"/>
      <c r="BE42" s="106"/>
      <c r="BF42" s="107"/>
      <c r="BG42" s="106"/>
      <c r="BH42" s="106"/>
      <c r="BI42" s="106"/>
    </row>
    <row r="43" spans="1:61" ht="16.5" customHeight="1" thickTop="1" thickBot="1">
      <c r="A43" s="46" t="s">
        <v>78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115">
        <f>AD42+AG42</f>
        <v>46563</v>
      </c>
      <c r="AC43" s="116"/>
      <c r="AD43" s="116"/>
      <c r="AE43" s="117"/>
      <c r="AF43" s="7"/>
      <c r="AG43" s="7"/>
      <c r="AH43" s="7"/>
      <c r="AI43" s="108"/>
      <c r="AJ43" s="56">
        <f>AB43+AJ42</f>
        <v>51699</v>
      </c>
      <c r="AK43" s="7"/>
      <c r="AL43" s="7"/>
      <c r="AM43" s="7"/>
      <c r="AN43" s="7"/>
      <c r="AO43" s="7"/>
      <c r="AP43" s="7"/>
      <c r="AQ43" s="7"/>
      <c r="AR43" s="7"/>
      <c r="AS43" s="57" t="s">
        <v>79</v>
      </c>
      <c r="AT43" s="7"/>
      <c r="AU43" s="7"/>
    </row>
    <row r="44" spans="1:61" ht="14.45" customHeight="1" thickBot="1"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58"/>
      <c r="AT44" s="59"/>
      <c r="AU44" s="7"/>
    </row>
    <row r="45" spans="1:61" ht="17.25" thickTop="1" thickBot="1">
      <c r="A45" s="32" t="s">
        <v>80</v>
      </c>
      <c r="B45" s="32"/>
      <c r="C45" s="60"/>
      <c r="D45" s="48"/>
      <c r="E45" s="61"/>
      <c r="F45" s="48"/>
      <c r="G45" s="61"/>
      <c r="H45" s="48"/>
      <c r="I45" s="61"/>
      <c r="J45" s="61"/>
      <c r="K45" s="61"/>
      <c r="L45" s="60"/>
      <c r="M45" s="60"/>
      <c r="N45" s="48"/>
      <c r="O45" s="61"/>
      <c r="P45" s="61"/>
      <c r="Q45" s="61"/>
      <c r="R45" s="61"/>
      <c r="S45" s="61"/>
      <c r="T45" s="61"/>
      <c r="U45" s="61"/>
      <c r="V45" s="48"/>
    </row>
    <row r="46" spans="1:61" ht="16.5" thickTop="1">
      <c r="A46" s="7" t="s">
        <v>81</v>
      </c>
      <c r="D46" s="2">
        <v>10045</v>
      </c>
      <c r="F46" s="2">
        <v>54</v>
      </c>
      <c r="G46" s="62"/>
      <c r="H46" s="2">
        <v>6287</v>
      </c>
      <c r="N46" s="2">
        <v>785</v>
      </c>
      <c r="V46" s="2">
        <v>542897</v>
      </c>
    </row>
    <row r="47" spans="1:61" ht="15.75">
      <c r="A47" s="7" t="s">
        <v>82</v>
      </c>
      <c r="D47" s="2">
        <v>5716</v>
      </c>
      <c r="F47" s="2">
        <v>168</v>
      </c>
      <c r="G47" s="62"/>
      <c r="H47" s="2">
        <v>5945</v>
      </c>
      <c r="N47" s="2">
        <v>1261</v>
      </c>
      <c r="V47" s="2">
        <v>647876</v>
      </c>
    </row>
    <row r="48" spans="1:61" ht="15.75">
      <c r="A48" s="7" t="s">
        <v>83</v>
      </c>
      <c r="D48" s="2">
        <v>10349</v>
      </c>
      <c r="F48" s="2">
        <v>100</v>
      </c>
      <c r="G48" s="62"/>
      <c r="H48" s="2">
        <v>7616</v>
      </c>
      <c r="N48" s="2">
        <v>1365</v>
      </c>
      <c r="V48" s="2">
        <v>563749</v>
      </c>
    </row>
    <row r="49" spans="7:13">
      <c r="G49" s="62"/>
    </row>
    <row r="50" spans="7:13" ht="15.75">
      <c r="I50" s="7"/>
      <c r="J50" s="7"/>
      <c r="K50" s="7"/>
      <c r="L50" s="7"/>
      <c r="M50" s="7"/>
    </row>
  </sheetData>
  <mergeCells count="31">
    <mergeCell ref="R7:S8"/>
    <mergeCell ref="BD7:BD9"/>
    <mergeCell ref="P7:Q8"/>
    <mergeCell ref="AL7:AO8"/>
    <mergeCell ref="BB7:BB9"/>
    <mergeCell ref="Y7:AA8"/>
    <mergeCell ref="AP7:AR8"/>
    <mergeCell ref="T7:U8"/>
    <mergeCell ref="V7:X8"/>
    <mergeCell ref="BC7:BC9"/>
    <mergeCell ref="AB7:AD8"/>
    <mergeCell ref="A7:C8"/>
    <mergeCell ref="D7:E8"/>
    <mergeCell ref="F7:G8"/>
    <mergeCell ref="H7:M8"/>
    <mergeCell ref="N7:O8"/>
    <mergeCell ref="AB43:AE43"/>
    <mergeCell ref="AE7:AG8"/>
    <mergeCell ref="BI7:BI9"/>
    <mergeCell ref="AU9:AV9"/>
    <mergeCell ref="AW7:AW8"/>
    <mergeCell ref="AZ7:AZ9"/>
    <mergeCell ref="BA7:BA9"/>
    <mergeCell ref="AH7:AK8"/>
    <mergeCell ref="BF7:BF9"/>
    <mergeCell ref="BH7:BH9"/>
    <mergeCell ref="BG7:BG9"/>
    <mergeCell ref="AS7:AT8"/>
    <mergeCell ref="AV7:AV8"/>
    <mergeCell ref="AU7:AU8"/>
    <mergeCell ref="BE7:BE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77685AD8F1F245818AD40AA1A81DE5" ma:contentTypeVersion="13" ma:contentTypeDescription="Create a new document." ma:contentTypeScope="" ma:versionID="d2eddbd1742f5191ae111d03f62b21a6">
  <xsd:schema xmlns:xsd="http://www.w3.org/2001/XMLSchema" xmlns:xs="http://www.w3.org/2001/XMLSchema" xmlns:p="http://schemas.microsoft.com/office/2006/metadata/properties" xmlns:ns2="7faafeb7-e572-4165-a2ec-683872b64b7f" xmlns:ns3="bedf3099-c435-44ee-a1b8-fd51d77027c2" targetNamespace="http://schemas.microsoft.com/office/2006/metadata/properties" ma:root="true" ma:fieldsID="dc2df2e2a3136a193aa056c6e05f3f07" ns2:_="" ns3:_="">
    <xsd:import namespace="7faafeb7-e572-4165-a2ec-683872b64b7f"/>
    <xsd:import namespace="bedf3099-c435-44ee-a1b8-fd51d77027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afeb7-e572-4165-a2ec-683872b64b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df3099-c435-44ee-a1b8-fd51d77027c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a3fb430-f2f4-4634-9111-535fb4d5991c}" ma:internalName="TaxCatchAll" ma:showField="CatchAllData" ma:web="bedf3099-c435-44ee-a1b8-fd51d77027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1257992F-946E-419A-9D0F-71C3ABFED87A}"/>
</file>

<file path=customXml/itemProps2.xml><?xml version="1.0" encoding="utf-8"?>
<ds:datastoreItem xmlns:ds="http://schemas.openxmlformats.org/officeDocument/2006/customXml" ds:itemID="{D62D8BAD-EB66-4AA1-ADD5-A89E3DF2DFF4}"/>
</file>

<file path=customXml/itemProps3.xml><?xml version="1.0" encoding="utf-8"?>
<ds:datastoreItem xmlns:ds="http://schemas.openxmlformats.org/officeDocument/2006/customXml" ds:itemID="{33D93059-DF9E-4806-B408-650D3FD628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Laudato</dc:creator>
  <cp:keywords/>
  <dc:description/>
  <cp:lastModifiedBy>Paolo Battistin</cp:lastModifiedBy>
  <cp:revision/>
  <dcterms:created xsi:type="dcterms:W3CDTF">2017-05-22T13:08:25Z</dcterms:created>
  <dcterms:modified xsi:type="dcterms:W3CDTF">2023-03-08T09:58:22Z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Gilberto Moretti</vt:lpwstr>
  </property>
  <property fmtid="{D5CDD505-2E9C-101B-9397-08002B2CF9AE}" pid="3" name="Order">
    <vt:lpwstr>2417600.00000000</vt:lpwstr>
  </property>
  <property fmtid="{D5CDD505-2E9C-101B-9397-08002B2CF9AE}" pid="4" name="display_urn:schemas-microsoft-com:office:office#Author">
    <vt:lpwstr>Gilberto Moretti</vt:lpwstr>
  </property>
</Properties>
</file>