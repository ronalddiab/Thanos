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<sst xmlns="http://schemas.openxmlformats.org/spreadsheetml/2006/main" count="296" uniqueCount="138">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</sst>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 t="e">
        <f>Submetering!E11+Submetering!F11+Submetering!G11+Submetering!H11-Submetering!AV11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 t="str">
        <f>'FS Desroches Daily'!D13</f>
        <v>0</v>
      </c>
      <c r="F11" s="36" t="str">
        <f>'FS Desroches Daily'!F13</f>
        <v>0</v>
      </c>
      <c r="G11" s="35" t="str">
        <f>'FS Desroches Daily'!H13</f>
        <v>0</v>
      </c>
      <c r="H11" s="36" t="str">
        <f>'FS Desroches Daily'!J13</f>
        <v>0</v>
      </c>
      <c r="I11" s="35" t="str">
        <f>'FS Desroches Daily'!L13</f>
        <v>0</v>
      </c>
      <c r="J11" s="36" t="str">
        <f>'FS Desroches Daily'!N13</f>
        <v/>
      </c>
      <c r="K11" s="13" t="str">
        <f>'FS Desroches Daily'!P13</f>
        <v/>
      </c>
      <c r="L11" s="35" t="str">
        <f>'FS Desroches Daily'!R13</f>
        <v/>
      </c>
      <c r="M11" s="35" t="str">
        <f>'FS Desroches Daily'!T13</f>
        <v/>
      </c>
      <c r="N11" s="35" t="str">
        <f>'FS Desroches Daily'!V13</f>
        <v/>
      </c>
      <c r="O11" s="35" t="str">
        <f>'FS Desroches Daily'!X13</f>
        <v/>
      </c>
      <c r="P11" s="35" t="str">
        <f>'FS Desroches Daily'!Z13</f>
        <v/>
      </c>
      <c r="Q11" s="35" t="str">
        <f>'FS Desroches Daily'!AB13</f>
        <v/>
      </c>
      <c r="R11" s="35" t="str">
        <f>'FS Desroches Daily'!AD13</f>
        <v/>
      </c>
      <c r="S11" s="35" t="str">
        <f>'FS Desroches Daily'!AF13</f>
        <v/>
      </c>
      <c r="T11" s="35" t="str">
        <f>'FS Desroches Daily'!AH13</f>
        <v/>
      </c>
      <c r="U11" s="39" t="str">
        <f>'FS Desroches Daily'!AJ13</f>
        <v/>
      </c>
      <c r="V11" s="39" t="str">
        <f>'FS Desroches Daily'!AL13</f>
        <v/>
      </c>
      <c r="W11" s="39" t="str">
        <f>'FS Desroches Daily'!AN13</f>
        <v/>
      </c>
      <c r="X11" s="39" t="str">
        <f>'FS Desroches Daily'!AP13</f>
        <v/>
      </c>
      <c r="Y11" s="39" t="str">
        <f>'FS Desroches Daily'!AR13</f>
        <v/>
      </c>
      <c r="Z11" s="39" t="str">
        <f>'FS Desroches Daily'!AT13</f>
        <v/>
      </c>
      <c r="AA11" s="39" t="str">
        <f>'FS Desroches Daily'!AT13</f>
        <v/>
      </c>
      <c r="AB11" s="39" t="str">
        <f>'FS Desroches Daily'!AV13</f>
        <v/>
      </c>
      <c r="AC11" s="39" t="str">
        <f>'FS Desroches Daily'!AZ13</f>
        <v/>
      </c>
      <c r="AD11" s="39" t="str">
        <f>'FS Desroches Daily'!BB13</f>
        <v/>
      </c>
      <c r="AE11" s="39" t="str">
        <f>'FS Desroches Daily'!BD13</f>
        <v/>
      </c>
      <c r="AF11" s="35" t="str">
        <f>'FS Desroches Daily'!BF13</f>
        <v/>
      </c>
      <c r="AG11" s="36" t="str">
        <f>'FS Desroches Daily'!BH13</f>
        <v/>
      </c>
      <c r="AH11" s="36" t="str">
        <f>'FS Desroches Daily'!BJ13</f>
        <v/>
      </c>
      <c r="AI11" s="36" t="str">
        <f>'FS Desroches Daily'!BL13</f>
        <v/>
      </c>
      <c r="AJ11" s="36" t="str">
        <f>'FS Desroches Daily'!BN13</f>
        <v/>
      </c>
      <c r="AK11" s="36" t="str">
        <f>'FS Desroches Daily'!BP13</f>
        <v/>
      </c>
      <c r="AL11" s="36" t="str">
        <f>'FS Desroches Daily'!BR13</f>
        <v/>
      </c>
      <c r="AM11" s="36" t="str">
        <f>'FS Desroches Daily'!BT13</f>
        <v/>
      </c>
      <c r="AN11" s="36" t="str">
        <f>'FS Desroches Daily'!BV13</f>
        <v/>
      </c>
      <c r="AO11" s="36" t="str">
        <f>'FS Desroches Daily'!BX13</f>
        <v/>
      </c>
      <c r="AP11" s="36" t="str">
        <f>'FS Desroches Daily'!BZ13</f>
        <v/>
      </c>
      <c r="AQ11" s="35" t="str">
        <f>'FS Desroches Daily'!CB13</f>
        <v/>
      </c>
      <c r="AR11" s="35" t="str">
        <f>'FS Desroches Daily'!CD13</f>
        <v/>
      </c>
      <c r="AS11" s="35" t="str">
        <f>'FS Desroches Daily'!CF13</f>
        <v/>
      </c>
      <c r="AT11" s="35" t="str">
        <f>'FS Desroches Daily'!CH13</f>
        <v/>
      </c>
      <c r="AU11" s="35" t="str">
        <f>'FS Desroches Daily'!CJ13</f>
        <v/>
      </c>
      <c r="AV11" s="35" t="str">
        <f>'FS Desroches Daily'!CL13</f>
        <v/>
      </c>
      <c r="AW11" s="35">
        <f>'FS Desroches Daily'!CM13</f>
        <v>0</v>
      </c>
      <c r="AX11" s="35" t="str">
        <f>IF(LPG!F18-LPG!F17&lt;0,"0",(LPG!F18-LPG!F17)*1.8315)</f>
        <v>0</v>
      </c>
      <c r="AY11" s="35" t="str">
        <f>IF(LPG!H18-LPG!H17&lt;0,"0",(LPG!H18-LPG!H17)*1.8315)</f>
        <v>0</v>
      </c>
      <c r="AZ11" s="35" t="str">
        <f>IF(LPG!J18-LPG!J17&lt;0,"0",(LPG!J18-LPG!J17)*1.8315)</f>
        <v>0</v>
      </c>
      <c r="BA11" s="35" t="str">
        <f>IF(LPG!M18-LPG!M17&lt;0,"0",(LPG!M18-LPG!M17)*1.8315)</f>
        <v>0</v>
      </c>
      <c r="BB11" s="35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14299.999999999978</v>
      </c>
      <c r="F33" s="17">
        <f t="shared" ref="F33:BC33" si="1">SUM(F2:F32)</f>
        <v>9000.000000000342</v>
      </c>
      <c r="G33" s="17">
        <f t="shared" si="1"/>
        <v>16500.000000000182</v>
      </c>
      <c r="H33" s="17">
        <f t="shared" si="1"/>
        <v>11799.999999999809</v>
      </c>
      <c r="I33" s="17">
        <f t="shared" si="1"/>
        <v>20999.999999999905</v>
      </c>
      <c r="J33" s="17">
        <f t="shared" si="1"/>
        <v>10199.999999999985</v>
      </c>
      <c r="K33" s="17">
        <f t="shared" si="1"/>
        <v>5</v>
      </c>
      <c r="L33" s="17">
        <f t="shared" si="1"/>
        <v>48</v>
      </c>
      <c r="M33" s="17">
        <f t="shared" si="1"/>
        <v>2282</v>
      </c>
      <c r="N33" s="17">
        <f t="shared" si="1"/>
        <v>1263</v>
      </c>
      <c r="O33" s="17">
        <f t="shared" si="1"/>
        <v>1990.0000000000091</v>
      </c>
      <c r="P33" s="17">
        <f t="shared" si="1"/>
        <v>5900.0000000000164</v>
      </c>
      <c r="Q33" s="17">
        <f t="shared" si="1"/>
        <v>1039.9999999999636</v>
      </c>
      <c r="R33" s="17">
        <f t="shared" si="1"/>
        <v>2839.999999999975</v>
      </c>
      <c r="S33" s="17">
        <f t="shared" si="1"/>
        <v>5410.0000000000255</v>
      </c>
      <c r="T33" s="17">
        <f t="shared" si="1"/>
        <v>9</v>
      </c>
      <c r="U33" s="39">
        <f t="shared" si="1"/>
        <v>2610.0000000000136</v>
      </c>
      <c r="V33" s="39">
        <f t="shared" si="1"/>
        <v>1.5200000000000102</v>
      </c>
      <c r="W33" s="39">
        <f t="shared" si="1"/>
        <v>1.3100000000000023</v>
      </c>
      <c r="X33" s="39">
        <f t="shared" si="1"/>
        <v>1.289999999999992</v>
      </c>
      <c r="Y33" s="39">
        <f t="shared" si="1"/>
        <v>1159.9999999999966</v>
      </c>
      <c r="Z33" s="39">
        <f t="shared" si="1"/>
        <v>969.99999999997044</v>
      </c>
      <c r="AA33" s="39">
        <f t="shared" si="1"/>
        <v>969.99999999997044</v>
      </c>
      <c r="AB33" s="39">
        <f t="shared" si="1"/>
        <v>719.99999999997044</v>
      </c>
      <c r="AC33" s="39">
        <f t="shared" si="1"/>
        <v>839.99999999997499</v>
      </c>
      <c r="AD33" s="39">
        <f t="shared" si="1"/>
        <v>789.99999999996362</v>
      </c>
      <c r="AE33" s="39">
        <f t="shared" si="1"/>
        <v>109.99999999998522</v>
      </c>
      <c r="AF33" s="17">
        <f t="shared" si="1"/>
        <v>283</v>
      </c>
      <c r="AG33" s="36">
        <f t="shared" si="1"/>
        <v>289.99999999999204</v>
      </c>
      <c r="AH33" s="36">
        <f t="shared" si="1"/>
        <v>359.9999999999568</v>
      </c>
      <c r="AI33" s="36">
        <f t="shared" si="1"/>
        <v>310.00000000000227</v>
      </c>
      <c r="AJ33" s="36">
        <f t="shared" si="1"/>
        <v>419.99999999998749</v>
      </c>
      <c r="AK33" s="36">
        <f t="shared" si="1"/>
        <v>480.00000000001819</v>
      </c>
      <c r="AL33" s="36">
        <f t="shared" si="1"/>
        <v>206</v>
      </c>
      <c r="AM33" s="36">
        <f t="shared" si="1"/>
        <v>170.00000000001592</v>
      </c>
      <c r="AN33" s="36">
        <f t="shared" si="1"/>
        <v>203</v>
      </c>
      <c r="AO33" s="36">
        <f t="shared" si="1"/>
        <v>350.00000000002274</v>
      </c>
      <c r="AP33" s="36">
        <f t="shared" si="1"/>
        <v>403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526.10000000000582</v>
      </c>
      <c r="AU33" s="17">
        <f t="shared" si="1"/>
        <v>2438</v>
      </c>
      <c r="AV33" s="17">
        <f t="shared" si="1"/>
        <v>3580.0000000000409</v>
      </c>
      <c r="AW33" s="17">
        <f t="shared" si="1"/>
        <v>239.70000000000002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58.607999999999997</v>
      </c>
      <c r="BC33" s="17">
        <f t="shared" si="1"/>
        <v>0</v>
      </c>
    </row>
    <row r="35" spans="5:55" x14ac:dyDescent="0.25">
      <c r="E35" s="42">
        <f>E33/E37</f>
        <v>0.27012731875023421</v>
      </c>
      <c r="G35" s="33">
        <f>G33-M36</f>
        <v>12955.000000000182</v>
      </c>
      <c r="AE35" s="39">
        <f>SUM(U33:AE33)</f>
        <v>8174.1199999998462</v>
      </c>
      <c r="AG35" s="36">
        <f>SUM(AG33:AP33)</f>
        <v>3191.9999999999955</v>
      </c>
    </row>
    <row r="36" spans="5:55" x14ac:dyDescent="0.25">
      <c r="G36" s="33">
        <f>G35-633*14</f>
        <v>4093.0000000001819</v>
      </c>
      <c r="M36" s="33">
        <f>M33+N33</f>
        <v>3545</v>
      </c>
    </row>
    <row r="37" spans="5:55" x14ac:dyDescent="0.25">
      <c r="E37" s="17">
        <f>E33+F33+G33+H33+J33-633*14</f>
        <v>52938.000000000298</v>
      </c>
      <c r="G37" s="41">
        <f>M36/E37</f>
        <v>6.6965129018851863E-2</v>
      </c>
      <c r="M37" s="39">
        <f>AE35</f>
        <v>8174.1199999998462</v>
      </c>
    </row>
    <row r="38" spans="5:55" x14ac:dyDescent="0.25">
      <c r="L38" s="31">
        <f>M38/E37</f>
        <v>6.0296951150401928E-2</v>
      </c>
      <c r="M38" s="33">
        <f>AG35</f>
        <v>3191.9999999999955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3" activePane="bottomLeft" state="frozen"/>
      <selection pane="bottomLeft" activeCell="D11" sqref="D11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/>
      <c r="D13" s="71" t="str">
        <f t="shared" si="3"/>
        <v>0</v>
      </c>
      <c r="E13" s="64"/>
      <c r="F13" s="71" t="str">
        <f t="shared" si="4"/>
        <v>0</v>
      </c>
      <c r="G13" s="64"/>
      <c r="H13" s="71" t="str">
        <f t="shared" si="5"/>
        <v>0</v>
      </c>
      <c r="I13" s="64"/>
      <c r="J13" s="71" t="str">
        <f t="shared" si="43"/>
        <v>0</v>
      </c>
      <c r="K13" s="64"/>
      <c r="L13" s="71" t="str">
        <f t="shared" si="0"/>
        <v>0</v>
      </c>
      <c r="M13" s="64"/>
      <c r="N13" s="71" t="str">
        <f t="shared" si="6"/>
        <v/>
      </c>
      <c r="O13" s="64"/>
      <c r="P13" s="72" t="str">
        <f t="shared" si="7"/>
        <v/>
      </c>
      <c r="Q13" s="64"/>
      <c r="R13" s="72" t="str">
        <f t="shared" si="8"/>
        <v/>
      </c>
      <c r="S13" s="64"/>
      <c r="T13" s="72" t="str">
        <f t="shared" si="44"/>
        <v/>
      </c>
      <c r="U13" s="64"/>
      <c r="V13" s="72" t="str">
        <f t="shared" si="10"/>
        <v/>
      </c>
      <c r="W13" s="64"/>
      <c r="X13" s="72" t="str">
        <f t="shared" si="23"/>
        <v/>
      </c>
      <c r="Y13" s="64"/>
      <c r="Z13" s="72" t="str">
        <f t="shared" si="24"/>
        <v/>
      </c>
      <c r="AA13" s="64"/>
      <c r="AB13" s="72" t="str">
        <f t="shared" si="25"/>
        <v/>
      </c>
      <c r="AC13" s="64"/>
      <c r="AD13" s="72" t="str">
        <f t="shared" si="26"/>
        <v/>
      </c>
      <c r="AE13" s="64"/>
      <c r="AF13" s="72" t="str">
        <f t="shared" si="27"/>
        <v/>
      </c>
      <c r="AG13" s="64"/>
      <c r="AH13" s="72" t="str">
        <f t="shared" si="11"/>
        <v/>
      </c>
      <c r="AI13" s="64"/>
      <c r="AJ13" s="72" t="str">
        <f t="shared" si="28"/>
        <v/>
      </c>
      <c r="AK13" s="64"/>
      <c r="AL13" s="72" t="str">
        <f t="shared" si="12"/>
        <v/>
      </c>
      <c r="AM13" s="64"/>
      <c r="AN13" s="72" t="str">
        <f t="shared" si="13"/>
        <v/>
      </c>
      <c r="AO13" s="64"/>
      <c r="AP13" s="72" t="str">
        <f t="shared" si="14"/>
        <v/>
      </c>
      <c r="AQ13" s="64"/>
      <c r="AR13" s="72" t="str">
        <f t="shared" si="29"/>
        <v/>
      </c>
      <c r="AS13" s="64"/>
      <c r="AT13" s="72" t="str">
        <f t="shared" si="30"/>
        <v/>
      </c>
      <c r="AU13" s="64"/>
      <c r="AV13" s="72" t="str">
        <f t="shared" si="31"/>
        <v/>
      </c>
      <c r="AW13" s="64"/>
      <c r="AX13" s="72" t="str">
        <f t="shared" si="32"/>
        <v/>
      </c>
      <c r="AY13" s="64"/>
      <c r="AZ13" s="72" t="str">
        <f t="shared" si="33"/>
        <v/>
      </c>
      <c r="BA13" s="64"/>
      <c r="BB13" s="72" t="str">
        <f t="shared" si="34"/>
        <v/>
      </c>
      <c r="BC13" s="64"/>
      <c r="BD13" s="72" t="str">
        <f t="shared" si="35"/>
        <v/>
      </c>
      <c r="BE13" s="66"/>
      <c r="BF13" s="72" t="str">
        <f t="shared" si="15"/>
        <v/>
      </c>
      <c r="BG13" s="67"/>
      <c r="BH13" s="72" t="str">
        <f t="shared" si="36"/>
        <v/>
      </c>
      <c r="BI13" s="67"/>
      <c r="BJ13" s="72" t="str">
        <f t="shared" si="37"/>
        <v/>
      </c>
      <c r="BK13" s="67"/>
      <c r="BL13" s="72" t="str">
        <f t="shared" si="38"/>
        <v/>
      </c>
      <c r="BM13" s="67"/>
      <c r="BN13" s="72" t="str">
        <f t="shared" si="39"/>
        <v/>
      </c>
      <c r="BO13" s="67"/>
      <c r="BP13" s="72" t="str">
        <f t="shared" si="40"/>
        <v/>
      </c>
      <c r="BQ13" s="67"/>
      <c r="BR13" s="72" t="str">
        <f t="shared" si="16"/>
        <v/>
      </c>
      <c r="BS13" s="67"/>
      <c r="BT13" s="72" t="str">
        <f t="shared" si="41"/>
        <v/>
      </c>
      <c r="BU13" s="67"/>
      <c r="BV13" s="72" t="str">
        <f t="shared" si="1"/>
        <v/>
      </c>
      <c r="BW13" s="67"/>
      <c r="BX13" s="72" t="str">
        <f t="shared" si="42"/>
        <v/>
      </c>
      <c r="BY13" s="67"/>
      <c r="BZ13" s="72" t="str">
        <f t="shared" si="17"/>
        <v/>
      </c>
      <c r="CA13" s="67"/>
      <c r="CB13" s="72" t="str">
        <f t="shared" si="18"/>
        <v/>
      </c>
      <c r="CC13" s="67"/>
      <c r="CD13" s="72" t="str">
        <f t="shared" si="19"/>
        <v/>
      </c>
      <c r="CE13" s="67"/>
      <c r="CF13" s="72" t="str">
        <f t="shared" si="20"/>
        <v/>
      </c>
      <c r="CG13" s="67"/>
      <c r="CH13" s="72" t="str">
        <f t="shared" si="21"/>
        <v/>
      </c>
      <c r="CI13" s="67"/>
      <c r="CJ13" s="72" t="str">
        <f t="shared" si="2"/>
        <v/>
      </c>
      <c r="CK13" s="67"/>
      <c r="CL13" s="71" t="str">
        <f t="shared" si="22"/>
        <v/>
      </c>
      <c r="CM13" s="72"/>
      <c r="CN13" s="69"/>
      <c r="CO13" s="69"/>
    </row>
    <row r="14" spans="1:93" ht="25.5" customHeight="1" thickBot="1" x14ac:dyDescent="0.45">
      <c r="A14" s="70">
        <v>43932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7"/>
      <c r="BJ14" s="72">
        <f t="shared" si="37"/>
        <v>0</v>
      </c>
      <c r="BK14" s="67"/>
      <c r="BL14" s="72">
        <f t="shared" si="38"/>
        <v>0</v>
      </c>
      <c r="BM14" s="67"/>
      <c r="BN14" s="72">
        <f t="shared" si="39"/>
        <v>0</v>
      </c>
      <c r="BO14" s="67"/>
      <c r="BP14" s="72">
        <f t="shared" si="40"/>
        <v>0</v>
      </c>
      <c r="BQ14" s="67"/>
      <c r="BR14" s="72">
        <f t="shared" si="16"/>
        <v>0</v>
      </c>
      <c r="BS14" s="67"/>
      <c r="BT14" s="72">
        <f t="shared" si="41"/>
        <v>0</v>
      </c>
      <c r="BU14" s="67"/>
      <c r="BV14" s="72">
        <f t="shared" si="1"/>
        <v>0</v>
      </c>
      <c r="BW14" s="67"/>
      <c r="BX14" s="72">
        <f t="shared" si="42"/>
        <v>0</v>
      </c>
      <c r="BY14" s="67"/>
      <c r="BZ14" s="72">
        <f t="shared" si="17"/>
        <v>0</v>
      </c>
      <c r="CA14" s="67"/>
      <c r="CB14" s="72">
        <f t="shared" si="18"/>
        <v>0</v>
      </c>
      <c r="CC14" s="67"/>
      <c r="CD14" s="72">
        <f t="shared" si="19"/>
        <v>0</v>
      </c>
      <c r="CE14" s="67"/>
      <c r="CF14" s="72">
        <f t="shared" si="20"/>
        <v>0</v>
      </c>
      <c r="CG14" s="67"/>
      <c r="CH14" s="72">
        <f t="shared" si="21"/>
        <v>0</v>
      </c>
      <c r="CI14" s="67"/>
      <c r="CJ14" s="72">
        <f t="shared" si="2"/>
        <v>0</v>
      </c>
      <c r="CK14" s="67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43933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7"/>
      <c r="BJ15" s="72">
        <f t="shared" si="37"/>
        <v>0</v>
      </c>
      <c r="BK15" s="67"/>
      <c r="BL15" s="72">
        <f t="shared" si="38"/>
        <v>0</v>
      </c>
      <c r="BM15" s="67"/>
      <c r="BN15" s="72">
        <f t="shared" si="39"/>
        <v>0</v>
      </c>
      <c r="BO15" s="67"/>
      <c r="BP15" s="72">
        <f t="shared" si="40"/>
        <v>0</v>
      </c>
      <c r="BQ15" s="67"/>
      <c r="BR15" s="72">
        <f t="shared" si="16"/>
        <v>0</v>
      </c>
      <c r="BS15" s="67"/>
      <c r="BT15" s="72">
        <f t="shared" si="41"/>
        <v>0</v>
      </c>
      <c r="BU15" s="67"/>
      <c r="BV15" s="72">
        <f t="shared" si="1"/>
        <v>0</v>
      </c>
      <c r="BW15" s="67"/>
      <c r="BX15" s="72">
        <f t="shared" si="42"/>
        <v>0</v>
      </c>
      <c r="BY15" s="67"/>
      <c r="BZ15" s="72">
        <f t="shared" si="17"/>
        <v>0</v>
      </c>
      <c r="CA15" s="67"/>
      <c r="CB15" s="72">
        <f t="shared" si="18"/>
        <v>0</v>
      </c>
      <c r="CC15" s="67"/>
      <c r="CD15" s="72">
        <f t="shared" si="19"/>
        <v>0</v>
      </c>
      <c r="CE15" s="67"/>
      <c r="CF15" s="72">
        <f t="shared" si="20"/>
        <v>0</v>
      </c>
      <c r="CG15" s="67"/>
      <c r="CH15" s="72">
        <f t="shared" si="21"/>
        <v>0</v>
      </c>
      <c r="CI15" s="67"/>
      <c r="CJ15" s="72">
        <f t="shared" si="2"/>
        <v>0</v>
      </c>
      <c r="CK15" s="67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43934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7"/>
      <c r="BJ16" s="72">
        <f t="shared" si="37"/>
        <v>0</v>
      </c>
      <c r="BK16" s="67"/>
      <c r="BL16" s="72">
        <f t="shared" si="38"/>
        <v>0</v>
      </c>
      <c r="BM16" s="67"/>
      <c r="BN16" s="72">
        <f t="shared" si="39"/>
        <v>0</v>
      </c>
      <c r="BO16" s="67"/>
      <c r="BP16" s="72">
        <f t="shared" si="40"/>
        <v>0</v>
      </c>
      <c r="BQ16" s="67"/>
      <c r="BR16" s="72">
        <f t="shared" si="16"/>
        <v>0</v>
      </c>
      <c r="BS16" s="67"/>
      <c r="BT16" s="72">
        <f t="shared" si="41"/>
        <v>0</v>
      </c>
      <c r="BU16" s="67"/>
      <c r="BV16" s="72">
        <f t="shared" si="1"/>
        <v>0</v>
      </c>
      <c r="BW16" s="67"/>
      <c r="BX16" s="72">
        <f t="shared" si="42"/>
        <v>0</v>
      </c>
      <c r="BY16" s="67"/>
      <c r="BZ16" s="72">
        <f t="shared" si="17"/>
        <v>0</v>
      </c>
      <c r="CA16" s="67"/>
      <c r="CB16" s="72">
        <f t="shared" si="18"/>
        <v>0</v>
      </c>
      <c r="CC16" s="67"/>
      <c r="CD16" s="72">
        <f t="shared" si="19"/>
        <v>0</v>
      </c>
      <c r="CE16" s="67"/>
      <c r="CF16" s="72">
        <f t="shared" si="20"/>
        <v>0</v>
      </c>
      <c r="CG16" s="67"/>
      <c r="CH16" s="72">
        <f t="shared" si="21"/>
        <v>0</v>
      </c>
      <c r="CI16" s="67"/>
      <c r="CJ16" s="72">
        <f t="shared" si="2"/>
        <v>0</v>
      </c>
      <c r="CK16" s="67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43935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43936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43937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43938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43939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43940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48</v>
      </c>
      <c r="AX35" s="72">
        <f t="shared" si="32"/>
        <v>0</v>
      </c>
      <c r="BF35" s="76">
        <f>SUM(BF4:BF33)</f>
        <v>283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17" sqref="B17:Q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43932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43933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43934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43935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43936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43937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43938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43939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2020-04-10T06:03:35Z</dcterms:modified>
</cp:coreProperties>
</file>