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 Desroches\"/>
    </mc:Choice>
  </mc:AlternateContent>
  <bookViews>
    <workbookView xWindow="0" yWindow="0" windowWidth="28800" windowHeight="12435"/>
  </bookViews>
  <sheets>
    <sheet name="HEP" sheetId="3" r:id="rId1"/>
    <sheet name="FS Desroches" sheetId="1" r:id="rId2"/>
  </sheets>
  <calcPr calcId="152511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H3" i="3" l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M39" i="1"/>
  <c r="P39" i="1"/>
  <c r="L39" i="1"/>
  <c r="O39" i="1"/>
  <c r="K39" i="1"/>
  <c r="N39" i="1"/>
  <c r="J39" i="1"/>
  <c r="I39" i="1"/>
  <c r="H39" i="1"/>
  <c r="M38" i="1"/>
  <c r="P38" i="1"/>
  <c r="L38" i="1"/>
  <c r="O38" i="1"/>
  <c r="K38" i="1"/>
  <c r="N38" i="1"/>
  <c r="J38" i="1"/>
  <c r="I38" i="1"/>
  <c r="H38" i="1"/>
  <c r="P37" i="1"/>
  <c r="M37" i="1"/>
  <c r="L37" i="1"/>
  <c r="O37" i="1"/>
  <c r="K37" i="1"/>
  <c r="N37" i="1"/>
  <c r="J37" i="1"/>
  <c r="I37" i="1"/>
  <c r="H37" i="1"/>
  <c r="M36" i="1"/>
  <c r="P36" i="1"/>
  <c r="L36" i="1"/>
  <c r="O36" i="1"/>
  <c r="K36" i="1"/>
  <c r="N36" i="1"/>
  <c r="J36" i="1"/>
  <c r="I36" i="1"/>
  <c r="H36" i="1"/>
  <c r="M35" i="1"/>
  <c r="P35" i="1"/>
  <c r="L35" i="1"/>
  <c r="O35" i="1"/>
  <c r="K35" i="1"/>
  <c r="N35" i="1"/>
  <c r="J35" i="1"/>
  <c r="I35" i="1"/>
  <c r="H35" i="1"/>
  <c r="M34" i="1"/>
  <c r="P34" i="1"/>
  <c r="L34" i="1"/>
  <c r="O34" i="1"/>
  <c r="K34" i="1"/>
  <c r="N34" i="1"/>
  <c r="J34" i="1"/>
  <c r="I34" i="1"/>
  <c r="H34" i="1"/>
  <c r="M33" i="1"/>
  <c r="P33" i="1"/>
  <c r="L33" i="1"/>
  <c r="O33" i="1"/>
  <c r="K33" i="1"/>
  <c r="N33" i="1"/>
  <c r="J33" i="1"/>
  <c r="I33" i="1"/>
  <c r="H33" i="1"/>
  <c r="M32" i="1"/>
  <c r="P32" i="1"/>
  <c r="L32" i="1"/>
  <c r="O32" i="1"/>
  <c r="K32" i="1"/>
  <c r="N32" i="1"/>
  <c r="J32" i="1"/>
  <c r="I32" i="1"/>
  <c r="H32" i="1"/>
  <c r="M31" i="1"/>
  <c r="P31" i="1"/>
  <c r="L31" i="1"/>
  <c r="O31" i="1"/>
  <c r="K31" i="1"/>
  <c r="N31" i="1"/>
  <c r="J31" i="1"/>
  <c r="I31" i="1"/>
  <c r="H31" i="1"/>
  <c r="M30" i="1"/>
  <c r="P30" i="1"/>
  <c r="L30" i="1"/>
  <c r="O30" i="1"/>
  <c r="K30" i="1"/>
  <c r="N30" i="1"/>
  <c r="J30" i="1"/>
  <c r="I30" i="1"/>
  <c r="H30" i="1"/>
  <c r="P29" i="1"/>
  <c r="M29" i="1"/>
  <c r="L29" i="1"/>
  <c r="O29" i="1"/>
  <c r="K29" i="1"/>
  <c r="N29" i="1"/>
  <c r="J29" i="1"/>
  <c r="I29" i="1"/>
  <c r="H29" i="1"/>
  <c r="M28" i="1"/>
  <c r="P28" i="1"/>
  <c r="L28" i="1"/>
  <c r="O28" i="1"/>
  <c r="K28" i="1"/>
  <c r="N28" i="1"/>
  <c r="J28" i="1"/>
  <c r="I28" i="1"/>
  <c r="H28" i="1"/>
  <c r="O27" i="1"/>
  <c r="M27" i="1"/>
  <c r="P27" i="1"/>
  <c r="L27" i="1"/>
  <c r="K27" i="1"/>
  <c r="N27" i="1"/>
  <c r="J27" i="1"/>
  <c r="I27" i="1"/>
  <c r="H27" i="1"/>
  <c r="M26" i="1"/>
  <c r="P26" i="1"/>
  <c r="L26" i="1"/>
  <c r="O26" i="1"/>
  <c r="K26" i="1"/>
  <c r="N26" i="1"/>
  <c r="J26" i="1"/>
  <c r="I26" i="1"/>
  <c r="H26" i="1"/>
  <c r="M25" i="1"/>
  <c r="P25" i="1"/>
  <c r="L25" i="1"/>
  <c r="O25" i="1"/>
  <c r="K25" i="1"/>
  <c r="N25" i="1"/>
  <c r="J25" i="1"/>
  <c r="I25" i="1"/>
  <c r="H25" i="1"/>
  <c r="M24" i="1"/>
  <c r="P24" i="1"/>
  <c r="L24" i="1"/>
  <c r="O24" i="1"/>
  <c r="K24" i="1"/>
  <c r="N24" i="1"/>
  <c r="J24" i="1"/>
  <c r="I24" i="1"/>
  <c r="H24" i="1"/>
  <c r="O23" i="1"/>
  <c r="M23" i="1"/>
  <c r="P23" i="1"/>
  <c r="L23" i="1"/>
  <c r="K23" i="1"/>
  <c r="N23" i="1"/>
  <c r="J23" i="1"/>
  <c r="I23" i="1"/>
  <c r="H23" i="1"/>
  <c r="M22" i="1"/>
  <c r="P22" i="1"/>
  <c r="L22" i="1"/>
  <c r="O22" i="1"/>
  <c r="K22" i="1"/>
  <c r="N22" i="1"/>
  <c r="J22" i="1"/>
  <c r="I22" i="1"/>
  <c r="H22" i="1"/>
  <c r="M21" i="1"/>
  <c r="P21" i="1"/>
  <c r="L21" i="1"/>
  <c r="O21" i="1"/>
  <c r="K21" i="1"/>
  <c r="N21" i="1"/>
  <c r="J21" i="1"/>
  <c r="I21" i="1"/>
  <c r="H21" i="1"/>
  <c r="M20" i="1"/>
  <c r="P20" i="1"/>
  <c r="L20" i="1"/>
  <c r="O20" i="1"/>
  <c r="K20" i="1"/>
  <c r="N20" i="1"/>
  <c r="J20" i="1"/>
  <c r="I20" i="1"/>
  <c r="H20" i="1"/>
  <c r="M19" i="1"/>
  <c r="P19" i="1"/>
  <c r="L19" i="1"/>
  <c r="O19" i="1"/>
  <c r="K19" i="1"/>
  <c r="N19" i="1"/>
  <c r="J19" i="1"/>
  <c r="I19" i="1"/>
  <c r="H19" i="1"/>
  <c r="M18" i="1"/>
  <c r="P18" i="1"/>
  <c r="L18" i="1"/>
  <c r="O18" i="1"/>
  <c r="K18" i="1"/>
  <c r="N18" i="1"/>
  <c r="J18" i="1"/>
  <c r="I18" i="1"/>
  <c r="H18" i="1"/>
  <c r="M17" i="1"/>
  <c r="P17" i="1"/>
  <c r="L17" i="1"/>
  <c r="O17" i="1"/>
  <c r="K17" i="1"/>
  <c r="N17" i="1"/>
  <c r="J17" i="1"/>
  <c r="I17" i="1"/>
  <c r="H17" i="1"/>
  <c r="M16" i="1"/>
  <c r="P16" i="1"/>
  <c r="L16" i="1"/>
  <c r="O16" i="1"/>
  <c r="K16" i="1"/>
  <c r="N16" i="1"/>
  <c r="J16" i="1"/>
  <c r="I16" i="1"/>
  <c r="H16" i="1"/>
  <c r="M15" i="1"/>
  <c r="P15" i="1"/>
  <c r="L15" i="1"/>
  <c r="O15" i="1"/>
  <c r="K15" i="1"/>
  <c r="N15" i="1"/>
  <c r="J15" i="1"/>
  <c r="I15" i="1"/>
  <c r="H15" i="1"/>
  <c r="M14" i="1"/>
  <c r="P14" i="1"/>
  <c r="L14" i="1"/>
  <c r="O14" i="1"/>
  <c r="K14" i="1"/>
  <c r="N14" i="1"/>
  <c r="J14" i="1"/>
  <c r="I14" i="1"/>
  <c r="H14" i="1"/>
  <c r="O13" i="1"/>
  <c r="M13" i="1"/>
  <c r="P13" i="1"/>
  <c r="L13" i="1"/>
  <c r="K13" i="1"/>
  <c r="N13" i="1"/>
  <c r="J13" i="1"/>
  <c r="I13" i="1"/>
  <c r="H13" i="1"/>
  <c r="M12" i="1"/>
  <c r="P12" i="1"/>
  <c r="L12" i="1"/>
  <c r="O12" i="1"/>
  <c r="K12" i="1"/>
  <c r="N12" i="1"/>
  <c r="J12" i="1"/>
  <c r="I12" i="1"/>
  <c r="H12" i="1"/>
  <c r="N11" i="1"/>
  <c r="M11" i="1"/>
  <c r="P11" i="1"/>
  <c r="L11" i="1"/>
  <c r="O11" i="1"/>
  <c r="K11" i="1"/>
  <c r="J11" i="1"/>
  <c r="I11" i="1"/>
  <c r="H11" i="1"/>
  <c r="M10" i="1"/>
  <c r="P10" i="1"/>
  <c r="L10" i="1"/>
  <c r="O10" i="1"/>
  <c r="K10" i="1"/>
  <c r="N10" i="1"/>
  <c r="J10" i="1"/>
  <c r="I10" i="1"/>
  <c r="H10" i="1"/>
  <c r="P9" i="1"/>
  <c r="M9" i="1"/>
  <c r="L9" i="1"/>
  <c r="O9" i="1"/>
  <c r="K9" i="1"/>
  <c r="N9" i="1"/>
  <c r="J9" i="1"/>
  <c r="I9" i="1"/>
  <c r="H9" i="1"/>
</calcChain>
</file>

<file path=xl/sharedStrings.xml><?xml version="1.0" encoding="utf-8"?>
<sst xmlns="http://schemas.openxmlformats.org/spreadsheetml/2006/main" count="101" uniqueCount="43">
  <si>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</si>
  <si>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</si>
  <si>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</si>
  <si>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</si>
  <si>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</si>
  <si>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</si>
  <si>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</si>
  <si>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</si>
  <si>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</si>
  <si>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</si>
  <si>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</si>
  <si>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</si>
  <si>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</si>
  <si>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</si>
  <si>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</si>
  <si>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</si>
  <si>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</si>
  <si>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</si>
  <si>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</si>
  <si>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</si>
  <si>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</si>
  <si>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</si>
  <si>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</si>
  <si>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</si>
  <si>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</si>
  <si>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</si>
  <si>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</si>
  <si>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sunny</t>
  </si>
  <si>
    <t>cloudy</t>
  </si>
  <si>
    <t>%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</si>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</sst>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2" s="36" customFormat="1" ht="60" x14ac:dyDescent="0.25">
      <c r="A1" s="29" t="s">
        <v>30</v>
      </c>
      <c r="B1" s="29" t="s">
        <v>31</v>
      </c>
      <c r="C1" s="30" t="s">
        <v>32</v>
      </c>
      <c r="D1" s="31" t="s">
        <v>33</v>
      </c>
      <c r="E1" s="32" t="s">
        <v>34</v>
      </c>
      <c r="F1" s="33" t="s">
        <v>35</v>
      </c>
      <c r="G1" s="34" t="s">
        <v>41</v>
      </c>
      <c r="H1" s="33" t="s">
        <v>42</v>
      </c>
      <c r="I1" s="35" t="s">
        <v>36</v>
      </c>
      <c r="J1" s="33" t="s">
        <v>37</v>
      </c>
      <c r="K1" s="35" t="s">
        <v>38</v>
      </c>
      <c r="L1" s="35" t="s">
        <v>39</v>
      </c>
    </row>
    <row r="2" spans="1:12" s="41" customFormat="1" x14ac:dyDescent="0.25">
      <c r="A2" s="1" t="s">
        <v>40</v>
      </c>
      <c r="B2" s="37">
        <v>1</v>
      </c>
      <c r="C2" s="38">
        <v>12</v>
      </c>
      <c r="D2" s="1">
        <v>2018</v>
      </c>
      <c r="E2" s="39">
        <f>366230 /31</f>
        <v>11813.870967741936</v>
      </c>
      <c r="F2" s="38">
        <v>0.56999999999999995</v>
      </c>
      <c r="G2" s="39">
        <f>746/31</f>
        <v>24.06451612903226</v>
      </c>
      <c r="H2" s="38">
        <v>0.99</v>
      </c>
      <c r="I2" s="39">
        <f>2541/31</f>
        <v>81.967741935483872</v>
      </c>
      <c r="J2" s="38">
        <v>13.224</v>
      </c>
      <c r="K2" s="40">
        <f>844/31</f>
        <v>27.225806451612904</v>
      </c>
    </row>
    <row r="3" spans="1:12" s="43" customFormat="1" x14ac:dyDescent="0.25">
      <c r="A3" s="1" t="s">
        <v>40</v>
      </c>
      <c r="B3" s="42">
        <f>B2+1</f>
        <v>2</v>
      </c>
      <c r="C3" s="38">
        <v>12</v>
      </c>
      <c r="D3" s="1">
        <v>2018</v>
      </c>
      <c r="E3" s="39">
        <f t="shared" ref="E3:E32" si="0">366230 /31</f>
        <v>11813.870967741936</v>
      </c>
      <c r="F3" s="38">
        <f>F2</f>
        <v>0.56999999999999995</v>
      </c>
      <c r="G3" s="39">
        <f t="shared" ref="G3:G32" si="1">746/31</f>
        <v>24.06451612903226</v>
      </c>
      <c r="H3" s="38">
        <f>H2</f>
        <v>0.99</v>
      </c>
      <c r="I3" s="39">
        <f t="shared" ref="I3:I32" si="2">2541/31</f>
        <v>81.967741935483872</v>
      </c>
      <c r="J3" s="38">
        <f>J2</f>
        <v>13.224</v>
      </c>
      <c r="K3" s="40">
        <f t="shared" ref="K3:K32" si="3">844/31</f>
        <v>27.225806451612904</v>
      </c>
    </row>
    <row r="4" spans="1:12" s="43" customFormat="1" x14ac:dyDescent="0.25">
      <c r="A4" s="1" t="s">
        <v>40</v>
      </c>
      <c r="B4" s="42">
        <f t="shared" ref="B4:B32" si="4">B3+1</f>
        <v>3</v>
      </c>
      <c r="C4" s="38">
        <v>12</v>
      </c>
      <c r="D4" s="1">
        <v>2018</v>
      </c>
      <c r="E4" s="39">
        <f t="shared" si="0"/>
        <v>11813.870967741936</v>
      </c>
      <c r="F4" s="38">
        <f t="shared" ref="F4:F32" si="5">F3</f>
        <v>0.56999999999999995</v>
      </c>
      <c r="G4" s="39">
        <f t="shared" si="1"/>
        <v>24.06451612903226</v>
      </c>
      <c r="H4" s="38">
        <f t="shared" ref="H4:H32" si="6">H3</f>
        <v>0.99</v>
      </c>
      <c r="I4" s="39">
        <f t="shared" si="2"/>
        <v>81.967741935483872</v>
      </c>
      <c r="J4" s="38">
        <f t="shared" ref="J4:J32" si="7">J3</f>
        <v>13.224</v>
      </c>
      <c r="K4" s="40">
        <f t="shared" si="3"/>
        <v>27.225806451612904</v>
      </c>
    </row>
    <row r="5" spans="1:12" s="43" customFormat="1" x14ac:dyDescent="0.25">
      <c r="A5" s="1" t="s">
        <v>40</v>
      </c>
      <c r="B5" s="42">
        <f t="shared" si="4"/>
        <v>4</v>
      </c>
      <c r="C5" s="38">
        <v>12</v>
      </c>
      <c r="D5" s="1">
        <v>2018</v>
      </c>
      <c r="E5" s="39">
        <f t="shared" si="0"/>
        <v>11813.870967741936</v>
      </c>
      <c r="F5" s="38">
        <f t="shared" si="5"/>
        <v>0.56999999999999995</v>
      </c>
      <c r="G5" s="39">
        <f t="shared" si="1"/>
        <v>24.06451612903226</v>
      </c>
      <c r="H5" s="38">
        <f t="shared" si="6"/>
        <v>0.99</v>
      </c>
      <c r="I5" s="39">
        <f t="shared" si="2"/>
        <v>81.967741935483872</v>
      </c>
      <c r="J5" s="38">
        <f t="shared" si="7"/>
        <v>13.224</v>
      </c>
      <c r="K5" s="40">
        <f t="shared" si="3"/>
        <v>27.225806451612904</v>
      </c>
    </row>
    <row r="6" spans="1:12" s="43" customFormat="1" x14ac:dyDescent="0.25">
      <c r="A6" s="1" t="s">
        <v>40</v>
      </c>
      <c r="B6" s="42">
        <f t="shared" si="4"/>
        <v>5</v>
      </c>
      <c r="C6" s="38">
        <v>12</v>
      </c>
      <c r="D6" s="1">
        <v>2018</v>
      </c>
      <c r="E6" s="39">
        <f t="shared" si="0"/>
        <v>11813.870967741936</v>
      </c>
      <c r="F6" s="38">
        <f t="shared" si="5"/>
        <v>0.56999999999999995</v>
      </c>
      <c r="G6" s="39">
        <f t="shared" si="1"/>
        <v>24.06451612903226</v>
      </c>
      <c r="H6" s="38">
        <f t="shared" si="6"/>
        <v>0.99</v>
      </c>
      <c r="I6" s="39">
        <f t="shared" si="2"/>
        <v>81.967741935483872</v>
      </c>
      <c r="J6" s="38">
        <f t="shared" si="7"/>
        <v>13.224</v>
      </c>
      <c r="K6" s="40">
        <f t="shared" si="3"/>
        <v>27.225806451612904</v>
      </c>
    </row>
    <row r="7" spans="1:12" s="43" customFormat="1" x14ac:dyDescent="0.25">
      <c r="A7" s="1" t="s">
        <v>40</v>
      </c>
      <c r="B7" s="42">
        <f t="shared" si="4"/>
        <v>6</v>
      </c>
      <c r="C7" s="38">
        <v>12</v>
      </c>
      <c r="D7" s="1">
        <v>2018</v>
      </c>
      <c r="E7" s="39">
        <f t="shared" si="0"/>
        <v>11813.870967741936</v>
      </c>
      <c r="F7" s="38">
        <f t="shared" si="5"/>
        <v>0.56999999999999995</v>
      </c>
      <c r="G7" s="39">
        <f t="shared" si="1"/>
        <v>24.06451612903226</v>
      </c>
      <c r="H7" s="38">
        <f t="shared" si="6"/>
        <v>0.99</v>
      </c>
      <c r="I7" s="39">
        <f t="shared" si="2"/>
        <v>81.967741935483872</v>
      </c>
      <c r="J7" s="38">
        <f t="shared" si="7"/>
        <v>13.224</v>
      </c>
      <c r="K7" s="40">
        <f t="shared" si="3"/>
        <v>27.225806451612904</v>
      </c>
    </row>
    <row r="8" spans="1:12" s="43" customFormat="1" x14ac:dyDescent="0.25">
      <c r="A8" s="1" t="s">
        <v>40</v>
      </c>
      <c r="B8" s="42">
        <f t="shared" si="4"/>
        <v>7</v>
      </c>
      <c r="C8" s="38">
        <v>12</v>
      </c>
      <c r="D8" s="1">
        <v>2018</v>
      </c>
      <c r="E8" s="39">
        <f t="shared" si="0"/>
        <v>11813.870967741936</v>
      </c>
      <c r="F8" s="38">
        <f t="shared" si="5"/>
        <v>0.56999999999999995</v>
      </c>
      <c r="G8" s="39">
        <f t="shared" si="1"/>
        <v>24.06451612903226</v>
      </c>
      <c r="H8" s="38">
        <f t="shared" si="6"/>
        <v>0.99</v>
      </c>
      <c r="I8" s="39">
        <f t="shared" si="2"/>
        <v>81.967741935483872</v>
      </c>
      <c r="J8" s="38">
        <f t="shared" si="7"/>
        <v>13.224</v>
      </c>
      <c r="K8" s="40">
        <f t="shared" si="3"/>
        <v>27.225806451612904</v>
      </c>
    </row>
    <row r="9" spans="1:12" s="43" customFormat="1" x14ac:dyDescent="0.25">
      <c r="A9" s="1" t="s">
        <v>40</v>
      </c>
      <c r="B9" s="42">
        <f t="shared" si="4"/>
        <v>8</v>
      </c>
      <c r="C9" s="38">
        <v>12</v>
      </c>
      <c r="D9" s="1">
        <v>2018</v>
      </c>
      <c r="E9" s="39">
        <f t="shared" si="0"/>
        <v>11813.870967741936</v>
      </c>
      <c r="F9" s="38">
        <f t="shared" si="5"/>
        <v>0.56999999999999995</v>
      </c>
      <c r="G9" s="39">
        <f t="shared" si="1"/>
        <v>24.06451612903226</v>
      </c>
      <c r="H9" s="38">
        <f t="shared" si="6"/>
        <v>0.99</v>
      </c>
      <c r="I9" s="39">
        <f t="shared" si="2"/>
        <v>81.967741935483872</v>
      </c>
      <c r="J9" s="38">
        <f t="shared" si="7"/>
        <v>13.224</v>
      </c>
      <c r="K9" s="40">
        <f t="shared" si="3"/>
        <v>27.225806451612904</v>
      </c>
    </row>
    <row r="10" spans="1:12" s="43" customFormat="1" x14ac:dyDescent="0.25">
      <c r="A10" s="1" t="s">
        <v>40</v>
      </c>
      <c r="B10" s="42">
        <f t="shared" si="4"/>
        <v>9</v>
      </c>
      <c r="C10" s="38">
        <v>12</v>
      </c>
      <c r="D10" s="1">
        <v>2018</v>
      </c>
      <c r="E10" s="39">
        <f t="shared" si="0"/>
        <v>11813.870967741936</v>
      </c>
      <c r="F10" s="38">
        <f t="shared" si="5"/>
        <v>0.56999999999999995</v>
      </c>
      <c r="G10" s="39">
        <f t="shared" si="1"/>
        <v>24.06451612903226</v>
      </c>
      <c r="H10" s="38">
        <f t="shared" si="6"/>
        <v>0.99</v>
      </c>
      <c r="I10" s="39">
        <f t="shared" si="2"/>
        <v>81.967741935483872</v>
      </c>
      <c r="J10" s="38">
        <f t="shared" si="7"/>
        <v>13.224</v>
      </c>
      <c r="K10" s="40">
        <f t="shared" si="3"/>
        <v>27.225806451612904</v>
      </c>
    </row>
    <row r="11" spans="1:12" s="43" customFormat="1" x14ac:dyDescent="0.25">
      <c r="A11" s="1" t="s">
        <v>40</v>
      </c>
      <c r="B11" s="42">
        <f t="shared" si="4"/>
        <v>10</v>
      </c>
      <c r="C11" s="38">
        <v>12</v>
      </c>
      <c r="D11" s="1">
        <v>2018</v>
      </c>
      <c r="E11" s="39">
        <f t="shared" si="0"/>
        <v>11813.870967741936</v>
      </c>
      <c r="F11" s="38">
        <f t="shared" si="5"/>
        <v>0.56999999999999995</v>
      </c>
      <c r="G11" s="39">
        <f t="shared" si="1"/>
        <v>24.06451612903226</v>
      </c>
      <c r="H11" s="38">
        <f t="shared" si="6"/>
        <v>0.99</v>
      </c>
      <c r="I11" s="39">
        <f t="shared" si="2"/>
        <v>81.967741935483872</v>
      </c>
      <c r="J11" s="38">
        <f t="shared" si="7"/>
        <v>13.224</v>
      </c>
      <c r="K11" s="40">
        <f t="shared" si="3"/>
        <v>27.225806451612904</v>
      </c>
    </row>
    <row r="12" spans="1:12" s="43" customFormat="1" x14ac:dyDescent="0.25">
      <c r="A12" s="1" t="s">
        <v>40</v>
      </c>
      <c r="B12" s="42">
        <f t="shared" si="4"/>
        <v>11</v>
      </c>
      <c r="C12" s="38">
        <v>12</v>
      </c>
      <c r="D12" s="1">
        <v>2018</v>
      </c>
      <c r="E12" s="39">
        <f t="shared" si="0"/>
        <v>11813.870967741936</v>
      </c>
      <c r="F12" s="38">
        <f t="shared" si="5"/>
        <v>0.56999999999999995</v>
      </c>
      <c r="G12" s="39">
        <f t="shared" si="1"/>
        <v>24.06451612903226</v>
      </c>
      <c r="H12" s="38">
        <f t="shared" si="6"/>
        <v>0.99</v>
      </c>
      <c r="I12" s="39">
        <f t="shared" si="2"/>
        <v>81.967741935483872</v>
      </c>
      <c r="J12" s="38">
        <f t="shared" si="7"/>
        <v>13.224</v>
      </c>
      <c r="K12" s="40">
        <f t="shared" si="3"/>
        <v>27.225806451612904</v>
      </c>
    </row>
    <row r="13" spans="1:12" s="43" customFormat="1" x14ac:dyDescent="0.25">
      <c r="A13" s="1" t="s">
        <v>40</v>
      </c>
      <c r="B13" s="42">
        <f t="shared" si="4"/>
        <v>12</v>
      </c>
      <c r="C13" s="38">
        <v>12</v>
      </c>
      <c r="D13" s="1">
        <v>2018</v>
      </c>
      <c r="E13" s="39">
        <f t="shared" si="0"/>
        <v>11813.870967741936</v>
      </c>
      <c r="F13" s="38">
        <f t="shared" si="5"/>
        <v>0.56999999999999995</v>
      </c>
      <c r="G13" s="39">
        <f t="shared" si="1"/>
        <v>24.06451612903226</v>
      </c>
      <c r="H13" s="38">
        <f t="shared" si="6"/>
        <v>0.99</v>
      </c>
      <c r="I13" s="39">
        <f t="shared" si="2"/>
        <v>81.967741935483872</v>
      </c>
      <c r="J13" s="38">
        <f t="shared" si="7"/>
        <v>13.224</v>
      </c>
      <c r="K13" s="40">
        <f t="shared" si="3"/>
        <v>27.225806451612904</v>
      </c>
    </row>
    <row r="14" spans="1:12" s="43" customFormat="1" x14ac:dyDescent="0.25">
      <c r="A14" s="1" t="s">
        <v>40</v>
      </c>
      <c r="B14" s="42">
        <f t="shared" si="4"/>
        <v>13</v>
      </c>
      <c r="C14" s="38">
        <v>12</v>
      </c>
      <c r="D14" s="1">
        <v>2018</v>
      </c>
      <c r="E14" s="39">
        <f t="shared" si="0"/>
        <v>11813.870967741936</v>
      </c>
      <c r="F14" s="38">
        <f t="shared" si="5"/>
        <v>0.56999999999999995</v>
      </c>
      <c r="G14" s="39">
        <f t="shared" si="1"/>
        <v>24.06451612903226</v>
      </c>
      <c r="H14" s="38">
        <f t="shared" si="6"/>
        <v>0.99</v>
      </c>
      <c r="I14" s="39">
        <f t="shared" si="2"/>
        <v>81.967741935483872</v>
      </c>
      <c r="J14" s="38">
        <f t="shared" si="7"/>
        <v>13.224</v>
      </c>
      <c r="K14" s="40">
        <f t="shared" si="3"/>
        <v>27.225806451612904</v>
      </c>
    </row>
    <row r="15" spans="1:12" s="43" customFormat="1" x14ac:dyDescent="0.25">
      <c r="A15" s="1" t="s">
        <v>40</v>
      </c>
      <c r="B15" s="42">
        <f t="shared" si="4"/>
        <v>14</v>
      </c>
      <c r="C15" s="38">
        <v>12</v>
      </c>
      <c r="D15" s="1">
        <v>2018</v>
      </c>
      <c r="E15" s="39">
        <f t="shared" si="0"/>
        <v>11813.870967741936</v>
      </c>
      <c r="F15" s="38">
        <f t="shared" si="5"/>
        <v>0.56999999999999995</v>
      </c>
      <c r="G15" s="39">
        <f t="shared" si="1"/>
        <v>24.06451612903226</v>
      </c>
      <c r="H15" s="38">
        <f t="shared" si="6"/>
        <v>0.99</v>
      </c>
      <c r="I15" s="39">
        <f t="shared" si="2"/>
        <v>81.967741935483872</v>
      </c>
      <c r="J15" s="38">
        <f t="shared" si="7"/>
        <v>13.224</v>
      </c>
      <c r="K15" s="40">
        <f t="shared" si="3"/>
        <v>27.225806451612904</v>
      </c>
    </row>
    <row r="16" spans="1:12" s="43" customFormat="1" x14ac:dyDescent="0.25">
      <c r="A16" s="1" t="s">
        <v>40</v>
      </c>
      <c r="B16" s="42">
        <f t="shared" si="4"/>
        <v>15</v>
      </c>
      <c r="C16" s="38">
        <v>12</v>
      </c>
      <c r="D16" s="1">
        <v>2018</v>
      </c>
      <c r="E16" s="39">
        <f t="shared" si="0"/>
        <v>11813.870967741936</v>
      </c>
      <c r="F16" s="38">
        <f t="shared" si="5"/>
        <v>0.56999999999999995</v>
      </c>
      <c r="G16" s="39">
        <f t="shared" si="1"/>
        <v>24.06451612903226</v>
      </c>
      <c r="H16" s="38">
        <f t="shared" si="6"/>
        <v>0.99</v>
      </c>
      <c r="I16" s="39">
        <f t="shared" si="2"/>
        <v>81.967741935483872</v>
      </c>
      <c r="J16" s="38">
        <f t="shared" si="7"/>
        <v>13.224</v>
      </c>
      <c r="K16" s="40">
        <f t="shared" si="3"/>
        <v>27.225806451612904</v>
      </c>
    </row>
    <row r="17" spans="1:11" s="43" customFormat="1" x14ac:dyDescent="0.25">
      <c r="A17" s="1" t="s">
        <v>40</v>
      </c>
      <c r="B17" s="42">
        <f t="shared" si="4"/>
        <v>16</v>
      </c>
      <c r="C17" s="38">
        <v>12</v>
      </c>
      <c r="D17" s="1">
        <v>2018</v>
      </c>
      <c r="E17" s="39">
        <f t="shared" si="0"/>
        <v>11813.870967741936</v>
      </c>
      <c r="F17" s="38">
        <f t="shared" si="5"/>
        <v>0.56999999999999995</v>
      </c>
      <c r="G17" s="39">
        <f t="shared" si="1"/>
        <v>24.06451612903226</v>
      </c>
      <c r="H17" s="38">
        <f t="shared" si="6"/>
        <v>0.99</v>
      </c>
      <c r="I17" s="39">
        <f t="shared" si="2"/>
        <v>81.967741935483872</v>
      </c>
      <c r="J17" s="38">
        <f t="shared" si="7"/>
        <v>13.224</v>
      </c>
      <c r="K17" s="40">
        <f t="shared" si="3"/>
        <v>27.225806451612904</v>
      </c>
    </row>
    <row r="18" spans="1:11" s="43" customFormat="1" x14ac:dyDescent="0.25">
      <c r="A18" s="1" t="s">
        <v>40</v>
      </c>
      <c r="B18" s="42">
        <f t="shared" si="4"/>
        <v>17</v>
      </c>
      <c r="C18" s="38">
        <v>12</v>
      </c>
      <c r="D18" s="1">
        <v>2018</v>
      </c>
      <c r="E18" s="39">
        <f t="shared" si="0"/>
        <v>11813.870967741936</v>
      </c>
      <c r="F18" s="38">
        <f t="shared" si="5"/>
        <v>0.56999999999999995</v>
      </c>
      <c r="G18" s="39">
        <f t="shared" si="1"/>
        <v>24.06451612903226</v>
      </c>
      <c r="H18" s="38">
        <f t="shared" si="6"/>
        <v>0.99</v>
      </c>
      <c r="I18" s="39">
        <f t="shared" si="2"/>
        <v>81.967741935483872</v>
      </c>
      <c r="J18" s="38">
        <f t="shared" si="7"/>
        <v>13.224</v>
      </c>
      <c r="K18" s="40">
        <f t="shared" si="3"/>
        <v>27.225806451612904</v>
      </c>
    </row>
    <row r="19" spans="1:11" s="43" customFormat="1" x14ac:dyDescent="0.25">
      <c r="A19" s="1" t="s">
        <v>40</v>
      </c>
      <c r="B19" s="42">
        <f t="shared" si="4"/>
        <v>18</v>
      </c>
      <c r="C19" s="38">
        <v>12</v>
      </c>
      <c r="D19" s="1">
        <v>2018</v>
      </c>
      <c r="E19" s="39">
        <f t="shared" si="0"/>
        <v>11813.870967741936</v>
      </c>
      <c r="F19" s="38">
        <f t="shared" si="5"/>
        <v>0.56999999999999995</v>
      </c>
      <c r="G19" s="39">
        <f t="shared" si="1"/>
        <v>24.06451612903226</v>
      </c>
      <c r="H19" s="38">
        <f t="shared" si="6"/>
        <v>0.99</v>
      </c>
      <c r="I19" s="39">
        <f t="shared" si="2"/>
        <v>81.967741935483872</v>
      </c>
      <c r="J19" s="38">
        <f t="shared" si="7"/>
        <v>13.224</v>
      </c>
      <c r="K19" s="40">
        <f t="shared" si="3"/>
        <v>27.225806451612904</v>
      </c>
    </row>
    <row r="20" spans="1:11" s="43" customFormat="1" x14ac:dyDescent="0.25">
      <c r="A20" s="1" t="s">
        <v>40</v>
      </c>
      <c r="B20" s="42">
        <f t="shared" si="4"/>
        <v>19</v>
      </c>
      <c r="C20" s="38">
        <v>12</v>
      </c>
      <c r="D20" s="1">
        <v>2018</v>
      </c>
      <c r="E20" s="39">
        <f t="shared" si="0"/>
        <v>11813.870967741936</v>
      </c>
      <c r="F20" s="38">
        <f t="shared" si="5"/>
        <v>0.56999999999999995</v>
      </c>
      <c r="G20" s="39">
        <f t="shared" si="1"/>
        <v>24.06451612903226</v>
      </c>
      <c r="H20" s="38">
        <f t="shared" si="6"/>
        <v>0.99</v>
      </c>
      <c r="I20" s="39">
        <f t="shared" si="2"/>
        <v>81.967741935483872</v>
      </c>
      <c r="J20" s="38">
        <f t="shared" si="7"/>
        <v>13.224</v>
      </c>
      <c r="K20" s="40">
        <f t="shared" si="3"/>
        <v>27.225806451612904</v>
      </c>
    </row>
    <row r="21" spans="1:11" s="43" customFormat="1" x14ac:dyDescent="0.25">
      <c r="A21" s="1" t="s">
        <v>40</v>
      </c>
      <c r="B21" s="42">
        <f t="shared" si="4"/>
        <v>20</v>
      </c>
      <c r="C21" s="38">
        <v>12</v>
      </c>
      <c r="D21" s="1">
        <v>2018</v>
      </c>
      <c r="E21" s="39">
        <f t="shared" si="0"/>
        <v>11813.870967741936</v>
      </c>
      <c r="F21" s="38">
        <f t="shared" si="5"/>
        <v>0.56999999999999995</v>
      </c>
      <c r="G21" s="39">
        <f t="shared" si="1"/>
        <v>24.06451612903226</v>
      </c>
      <c r="H21" s="38">
        <f t="shared" si="6"/>
        <v>0.99</v>
      </c>
      <c r="I21" s="39">
        <f t="shared" si="2"/>
        <v>81.967741935483872</v>
      </c>
      <c r="J21" s="38">
        <f t="shared" si="7"/>
        <v>13.224</v>
      </c>
      <c r="K21" s="40">
        <f t="shared" si="3"/>
        <v>27.225806451612904</v>
      </c>
    </row>
    <row r="22" spans="1:11" s="43" customFormat="1" x14ac:dyDescent="0.25">
      <c r="A22" s="1" t="s">
        <v>40</v>
      </c>
      <c r="B22" s="42">
        <f t="shared" si="4"/>
        <v>21</v>
      </c>
      <c r="C22" s="38">
        <v>12</v>
      </c>
      <c r="D22" s="1">
        <v>2018</v>
      </c>
      <c r="E22" s="39">
        <f t="shared" si="0"/>
        <v>11813.870967741936</v>
      </c>
      <c r="F22" s="38">
        <f t="shared" si="5"/>
        <v>0.56999999999999995</v>
      </c>
      <c r="G22" s="39">
        <f t="shared" si="1"/>
        <v>24.06451612903226</v>
      </c>
      <c r="H22" s="38">
        <f t="shared" si="6"/>
        <v>0.99</v>
      </c>
      <c r="I22" s="39">
        <f t="shared" si="2"/>
        <v>81.967741935483872</v>
      </c>
      <c r="J22" s="38">
        <f t="shared" si="7"/>
        <v>13.224</v>
      </c>
      <c r="K22" s="40">
        <f t="shared" si="3"/>
        <v>27.225806451612904</v>
      </c>
    </row>
    <row r="23" spans="1:11" s="43" customFormat="1" x14ac:dyDescent="0.25">
      <c r="A23" s="1" t="s">
        <v>40</v>
      </c>
      <c r="B23" s="42">
        <f t="shared" si="4"/>
        <v>22</v>
      </c>
      <c r="C23" s="38">
        <v>12</v>
      </c>
      <c r="D23" s="1">
        <v>2018</v>
      </c>
      <c r="E23" s="39">
        <f t="shared" si="0"/>
        <v>11813.870967741936</v>
      </c>
      <c r="F23" s="38">
        <f t="shared" si="5"/>
        <v>0.56999999999999995</v>
      </c>
      <c r="G23" s="39">
        <f t="shared" si="1"/>
        <v>24.06451612903226</v>
      </c>
      <c r="H23" s="38">
        <f t="shared" si="6"/>
        <v>0.99</v>
      </c>
      <c r="I23" s="39">
        <f t="shared" si="2"/>
        <v>81.967741935483872</v>
      </c>
      <c r="J23" s="38">
        <f t="shared" si="7"/>
        <v>13.224</v>
      </c>
      <c r="K23" s="40">
        <f t="shared" si="3"/>
        <v>27.225806451612904</v>
      </c>
    </row>
    <row r="24" spans="1:11" s="43" customFormat="1" x14ac:dyDescent="0.25">
      <c r="A24" s="1" t="s">
        <v>40</v>
      </c>
      <c r="B24" s="42">
        <f t="shared" si="4"/>
        <v>23</v>
      </c>
      <c r="C24" s="38">
        <v>12</v>
      </c>
      <c r="D24" s="1">
        <v>2018</v>
      </c>
      <c r="E24" s="39">
        <f t="shared" si="0"/>
        <v>11813.870967741936</v>
      </c>
      <c r="F24" s="38">
        <f t="shared" si="5"/>
        <v>0.56999999999999995</v>
      </c>
      <c r="G24" s="39">
        <f t="shared" si="1"/>
        <v>24.06451612903226</v>
      </c>
      <c r="H24" s="38">
        <f t="shared" si="6"/>
        <v>0.99</v>
      </c>
      <c r="I24" s="39">
        <f t="shared" si="2"/>
        <v>81.967741935483872</v>
      </c>
      <c r="J24" s="38">
        <f t="shared" si="7"/>
        <v>13.224</v>
      </c>
      <c r="K24" s="40">
        <f t="shared" si="3"/>
        <v>27.225806451612904</v>
      </c>
    </row>
    <row r="25" spans="1:11" s="43" customFormat="1" x14ac:dyDescent="0.25">
      <c r="A25" s="1" t="s">
        <v>40</v>
      </c>
      <c r="B25" s="42">
        <f t="shared" si="4"/>
        <v>24</v>
      </c>
      <c r="C25" s="38">
        <v>12</v>
      </c>
      <c r="D25" s="1">
        <v>2018</v>
      </c>
      <c r="E25" s="39">
        <f t="shared" si="0"/>
        <v>11813.870967741936</v>
      </c>
      <c r="F25" s="38">
        <f t="shared" si="5"/>
        <v>0.56999999999999995</v>
      </c>
      <c r="G25" s="39">
        <f t="shared" si="1"/>
        <v>24.06451612903226</v>
      </c>
      <c r="H25" s="38">
        <f t="shared" si="6"/>
        <v>0.99</v>
      </c>
      <c r="I25" s="39">
        <f t="shared" si="2"/>
        <v>81.967741935483872</v>
      </c>
      <c r="J25" s="38">
        <f t="shared" si="7"/>
        <v>13.224</v>
      </c>
      <c r="K25" s="40">
        <f t="shared" si="3"/>
        <v>27.225806451612904</v>
      </c>
    </row>
    <row r="26" spans="1:11" s="43" customFormat="1" x14ac:dyDescent="0.25">
      <c r="A26" s="1" t="s">
        <v>40</v>
      </c>
      <c r="B26" s="42">
        <f>B25+1</f>
        <v>25</v>
      </c>
      <c r="C26" s="38">
        <v>12</v>
      </c>
      <c r="D26" s="1">
        <v>2018</v>
      </c>
      <c r="E26" s="39">
        <f t="shared" si="0"/>
        <v>11813.870967741936</v>
      </c>
      <c r="F26" s="38">
        <f t="shared" si="5"/>
        <v>0.56999999999999995</v>
      </c>
      <c r="G26" s="39">
        <f t="shared" si="1"/>
        <v>24.06451612903226</v>
      </c>
      <c r="H26" s="38">
        <f t="shared" si="6"/>
        <v>0.99</v>
      </c>
      <c r="I26" s="39">
        <f t="shared" si="2"/>
        <v>81.967741935483872</v>
      </c>
      <c r="J26" s="38">
        <f t="shared" si="7"/>
        <v>13.224</v>
      </c>
      <c r="K26" s="40">
        <f t="shared" si="3"/>
        <v>27.225806451612904</v>
      </c>
    </row>
    <row r="27" spans="1:11" s="43" customFormat="1" x14ac:dyDescent="0.25">
      <c r="A27" s="1" t="s">
        <v>40</v>
      </c>
      <c r="B27" s="42">
        <f t="shared" si="4"/>
        <v>26</v>
      </c>
      <c r="C27" s="38">
        <v>12</v>
      </c>
      <c r="D27" s="1">
        <v>2018</v>
      </c>
      <c r="E27" s="39">
        <f t="shared" si="0"/>
        <v>11813.870967741936</v>
      </c>
      <c r="F27" s="38">
        <f t="shared" si="5"/>
        <v>0.56999999999999995</v>
      </c>
      <c r="G27" s="39">
        <f t="shared" si="1"/>
        <v>24.06451612903226</v>
      </c>
      <c r="H27" s="38">
        <f t="shared" si="6"/>
        <v>0.99</v>
      </c>
      <c r="I27" s="39">
        <f t="shared" si="2"/>
        <v>81.967741935483872</v>
      </c>
      <c r="J27" s="38">
        <f t="shared" si="7"/>
        <v>13.224</v>
      </c>
      <c r="K27" s="40">
        <f t="shared" si="3"/>
        <v>27.225806451612904</v>
      </c>
    </row>
    <row r="28" spans="1:11" s="43" customFormat="1" x14ac:dyDescent="0.25">
      <c r="A28" s="1" t="s">
        <v>40</v>
      </c>
      <c r="B28" s="42">
        <f t="shared" si="4"/>
        <v>27</v>
      </c>
      <c r="C28" s="38">
        <v>12</v>
      </c>
      <c r="D28" s="1">
        <v>2018</v>
      </c>
      <c r="E28" s="39">
        <f t="shared" si="0"/>
        <v>11813.870967741936</v>
      </c>
      <c r="F28" s="38">
        <f t="shared" si="5"/>
        <v>0.56999999999999995</v>
      </c>
      <c r="G28" s="39">
        <f t="shared" si="1"/>
        <v>24.06451612903226</v>
      </c>
      <c r="H28" s="38">
        <f t="shared" si="6"/>
        <v>0.99</v>
      </c>
      <c r="I28" s="39">
        <f t="shared" si="2"/>
        <v>81.967741935483872</v>
      </c>
      <c r="J28" s="38">
        <f t="shared" si="7"/>
        <v>13.224</v>
      </c>
      <c r="K28" s="40">
        <f t="shared" si="3"/>
        <v>27.225806451612904</v>
      </c>
    </row>
    <row r="29" spans="1:11" s="43" customFormat="1" x14ac:dyDescent="0.25">
      <c r="A29" s="1" t="s">
        <v>40</v>
      </c>
      <c r="B29" s="42">
        <f t="shared" si="4"/>
        <v>28</v>
      </c>
      <c r="C29" s="38">
        <v>12</v>
      </c>
      <c r="D29" s="1">
        <v>2018</v>
      </c>
      <c r="E29" s="39">
        <f t="shared" si="0"/>
        <v>11813.870967741936</v>
      </c>
      <c r="F29" s="38">
        <f t="shared" si="5"/>
        <v>0.56999999999999995</v>
      </c>
      <c r="G29" s="39">
        <f t="shared" si="1"/>
        <v>24.06451612903226</v>
      </c>
      <c r="H29" s="38">
        <f t="shared" si="6"/>
        <v>0.99</v>
      </c>
      <c r="I29" s="39">
        <f t="shared" si="2"/>
        <v>81.967741935483872</v>
      </c>
      <c r="J29" s="38">
        <f t="shared" si="7"/>
        <v>13.224</v>
      </c>
      <c r="K29" s="40">
        <f t="shared" si="3"/>
        <v>27.225806451612904</v>
      </c>
    </row>
    <row r="30" spans="1:11" s="43" customFormat="1" x14ac:dyDescent="0.25">
      <c r="A30" s="1" t="s">
        <v>40</v>
      </c>
      <c r="B30" s="42">
        <f t="shared" si="4"/>
        <v>29</v>
      </c>
      <c r="C30" s="38">
        <v>12</v>
      </c>
      <c r="D30" s="1">
        <v>2018</v>
      </c>
      <c r="E30" s="39">
        <f t="shared" si="0"/>
        <v>11813.870967741936</v>
      </c>
      <c r="F30" s="38">
        <f t="shared" si="5"/>
        <v>0.56999999999999995</v>
      </c>
      <c r="G30" s="39">
        <f t="shared" si="1"/>
        <v>24.06451612903226</v>
      </c>
      <c r="H30" s="38">
        <f t="shared" si="6"/>
        <v>0.99</v>
      </c>
      <c r="I30" s="39">
        <f t="shared" si="2"/>
        <v>81.967741935483872</v>
      </c>
      <c r="J30" s="38">
        <f t="shared" si="7"/>
        <v>13.224</v>
      </c>
      <c r="K30" s="40">
        <f t="shared" si="3"/>
        <v>27.225806451612904</v>
      </c>
    </row>
    <row r="31" spans="1:11" s="41" customFormat="1" x14ac:dyDescent="0.25">
      <c r="A31" s="1" t="s">
        <v>40</v>
      </c>
      <c r="B31" s="42">
        <f t="shared" si="4"/>
        <v>30</v>
      </c>
      <c r="C31" s="38">
        <v>12</v>
      </c>
      <c r="D31" s="1">
        <v>2018</v>
      </c>
      <c r="E31" s="39">
        <f t="shared" si="0"/>
        <v>11813.870967741936</v>
      </c>
      <c r="F31" s="38">
        <f t="shared" si="5"/>
        <v>0.56999999999999995</v>
      </c>
      <c r="G31" s="39">
        <f t="shared" si="1"/>
        <v>24.06451612903226</v>
      </c>
      <c r="H31" s="38">
        <f t="shared" si="6"/>
        <v>0.99</v>
      </c>
      <c r="I31" s="39">
        <f t="shared" si="2"/>
        <v>81.967741935483872</v>
      </c>
      <c r="J31" s="38">
        <f t="shared" si="7"/>
        <v>13.224</v>
      </c>
      <c r="K31" s="40">
        <f t="shared" si="3"/>
        <v>27.225806451612904</v>
      </c>
    </row>
    <row r="32" spans="1:11" x14ac:dyDescent="0.25">
      <c r="A32" s="1" t="s">
        <v>40</v>
      </c>
      <c r="B32" s="42">
        <f t="shared" si="4"/>
        <v>31</v>
      </c>
      <c r="C32" s="38">
        <v>12</v>
      </c>
      <c r="D32" s="1">
        <v>2018</v>
      </c>
      <c r="E32" s="39">
        <f t="shared" si="0"/>
        <v>11813.870967741936</v>
      </c>
      <c r="F32" s="38">
        <f t="shared" si="5"/>
        <v>0.56999999999999995</v>
      </c>
      <c r="G32" s="39">
        <f t="shared" si="1"/>
        <v>24.06451612903226</v>
      </c>
      <c r="H32" s="38">
        <f t="shared" si="6"/>
        <v>0.99</v>
      </c>
      <c r="I32" s="39">
        <f t="shared" si="2"/>
        <v>81.967741935483872</v>
      </c>
      <c r="J32" s="38">
        <f t="shared" si="7"/>
        <v>13.224</v>
      </c>
      <c r="K32" s="40">
        <f t="shared" si="3"/>
        <v>27.225806451612904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D21" sqref="D21"/>
    </sheetView>
  </sheetViews>
  <sheetFormatPr defaultRowHeight="15" x14ac:dyDescent="0.25"/>
  <cols>
    <col min="1" max="1" width="11.7109375" customWidth="1"/>
    <col min="2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43678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17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43678</v>
      </c>
      <c r="B9" s="21">
        <v>0.41</v>
      </c>
      <c r="C9" s="22">
        <v>33</v>
      </c>
      <c r="D9" s="22">
        <v>92</v>
      </c>
      <c r="E9" s="23">
        <v>110</v>
      </c>
      <c r="F9" s="24">
        <v>11530</v>
      </c>
      <c r="G9" s="25">
        <v>63</v>
      </c>
      <c r="H9" s="26">
        <f t="shared" ref="H9:H39" si="0">E9/C9</f>
        <v>3.3333333333333335</v>
      </c>
      <c r="I9" s="27">
        <f t="shared" ref="I9:I39" si="1">F9/C9</f>
        <v>349.39393939393938</v>
      </c>
      <c r="J9" s="28">
        <f t="shared" ref="J9:J37" si="2">G9/C9</f>
        <v>1.9090909090909092</v>
      </c>
      <c r="K9" s="26">
        <f t="shared" ref="K9:K39" si="3">$F$2*E9</f>
        <v>946</v>
      </c>
      <c r="L9" s="24">
        <f t="shared" ref="L9:L39" si="4">$H$2*F9</f>
        <v>7494.5</v>
      </c>
      <c r="M9" s="28">
        <f t="shared" ref="M9:M37" si="5">$J$2*G9*0.51</f>
        <v>546.21</v>
      </c>
      <c r="N9" s="26">
        <f t="shared" ref="N9:N39" si="6">K9/D9</f>
        <v>10.282608695652174</v>
      </c>
      <c r="O9" s="27">
        <f t="shared" ref="O9:O39" si="7">L9/D9</f>
        <v>81.461956521739125</v>
      </c>
      <c r="P9" s="28">
        <f>M9/D9</f>
        <v>5.9370652173913046</v>
      </c>
      <c r="Q9" s="22"/>
      <c r="R9" s="22"/>
      <c r="S9" s="22"/>
    </row>
    <row r="10" spans="1:19" x14ac:dyDescent="0.25">
      <c r="A10" s="20">
        <v>43679</v>
      </c>
      <c r="B10" s="21">
        <v>0.34</v>
      </c>
      <c r="C10" s="22">
        <v>27</v>
      </c>
      <c r="D10" s="22">
        <v>70</v>
      </c>
      <c r="E10" s="23">
        <v>133.81</v>
      </c>
      <c r="F10" s="24">
        <v>11010</v>
      </c>
      <c r="G10" s="25">
        <v>52</v>
      </c>
      <c r="H10" s="26">
        <f t="shared" si="0"/>
        <v>4.9559259259259258</v>
      </c>
      <c r="I10" s="27">
        <f t="shared" si="1"/>
        <v>407.77777777777777</v>
      </c>
      <c r="J10" s="28">
        <f t="shared" si="2"/>
        <v>1.9259259259259258</v>
      </c>
      <c r="K10" s="26">
        <f t="shared" si="3"/>
        <v>1150.7660000000001</v>
      </c>
      <c r="L10" s="24">
        <f t="shared" si="4"/>
        <v>7156.5</v>
      </c>
      <c r="M10" s="28">
        <f t="shared" si="5"/>
        <v>450.84000000000003</v>
      </c>
      <c r="N10" s="26">
        <f t="shared" si="6"/>
        <v>16.439514285714285</v>
      </c>
      <c r="O10" s="27">
        <f t="shared" si="7"/>
        <v>102.23571428571428</v>
      </c>
      <c r="P10" s="28">
        <f>M10/D10</f>
        <v>6.4405714285714293</v>
      </c>
      <c r="Q10" s="22">
        <v>25.4</v>
      </c>
      <c r="R10" s="22" t="s">
        <v>27</v>
      </c>
      <c r="S10" s="22"/>
    </row>
    <row r="11" spans="1:19" x14ac:dyDescent="0.25">
      <c r="A11" s="20">
        <v>43680</v>
      </c>
      <c r="B11" s="21">
        <v>0.34</v>
      </c>
      <c r="C11" s="22">
        <v>29</v>
      </c>
      <c r="D11" s="22">
        <v>64</v>
      </c>
      <c r="E11" s="23">
        <v>100.66</v>
      </c>
      <c r="F11" s="24">
        <v>11590</v>
      </c>
      <c r="G11" s="25">
        <v>56</v>
      </c>
      <c r="H11" s="26">
        <f t="shared" si="0"/>
        <v>3.4710344827586206</v>
      </c>
      <c r="I11" s="27">
        <f t="shared" si="1"/>
        <v>399.65517241379308</v>
      </c>
      <c r="J11" s="28">
        <f t="shared" si="2"/>
        <v>1.9310344827586208</v>
      </c>
      <c r="K11" s="26">
        <f t="shared" si="3"/>
        <v>865.67599999999993</v>
      </c>
      <c r="L11" s="24">
        <f t="shared" si="4"/>
        <v>7533.5</v>
      </c>
      <c r="M11" s="28">
        <f t="shared" si="5"/>
        <v>485.52</v>
      </c>
      <c r="N11" s="26">
        <f t="shared" si="6"/>
        <v>13.526187499999999</v>
      </c>
      <c r="O11" s="27">
        <f t="shared" si="7"/>
        <v>117.7109375</v>
      </c>
      <c r="P11" s="28">
        <f t="shared" ref="P11:P39" si="8">M11/D11</f>
        <v>7.5862499999999997</v>
      </c>
      <c r="Q11" s="22"/>
      <c r="R11" s="22"/>
      <c r="S11" s="22"/>
    </row>
    <row r="12" spans="1:19" x14ac:dyDescent="0.25">
      <c r="A12" s="20">
        <v>43681</v>
      </c>
      <c r="B12" s="21">
        <v>0.46</v>
      </c>
      <c r="C12" s="22">
        <v>38</v>
      </c>
      <c r="D12" s="22">
        <v>89</v>
      </c>
      <c r="E12" s="23">
        <v>95.2</v>
      </c>
      <c r="F12" s="24">
        <v>9930</v>
      </c>
      <c r="G12" s="25">
        <v>56</v>
      </c>
      <c r="H12" s="26">
        <f t="shared" si="0"/>
        <v>2.5052631578947371</v>
      </c>
      <c r="I12" s="27">
        <f t="shared" si="1"/>
        <v>261.31578947368422</v>
      </c>
      <c r="J12" s="28">
        <f t="shared" si="2"/>
        <v>1.4736842105263157</v>
      </c>
      <c r="K12" s="26">
        <f t="shared" si="3"/>
        <v>818.72</v>
      </c>
      <c r="L12" s="24">
        <f t="shared" si="4"/>
        <v>6454.5</v>
      </c>
      <c r="M12" s="28">
        <f t="shared" si="5"/>
        <v>485.52</v>
      </c>
      <c r="N12" s="26">
        <f t="shared" si="6"/>
        <v>9.199101123595506</v>
      </c>
      <c r="O12" s="27">
        <f t="shared" si="7"/>
        <v>72.522471910112358</v>
      </c>
      <c r="P12" s="28">
        <f t="shared" si="8"/>
        <v>5.4552808988764045</v>
      </c>
      <c r="Q12" s="22">
        <v>26.1</v>
      </c>
      <c r="R12" s="22" t="s">
        <v>27</v>
      </c>
      <c r="S12" s="22"/>
    </row>
    <row r="13" spans="1:19" x14ac:dyDescent="0.25">
      <c r="A13" s="20">
        <v>43682</v>
      </c>
      <c r="B13" s="21">
        <v>0.45</v>
      </c>
      <c r="C13" s="22">
        <v>40</v>
      </c>
      <c r="D13" s="22">
        <v>94</v>
      </c>
      <c r="E13" s="23">
        <v>123</v>
      </c>
      <c r="F13" s="24">
        <v>11230</v>
      </c>
      <c r="G13" s="25">
        <v>56</v>
      </c>
      <c r="H13" s="26">
        <f t="shared" si="0"/>
        <v>3.0750000000000002</v>
      </c>
      <c r="I13" s="27">
        <f t="shared" si="1"/>
        <v>280.75</v>
      </c>
      <c r="J13" s="28">
        <f t="shared" si="2"/>
        <v>1.4</v>
      </c>
      <c r="K13" s="26">
        <f t="shared" si="3"/>
        <v>1057.8</v>
      </c>
      <c r="L13" s="24">
        <f t="shared" si="4"/>
        <v>7299.5</v>
      </c>
      <c r="M13" s="28">
        <f t="shared" si="5"/>
        <v>485.52</v>
      </c>
      <c r="N13" s="26">
        <f t="shared" si="6"/>
        <v>11.253191489361702</v>
      </c>
      <c r="O13" s="27">
        <f t="shared" si="7"/>
        <v>77.65425531914893</v>
      </c>
      <c r="P13" s="28">
        <f t="shared" si="8"/>
        <v>5.1651063829787232</v>
      </c>
      <c r="Q13" s="22">
        <v>26.2</v>
      </c>
      <c r="R13" s="22" t="s">
        <v>27</v>
      </c>
      <c r="S13" s="22"/>
    </row>
    <row r="14" spans="1:19" x14ac:dyDescent="0.25">
      <c r="A14" s="20">
        <v>43683</v>
      </c>
      <c r="B14" s="21">
        <v>0.51</v>
      </c>
      <c r="C14" s="22">
        <v>45</v>
      </c>
      <c r="D14" s="22">
        <v>105</v>
      </c>
      <c r="E14" s="23">
        <v>125.16</v>
      </c>
      <c r="F14" s="24">
        <v>11240</v>
      </c>
      <c r="G14" s="25">
        <v>63</v>
      </c>
      <c r="H14" s="26">
        <f t="shared" si="0"/>
        <v>2.7813333333333334</v>
      </c>
      <c r="I14" s="27">
        <f t="shared" si="1"/>
        <v>249.77777777777777</v>
      </c>
      <c r="J14" s="28">
        <f t="shared" si="2"/>
        <v>1.4</v>
      </c>
      <c r="K14" s="26">
        <f t="shared" si="3"/>
        <v>1076.376</v>
      </c>
      <c r="L14" s="24">
        <f t="shared" si="4"/>
        <v>7306</v>
      </c>
      <c r="M14" s="28">
        <f t="shared" si="5"/>
        <v>546.21</v>
      </c>
      <c r="N14" s="26">
        <f t="shared" si="6"/>
        <v>10.251199999999999</v>
      </c>
      <c r="O14" s="27">
        <f t="shared" si="7"/>
        <v>69.580952380952382</v>
      </c>
      <c r="P14" s="28">
        <f t="shared" si="8"/>
        <v>5.202</v>
      </c>
      <c r="Q14" s="22">
        <v>26.1</v>
      </c>
      <c r="R14" s="22" t="s">
        <v>28</v>
      </c>
      <c r="S14" s="22"/>
    </row>
    <row r="15" spans="1:19" x14ac:dyDescent="0.25">
      <c r="A15" s="20">
        <v>43684</v>
      </c>
      <c r="B15" s="21">
        <v>0.55000000000000004</v>
      </c>
      <c r="C15" s="22">
        <v>43</v>
      </c>
      <c r="D15" s="22">
        <v>106</v>
      </c>
      <c r="E15" s="23">
        <v>146.13</v>
      </c>
      <c r="F15" s="24">
        <v>11190</v>
      </c>
      <c r="G15" s="25">
        <v>67</v>
      </c>
      <c r="H15" s="26">
        <f t="shared" si="0"/>
        <v>3.3983720930232555</v>
      </c>
      <c r="I15" s="27">
        <f t="shared" si="1"/>
        <v>260.23255813953489</v>
      </c>
      <c r="J15" s="28">
        <f t="shared" si="2"/>
        <v>1.558139534883721</v>
      </c>
      <c r="K15" s="26">
        <f t="shared" si="3"/>
        <v>1256.7179999999998</v>
      </c>
      <c r="L15" s="24">
        <f t="shared" si="4"/>
        <v>7273.5</v>
      </c>
      <c r="M15" s="28">
        <f t="shared" si="5"/>
        <v>580.89</v>
      </c>
      <c r="N15" s="26">
        <f t="shared" si="6"/>
        <v>11.855830188679244</v>
      </c>
      <c r="O15" s="27">
        <f t="shared" si="7"/>
        <v>68.617924528301884</v>
      </c>
      <c r="P15" s="28">
        <f t="shared" si="8"/>
        <v>5.4800943396226414</v>
      </c>
      <c r="Q15" s="22">
        <v>26.1</v>
      </c>
      <c r="R15" s="22" t="s">
        <v>28</v>
      </c>
      <c r="S15" s="22"/>
    </row>
    <row r="16" spans="1:19" x14ac:dyDescent="0.25">
      <c r="A16" s="20">
        <v>43685</v>
      </c>
      <c r="B16" s="21">
        <v>0.76</v>
      </c>
      <c r="C16" s="22">
        <v>57</v>
      </c>
      <c r="D16" s="22">
        <v>154</v>
      </c>
      <c r="E16" s="23">
        <v>141.22</v>
      </c>
      <c r="F16" s="24">
        <v>13250</v>
      </c>
      <c r="G16" s="25">
        <v>70</v>
      </c>
      <c r="H16" s="26">
        <f t="shared" si="0"/>
        <v>2.4775438596491228</v>
      </c>
      <c r="I16" s="27">
        <f t="shared" si="1"/>
        <v>232.45614035087721</v>
      </c>
      <c r="J16" s="28">
        <f t="shared" si="2"/>
        <v>1.2280701754385965</v>
      </c>
      <c r="K16" s="26">
        <f t="shared" si="3"/>
        <v>1214.492</v>
      </c>
      <c r="L16" s="24">
        <f t="shared" si="4"/>
        <v>8612.5</v>
      </c>
      <c r="M16" s="28">
        <f t="shared" si="5"/>
        <v>606.9</v>
      </c>
      <c r="N16" s="26">
        <f t="shared" si="6"/>
        <v>7.8863116883116877</v>
      </c>
      <c r="O16" s="27">
        <f t="shared" si="7"/>
        <v>55.925324675324674</v>
      </c>
      <c r="P16" s="28">
        <f t="shared" si="8"/>
        <v>3.9409090909090909</v>
      </c>
      <c r="Q16" s="22"/>
      <c r="R16" s="22"/>
      <c r="S16" s="22"/>
    </row>
    <row r="17" spans="1:19" x14ac:dyDescent="0.25">
      <c r="A17" s="20">
        <v>43686</v>
      </c>
      <c r="B17" s="21">
        <v>0.76</v>
      </c>
      <c r="C17" s="22">
        <v>57</v>
      </c>
      <c r="D17" s="22">
        <v>154</v>
      </c>
      <c r="E17" s="23">
        <v>149.97</v>
      </c>
      <c r="F17" s="24">
        <v>13140</v>
      </c>
      <c r="G17" s="25">
        <v>63</v>
      </c>
      <c r="H17" s="26">
        <f t="shared" si="0"/>
        <v>2.6310526315789473</v>
      </c>
      <c r="I17" s="27">
        <f t="shared" si="1"/>
        <v>230.52631578947367</v>
      </c>
      <c r="J17" s="28">
        <f t="shared" si="2"/>
        <v>1.1052631578947369</v>
      </c>
      <c r="K17" s="26">
        <f t="shared" si="3"/>
        <v>1289.742</v>
      </c>
      <c r="L17" s="24">
        <f t="shared" si="4"/>
        <v>8541</v>
      </c>
      <c r="M17" s="28">
        <f t="shared" si="5"/>
        <v>546.21</v>
      </c>
      <c r="N17" s="26">
        <f t="shared" si="6"/>
        <v>8.374948051948051</v>
      </c>
      <c r="O17" s="27">
        <f t="shared" si="7"/>
        <v>55.461038961038959</v>
      </c>
      <c r="P17" s="28">
        <f t="shared" si="8"/>
        <v>3.5468181818181819</v>
      </c>
      <c r="Q17" s="22"/>
      <c r="R17" s="22"/>
      <c r="S17" s="22"/>
    </row>
    <row r="18" spans="1:19" x14ac:dyDescent="0.25">
      <c r="A18" s="20">
        <v>43687</v>
      </c>
      <c r="B18" s="21">
        <v>0.76</v>
      </c>
      <c r="C18" s="22">
        <v>58</v>
      </c>
      <c r="D18" s="22">
        <v>148</v>
      </c>
      <c r="E18" s="23">
        <v>137.26</v>
      </c>
      <c r="F18" s="24">
        <v>13600</v>
      </c>
      <c r="G18" s="25">
        <v>59</v>
      </c>
      <c r="H18" s="26">
        <f t="shared" si="0"/>
        <v>2.3665517241379308</v>
      </c>
      <c r="I18" s="27">
        <f t="shared" si="1"/>
        <v>234.48275862068965</v>
      </c>
      <c r="J18" s="28">
        <f t="shared" si="2"/>
        <v>1.0172413793103448</v>
      </c>
      <c r="K18" s="26">
        <f t="shared" si="3"/>
        <v>1180.4359999999999</v>
      </c>
      <c r="L18" s="24">
        <f t="shared" si="4"/>
        <v>8840</v>
      </c>
      <c r="M18" s="28">
        <f t="shared" si="5"/>
        <v>511.53000000000003</v>
      </c>
      <c r="N18" s="26">
        <f t="shared" si="6"/>
        <v>7.9759189189189188</v>
      </c>
      <c r="O18" s="27">
        <f t="shared" si="7"/>
        <v>59.729729729729726</v>
      </c>
      <c r="P18" s="28">
        <f t="shared" si="8"/>
        <v>3.4562837837837841</v>
      </c>
      <c r="Q18" s="22"/>
      <c r="R18" s="22"/>
      <c r="S18" s="22"/>
    </row>
    <row r="19" spans="1:19" x14ac:dyDescent="0.25">
      <c r="A19" s="20">
        <v>43688</v>
      </c>
      <c r="B19" s="21">
        <v>0.61</v>
      </c>
      <c r="C19" s="22">
        <v>57</v>
      </c>
      <c r="D19" s="22">
        <v>128</v>
      </c>
      <c r="E19" s="23">
        <v>162.80000000000001</v>
      </c>
      <c r="F19" s="24">
        <v>13330</v>
      </c>
      <c r="G19" s="25">
        <v>63</v>
      </c>
      <c r="H19" s="26">
        <f t="shared" si="0"/>
        <v>2.856140350877193</v>
      </c>
      <c r="I19" s="27">
        <f t="shared" si="1"/>
        <v>233.85964912280701</v>
      </c>
      <c r="J19" s="28">
        <f t="shared" si="2"/>
        <v>1.1052631578947369</v>
      </c>
      <c r="K19" s="26">
        <f t="shared" si="3"/>
        <v>1400.08</v>
      </c>
      <c r="L19" s="24">
        <f t="shared" si="4"/>
        <v>8664.5</v>
      </c>
      <c r="M19" s="28">
        <f t="shared" si="5"/>
        <v>546.21</v>
      </c>
      <c r="N19" s="26">
        <f t="shared" si="6"/>
        <v>10.938124999999999</v>
      </c>
      <c r="O19" s="27">
        <f t="shared" si="7"/>
        <v>67.69140625</v>
      </c>
      <c r="P19" s="28">
        <f t="shared" si="8"/>
        <v>4.2672656250000003</v>
      </c>
      <c r="Q19" s="22"/>
      <c r="R19" s="22"/>
      <c r="S19" s="22"/>
    </row>
    <row r="20" spans="1:19" x14ac:dyDescent="0.25">
      <c r="A20" s="20">
        <v>43689</v>
      </c>
      <c r="B20" s="21">
        <v>0.56000000000000005</v>
      </c>
      <c r="C20" s="22">
        <v>43</v>
      </c>
      <c r="D20" s="22">
        <v>126</v>
      </c>
      <c r="E20" s="23">
        <v>169.03</v>
      </c>
      <c r="F20" s="24">
        <v>12710</v>
      </c>
      <c r="G20" s="25">
        <v>70</v>
      </c>
      <c r="H20" s="26">
        <f t="shared" si="0"/>
        <v>3.9309302325581394</v>
      </c>
      <c r="I20" s="27">
        <f t="shared" si="1"/>
        <v>295.58139534883719</v>
      </c>
      <c r="J20" s="28">
        <f t="shared" si="2"/>
        <v>1.6279069767441861</v>
      </c>
      <c r="K20" s="26">
        <f t="shared" si="3"/>
        <v>1453.6579999999999</v>
      </c>
      <c r="L20" s="24">
        <f t="shared" si="4"/>
        <v>8261.5</v>
      </c>
      <c r="M20" s="28">
        <f t="shared" si="5"/>
        <v>606.9</v>
      </c>
      <c r="N20" s="26">
        <f t="shared" si="6"/>
        <v>11.536968253968253</v>
      </c>
      <c r="O20" s="27">
        <f t="shared" si="7"/>
        <v>65.567460317460316</v>
      </c>
      <c r="P20" s="28">
        <f t="shared" si="8"/>
        <v>4.8166666666666664</v>
      </c>
      <c r="Q20" s="22"/>
      <c r="R20" s="22"/>
      <c r="S20" s="22"/>
    </row>
    <row r="21" spans="1:19" x14ac:dyDescent="0.25">
      <c r="A21" s="20">
        <v>43690</v>
      </c>
      <c r="B21" s="21">
        <v>0.56000000000000005</v>
      </c>
      <c r="C21" s="22">
        <v>43</v>
      </c>
      <c r="D21" s="22">
        <v>110</v>
      </c>
      <c r="E21" s="23"/>
      <c r="F21" s="24">
        <v>13660</v>
      </c>
      <c r="G21" s="25">
        <v>67</v>
      </c>
      <c r="H21" s="26">
        <f t="shared" si="0"/>
        <v>0</v>
      </c>
      <c r="I21" s="27">
        <f t="shared" si="1"/>
        <v>317.67441860465118</v>
      </c>
      <c r="J21" s="28">
        <f t="shared" si="2"/>
        <v>1.558139534883721</v>
      </c>
      <c r="K21" s="26">
        <f t="shared" si="3"/>
        <v>0</v>
      </c>
      <c r="L21" s="24">
        <f t="shared" si="4"/>
        <v>8879</v>
      </c>
      <c r="M21" s="28">
        <f t="shared" si="5"/>
        <v>580.89</v>
      </c>
      <c r="N21" s="26">
        <f t="shared" si="6"/>
        <v>0</v>
      </c>
      <c r="O21" s="27">
        <f t="shared" si="7"/>
        <v>80.718181818181819</v>
      </c>
      <c r="P21" s="28">
        <f t="shared" si="8"/>
        <v>5.2808181818181819</v>
      </c>
      <c r="Q21" s="22"/>
      <c r="R21" s="22"/>
      <c r="S21" s="22"/>
    </row>
    <row r="22" spans="1:19" x14ac:dyDescent="0.25">
      <c r="A22" s="20">
        <v>43691</v>
      </c>
      <c r="B22" s="21" t="s">
        <v>29</v>
      </c>
      <c r="C22" s="22"/>
      <c r="D22" s="22"/>
      <c r="E22" s="23"/>
      <c r="F22" s="24"/>
      <c r="G22" s="25"/>
      <c r="H22" s="26" t="e">
        <f t="shared" si="0"/>
        <v>#DIV/0!</v>
      </c>
      <c r="I22" s="27" t="e">
        <f t="shared" si="1"/>
        <v>#DIV/0!</v>
      </c>
      <c r="J22" s="28" t="e">
        <f t="shared" si="2"/>
        <v>#DIV/0!</v>
      </c>
      <c r="K22" s="26">
        <f t="shared" si="3"/>
        <v>0</v>
      </c>
      <c r="L22" s="24">
        <f t="shared" si="4"/>
        <v>0</v>
      </c>
      <c r="M22" s="28">
        <f t="shared" si="5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43692</v>
      </c>
      <c r="B23" s="21" t="s">
        <v>29</v>
      </c>
      <c r="C23" s="22"/>
      <c r="D23" s="22"/>
      <c r="E23" s="23"/>
      <c r="F23" s="24"/>
      <c r="G23" s="25"/>
      <c r="H23" s="26" t="e">
        <f t="shared" si="0"/>
        <v>#DIV/0!</v>
      </c>
      <c r="I23" s="27" t="e">
        <f t="shared" si="1"/>
        <v>#DIV/0!</v>
      </c>
      <c r="J23" s="28" t="e">
        <f t="shared" si="2"/>
        <v>#DIV/0!</v>
      </c>
      <c r="K23" s="26">
        <f t="shared" si="3"/>
        <v>0</v>
      </c>
      <c r="L23" s="24">
        <f t="shared" si="4"/>
        <v>0</v>
      </c>
      <c r="M23" s="28">
        <f t="shared" si="5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43693</v>
      </c>
      <c r="B24" s="21" t="s">
        <v>29</v>
      </c>
      <c r="C24" s="22"/>
      <c r="D24" s="22"/>
      <c r="E24" s="23"/>
      <c r="F24" s="24"/>
      <c r="G24" s="25"/>
      <c r="H24" s="26" t="e">
        <f t="shared" si="0"/>
        <v>#DIV/0!</v>
      </c>
      <c r="I24" s="27" t="e">
        <f t="shared" si="1"/>
        <v>#DIV/0!</v>
      </c>
      <c r="J24" s="28" t="e">
        <f t="shared" si="2"/>
        <v>#DIV/0!</v>
      </c>
      <c r="K24" s="26">
        <f t="shared" si="3"/>
        <v>0</v>
      </c>
      <c r="L24" s="24">
        <f t="shared" si="4"/>
        <v>0</v>
      </c>
      <c r="M24" s="28">
        <f t="shared" si="5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43694</v>
      </c>
      <c r="B25" s="21" t="s">
        <v>29</v>
      </c>
      <c r="C25" s="22"/>
      <c r="D25" s="22"/>
      <c r="E25" s="23"/>
      <c r="F25" s="24"/>
      <c r="G25" s="25"/>
      <c r="H25" s="26" t="e">
        <f t="shared" si="0"/>
        <v>#DIV/0!</v>
      </c>
      <c r="I25" s="27" t="e">
        <f t="shared" si="1"/>
        <v>#DIV/0!</v>
      </c>
      <c r="J25" s="28" t="e">
        <f t="shared" si="2"/>
        <v>#DIV/0!</v>
      </c>
      <c r="K25" s="26">
        <f t="shared" si="3"/>
        <v>0</v>
      </c>
      <c r="L25" s="24">
        <f t="shared" si="4"/>
        <v>0</v>
      </c>
      <c r="M25" s="28">
        <f t="shared" si="5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43695</v>
      </c>
      <c r="B26" s="21" t="s">
        <v>29</v>
      </c>
      <c r="C26" s="22"/>
      <c r="D26" s="22"/>
      <c r="E26" s="23"/>
      <c r="F26" s="24"/>
      <c r="G26" s="25"/>
      <c r="H26" s="26" t="e">
        <f t="shared" si="0"/>
        <v>#DIV/0!</v>
      </c>
      <c r="I26" s="27" t="e">
        <f t="shared" si="1"/>
        <v>#DIV/0!</v>
      </c>
      <c r="J26" s="28" t="e">
        <f t="shared" si="2"/>
        <v>#DIV/0!</v>
      </c>
      <c r="K26" s="26">
        <f t="shared" si="3"/>
        <v>0</v>
      </c>
      <c r="L26" s="24">
        <f t="shared" si="4"/>
        <v>0</v>
      </c>
      <c r="M26" s="28">
        <f t="shared" si="5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43696</v>
      </c>
      <c r="B27" s="21" t="s">
        <v>29</v>
      </c>
      <c r="C27" s="22"/>
      <c r="D27" s="22"/>
      <c r="E27" s="23"/>
      <c r="F27" s="24"/>
      <c r="G27" s="25"/>
      <c r="H27" s="26" t="e">
        <f t="shared" si="0"/>
        <v>#DIV/0!</v>
      </c>
      <c r="I27" s="27" t="e">
        <f t="shared" si="1"/>
        <v>#DIV/0!</v>
      </c>
      <c r="J27" s="28" t="e">
        <f t="shared" si="2"/>
        <v>#DIV/0!</v>
      </c>
      <c r="K27" s="26">
        <f t="shared" si="3"/>
        <v>0</v>
      </c>
      <c r="L27" s="24">
        <f t="shared" si="4"/>
        <v>0</v>
      </c>
      <c r="M27" s="28">
        <f t="shared" si="5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43697</v>
      </c>
      <c r="B28" s="21" t="s">
        <v>29</v>
      </c>
      <c r="C28" s="22"/>
      <c r="D28" s="22"/>
      <c r="E28" s="23"/>
      <c r="F28" s="24"/>
      <c r="G28" s="25"/>
      <c r="H28" s="26" t="e">
        <f t="shared" si="0"/>
        <v>#DIV/0!</v>
      </c>
      <c r="I28" s="27" t="e">
        <f t="shared" si="1"/>
        <v>#DIV/0!</v>
      </c>
      <c r="J28" s="28" t="e">
        <f t="shared" si="2"/>
        <v>#DIV/0!</v>
      </c>
      <c r="K28" s="26">
        <f t="shared" si="3"/>
        <v>0</v>
      </c>
      <c r="L28" s="24">
        <f t="shared" si="4"/>
        <v>0</v>
      </c>
      <c r="M28" s="28">
        <f t="shared" si="5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43698</v>
      </c>
      <c r="B29" s="21" t="s">
        <v>29</v>
      </c>
      <c r="C29" s="22"/>
      <c r="D29" s="22"/>
      <c r="E29" s="23"/>
      <c r="F29" s="24"/>
      <c r="G29" s="25"/>
      <c r="H29" s="26" t="e">
        <f t="shared" si="0"/>
        <v>#DIV/0!</v>
      </c>
      <c r="I29" s="27" t="e">
        <f t="shared" si="1"/>
        <v>#DIV/0!</v>
      </c>
      <c r="J29" s="28" t="e">
        <f t="shared" si="2"/>
        <v>#DIV/0!</v>
      </c>
      <c r="K29" s="26">
        <f t="shared" si="3"/>
        <v>0</v>
      </c>
      <c r="L29" s="24">
        <f t="shared" si="4"/>
        <v>0</v>
      </c>
      <c r="M29" s="28">
        <f t="shared" si="5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43699</v>
      </c>
      <c r="B30" s="21" t="s">
        <v>29</v>
      </c>
      <c r="C30" s="22"/>
      <c r="D30" s="22"/>
      <c r="E30" s="23"/>
      <c r="F30" s="24"/>
      <c r="G30" s="25"/>
      <c r="H30" s="26" t="e">
        <f t="shared" si="0"/>
        <v>#DIV/0!</v>
      </c>
      <c r="I30" s="27" t="e">
        <f t="shared" si="1"/>
        <v>#DIV/0!</v>
      </c>
      <c r="J30" s="28" t="e">
        <f t="shared" si="2"/>
        <v>#DIV/0!</v>
      </c>
      <c r="K30" s="26">
        <f t="shared" si="3"/>
        <v>0</v>
      </c>
      <c r="L30" s="24">
        <f t="shared" si="4"/>
        <v>0</v>
      </c>
      <c r="M30" s="28">
        <f t="shared" si="5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43700</v>
      </c>
      <c r="B31" s="21" t="s">
        <v>29</v>
      </c>
      <c r="C31" s="22"/>
      <c r="D31" s="22"/>
      <c r="E31" s="23"/>
      <c r="F31" s="24"/>
      <c r="G31" s="25"/>
      <c r="H31" s="26" t="e">
        <f t="shared" si="0"/>
        <v>#DIV/0!</v>
      </c>
      <c r="I31" s="27" t="e">
        <f t="shared" si="1"/>
        <v>#DIV/0!</v>
      </c>
      <c r="J31" s="28" t="e">
        <f t="shared" si="2"/>
        <v>#DIV/0!</v>
      </c>
      <c r="K31" s="26">
        <f t="shared" si="3"/>
        <v>0</v>
      </c>
      <c r="L31" s="24">
        <f t="shared" si="4"/>
        <v>0</v>
      </c>
      <c r="M31" s="28">
        <f t="shared" si="5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43701</v>
      </c>
      <c r="B32" s="21" t="s">
        <v>29</v>
      </c>
      <c r="C32" s="22"/>
      <c r="D32" s="22"/>
      <c r="E32" s="23"/>
      <c r="F32" s="24"/>
      <c r="G32" s="25"/>
      <c r="H32" s="26" t="e">
        <f t="shared" si="0"/>
        <v>#DIV/0!</v>
      </c>
      <c r="I32" s="27" t="e">
        <f t="shared" si="1"/>
        <v>#DIV/0!</v>
      </c>
      <c r="J32" s="28" t="e">
        <f t="shared" si="2"/>
        <v>#DIV/0!</v>
      </c>
      <c r="K32" s="26">
        <f t="shared" si="3"/>
        <v>0</v>
      </c>
      <c r="L32" s="24">
        <f t="shared" si="4"/>
        <v>0</v>
      </c>
      <c r="M32" s="28">
        <f t="shared" si="5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43702</v>
      </c>
      <c r="B33" s="21" t="s">
        <v>29</v>
      </c>
      <c r="C33" s="22"/>
      <c r="D33" s="22"/>
      <c r="E33" s="23"/>
      <c r="F33" s="24"/>
      <c r="G33" s="25"/>
      <c r="H33" s="26" t="e">
        <f t="shared" si="0"/>
        <v>#DIV/0!</v>
      </c>
      <c r="I33" s="27" t="e">
        <f t="shared" si="1"/>
        <v>#DIV/0!</v>
      </c>
      <c r="J33" s="28" t="e">
        <f t="shared" si="2"/>
        <v>#DIV/0!</v>
      </c>
      <c r="K33" s="26">
        <f t="shared" si="3"/>
        <v>0</v>
      </c>
      <c r="L33" s="24">
        <f t="shared" si="4"/>
        <v>0</v>
      </c>
      <c r="M33" s="28">
        <f t="shared" si="5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43703</v>
      </c>
      <c r="B34" s="21" t="s">
        <v>29</v>
      </c>
      <c r="C34" s="22"/>
      <c r="D34" s="22"/>
      <c r="E34" s="23"/>
      <c r="F34" s="24"/>
      <c r="G34" s="25"/>
      <c r="H34" s="26" t="e">
        <f t="shared" si="0"/>
        <v>#DIV/0!</v>
      </c>
      <c r="I34" s="27" t="e">
        <f t="shared" si="1"/>
        <v>#DIV/0!</v>
      </c>
      <c r="J34" s="28" t="e">
        <f t="shared" si="2"/>
        <v>#DIV/0!</v>
      </c>
      <c r="K34" s="26">
        <f t="shared" si="3"/>
        <v>0</v>
      </c>
      <c r="L34" s="24">
        <f t="shared" si="4"/>
        <v>0</v>
      </c>
      <c r="M34" s="28">
        <f t="shared" si="5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43704</v>
      </c>
      <c r="B35" s="21" t="s">
        <v>29</v>
      </c>
      <c r="C35" s="22"/>
      <c r="D35" s="22"/>
      <c r="E35" s="23"/>
      <c r="F35" s="24"/>
      <c r="G35" s="25"/>
      <c r="H35" s="26" t="e">
        <f t="shared" si="0"/>
        <v>#DIV/0!</v>
      </c>
      <c r="I35" s="27" t="e">
        <f t="shared" si="1"/>
        <v>#DIV/0!</v>
      </c>
      <c r="J35" s="28" t="e">
        <f t="shared" si="2"/>
        <v>#DIV/0!</v>
      </c>
      <c r="K35" s="26">
        <f t="shared" si="3"/>
        <v>0</v>
      </c>
      <c r="L35" s="24">
        <f t="shared" si="4"/>
        <v>0</v>
      </c>
      <c r="M35" s="28">
        <f t="shared" si="5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43705</v>
      </c>
      <c r="B36" s="21" t="s">
        <v>29</v>
      </c>
      <c r="C36" s="22"/>
      <c r="D36" s="22"/>
      <c r="E36" s="23"/>
      <c r="F36" s="24"/>
      <c r="G36" s="25"/>
      <c r="H36" s="26" t="e">
        <f t="shared" si="0"/>
        <v>#DIV/0!</v>
      </c>
      <c r="I36" s="27" t="e">
        <f t="shared" si="1"/>
        <v>#DIV/0!</v>
      </c>
      <c r="J36" s="28" t="e">
        <f t="shared" si="2"/>
        <v>#DIV/0!</v>
      </c>
      <c r="K36" s="26">
        <f t="shared" si="3"/>
        <v>0</v>
      </c>
      <c r="L36" s="24">
        <f t="shared" si="4"/>
        <v>0</v>
      </c>
      <c r="M36" s="28">
        <f t="shared" si="5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43706</v>
      </c>
      <c r="B37" s="21" t="s">
        <v>29</v>
      </c>
      <c r="C37" s="22"/>
      <c r="D37" s="22"/>
      <c r="E37" s="23"/>
      <c r="F37" s="24"/>
      <c r="G37" s="25"/>
      <c r="H37" s="26" t="e">
        <f t="shared" si="0"/>
        <v>#DIV/0!</v>
      </c>
      <c r="I37" s="27" t="e">
        <f t="shared" si="1"/>
        <v>#DIV/0!</v>
      </c>
      <c r="J37" s="28" t="e">
        <f t="shared" si="2"/>
        <v>#DIV/0!</v>
      </c>
      <c r="K37" s="26">
        <f t="shared" si="3"/>
        <v>0</v>
      </c>
      <c r="L37" s="24">
        <f t="shared" si="4"/>
        <v>0</v>
      </c>
      <c r="M37" s="28">
        <f t="shared" si="5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43707</v>
      </c>
      <c r="B38" s="21" t="s">
        <v>29</v>
      </c>
      <c r="C38" s="22"/>
      <c r="D38" s="22"/>
      <c r="E38" s="23"/>
      <c r="F38" s="24"/>
      <c r="G38" s="25"/>
      <c r="H38" s="26" t="e">
        <f t="shared" si="0"/>
        <v>#DIV/0!</v>
      </c>
      <c r="I38" s="27" t="e">
        <f t="shared" si="1"/>
        <v>#DIV/0!</v>
      </c>
      <c r="J38" s="28" t="e">
        <f>G39/C38</f>
        <v>#DIV/0!</v>
      </c>
      <c r="K38" s="26">
        <f t="shared" si="3"/>
        <v>0</v>
      </c>
      <c r="L38" s="24">
        <f t="shared" si="4"/>
        <v>0</v>
      </c>
      <c r="M38" s="28">
        <f>$J$2*G39*0.51</f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43708</v>
      </c>
      <c r="B39" s="21" t="s">
        <v>29</v>
      </c>
      <c r="C39" s="22"/>
      <c r="D39" s="22"/>
      <c r="E39" s="23"/>
      <c r="F39" s="24"/>
      <c r="G39" s="25"/>
      <c r="H39" s="26" t="e">
        <f t="shared" si="0"/>
        <v>#DIV/0!</v>
      </c>
      <c r="I39" s="27" t="e">
        <f t="shared" si="1"/>
        <v>#DIV/0!</v>
      </c>
      <c r="J39" s="28" t="e">
        <f>#REF!/C39</f>
        <v>#REF!</v>
      </c>
      <c r="K39" s="26">
        <f t="shared" si="3"/>
        <v>0</v>
      </c>
      <c r="L39" s="24">
        <f t="shared" si="4"/>
        <v>0</v>
      </c>
      <c r="M39" s="28" t="e">
        <f>$J$2*#REF!*0.51</f>
        <v>#REF!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#REF!</v>
      </c>
      <c r="Q39" s="22"/>
      <c r="R39" s="22"/>
      <c r="S39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2019-12-02T12:22:09Z</dcterms:modified>
</cp:coreProperties>
</file>