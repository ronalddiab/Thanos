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883" documentId="8_{B5C46BEE-2163-4AAC-A0A7-4875FCE1155D}" xr6:coauthVersionLast="47" xr6:coauthVersionMax="47" xr10:uidLastSave="{DF07FE3E-4E90-4F3E-8F39-04BF984E3AB4}"/>
  <bookViews>
    <workbookView xWindow="0" yWindow="0" windowWidth="28800" windowHeight="12105" firstSheet="1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2" l="1"/>
  <c r="R18" i="2"/>
  <c r="AD16" i="2"/>
  <c r="Z14" i="2"/>
  <c r="F14" i="2"/>
  <c r="AP12" i="2"/>
  <c r="H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<sst xmlns="http://schemas.openxmlformats.org/spreadsheetml/2006/main" count="242" uniqueCount="61">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</sst>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189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15250</v>
      </c>
      <c r="F8" s="15">
        <f>((Submetering!E8+Submetering!F8)*0.11+Submetering!G8*0.0302)/TOTAL!E8</f>
        <v>8.6431527868852456E-2</v>
      </c>
      <c r="G8" s="19">
        <f>Submetering!AC8</f>
        <v>2830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132</v>
      </c>
      <c r="L8" s="19">
        <f>Submetering!AF8</f>
        <v>211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15173</v>
      </c>
      <c r="F9" s="15">
        <f>((Submetering!E9+Submetering!F9)*0.11+Submetering!G9*0.0302)/TOTAL!E9</f>
        <v>8.6832597376919521E-2</v>
      </c>
      <c r="G9" s="19">
        <f>Submetering!AC9</f>
        <v>2974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138</v>
      </c>
      <c r="L9" s="19">
        <f>Submetering!AF9</f>
        <v>218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16029</v>
      </c>
      <c r="F10" s="15">
        <f>((Submetering!E10+Submetering!F10)*0.11+Submetering!G10*0.0302)/TOTAL!E10</f>
        <v>8.791049971925885E-2</v>
      </c>
      <c r="G10" s="19">
        <f>Submetering!AC10</f>
        <v>3096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143</v>
      </c>
      <c r="L10" s="19">
        <f>Submetering!AF10</f>
        <v>231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14910</v>
      </c>
      <c r="F11" s="15">
        <f>((Submetering!E11+Submetering!F11)*0.11+Submetering!G11*0.0302)/TOTAL!E11</f>
        <v>8.8072394366197182E-2</v>
      </c>
      <c r="G11" s="19">
        <f>Submetering!AC11</f>
        <v>2875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138</v>
      </c>
      <c r="L11" s="19">
        <f>Submetering!AF11</f>
        <v>219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14793</v>
      </c>
      <c r="F12" s="15">
        <f>((Submetering!E12+Submetering!F12)*0.11+Submetering!G12*0.0302)/TOTAL!E12</f>
        <v>8.1959683634151279E-2</v>
      </c>
      <c r="G12" s="19">
        <f>Submetering!AC12</f>
        <v>3557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128</v>
      </c>
      <c r="L12" s="19">
        <f>Submetering!AF12</f>
        <v>196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14651</v>
      </c>
      <c r="F13" s="15">
        <f>((Submetering!E13+Submetering!F13)*0.11+Submetering!G13*0.0302)/TOTAL!E13</f>
        <v>9.3741519350214991E-2</v>
      </c>
      <c r="G13" s="19">
        <f>Submetering!AC13</f>
        <v>2188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125</v>
      </c>
      <c r="L13" s="19">
        <f>Submetering!AF13</f>
        <v>180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16988</v>
      </c>
      <c r="F14" s="15">
        <f>((Submetering!E14+Submetering!F14)*0.11+Submetering!G14*0.0302)/TOTAL!E14</f>
        <v>8.7569755121262069E-2</v>
      </c>
      <c r="G14" s="19">
        <f>Submetering!AC14</f>
        <v>3478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106</v>
      </c>
      <c r="L14" s="19">
        <f>Submetering!AF14</f>
        <v>159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14039</v>
      </c>
      <c r="F15" s="15">
        <f>((Submetering!E15+Submetering!F15)*0.11+Submetering!G15*0.0302)/TOTAL!E15</f>
        <v>8.7485020300591201E-2</v>
      </c>
      <c r="G15" s="19">
        <f>Submetering!AC15</f>
        <v>2916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98</v>
      </c>
      <c r="L15" s="19">
        <f>Submetering!AF15</f>
        <v>153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16569</v>
      </c>
      <c r="F16" s="15">
        <f>((Submetering!E16+Submetering!F16)*0.11+Submetering!G16*0.0302)/TOTAL!E16</f>
        <v>8.685804816223068E-2</v>
      </c>
      <c r="G16" s="19">
        <f>Submetering!AC16</f>
        <v>3544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125</v>
      </c>
      <c r="L16" s="19">
        <f>Submetering!AF16</f>
        <v>195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V9" activePane="bottomRight" state="frozen"/>
      <selection pane="bottomRight" activeCell="AE16" sqref="AE16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13130</v>
      </c>
      <c r="AE7" s="19">
        <v>142</v>
      </c>
      <c r="AF7" s="19">
        <v>189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6624</v>
      </c>
      <c r="F8" s="19">
        <v>4122</v>
      </c>
      <c r="G8" s="19">
        <v>4504</v>
      </c>
      <c r="H8" s="19">
        <v>552</v>
      </c>
      <c r="I8" s="19">
        <v>460</v>
      </c>
      <c r="J8" s="19">
        <v>1435</v>
      </c>
      <c r="K8" s="19">
        <v>0</v>
      </c>
      <c r="L8" s="19">
        <v>392</v>
      </c>
      <c r="M8" s="19">
        <v>19</v>
      </c>
      <c r="N8" s="19">
        <v>917</v>
      </c>
      <c r="O8" s="19">
        <v>270</v>
      </c>
      <c r="P8" s="19">
        <v>856</v>
      </c>
      <c r="Q8" s="19">
        <v>2</v>
      </c>
      <c r="R8" s="19">
        <v>1235</v>
      </c>
      <c r="S8" s="19">
        <v>1569</v>
      </c>
      <c r="T8" s="19">
        <v>301</v>
      </c>
      <c r="U8" s="19">
        <v>80</v>
      </c>
      <c r="V8" s="19">
        <v>245</v>
      </c>
      <c r="W8" s="19">
        <v>582</v>
      </c>
      <c r="X8" s="19">
        <v>647</v>
      </c>
      <c r="Y8" s="19">
        <v>0</v>
      </c>
      <c r="Z8" s="19">
        <v>0</v>
      </c>
      <c r="AA8" s="19">
        <v>16</v>
      </c>
      <c r="AB8" s="19">
        <v>2</v>
      </c>
      <c r="AC8" s="19">
        <v>2830</v>
      </c>
      <c r="AD8" s="19">
        <v>13570</v>
      </c>
      <c r="AE8" s="19">
        <v>132</v>
      </c>
      <c r="AF8" s="19">
        <v>211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6488</v>
      </c>
      <c r="F9" s="19">
        <v>4280</v>
      </c>
      <c r="G9" s="19">
        <v>4405</v>
      </c>
      <c r="H9" s="19">
        <v>553</v>
      </c>
      <c r="I9" s="19">
        <v>447</v>
      </c>
      <c r="J9" s="19">
        <v>1481</v>
      </c>
      <c r="K9" s="19">
        <v>0</v>
      </c>
      <c r="L9" s="19">
        <v>378</v>
      </c>
      <c r="M9" s="19">
        <v>18</v>
      </c>
      <c r="N9" s="19">
        <v>889</v>
      </c>
      <c r="O9" s="19">
        <v>254</v>
      </c>
      <c r="P9" s="19">
        <v>722</v>
      </c>
      <c r="Q9" s="19">
        <v>2</v>
      </c>
      <c r="R9" s="19">
        <v>1197</v>
      </c>
      <c r="S9" s="19">
        <v>1718</v>
      </c>
      <c r="T9" s="19">
        <v>292</v>
      </c>
      <c r="U9" s="19">
        <v>76</v>
      </c>
      <c r="V9" s="19">
        <v>238</v>
      </c>
      <c r="W9" s="19">
        <v>560</v>
      </c>
      <c r="X9" s="19">
        <v>619</v>
      </c>
      <c r="Y9" s="19">
        <v>0</v>
      </c>
      <c r="Z9" s="19">
        <v>0</v>
      </c>
      <c r="AA9" s="19">
        <v>36</v>
      </c>
      <c r="AB9" s="19">
        <v>2</v>
      </c>
      <c r="AC9" s="19">
        <v>2974</v>
      </c>
      <c r="AD9" s="19">
        <v>13290</v>
      </c>
      <c r="AE9" s="19">
        <v>138</v>
      </c>
      <c r="AF9" s="19">
        <v>218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7185</v>
      </c>
      <c r="F10" s="19">
        <v>4407</v>
      </c>
      <c r="G10" s="19">
        <v>4437</v>
      </c>
      <c r="H10" s="19">
        <v>553</v>
      </c>
      <c r="I10" s="19">
        <v>455</v>
      </c>
      <c r="J10" s="19">
        <v>1599</v>
      </c>
      <c r="K10" s="19">
        <v>0</v>
      </c>
      <c r="L10" s="19">
        <v>384</v>
      </c>
      <c r="M10" s="19">
        <v>15</v>
      </c>
      <c r="N10" s="19">
        <v>878</v>
      </c>
      <c r="O10" s="19">
        <v>352</v>
      </c>
      <c r="P10" s="19">
        <v>1118</v>
      </c>
      <c r="Q10" s="19">
        <v>3</v>
      </c>
      <c r="R10" s="19">
        <v>1209</v>
      </c>
      <c r="S10" s="19">
        <v>1867</v>
      </c>
      <c r="T10" s="19">
        <v>296</v>
      </c>
      <c r="U10" s="19">
        <v>77</v>
      </c>
      <c r="V10" s="19">
        <v>251</v>
      </c>
      <c r="W10" s="19">
        <v>603</v>
      </c>
      <c r="X10" s="19">
        <v>607</v>
      </c>
      <c r="Y10" s="19">
        <v>0</v>
      </c>
      <c r="Z10" s="19">
        <v>0</v>
      </c>
      <c r="AA10" s="19">
        <v>0</v>
      </c>
      <c r="AB10" s="19">
        <v>2</v>
      </c>
      <c r="AC10" s="19">
        <v>3096</v>
      </c>
      <c r="AD10" s="19">
        <v>13410</v>
      </c>
      <c r="AE10" s="19">
        <v>143</v>
      </c>
      <c r="AF10" s="19">
        <v>231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6686</v>
      </c>
      <c r="F11" s="19">
        <v>4127</v>
      </c>
      <c r="G11" s="19">
        <v>4097</v>
      </c>
      <c r="H11" s="19">
        <v>566</v>
      </c>
      <c r="I11" s="19">
        <v>392</v>
      </c>
      <c r="J11" s="19">
        <v>1412</v>
      </c>
      <c r="K11" s="19">
        <v>0</v>
      </c>
      <c r="L11" s="19">
        <v>362</v>
      </c>
      <c r="M11" s="19">
        <v>3</v>
      </c>
      <c r="N11" s="19">
        <v>887</v>
      </c>
      <c r="O11" s="19">
        <v>327</v>
      </c>
      <c r="P11" s="19">
        <v>1090</v>
      </c>
      <c r="Q11" s="19">
        <v>2</v>
      </c>
      <c r="R11" s="19">
        <v>1115</v>
      </c>
      <c r="S11" s="19">
        <v>1677</v>
      </c>
      <c r="T11" s="19">
        <v>272</v>
      </c>
      <c r="U11" s="19">
        <v>72</v>
      </c>
      <c r="V11" s="19">
        <v>233</v>
      </c>
      <c r="W11" s="19">
        <v>589</v>
      </c>
      <c r="X11" s="19">
        <v>671</v>
      </c>
      <c r="Y11" s="19">
        <v>0</v>
      </c>
      <c r="Z11" s="19">
        <v>0</v>
      </c>
      <c r="AA11" s="19">
        <v>18</v>
      </c>
      <c r="AB11" s="19">
        <v>3</v>
      </c>
      <c r="AC11" s="19">
        <v>2875</v>
      </c>
      <c r="AD11" s="19">
        <v>12340</v>
      </c>
      <c r="AE11" s="19">
        <v>138</v>
      </c>
      <c r="AF11" s="19">
        <v>219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5990</v>
      </c>
      <c r="F12" s="19">
        <v>3605</v>
      </c>
      <c r="G12" s="19">
        <v>5198</v>
      </c>
      <c r="H12" s="19">
        <v>568</v>
      </c>
      <c r="I12" s="19">
        <v>376</v>
      </c>
      <c r="J12" s="19">
        <v>1280</v>
      </c>
      <c r="K12" s="19">
        <v>0</v>
      </c>
      <c r="L12" s="19">
        <v>332</v>
      </c>
      <c r="M12" s="19">
        <v>3</v>
      </c>
      <c r="N12" s="19">
        <v>633</v>
      </c>
      <c r="O12" s="19">
        <v>301</v>
      </c>
      <c r="P12" s="19">
        <v>923</v>
      </c>
      <c r="Q12" s="19">
        <v>2</v>
      </c>
      <c r="R12" s="19">
        <v>1036</v>
      </c>
      <c r="S12" s="19">
        <v>1496</v>
      </c>
      <c r="T12" s="19">
        <v>253</v>
      </c>
      <c r="U12" s="19">
        <v>67</v>
      </c>
      <c r="V12" s="19">
        <v>208</v>
      </c>
      <c r="W12" s="19">
        <v>510</v>
      </c>
      <c r="X12" s="19">
        <v>617</v>
      </c>
      <c r="Y12" s="19">
        <v>0</v>
      </c>
      <c r="Z12" s="19">
        <v>0</v>
      </c>
      <c r="AA12" s="19">
        <v>15</v>
      </c>
      <c r="AB12" s="19">
        <v>2</v>
      </c>
      <c r="AC12" s="19">
        <v>3557</v>
      </c>
      <c r="AD12" s="19">
        <v>15649</v>
      </c>
      <c r="AE12" s="19">
        <v>128</v>
      </c>
      <c r="AF12" s="19">
        <v>196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7006</v>
      </c>
      <c r="F13" s="19">
        <v>4660</v>
      </c>
      <c r="G13" s="19">
        <v>2985</v>
      </c>
      <c r="H13" s="19">
        <v>543</v>
      </c>
      <c r="I13" s="19">
        <v>474</v>
      </c>
      <c r="J13" s="19">
        <v>1491</v>
      </c>
      <c r="K13" s="19">
        <v>0</v>
      </c>
      <c r="L13" s="19">
        <v>386</v>
      </c>
      <c r="M13" s="19">
        <v>4</v>
      </c>
      <c r="N13" s="19">
        <v>863</v>
      </c>
      <c r="O13" s="19">
        <v>362</v>
      </c>
      <c r="P13" s="19">
        <v>1024</v>
      </c>
      <c r="Q13" s="19">
        <v>3</v>
      </c>
      <c r="R13" s="19">
        <v>1229</v>
      </c>
      <c r="S13" s="19">
        <v>1918</v>
      </c>
      <c r="T13" s="19">
        <v>300</v>
      </c>
      <c r="U13" s="19">
        <v>73</v>
      </c>
      <c r="V13" s="19">
        <v>238</v>
      </c>
      <c r="W13" s="19">
        <v>581</v>
      </c>
      <c r="X13" s="19">
        <v>681</v>
      </c>
      <c r="Y13" s="19">
        <v>0</v>
      </c>
      <c r="Z13" s="19">
        <v>0</v>
      </c>
      <c r="AA13" s="19">
        <v>16</v>
      </c>
      <c r="AB13" s="19">
        <v>2</v>
      </c>
      <c r="AC13" s="19">
        <v>2188</v>
      </c>
      <c r="AD13" s="19">
        <v>8961</v>
      </c>
      <c r="AE13" s="19">
        <v>125</v>
      </c>
      <c r="AF13" s="19">
        <v>180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7403</v>
      </c>
      <c r="F14" s="19">
        <v>4810</v>
      </c>
      <c r="G14" s="19">
        <v>4775</v>
      </c>
      <c r="H14" s="19">
        <v>596</v>
      </c>
      <c r="I14" s="19">
        <v>486</v>
      </c>
      <c r="J14" s="19">
        <v>1537</v>
      </c>
      <c r="K14" s="19">
        <v>0</v>
      </c>
      <c r="L14" s="19">
        <v>402</v>
      </c>
      <c r="M14" s="19">
        <v>3</v>
      </c>
      <c r="N14" s="19">
        <v>880</v>
      </c>
      <c r="O14" s="19">
        <v>382</v>
      </c>
      <c r="P14" s="19">
        <v>1075</v>
      </c>
      <c r="Q14" s="19">
        <v>2</v>
      </c>
      <c r="R14" s="19">
        <v>1296</v>
      </c>
      <c r="S14" s="19">
        <v>2038</v>
      </c>
      <c r="T14" s="19">
        <v>318</v>
      </c>
      <c r="U14" s="19">
        <v>73</v>
      </c>
      <c r="V14" s="19">
        <v>260</v>
      </c>
      <c r="W14" s="19">
        <v>634</v>
      </c>
      <c r="X14" s="19">
        <v>670</v>
      </c>
      <c r="Y14" s="19">
        <v>0</v>
      </c>
      <c r="Z14" s="19">
        <v>0</v>
      </c>
      <c r="AA14" s="19">
        <v>18</v>
      </c>
      <c r="AB14" s="19">
        <v>2</v>
      </c>
      <c r="AC14" s="19">
        <v>3478</v>
      </c>
      <c r="AD14" s="19">
        <v>1433</v>
      </c>
      <c r="AE14" s="19">
        <v>106</v>
      </c>
      <c r="AF14" s="19">
        <v>159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6195</v>
      </c>
      <c r="F15" s="19">
        <v>3883</v>
      </c>
      <c r="G15" s="19">
        <v>3961</v>
      </c>
      <c r="H15" s="19">
        <v>555</v>
      </c>
      <c r="I15" s="19">
        <v>381</v>
      </c>
      <c r="J15" s="19">
        <v>1267</v>
      </c>
      <c r="K15" s="19">
        <v>0</v>
      </c>
      <c r="L15" s="19">
        <v>339</v>
      </c>
      <c r="M15" s="19">
        <v>4</v>
      </c>
      <c r="N15" s="19">
        <v>800</v>
      </c>
      <c r="O15" s="19">
        <v>321</v>
      </c>
      <c r="P15" s="19">
        <v>880</v>
      </c>
      <c r="Q15" s="19">
        <v>2</v>
      </c>
      <c r="R15" s="19">
        <v>1078</v>
      </c>
      <c r="S15" s="19">
        <v>1613</v>
      </c>
      <c r="T15" s="19">
        <v>263</v>
      </c>
      <c r="U15" s="19">
        <v>39</v>
      </c>
      <c r="V15" s="19">
        <v>212</v>
      </c>
      <c r="W15" s="19">
        <v>530</v>
      </c>
      <c r="X15" s="19">
        <v>524</v>
      </c>
      <c r="Y15" s="19">
        <v>0</v>
      </c>
      <c r="Z15" s="19">
        <v>0</v>
      </c>
      <c r="AA15" s="19">
        <v>11</v>
      </c>
      <c r="AB15" s="19">
        <v>1</v>
      </c>
      <c r="AC15" s="19">
        <v>2916</v>
      </c>
      <c r="AD15" s="19">
        <v>1186</v>
      </c>
      <c r="AE15" s="19">
        <v>98</v>
      </c>
      <c r="AF15" s="19">
        <v>153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7185</v>
      </c>
      <c r="F16" s="19">
        <v>4579</v>
      </c>
      <c r="G16" s="19">
        <v>4805</v>
      </c>
      <c r="H16" s="19">
        <v>575</v>
      </c>
      <c r="I16" s="19">
        <v>464</v>
      </c>
      <c r="J16" s="19">
        <v>1448</v>
      </c>
      <c r="K16" s="19">
        <v>0</v>
      </c>
      <c r="L16" s="19">
        <v>405</v>
      </c>
      <c r="M16" s="19">
        <v>3</v>
      </c>
      <c r="N16" s="19">
        <v>945</v>
      </c>
      <c r="O16" s="19">
        <v>388</v>
      </c>
      <c r="P16" s="19">
        <v>1076</v>
      </c>
      <c r="Q16" s="19">
        <v>3</v>
      </c>
      <c r="R16" s="19">
        <v>1309</v>
      </c>
      <c r="S16" s="19">
        <v>1960</v>
      </c>
      <c r="T16" s="19">
        <v>321</v>
      </c>
      <c r="U16" s="19">
        <v>48</v>
      </c>
      <c r="V16" s="19">
        <v>250</v>
      </c>
      <c r="W16" s="19">
        <v>688</v>
      </c>
      <c r="X16" s="19">
        <v>597</v>
      </c>
      <c r="Y16" s="19">
        <v>0</v>
      </c>
      <c r="Z16" s="19">
        <v>0</v>
      </c>
      <c r="AA16" s="19">
        <v>14</v>
      </c>
      <c r="AB16" s="19">
        <v>2</v>
      </c>
      <c r="AC16" s="19">
        <v>3544</v>
      </c>
      <c r="AD16" s="19">
        <v>1438</v>
      </c>
      <c r="AE16" s="19">
        <v>125</v>
      </c>
      <c r="AF16" s="19">
        <v>195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S11" activePane="bottomLeft" state="frozen"/>
      <selection pane="bottomLeft" activeCell="A17" sqref="A17:XFD17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43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44</v>
      </c>
      <c r="AS1" s="42"/>
      <c r="AT1" s="40" t="s">
        <v>45</v>
      </c>
      <c r="AU1" s="40"/>
      <c r="AV1" s="39" t="s">
        <v>46</v>
      </c>
      <c r="AW1" s="40"/>
      <c r="AX1" s="39" t="s">
        <v>47</v>
      </c>
      <c r="AY1" s="40"/>
      <c r="AZ1" s="37" t="s">
        <v>48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49</v>
      </c>
      <c r="B2" s="4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6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44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46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44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46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</v>
      </c>
      <c r="BC4" s="9">
        <f>IF((BB4-BB3&lt;0), "",BB4-BB3)</f>
        <v>1328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44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47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</v>
      </c>
      <c r="BC5" s="9">
        <f>IF((BB5-BB4&lt;0), "",BB5-BB4)</f>
        <v>1371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44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46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</v>
      </c>
      <c r="BC6" s="9">
        <f t="shared" ref="BC6:BC31" si="13">IF((BB6-BB5&lt;0), "",BB6-BB5)</f>
        <v>1119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44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46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</v>
      </c>
      <c r="BC7" s="9">
        <f t="shared" si="13"/>
        <v>1349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44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46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</v>
      </c>
      <c r="BC8" s="9">
        <f t="shared" si="13"/>
        <v>1313</v>
      </c>
      <c r="BD8" s="26">
        <v>142</v>
      </c>
      <c r="BE8" s="26">
        <v>189</v>
      </c>
      <c r="BH8">
        <f t="shared" si="0"/>
        <v>0</v>
      </c>
    </row>
    <row r="9" spans="1:60" ht="45" customHeight="1">
      <c r="A9" s="8">
        <v>44902</v>
      </c>
      <c r="B9" s="44"/>
      <c r="C9" s="26">
        <v>31904404</v>
      </c>
      <c r="D9" s="9">
        <f t="shared" si="6"/>
        <v>6624</v>
      </c>
      <c r="E9" s="26">
        <v>32365519</v>
      </c>
      <c r="F9" s="9">
        <f t="shared" si="7"/>
        <v>4122</v>
      </c>
      <c r="G9" s="26">
        <v>13659878</v>
      </c>
      <c r="H9" s="9">
        <f t="shared" si="1"/>
        <v>4504</v>
      </c>
      <c r="I9" s="26">
        <v>1914681</v>
      </c>
      <c r="J9" s="9">
        <f t="shared" si="8"/>
        <v>552</v>
      </c>
      <c r="K9" s="26">
        <v>3921020</v>
      </c>
      <c r="L9" s="9">
        <f t="shared" si="8"/>
        <v>460</v>
      </c>
      <c r="M9" s="26">
        <v>5106015</v>
      </c>
      <c r="N9" s="9">
        <f t="shared" ref="N9" si="22">IF((M9-M8&lt;0), "0",M9-M8)</f>
        <v>1435</v>
      </c>
      <c r="O9" s="26">
        <v>2656899</v>
      </c>
      <c r="P9" s="9">
        <f t="shared" ref="P9" si="23">IF((O9-O8&lt;0), "0",O9-O8)</f>
        <v>0</v>
      </c>
      <c r="Q9" s="26">
        <v>1564344</v>
      </c>
      <c r="R9" s="9">
        <f t="shared" ref="R9" si="24">IF((Q9-Q8&lt;0), "0",Q9-Q8)</f>
        <v>392</v>
      </c>
      <c r="S9" s="26">
        <v>572273</v>
      </c>
      <c r="T9" s="9">
        <f t="shared" ref="T9" si="25">IF((S9-S8&lt;0), "0",S9-S8)</f>
        <v>19</v>
      </c>
      <c r="U9" s="26">
        <v>4888688</v>
      </c>
      <c r="V9" s="9">
        <f t="shared" si="2"/>
        <v>917</v>
      </c>
      <c r="W9" s="26">
        <v>1111959</v>
      </c>
      <c r="X9" s="9">
        <f t="shared" si="2"/>
        <v>270</v>
      </c>
      <c r="Y9" s="26">
        <v>5055206</v>
      </c>
      <c r="Z9" s="9">
        <f t="shared" si="2"/>
        <v>856</v>
      </c>
      <c r="AA9" s="26">
        <v>2271807</v>
      </c>
      <c r="AB9" s="9">
        <f t="shared" si="2"/>
        <v>2</v>
      </c>
      <c r="AC9" s="26">
        <v>6355437</v>
      </c>
      <c r="AD9" s="9">
        <f t="shared" si="2"/>
        <v>1235</v>
      </c>
      <c r="AE9" s="26">
        <v>9149572</v>
      </c>
      <c r="AF9" s="9">
        <f t="shared" si="2"/>
        <v>1569</v>
      </c>
      <c r="AG9" s="26">
        <v>1522137</v>
      </c>
      <c r="AH9" s="9">
        <f t="shared" si="2"/>
        <v>301</v>
      </c>
      <c r="AI9" s="26">
        <v>286156</v>
      </c>
      <c r="AJ9" s="9">
        <f t="shared" si="2"/>
        <v>80</v>
      </c>
      <c r="AK9" s="26">
        <v>1196370</v>
      </c>
      <c r="AL9" s="9">
        <f t="shared" si="2"/>
        <v>245</v>
      </c>
      <c r="AM9" s="26">
        <v>2269286</v>
      </c>
      <c r="AN9" s="9">
        <f t="shared" si="2"/>
        <v>582</v>
      </c>
      <c r="AO9" s="26">
        <v>2192211</v>
      </c>
      <c r="AP9" s="9">
        <f t="shared" si="2"/>
        <v>647</v>
      </c>
      <c r="AQ9" s="46"/>
      <c r="AR9" s="17" t="s">
        <v>60</v>
      </c>
      <c r="AS9" s="9">
        <v>0</v>
      </c>
      <c r="AT9" s="17" t="s">
        <v>60</v>
      </c>
      <c r="AU9" s="9">
        <v>0</v>
      </c>
      <c r="AV9" s="26">
        <v>97423</v>
      </c>
      <c r="AW9" s="9">
        <f t="shared" si="3"/>
        <v>16</v>
      </c>
      <c r="AX9" s="26">
        <v>1484</v>
      </c>
      <c r="AY9" s="9">
        <f t="shared" si="4"/>
        <v>2</v>
      </c>
      <c r="AZ9" s="26">
        <v>8319472</v>
      </c>
      <c r="BA9" s="9">
        <f t="shared" si="5"/>
        <v>2830</v>
      </c>
      <c r="BB9" s="26">
        <v>1956636</v>
      </c>
      <c r="BC9" s="9">
        <f t="shared" si="13"/>
        <v>1357</v>
      </c>
      <c r="BD9" s="26">
        <v>132</v>
      </c>
      <c r="BE9" s="26">
        <v>211</v>
      </c>
      <c r="BH9">
        <f t="shared" si="0"/>
        <v>0</v>
      </c>
    </row>
    <row r="10" spans="1:60" ht="45" customHeight="1">
      <c r="A10" s="8">
        <v>44903</v>
      </c>
      <c r="B10" s="44"/>
      <c r="C10" s="26">
        <v>31910892</v>
      </c>
      <c r="D10" s="9">
        <f t="shared" si="6"/>
        <v>6488</v>
      </c>
      <c r="E10" s="26">
        <v>32369799</v>
      </c>
      <c r="F10" s="9">
        <f t="shared" si="7"/>
        <v>4280</v>
      </c>
      <c r="G10" s="26">
        <v>13664283</v>
      </c>
      <c r="H10" s="9">
        <f t="shared" si="1"/>
        <v>4405</v>
      </c>
      <c r="I10" s="26">
        <v>1915234</v>
      </c>
      <c r="J10" s="9">
        <f t="shared" si="8"/>
        <v>553</v>
      </c>
      <c r="K10" s="26">
        <v>3921467</v>
      </c>
      <c r="L10" s="9">
        <f t="shared" si="8"/>
        <v>447</v>
      </c>
      <c r="M10" s="26">
        <v>5107496</v>
      </c>
      <c r="N10" s="9">
        <f t="shared" ref="N10" si="26">IF((M10-M9&lt;0), "0",M10-M9)</f>
        <v>1481</v>
      </c>
      <c r="O10" s="26">
        <v>2656899</v>
      </c>
      <c r="P10" s="9">
        <f t="shared" ref="P10" si="27">IF((O10-O9&lt;0), "0",O10-O9)</f>
        <v>0</v>
      </c>
      <c r="Q10" s="26">
        <v>1564722</v>
      </c>
      <c r="R10" s="9">
        <f t="shared" ref="R10" si="28">IF((Q10-Q9&lt;0), "0",Q10-Q9)</f>
        <v>378</v>
      </c>
      <c r="S10" s="26">
        <v>572291</v>
      </c>
      <c r="T10" s="9">
        <f t="shared" ref="T10" si="29">IF((S10-S9&lt;0), "0",S10-S9)</f>
        <v>18</v>
      </c>
      <c r="U10" s="26">
        <v>4889577</v>
      </c>
      <c r="V10" s="9">
        <f t="shared" si="2"/>
        <v>889</v>
      </c>
      <c r="W10" s="26">
        <v>1112213</v>
      </c>
      <c r="X10" s="9">
        <f t="shared" si="2"/>
        <v>254</v>
      </c>
      <c r="Y10" s="26">
        <v>5055928</v>
      </c>
      <c r="Z10" s="9">
        <f t="shared" si="2"/>
        <v>722</v>
      </c>
      <c r="AA10" s="26">
        <v>2271809</v>
      </c>
      <c r="AB10" s="9">
        <f t="shared" si="2"/>
        <v>2</v>
      </c>
      <c r="AC10" s="26">
        <v>6356634</v>
      </c>
      <c r="AD10" s="9">
        <f t="shared" si="2"/>
        <v>1197</v>
      </c>
      <c r="AE10" s="26">
        <v>9151290</v>
      </c>
      <c r="AF10" s="9">
        <f t="shared" si="2"/>
        <v>1718</v>
      </c>
      <c r="AG10" s="26">
        <v>1522429</v>
      </c>
      <c r="AH10" s="9">
        <f t="shared" si="2"/>
        <v>292</v>
      </c>
      <c r="AI10" s="26">
        <v>286232</v>
      </c>
      <c r="AJ10" s="9">
        <f t="shared" si="2"/>
        <v>76</v>
      </c>
      <c r="AK10" s="26">
        <v>1196608</v>
      </c>
      <c r="AL10" s="9">
        <f t="shared" si="2"/>
        <v>238</v>
      </c>
      <c r="AM10" s="26">
        <v>2269846</v>
      </c>
      <c r="AN10" s="9">
        <f t="shared" si="2"/>
        <v>560</v>
      </c>
      <c r="AO10" s="26">
        <v>2192830</v>
      </c>
      <c r="AP10" s="9">
        <f t="shared" si="2"/>
        <v>619</v>
      </c>
      <c r="AQ10" s="46"/>
      <c r="AR10" s="17" t="s">
        <v>60</v>
      </c>
      <c r="AS10" s="9">
        <v>0</v>
      </c>
      <c r="AT10" s="17" t="s">
        <v>60</v>
      </c>
      <c r="AU10" s="9">
        <v>0</v>
      </c>
      <c r="AV10" s="26">
        <v>97459</v>
      </c>
      <c r="AW10" s="9">
        <f t="shared" si="3"/>
        <v>36</v>
      </c>
      <c r="AX10" s="26">
        <v>1486</v>
      </c>
      <c r="AY10" s="9">
        <f t="shared" si="4"/>
        <v>2</v>
      </c>
      <c r="AZ10" s="26">
        <v>8322446</v>
      </c>
      <c r="BA10" s="9">
        <f t="shared" si="5"/>
        <v>2974</v>
      </c>
      <c r="BB10" s="26">
        <v>1957965</v>
      </c>
      <c r="BC10" s="9">
        <f t="shared" si="13"/>
        <v>1329</v>
      </c>
      <c r="BD10" s="26">
        <v>138</v>
      </c>
      <c r="BE10" s="26">
        <v>218</v>
      </c>
      <c r="BH10">
        <f t="shared" si="0"/>
        <v>0</v>
      </c>
    </row>
    <row r="11" spans="1:60" ht="45" customHeight="1">
      <c r="A11" s="8">
        <v>44904</v>
      </c>
      <c r="B11" s="44"/>
      <c r="C11" s="26">
        <v>31918077</v>
      </c>
      <c r="D11" s="9">
        <f>IF((C11-C10&lt;0), "0",C11-C10)</f>
        <v>7185</v>
      </c>
      <c r="E11" s="26">
        <v>32374206</v>
      </c>
      <c r="F11" s="9">
        <f t="shared" si="7"/>
        <v>4407</v>
      </c>
      <c r="G11" s="26">
        <v>13668720</v>
      </c>
      <c r="H11" s="9">
        <f t="shared" si="1"/>
        <v>4437</v>
      </c>
      <c r="I11" s="26">
        <v>1915787</v>
      </c>
      <c r="J11" s="9">
        <f t="shared" si="8"/>
        <v>553</v>
      </c>
      <c r="K11" s="26">
        <v>3921922</v>
      </c>
      <c r="L11" s="9">
        <f t="shared" si="8"/>
        <v>455</v>
      </c>
      <c r="M11" s="26">
        <v>5109095</v>
      </c>
      <c r="N11" s="9">
        <f t="shared" ref="N11" si="30">IF((M11-M10&lt;0), "0",M11-M10)</f>
        <v>1599</v>
      </c>
      <c r="O11" s="26">
        <v>2656899</v>
      </c>
      <c r="P11" s="9">
        <f t="shared" ref="P11" si="31">IF((O11-O10&lt;0), "0",O11-O10)</f>
        <v>0</v>
      </c>
      <c r="Q11" s="26">
        <v>1565106</v>
      </c>
      <c r="R11" s="9">
        <f t="shared" ref="R11" si="32">IF((Q11-Q10&lt;0), "0",Q11-Q10)</f>
        <v>384</v>
      </c>
      <c r="S11" s="26">
        <v>572306</v>
      </c>
      <c r="T11" s="9">
        <f t="shared" ref="T11" si="33">IF((S11-S10&lt;0), "0",S11-S10)</f>
        <v>15</v>
      </c>
      <c r="U11" s="26">
        <v>4890455</v>
      </c>
      <c r="V11" s="9">
        <f t="shared" si="2"/>
        <v>878</v>
      </c>
      <c r="W11" s="26">
        <v>1112565</v>
      </c>
      <c r="X11" s="9">
        <f t="shared" si="2"/>
        <v>352</v>
      </c>
      <c r="Y11" s="26">
        <v>5057046</v>
      </c>
      <c r="Z11" s="9">
        <f t="shared" si="2"/>
        <v>1118</v>
      </c>
      <c r="AA11" s="26">
        <v>2271812</v>
      </c>
      <c r="AB11" s="9">
        <f t="shared" si="2"/>
        <v>3</v>
      </c>
      <c r="AC11" s="26">
        <v>6357843</v>
      </c>
      <c r="AD11" s="9">
        <f t="shared" si="2"/>
        <v>1209</v>
      </c>
      <c r="AE11" s="26">
        <v>9153157</v>
      </c>
      <c r="AF11" s="9">
        <f t="shared" si="2"/>
        <v>1867</v>
      </c>
      <c r="AG11" s="26">
        <v>1522725</v>
      </c>
      <c r="AH11" s="9">
        <f t="shared" si="2"/>
        <v>296</v>
      </c>
      <c r="AI11" s="26">
        <v>286309</v>
      </c>
      <c r="AJ11" s="9">
        <f t="shared" si="2"/>
        <v>77</v>
      </c>
      <c r="AK11" s="26">
        <v>1196859</v>
      </c>
      <c r="AL11" s="9">
        <f t="shared" si="2"/>
        <v>251</v>
      </c>
      <c r="AM11" s="26">
        <v>2270449</v>
      </c>
      <c r="AN11" s="9">
        <f t="shared" si="2"/>
        <v>603</v>
      </c>
      <c r="AO11" s="26">
        <v>2193437</v>
      </c>
      <c r="AP11" s="9">
        <f t="shared" si="2"/>
        <v>607</v>
      </c>
      <c r="AQ11" s="46"/>
      <c r="AR11" s="17" t="s">
        <v>60</v>
      </c>
      <c r="AS11" s="9">
        <v>0</v>
      </c>
      <c r="AT11" s="17" t="s">
        <v>60</v>
      </c>
      <c r="AU11" s="9">
        <v>0</v>
      </c>
      <c r="AV11" s="26">
        <v>97455</v>
      </c>
      <c r="AW11" s="9" t="str">
        <f t="shared" si="3"/>
        <v/>
      </c>
      <c r="AX11" s="26">
        <v>1488</v>
      </c>
      <c r="AY11" s="9">
        <f t="shared" si="4"/>
        <v>2</v>
      </c>
      <c r="AZ11" s="26">
        <v>8325542</v>
      </c>
      <c r="BA11" s="9">
        <f t="shared" si="5"/>
        <v>3096</v>
      </c>
      <c r="BB11" s="26">
        <v>1959306</v>
      </c>
      <c r="BC11" s="9">
        <f t="shared" si="13"/>
        <v>1341</v>
      </c>
      <c r="BD11" s="26">
        <v>143</v>
      </c>
      <c r="BE11" s="26">
        <v>231</v>
      </c>
      <c r="BH11">
        <f t="shared" si="0"/>
        <v>0</v>
      </c>
    </row>
    <row r="12" spans="1:60" ht="45" customHeight="1">
      <c r="A12" s="8">
        <v>44905</v>
      </c>
      <c r="B12" s="44"/>
      <c r="C12" s="26">
        <v>31924763</v>
      </c>
      <c r="D12" s="9">
        <f t="shared" si="6"/>
        <v>6686</v>
      </c>
      <c r="E12" s="26">
        <v>32378333</v>
      </c>
      <c r="F12" s="9">
        <f t="shared" si="7"/>
        <v>4127</v>
      </c>
      <c r="G12" s="26">
        <v>13672817</v>
      </c>
      <c r="H12" s="9">
        <f t="shared" si="1"/>
        <v>4097</v>
      </c>
      <c r="I12" s="26">
        <v>1916353</v>
      </c>
      <c r="J12" s="9">
        <f t="shared" si="8"/>
        <v>566</v>
      </c>
      <c r="K12" s="26">
        <v>3922314</v>
      </c>
      <c r="L12" s="9">
        <f t="shared" si="8"/>
        <v>392</v>
      </c>
      <c r="M12" s="26">
        <v>5110507</v>
      </c>
      <c r="N12" s="9">
        <f t="shared" ref="N12" si="34">IF((M12-M11&lt;0), "0",M12-M11)</f>
        <v>1412</v>
      </c>
      <c r="O12" s="26">
        <v>2656899</v>
      </c>
      <c r="P12" s="9">
        <f t="shared" ref="P12" si="35">IF((O12-O11&lt;0), "0",O12-O11)</f>
        <v>0</v>
      </c>
      <c r="Q12" s="26">
        <v>1565468</v>
      </c>
      <c r="R12" s="9">
        <f t="shared" ref="R12" si="36">IF((Q12-Q11&lt;0), "0",Q12-Q11)</f>
        <v>362</v>
      </c>
      <c r="S12" s="26">
        <v>572309</v>
      </c>
      <c r="T12" s="9">
        <f t="shared" ref="T12" si="37">IF((S12-S11&lt;0), "0",S12-S11)</f>
        <v>3</v>
      </c>
      <c r="U12" s="26">
        <v>4891342</v>
      </c>
      <c r="V12" s="9">
        <f t="shared" si="2"/>
        <v>887</v>
      </c>
      <c r="W12" s="26">
        <v>1112892</v>
      </c>
      <c r="X12" s="9">
        <f t="shared" si="2"/>
        <v>327</v>
      </c>
      <c r="Y12" s="26">
        <v>5058136</v>
      </c>
      <c r="Z12" s="9">
        <f t="shared" si="2"/>
        <v>1090</v>
      </c>
      <c r="AA12" s="26">
        <v>2271814</v>
      </c>
      <c r="AB12" s="9">
        <f t="shared" si="2"/>
        <v>2</v>
      </c>
      <c r="AC12" s="26">
        <v>6358958</v>
      </c>
      <c r="AD12" s="9">
        <f t="shared" si="2"/>
        <v>1115</v>
      </c>
      <c r="AE12" s="26">
        <v>9154834</v>
      </c>
      <c r="AF12" s="9">
        <f t="shared" si="2"/>
        <v>1677</v>
      </c>
      <c r="AG12" s="26">
        <v>1522997</v>
      </c>
      <c r="AH12" s="9">
        <f t="shared" si="2"/>
        <v>272</v>
      </c>
      <c r="AI12" s="26">
        <v>286381</v>
      </c>
      <c r="AJ12" s="9">
        <f t="shared" si="2"/>
        <v>72</v>
      </c>
      <c r="AK12" s="26">
        <v>1197092</v>
      </c>
      <c r="AL12" s="9">
        <f t="shared" si="2"/>
        <v>233</v>
      </c>
      <c r="AM12" s="26">
        <v>2271038</v>
      </c>
      <c r="AN12" s="9">
        <f t="shared" si="2"/>
        <v>589</v>
      </c>
      <c r="AO12" s="26">
        <v>2194108</v>
      </c>
      <c r="AP12" s="9">
        <f>IF((AO12-AO11&lt;0), "",AO12-AO11)</f>
        <v>671</v>
      </c>
      <c r="AQ12" s="46"/>
      <c r="AR12" s="17" t="s">
        <v>60</v>
      </c>
      <c r="AS12" s="9">
        <v>0</v>
      </c>
      <c r="AT12" s="17" t="s">
        <v>60</v>
      </c>
      <c r="AU12" s="9">
        <v>0</v>
      </c>
      <c r="AV12" s="26">
        <v>97473</v>
      </c>
      <c r="AW12" s="9">
        <f t="shared" si="3"/>
        <v>18</v>
      </c>
      <c r="AX12" s="26">
        <v>1491</v>
      </c>
      <c r="AY12" s="9">
        <f t="shared" si="4"/>
        <v>3</v>
      </c>
      <c r="AZ12" s="26">
        <v>8328417</v>
      </c>
      <c r="BA12" s="9">
        <f t="shared" si="5"/>
        <v>2875</v>
      </c>
      <c r="BB12" s="26">
        <v>1960540</v>
      </c>
      <c r="BC12" s="9">
        <f t="shared" si="13"/>
        <v>1234</v>
      </c>
      <c r="BD12" s="26">
        <v>138</v>
      </c>
      <c r="BE12" s="26">
        <v>219</v>
      </c>
      <c r="BH12">
        <f t="shared" si="0"/>
        <v>0</v>
      </c>
    </row>
    <row r="13" spans="1:60" ht="45" customHeight="1">
      <c r="A13" s="8">
        <v>44906</v>
      </c>
      <c r="B13" s="44"/>
      <c r="C13" s="26">
        <v>31930753</v>
      </c>
      <c r="D13" s="9">
        <f t="shared" si="6"/>
        <v>5990</v>
      </c>
      <c r="E13" s="26">
        <v>32381938</v>
      </c>
      <c r="F13" s="9">
        <f t="shared" si="7"/>
        <v>3605</v>
      </c>
      <c r="G13" s="26">
        <v>13678015</v>
      </c>
      <c r="H13" s="9">
        <f t="shared" si="1"/>
        <v>5198</v>
      </c>
      <c r="I13" s="26">
        <v>1916939</v>
      </c>
      <c r="J13" s="9">
        <f t="shared" si="8"/>
        <v>586</v>
      </c>
      <c r="K13" s="26">
        <v>3922690</v>
      </c>
      <c r="L13" s="9">
        <f t="shared" si="8"/>
        <v>376</v>
      </c>
      <c r="M13" s="26">
        <v>5111787</v>
      </c>
      <c r="N13" s="9">
        <f t="shared" ref="N13" si="38">IF((M13-M12&lt;0), "0",M13-M12)</f>
        <v>1280</v>
      </c>
      <c r="O13" s="26">
        <v>2656899</v>
      </c>
      <c r="P13" s="9">
        <f t="shared" ref="P13" si="39">IF((O13-O12&lt;0), "0",O13-O12)</f>
        <v>0</v>
      </c>
      <c r="Q13" s="26">
        <v>1565800</v>
      </c>
      <c r="R13" s="9">
        <f t="shared" ref="R13" si="40">IF((Q13-Q12&lt;0), "0",Q13-Q12)</f>
        <v>332</v>
      </c>
      <c r="S13" s="26">
        <v>572312</v>
      </c>
      <c r="T13" s="9">
        <f t="shared" ref="T13" si="41">IF((S13-S12&lt;0), "0",S13-S12)</f>
        <v>3</v>
      </c>
      <c r="U13" s="26">
        <v>4891975</v>
      </c>
      <c r="V13" s="9">
        <f t="shared" si="2"/>
        <v>633</v>
      </c>
      <c r="W13" s="26">
        <v>1113193</v>
      </c>
      <c r="X13" s="9">
        <f t="shared" si="2"/>
        <v>301</v>
      </c>
      <c r="Y13" s="26">
        <v>5059059</v>
      </c>
      <c r="Z13" s="9">
        <f t="shared" si="2"/>
        <v>923</v>
      </c>
      <c r="AA13" s="26">
        <v>2271816</v>
      </c>
      <c r="AB13" s="9">
        <f t="shared" si="2"/>
        <v>2</v>
      </c>
      <c r="AC13" s="26">
        <v>6359994</v>
      </c>
      <c r="AD13" s="9">
        <f t="shared" si="2"/>
        <v>1036</v>
      </c>
      <c r="AE13" s="26">
        <v>9156330</v>
      </c>
      <c r="AF13" s="9">
        <f t="shared" si="2"/>
        <v>1496</v>
      </c>
      <c r="AG13" s="26">
        <v>1523250</v>
      </c>
      <c r="AH13" s="9">
        <f t="shared" si="2"/>
        <v>253</v>
      </c>
      <c r="AI13" s="26">
        <v>286448</v>
      </c>
      <c r="AJ13" s="9">
        <f t="shared" si="2"/>
        <v>67</v>
      </c>
      <c r="AK13" s="26">
        <v>1197300</v>
      </c>
      <c r="AL13" s="9">
        <f t="shared" si="2"/>
        <v>208</v>
      </c>
      <c r="AM13" s="26">
        <v>2271548</v>
      </c>
      <c r="AN13" s="9">
        <f t="shared" si="2"/>
        <v>510</v>
      </c>
      <c r="AO13" s="26">
        <v>2194725</v>
      </c>
      <c r="AP13" s="9">
        <f t="shared" si="2"/>
        <v>617</v>
      </c>
      <c r="AQ13" s="46"/>
      <c r="AR13" s="17" t="s">
        <v>60</v>
      </c>
      <c r="AS13" s="9">
        <v>0</v>
      </c>
      <c r="AT13" s="17" t="s">
        <v>60</v>
      </c>
      <c r="AU13" s="9">
        <v>0</v>
      </c>
      <c r="AV13" s="26">
        <v>97488</v>
      </c>
      <c r="AW13" s="9">
        <f t="shared" si="3"/>
        <v>15</v>
      </c>
      <c r="AX13" s="26">
        <v>1493</v>
      </c>
      <c r="AY13" s="9">
        <f t="shared" si="4"/>
        <v>2</v>
      </c>
      <c r="AZ13" s="26">
        <v>8331974</v>
      </c>
      <c r="BA13" s="9">
        <f t="shared" si="5"/>
        <v>3557</v>
      </c>
      <c r="BB13" s="26">
        <v>1962104</v>
      </c>
      <c r="BC13" s="9">
        <f t="shared" si="13"/>
        <v>1564</v>
      </c>
      <c r="BD13" s="26">
        <v>128</v>
      </c>
      <c r="BE13" s="26">
        <v>196</v>
      </c>
      <c r="BH13">
        <f t="shared" si="0"/>
        <v>0</v>
      </c>
    </row>
    <row r="14" spans="1:60" ht="45" customHeight="1">
      <c r="A14" s="8">
        <v>44907</v>
      </c>
      <c r="B14" s="44"/>
      <c r="C14" s="26">
        <v>31937759</v>
      </c>
      <c r="D14" s="9">
        <f t="shared" si="6"/>
        <v>7006</v>
      </c>
      <c r="E14" s="26">
        <v>32386598</v>
      </c>
      <c r="F14" s="9">
        <f>IF((E14-E13&lt;0), "0",E14-E13)</f>
        <v>4660</v>
      </c>
      <c r="G14" s="26">
        <v>13681000</v>
      </c>
      <c r="H14" s="9">
        <f t="shared" si="1"/>
        <v>2985</v>
      </c>
      <c r="I14" s="26">
        <v>1917482</v>
      </c>
      <c r="J14" s="9">
        <f t="shared" si="8"/>
        <v>543</v>
      </c>
      <c r="K14" s="26">
        <v>3923164</v>
      </c>
      <c r="L14" s="9">
        <f t="shared" si="8"/>
        <v>474</v>
      </c>
      <c r="M14" s="26">
        <v>5113278</v>
      </c>
      <c r="N14" s="9">
        <f>IF((M14-M13&lt;0), "0",M14-M13)</f>
        <v>1491</v>
      </c>
      <c r="O14" s="26">
        <v>2656899</v>
      </c>
      <c r="P14" s="9">
        <f t="shared" ref="P14" si="42">IF((O14-O13&lt;0), "0",O14-O13)</f>
        <v>0</v>
      </c>
      <c r="Q14" s="26">
        <v>1566186</v>
      </c>
      <c r="R14" s="9">
        <f t="shared" ref="R14" si="43">IF((Q14-Q13&lt;0), "0",Q14-Q13)</f>
        <v>386</v>
      </c>
      <c r="S14" s="26">
        <v>572316</v>
      </c>
      <c r="T14" s="9">
        <f t="shared" ref="T14" si="44">IF((S14-S13&lt;0), "0",S14-S13)</f>
        <v>4</v>
      </c>
      <c r="U14" s="26">
        <v>4892838</v>
      </c>
      <c r="V14" s="9">
        <f t="shared" si="2"/>
        <v>863</v>
      </c>
      <c r="W14" s="26">
        <v>1113555</v>
      </c>
      <c r="X14" s="9">
        <f t="shared" si="2"/>
        <v>362</v>
      </c>
      <c r="Y14" s="26">
        <v>5060083</v>
      </c>
      <c r="Z14" s="9">
        <f>IF((Y14-Y13&lt;0), "",Y14-Y13)</f>
        <v>1024</v>
      </c>
      <c r="AA14" s="26">
        <v>2271819</v>
      </c>
      <c r="AB14" s="9">
        <f t="shared" si="2"/>
        <v>3</v>
      </c>
      <c r="AC14" s="26">
        <v>6361223</v>
      </c>
      <c r="AD14" s="9">
        <f t="shared" si="2"/>
        <v>1229</v>
      </c>
      <c r="AE14" s="26">
        <v>9158248</v>
      </c>
      <c r="AF14" s="9">
        <f t="shared" si="2"/>
        <v>1918</v>
      </c>
      <c r="AG14" s="26">
        <v>1523550</v>
      </c>
      <c r="AH14" s="9">
        <f t="shared" si="2"/>
        <v>300</v>
      </c>
      <c r="AI14" s="26">
        <v>286521</v>
      </c>
      <c r="AJ14" s="9">
        <f t="shared" si="2"/>
        <v>73</v>
      </c>
      <c r="AK14" s="26">
        <v>1197538</v>
      </c>
      <c r="AL14" s="9">
        <f t="shared" si="2"/>
        <v>238</v>
      </c>
      <c r="AM14" s="26">
        <v>2272129</v>
      </c>
      <c r="AN14" s="9">
        <f t="shared" si="2"/>
        <v>581</v>
      </c>
      <c r="AO14" s="26">
        <v>2195406</v>
      </c>
      <c r="AP14" s="9">
        <f t="shared" si="2"/>
        <v>681</v>
      </c>
      <c r="AQ14" s="46"/>
      <c r="AR14" s="17" t="s">
        <v>60</v>
      </c>
      <c r="AS14" s="9">
        <v>0</v>
      </c>
      <c r="AT14" s="17" t="s">
        <v>60</v>
      </c>
      <c r="AU14" s="9">
        <v>0</v>
      </c>
      <c r="AV14" s="26">
        <v>97504</v>
      </c>
      <c r="AW14" s="9">
        <f t="shared" si="3"/>
        <v>16</v>
      </c>
      <c r="AX14" s="26">
        <v>1495</v>
      </c>
      <c r="AY14" s="9">
        <f t="shared" si="4"/>
        <v>2</v>
      </c>
      <c r="AZ14" s="26">
        <v>8334162</v>
      </c>
      <c r="BA14" s="9">
        <f t="shared" si="5"/>
        <v>2188</v>
      </c>
      <c r="BB14" s="26">
        <v>1963001</v>
      </c>
      <c r="BC14" s="9">
        <f t="shared" si="13"/>
        <v>897</v>
      </c>
      <c r="BD14" s="26">
        <v>125</v>
      </c>
      <c r="BE14" s="26">
        <v>180</v>
      </c>
      <c r="BH14">
        <f t="shared" si="0"/>
        <v>0</v>
      </c>
    </row>
    <row r="15" spans="1:60" ht="45" customHeight="1">
      <c r="A15" s="8">
        <v>44908</v>
      </c>
      <c r="B15" s="44"/>
      <c r="C15" s="26">
        <v>31945162</v>
      </c>
      <c r="D15" s="9">
        <f t="shared" si="6"/>
        <v>7403</v>
      </c>
      <c r="E15" s="26">
        <v>32391408</v>
      </c>
      <c r="F15" s="9">
        <f t="shared" si="7"/>
        <v>4810</v>
      </c>
      <c r="G15" s="26">
        <v>13685775</v>
      </c>
      <c r="H15" s="9">
        <f t="shared" si="1"/>
        <v>4775</v>
      </c>
      <c r="I15" s="26">
        <v>1918078</v>
      </c>
      <c r="J15" s="9">
        <f t="shared" si="8"/>
        <v>596</v>
      </c>
      <c r="K15" s="26">
        <v>3923650</v>
      </c>
      <c r="L15" s="9">
        <f t="shared" si="8"/>
        <v>486</v>
      </c>
      <c r="M15" s="26">
        <v>5114815</v>
      </c>
      <c r="N15" s="9">
        <f t="shared" ref="N15" si="45">IF((M15-M14&lt;0), "0",M15-M14)</f>
        <v>1537</v>
      </c>
      <c r="O15" s="26">
        <v>2656899</v>
      </c>
      <c r="P15" s="9">
        <f t="shared" ref="P15" si="46">IF((O15-O14&lt;0), "0",O15-O14)</f>
        <v>0</v>
      </c>
      <c r="Q15" s="26">
        <v>1566588</v>
      </c>
      <c r="R15" s="9">
        <f t="shared" ref="R15" si="47">IF((Q15-Q14&lt;0), "0",Q15-Q14)</f>
        <v>402</v>
      </c>
      <c r="S15" s="26">
        <v>572319</v>
      </c>
      <c r="T15" s="9">
        <f t="shared" ref="T15" si="48">IF((S15-S14&lt;0), "0",S15-S14)</f>
        <v>3</v>
      </c>
      <c r="U15" s="26">
        <v>4893718</v>
      </c>
      <c r="V15" s="9">
        <f t="shared" si="2"/>
        <v>880</v>
      </c>
      <c r="W15" s="26">
        <v>1113937</v>
      </c>
      <c r="X15" s="9">
        <f t="shared" si="2"/>
        <v>382</v>
      </c>
      <c r="Y15" s="26">
        <v>5061158</v>
      </c>
      <c r="Z15" s="9">
        <f t="shared" si="2"/>
        <v>1075</v>
      </c>
      <c r="AA15" s="26">
        <v>2271821</v>
      </c>
      <c r="AB15" s="9">
        <f t="shared" si="2"/>
        <v>2</v>
      </c>
      <c r="AC15" s="26">
        <v>6362519</v>
      </c>
      <c r="AD15" s="9">
        <f t="shared" si="2"/>
        <v>1296</v>
      </c>
      <c r="AE15" s="26">
        <v>9160286</v>
      </c>
      <c r="AF15" s="9">
        <f t="shared" si="2"/>
        <v>2038</v>
      </c>
      <c r="AG15" s="26">
        <v>1523868</v>
      </c>
      <c r="AH15" s="9">
        <f t="shared" si="2"/>
        <v>318</v>
      </c>
      <c r="AI15" s="26">
        <v>286594</v>
      </c>
      <c r="AJ15" s="9">
        <f t="shared" si="2"/>
        <v>73</v>
      </c>
      <c r="AK15" s="26">
        <v>1197798</v>
      </c>
      <c r="AL15" s="9">
        <f t="shared" si="2"/>
        <v>260</v>
      </c>
      <c r="AM15" s="26">
        <v>2272763</v>
      </c>
      <c r="AN15" s="9">
        <f t="shared" si="2"/>
        <v>634</v>
      </c>
      <c r="AO15" s="26">
        <v>2196076</v>
      </c>
      <c r="AP15" s="9">
        <f t="shared" si="2"/>
        <v>670</v>
      </c>
      <c r="AQ15" s="46"/>
      <c r="AR15" s="17" t="s">
        <v>60</v>
      </c>
      <c r="AS15" s="9">
        <v>0</v>
      </c>
      <c r="AT15" s="17" t="s">
        <v>60</v>
      </c>
      <c r="AU15" s="9">
        <v>0</v>
      </c>
      <c r="AV15" s="26">
        <v>97522</v>
      </c>
      <c r="AW15" s="9">
        <f t="shared" si="3"/>
        <v>18</v>
      </c>
      <c r="AX15" s="26">
        <v>1497</v>
      </c>
      <c r="AY15" s="9">
        <f t="shared" si="4"/>
        <v>2</v>
      </c>
      <c r="AZ15" s="26">
        <v>8337640</v>
      </c>
      <c r="BA15" s="9">
        <f t="shared" si="5"/>
        <v>3478</v>
      </c>
      <c r="BB15" s="26">
        <v>1964434</v>
      </c>
      <c r="BC15" s="9">
        <f t="shared" si="13"/>
        <v>1433</v>
      </c>
      <c r="BD15" s="26">
        <v>106</v>
      </c>
      <c r="BE15" s="26">
        <v>159</v>
      </c>
      <c r="BH15">
        <f t="shared" si="0"/>
        <v>0</v>
      </c>
    </row>
    <row r="16" spans="1:60" ht="45" customHeight="1">
      <c r="A16" s="8">
        <v>44909</v>
      </c>
      <c r="B16" s="44"/>
      <c r="C16" s="26">
        <v>31951357</v>
      </c>
      <c r="D16" s="9">
        <f t="shared" si="6"/>
        <v>6195</v>
      </c>
      <c r="E16" s="26">
        <v>32395291</v>
      </c>
      <c r="F16" s="9">
        <f t="shared" si="7"/>
        <v>3883</v>
      </c>
      <c r="G16" s="26">
        <v>13689736</v>
      </c>
      <c r="H16" s="9">
        <f t="shared" si="1"/>
        <v>3961</v>
      </c>
      <c r="I16" s="26">
        <v>1918633</v>
      </c>
      <c r="J16" s="9">
        <f t="shared" si="8"/>
        <v>555</v>
      </c>
      <c r="K16" s="26">
        <v>3924031</v>
      </c>
      <c r="L16" s="9">
        <f t="shared" si="8"/>
        <v>381</v>
      </c>
      <c r="M16" s="26">
        <v>5116082</v>
      </c>
      <c r="N16" s="9">
        <f t="shared" ref="N16" si="49">IF((M16-M15&lt;0), "0",M16-M15)</f>
        <v>1267</v>
      </c>
      <c r="O16" s="26">
        <v>2656899</v>
      </c>
      <c r="P16" s="9">
        <f t="shared" ref="P16" si="50">IF((O16-O15&lt;0), "0",O16-O15)</f>
        <v>0</v>
      </c>
      <c r="Q16" s="26">
        <v>1566927</v>
      </c>
      <c r="R16" s="9">
        <f t="shared" ref="R16" si="51">IF((Q16-Q15&lt;0), "0",Q16-Q15)</f>
        <v>339</v>
      </c>
      <c r="S16" s="26">
        <v>572323</v>
      </c>
      <c r="T16" s="9">
        <f t="shared" ref="T16" si="52">IF((S16-S15&lt;0), "0",S16-S15)</f>
        <v>4</v>
      </c>
      <c r="U16" s="26">
        <v>4894518</v>
      </c>
      <c r="V16" s="9">
        <f t="shared" ref="V16:AP31" si="53">IF((U16-U15&lt;0), "",U16-U15)</f>
        <v>800</v>
      </c>
      <c r="W16" s="26">
        <v>1114258</v>
      </c>
      <c r="X16" s="9">
        <f t="shared" si="53"/>
        <v>321</v>
      </c>
      <c r="Y16" s="26">
        <v>5062038</v>
      </c>
      <c r="Z16" s="9">
        <f t="shared" si="53"/>
        <v>880</v>
      </c>
      <c r="AA16" s="26">
        <v>2271823</v>
      </c>
      <c r="AB16" s="9">
        <f t="shared" si="53"/>
        <v>2</v>
      </c>
      <c r="AC16" s="26">
        <v>6363597</v>
      </c>
      <c r="AD16" s="9">
        <f t="shared" si="53"/>
        <v>1078</v>
      </c>
      <c r="AE16" s="26">
        <v>9161899</v>
      </c>
      <c r="AF16" s="9">
        <f t="shared" si="53"/>
        <v>1613</v>
      </c>
      <c r="AG16" s="26">
        <v>1524131</v>
      </c>
      <c r="AH16" s="9">
        <f t="shared" si="53"/>
        <v>263</v>
      </c>
      <c r="AI16" s="26">
        <v>286633</v>
      </c>
      <c r="AJ16" s="9">
        <f t="shared" si="53"/>
        <v>39</v>
      </c>
      <c r="AK16" s="26">
        <v>1198010</v>
      </c>
      <c r="AL16" s="9">
        <f t="shared" si="53"/>
        <v>212</v>
      </c>
      <c r="AM16" s="26">
        <v>2273293</v>
      </c>
      <c r="AN16" s="9">
        <f t="shared" si="53"/>
        <v>530</v>
      </c>
      <c r="AO16" s="26">
        <v>2196600</v>
      </c>
      <c r="AP16" s="9">
        <f t="shared" si="53"/>
        <v>524</v>
      </c>
      <c r="AQ16" s="46"/>
      <c r="AR16" s="17" t="s">
        <v>60</v>
      </c>
      <c r="AS16" s="9">
        <v>0</v>
      </c>
      <c r="AT16" s="17" t="s">
        <v>60</v>
      </c>
      <c r="AU16" s="9">
        <v>0</v>
      </c>
      <c r="AV16" s="26">
        <v>97533</v>
      </c>
      <c r="AW16" s="9">
        <f t="shared" si="3"/>
        <v>11</v>
      </c>
      <c r="AX16" s="26">
        <v>1498</v>
      </c>
      <c r="AY16" s="9">
        <f>IF((AX16-AX15&lt;0), "",AX16-AX15)</f>
        <v>1</v>
      </c>
      <c r="AZ16" s="26">
        <v>8340556</v>
      </c>
      <c r="BA16" s="9">
        <f t="shared" si="5"/>
        <v>2916</v>
      </c>
      <c r="BB16" s="26">
        <v>1965620</v>
      </c>
      <c r="BC16" s="9">
        <f t="shared" si="13"/>
        <v>1186</v>
      </c>
      <c r="BD16" s="26">
        <v>98</v>
      </c>
      <c r="BE16" s="26">
        <v>153</v>
      </c>
      <c r="BH16">
        <f t="shared" si="0"/>
        <v>0</v>
      </c>
    </row>
    <row r="17" spans="1:60" ht="45" customHeight="1">
      <c r="A17" s="8">
        <v>44910</v>
      </c>
      <c r="B17" s="44"/>
      <c r="C17" s="26">
        <v>31958542</v>
      </c>
      <c r="D17" s="9">
        <f>IF((C17-C16&lt;0), "0",C17-C16)</f>
        <v>7185</v>
      </c>
      <c r="E17" s="26">
        <v>32399870</v>
      </c>
      <c r="F17" s="9">
        <f t="shared" si="7"/>
        <v>4579</v>
      </c>
      <c r="G17" s="26">
        <v>13694541</v>
      </c>
      <c r="H17" s="9">
        <f t="shared" si="1"/>
        <v>4805</v>
      </c>
      <c r="I17" s="26">
        <v>1919208</v>
      </c>
      <c r="J17" s="9">
        <f t="shared" si="8"/>
        <v>575</v>
      </c>
      <c r="K17" s="26">
        <v>3924495</v>
      </c>
      <c r="L17" s="9">
        <f t="shared" si="8"/>
        <v>464</v>
      </c>
      <c r="M17" s="26">
        <v>5117530</v>
      </c>
      <c r="N17" s="9">
        <f t="shared" ref="N17" si="54">IF((M17-M16&lt;0), "0",M17-M16)</f>
        <v>1448</v>
      </c>
      <c r="O17" s="26">
        <v>2656899</v>
      </c>
      <c r="P17" s="9">
        <f t="shared" ref="P17" si="55">IF((O17-O16&lt;0), "0",O17-O16)</f>
        <v>0</v>
      </c>
      <c r="Q17" s="26">
        <v>1567332</v>
      </c>
      <c r="R17" s="9">
        <f t="shared" ref="R17" si="56">IF((Q17-Q16&lt;0), "0",Q17-Q16)</f>
        <v>405</v>
      </c>
      <c r="S17" s="26">
        <v>572326</v>
      </c>
      <c r="T17" s="9">
        <f t="shared" ref="T17" si="57">IF((S17-S16&lt;0), "0",S17-S16)</f>
        <v>3</v>
      </c>
      <c r="U17" s="26">
        <v>4895463</v>
      </c>
      <c r="V17" s="9">
        <f t="shared" si="53"/>
        <v>945</v>
      </c>
      <c r="W17" s="26">
        <v>1114646</v>
      </c>
      <c r="X17" s="9">
        <f t="shared" si="53"/>
        <v>388</v>
      </c>
      <c r="Y17" s="26">
        <v>5063114</v>
      </c>
      <c r="Z17" s="9">
        <f t="shared" si="53"/>
        <v>1076</v>
      </c>
      <c r="AA17" s="26">
        <v>2271826</v>
      </c>
      <c r="AB17" s="9">
        <f t="shared" si="53"/>
        <v>3</v>
      </c>
      <c r="AC17" s="26">
        <v>6364906</v>
      </c>
      <c r="AD17" s="9">
        <f t="shared" si="53"/>
        <v>1309</v>
      </c>
      <c r="AE17" s="26">
        <v>9163859</v>
      </c>
      <c r="AF17" s="9">
        <f t="shared" si="53"/>
        <v>1960</v>
      </c>
      <c r="AG17" s="26">
        <v>1524452</v>
      </c>
      <c r="AH17" s="9">
        <f t="shared" si="53"/>
        <v>321</v>
      </c>
      <c r="AI17" s="26">
        <v>286681</v>
      </c>
      <c r="AJ17" s="9">
        <f t="shared" si="53"/>
        <v>48</v>
      </c>
      <c r="AK17" s="26">
        <v>1198260</v>
      </c>
      <c r="AL17" s="9">
        <f t="shared" si="53"/>
        <v>250</v>
      </c>
      <c r="AM17" s="26">
        <v>2273981</v>
      </c>
      <c r="AN17" s="9">
        <f t="shared" si="53"/>
        <v>688</v>
      </c>
      <c r="AO17" s="26">
        <v>2197197</v>
      </c>
      <c r="AP17" s="9">
        <f t="shared" si="53"/>
        <v>597</v>
      </c>
      <c r="AQ17" s="46"/>
      <c r="AR17" s="17" t="s">
        <v>60</v>
      </c>
      <c r="AS17" s="9">
        <v>0</v>
      </c>
      <c r="AT17" s="17" t="s">
        <v>60</v>
      </c>
      <c r="AU17" s="9">
        <v>0</v>
      </c>
      <c r="AV17" s="26">
        <v>97547</v>
      </c>
      <c r="AW17" s="9">
        <f t="shared" si="3"/>
        <v>14</v>
      </c>
      <c r="AX17" s="26">
        <v>1500</v>
      </c>
      <c r="AY17" s="9">
        <f>IF((AX17-AX16&lt;0), "",AX17-AX16)</f>
        <v>2</v>
      </c>
      <c r="AZ17" s="26">
        <v>8344100</v>
      </c>
      <c r="BA17" s="9">
        <f t="shared" si="5"/>
        <v>3544</v>
      </c>
      <c r="BB17" s="26">
        <v>1967058</v>
      </c>
      <c r="BC17" s="9">
        <f t="shared" si="13"/>
        <v>1438</v>
      </c>
      <c r="BD17" s="26">
        <v>125</v>
      </c>
      <c r="BE17" s="26">
        <v>195</v>
      </c>
      <c r="BH17">
        <f t="shared" si="0"/>
        <v>0</v>
      </c>
    </row>
    <row r="18" spans="1:60" ht="45" customHeight="1">
      <c r="A18" s="8">
        <v>44911</v>
      </c>
      <c r="B18" s="44"/>
      <c r="C18" s="26">
        <v>0</v>
      </c>
      <c r="D18" s="9" t="str">
        <f>IF((C18-C17&lt;0), "0",C18-C17)</f>
        <v>0</v>
      </c>
      <c r="E18" s="26">
        <v>0</v>
      </c>
      <c r="F18" s="9" t="str">
        <f t="shared" si="7"/>
        <v>0</v>
      </c>
      <c r="G18" s="26">
        <v>0</v>
      </c>
      <c r="H18" s="9" t="str">
        <f t="shared" si="1"/>
        <v>0</v>
      </c>
      <c r="I18" s="26">
        <v>0</v>
      </c>
      <c r="J18" s="9" t="str">
        <f t="shared" si="8"/>
        <v>0</v>
      </c>
      <c r="K18" s="26">
        <v>0</v>
      </c>
      <c r="L18" s="9" t="str">
        <f t="shared" si="8"/>
        <v>0</v>
      </c>
      <c r="M18" s="26">
        <v>0</v>
      </c>
      <c r="N18" s="9" t="str">
        <f t="shared" ref="N18" si="58">IF((M18-M17&lt;0), "0",M18-M17)</f>
        <v>0</v>
      </c>
      <c r="O18" s="26">
        <v>0</v>
      </c>
      <c r="P18" s="9" t="str">
        <f t="shared" ref="P18" si="59">IF((O18-O17&lt;0), "0",O18-O17)</f>
        <v>0</v>
      </c>
      <c r="Q18" s="26">
        <v>0</v>
      </c>
      <c r="R18" s="9" t="str">
        <f>IF((Q18-Q17&lt;0), "0",Q18-Q17)</f>
        <v>0</v>
      </c>
      <c r="S18" s="26">
        <v>0</v>
      </c>
      <c r="T18" s="9" t="str">
        <f t="shared" ref="T18" si="60">IF((S18-S17&lt;0), "0",S18-S17)</f>
        <v>0</v>
      </c>
      <c r="U18" s="26">
        <v>0</v>
      </c>
      <c r="V18" s="9" t="str">
        <f t="shared" si="53"/>
        <v/>
      </c>
      <c r="W18" s="26">
        <v>0</v>
      </c>
      <c r="X18" s="9" t="str">
        <f t="shared" si="53"/>
        <v/>
      </c>
      <c r="Y18" s="26">
        <v>0</v>
      </c>
      <c r="Z18" s="9" t="str">
        <f t="shared" si="53"/>
        <v/>
      </c>
      <c r="AA18" s="26">
        <v>0</v>
      </c>
      <c r="AB18" s="9" t="str">
        <f t="shared" si="53"/>
        <v/>
      </c>
      <c r="AC18" s="26">
        <v>0</v>
      </c>
      <c r="AD18" s="9" t="str">
        <f t="shared" si="53"/>
        <v/>
      </c>
      <c r="AE18" s="26">
        <v>0</v>
      </c>
      <c r="AF18" s="9" t="str">
        <f t="shared" si="53"/>
        <v/>
      </c>
      <c r="AG18" s="26">
        <v>0</v>
      </c>
      <c r="AH18" s="9" t="str">
        <f t="shared" si="53"/>
        <v/>
      </c>
      <c r="AI18" s="26">
        <v>0</v>
      </c>
      <c r="AJ18" s="9" t="str">
        <f t="shared" si="53"/>
        <v/>
      </c>
      <c r="AK18" s="26">
        <v>0</v>
      </c>
      <c r="AL18" s="9" t="str">
        <f t="shared" si="53"/>
        <v/>
      </c>
      <c r="AM18" s="26">
        <v>0</v>
      </c>
      <c r="AN18" s="9" t="str">
        <f>IF((AM18-AM17&lt;0), "",AM18-AM17)</f>
        <v/>
      </c>
      <c r="AO18" s="26">
        <v>0</v>
      </c>
      <c r="AP18" s="9" t="str">
        <f t="shared" si="53"/>
        <v/>
      </c>
      <c r="AQ18" s="46"/>
      <c r="AR18" s="17" t="s">
        <v>60</v>
      </c>
      <c r="AS18" s="9">
        <v>0</v>
      </c>
      <c r="AT18" s="17" t="s">
        <v>60</v>
      </c>
      <c r="AU18" s="9">
        <v>0</v>
      </c>
      <c r="AV18" s="26">
        <v>0</v>
      </c>
      <c r="AW18" s="9" t="str">
        <f t="shared" si="3"/>
        <v/>
      </c>
      <c r="AX18" s="26">
        <v>0</v>
      </c>
      <c r="AY18" s="9" t="str">
        <f t="shared" si="4"/>
        <v/>
      </c>
      <c r="AZ18" s="26">
        <v>0</v>
      </c>
      <c r="BA18" s="9" t="str">
        <f t="shared" si="5"/>
        <v/>
      </c>
      <c r="BB18" s="26">
        <v>0</v>
      </c>
      <c r="BC18" s="9" t="str">
        <f t="shared" si="13"/>
        <v/>
      </c>
      <c r="BD18" s="26">
        <v>0</v>
      </c>
      <c r="BE18" s="26">
        <v>0</v>
      </c>
      <c r="BH18">
        <f t="shared" si="0"/>
        <v>0</v>
      </c>
    </row>
    <row r="19" spans="1:60" ht="45" customHeight="1">
      <c r="A19" s="8">
        <v>44912</v>
      </c>
      <c r="B19" s="44"/>
      <c r="C19" s="26">
        <v>0</v>
      </c>
      <c r="D19" s="9">
        <f t="shared" si="6"/>
        <v>0</v>
      </c>
      <c r="E19" s="26">
        <v>0</v>
      </c>
      <c r="F19" s="9">
        <f t="shared" si="7"/>
        <v>0</v>
      </c>
      <c r="G19" s="26">
        <v>0</v>
      </c>
      <c r="H19" s="9">
        <f t="shared" si="1"/>
        <v>0</v>
      </c>
      <c r="I19" s="26">
        <v>0</v>
      </c>
      <c r="J19" s="9">
        <f t="shared" si="8"/>
        <v>0</v>
      </c>
      <c r="K19" s="26">
        <v>0</v>
      </c>
      <c r="L19" s="9">
        <f t="shared" si="8"/>
        <v>0</v>
      </c>
      <c r="M19" s="26">
        <v>0</v>
      </c>
      <c r="N19" s="9">
        <f t="shared" ref="N19" si="61">IF((M19-M18&lt;0), "0",M19-M18)</f>
        <v>0</v>
      </c>
      <c r="O19" s="26">
        <v>0</v>
      </c>
      <c r="P19" s="9">
        <f t="shared" ref="P19" si="62">IF((O19-O18&lt;0), "0",O19-O18)</f>
        <v>0</v>
      </c>
      <c r="Q19" s="26">
        <v>0</v>
      </c>
      <c r="R19" s="9">
        <f t="shared" ref="R19" si="63">IF((Q19-Q18&lt;0), "0",Q19-Q18)</f>
        <v>0</v>
      </c>
      <c r="S19" s="26">
        <v>0</v>
      </c>
      <c r="T19" s="9">
        <f t="shared" ref="T19" si="64">IF((S19-S18&lt;0), "0",S19-S18)</f>
        <v>0</v>
      </c>
      <c r="U19" s="26">
        <v>0</v>
      </c>
      <c r="V19" s="9">
        <f t="shared" si="53"/>
        <v>0</v>
      </c>
      <c r="W19" s="26">
        <v>0</v>
      </c>
      <c r="X19" s="9">
        <f t="shared" si="53"/>
        <v>0</v>
      </c>
      <c r="Y19" s="26">
        <v>0</v>
      </c>
      <c r="Z19" s="9">
        <f t="shared" si="53"/>
        <v>0</v>
      </c>
      <c r="AA19" s="26">
        <v>0</v>
      </c>
      <c r="AB19" s="9">
        <f t="shared" si="53"/>
        <v>0</v>
      </c>
      <c r="AC19" s="26">
        <v>0</v>
      </c>
      <c r="AD19" s="9">
        <f t="shared" si="53"/>
        <v>0</v>
      </c>
      <c r="AE19" s="26">
        <v>0</v>
      </c>
      <c r="AF19" s="9">
        <f t="shared" si="53"/>
        <v>0</v>
      </c>
      <c r="AG19" s="26">
        <v>0</v>
      </c>
      <c r="AH19" s="9">
        <f t="shared" si="53"/>
        <v>0</v>
      </c>
      <c r="AI19" s="26">
        <v>0</v>
      </c>
      <c r="AJ19" s="9">
        <f t="shared" si="53"/>
        <v>0</v>
      </c>
      <c r="AK19" s="26">
        <v>0</v>
      </c>
      <c r="AL19" s="9">
        <f t="shared" si="53"/>
        <v>0</v>
      </c>
      <c r="AM19" s="26">
        <v>0</v>
      </c>
      <c r="AN19" s="9">
        <f t="shared" si="53"/>
        <v>0</v>
      </c>
      <c r="AO19" s="26">
        <v>0</v>
      </c>
      <c r="AP19" s="9">
        <f t="shared" si="53"/>
        <v>0</v>
      </c>
      <c r="AQ19" s="46"/>
      <c r="AR19" s="17" t="s">
        <v>60</v>
      </c>
      <c r="AS19" s="9">
        <v>0</v>
      </c>
      <c r="AT19" s="17" t="s">
        <v>60</v>
      </c>
      <c r="AU19" s="9">
        <v>0</v>
      </c>
      <c r="AV19" s="26">
        <v>0</v>
      </c>
      <c r="AW19" s="9">
        <f t="shared" si="3"/>
        <v>0</v>
      </c>
      <c r="AX19" s="26">
        <v>0</v>
      </c>
      <c r="AY19" s="9">
        <f t="shared" si="4"/>
        <v>0</v>
      </c>
      <c r="AZ19" s="26">
        <v>0</v>
      </c>
      <c r="BA19" s="9">
        <f t="shared" si="5"/>
        <v>0</v>
      </c>
      <c r="BB19" s="26">
        <v>0</v>
      </c>
      <c r="BC19" s="9">
        <f t="shared" si="13"/>
        <v>0</v>
      </c>
      <c r="BD19" s="26">
        <v>0</v>
      </c>
      <c r="BE19" s="26">
        <v>0</v>
      </c>
      <c r="BH19">
        <f t="shared" si="0"/>
        <v>0</v>
      </c>
    </row>
    <row r="20" spans="1:60" ht="45" customHeight="1">
      <c r="A20" s="8">
        <v>44913</v>
      </c>
      <c r="B20" s="44"/>
      <c r="C20" s="26">
        <v>0</v>
      </c>
      <c r="D20" s="9">
        <f t="shared" si="6"/>
        <v>0</v>
      </c>
      <c r="E20" s="26">
        <v>0</v>
      </c>
      <c r="F20" s="9">
        <f t="shared" si="7"/>
        <v>0</v>
      </c>
      <c r="G20" s="26">
        <v>0</v>
      </c>
      <c r="H20" s="9">
        <f t="shared" si="1"/>
        <v>0</v>
      </c>
      <c r="I20" s="26">
        <v>0</v>
      </c>
      <c r="J20" s="9">
        <f t="shared" si="8"/>
        <v>0</v>
      </c>
      <c r="K20" s="26">
        <v>0</v>
      </c>
      <c r="L20" s="9">
        <f t="shared" si="8"/>
        <v>0</v>
      </c>
      <c r="M20" s="26">
        <v>0</v>
      </c>
      <c r="N20" s="9">
        <f t="shared" ref="N20" si="65">IF((M20-M19&lt;0), "0",M20-M19)</f>
        <v>0</v>
      </c>
      <c r="O20" s="26">
        <v>0</v>
      </c>
      <c r="P20" s="9">
        <f t="shared" ref="P20" si="66">IF((O20-O19&lt;0), "0",O20-O19)</f>
        <v>0</v>
      </c>
      <c r="Q20" s="26">
        <v>0</v>
      </c>
      <c r="R20" s="9">
        <f t="shared" ref="R20" si="67">IF((Q20-Q19&lt;0), "0",Q20-Q19)</f>
        <v>0</v>
      </c>
      <c r="S20" s="26">
        <v>0</v>
      </c>
      <c r="T20" s="9">
        <f t="shared" ref="T20" si="68">IF((S20-S19&lt;0), "0",S20-S19)</f>
        <v>0</v>
      </c>
      <c r="U20" s="26">
        <v>0</v>
      </c>
      <c r="V20" s="9">
        <f t="shared" si="53"/>
        <v>0</v>
      </c>
      <c r="W20" s="26">
        <v>0</v>
      </c>
      <c r="X20" s="9">
        <f t="shared" si="53"/>
        <v>0</v>
      </c>
      <c r="Y20" s="26">
        <v>0</v>
      </c>
      <c r="Z20" s="9">
        <f t="shared" si="53"/>
        <v>0</v>
      </c>
      <c r="AA20" s="26">
        <v>0</v>
      </c>
      <c r="AB20" s="9">
        <f t="shared" si="53"/>
        <v>0</v>
      </c>
      <c r="AC20" s="26">
        <v>0</v>
      </c>
      <c r="AD20" s="9">
        <f t="shared" si="53"/>
        <v>0</v>
      </c>
      <c r="AE20" s="26">
        <v>0</v>
      </c>
      <c r="AF20" s="9">
        <f t="shared" si="53"/>
        <v>0</v>
      </c>
      <c r="AG20" s="26">
        <v>0</v>
      </c>
      <c r="AH20" s="9">
        <f t="shared" si="53"/>
        <v>0</v>
      </c>
      <c r="AI20" s="26">
        <v>0</v>
      </c>
      <c r="AJ20" s="9">
        <f t="shared" si="53"/>
        <v>0</v>
      </c>
      <c r="AK20" s="26">
        <v>0</v>
      </c>
      <c r="AL20" s="9">
        <f t="shared" si="53"/>
        <v>0</v>
      </c>
      <c r="AM20" s="26">
        <v>0</v>
      </c>
      <c r="AN20" s="9">
        <f t="shared" si="53"/>
        <v>0</v>
      </c>
      <c r="AO20" s="26">
        <v>0</v>
      </c>
      <c r="AP20" s="9">
        <f t="shared" si="53"/>
        <v>0</v>
      </c>
      <c r="AQ20" s="46"/>
      <c r="AR20" s="17" t="s">
        <v>60</v>
      </c>
      <c r="AS20" s="9">
        <v>0</v>
      </c>
      <c r="AT20" s="17" t="s">
        <v>60</v>
      </c>
      <c r="AU20" s="9">
        <v>0</v>
      </c>
      <c r="AV20" s="26">
        <v>0</v>
      </c>
      <c r="AW20" s="9">
        <f t="shared" si="3"/>
        <v>0</v>
      </c>
      <c r="AX20" s="26">
        <v>0</v>
      </c>
      <c r="AY20" s="9">
        <f t="shared" si="4"/>
        <v>0</v>
      </c>
      <c r="AZ20" s="26">
        <v>0</v>
      </c>
      <c r="BA20" s="9">
        <f t="shared" si="5"/>
        <v>0</v>
      </c>
      <c r="BB20" s="26">
        <v>0</v>
      </c>
      <c r="BC20" s="9">
        <f t="shared" si="13"/>
        <v>0</v>
      </c>
      <c r="BD20" s="26">
        <v>0</v>
      </c>
      <c r="BE20" s="26">
        <v>0</v>
      </c>
      <c r="BH20">
        <f t="shared" si="0"/>
        <v>0</v>
      </c>
    </row>
    <row r="21" spans="1:60" ht="45" customHeight="1">
      <c r="A21" s="8">
        <v>44914</v>
      </c>
      <c r="B21" s="44"/>
      <c r="C21" s="26">
        <v>0</v>
      </c>
      <c r="D21" s="9">
        <f t="shared" si="6"/>
        <v>0</v>
      </c>
      <c r="E21" s="26">
        <v>0</v>
      </c>
      <c r="F21" s="9">
        <f t="shared" si="7"/>
        <v>0</v>
      </c>
      <c r="G21" s="26">
        <v>0</v>
      </c>
      <c r="H21" s="9">
        <f t="shared" si="1"/>
        <v>0</v>
      </c>
      <c r="I21" s="26">
        <v>0</v>
      </c>
      <c r="J21" s="9">
        <f t="shared" si="8"/>
        <v>0</v>
      </c>
      <c r="K21" s="26">
        <v>0</v>
      </c>
      <c r="L21" s="9">
        <f t="shared" si="8"/>
        <v>0</v>
      </c>
      <c r="M21" s="26">
        <v>0</v>
      </c>
      <c r="N21" s="9">
        <f t="shared" ref="N21" si="69">IF((M21-M20&lt;0), "0",M21-M20)</f>
        <v>0</v>
      </c>
      <c r="O21" s="26">
        <v>0</v>
      </c>
      <c r="P21" s="9">
        <f t="shared" ref="P21" si="70">IF((O21-O20&lt;0), "0",O21-O20)</f>
        <v>0</v>
      </c>
      <c r="Q21" s="26">
        <v>0</v>
      </c>
      <c r="R21" s="9">
        <f t="shared" ref="R21" si="71">IF((Q21-Q20&lt;0), "0",Q21-Q20)</f>
        <v>0</v>
      </c>
      <c r="S21" s="26">
        <v>0</v>
      </c>
      <c r="T21" s="9">
        <f t="shared" ref="T21" si="72">IF((S21-S20&lt;0), "0",S21-S20)</f>
        <v>0</v>
      </c>
      <c r="U21" s="26">
        <v>0</v>
      </c>
      <c r="V21" s="9">
        <f t="shared" si="53"/>
        <v>0</v>
      </c>
      <c r="W21" s="26">
        <v>0</v>
      </c>
      <c r="X21" s="9">
        <f t="shared" si="53"/>
        <v>0</v>
      </c>
      <c r="Y21" s="26">
        <v>0</v>
      </c>
      <c r="Z21" s="9">
        <f t="shared" si="53"/>
        <v>0</v>
      </c>
      <c r="AA21" s="26">
        <v>0</v>
      </c>
      <c r="AB21" s="9">
        <f t="shared" si="53"/>
        <v>0</v>
      </c>
      <c r="AC21" s="26">
        <v>0</v>
      </c>
      <c r="AD21" s="9">
        <f t="shared" si="53"/>
        <v>0</v>
      </c>
      <c r="AE21" s="26">
        <v>0</v>
      </c>
      <c r="AF21" s="9">
        <f t="shared" si="53"/>
        <v>0</v>
      </c>
      <c r="AG21" s="26">
        <v>0</v>
      </c>
      <c r="AH21" s="9">
        <f t="shared" si="53"/>
        <v>0</v>
      </c>
      <c r="AI21" s="26">
        <v>0</v>
      </c>
      <c r="AJ21" s="9">
        <f t="shared" si="53"/>
        <v>0</v>
      </c>
      <c r="AK21" s="26">
        <v>0</v>
      </c>
      <c r="AL21" s="9">
        <f t="shared" si="53"/>
        <v>0</v>
      </c>
      <c r="AM21" s="26">
        <v>0</v>
      </c>
      <c r="AN21" s="9">
        <f t="shared" si="53"/>
        <v>0</v>
      </c>
      <c r="AO21" s="26">
        <v>0</v>
      </c>
      <c r="AP21" s="9">
        <f t="shared" si="53"/>
        <v>0</v>
      </c>
      <c r="AQ21" s="46"/>
      <c r="AR21" s="17" t="s">
        <v>60</v>
      </c>
      <c r="AS21" s="9">
        <v>0</v>
      </c>
      <c r="AT21" s="17" t="s">
        <v>60</v>
      </c>
      <c r="AU21" s="9">
        <v>0</v>
      </c>
      <c r="AV21" s="26">
        <v>0</v>
      </c>
      <c r="AW21" s="9">
        <f t="shared" si="3"/>
        <v>0</v>
      </c>
      <c r="AX21" s="26">
        <v>0</v>
      </c>
      <c r="AY21" s="9">
        <f t="shared" si="4"/>
        <v>0</v>
      </c>
      <c r="AZ21" s="26">
        <v>0</v>
      </c>
      <c r="BA21" s="9">
        <f t="shared" si="5"/>
        <v>0</v>
      </c>
      <c r="BB21" s="26">
        <v>0</v>
      </c>
      <c r="BC21" s="9">
        <f t="shared" si="13"/>
        <v>0</v>
      </c>
      <c r="BD21" s="26">
        <v>0</v>
      </c>
      <c r="BE21" s="26">
        <v>0</v>
      </c>
      <c r="BH21">
        <f t="shared" si="0"/>
        <v>0</v>
      </c>
    </row>
    <row r="22" spans="1:60" ht="45" customHeight="1">
      <c r="A22" s="8">
        <v>44915</v>
      </c>
      <c r="B22" s="44"/>
      <c r="C22" s="26">
        <v>0</v>
      </c>
      <c r="D22" s="9">
        <f t="shared" si="6"/>
        <v>0</v>
      </c>
      <c r="E22" s="26">
        <v>0</v>
      </c>
      <c r="F22" s="9">
        <f t="shared" si="7"/>
        <v>0</v>
      </c>
      <c r="G22" s="26">
        <v>0</v>
      </c>
      <c r="H22" s="9">
        <f t="shared" si="1"/>
        <v>0</v>
      </c>
      <c r="I22" s="26">
        <v>0</v>
      </c>
      <c r="J22" s="9">
        <f t="shared" si="8"/>
        <v>0</v>
      </c>
      <c r="K22" s="26">
        <v>0</v>
      </c>
      <c r="L22" s="9">
        <f t="shared" si="8"/>
        <v>0</v>
      </c>
      <c r="M22" s="26">
        <v>0</v>
      </c>
      <c r="N22" s="9">
        <f t="shared" ref="N22" si="73">IF((M22-M21&lt;0), "0",M22-M21)</f>
        <v>0</v>
      </c>
      <c r="O22" s="26">
        <v>0</v>
      </c>
      <c r="P22" s="9">
        <f t="shared" ref="P22" si="74">IF((O22-O21&lt;0), "0",O22-O21)</f>
        <v>0</v>
      </c>
      <c r="Q22" s="26">
        <v>0</v>
      </c>
      <c r="R22" s="9">
        <f t="shared" ref="R22" si="75">IF((Q22-Q21&lt;0), "0",Q22-Q21)</f>
        <v>0</v>
      </c>
      <c r="S22" s="26">
        <v>0</v>
      </c>
      <c r="T22" s="9">
        <f t="shared" ref="T22" si="76">IF((S22-S21&lt;0), "0",S22-S21)</f>
        <v>0</v>
      </c>
      <c r="U22" s="26">
        <v>0</v>
      </c>
      <c r="V22" s="9">
        <f t="shared" si="53"/>
        <v>0</v>
      </c>
      <c r="W22" s="26">
        <v>0</v>
      </c>
      <c r="X22" s="9">
        <f t="shared" si="53"/>
        <v>0</v>
      </c>
      <c r="Y22" s="26">
        <v>0</v>
      </c>
      <c r="Z22" s="9">
        <f t="shared" si="53"/>
        <v>0</v>
      </c>
      <c r="AA22" s="26">
        <v>0</v>
      </c>
      <c r="AB22" s="9">
        <f t="shared" si="53"/>
        <v>0</v>
      </c>
      <c r="AC22" s="26">
        <v>0</v>
      </c>
      <c r="AD22" s="9">
        <f t="shared" si="53"/>
        <v>0</v>
      </c>
      <c r="AE22" s="26">
        <v>0</v>
      </c>
      <c r="AF22" s="9">
        <f t="shared" si="53"/>
        <v>0</v>
      </c>
      <c r="AG22" s="26">
        <v>0</v>
      </c>
      <c r="AH22" s="9">
        <f t="shared" si="53"/>
        <v>0</v>
      </c>
      <c r="AI22" s="26">
        <v>0</v>
      </c>
      <c r="AJ22" s="9">
        <f t="shared" si="53"/>
        <v>0</v>
      </c>
      <c r="AK22" s="26">
        <v>0</v>
      </c>
      <c r="AL22" s="9">
        <f t="shared" si="53"/>
        <v>0</v>
      </c>
      <c r="AM22" s="26">
        <v>0</v>
      </c>
      <c r="AN22" s="9">
        <f t="shared" si="53"/>
        <v>0</v>
      </c>
      <c r="AO22" s="26">
        <v>0</v>
      </c>
      <c r="AP22" s="9">
        <f t="shared" si="53"/>
        <v>0</v>
      </c>
      <c r="AQ22" s="46"/>
      <c r="AR22" s="17">
        <v>0</v>
      </c>
      <c r="AS22" s="9" t="e">
        <f>IF((AR22-AR12&lt;0), "",AR22-AR12)</f>
        <v>#VALUE!</v>
      </c>
      <c r="AT22" s="17">
        <v>0</v>
      </c>
      <c r="AU22" s="9" t="e">
        <f>IF((AT22-AT12&lt;0), "",AT22-AT12)</f>
        <v>#VALUE!</v>
      </c>
      <c r="AV22" s="26">
        <v>0</v>
      </c>
      <c r="AW22" s="9">
        <f>IF((AV22-AV21&lt;0), "",AV22-AV21)</f>
        <v>0</v>
      </c>
      <c r="AX22" s="26">
        <v>0</v>
      </c>
      <c r="AY22" s="9">
        <f t="shared" si="4"/>
        <v>0</v>
      </c>
      <c r="AZ22" s="26">
        <v>0</v>
      </c>
      <c r="BA22" s="9">
        <f t="shared" si="5"/>
        <v>0</v>
      </c>
      <c r="BB22" s="26">
        <v>0</v>
      </c>
      <c r="BC22" s="9">
        <f t="shared" si="13"/>
        <v>0</v>
      </c>
      <c r="BD22" s="26">
        <v>0</v>
      </c>
      <c r="BE22" s="26">
        <v>0</v>
      </c>
      <c r="BH22">
        <f t="shared" si="0"/>
        <v>0</v>
      </c>
    </row>
    <row r="23" spans="1:60" ht="45" customHeight="1">
      <c r="A23" s="8">
        <v>44916</v>
      </c>
      <c r="B23" s="44"/>
      <c r="C23" s="26">
        <v>0</v>
      </c>
      <c r="D23" s="9">
        <f t="shared" si="6"/>
        <v>0</v>
      </c>
      <c r="E23" s="26">
        <v>0</v>
      </c>
      <c r="F23" s="9">
        <f t="shared" si="7"/>
        <v>0</v>
      </c>
      <c r="G23" s="26">
        <v>0</v>
      </c>
      <c r="H23" s="9">
        <f t="shared" si="1"/>
        <v>0</v>
      </c>
      <c r="I23" s="26">
        <v>0</v>
      </c>
      <c r="J23" s="9">
        <f t="shared" si="8"/>
        <v>0</v>
      </c>
      <c r="K23" s="26">
        <v>0</v>
      </c>
      <c r="L23" s="9">
        <f t="shared" si="8"/>
        <v>0</v>
      </c>
      <c r="M23" s="26">
        <v>0</v>
      </c>
      <c r="N23" s="9">
        <f t="shared" ref="N23" si="77">IF((M23-M22&lt;0), "0",M23-M22)</f>
        <v>0</v>
      </c>
      <c r="O23" s="26">
        <v>0</v>
      </c>
      <c r="P23" s="9">
        <f t="shared" ref="P23" si="78">IF((O23-O22&lt;0), "0",O23-O22)</f>
        <v>0</v>
      </c>
      <c r="Q23" s="26">
        <v>0</v>
      </c>
      <c r="R23" s="9">
        <f t="shared" ref="R23" si="79">IF((Q23-Q22&lt;0), "0",Q23-Q22)</f>
        <v>0</v>
      </c>
      <c r="S23" s="26">
        <v>0</v>
      </c>
      <c r="T23" s="9">
        <f t="shared" ref="T23" si="80">IF((S23-S22&lt;0), "0",S23-S22)</f>
        <v>0</v>
      </c>
      <c r="U23" s="26">
        <v>0</v>
      </c>
      <c r="V23" s="9">
        <f t="shared" si="53"/>
        <v>0</v>
      </c>
      <c r="W23" s="26">
        <v>0</v>
      </c>
      <c r="X23" s="9">
        <f t="shared" si="53"/>
        <v>0</v>
      </c>
      <c r="Y23" s="26">
        <v>0</v>
      </c>
      <c r="Z23" s="9">
        <f t="shared" si="53"/>
        <v>0</v>
      </c>
      <c r="AA23" s="26">
        <v>0</v>
      </c>
      <c r="AB23" s="9">
        <f t="shared" si="53"/>
        <v>0</v>
      </c>
      <c r="AC23" s="26">
        <v>0</v>
      </c>
      <c r="AD23" s="9">
        <f t="shared" si="53"/>
        <v>0</v>
      </c>
      <c r="AE23" s="26">
        <v>0</v>
      </c>
      <c r="AF23" s="9">
        <f t="shared" si="53"/>
        <v>0</v>
      </c>
      <c r="AG23" s="26">
        <v>0</v>
      </c>
      <c r="AH23" s="9">
        <f t="shared" si="53"/>
        <v>0</v>
      </c>
      <c r="AI23" s="26">
        <v>0</v>
      </c>
      <c r="AJ23" s="9">
        <f t="shared" si="53"/>
        <v>0</v>
      </c>
      <c r="AK23" s="26">
        <v>0</v>
      </c>
      <c r="AL23" s="9">
        <f t="shared" si="53"/>
        <v>0</v>
      </c>
      <c r="AM23" s="26">
        <v>0</v>
      </c>
      <c r="AN23" s="9">
        <f t="shared" si="53"/>
        <v>0</v>
      </c>
      <c r="AO23" s="26">
        <v>0</v>
      </c>
      <c r="AP23" s="9">
        <f t="shared" si="53"/>
        <v>0</v>
      </c>
      <c r="AQ23" s="46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>
        <f t="shared" si="3"/>
        <v>0</v>
      </c>
      <c r="AX23" s="26">
        <v>0</v>
      </c>
      <c r="AY23" s="9">
        <f t="shared" si="4"/>
        <v>0</v>
      </c>
      <c r="AZ23" s="26">
        <v>0</v>
      </c>
      <c r="BA23" s="9">
        <f t="shared" si="5"/>
        <v>0</v>
      </c>
      <c r="BB23" s="26">
        <v>0</v>
      </c>
      <c r="BC23" s="9">
        <f t="shared" si="13"/>
        <v>0</v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44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46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44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46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44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46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44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46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44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46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44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47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44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47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45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47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2022-12-16T09:43:37Z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