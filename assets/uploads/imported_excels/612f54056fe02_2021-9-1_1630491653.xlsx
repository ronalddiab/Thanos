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8800" windowHeight="124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02" l="1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8" i="102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39" i="109"/>
  <c r="R9" i="109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9" i="116"/>
  <c r="U8" i="109" l="1"/>
  <c r="C30" i="116" l="1"/>
  <c r="C31" i="116"/>
  <c r="C32" i="116"/>
  <c r="C33" i="116"/>
  <c r="C34" i="116"/>
  <c r="C35" i="116"/>
  <c r="C36" i="116"/>
  <c r="C37" i="116"/>
  <c r="C38" i="116"/>
  <c r="C39" i="116"/>
  <c r="I11" i="109" l="1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I10" i="109"/>
  <c r="F8" i="102" l="1"/>
  <c r="G8" i="102"/>
  <c r="I8" i="102"/>
  <c r="J8" i="102" s="1"/>
  <c r="F9" i="102"/>
  <c r="G9" i="102" s="1"/>
  <c r="I9" i="102"/>
  <c r="J9" i="102" s="1"/>
  <c r="F10" i="102"/>
  <c r="G10" i="102" s="1"/>
  <c r="I10" i="102"/>
  <c r="J10" i="102" s="1"/>
  <c r="F11" i="102"/>
  <c r="G11" i="102" s="1"/>
  <c r="I11" i="102"/>
  <c r="J11" i="102"/>
  <c r="F12" i="102"/>
  <c r="G12" i="102"/>
  <c r="I12" i="102"/>
  <c r="J12" i="102" s="1"/>
  <c r="F13" i="102"/>
  <c r="G13" i="102" s="1"/>
  <c r="I13" i="102"/>
  <c r="J13" i="102" s="1"/>
  <c r="F14" i="102"/>
  <c r="G14" i="102" s="1"/>
  <c r="I14" i="102"/>
  <c r="J14" i="102" s="1"/>
  <c r="F15" i="102"/>
  <c r="G15" i="102" s="1"/>
  <c r="I15" i="102"/>
  <c r="J15" i="102" s="1"/>
  <c r="F16" i="102"/>
  <c r="G16" i="102" s="1"/>
  <c r="I16" i="102"/>
  <c r="J16" i="102" s="1"/>
  <c r="F17" i="102"/>
  <c r="G17" i="102" s="1"/>
  <c r="I17" i="102"/>
  <c r="J17" i="102" s="1"/>
  <c r="F18" i="102"/>
  <c r="G18" i="102" s="1"/>
  <c r="I18" i="102"/>
  <c r="J18" i="102"/>
  <c r="F19" i="102"/>
  <c r="G19" i="102" s="1"/>
  <c r="I19" i="102"/>
  <c r="J19" i="102" s="1"/>
  <c r="F20" i="102"/>
  <c r="G20" i="102"/>
  <c r="I20" i="102"/>
  <c r="J20" i="102" s="1"/>
  <c r="F21" i="102"/>
  <c r="G21" i="102" s="1"/>
  <c r="I21" i="102"/>
  <c r="J21" i="102" s="1"/>
  <c r="F22" i="102"/>
  <c r="G22" i="102" s="1"/>
  <c r="I22" i="102"/>
  <c r="J22" i="102" s="1"/>
  <c r="F23" i="102"/>
  <c r="G23" i="102" s="1"/>
  <c r="I23" i="102"/>
  <c r="J23" i="102" s="1"/>
  <c r="F24" i="102"/>
  <c r="G24" i="102" s="1"/>
  <c r="I24" i="102"/>
  <c r="J24" i="102" s="1"/>
  <c r="F25" i="102"/>
  <c r="G25" i="102" s="1"/>
  <c r="I25" i="102"/>
  <c r="J25" i="102" s="1"/>
  <c r="F26" i="102"/>
  <c r="G26" i="102" s="1"/>
  <c r="I26" i="102"/>
  <c r="J26" i="102" s="1"/>
  <c r="F27" i="102"/>
  <c r="G27" i="102"/>
  <c r="I27" i="102"/>
  <c r="J27" i="102" s="1"/>
  <c r="F28" i="102"/>
  <c r="G28" i="102" s="1"/>
  <c r="I28" i="102"/>
  <c r="J28" i="102" s="1"/>
  <c r="F29" i="102"/>
  <c r="G29" i="102" s="1"/>
  <c r="I29" i="102"/>
  <c r="J29" i="102" s="1"/>
  <c r="F30" i="102"/>
  <c r="G30" i="102" s="1"/>
  <c r="I30" i="102"/>
  <c r="J30" i="102" s="1"/>
  <c r="F31" i="102"/>
  <c r="G31" i="102" s="1"/>
  <c r="I31" i="102"/>
  <c r="J31" i="102" s="1"/>
  <c r="F32" i="102"/>
  <c r="G32" i="102"/>
  <c r="I32" i="102"/>
  <c r="J32" i="102" s="1"/>
  <c r="F33" i="102"/>
  <c r="G33" i="102"/>
  <c r="I33" i="102"/>
  <c r="J33" i="102" s="1"/>
  <c r="F34" i="102"/>
  <c r="G34" i="102" s="1"/>
  <c r="I34" i="102"/>
  <c r="J34" i="102" s="1"/>
  <c r="F35" i="102"/>
  <c r="G35" i="102" s="1"/>
  <c r="I35" i="102"/>
  <c r="J35" i="102" s="1"/>
  <c r="F36" i="102"/>
  <c r="G36" i="102" s="1"/>
  <c r="I36" i="102"/>
  <c r="J36" i="102" s="1"/>
  <c r="F37" i="102"/>
  <c r="G37" i="102" s="1"/>
  <c r="I37" i="102"/>
  <c r="J37" i="102" s="1"/>
  <c r="F38" i="102"/>
  <c r="G38" i="102" s="1"/>
  <c r="I38" i="102"/>
  <c r="J38" i="102" s="1"/>
  <c r="K29" i="102" l="1"/>
  <c r="L29" i="102" s="1"/>
  <c r="K36" i="102"/>
  <c r="L36" i="102" s="1"/>
  <c r="K31" i="102"/>
  <c r="L31" i="102" s="1"/>
  <c r="K17" i="102"/>
  <c r="L17" i="102" s="1"/>
  <c r="K24" i="102"/>
  <c r="L24" i="102" s="1"/>
  <c r="K8" i="102"/>
  <c r="L8" i="102" s="1"/>
  <c r="K10" i="102"/>
  <c r="L10" i="102" s="1"/>
  <c r="K16" i="102"/>
  <c r="L16" i="102" s="1"/>
  <c r="K23" i="102"/>
  <c r="L23" i="102" s="1"/>
  <c r="K30" i="102"/>
  <c r="L30" i="102" s="1"/>
  <c r="K11" i="102"/>
  <c r="L11" i="102" s="1"/>
  <c r="K20" i="102"/>
  <c r="L20" i="102" s="1"/>
  <c r="K12" i="102"/>
  <c r="L12" i="102" s="1"/>
  <c r="K34" i="102"/>
  <c r="L34" i="102" s="1"/>
  <c r="K37" i="102"/>
  <c r="L37" i="102" s="1"/>
  <c r="K25" i="102"/>
  <c r="L25" i="102" s="1"/>
  <c r="K22" i="102"/>
  <c r="L22" i="102" s="1"/>
  <c r="K32" i="102"/>
  <c r="L32" i="102" s="1"/>
  <c r="K18" i="102"/>
  <c r="L18" i="102" s="1"/>
  <c r="K13" i="102"/>
  <c r="L13" i="102" s="1"/>
  <c r="K35" i="102"/>
  <c r="L35" i="102" s="1"/>
  <c r="K19" i="102"/>
  <c r="L19" i="102" s="1"/>
  <c r="K38" i="102"/>
  <c r="L38" i="102" s="1"/>
  <c r="K14" i="102"/>
  <c r="L14" i="102" s="1"/>
  <c r="K21" i="102"/>
  <c r="L21" i="102" s="1"/>
  <c r="K27" i="102"/>
  <c r="L27" i="102" s="1"/>
  <c r="K28" i="102"/>
  <c r="L28" i="102" s="1"/>
  <c r="K26" i="102"/>
  <c r="L26" i="102" s="1"/>
  <c r="K33" i="102"/>
  <c r="L33" i="102" s="1"/>
  <c r="K9" i="102"/>
  <c r="L9" i="102" s="1"/>
  <c r="K15" i="102"/>
  <c r="L15" i="102" s="1"/>
  <c r="I40" i="106"/>
  <c r="G40" i="106"/>
  <c r="F40" i="116"/>
  <c r="I39" i="102"/>
  <c r="F39" i="102"/>
  <c r="D39" i="102"/>
  <c r="C39" i="102"/>
  <c r="O40" i="109"/>
  <c r="F40" i="109"/>
  <c r="J40" i="106" l="1"/>
  <c r="M39" i="102"/>
  <c r="L39" i="102"/>
  <c r="E32" i="117"/>
  <c r="F32" i="117" s="1"/>
  <c r="G32" i="117"/>
  <c r="I32" i="117"/>
  <c r="K32" i="117"/>
  <c r="M32" i="117"/>
  <c r="N32" i="117"/>
  <c r="B32" i="117"/>
  <c r="B31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D39" i="116" l="1"/>
  <c r="G39" i="116"/>
  <c r="C39" i="109"/>
  <c r="D39" i="109"/>
  <c r="G39" i="109"/>
  <c r="C39" i="106"/>
  <c r="D39" i="106"/>
  <c r="H39" i="106"/>
  <c r="J39" i="106"/>
  <c r="K39" i="106" l="1"/>
  <c r="J32" i="117"/>
  <c r="H20" i="106"/>
  <c r="L32" i="117" l="1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C40" i="116" l="1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E19" i="117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 l="1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K18" i="106"/>
  <c r="I41" i="106"/>
  <c r="K10" i="106"/>
  <c r="K15" i="106"/>
  <c r="K27" i="106"/>
  <c r="K38" i="106"/>
  <c r="K31" i="106"/>
  <c r="K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7" i="116"/>
  <c r="J33" i="109"/>
  <c r="J11" i="109"/>
  <c r="J27" i="109"/>
  <c r="J28" i="109"/>
  <c r="J13" i="109"/>
  <c r="M8" i="109"/>
  <c r="J26" i="109"/>
  <c r="J14" i="109"/>
  <c r="J12" i="109"/>
  <c r="K22" i="106"/>
  <c r="G32" i="116"/>
  <c r="G36" i="116"/>
  <c r="K34" i="106"/>
  <c r="K26" i="106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K24" i="106"/>
  <c r="G33" i="116"/>
  <c r="G37" i="116"/>
  <c r="P8" i="109"/>
  <c r="P39" i="109" s="1"/>
  <c r="J18" i="109"/>
  <c r="J25" i="109"/>
  <c r="J21" i="109"/>
  <c r="J29" i="109"/>
  <c r="J36" i="109"/>
  <c r="J22" i="109"/>
  <c r="J35" i="109"/>
  <c r="J15" i="109"/>
  <c r="J34" i="109"/>
  <c r="J23" i="109"/>
  <c r="K14" i="106"/>
  <c r="K20" i="106"/>
  <c r="G34" i="116"/>
  <c r="H40" i="116" l="1"/>
  <c r="L40" i="106"/>
  <c r="O40" i="106" s="1"/>
  <c r="M13" i="109"/>
  <c r="M39" i="109"/>
  <c r="Q39" i="109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H32" i="117" l="1"/>
  <c r="Q24" i="109"/>
  <c r="Q13" i="109"/>
  <c r="H6" i="117" s="1"/>
  <c r="F23" i="117"/>
  <c r="F8" i="117"/>
  <c r="F10" i="117"/>
  <c r="F18" i="117"/>
  <c r="F21" i="117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P39" i="102"/>
  <c r="H17" i="117" l="1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 l="1"/>
</calcChain>
</file>

<file path=xl/sharedStrings.xml><?xml version="1.0" encoding="utf-8"?>
<sst xmlns="http://schemas.openxmlformats.org/spreadsheetml/2006/main" count="119" uniqueCount="60">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</sst>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2" sqref="E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8</v>
      </c>
      <c r="D2" s="64">
        <v>2021</v>
      </c>
      <c r="E2" s="66">
        <f>Electricity!F8+Electricity!I8</f>
        <v>5199.9999999998745</v>
      </c>
      <c r="F2" s="67">
        <f>Electricity!L8/TOTAL!E2</f>
        <v>1233.2406730769208</v>
      </c>
      <c r="G2" s="66">
        <f>Gas!F9+Gas!I9+Gas!L9+Gas!O9</f>
        <v>38.840359999999556</v>
      </c>
      <c r="H2" s="67">
        <f>Gas!Q9/TOTAL!G2</f>
        <v>13400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222</v>
      </c>
      <c r="L2" s="67">
        <f>Water!K9/TOTAL!K2</f>
        <v>4000</v>
      </c>
      <c r="M2" s="66">
        <f>Electricity!C8</f>
        <v>1</v>
      </c>
      <c r="N2" s="66">
        <f>Electricity!D8</f>
        <v>7</v>
      </c>
    </row>
    <row r="3" spans="1:14" ht="15" x14ac:dyDescent="0.25">
      <c r="A3" s="63" t="s">
        <v>56</v>
      </c>
      <c r="B3" s="64">
        <f>B2+1</f>
        <v>2</v>
      </c>
      <c r="C3" s="65">
        <v>8</v>
      </c>
      <c r="D3" s="64">
        <v>2021</v>
      </c>
      <c r="E3" s="66">
        <f>Electricity!F9+Electricity!I9</f>
        <v>4959.9999999998654</v>
      </c>
      <c r="F3" s="67">
        <f>Electricity!L9/TOTAL!E3</f>
        <v>1235.5018145161289</v>
      </c>
      <c r="G3" s="66">
        <f>Gas!F10+Gas!I10+Gas!L10+Gas!O10</f>
        <v>38.11532000000205</v>
      </c>
      <c r="H3" s="67">
        <f>Gas!Q10/TOTAL!G3</f>
        <v>13400</v>
      </c>
      <c r="I3" s="66">
        <f>'Fuel Diesel'!F10</f>
        <v>11</v>
      </c>
      <c r="J3" s="68">
        <f>'Fuel Diesel'!G10/'Fuel Diesel'!F10</f>
        <v>10700</v>
      </c>
      <c r="K3" s="66">
        <f>Water!E10+Water!G10+Water!I10</f>
        <v>225</v>
      </c>
      <c r="L3" s="67">
        <f>Water!K10/TOTAL!K3</f>
        <v>4000</v>
      </c>
      <c r="M3" s="66">
        <f>Electricity!C9</f>
        <v>1</v>
      </c>
      <c r="N3" s="66">
        <f>Electricity!D9</f>
        <v>3</v>
      </c>
    </row>
    <row r="4" spans="1:14" ht="15" x14ac:dyDescent="0.25">
      <c r="A4" s="63" t="s">
        <v>56</v>
      </c>
      <c r="B4" s="64">
        <f t="shared" ref="B4:B30" si="0">B3+1</f>
        <v>3</v>
      </c>
      <c r="C4" s="65">
        <v>8</v>
      </c>
      <c r="D4" s="64">
        <v>2021</v>
      </c>
      <c r="E4" s="66">
        <f>Electricity!F10+Electricity!I10</f>
        <v>5140.0000000000437</v>
      </c>
      <c r="F4" s="67">
        <f>Electricity!L10/TOTAL!E4</f>
        <v>1240.9883268482497</v>
      </c>
      <c r="G4" s="66">
        <f>Gas!F11+Gas!I11+Gas!L11+Gas!O11</f>
        <v>34.208160000001023</v>
      </c>
      <c r="H4" s="67">
        <f>Gas!Q11/TOTAL!G4</f>
        <v>13400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234</v>
      </c>
      <c r="L4" s="67">
        <f>Water!K11/TOTAL!K4</f>
        <v>4000</v>
      </c>
      <c r="M4" s="66">
        <f>Electricity!C10</f>
        <v>0</v>
      </c>
      <c r="N4" s="66">
        <f>Electricity!D10</f>
        <v>3</v>
      </c>
    </row>
    <row r="5" spans="1:14" ht="15" x14ac:dyDescent="0.25">
      <c r="A5" s="63" t="s">
        <v>56</v>
      </c>
      <c r="B5" s="64">
        <f t="shared" si="0"/>
        <v>4</v>
      </c>
      <c r="C5" s="65">
        <v>8</v>
      </c>
      <c r="D5" s="64">
        <v>2021</v>
      </c>
      <c r="E5" s="66">
        <f>Electricity!F11+Electricity!I11</f>
        <v>5460.0000000002074</v>
      </c>
      <c r="F5" s="67">
        <f>Electricity!L11/TOTAL!E5</f>
        <v>1235.0139194139172</v>
      </c>
      <c r="G5" s="66">
        <f>Gas!F12+Gas!I12+Gas!L12+Gas!O12</f>
        <v>42.465559999998092</v>
      </c>
      <c r="H5" s="67">
        <f>Gas!Q12/TOTAL!G5</f>
        <v>13399.999999999998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236</v>
      </c>
      <c r="L5" s="67">
        <f>Water!K12/TOTAL!K5</f>
        <v>4000</v>
      </c>
      <c r="M5" s="66">
        <f>Electricity!C11</f>
        <v>2</v>
      </c>
      <c r="N5" s="66">
        <f>Electricity!D11</f>
        <v>10</v>
      </c>
    </row>
    <row r="6" spans="1:14" ht="15" x14ac:dyDescent="0.25">
      <c r="A6" s="63" t="s">
        <v>56</v>
      </c>
      <c r="B6" s="64">
        <f t="shared" si="0"/>
        <v>5</v>
      </c>
      <c r="C6" s="65">
        <v>8</v>
      </c>
      <c r="D6" s="64">
        <v>2021</v>
      </c>
      <c r="E6" s="66">
        <f>Electricity!F12+Electricity!I12</f>
        <v>5579.9999999999272</v>
      </c>
      <c r="F6" s="67">
        <f>Electricity!L12/TOTAL!E6</f>
        <v>1241.1154121863815</v>
      </c>
      <c r="G6" s="66">
        <f>Gas!F13+Gas!I13+Gas!L13+Gas!O13</f>
        <v>38.679239999999702</v>
      </c>
      <c r="H6" s="67">
        <f>Gas!Q13/TOTAL!G6</f>
        <v>13400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257</v>
      </c>
      <c r="L6" s="67">
        <f>Water!K13/TOTAL!K6</f>
        <v>4000</v>
      </c>
      <c r="M6" s="66">
        <f>Electricity!C12</f>
        <v>1</v>
      </c>
      <c r="N6" s="66">
        <f>Electricity!D12</f>
        <v>5</v>
      </c>
    </row>
    <row r="7" spans="1:14" ht="15" x14ac:dyDescent="0.25">
      <c r="A7" s="63" t="s">
        <v>56</v>
      </c>
      <c r="B7" s="64">
        <f t="shared" si="0"/>
        <v>6</v>
      </c>
      <c r="C7" s="65">
        <v>8</v>
      </c>
      <c r="D7" s="64">
        <v>2021</v>
      </c>
      <c r="E7" s="66">
        <f>Electricity!F13+Electricity!I13</f>
        <v>5799.9999999998981</v>
      </c>
      <c r="F7" s="67">
        <f>Electricity!L13/TOTAL!E7</f>
        <v>1233.3162068965514</v>
      </c>
      <c r="G7" s="66">
        <f>Gas!F14+Gas!I14+Gas!L14+Gas!O14</f>
        <v>43.955920000001313</v>
      </c>
      <c r="H7" s="67">
        <f>Gas!Q14/TOTAL!G7</f>
        <v>13400.000000000002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254</v>
      </c>
      <c r="L7" s="67">
        <f>Water!K14/TOTAL!K7</f>
        <v>4000</v>
      </c>
      <c r="M7" s="66">
        <f>Electricity!C13</f>
        <v>1</v>
      </c>
      <c r="N7" s="66">
        <f>Electricity!D13</f>
        <v>5</v>
      </c>
    </row>
    <row r="8" spans="1:14" ht="15" x14ac:dyDescent="0.25">
      <c r="A8" s="63" t="s">
        <v>56</v>
      </c>
      <c r="B8" s="64">
        <f t="shared" si="0"/>
        <v>7</v>
      </c>
      <c r="C8" s="65">
        <v>8</v>
      </c>
      <c r="D8" s="64">
        <v>2021</v>
      </c>
      <c r="E8" s="66">
        <f>Electricity!F14+Electricity!I14</f>
        <v>5580.0000000000982</v>
      </c>
      <c r="F8" s="67">
        <f>Electricity!L14/TOTAL!E8</f>
        <v>1232.9501792114695</v>
      </c>
      <c r="G8" s="66">
        <f>Gas!F15+Gas!I15+Gas!L15+Gas!O15</f>
        <v>48.306160000001022</v>
      </c>
      <c r="H8" s="67">
        <f>Gas!Q15/TOTAL!G8</f>
        <v>13400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250</v>
      </c>
      <c r="L8" s="67">
        <f>Water!K15/TOTAL!K8</f>
        <v>4000</v>
      </c>
      <c r="M8" s="66">
        <f>Electricity!C14</f>
        <v>2</v>
      </c>
      <c r="N8" s="66">
        <f>Electricity!D14</f>
        <v>15</v>
      </c>
    </row>
    <row r="9" spans="1:14" ht="15" x14ac:dyDescent="0.25">
      <c r="A9" s="63" t="s">
        <v>56</v>
      </c>
      <c r="B9" s="64">
        <f t="shared" si="0"/>
        <v>8</v>
      </c>
      <c r="C9" s="65">
        <v>8</v>
      </c>
      <c r="D9" s="64">
        <v>2021</v>
      </c>
      <c r="E9" s="66">
        <f>Electricity!F15+Electricity!I15</f>
        <v>5539.9999999998499</v>
      </c>
      <c r="F9" s="67">
        <f>Electricity!L15/TOTAL!E9</f>
        <v>1233.6281588447639</v>
      </c>
      <c r="G9" s="66">
        <f>Gas!F16+Gas!I16+Gas!L16+Gas!O16</f>
        <v>48.829799999997796</v>
      </c>
      <c r="H9" s="67">
        <f>Gas!Q16/TOTAL!G9</f>
        <v>13400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272</v>
      </c>
      <c r="L9" s="67">
        <f>Water!K16/TOTAL!K9</f>
        <v>4000</v>
      </c>
      <c r="M9" s="66">
        <f>Electricity!C15</f>
        <v>1</v>
      </c>
      <c r="N9" s="66">
        <f>Electricity!D15</f>
        <v>19</v>
      </c>
    </row>
    <row r="10" spans="1:14" ht="15" x14ac:dyDescent="0.25">
      <c r="A10" s="63" t="s">
        <v>56</v>
      </c>
      <c r="B10" s="64">
        <f t="shared" si="0"/>
        <v>9</v>
      </c>
      <c r="C10" s="65">
        <v>8</v>
      </c>
      <c r="D10" s="64">
        <v>2021</v>
      </c>
      <c r="E10" s="66">
        <f>Electricity!F16+Electricity!I16</f>
        <v>5459.99999999998</v>
      </c>
      <c r="F10" s="67">
        <f>Electricity!L16/TOTAL!E10</f>
        <v>1235.0139194139215</v>
      </c>
      <c r="G10" s="66">
        <f>Gas!F17+Gas!I17+Gas!L17+Gas!O17</f>
        <v>39.283440000001903</v>
      </c>
      <c r="H10" s="67">
        <f>Gas!Q17/TOTAL!G10</f>
        <v>13400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258</v>
      </c>
      <c r="L10" s="67">
        <f>Water!K17/TOTAL!K10</f>
        <v>4000</v>
      </c>
      <c r="M10" s="66">
        <f>Electricity!C16</f>
        <v>1</v>
      </c>
      <c r="N10" s="66">
        <f>Electricity!D16</f>
        <v>11</v>
      </c>
    </row>
    <row r="11" spans="1:14" ht="15" x14ac:dyDescent="0.25">
      <c r="A11" s="63" t="s">
        <v>56</v>
      </c>
      <c r="B11" s="64">
        <f t="shared" si="0"/>
        <v>10</v>
      </c>
      <c r="C11" s="65">
        <v>8</v>
      </c>
      <c r="D11" s="64">
        <v>2021</v>
      </c>
      <c r="E11" s="66">
        <f>Electricity!F17+Electricity!I17</f>
        <v>5500.000000000171</v>
      </c>
      <c r="F11" s="67">
        <f>Electricity!L17/TOTAL!E11</f>
        <v>1232.2450000000006</v>
      </c>
      <c r="G11" s="66">
        <f>Gas!F18+Gas!I18+Gas!L18+Gas!O18</f>
        <v>48.588119999999847</v>
      </c>
      <c r="H11" s="67">
        <f>Gas!Q18/TOTAL!G11</f>
        <v>13400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267</v>
      </c>
      <c r="L11" s="67">
        <f>Water!K18/TOTAL!K11</f>
        <v>4000</v>
      </c>
      <c r="M11" s="66">
        <f>Electricity!C17</f>
        <v>1</v>
      </c>
      <c r="N11" s="66">
        <f>Electricity!D17</f>
        <v>7</v>
      </c>
    </row>
    <row r="12" spans="1:14" ht="15" x14ac:dyDescent="0.25">
      <c r="A12" s="63" t="s">
        <v>56</v>
      </c>
      <c r="B12" s="64">
        <f t="shared" si="0"/>
        <v>11</v>
      </c>
      <c r="C12" s="65">
        <v>8</v>
      </c>
      <c r="D12" s="64">
        <v>2021</v>
      </c>
      <c r="E12" s="66">
        <f>Electricity!F18+Electricity!I18</f>
        <v>5499.999999999829</v>
      </c>
      <c r="F12" s="67">
        <f>Electricity!L18/TOTAL!E12</f>
        <v>1228.1029999999985</v>
      </c>
      <c r="G12" s="66">
        <f>Gas!F19+Gas!I19+Gas!L19+Gas!O19</f>
        <v>41.780799999997797</v>
      </c>
      <c r="H12" s="67">
        <f>Gas!Q19/TOTAL!G12</f>
        <v>13399.999999999998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240</v>
      </c>
      <c r="L12" s="67">
        <f>Water!K19/TOTAL!K12</f>
        <v>4000</v>
      </c>
      <c r="M12" s="66">
        <f>Electricity!C18</f>
        <v>0</v>
      </c>
      <c r="N12" s="66">
        <f>Electricity!D18</f>
        <v>12</v>
      </c>
    </row>
    <row r="13" spans="1:14" ht="15" x14ac:dyDescent="0.25">
      <c r="A13" s="63" t="s">
        <v>56</v>
      </c>
      <c r="B13" s="64">
        <f t="shared" si="0"/>
        <v>12</v>
      </c>
      <c r="C13" s="65">
        <v>8</v>
      </c>
      <c r="D13" s="64">
        <v>2021</v>
      </c>
      <c r="E13" s="66">
        <f>Electricity!F19+Electricity!I19</f>
        <v>5080.0000000000409</v>
      </c>
      <c r="F13" s="67">
        <f>Electricity!L19/TOTAL!E13</f>
        <v>1235.4656496063001</v>
      </c>
      <c r="G13" s="66">
        <f>Gas!F20+Gas!I20+Gas!L20+Gas!O20</f>
        <v>41.780800000001463</v>
      </c>
      <c r="H13" s="67">
        <f>Gas!Q20/TOTAL!G13</f>
        <v>13399.999999999998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226</v>
      </c>
      <c r="L13" s="67">
        <f>Water!K20/TOTAL!K13</f>
        <v>4000</v>
      </c>
      <c r="M13" s="66">
        <f>Electricity!C19</f>
        <v>2</v>
      </c>
      <c r="N13" s="66">
        <f>Electricity!D19</f>
        <v>5</v>
      </c>
    </row>
    <row r="14" spans="1:14" ht="15" x14ac:dyDescent="0.25">
      <c r="A14" s="63" t="s">
        <v>56</v>
      </c>
      <c r="B14" s="64">
        <f t="shared" si="0"/>
        <v>13</v>
      </c>
      <c r="C14" s="65">
        <v>8</v>
      </c>
      <c r="D14" s="64">
        <v>2021</v>
      </c>
      <c r="E14" s="66">
        <f>Electricity!F20+Electricity!I20</f>
        <v>5660.0000000000819</v>
      </c>
      <c r="F14" s="67">
        <f>Electricity!L20/TOTAL!E14</f>
        <v>1241.6852473498202</v>
      </c>
      <c r="G14" s="66">
        <f>Gas!F21+Gas!I21+Gas!L21+Gas!O21</f>
        <v>45.687959999998824</v>
      </c>
      <c r="H14" s="67">
        <f>Gas!Q21/TOTAL!G14</f>
        <v>13400</v>
      </c>
      <c r="I14" s="66">
        <f>'Fuel Diesel'!F21</f>
        <v>51</v>
      </c>
      <c r="J14" s="68">
        <f>'Fuel Diesel'!G21/'Fuel Diesel'!F21</f>
        <v>10700</v>
      </c>
      <c r="K14" s="66">
        <f>Water!E21+Water!G21+Water!I21</f>
        <v>239</v>
      </c>
      <c r="L14" s="67">
        <f>Water!K21/TOTAL!K14</f>
        <v>4000</v>
      </c>
      <c r="M14" s="66">
        <f>Electricity!C20</f>
        <v>2</v>
      </c>
      <c r="N14" s="66">
        <f>Electricity!D20</f>
        <v>6</v>
      </c>
    </row>
    <row r="15" spans="1:14" ht="15" x14ac:dyDescent="0.25">
      <c r="A15" s="63" t="s">
        <v>56</v>
      </c>
      <c r="B15" s="64">
        <f t="shared" si="0"/>
        <v>14</v>
      </c>
      <c r="C15" s="65">
        <v>8</v>
      </c>
      <c r="D15" s="64">
        <v>2021</v>
      </c>
      <c r="E15" s="66">
        <f>Electricity!F21+Electricity!I21</f>
        <v>5920.0000000000728</v>
      </c>
      <c r="F15" s="67">
        <f>Electricity!L21/TOTAL!E15</f>
        <v>1231.4054054054079</v>
      </c>
      <c r="G15" s="66">
        <f>Gas!F22+Gas!I22+Gas!L22+Gas!O22</f>
        <v>49.353440000001903</v>
      </c>
      <c r="H15" s="67">
        <f>Gas!Q22/TOTAL!G15</f>
        <v>13400</v>
      </c>
      <c r="I15" s="66">
        <f>'Fuel Diesel'!F22</f>
        <v>8</v>
      </c>
      <c r="J15" s="68">
        <f>'Fuel Diesel'!G22/'Fuel Diesel'!F22</f>
        <v>10700</v>
      </c>
      <c r="K15" s="66">
        <f>Water!E22+Water!G22+Water!I22</f>
        <v>266</v>
      </c>
      <c r="L15" s="67">
        <f>Water!K22/TOTAL!K15</f>
        <v>4000</v>
      </c>
      <c r="M15" s="66">
        <f>Electricity!C21</f>
        <v>5</v>
      </c>
      <c r="N15" s="66">
        <f>Electricity!D21</f>
        <v>19</v>
      </c>
    </row>
    <row r="16" spans="1:14" ht="15" x14ac:dyDescent="0.25">
      <c r="A16" s="63" t="s">
        <v>56</v>
      </c>
      <c r="B16" s="64">
        <f t="shared" si="0"/>
        <v>15</v>
      </c>
      <c r="C16" s="65">
        <v>8</v>
      </c>
      <c r="D16" s="64">
        <v>2021</v>
      </c>
      <c r="E16" s="66">
        <f>Electricity!F22+Electricity!I22</f>
        <v>5700.0000000000455</v>
      </c>
      <c r="F16" s="67">
        <f>Electricity!L22/TOTAL!E16</f>
        <v>1234.970000000003</v>
      </c>
      <c r="G16" s="66">
        <f>Gas!F23+Gas!I23+Gas!L23+Gas!O23</f>
        <v>52.65640000000073</v>
      </c>
      <c r="H16" s="67">
        <f>Gas!Q23/TOTAL!G16</f>
        <v>13400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249</v>
      </c>
      <c r="L16" s="67">
        <f>Water!K23/TOTAL!K16</f>
        <v>4000</v>
      </c>
      <c r="M16" s="66">
        <f>Electricity!C22</f>
        <v>3</v>
      </c>
      <c r="N16" s="66">
        <f>Electricity!D22</f>
        <v>22</v>
      </c>
    </row>
    <row r="17" spans="1:14" ht="15" x14ac:dyDescent="0.25">
      <c r="A17" s="63" t="s">
        <v>56</v>
      </c>
      <c r="B17" s="64">
        <f t="shared" si="0"/>
        <v>16</v>
      </c>
      <c r="C17" s="65">
        <v>8</v>
      </c>
      <c r="D17" s="64">
        <v>2021</v>
      </c>
      <c r="E17" s="66">
        <f>Electricity!F23+Electricity!I23</f>
        <v>5899.9999999998072</v>
      </c>
      <c r="F17" s="67">
        <f>Electricity!L23/TOTAL!E17</f>
        <v>1231.7184745762722</v>
      </c>
      <c r="G17" s="66">
        <f>Gas!F24+Gas!I24+Gas!L24+Gas!O24</f>
        <v>41.055759999996624</v>
      </c>
      <c r="H17" s="67">
        <f>Gas!Q24/TOTAL!G17</f>
        <v>13399.999999999998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292</v>
      </c>
      <c r="L17" s="67">
        <f>Water!K24/TOTAL!K17</f>
        <v>4000</v>
      </c>
      <c r="M17" s="66">
        <f>Electricity!C23</f>
        <v>0</v>
      </c>
      <c r="N17" s="66">
        <f>Electricity!D23</f>
        <v>9</v>
      </c>
    </row>
    <row r="18" spans="1:14" ht="15" x14ac:dyDescent="0.25">
      <c r="A18" s="63" t="s">
        <v>56</v>
      </c>
      <c r="B18" s="64">
        <f t="shared" si="0"/>
        <v>17</v>
      </c>
      <c r="C18" s="65">
        <v>8</v>
      </c>
      <c r="D18" s="64">
        <v>2021</v>
      </c>
      <c r="E18" s="66">
        <f>Electricity!F24+Electricity!I24</f>
        <v>5720.0000000001983</v>
      </c>
      <c r="F18" s="67">
        <f>Electricity!L24/TOTAL!E18</f>
        <v>1232.6432692307656</v>
      </c>
      <c r="G18" s="66">
        <f>Gas!F25+Gas!I25+Gas!L25+Gas!O25</f>
        <v>43.673960000002488</v>
      </c>
      <c r="H18" s="67">
        <f>Gas!Q25/TOTAL!G18</f>
        <v>13400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264</v>
      </c>
      <c r="L18" s="67">
        <f>Water!K25/TOTAL!K18</f>
        <v>4000</v>
      </c>
      <c r="M18" s="66">
        <f>Electricity!C24</f>
        <v>0</v>
      </c>
      <c r="N18" s="66">
        <f>Electricity!D24</f>
        <v>12</v>
      </c>
    </row>
    <row r="19" spans="1:14" ht="15" x14ac:dyDescent="0.25">
      <c r="A19" s="63" t="s">
        <v>56</v>
      </c>
      <c r="B19" s="64">
        <f t="shared" si="0"/>
        <v>18</v>
      </c>
      <c r="C19" s="65">
        <v>8</v>
      </c>
      <c r="D19" s="64">
        <v>2021</v>
      </c>
      <c r="E19" s="66">
        <f>Electricity!F25+Electricity!I25</f>
        <v>5579.9999999998709</v>
      </c>
      <c r="F19" s="67">
        <f>Electricity!L25/TOTAL!E19</f>
        <v>1230.9088709677476</v>
      </c>
      <c r="G19" s="66">
        <f>Gas!F26+Gas!I26+Gas!L26+Gas!O26</f>
        <v>27.118880000000146</v>
      </c>
      <c r="H19" s="67">
        <f>Gas!Q26/TOTAL!G19</f>
        <v>13400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269</v>
      </c>
      <c r="L19" s="67">
        <f>Water!K26/TOTAL!K19</f>
        <v>4000</v>
      </c>
      <c r="M19" s="66">
        <f>Electricity!C25</f>
        <v>0</v>
      </c>
      <c r="N19" s="66">
        <f>Electricity!D25</f>
        <v>7</v>
      </c>
    </row>
    <row r="20" spans="1:14" ht="15" x14ac:dyDescent="0.25">
      <c r="A20" s="63" t="s">
        <v>56</v>
      </c>
      <c r="B20" s="64">
        <f t="shared" si="0"/>
        <v>19</v>
      </c>
      <c r="C20" s="65">
        <v>8</v>
      </c>
      <c r="D20" s="64">
        <v>2021</v>
      </c>
      <c r="E20" s="66">
        <f>Electricity!F26+Electricity!I26</f>
        <v>5379.9999999999382</v>
      </c>
      <c r="F20" s="67">
        <f>Electricity!L26/TOTAL!E20</f>
        <v>1227.9721189591064</v>
      </c>
      <c r="G20" s="66">
        <f>Gas!F27+Gas!I27+Gas!L27+Gas!O27</f>
        <v>20.230999999999998</v>
      </c>
      <c r="H20" s="67">
        <f>Gas!Q27/TOTAL!G20</f>
        <v>13400.000000000002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229</v>
      </c>
      <c r="L20" s="67">
        <f>Water!K27/TOTAL!K20</f>
        <v>4000</v>
      </c>
      <c r="M20" s="66">
        <f>Electricity!C26</f>
        <v>0</v>
      </c>
      <c r="N20" s="66">
        <f>Electricity!D26</f>
        <v>3</v>
      </c>
    </row>
    <row r="21" spans="1:14" ht="15" x14ac:dyDescent="0.25">
      <c r="A21" s="63" t="s">
        <v>56</v>
      </c>
      <c r="B21" s="64">
        <f t="shared" si="0"/>
        <v>20</v>
      </c>
      <c r="C21" s="65">
        <v>8</v>
      </c>
      <c r="D21" s="64">
        <v>2021</v>
      </c>
      <c r="E21" s="66">
        <f>Electricity!F27+Electricity!I27</f>
        <v>5540.000000000191</v>
      </c>
      <c r="F21" s="67">
        <f>Electricity!L27/TOTAL!E21</f>
        <v>1239.7962996389876</v>
      </c>
      <c r="G21" s="66">
        <f>Gas!F28+Gas!I28+Gas!L28+Gas!O28</f>
        <v>33.644239999999705</v>
      </c>
      <c r="H21" s="67">
        <f>Gas!Q28/TOTAL!G21</f>
        <v>13400</v>
      </c>
      <c r="I21" s="66">
        <f>'Fuel Diesel'!F28</f>
        <v>12</v>
      </c>
      <c r="J21" s="68">
        <f>'Fuel Diesel'!G28/'Fuel Diesel'!F28</f>
        <v>10700</v>
      </c>
      <c r="K21" s="66">
        <f>Water!E28+Water!G28+Water!I28</f>
        <v>247</v>
      </c>
      <c r="L21" s="67">
        <f>Water!K28/TOTAL!K21</f>
        <v>4000</v>
      </c>
      <c r="M21" s="66">
        <f>Electricity!C27</f>
        <v>3</v>
      </c>
      <c r="N21" s="66">
        <f>Electricity!D27</f>
        <v>42</v>
      </c>
    </row>
    <row r="22" spans="1:14" ht="15" x14ac:dyDescent="0.25">
      <c r="A22" s="63" t="s">
        <v>56</v>
      </c>
      <c r="B22" s="64">
        <f t="shared" si="0"/>
        <v>21</v>
      </c>
      <c r="C22" s="65">
        <v>8</v>
      </c>
      <c r="D22" s="64">
        <v>2021</v>
      </c>
      <c r="E22" s="66">
        <f>Electricity!F28+Electricity!I28</f>
        <v>5660.0000000000255</v>
      </c>
      <c r="F22" s="67">
        <f>Electricity!L28/TOTAL!E22</f>
        <v>1233.6354240282678</v>
      </c>
      <c r="G22" s="66">
        <f>Gas!F29+Gas!I29+Gas!L29+Gas!O29</f>
        <v>47.863079999998675</v>
      </c>
      <c r="H22" s="67">
        <f>Gas!Q29/TOTAL!G22</f>
        <v>13399.999999999998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234</v>
      </c>
      <c r="L22" s="67">
        <f>Water!K29/TOTAL!K22</f>
        <v>4000</v>
      </c>
      <c r="M22" s="66">
        <f>Electricity!C28</f>
        <v>3</v>
      </c>
      <c r="N22" s="66">
        <f>Electricity!D28</f>
        <v>13</v>
      </c>
    </row>
    <row r="23" spans="1:14" ht="15" x14ac:dyDescent="0.25">
      <c r="A23" s="63" t="s">
        <v>56</v>
      </c>
      <c r="B23" s="64">
        <f t="shared" si="0"/>
        <v>22</v>
      </c>
      <c r="C23" s="65">
        <v>8</v>
      </c>
      <c r="D23" s="64">
        <v>2021</v>
      </c>
      <c r="E23" s="66">
        <f>Electricity!F29+Electricity!I29</f>
        <v>5660.0000000000255</v>
      </c>
      <c r="F23" s="67">
        <f>Electricity!L29/TOTAL!E23</f>
        <v>1235.6478798586547</v>
      </c>
      <c r="G23" s="66">
        <f>Gas!F30+Gas!I30+Gas!L30+Gas!O30</f>
        <v>48.54783999999897</v>
      </c>
      <c r="H23" s="67">
        <f>Gas!Q30/TOTAL!G23</f>
        <v>13400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256</v>
      </c>
      <c r="L23" s="67">
        <f>Water!K30/TOTAL!K23</f>
        <v>4000</v>
      </c>
      <c r="M23" s="66">
        <f>Electricity!C29</f>
        <v>1</v>
      </c>
      <c r="N23" s="66">
        <f>Electricity!D29</f>
        <v>9</v>
      </c>
    </row>
    <row r="24" spans="1:14" ht="15" x14ac:dyDescent="0.25">
      <c r="A24" s="63" t="s">
        <v>56</v>
      </c>
      <c r="B24" s="64">
        <f t="shared" si="0"/>
        <v>23</v>
      </c>
      <c r="C24" s="65">
        <v>8</v>
      </c>
      <c r="D24" s="64">
        <v>2021</v>
      </c>
      <c r="E24" s="66">
        <f>Electricity!F30+Electricity!I30</f>
        <v>5859.9999999996162</v>
      </c>
      <c r="F24" s="67">
        <f>Electricity!L30/TOTAL!E24</f>
        <v>1232.3510238907893</v>
      </c>
      <c r="G24" s="66">
        <f>Gas!F31+Gas!I31+Gas!L31+Gas!O31</f>
        <v>45.003200000002195</v>
      </c>
      <c r="H24" s="67">
        <f>Gas!Q31/TOTAL!G24</f>
        <v>13400.000000000002</v>
      </c>
      <c r="I24" s="66">
        <f>'Fuel Diesel'!F31</f>
        <v>21</v>
      </c>
      <c r="J24" s="68">
        <f>'Fuel Diesel'!G31/'Fuel Diesel'!F31</f>
        <v>10700</v>
      </c>
      <c r="K24" s="66">
        <f>Water!E31+Water!G31+Water!I31</f>
        <v>234</v>
      </c>
      <c r="L24" s="67">
        <f>Water!K31/TOTAL!K24</f>
        <v>4000</v>
      </c>
      <c r="M24" s="66">
        <f>Electricity!C30</f>
        <v>4</v>
      </c>
      <c r="N24" s="66">
        <f>Electricity!D30</f>
        <v>8</v>
      </c>
    </row>
    <row r="25" spans="1:14" ht="15" x14ac:dyDescent="0.25">
      <c r="A25" s="63" t="s">
        <v>56</v>
      </c>
      <c r="B25" s="64">
        <f t="shared" si="0"/>
        <v>24</v>
      </c>
      <c r="C25" s="65">
        <v>8</v>
      </c>
      <c r="D25" s="64">
        <v>2021</v>
      </c>
      <c r="E25" s="66">
        <f>Electricity!F31+Electricity!I31</f>
        <v>5360.0000000000709</v>
      </c>
      <c r="F25" s="67">
        <f>Electricity!L31/TOTAL!E25</f>
        <v>1236.8042910447766</v>
      </c>
      <c r="G25" s="66">
        <f>Gas!F32+Gas!I32+Gas!L32+Gas!O32</f>
        <v>39.968199999998532</v>
      </c>
      <c r="H25" s="67">
        <f>Gas!Q32/TOTAL!G25</f>
        <v>13400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256</v>
      </c>
      <c r="L25" s="67">
        <f>Water!K32/TOTAL!K25</f>
        <v>4000</v>
      </c>
      <c r="M25" s="66">
        <f>Electricity!C31</f>
        <v>3</v>
      </c>
      <c r="N25" s="66">
        <f>Electricity!D31</f>
        <v>11</v>
      </c>
    </row>
    <row r="26" spans="1:14" ht="15" x14ac:dyDescent="0.25">
      <c r="A26" s="63" t="s">
        <v>56</v>
      </c>
      <c r="B26" s="64">
        <f>B25+1</f>
        <v>25</v>
      </c>
      <c r="C26" s="65">
        <v>8</v>
      </c>
      <c r="D26" s="64">
        <v>2021</v>
      </c>
      <c r="E26" s="66">
        <f>Electricity!F32+Electricity!I32</f>
        <v>5860.0000000001273</v>
      </c>
      <c r="F26" s="67">
        <f>Electricity!L32/TOTAL!E26</f>
        <v>1232.3510238907866</v>
      </c>
      <c r="G26" s="66">
        <f>Gas!F33+Gas!I33+Gas!L33+Gas!O33</f>
        <v>45.647680000001607</v>
      </c>
      <c r="H26" s="67">
        <f>Gas!Q33/TOTAL!G26</f>
        <v>13400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316</v>
      </c>
      <c r="L26" s="67">
        <f>Water!K33/TOTAL!K26</f>
        <v>4000</v>
      </c>
      <c r="M26" s="66">
        <f>Electricity!C32</f>
        <v>1</v>
      </c>
      <c r="N26" s="66">
        <f>Electricity!D32</f>
        <v>11</v>
      </c>
    </row>
    <row r="27" spans="1:14" ht="15" x14ac:dyDescent="0.25">
      <c r="A27" s="63" t="s">
        <v>56</v>
      </c>
      <c r="B27" s="64">
        <f t="shared" si="0"/>
        <v>26</v>
      </c>
      <c r="C27" s="65">
        <v>8</v>
      </c>
      <c r="D27" s="64">
        <v>2021</v>
      </c>
      <c r="E27" s="66">
        <f>Electricity!F33+Electricity!I33</f>
        <v>5439.9999999999982</v>
      </c>
      <c r="F27" s="67">
        <f>Electricity!L33/TOTAL!E27</f>
        <v>1237.4605698529408</v>
      </c>
      <c r="G27" s="66">
        <f>Gas!F34+Gas!I34+Gas!L34+Gas!O34</f>
        <v>57.449719999999118</v>
      </c>
      <c r="H27" s="67">
        <f>Gas!Q34/TOTAL!G27</f>
        <v>13400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271</v>
      </c>
      <c r="L27" s="67">
        <f>Water!K34/TOTAL!K27</f>
        <v>4000</v>
      </c>
      <c r="M27" s="66">
        <f>Electricity!C33</f>
        <v>4</v>
      </c>
      <c r="N27" s="66">
        <f>Electricity!D33</f>
        <v>11</v>
      </c>
    </row>
    <row r="28" spans="1:14" ht="15" x14ac:dyDescent="0.25">
      <c r="A28" s="63" t="s">
        <v>56</v>
      </c>
      <c r="B28" s="64">
        <f t="shared" si="0"/>
        <v>27</v>
      </c>
      <c r="C28" s="65">
        <v>8</v>
      </c>
      <c r="D28" s="64">
        <v>2021</v>
      </c>
      <c r="E28" s="66">
        <f>Electricity!F34+Electricity!I34</f>
        <v>5620.0000000002892</v>
      </c>
      <c r="F28" s="67">
        <f>Electricity!L34/TOTAL!E28</f>
        <v>1234.3086298932335</v>
      </c>
      <c r="G28" s="66">
        <f>Gas!F35+Gas!I35+Gas!L35+Gas!O35</f>
        <v>54.468999999999994</v>
      </c>
      <c r="H28" s="67">
        <f>Gas!Q35/TOTAL!G28</f>
        <v>13399.999999999998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266</v>
      </c>
      <c r="L28" s="67">
        <f>Water!K35/TOTAL!K28</f>
        <v>4000</v>
      </c>
      <c r="M28" s="66">
        <f>Electricity!C34</f>
        <v>4</v>
      </c>
      <c r="N28" s="66">
        <f>Electricity!D34</f>
        <v>23</v>
      </c>
    </row>
    <row r="29" spans="1:14" ht="15" x14ac:dyDescent="0.25">
      <c r="A29" s="63" t="s">
        <v>56</v>
      </c>
      <c r="B29" s="64">
        <f t="shared" si="0"/>
        <v>28</v>
      </c>
      <c r="C29" s="65">
        <v>8</v>
      </c>
      <c r="D29" s="64">
        <v>2021</v>
      </c>
      <c r="E29" s="66">
        <f>Electricity!F35+Electricity!I35</f>
        <v>5439.9999999999409</v>
      </c>
      <c r="F29" s="67">
        <f>Electricity!L35/TOTAL!E29</f>
        <v>1233.2728860294105</v>
      </c>
      <c r="G29" s="66">
        <f>Gas!F36+Gas!I36+Gas!L36+Gas!O36</f>
        <v>50.964640000000436</v>
      </c>
      <c r="H29" s="67">
        <f>Gas!Q36/TOTAL!G29</f>
        <v>13399.999999999998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249</v>
      </c>
      <c r="L29" s="67">
        <f>Water!K36/TOTAL!K29</f>
        <v>4000</v>
      </c>
      <c r="M29" s="66">
        <f>Electricity!C35</f>
        <v>3</v>
      </c>
      <c r="N29" s="66">
        <f>Electricity!D35</f>
        <v>4</v>
      </c>
    </row>
    <row r="30" spans="1:14" ht="15" x14ac:dyDescent="0.25">
      <c r="A30" s="63" t="s">
        <v>56</v>
      </c>
      <c r="B30" s="64">
        <f t="shared" si="0"/>
        <v>29</v>
      </c>
      <c r="C30" s="65">
        <v>8</v>
      </c>
      <c r="D30" s="64">
        <v>2021</v>
      </c>
      <c r="E30" s="66">
        <f>Electricity!F36+Electricity!I36</f>
        <v>5360.0000000000136</v>
      </c>
      <c r="F30" s="67">
        <f>Electricity!L36/TOTAL!E30</f>
        <v>1232.5541044776112</v>
      </c>
      <c r="G30" s="66">
        <f>Gas!F37+Gas!I37+Gas!L37+Gas!O37</f>
        <v>40.572400000000727</v>
      </c>
      <c r="H30" s="67">
        <f>Gas!Q37/TOTAL!G30</f>
        <v>13399.999999999998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262</v>
      </c>
      <c r="L30" s="67">
        <f>Water!K37/TOTAL!K30</f>
        <v>4000</v>
      </c>
      <c r="M30" s="66">
        <f>Electricity!C36</f>
        <v>0</v>
      </c>
      <c r="N30" s="66">
        <f>Electricity!D36</f>
        <v>14</v>
      </c>
    </row>
    <row r="31" spans="1:14" ht="15" x14ac:dyDescent="0.25">
      <c r="A31" s="63" t="s">
        <v>56</v>
      </c>
      <c r="B31" s="64">
        <f>B30+1</f>
        <v>30</v>
      </c>
      <c r="C31" s="65">
        <v>8</v>
      </c>
      <c r="D31" s="64">
        <v>2021</v>
      </c>
      <c r="E31" s="66">
        <f>Electricity!F37+Electricity!I37</f>
        <v>5340.0000000000318</v>
      </c>
      <c r="F31" s="67">
        <f>Electricity!L37/TOTAL!E31</f>
        <v>1228.6382022471939</v>
      </c>
      <c r="G31" s="66">
        <f>Gas!F38+Gas!I38+Gas!L38+Gas!O38</f>
        <v>30.744079999998679</v>
      </c>
      <c r="H31" s="67">
        <f>Gas!Q38/TOTAL!G31</f>
        <v>13400</v>
      </c>
      <c r="I31" s="66">
        <f>'Fuel Diesel'!F38</f>
        <v>14</v>
      </c>
      <c r="J31" s="68">
        <f>'Fuel Diesel'!G38/'Fuel Diesel'!F38</f>
        <v>10700</v>
      </c>
      <c r="K31" s="66">
        <f>Water!E38+Water!G38+Water!I38</f>
        <v>232</v>
      </c>
      <c r="L31" s="67">
        <f>Water!K38/TOTAL!K31</f>
        <v>4000</v>
      </c>
      <c r="M31" s="66">
        <f>Electricity!C37</f>
        <v>0</v>
      </c>
      <c r="N31" s="66">
        <f>Electricity!D37</f>
        <v>8</v>
      </c>
    </row>
    <row r="32" spans="1:14" ht="15" x14ac:dyDescent="0.25">
      <c r="A32" s="63" t="s">
        <v>56</v>
      </c>
      <c r="B32" s="64">
        <f>B31+1</f>
        <v>31</v>
      </c>
      <c r="C32" s="65">
        <v>8</v>
      </c>
      <c r="D32" s="64">
        <v>2021</v>
      </c>
      <c r="E32" s="66">
        <f>Electricity!F38+Electricity!I38</f>
        <v>5459.99999999998</v>
      </c>
      <c r="F32" s="67">
        <f>Electricity!L38/TOTAL!E32</f>
        <v>1239.1862637362619</v>
      </c>
      <c r="G32" s="66">
        <f>Gas!F39+Gas!I39+Gas!L39+Gas!O39</f>
        <v>21.519959999998825</v>
      </c>
      <c r="H32" s="67">
        <f>Gas!Q39/TOTAL!G32</f>
        <v>13400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292</v>
      </c>
      <c r="L32" s="67">
        <f>Water!K39/TOTAL!K32</f>
        <v>4000</v>
      </c>
      <c r="M32" s="66">
        <f>Electricity!C38</f>
        <v>0</v>
      </c>
      <c r="N32" s="66">
        <f>Electricity!D38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P34" sqref="P34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44409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1</v>
      </c>
      <c r="D8" s="37">
        <v>7</v>
      </c>
      <c r="E8" s="11">
        <v>2.1699999999999591</v>
      </c>
      <c r="F8" s="12">
        <f t="shared" ref="F8:F37" si="0">E8*2000</f>
        <v>4339.9999999999181</v>
      </c>
      <c r="G8" s="4">
        <f t="shared" ref="G8:G37" si="1">F8*1035.5</f>
        <v>4494069.9999999152</v>
      </c>
      <c r="H8" s="11">
        <v>0.4299999999999784</v>
      </c>
      <c r="I8" s="12">
        <f t="shared" ref="I8:I15" si="2">H8*2000</f>
        <v>859.9999999999568</v>
      </c>
      <c r="J8" s="4">
        <f t="shared" ref="J8:J15" si="3">I8*1553.25</f>
        <v>1335794.9999999329</v>
      </c>
      <c r="K8" s="11">
        <f t="shared" ref="K8:K15" si="4">G8+J8</f>
        <v>5829864.9999998482</v>
      </c>
      <c r="L8" s="13">
        <f t="shared" ref="L8:L15" si="5">K8*1.1</f>
        <v>6412851.4999998333</v>
      </c>
      <c r="M8" s="85">
        <f>L8/14306</f>
        <v>448.26307143854558</v>
      </c>
      <c r="N8" s="84"/>
    </row>
    <row r="9" spans="1:14" ht="17.100000000000001" customHeight="1" x14ac:dyDescent="0.25">
      <c r="A9" s="80"/>
      <c r="B9" s="77">
        <v>2</v>
      </c>
      <c r="C9" s="37">
        <v>1</v>
      </c>
      <c r="D9" s="37">
        <v>3</v>
      </c>
      <c r="E9" s="11">
        <v>2.0599999999999454</v>
      </c>
      <c r="F9" s="12">
        <f t="shared" si="0"/>
        <v>4119.9999999998909</v>
      </c>
      <c r="G9" s="4">
        <f t="shared" si="1"/>
        <v>4266259.9999998873</v>
      </c>
      <c r="H9" s="11">
        <v>0.41999999999998749</v>
      </c>
      <c r="I9" s="12">
        <f t="shared" si="2"/>
        <v>839.99999999997499</v>
      </c>
      <c r="J9" s="4">
        <f t="shared" si="3"/>
        <v>1304729.9999999611</v>
      </c>
      <c r="K9" s="11">
        <f t="shared" si="4"/>
        <v>5570989.9999998482</v>
      </c>
      <c r="L9" s="13">
        <f t="shared" si="5"/>
        <v>6128088.9999998333</v>
      </c>
      <c r="M9" s="85">
        <f t="shared" ref="M9:M38" si="6">L9/14306</f>
        <v>428.35796169438231</v>
      </c>
      <c r="N9" s="84"/>
    </row>
    <row r="10" spans="1:14" ht="17.100000000000001" customHeight="1" x14ac:dyDescent="0.25">
      <c r="A10" s="80"/>
      <c r="B10" s="77">
        <v>3</v>
      </c>
      <c r="C10" s="37">
        <v>0</v>
      </c>
      <c r="D10" s="37">
        <v>3</v>
      </c>
      <c r="E10" s="11">
        <v>2.1100000000000136</v>
      </c>
      <c r="F10" s="12">
        <f t="shared" si="0"/>
        <v>4220.0000000000273</v>
      </c>
      <c r="G10" s="4">
        <f t="shared" si="1"/>
        <v>4369810.0000000279</v>
      </c>
      <c r="H10" s="11">
        <v>0.46000000000000796</v>
      </c>
      <c r="I10" s="12">
        <f t="shared" si="2"/>
        <v>920.00000000001592</v>
      </c>
      <c r="J10" s="4">
        <f t="shared" si="3"/>
        <v>1428990.0000000247</v>
      </c>
      <c r="K10" s="11">
        <f t="shared" si="4"/>
        <v>5798800.0000000522</v>
      </c>
      <c r="L10" s="13">
        <f t="shared" si="5"/>
        <v>6378680.0000000577</v>
      </c>
      <c r="M10" s="85">
        <f t="shared" si="6"/>
        <v>445.87445826926171</v>
      </c>
      <c r="N10" s="84"/>
    </row>
    <row r="11" spans="1:14" ht="17.100000000000001" customHeight="1" x14ac:dyDescent="0.25">
      <c r="A11" s="80"/>
      <c r="B11" s="77">
        <v>4</v>
      </c>
      <c r="C11" s="37">
        <v>2</v>
      </c>
      <c r="D11" s="37">
        <v>10</v>
      </c>
      <c r="E11" s="11">
        <v>2.2700000000000955</v>
      </c>
      <c r="F11" s="12">
        <f t="shared" si="0"/>
        <v>4540.000000000191</v>
      </c>
      <c r="G11" s="4">
        <f t="shared" si="1"/>
        <v>4701170.0000001974</v>
      </c>
      <c r="H11" s="11">
        <v>0.46000000000000796</v>
      </c>
      <c r="I11" s="12">
        <f t="shared" si="2"/>
        <v>920.00000000001592</v>
      </c>
      <c r="J11" s="4">
        <f t="shared" si="3"/>
        <v>1428990.0000000247</v>
      </c>
      <c r="K11" s="11">
        <f t="shared" si="4"/>
        <v>6130160.0000002217</v>
      </c>
      <c r="L11" s="13">
        <f t="shared" si="5"/>
        <v>6743176.000000244</v>
      </c>
      <c r="M11" s="85">
        <f t="shared" si="6"/>
        <v>471.35299874180373</v>
      </c>
      <c r="N11" s="84"/>
    </row>
    <row r="12" spans="1:14" ht="17.100000000000001" customHeight="1" x14ac:dyDescent="0.25">
      <c r="A12" s="80"/>
      <c r="B12" s="77">
        <v>5</v>
      </c>
      <c r="C12" s="37">
        <v>1</v>
      </c>
      <c r="D12" s="37">
        <v>5</v>
      </c>
      <c r="E12" s="11">
        <v>2.2899999999999636</v>
      </c>
      <c r="F12" s="12">
        <f t="shared" si="0"/>
        <v>4579.9999999999272</v>
      </c>
      <c r="G12" s="4">
        <f t="shared" si="1"/>
        <v>4742589.9999999246</v>
      </c>
      <c r="H12" s="11">
        <v>0.5</v>
      </c>
      <c r="I12" s="12">
        <f t="shared" si="2"/>
        <v>1000</v>
      </c>
      <c r="J12" s="4">
        <f t="shared" si="3"/>
        <v>1553250</v>
      </c>
      <c r="K12" s="11">
        <f t="shared" si="4"/>
        <v>6295839.9999999246</v>
      </c>
      <c r="L12" s="13">
        <f t="shared" si="5"/>
        <v>6925423.999999918</v>
      </c>
      <c r="M12" s="85">
        <f t="shared" si="6"/>
        <v>484.09226897804541</v>
      </c>
      <c r="N12" s="84"/>
    </row>
    <row r="13" spans="1:14" ht="17.100000000000001" customHeight="1" x14ac:dyDescent="0.25">
      <c r="A13" s="80"/>
      <c r="B13" s="77">
        <v>6</v>
      </c>
      <c r="C13" s="37">
        <v>1</v>
      </c>
      <c r="D13" s="37">
        <v>5</v>
      </c>
      <c r="E13" s="11">
        <v>2.4199999999999591</v>
      </c>
      <c r="F13" s="12">
        <f t="shared" si="0"/>
        <v>4839.9999999999181</v>
      </c>
      <c r="G13" s="4">
        <f t="shared" si="1"/>
        <v>5011819.9999999152</v>
      </c>
      <c r="H13" s="11">
        <v>0.47999999999998977</v>
      </c>
      <c r="I13" s="12">
        <f t="shared" si="2"/>
        <v>959.99999999997954</v>
      </c>
      <c r="J13" s="4">
        <f t="shared" si="3"/>
        <v>1491119.9999999681</v>
      </c>
      <c r="K13" s="11">
        <f t="shared" si="4"/>
        <v>6502939.9999998836</v>
      </c>
      <c r="L13" s="13">
        <f t="shared" si="5"/>
        <v>7153233.9999998724</v>
      </c>
      <c r="M13" s="85">
        <f t="shared" si="6"/>
        <v>500.01635677337288</v>
      </c>
      <c r="N13" s="84"/>
    </row>
    <row r="14" spans="1:14" ht="17.100000000000001" customHeight="1" x14ac:dyDescent="0.25">
      <c r="A14" s="80"/>
      <c r="B14" s="77">
        <v>7</v>
      </c>
      <c r="C14" s="37">
        <v>2</v>
      </c>
      <c r="D14" s="37">
        <v>15</v>
      </c>
      <c r="E14" s="11">
        <v>2.3300000000000409</v>
      </c>
      <c r="F14" s="12">
        <f t="shared" si="0"/>
        <v>4660.0000000000819</v>
      </c>
      <c r="G14" s="4">
        <f t="shared" si="1"/>
        <v>4825430.0000000848</v>
      </c>
      <c r="H14" s="11">
        <v>0.46000000000000796</v>
      </c>
      <c r="I14" s="12">
        <f t="shared" si="2"/>
        <v>920.00000000001592</v>
      </c>
      <c r="J14" s="4">
        <f t="shared" si="3"/>
        <v>1428990.0000000247</v>
      </c>
      <c r="K14" s="11">
        <f t="shared" si="4"/>
        <v>6254420.0000001099</v>
      </c>
      <c r="L14" s="13">
        <f t="shared" si="5"/>
        <v>6879862.0000001211</v>
      </c>
      <c r="M14" s="85">
        <f t="shared" si="6"/>
        <v>480.9074514189935</v>
      </c>
      <c r="N14" s="84"/>
    </row>
    <row r="15" spans="1:14" ht="17.100000000000001" customHeight="1" x14ac:dyDescent="0.25">
      <c r="A15" s="80"/>
      <c r="B15" s="77">
        <v>8</v>
      </c>
      <c r="C15" s="37">
        <v>1</v>
      </c>
      <c r="D15" s="37">
        <v>19</v>
      </c>
      <c r="E15" s="11">
        <v>2.3099999999999454</v>
      </c>
      <c r="F15" s="12">
        <f t="shared" si="0"/>
        <v>4619.9999999998909</v>
      </c>
      <c r="G15" s="4">
        <f t="shared" si="1"/>
        <v>4784009.9999998873</v>
      </c>
      <c r="H15" s="11">
        <v>0.45999999999997954</v>
      </c>
      <c r="I15" s="12">
        <f t="shared" si="2"/>
        <v>919.99999999995907</v>
      </c>
      <c r="J15" s="4">
        <f t="shared" si="3"/>
        <v>1428989.9999999364</v>
      </c>
      <c r="K15" s="11">
        <f t="shared" si="4"/>
        <v>6212999.999999824</v>
      </c>
      <c r="L15" s="13">
        <f t="shared" si="5"/>
        <v>6834299.9999998072</v>
      </c>
      <c r="M15" s="85">
        <f t="shared" si="6"/>
        <v>477.72263385990544</v>
      </c>
      <c r="N15" s="84"/>
    </row>
    <row r="16" spans="1:14" ht="17.100000000000001" customHeight="1" x14ac:dyDescent="0.25">
      <c r="A16" s="80"/>
      <c r="B16" s="77">
        <v>9</v>
      </c>
      <c r="C16" s="37">
        <v>1</v>
      </c>
      <c r="D16" s="37">
        <v>11</v>
      </c>
      <c r="E16" s="11">
        <v>2.2699999999999818</v>
      </c>
      <c r="F16" s="12">
        <f t="shared" si="0"/>
        <v>4539.9999999999636</v>
      </c>
      <c r="G16" s="4">
        <f t="shared" si="1"/>
        <v>4701169.9999999627</v>
      </c>
      <c r="H16" s="11">
        <v>0.46000000000000796</v>
      </c>
      <c r="I16" s="12">
        <f t="shared" ref="I16:I37" si="7">H16*2000</f>
        <v>920.00000000001592</v>
      </c>
      <c r="J16" s="4">
        <f t="shared" ref="J16:J37" si="8">I16*1553.25</f>
        <v>1428990.0000000247</v>
      </c>
      <c r="K16" s="11">
        <f t="shared" ref="K16:K37" si="9">G16+J16</f>
        <v>6130159.999999987</v>
      </c>
      <c r="L16" s="13">
        <f t="shared" ref="L16:L37" si="10">K16*1.1</f>
        <v>6743175.999999986</v>
      </c>
      <c r="M16" s="85">
        <f t="shared" si="6"/>
        <v>471.35299874178571</v>
      </c>
      <c r="N16" s="84"/>
    </row>
    <row r="17" spans="1:14" ht="17.100000000000001" customHeight="1" x14ac:dyDescent="0.25">
      <c r="A17" s="80"/>
      <c r="B17" s="77">
        <v>10</v>
      </c>
      <c r="C17" s="37">
        <v>1</v>
      </c>
      <c r="D17" s="37">
        <v>7</v>
      </c>
      <c r="E17" s="11">
        <v>2.3000000000000682</v>
      </c>
      <c r="F17" s="12">
        <f t="shared" si="0"/>
        <v>4600.0000000001364</v>
      </c>
      <c r="G17" s="4">
        <f t="shared" si="1"/>
        <v>4763300.0000001416</v>
      </c>
      <c r="H17" s="11">
        <v>0.45000000000001705</v>
      </c>
      <c r="I17" s="12">
        <f t="shared" si="7"/>
        <v>900.00000000003411</v>
      </c>
      <c r="J17" s="4">
        <f t="shared" si="8"/>
        <v>1397925.0000000531</v>
      </c>
      <c r="K17" s="11">
        <f t="shared" si="9"/>
        <v>6161225.0000001946</v>
      </c>
      <c r="L17" s="13">
        <f t="shared" si="10"/>
        <v>6777347.5000002142</v>
      </c>
      <c r="M17" s="85">
        <f t="shared" si="6"/>
        <v>473.74161191110124</v>
      </c>
      <c r="N17" s="84"/>
    </row>
    <row r="18" spans="1:14" ht="17.100000000000001" customHeight="1" x14ac:dyDescent="0.25">
      <c r="A18" s="80"/>
      <c r="B18" s="77">
        <v>11</v>
      </c>
      <c r="C18" s="37">
        <v>0</v>
      </c>
      <c r="D18" s="37">
        <v>12</v>
      </c>
      <c r="E18" s="11">
        <v>2.3199999999999363</v>
      </c>
      <c r="F18" s="12">
        <f t="shared" si="0"/>
        <v>4639.9999999998727</v>
      </c>
      <c r="G18" s="4">
        <f t="shared" si="1"/>
        <v>4804719.9999998678</v>
      </c>
      <c r="H18" s="11">
        <v>0.4299999999999784</v>
      </c>
      <c r="I18" s="12">
        <f t="shared" si="7"/>
        <v>859.9999999999568</v>
      </c>
      <c r="J18" s="4">
        <f t="shared" si="8"/>
        <v>1335794.9999999329</v>
      </c>
      <c r="K18" s="11">
        <f t="shared" si="9"/>
        <v>6140514.9999998007</v>
      </c>
      <c r="L18" s="13">
        <f t="shared" si="10"/>
        <v>6754566.4999997811</v>
      </c>
      <c r="M18" s="85">
        <f t="shared" si="6"/>
        <v>472.14920313153789</v>
      </c>
      <c r="N18" s="84"/>
    </row>
    <row r="19" spans="1:14" ht="17.100000000000001" customHeight="1" x14ac:dyDescent="0.25">
      <c r="A19" s="80"/>
      <c r="B19" s="77">
        <v>12</v>
      </c>
      <c r="C19" s="37">
        <v>2</v>
      </c>
      <c r="D19" s="37">
        <v>5</v>
      </c>
      <c r="E19" s="11">
        <v>2.1100000000000136</v>
      </c>
      <c r="F19" s="12">
        <f t="shared" si="0"/>
        <v>4220.0000000000273</v>
      </c>
      <c r="G19" s="4">
        <f t="shared" si="1"/>
        <v>4369810.0000000279</v>
      </c>
      <c r="H19" s="11">
        <v>0.43000000000000682</v>
      </c>
      <c r="I19" s="12">
        <f t="shared" si="7"/>
        <v>860.00000000001364</v>
      </c>
      <c r="J19" s="4">
        <f t="shared" si="8"/>
        <v>1335795.0000000212</v>
      </c>
      <c r="K19" s="11">
        <f t="shared" si="9"/>
        <v>5705605.0000000494</v>
      </c>
      <c r="L19" s="13">
        <f t="shared" si="10"/>
        <v>6276165.5000000549</v>
      </c>
      <c r="M19" s="85">
        <f t="shared" si="6"/>
        <v>438.70861876136269</v>
      </c>
      <c r="N19" s="84"/>
    </row>
    <row r="20" spans="1:14" ht="17.100000000000001" customHeight="1" x14ac:dyDescent="0.25">
      <c r="A20" s="80"/>
      <c r="B20" s="77">
        <v>13</v>
      </c>
      <c r="C20" s="37">
        <v>2</v>
      </c>
      <c r="D20" s="37">
        <v>6</v>
      </c>
      <c r="E20" s="11">
        <v>2.32000000000005</v>
      </c>
      <c r="F20" s="12">
        <f t="shared" si="0"/>
        <v>4640.0000000001</v>
      </c>
      <c r="G20" s="4">
        <f t="shared" si="1"/>
        <v>4804720.0000001034</v>
      </c>
      <c r="H20" s="11">
        <v>0.50999999999999091</v>
      </c>
      <c r="I20" s="12">
        <f t="shared" si="7"/>
        <v>1019.9999999999818</v>
      </c>
      <c r="J20" s="4">
        <f t="shared" si="8"/>
        <v>1584314.9999999718</v>
      </c>
      <c r="K20" s="11">
        <f t="shared" si="9"/>
        <v>6389035.0000000754</v>
      </c>
      <c r="L20" s="13">
        <f t="shared" si="10"/>
        <v>7027938.5000000838</v>
      </c>
      <c r="M20" s="85">
        <f t="shared" si="6"/>
        <v>491.2581084859558</v>
      </c>
      <c r="N20" s="84"/>
    </row>
    <row r="21" spans="1:14" ht="17.100000000000001" customHeight="1" x14ac:dyDescent="0.25">
      <c r="A21" s="80"/>
      <c r="B21" s="77">
        <v>14</v>
      </c>
      <c r="C21" s="37">
        <v>5</v>
      </c>
      <c r="D21" s="37">
        <v>19</v>
      </c>
      <c r="E21" s="11">
        <v>2.4800000000000182</v>
      </c>
      <c r="F21" s="12">
        <f t="shared" si="0"/>
        <v>4960.0000000000364</v>
      </c>
      <c r="G21" s="4">
        <f t="shared" si="1"/>
        <v>5136080.0000000373</v>
      </c>
      <c r="H21" s="11">
        <v>0.48000000000001819</v>
      </c>
      <c r="I21" s="12">
        <f t="shared" si="7"/>
        <v>960.00000000003638</v>
      </c>
      <c r="J21" s="4">
        <f t="shared" si="8"/>
        <v>1491120.0000000566</v>
      </c>
      <c r="K21" s="11">
        <f t="shared" si="9"/>
        <v>6627200.0000000941</v>
      </c>
      <c r="L21" s="13">
        <f t="shared" si="10"/>
        <v>7289920.0000001043</v>
      </c>
      <c r="M21" s="85">
        <f t="shared" si="6"/>
        <v>509.57080945058749</v>
      </c>
      <c r="N21" s="84"/>
    </row>
    <row r="22" spans="1:14" ht="17.100000000000001" customHeight="1" x14ac:dyDescent="0.25">
      <c r="A22" s="80"/>
      <c r="B22" s="77">
        <v>15</v>
      </c>
      <c r="C22" s="37">
        <v>3</v>
      </c>
      <c r="D22" s="37">
        <v>22</v>
      </c>
      <c r="E22" s="11">
        <v>2.3700000000000045</v>
      </c>
      <c r="F22" s="12">
        <f t="shared" si="0"/>
        <v>4740.0000000000091</v>
      </c>
      <c r="G22" s="4">
        <f t="shared" si="1"/>
        <v>4908270.0000000093</v>
      </c>
      <c r="H22" s="11">
        <v>0.48000000000001819</v>
      </c>
      <c r="I22" s="12">
        <f t="shared" si="7"/>
        <v>960.00000000003638</v>
      </c>
      <c r="J22" s="4">
        <f t="shared" si="8"/>
        <v>1491120.0000000566</v>
      </c>
      <c r="K22" s="11">
        <f t="shared" si="9"/>
        <v>6399390.0000000661</v>
      </c>
      <c r="L22" s="13">
        <f t="shared" si="10"/>
        <v>7039329.0000000736</v>
      </c>
      <c r="M22" s="85">
        <f t="shared" si="6"/>
        <v>492.05431287572162</v>
      </c>
      <c r="N22" s="84"/>
    </row>
    <row r="23" spans="1:14" ht="17.100000000000001" customHeight="1" x14ac:dyDescent="0.25">
      <c r="A23" s="80"/>
      <c r="B23" s="77">
        <v>16</v>
      </c>
      <c r="C23" s="37">
        <v>0</v>
      </c>
      <c r="D23" s="37">
        <v>9</v>
      </c>
      <c r="E23" s="11">
        <v>2.4699999999999136</v>
      </c>
      <c r="F23" s="12">
        <f t="shared" si="0"/>
        <v>4939.9999999998272</v>
      </c>
      <c r="G23" s="4">
        <f t="shared" si="1"/>
        <v>5115369.9999998212</v>
      </c>
      <c r="H23" s="11">
        <v>0.47999999999998977</v>
      </c>
      <c r="I23" s="12">
        <f t="shared" si="7"/>
        <v>959.99999999997954</v>
      </c>
      <c r="J23" s="4">
        <f t="shared" si="8"/>
        <v>1491119.9999999681</v>
      </c>
      <c r="K23" s="11">
        <f t="shared" si="9"/>
        <v>6606489.9999997895</v>
      </c>
      <c r="L23" s="13">
        <f t="shared" si="10"/>
        <v>7267138.999999769</v>
      </c>
      <c r="M23" s="85">
        <f t="shared" si="6"/>
        <v>507.97840067103095</v>
      </c>
      <c r="N23" s="84"/>
    </row>
    <row r="24" spans="1:14" ht="17.100000000000001" customHeight="1" x14ac:dyDescent="0.25">
      <c r="A24" s="80"/>
      <c r="B24" s="77">
        <v>17</v>
      </c>
      <c r="C24" s="37">
        <v>0</v>
      </c>
      <c r="D24" s="37">
        <v>12</v>
      </c>
      <c r="E24" s="11">
        <v>2.3900000000001</v>
      </c>
      <c r="F24" s="12">
        <f t="shared" si="0"/>
        <v>4780.0000000002001</v>
      </c>
      <c r="G24" s="4">
        <f t="shared" si="1"/>
        <v>4949690.0000002068</v>
      </c>
      <c r="H24" s="11">
        <v>0.46999999999999886</v>
      </c>
      <c r="I24" s="12">
        <f t="shared" si="7"/>
        <v>939.99999999999773</v>
      </c>
      <c r="J24" s="4">
        <f t="shared" si="8"/>
        <v>1460054.9999999965</v>
      </c>
      <c r="K24" s="11">
        <f t="shared" si="9"/>
        <v>6409745.000000203</v>
      </c>
      <c r="L24" s="13">
        <f t="shared" si="10"/>
        <v>7050719.5000002235</v>
      </c>
      <c r="M24" s="85">
        <f t="shared" si="6"/>
        <v>492.85051726549864</v>
      </c>
      <c r="N24" s="84"/>
    </row>
    <row r="25" spans="1:14" ht="17.100000000000001" customHeight="1" x14ac:dyDescent="0.25">
      <c r="A25" s="80"/>
      <c r="B25" s="77">
        <v>18</v>
      </c>
      <c r="C25" s="37">
        <v>0</v>
      </c>
      <c r="D25" s="37">
        <v>7</v>
      </c>
      <c r="E25" s="11">
        <v>2.3399999999999181</v>
      </c>
      <c r="F25" s="12">
        <f t="shared" si="0"/>
        <v>4679.9999999998363</v>
      </c>
      <c r="G25" s="4">
        <f t="shared" si="1"/>
        <v>4846139.9999998305</v>
      </c>
      <c r="H25" s="11">
        <v>0.45000000000001705</v>
      </c>
      <c r="I25" s="12">
        <f t="shared" si="7"/>
        <v>900.00000000003411</v>
      </c>
      <c r="J25" s="4">
        <f t="shared" si="8"/>
        <v>1397925.0000000531</v>
      </c>
      <c r="K25" s="11">
        <f t="shared" si="9"/>
        <v>6244064.9999998836</v>
      </c>
      <c r="L25" s="13">
        <f t="shared" si="10"/>
        <v>6868471.4999998724</v>
      </c>
      <c r="M25" s="85">
        <f t="shared" si="6"/>
        <v>480.11124702920961</v>
      </c>
      <c r="N25" s="84"/>
    </row>
    <row r="26" spans="1:14" ht="17.100000000000001" customHeight="1" x14ac:dyDescent="0.25">
      <c r="A26" s="80"/>
      <c r="B26" s="77">
        <v>19</v>
      </c>
      <c r="C26" s="37">
        <v>0</v>
      </c>
      <c r="D26" s="37">
        <v>3</v>
      </c>
      <c r="E26" s="11">
        <v>2.2699999999999818</v>
      </c>
      <c r="F26" s="12">
        <f t="shared" si="0"/>
        <v>4539.9999999999636</v>
      </c>
      <c r="G26" s="4">
        <f t="shared" si="1"/>
        <v>4701169.9999999627</v>
      </c>
      <c r="H26" s="11">
        <v>0.41999999999998749</v>
      </c>
      <c r="I26" s="12">
        <f t="shared" si="7"/>
        <v>839.99999999997499</v>
      </c>
      <c r="J26" s="4">
        <f t="shared" si="8"/>
        <v>1304729.9999999611</v>
      </c>
      <c r="K26" s="11">
        <f t="shared" si="9"/>
        <v>6005899.9999999236</v>
      </c>
      <c r="L26" s="13">
        <f t="shared" si="10"/>
        <v>6606489.9999999162</v>
      </c>
      <c r="M26" s="85">
        <f t="shared" si="6"/>
        <v>461.79854606458241</v>
      </c>
      <c r="N26" s="84"/>
    </row>
    <row r="27" spans="1:14" ht="17.100000000000001" customHeight="1" x14ac:dyDescent="0.25">
      <c r="A27" s="80"/>
      <c r="B27" s="77">
        <v>20</v>
      </c>
      <c r="C27" s="37">
        <v>3</v>
      </c>
      <c r="D27" s="37">
        <v>42</v>
      </c>
      <c r="E27" s="11">
        <v>2.2800000000000864</v>
      </c>
      <c r="F27" s="12">
        <f t="shared" si="0"/>
        <v>4560.0000000001728</v>
      </c>
      <c r="G27" s="4">
        <f t="shared" si="1"/>
        <v>4721880.0000001788</v>
      </c>
      <c r="H27" s="11">
        <v>0.49000000000000909</v>
      </c>
      <c r="I27" s="12">
        <f t="shared" si="7"/>
        <v>980.00000000001819</v>
      </c>
      <c r="J27" s="4">
        <f t="shared" si="8"/>
        <v>1522185.0000000282</v>
      </c>
      <c r="K27" s="11">
        <f t="shared" si="9"/>
        <v>6244065.0000002068</v>
      </c>
      <c r="L27" s="13">
        <f t="shared" si="10"/>
        <v>6868471.5000002282</v>
      </c>
      <c r="M27" s="85">
        <f t="shared" si="6"/>
        <v>480.11124702923445</v>
      </c>
      <c r="N27" s="84"/>
    </row>
    <row r="28" spans="1:14" ht="17.100000000000001" customHeight="1" x14ac:dyDescent="0.25">
      <c r="A28" s="80"/>
      <c r="B28" s="77">
        <v>21</v>
      </c>
      <c r="C28" s="37">
        <v>3</v>
      </c>
      <c r="D28" s="37">
        <v>13</v>
      </c>
      <c r="E28" s="11">
        <v>2.3600000000000136</v>
      </c>
      <c r="F28" s="12">
        <f t="shared" si="0"/>
        <v>4720.0000000000273</v>
      </c>
      <c r="G28" s="4">
        <f t="shared" si="1"/>
        <v>4887560.0000000279</v>
      </c>
      <c r="H28" s="11">
        <v>0.46999999999999886</v>
      </c>
      <c r="I28" s="12">
        <f t="shared" si="7"/>
        <v>939.99999999999773</v>
      </c>
      <c r="J28" s="4">
        <f t="shared" si="8"/>
        <v>1460054.9999999965</v>
      </c>
      <c r="K28" s="11">
        <f t="shared" si="9"/>
        <v>6347615.0000000242</v>
      </c>
      <c r="L28" s="13">
        <f t="shared" si="10"/>
        <v>6982376.500000027</v>
      </c>
      <c r="M28" s="85">
        <f t="shared" si="6"/>
        <v>488.0732909268857</v>
      </c>
      <c r="N28" s="84"/>
    </row>
    <row r="29" spans="1:14" ht="17.100000000000001" customHeight="1" x14ac:dyDescent="0.25">
      <c r="A29" s="80"/>
      <c r="B29" s="77">
        <v>22</v>
      </c>
      <c r="C29" s="37">
        <v>1</v>
      </c>
      <c r="D29" s="37">
        <v>9</v>
      </c>
      <c r="E29" s="11">
        <v>2.3500000000000227</v>
      </c>
      <c r="F29" s="12">
        <f t="shared" si="0"/>
        <v>4700.0000000000455</v>
      </c>
      <c r="G29" s="4">
        <f t="shared" si="1"/>
        <v>4866850.0000000475</v>
      </c>
      <c r="H29" s="11">
        <v>0.47999999999998977</v>
      </c>
      <c r="I29" s="12">
        <f t="shared" si="7"/>
        <v>959.99999999997954</v>
      </c>
      <c r="J29" s="4">
        <f t="shared" si="8"/>
        <v>1491119.9999999681</v>
      </c>
      <c r="K29" s="11">
        <f t="shared" si="9"/>
        <v>6357970.0000000158</v>
      </c>
      <c r="L29" s="13">
        <f t="shared" si="10"/>
        <v>6993767.0000000177</v>
      </c>
      <c r="M29" s="85">
        <f t="shared" si="6"/>
        <v>488.86949531665158</v>
      </c>
      <c r="N29" s="84"/>
    </row>
    <row r="30" spans="1:14" ht="17.100000000000001" customHeight="1" x14ac:dyDescent="0.25">
      <c r="A30" s="80"/>
      <c r="B30" s="77">
        <v>23</v>
      </c>
      <c r="C30" s="37">
        <v>4</v>
      </c>
      <c r="D30" s="37">
        <v>8</v>
      </c>
      <c r="E30" s="11">
        <v>2.4499999999998181</v>
      </c>
      <c r="F30" s="12">
        <f t="shared" si="0"/>
        <v>4899.9999999996362</v>
      </c>
      <c r="G30" s="4">
        <f t="shared" si="1"/>
        <v>5073949.9999996237</v>
      </c>
      <c r="H30" s="11">
        <v>0.47999999999998977</v>
      </c>
      <c r="I30" s="12">
        <f t="shared" si="7"/>
        <v>959.99999999997954</v>
      </c>
      <c r="J30" s="4">
        <f t="shared" si="8"/>
        <v>1491119.9999999681</v>
      </c>
      <c r="K30" s="11">
        <f t="shared" si="9"/>
        <v>6565069.9999995921</v>
      </c>
      <c r="L30" s="13">
        <f t="shared" si="10"/>
        <v>7221576.999999552</v>
      </c>
      <c r="M30" s="85">
        <f t="shared" si="6"/>
        <v>504.79358311194966</v>
      </c>
      <c r="N30" s="84"/>
    </row>
    <row r="31" spans="1:14" ht="17.100000000000001" customHeight="1" x14ac:dyDescent="0.25">
      <c r="A31" s="80"/>
      <c r="B31" s="77">
        <v>24</v>
      </c>
      <c r="C31" s="37">
        <v>3</v>
      </c>
      <c r="D31" s="37">
        <v>11</v>
      </c>
      <c r="E31" s="11">
        <v>2.2200000000000273</v>
      </c>
      <c r="F31" s="12">
        <f t="shared" si="0"/>
        <v>4440.0000000000546</v>
      </c>
      <c r="G31" s="4">
        <f t="shared" si="1"/>
        <v>4597620.0000000568</v>
      </c>
      <c r="H31" s="11">
        <v>0.46000000000000796</v>
      </c>
      <c r="I31" s="12">
        <f t="shared" si="7"/>
        <v>920.00000000001592</v>
      </c>
      <c r="J31" s="4">
        <f t="shared" si="8"/>
        <v>1428990.0000000247</v>
      </c>
      <c r="K31" s="11">
        <f t="shared" si="9"/>
        <v>6026610.000000082</v>
      </c>
      <c r="L31" s="13">
        <f t="shared" si="10"/>
        <v>6629271.0000000903</v>
      </c>
      <c r="M31" s="85">
        <f t="shared" si="6"/>
        <v>463.39095484412763</v>
      </c>
      <c r="N31" s="84"/>
    </row>
    <row r="32" spans="1:14" ht="17.100000000000001" customHeight="1" x14ac:dyDescent="0.25">
      <c r="A32" s="80"/>
      <c r="B32" s="77">
        <v>25</v>
      </c>
      <c r="C32" s="37">
        <v>1</v>
      </c>
      <c r="D32" s="37">
        <v>11</v>
      </c>
      <c r="E32" s="11">
        <v>2.4500000000000455</v>
      </c>
      <c r="F32" s="12">
        <f t="shared" si="0"/>
        <v>4900.0000000000909</v>
      </c>
      <c r="G32" s="4">
        <f t="shared" si="1"/>
        <v>5073950.0000000941</v>
      </c>
      <c r="H32" s="11">
        <v>0.48000000000001819</v>
      </c>
      <c r="I32" s="12">
        <f t="shared" si="7"/>
        <v>960.00000000003638</v>
      </c>
      <c r="J32" s="4">
        <f t="shared" si="8"/>
        <v>1491120.0000000566</v>
      </c>
      <c r="K32" s="11">
        <f t="shared" si="9"/>
        <v>6565070.0000001509</v>
      </c>
      <c r="L32" s="13">
        <f t="shared" si="10"/>
        <v>7221577.0000001667</v>
      </c>
      <c r="M32" s="85">
        <f t="shared" si="6"/>
        <v>504.79358311199263</v>
      </c>
      <c r="N32" s="84"/>
    </row>
    <row r="33" spans="1:16" ht="17.100000000000001" customHeight="1" x14ac:dyDescent="0.25">
      <c r="A33" s="80"/>
      <c r="B33" s="77">
        <v>26</v>
      </c>
      <c r="C33" s="37">
        <v>4</v>
      </c>
      <c r="D33" s="37">
        <v>11</v>
      </c>
      <c r="E33" s="11">
        <v>2.25</v>
      </c>
      <c r="F33" s="12">
        <f t="shared" si="0"/>
        <v>4500</v>
      </c>
      <c r="G33" s="4">
        <f t="shared" si="1"/>
        <v>4659750</v>
      </c>
      <c r="H33" s="11">
        <v>0.46999999999999886</v>
      </c>
      <c r="I33" s="12">
        <f t="shared" si="7"/>
        <v>939.99999999999773</v>
      </c>
      <c r="J33" s="4">
        <f t="shared" si="8"/>
        <v>1460054.9999999965</v>
      </c>
      <c r="K33" s="11">
        <f t="shared" si="9"/>
        <v>6119804.9999999963</v>
      </c>
      <c r="L33" s="13">
        <f t="shared" si="10"/>
        <v>6731785.4999999963</v>
      </c>
      <c r="M33" s="85">
        <f t="shared" si="6"/>
        <v>470.55679435201989</v>
      </c>
      <c r="N33" s="84"/>
    </row>
    <row r="34" spans="1:16" ht="17.100000000000001" customHeight="1" x14ac:dyDescent="0.25">
      <c r="A34" s="80"/>
      <c r="B34" s="77">
        <v>27</v>
      </c>
      <c r="C34" s="37">
        <v>4</v>
      </c>
      <c r="D34" s="37">
        <v>23</v>
      </c>
      <c r="E34" s="11">
        <v>2.3400000000001455</v>
      </c>
      <c r="F34" s="12">
        <f t="shared" si="0"/>
        <v>4680.000000000291</v>
      </c>
      <c r="G34" s="4">
        <f t="shared" si="1"/>
        <v>4846140.0000003017</v>
      </c>
      <c r="H34" s="11">
        <v>0.46999999999999886</v>
      </c>
      <c r="I34" s="12">
        <f t="shared" si="7"/>
        <v>939.99999999999773</v>
      </c>
      <c r="J34" s="4">
        <f t="shared" si="8"/>
        <v>1460054.9999999965</v>
      </c>
      <c r="K34" s="11">
        <f t="shared" si="9"/>
        <v>6306195.000000298</v>
      </c>
      <c r="L34" s="13">
        <f t="shared" si="10"/>
        <v>6936814.5000003288</v>
      </c>
      <c r="M34" s="85">
        <f t="shared" si="6"/>
        <v>484.88847336784067</v>
      </c>
      <c r="N34" s="84"/>
    </row>
    <row r="35" spans="1:16" ht="17.100000000000001" customHeight="1" x14ac:dyDescent="0.25">
      <c r="A35" s="80"/>
      <c r="B35" s="77">
        <v>28</v>
      </c>
      <c r="C35" s="37">
        <v>3</v>
      </c>
      <c r="D35" s="37">
        <v>4</v>
      </c>
      <c r="E35" s="11">
        <v>2.2699999999999818</v>
      </c>
      <c r="F35" s="12">
        <f t="shared" si="0"/>
        <v>4539.9999999999636</v>
      </c>
      <c r="G35" s="4">
        <f t="shared" si="1"/>
        <v>4701169.9999999627</v>
      </c>
      <c r="H35" s="11">
        <v>0.44999999999998863</v>
      </c>
      <c r="I35" s="12">
        <f t="shared" si="7"/>
        <v>899.99999999997726</v>
      </c>
      <c r="J35" s="4">
        <f t="shared" si="8"/>
        <v>1397924.9999999646</v>
      </c>
      <c r="K35" s="11">
        <f t="shared" si="9"/>
        <v>6099094.9999999274</v>
      </c>
      <c r="L35" s="13">
        <f t="shared" si="10"/>
        <v>6709004.4999999208</v>
      </c>
      <c r="M35" s="85">
        <f t="shared" si="6"/>
        <v>468.96438557248155</v>
      </c>
      <c r="N35" s="84"/>
    </row>
    <row r="36" spans="1:16" ht="17.100000000000001" customHeight="1" x14ac:dyDescent="0.25">
      <c r="A36" s="80"/>
      <c r="B36" s="77">
        <v>29</v>
      </c>
      <c r="C36" s="37">
        <v>0</v>
      </c>
      <c r="D36" s="37">
        <v>14</v>
      </c>
      <c r="E36" s="11">
        <v>2.2400000000000091</v>
      </c>
      <c r="F36" s="12">
        <f t="shared" si="0"/>
        <v>4480.0000000000182</v>
      </c>
      <c r="G36" s="4">
        <f t="shared" si="1"/>
        <v>4639040.0000000186</v>
      </c>
      <c r="H36" s="11">
        <v>0.43999999999999773</v>
      </c>
      <c r="I36" s="12">
        <f t="shared" si="7"/>
        <v>879.99999999999545</v>
      </c>
      <c r="J36" s="4">
        <f t="shared" si="8"/>
        <v>1366859.999999993</v>
      </c>
      <c r="K36" s="11">
        <f t="shared" si="9"/>
        <v>6005900.0000000112</v>
      </c>
      <c r="L36" s="13">
        <f t="shared" si="10"/>
        <v>6606490.000000013</v>
      </c>
      <c r="M36" s="85">
        <f t="shared" si="6"/>
        <v>461.79854606458917</v>
      </c>
      <c r="N36" s="84"/>
    </row>
    <row r="37" spans="1:16" ht="17.100000000000001" customHeight="1" x14ac:dyDescent="0.25">
      <c r="A37" s="80"/>
      <c r="B37" s="77">
        <v>30</v>
      </c>
      <c r="C37" s="37">
        <v>0</v>
      </c>
      <c r="D37" s="37">
        <v>8</v>
      </c>
      <c r="E37" s="11">
        <v>2.25</v>
      </c>
      <c r="F37" s="12">
        <f t="shared" si="0"/>
        <v>4500</v>
      </c>
      <c r="G37" s="4">
        <f t="shared" si="1"/>
        <v>4659750</v>
      </c>
      <c r="H37" s="11">
        <v>0.42000000000001592</v>
      </c>
      <c r="I37" s="12">
        <f t="shared" si="7"/>
        <v>840.00000000003183</v>
      </c>
      <c r="J37" s="4">
        <f t="shared" si="8"/>
        <v>1304730.0000000494</v>
      </c>
      <c r="K37" s="11">
        <f t="shared" si="9"/>
        <v>5964480.0000000494</v>
      </c>
      <c r="L37" s="13">
        <f t="shared" si="10"/>
        <v>6560928.0000000549</v>
      </c>
      <c r="M37" s="85">
        <f t="shared" si="6"/>
        <v>458.61372850552601</v>
      </c>
      <c r="N37" s="84"/>
    </row>
    <row r="38" spans="1:16" ht="17.100000000000001" customHeight="1" x14ac:dyDescent="0.25">
      <c r="B38" s="77">
        <v>31</v>
      </c>
      <c r="C38" s="37">
        <v>0</v>
      </c>
      <c r="D38" s="37">
        <v>12</v>
      </c>
      <c r="E38" s="11">
        <v>2.25</v>
      </c>
      <c r="F38" s="12">
        <f t="shared" ref="F38" si="11">E38*2000</f>
        <v>4500</v>
      </c>
      <c r="G38" s="4">
        <f t="shared" ref="G38" si="12">F38*1035.5</f>
        <v>4659750</v>
      </c>
      <c r="H38" s="11">
        <v>0.47999999999998977</v>
      </c>
      <c r="I38" s="12">
        <f t="shared" ref="I38" si="13">H38*2000</f>
        <v>959.99999999997954</v>
      </c>
      <c r="J38" s="4">
        <f t="shared" ref="J38" si="14">I38*1553.25</f>
        <v>1491119.9999999681</v>
      </c>
      <c r="K38" s="11">
        <f t="shared" ref="K38" si="15">G38+J38</f>
        <v>6150869.9999999683</v>
      </c>
      <c r="L38" s="13">
        <f t="shared" ref="L38" si="16">K38*1.1</f>
        <v>6765956.9999999655</v>
      </c>
      <c r="M38" s="85">
        <f>L38/14306</f>
        <v>472.94540752131729</v>
      </c>
      <c r="N38" s="47"/>
    </row>
    <row r="39" spans="1:16" ht="15" x14ac:dyDescent="0.25">
      <c r="C39" s="19">
        <f>SUM(C8:C38)</f>
        <v>49</v>
      </c>
      <c r="D39" s="19">
        <f>SUM(D8:D38)</f>
        <v>346</v>
      </c>
      <c r="F39" s="19">
        <f>SUM(F8:F38)</f>
        <v>142620.00000000015</v>
      </c>
      <c r="I39" s="19">
        <f>SUM(I8:I38)</f>
        <v>28639.999999999978</v>
      </c>
      <c r="K39" s="2" t="s">
        <v>42</v>
      </c>
      <c r="L39" s="54">
        <f>SUM(L8:L38)</f>
        <v>211384899.00000015</v>
      </c>
      <c r="M39" s="55">
        <f>SUM(M8:M38)</f>
        <v>14775.961065287302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171260.00000000012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16" activePane="bottomRight" state="frozen"/>
      <selection activeCell="A3" sqref="A3"/>
      <selection pane="topRight" activeCell="C3" sqref="C3"/>
      <selection pane="bottomLeft" activeCell="A9" sqref="A9"/>
      <selection pane="bottomRight" activeCell="U23" sqref="U23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21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21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21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21" x14ac:dyDescent="0.2">
      <c r="A4" s="8"/>
      <c r="B4" s="92">
        <v>44409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8"/>
    </row>
    <row r="5" spans="1:21" ht="23.25" customHeight="1" x14ac:dyDescent="0.2">
      <c r="A5" s="79"/>
      <c r="B5" s="86" t="s">
        <v>1</v>
      </c>
      <c r="C5" s="86" t="s">
        <v>38</v>
      </c>
      <c r="D5" s="86" t="s">
        <v>39</v>
      </c>
      <c r="E5" s="94" t="s">
        <v>19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3" t="s">
        <v>20</v>
      </c>
      <c r="R5" s="93"/>
      <c r="S5" s="69"/>
    </row>
    <row r="6" spans="1:21" s="7" customFormat="1" ht="48" customHeight="1" x14ac:dyDescent="0.2">
      <c r="A6" s="79"/>
      <c r="B6" s="86"/>
      <c r="C6" s="86"/>
      <c r="D6" s="86"/>
      <c r="E6" s="94" t="s">
        <v>21</v>
      </c>
      <c r="F6" s="94"/>
      <c r="G6" s="94"/>
      <c r="H6" s="94" t="s">
        <v>22</v>
      </c>
      <c r="I6" s="94"/>
      <c r="J6" s="94"/>
      <c r="K6" s="94" t="s">
        <v>23</v>
      </c>
      <c r="L6" s="94"/>
      <c r="M6" s="94"/>
      <c r="N6" s="95" t="s">
        <v>24</v>
      </c>
      <c r="O6" s="95"/>
      <c r="P6" s="95"/>
      <c r="Q6" s="93"/>
      <c r="R6" s="93"/>
      <c r="S6" s="69"/>
    </row>
    <row r="7" spans="1:21" ht="36" customHeight="1" x14ac:dyDescent="0.2">
      <c r="A7" s="80"/>
      <c r="B7" s="86"/>
      <c r="C7" s="86"/>
      <c r="D7" s="86"/>
      <c r="E7" s="86" t="s">
        <v>10</v>
      </c>
      <c r="F7" s="96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3"/>
      <c r="R7" s="93"/>
      <c r="S7" s="70"/>
    </row>
    <row r="8" spans="1:21" ht="15.75" customHeight="1" x14ac:dyDescent="0.2">
      <c r="A8" s="80"/>
      <c r="B8" s="86"/>
      <c r="C8" s="86"/>
      <c r="D8" s="86"/>
      <c r="E8" s="86"/>
      <c r="F8" s="97"/>
      <c r="G8" s="82">
        <v>13400</v>
      </c>
      <c r="H8" s="86"/>
      <c r="I8" s="86"/>
      <c r="J8" s="82">
        <f>G8</f>
        <v>13400</v>
      </c>
      <c r="K8" s="86"/>
      <c r="L8" s="86"/>
      <c r="M8" s="82">
        <f>J8</f>
        <v>13400</v>
      </c>
      <c r="N8" s="86"/>
      <c r="O8" s="86"/>
      <c r="P8" s="82">
        <f>J8</f>
        <v>13400</v>
      </c>
      <c r="Q8" s="83" t="s">
        <v>30</v>
      </c>
      <c r="R8" s="73" t="s">
        <v>9</v>
      </c>
      <c r="S8" s="70"/>
      <c r="U8">
        <f>670000/50</f>
        <v>13400</v>
      </c>
    </row>
    <row r="9" spans="1:21" ht="17.100000000000001" customHeight="1" x14ac:dyDescent="0.25">
      <c r="A9" s="80"/>
      <c r="B9" s="77">
        <v>1</v>
      </c>
      <c r="C9" s="16">
        <f>Electricity!C8</f>
        <v>1</v>
      </c>
      <c r="D9" s="16">
        <f>Electricity!D8</f>
        <v>7</v>
      </c>
      <c r="E9" s="3">
        <v>6470.23</v>
      </c>
      <c r="F9" s="11">
        <v>31.700359999999556</v>
      </c>
      <c r="G9" s="25">
        <f>F9*$G$8</f>
        <v>424784.82399999403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95676</v>
      </c>
      <c r="Q9" s="17">
        <f>P9+G9+J9+M9</f>
        <v>520460.82399999403</v>
      </c>
      <c r="R9" s="78">
        <f>Q9/14306</f>
        <v>36.380597231930238</v>
      </c>
      <c r="S9" s="70"/>
    </row>
    <row r="10" spans="1:21" ht="17.100000000000001" customHeight="1" x14ac:dyDescent="0.25">
      <c r="A10" s="80"/>
      <c r="B10" s="77">
        <v>2</v>
      </c>
      <c r="C10" s="16">
        <f>Electricity!C9</f>
        <v>1</v>
      </c>
      <c r="D10" s="16">
        <f>Electricity!D9</f>
        <v>3</v>
      </c>
      <c r="E10" s="3">
        <v>6477.92</v>
      </c>
      <c r="F10" s="11">
        <v>30.97532000000205</v>
      </c>
      <c r="G10" s="25">
        <f>F10*$G$8</f>
        <v>415069.28800002747</v>
      </c>
      <c r="H10" s="3">
        <v>638.79999999999995</v>
      </c>
      <c r="I10" s="25">
        <f>H10-H9</f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95676</v>
      </c>
      <c r="Q10" s="17">
        <f>J10+M10+G10+P10</f>
        <v>510745.28800002747</v>
      </c>
      <c r="R10" s="78">
        <f t="shared" ref="R10:R39" si="1">Q10/14306</f>
        <v>35.701474066827032</v>
      </c>
      <c r="S10" s="70"/>
    </row>
    <row r="11" spans="1:21" ht="17.100000000000001" customHeight="1" x14ac:dyDescent="0.25">
      <c r="A11" s="80"/>
      <c r="B11" s="77">
        <v>3</v>
      </c>
      <c r="C11" s="16">
        <f>Electricity!C10</f>
        <v>0</v>
      </c>
      <c r="D11" s="16">
        <f>Electricity!D10</f>
        <v>3</v>
      </c>
      <c r="E11" s="3">
        <v>6484.64</v>
      </c>
      <c r="F11" s="11">
        <v>27.068160000001022</v>
      </c>
      <c r="G11" s="25">
        <f t="shared" ref="G11:G38" si="2">F11*$G$8</f>
        <v>362713.34400001372</v>
      </c>
      <c r="H11" s="3">
        <v>638.79999999999995</v>
      </c>
      <c r="I11" s="25">
        <f t="shared" ref="I11:I39" si="3">H11-H10</f>
        <v>0</v>
      </c>
      <c r="J11" s="25">
        <f t="shared" ref="J11:J38" si="4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5">O11*$P$8</f>
        <v>95676</v>
      </c>
      <c r="Q11" s="17">
        <f t="shared" ref="Q11:Q38" si="6">J11+M11+G11+P11</f>
        <v>458389.34400001372</v>
      </c>
      <c r="R11" s="78">
        <f t="shared" si="1"/>
        <v>32.041754788201715</v>
      </c>
      <c r="S11" s="70"/>
    </row>
    <row r="12" spans="1:21" ht="17.100000000000001" customHeight="1" x14ac:dyDescent="0.25">
      <c r="A12" s="80"/>
      <c r="B12" s="77">
        <v>4</v>
      </c>
      <c r="C12" s="16">
        <f>Electricity!C11</f>
        <v>2</v>
      </c>
      <c r="D12" s="16">
        <f>Electricity!D11</f>
        <v>10</v>
      </c>
      <c r="E12" s="3">
        <v>6493.41</v>
      </c>
      <c r="F12" s="11">
        <v>35.325559999998092</v>
      </c>
      <c r="G12" s="25">
        <f t="shared" si="2"/>
        <v>473362.5039999744</v>
      </c>
      <c r="H12" s="3">
        <v>638.79999999999995</v>
      </c>
      <c r="I12" s="25">
        <f t="shared" si="3"/>
        <v>0</v>
      </c>
      <c r="J12" s="25">
        <f t="shared" si="4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5"/>
        <v>95676</v>
      </c>
      <c r="Q12" s="17">
        <f t="shared" si="6"/>
        <v>569038.50399997435</v>
      </c>
      <c r="R12" s="78">
        <f t="shared" si="1"/>
        <v>39.776213057456616</v>
      </c>
      <c r="S12" s="70"/>
    </row>
    <row r="13" spans="1:21" ht="17.100000000000001" customHeight="1" x14ac:dyDescent="0.25">
      <c r="A13" s="80"/>
      <c r="B13" s="77">
        <v>5</v>
      </c>
      <c r="C13" s="16">
        <f>Electricity!C12</f>
        <v>1</v>
      </c>
      <c r="D13" s="16">
        <f>Electricity!D12</f>
        <v>5</v>
      </c>
      <c r="E13" s="3">
        <v>6501.24</v>
      </c>
      <c r="F13" s="11">
        <v>31.539239999999705</v>
      </c>
      <c r="G13" s="25">
        <f t="shared" si="2"/>
        <v>422625.81599999603</v>
      </c>
      <c r="H13" s="3">
        <v>638.79999999999995</v>
      </c>
      <c r="I13" s="25">
        <f t="shared" si="3"/>
        <v>0</v>
      </c>
      <c r="J13" s="25">
        <f t="shared" si="4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5"/>
        <v>95676</v>
      </c>
      <c r="Q13" s="17">
        <f t="shared" si="6"/>
        <v>518301.81599999603</v>
      </c>
      <c r="R13" s="78">
        <f t="shared" si="1"/>
        <v>36.229680973018034</v>
      </c>
      <c r="S13" s="70"/>
    </row>
    <row r="14" spans="1:21" ht="17.100000000000001" customHeight="1" x14ac:dyDescent="0.25">
      <c r="A14" s="80"/>
      <c r="B14" s="77">
        <v>6</v>
      </c>
      <c r="C14" s="16">
        <f>Electricity!C13</f>
        <v>1</v>
      </c>
      <c r="D14" s="16">
        <f>Electricity!D13</f>
        <v>5</v>
      </c>
      <c r="E14" s="3">
        <v>6510.38</v>
      </c>
      <c r="F14" s="11">
        <v>36.815920000001313</v>
      </c>
      <c r="G14" s="25">
        <f t="shared" si="2"/>
        <v>493333.32800001762</v>
      </c>
      <c r="H14" s="3">
        <v>638.79999999999995</v>
      </c>
      <c r="I14" s="25">
        <f t="shared" si="3"/>
        <v>0</v>
      </c>
      <c r="J14" s="25">
        <f t="shared" si="4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5"/>
        <v>95676</v>
      </c>
      <c r="Q14" s="17">
        <f t="shared" si="6"/>
        <v>589009.32800001767</v>
      </c>
      <c r="R14" s="78">
        <f t="shared" si="1"/>
        <v>41.172188452398828</v>
      </c>
      <c r="S14" s="70"/>
    </row>
    <row r="15" spans="1:21" ht="17.100000000000001" customHeight="1" x14ac:dyDescent="0.25">
      <c r="A15" s="80"/>
      <c r="B15" s="77">
        <v>7</v>
      </c>
      <c r="C15" s="16">
        <f>Electricity!C14</f>
        <v>2</v>
      </c>
      <c r="D15" s="16">
        <f>Electricity!D14</f>
        <v>15</v>
      </c>
      <c r="E15" s="3">
        <v>6520.6</v>
      </c>
      <c r="F15" s="11">
        <v>41.166160000001021</v>
      </c>
      <c r="G15" s="25">
        <f t="shared" si="2"/>
        <v>551626.54400001373</v>
      </c>
      <c r="H15" s="3">
        <v>638.79999999999995</v>
      </c>
      <c r="I15" s="25">
        <f t="shared" si="3"/>
        <v>0</v>
      </c>
      <c r="J15" s="25">
        <f t="shared" si="4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5"/>
        <v>95676</v>
      </c>
      <c r="Q15" s="17">
        <f t="shared" si="6"/>
        <v>647302.54400001373</v>
      </c>
      <c r="R15" s="78">
        <f t="shared" si="1"/>
        <v>45.246927443031858</v>
      </c>
      <c r="S15" s="70"/>
    </row>
    <row r="16" spans="1:21" ht="17.100000000000001" customHeight="1" x14ac:dyDescent="0.25">
      <c r="A16" s="80"/>
      <c r="B16" s="77">
        <v>8</v>
      </c>
      <c r="C16" s="16">
        <f>Electricity!C15</f>
        <v>1</v>
      </c>
      <c r="D16" s="16">
        <f>Electricity!D15</f>
        <v>19</v>
      </c>
      <c r="E16" s="3">
        <v>6530.95</v>
      </c>
      <c r="F16" s="11">
        <v>41.689799999997796</v>
      </c>
      <c r="G16" s="25">
        <f t="shared" si="2"/>
        <v>558643.3199999705</v>
      </c>
      <c r="H16" s="3">
        <v>638.79999999999995</v>
      </c>
      <c r="I16" s="25">
        <f t="shared" si="3"/>
        <v>0</v>
      </c>
      <c r="J16" s="25">
        <f t="shared" si="4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5"/>
        <v>95676</v>
      </c>
      <c r="Q16" s="17">
        <f t="shared" si="6"/>
        <v>654319.3199999705</v>
      </c>
      <c r="R16" s="78">
        <f t="shared" si="1"/>
        <v>45.737405284493953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1</v>
      </c>
      <c r="D17" s="16">
        <f>Electricity!D16</f>
        <v>11</v>
      </c>
      <c r="E17" s="3">
        <v>6538.93</v>
      </c>
      <c r="F17" s="11">
        <v>32.143440000001902</v>
      </c>
      <c r="G17" s="25">
        <f t="shared" si="2"/>
        <v>430722.09600002551</v>
      </c>
      <c r="H17" s="3">
        <v>638.79999999999995</v>
      </c>
      <c r="I17" s="25">
        <f t="shared" si="3"/>
        <v>0</v>
      </c>
      <c r="J17" s="25">
        <f t="shared" si="4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5"/>
        <v>95676</v>
      </c>
      <c r="Q17" s="17">
        <f t="shared" si="6"/>
        <v>526398.09600002551</v>
      </c>
      <c r="R17" s="78">
        <f t="shared" si="1"/>
        <v>36.79561694394139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1</v>
      </c>
      <c r="D18" s="16">
        <f>Electricity!D17</f>
        <v>7</v>
      </c>
      <c r="E18" s="3">
        <v>6549.22</v>
      </c>
      <c r="F18" s="11">
        <v>41.448119999999847</v>
      </c>
      <c r="G18" s="25">
        <f t="shared" si="2"/>
        <v>555404.80799999798</v>
      </c>
      <c r="H18" s="3">
        <v>638.79999999999995</v>
      </c>
      <c r="I18" s="25">
        <f t="shared" si="3"/>
        <v>0</v>
      </c>
      <c r="J18" s="25">
        <f t="shared" si="4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5"/>
        <v>95676</v>
      </c>
      <c r="Q18" s="17">
        <f t="shared" si="6"/>
        <v>651080.80799999798</v>
      </c>
      <c r="R18" s="78">
        <f t="shared" si="1"/>
        <v>45.511030896127359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0</v>
      </c>
      <c r="D19" s="16">
        <f>Electricity!D18</f>
        <v>12</v>
      </c>
      <c r="E19" s="3">
        <v>6557.82</v>
      </c>
      <c r="F19" s="11">
        <v>34.640799999997796</v>
      </c>
      <c r="G19" s="25">
        <f t="shared" si="2"/>
        <v>464186.71999997046</v>
      </c>
      <c r="H19" s="3">
        <v>638.79999999999995</v>
      </c>
      <c r="I19" s="25">
        <f t="shared" si="3"/>
        <v>0</v>
      </c>
      <c r="J19" s="25">
        <f t="shared" si="4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5"/>
        <v>95676</v>
      </c>
      <c r="Q19" s="17">
        <f t="shared" si="6"/>
        <v>559862.7199999704</v>
      </c>
      <c r="R19" s="78">
        <f t="shared" si="1"/>
        <v>39.134818957078878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2</v>
      </c>
      <c r="D20" s="16">
        <f>Electricity!D19</f>
        <v>5</v>
      </c>
      <c r="E20" s="3">
        <v>6566.42</v>
      </c>
      <c r="F20" s="11">
        <v>34.640800000001462</v>
      </c>
      <c r="G20" s="25">
        <f t="shared" si="2"/>
        <v>464186.72000001959</v>
      </c>
      <c r="H20" s="3">
        <v>638.79999999999995</v>
      </c>
      <c r="I20" s="25">
        <f t="shared" si="3"/>
        <v>0</v>
      </c>
      <c r="J20" s="25">
        <f t="shared" si="4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5"/>
        <v>95676</v>
      </c>
      <c r="Q20" s="17">
        <f t="shared" si="6"/>
        <v>559862.72000001953</v>
      </c>
      <c r="R20" s="78">
        <f t="shared" si="1"/>
        <v>39.13481895708231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</v>
      </c>
      <c r="D21" s="16">
        <f>Electricity!D20</f>
        <v>6</v>
      </c>
      <c r="E21" s="3">
        <v>6575.99</v>
      </c>
      <c r="F21" s="11">
        <v>38.547959999998824</v>
      </c>
      <c r="G21" s="25">
        <f t="shared" si="2"/>
        <v>516542.66399998422</v>
      </c>
      <c r="H21" s="3">
        <v>638.79999999999995</v>
      </c>
      <c r="I21" s="25">
        <f t="shared" si="3"/>
        <v>0</v>
      </c>
      <c r="J21" s="25">
        <f t="shared" si="4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5"/>
        <v>95676</v>
      </c>
      <c r="Q21" s="17">
        <f t="shared" si="6"/>
        <v>612218.66399998427</v>
      </c>
      <c r="R21" s="78">
        <f t="shared" si="1"/>
        <v>42.794538235704202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5</v>
      </c>
      <c r="D22" s="16">
        <f>Electricity!D21</f>
        <v>19</v>
      </c>
      <c r="E22" s="3">
        <v>6586.47</v>
      </c>
      <c r="F22" s="11">
        <v>42.213440000001903</v>
      </c>
      <c r="G22" s="25">
        <f t="shared" si="2"/>
        <v>565660.09600002551</v>
      </c>
      <c r="H22" s="3">
        <v>638.79999999999995</v>
      </c>
      <c r="I22" s="25">
        <f t="shared" si="3"/>
        <v>0</v>
      </c>
      <c r="J22" s="25">
        <f t="shared" si="4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5"/>
        <v>95676</v>
      </c>
      <c r="Q22" s="17">
        <f t="shared" si="6"/>
        <v>661336.09600002551</v>
      </c>
      <c r="R22" s="78">
        <f t="shared" si="1"/>
        <v>46.227883125962919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3</v>
      </c>
      <c r="D23" s="16">
        <f>Electricity!D22</f>
        <v>22</v>
      </c>
      <c r="E23" s="3">
        <v>6597.77</v>
      </c>
      <c r="F23" s="11">
        <v>45.516400000000729</v>
      </c>
      <c r="G23" s="25">
        <f t="shared" si="2"/>
        <v>609919.76000000979</v>
      </c>
      <c r="H23" s="3">
        <v>638.79999999999995</v>
      </c>
      <c r="I23" s="25">
        <f t="shared" si="3"/>
        <v>0</v>
      </c>
      <c r="J23" s="25">
        <f t="shared" si="4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5"/>
        <v>95676</v>
      </c>
      <c r="Q23" s="17">
        <f t="shared" si="6"/>
        <v>705595.76000000979</v>
      </c>
      <c r="R23" s="78">
        <f t="shared" si="1"/>
        <v>49.32166643366488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0</v>
      </c>
      <c r="D24" s="16">
        <f>Electricity!D23</f>
        <v>9</v>
      </c>
      <c r="E24" s="3">
        <v>6606.19</v>
      </c>
      <c r="F24" s="11">
        <v>33.915759999996624</v>
      </c>
      <c r="G24" s="25">
        <f t="shared" si="2"/>
        <v>454471.18399995478</v>
      </c>
      <c r="H24" s="3">
        <v>638.79999999999995</v>
      </c>
      <c r="I24" s="25">
        <f t="shared" si="3"/>
        <v>0</v>
      </c>
      <c r="J24" s="25">
        <f t="shared" si="4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5"/>
        <v>95676</v>
      </c>
      <c r="Q24" s="17">
        <f t="shared" si="6"/>
        <v>550147.18399995472</v>
      </c>
      <c r="R24" s="78">
        <f t="shared" si="1"/>
        <v>38.455695791972232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0</v>
      </c>
      <c r="D25" s="16">
        <f>Electricity!D24</f>
        <v>12</v>
      </c>
      <c r="E25" s="3">
        <v>6615.26</v>
      </c>
      <c r="F25" s="11">
        <v>36.533960000002487</v>
      </c>
      <c r="G25" s="25">
        <f t="shared" si="2"/>
        <v>489555.06400003331</v>
      </c>
      <c r="H25" s="3">
        <v>638.79999999999995</v>
      </c>
      <c r="I25" s="25">
        <f t="shared" si="3"/>
        <v>0</v>
      </c>
      <c r="J25" s="25">
        <f t="shared" si="4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5"/>
        <v>95676</v>
      </c>
      <c r="Q25" s="17">
        <f t="shared" si="6"/>
        <v>585231.06400003331</v>
      </c>
      <c r="R25" s="78">
        <f t="shared" si="1"/>
        <v>40.90808499930332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0</v>
      </c>
      <c r="D26" s="16">
        <f>Electricity!D25</f>
        <v>7</v>
      </c>
      <c r="E26" s="3">
        <v>6620.22</v>
      </c>
      <c r="F26" s="11">
        <v>19.978880000000146</v>
      </c>
      <c r="G26" s="25">
        <f t="shared" si="2"/>
        <v>267716.99200000195</v>
      </c>
      <c r="H26" s="3">
        <v>638.79999999999995</v>
      </c>
      <c r="I26" s="25">
        <f t="shared" si="3"/>
        <v>0</v>
      </c>
      <c r="J26" s="25">
        <f t="shared" si="4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5"/>
        <v>95676</v>
      </c>
      <c r="Q26" s="17">
        <f t="shared" si="6"/>
        <v>363392.99200000195</v>
      </c>
      <c r="R26" s="78">
        <f t="shared" si="1"/>
        <v>25.401439396057736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0</v>
      </c>
      <c r="D27" s="16">
        <f>Electricity!D26</f>
        <v>3</v>
      </c>
      <c r="E27" s="3">
        <v>6623.47</v>
      </c>
      <c r="F27" s="11">
        <v>13.090999999999999</v>
      </c>
      <c r="G27" s="25">
        <f t="shared" si="2"/>
        <v>175419.4</v>
      </c>
      <c r="H27" s="3">
        <v>638.79999999999995</v>
      </c>
      <c r="I27" s="25">
        <f t="shared" si="3"/>
        <v>0</v>
      </c>
      <c r="J27" s="25">
        <f t="shared" si="4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5"/>
        <v>95676</v>
      </c>
      <c r="Q27" s="17">
        <f t="shared" si="6"/>
        <v>271095.40000000002</v>
      </c>
      <c r="R27" s="78">
        <f t="shared" si="1"/>
        <v>18.949769327554872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3</v>
      </c>
      <c r="D28" s="16">
        <f>Electricity!D27</f>
        <v>42</v>
      </c>
      <c r="E28" s="3">
        <v>6630.05</v>
      </c>
      <c r="F28" s="11">
        <v>26.504239999999704</v>
      </c>
      <c r="G28" s="25">
        <f t="shared" si="2"/>
        <v>355156.81599999603</v>
      </c>
      <c r="H28" s="3">
        <v>638.79999999999995</v>
      </c>
      <c r="I28" s="25">
        <f t="shared" si="3"/>
        <v>0</v>
      </c>
      <c r="J28" s="25">
        <f t="shared" si="4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5"/>
        <v>95676</v>
      </c>
      <c r="Q28" s="17">
        <f t="shared" si="6"/>
        <v>450832.81599999603</v>
      </c>
      <c r="R28" s="78">
        <f t="shared" si="1"/>
        <v>31.513547882007273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3</v>
      </c>
      <c r="D29" s="16">
        <f>Electricity!D28</f>
        <v>13</v>
      </c>
      <c r="E29" s="3">
        <v>6640.16</v>
      </c>
      <c r="F29" s="11">
        <v>40.723079999998674</v>
      </c>
      <c r="G29" s="25">
        <f t="shared" si="2"/>
        <v>545689.27199998219</v>
      </c>
      <c r="H29" s="3">
        <v>638.79999999999995</v>
      </c>
      <c r="I29" s="25">
        <f t="shared" si="3"/>
        <v>0</v>
      </c>
      <c r="J29" s="25">
        <f t="shared" si="4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5"/>
        <v>95676</v>
      </c>
      <c r="Q29" s="17">
        <f t="shared" si="6"/>
        <v>641365.27199998219</v>
      </c>
      <c r="R29" s="78">
        <f t="shared" si="1"/>
        <v>44.831907731020706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1</v>
      </c>
      <c r="D30" s="16">
        <f>Electricity!D29</f>
        <v>9</v>
      </c>
      <c r="E30" s="3">
        <v>6650.44</v>
      </c>
      <c r="F30" s="11">
        <v>41.40783999999897</v>
      </c>
      <c r="G30" s="25">
        <f t="shared" si="2"/>
        <v>554865.05599998625</v>
      </c>
      <c r="H30" s="3">
        <v>638.79999999999995</v>
      </c>
      <c r="I30" s="25">
        <f t="shared" si="3"/>
        <v>0</v>
      </c>
      <c r="J30" s="25">
        <f t="shared" si="4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5"/>
        <v>95676</v>
      </c>
      <c r="Q30" s="17">
        <f t="shared" si="6"/>
        <v>650541.05599998625</v>
      </c>
      <c r="R30" s="78">
        <f t="shared" si="1"/>
        <v>45.473301831398452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4</v>
      </c>
      <c r="D31" s="16">
        <f>Electricity!D30</f>
        <v>8</v>
      </c>
      <c r="E31" s="3">
        <v>6659.84</v>
      </c>
      <c r="F31" s="11">
        <v>37.863200000002195</v>
      </c>
      <c r="G31" s="25">
        <f t="shared" si="2"/>
        <v>507366.8800000294</v>
      </c>
      <c r="H31" s="3">
        <v>638.79999999999995</v>
      </c>
      <c r="I31" s="25">
        <f t="shared" si="3"/>
        <v>0</v>
      </c>
      <c r="J31" s="25">
        <f t="shared" si="4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5"/>
        <v>95676</v>
      </c>
      <c r="Q31" s="17">
        <f t="shared" si="6"/>
        <v>603042.88000002946</v>
      </c>
      <c r="R31" s="78">
        <f t="shared" si="1"/>
        <v>42.153144135329896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3</v>
      </c>
      <c r="D32" s="16">
        <f>Electricity!D31</f>
        <v>11</v>
      </c>
      <c r="E32" s="3">
        <v>6667.99</v>
      </c>
      <c r="F32" s="11">
        <v>32.828199999998532</v>
      </c>
      <c r="G32" s="25">
        <f t="shared" si="2"/>
        <v>439897.87999998033</v>
      </c>
      <c r="H32" s="3">
        <v>638.79999999999995</v>
      </c>
      <c r="I32" s="25">
        <f t="shared" si="3"/>
        <v>0</v>
      </c>
      <c r="J32" s="25">
        <f t="shared" si="4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5"/>
        <v>95676</v>
      </c>
      <c r="Q32" s="17">
        <f t="shared" si="6"/>
        <v>535573.87999998033</v>
      </c>
      <c r="R32" s="78">
        <f t="shared" si="1"/>
        <v>37.437011044315696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1</v>
      </c>
      <c r="D33" s="16">
        <f>Electricity!D32</f>
        <v>11</v>
      </c>
      <c r="E33" s="3">
        <v>6677.55</v>
      </c>
      <c r="F33" s="11">
        <v>38.507680000001606</v>
      </c>
      <c r="G33" s="25">
        <f t="shared" si="2"/>
        <v>516002.91200002155</v>
      </c>
      <c r="H33" s="3">
        <v>638.79999999999995</v>
      </c>
      <c r="I33" s="25">
        <f t="shared" si="3"/>
        <v>0</v>
      </c>
      <c r="J33" s="25">
        <f t="shared" si="4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5"/>
        <v>95676</v>
      </c>
      <c r="Q33" s="17">
        <f t="shared" si="6"/>
        <v>611678.91200002155</v>
      </c>
      <c r="R33" s="78">
        <f t="shared" si="1"/>
        <v>42.75680917097872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4</v>
      </c>
      <c r="D34" s="16">
        <f>Electricity!D33</f>
        <v>11</v>
      </c>
      <c r="E34" s="3">
        <v>6690.04</v>
      </c>
      <c r="F34" s="11">
        <v>50.309719999999118</v>
      </c>
      <c r="G34" s="25">
        <f t="shared" si="2"/>
        <v>674150.24799998815</v>
      </c>
      <c r="H34" s="3">
        <v>638.79999999999995</v>
      </c>
      <c r="I34" s="25">
        <f t="shared" si="3"/>
        <v>0</v>
      </c>
      <c r="J34" s="25">
        <f t="shared" si="4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5"/>
        <v>95676</v>
      </c>
      <c r="Q34" s="17">
        <f t="shared" si="6"/>
        <v>769826.24799998815</v>
      </c>
      <c r="R34" s="78">
        <f t="shared" si="1"/>
        <v>53.811425136305616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4</v>
      </c>
      <c r="D35" s="16">
        <f>Electricity!D34</f>
        <v>23</v>
      </c>
      <c r="E35" s="3">
        <v>6701.79</v>
      </c>
      <c r="F35" s="11">
        <v>47.328999999999994</v>
      </c>
      <c r="G35" s="25">
        <f t="shared" si="2"/>
        <v>634208.59999999986</v>
      </c>
      <c r="H35" s="3">
        <v>638.79999999999995</v>
      </c>
      <c r="I35" s="25">
        <f t="shared" si="3"/>
        <v>0</v>
      </c>
      <c r="J35" s="25">
        <f t="shared" si="4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5"/>
        <v>95676</v>
      </c>
      <c r="Q35" s="17">
        <f t="shared" si="6"/>
        <v>729884.59999999986</v>
      </c>
      <c r="R35" s="78">
        <f t="shared" si="1"/>
        <v>51.019474346428062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3</v>
      </c>
      <c r="D36" s="16">
        <f>Electricity!D35</f>
        <v>4</v>
      </c>
      <c r="E36" s="3">
        <v>6712.67</v>
      </c>
      <c r="F36" s="11">
        <v>43.824640000000436</v>
      </c>
      <c r="G36" s="25">
        <f t="shared" si="2"/>
        <v>587250.1760000058</v>
      </c>
      <c r="H36" s="3">
        <v>638.79999999999995</v>
      </c>
      <c r="I36" s="25">
        <f t="shared" si="3"/>
        <v>0</v>
      </c>
      <c r="J36" s="25">
        <f t="shared" si="4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5"/>
        <v>95676</v>
      </c>
      <c r="Q36" s="17">
        <f t="shared" si="6"/>
        <v>682926.1760000058</v>
      </c>
      <c r="R36" s="78">
        <f t="shared" si="1"/>
        <v>47.737045715084989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0</v>
      </c>
      <c r="D37" s="16">
        <f>Electricity!D36</f>
        <v>14</v>
      </c>
      <c r="E37" s="3">
        <v>6720.97</v>
      </c>
      <c r="F37" s="11">
        <v>33.432400000000726</v>
      </c>
      <c r="G37" s="25">
        <f t="shared" si="2"/>
        <v>447994.16000000975</v>
      </c>
      <c r="H37" s="3">
        <v>638.79999999999995</v>
      </c>
      <c r="I37" s="25">
        <f t="shared" si="3"/>
        <v>0</v>
      </c>
      <c r="J37" s="25">
        <f t="shared" si="4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5"/>
        <v>95676</v>
      </c>
      <c r="Q37" s="17">
        <f t="shared" si="6"/>
        <v>543670.1600000097</v>
      </c>
      <c r="R37" s="78">
        <f t="shared" si="1"/>
        <v>38.002947015239037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0</v>
      </c>
      <c r="D38" s="16">
        <f>Electricity!D37</f>
        <v>8</v>
      </c>
      <c r="E38" s="3">
        <v>6726.83</v>
      </c>
      <c r="F38" s="11">
        <v>23.604079999998678</v>
      </c>
      <c r="G38" s="25">
        <f t="shared" si="2"/>
        <v>316294.67199998227</v>
      </c>
      <c r="H38" s="3">
        <v>638.79999999999995</v>
      </c>
      <c r="I38" s="25">
        <f t="shared" si="3"/>
        <v>0</v>
      </c>
      <c r="J38" s="25">
        <f t="shared" si="4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5"/>
        <v>95676</v>
      </c>
      <c r="Q38" s="17">
        <f t="shared" si="6"/>
        <v>411970.67199998227</v>
      </c>
      <c r="R38" s="78">
        <f t="shared" si="1"/>
        <v>28.79705522158411</v>
      </c>
      <c r="S38" s="70"/>
    </row>
    <row r="39" spans="1:21" ht="17.100000000000001" customHeight="1" x14ac:dyDescent="0.25">
      <c r="B39" s="77">
        <v>31</v>
      </c>
      <c r="C39" s="16">
        <f>Electricity!C38</f>
        <v>0</v>
      </c>
      <c r="D39" s="16">
        <f>Electricity!D38</f>
        <v>12</v>
      </c>
      <c r="E39" s="3">
        <v>6730.4</v>
      </c>
      <c r="F39" s="11">
        <v>14.379959999998826</v>
      </c>
      <c r="G39" s="25">
        <f t="shared" ref="G39" si="7">F39*$G$8</f>
        <v>192691.46399998426</v>
      </c>
      <c r="H39" s="3">
        <v>638.79999999999995</v>
      </c>
      <c r="I39" s="25">
        <f t="shared" si="3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95676</v>
      </c>
      <c r="Q39" s="17">
        <f t="shared" ref="Q39" si="11">J39+M39+G39+P39</f>
        <v>288367.46399998426</v>
      </c>
      <c r="R39" s="78">
        <f t="shared" si="1"/>
        <v>20.157099398852527</v>
      </c>
    </row>
    <row r="40" spans="1:21" s="1" customFormat="1" ht="15.75" x14ac:dyDescent="0.25">
      <c r="C40" s="49">
        <f>SUM(C9:C39)</f>
        <v>49</v>
      </c>
      <c r="D40" s="49">
        <f>SUM(D9:D39)</f>
        <v>346</v>
      </c>
      <c r="E40" s="19"/>
      <c r="F40" s="19">
        <f>SUM(F9:F39)</f>
        <v>1079.6651199999999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1218.6123729903536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1" t="s">
        <v>58</v>
      </c>
      <c r="Q43" s="91"/>
      <c r="R43" s="44"/>
    </row>
    <row r="44" spans="1:21" x14ac:dyDescent="0.2">
      <c r="Q44" s="41">
        <f>F40+O40</f>
        <v>1301.0051199999998</v>
      </c>
      <c r="R44" s="44"/>
    </row>
  </sheetData>
  <mergeCells count="21">
    <mergeCell ref="F7:F8"/>
    <mergeCell ref="I7:I8"/>
    <mergeCell ref="E7:E8"/>
    <mergeCell ref="K7:K8"/>
    <mergeCell ref="L7:L8"/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K30" sqref="K30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2">
        <v>44409</v>
      </c>
      <c r="C4" s="92"/>
      <c r="D4" s="92"/>
      <c r="E4" s="92"/>
      <c r="F4" s="92"/>
      <c r="G4" s="92"/>
      <c r="H4" s="92"/>
      <c r="I4" s="8"/>
    </row>
    <row r="5" spans="1:9" ht="12.75" customHeight="1" x14ac:dyDescent="0.2">
      <c r="A5" s="72"/>
      <c r="B5" s="86" t="s">
        <v>59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8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>
        <v>1995</v>
      </c>
      <c r="F8" s="98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1</v>
      </c>
      <c r="D9" s="37">
        <f>Electricity!D8</f>
        <v>7</v>
      </c>
      <c r="E9" s="15">
        <v>1995</v>
      </c>
      <c r="F9" s="28">
        <v>0</v>
      </c>
      <c r="G9" s="28">
        <f t="shared" ref="G9:G38" si="0">F9*$G$8</f>
        <v>0</v>
      </c>
      <c r="H9" s="78">
        <f>G9/14306</f>
        <v>0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1</v>
      </c>
      <c r="D10" s="37">
        <f>Electricity!D9</f>
        <v>3</v>
      </c>
      <c r="E10" s="15">
        <v>2006</v>
      </c>
      <c r="F10" s="28">
        <v>11</v>
      </c>
      <c r="G10" s="28">
        <f>F10*$G$8</f>
        <v>117700</v>
      </c>
      <c r="H10" s="78">
        <f t="shared" ref="H10:H39" si="1">G10/14306</f>
        <v>8.2273172095624219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0</v>
      </c>
      <c r="D11" s="37">
        <f>Electricity!D10</f>
        <v>3</v>
      </c>
      <c r="E11" s="15">
        <v>2006</v>
      </c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2</v>
      </c>
      <c r="D12" s="37">
        <f>Electricity!D11</f>
        <v>10</v>
      </c>
      <c r="E12" s="15">
        <v>2006</v>
      </c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1</v>
      </c>
      <c r="D13" s="37">
        <f>Electricity!D12</f>
        <v>5</v>
      </c>
      <c r="E13" s="15">
        <v>2006</v>
      </c>
      <c r="F13" s="28">
        <v>0</v>
      </c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1</v>
      </c>
      <c r="D14" s="37">
        <f>Electricity!D13</f>
        <v>5</v>
      </c>
      <c r="E14" s="15">
        <v>2006</v>
      </c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2</v>
      </c>
      <c r="D15" s="37">
        <f>Electricity!D14</f>
        <v>15</v>
      </c>
      <c r="E15" s="15">
        <v>2006</v>
      </c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1</v>
      </c>
      <c r="D16" s="37">
        <f>Electricity!D15</f>
        <v>19</v>
      </c>
      <c r="E16" s="15">
        <v>2006</v>
      </c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1</v>
      </c>
      <c r="D17" s="37">
        <f>Electricity!D16</f>
        <v>11</v>
      </c>
      <c r="E17" s="15">
        <v>2006</v>
      </c>
      <c r="F17" s="28">
        <v>0</v>
      </c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1</v>
      </c>
      <c r="D18" s="37">
        <f>Electricity!D17</f>
        <v>7</v>
      </c>
      <c r="E18" s="15">
        <v>2006</v>
      </c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0</v>
      </c>
      <c r="D19" s="37">
        <f>Electricity!D18</f>
        <v>12</v>
      </c>
      <c r="E19" s="15">
        <v>2006</v>
      </c>
      <c r="F19" s="28">
        <v>0</v>
      </c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2</v>
      </c>
      <c r="D20" s="37">
        <f>Electricity!D19</f>
        <v>5</v>
      </c>
      <c r="E20" s="15">
        <v>2006</v>
      </c>
      <c r="F20" s="28">
        <v>0</v>
      </c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2</v>
      </c>
      <c r="D21" s="37">
        <f>Electricity!D20</f>
        <v>6</v>
      </c>
      <c r="E21" s="15">
        <v>2057</v>
      </c>
      <c r="F21" s="28">
        <v>51</v>
      </c>
      <c r="G21" s="28">
        <f t="shared" si="0"/>
        <v>545700</v>
      </c>
      <c r="H21" s="78">
        <f t="shared" si="1"/>
        <v>38.144834335243957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5</v>
      </c>
      <c r="D22" s="37">
        <f>Electricity!D21</f>
        <v>19</v>
      </c>
      <c r="E22" s="15">
        <v>2065</v>
      </c>
      <c r="F22" s="28">
        <v>8</v>
      </c>
      <c r="G22" s="28">
        <f t="shared" si="0"/>
        <v>85600</v>
      </c>
      <c r="H22" s="78">
        <f t="shared" si="1"/>
        <v>5.9835034251363064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3</v>
      </c>
      <c r="D23" s="37">
        <f>Electricity!D22</f>
        <v>22</v>
      </c>
      <c r="E23" s="15">
        <v>2065</v>
      </c>
      <c r="F23" s="28">
        <v>0</v>
      </c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0</v>
      </c>
      <c r="D24" s="37">
        <f>Electricity!D23</f>
        <v>9</v>
      </c>
      <c r="E24" s="15">
        <v>2065</v>
      </c>
      <c r="F24" s="28">
        <v>0</v>
      </c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0</v>
      </c>
      <c r="D25" s="37">
        <f>Electricity!D24</f>
        <v>12</v>
      </c>
      <c r="E25" s="15">
        <v>2065</v>
      </c>
      <c r="F25" s="28">
        <v>0</v>
      </c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0</v>
      </c>
      <c r="D26" s="37">
        <f>Electricity!D25</f>
        <v>7</v>
      </c>
      <c r="E26" s="15">
        <v>2065</v>
      </c>
      <c r="F26" s="28">
        <v>0</v>
      </c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0</v>
      </c>
      <c r="D27" s="37">
        <f>Electricity!D26</f>
        <v>3</v>
      </c>
      <c r="E27" s="15">
        <v>2065</v>
      </c>
      <c r="F27" s="28">
        <v>0</v>
      </c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3</v>
      </c>
      <c r="D28" s="37">
        <f>Electricity!D27</f>
        <v>42</v>
      </c>
      <c r="E28" s="15">
        <v>2077</v>
      </c>
      <c r="F28" s="28">
        <v>12</v>
      </c>
      <c r="G28" s="28">
        <f t="shared" si="0"/>
        <v>128400</v>
      </c>
      <c r="H28" s="78">
        <f t="shared" si="1"/>
        <v>8.97525513770446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3</v>
      </c>
      <c r="D29" s="37">
        <f>Electricity!D28</f>
        <v>13</v>
      </c>
      <c r="E29" s="15">
        <v>2077</v>
      </c>
      <c r="F29" s="28">
        <v>0</v>
      </c>
      <c r="G29" s="28">
        <f t="shared" si="0"/>
        <v>0</v>
      </c>
      <c r="H29" s="78">
        <f t="shared" si="1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1</v>
      </c>
      <c r="D30" s="37">
        <f>Electricity!D29</f>
        <v>9</v>
      </c>
      <c r="E30" s="15">
        <v>2077</v>
      </c>
      <c r="F30" s="28">
        <v>0</v>
      </c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4</v>
      </c>
      <c r="D31" s="37">
        <f>Electricity!D30</f>
        <v>8</v>
      </c>
      <c r="E31" s="15">
        <v>2098</v>
      </c>
      <c r="F31" s="28">
        <v>21</v>
      </c>
      <c r="G31" s="28">
        <f t="shared" si="0"/>
        <v>224700</v>
      </c>
      <c r="H31" s="78">
        <f t="shared" si="1"/>
        <v>15.706696490982804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3</v>
      </c>
      <c r="D32" s="37">
        <f>Electricity!D31</f>
        <v>11</v>
      </c>
      <c r="E32" s="15">
        <v>2098</v>
      </c>
      <c r="F32" s="28">
        <v>0</v>
      </c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1</v>
      </c>
      <c r="D33" s="37">
        <f>Electricity!D32</f>
        <v>11</v>
      </c>
      <c r="E33" s="15">
        <v>2098</v>
      </c>
      <c r="F33" s="28">
        <v>0</v>
      </c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4</v>
      </c>
      <c r="D34" s="37">
        <f>Electricity!D33</f>
        <v>11</v>
      </c>
      <c r="E34" s="15">
        <v>2098</v>
      </c>
      <c r="F34" s="28">
        <v>0</v>
      </c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4</v>
      </c>
      <c r="D35" s="37">
        <f>Electricity!D34</f>
        <v>23</v>
      </c>
      <c r="E35" s="15">
        <v>2098</v>
      </c>
      <c r="F35" s="28">
        <v>0</v>
      </c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3</v>
      </c>
      <c r="D36" s="37">
        <f>Electricity!D35</f>
        <v>4</v>
      </c>
      <c r="E36" s="15">
        <v>2098</v>
      </c>
      <c r="F36" s="28">
        <v>0</v>
      </c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0</v>
      </c>
      <c r="D37" s="37">
        <f>Electricity!D36</f>
        <v>14</v>
      </c>
      <c r="E37" s="15">
        <v>2098</v>
      </c>
      <c r="F37" s="28">
        <v>0</v>
      </c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0</v>
      </c>
      <c r="D38" s="37">
        <f>Electricity!D37</f>
        <v>8</v>
      </c>
      <c r="E38" s="15">
        <v>2112</v>
      </c>
      <c r="F38" s="28">
        <v>14</v>
      </c>
      <c r="G38" s="28">
        <f t="shared" si="0"/>
        <v>149800</v>
      </c>
      <c r="H38" s="78">
        <f t="shared" si="1"/>
        <v>10.471130993988536</v>
      </c>
      <c r="I38" s="70"/>
    </row>
    <row r="39" spans="1:11" ht="17.100000000000001" customHeight="1" x14ac:dyDescent="0.25">
      <c r="A39" s="76"/>
      <c r="B39" s="77">
        <v>31</v>
      </c>
      <c r="C39" s="37">
        <f>Electricity!C38</f>
        <v>0</v>
      </c>
      <c r="D39" s="37">
        <f>Electricity!D38</f>
        <v>12</v>
      </c>
      <c r="E39" s="15">
        <v>2112</v>
      </c>
      <c r="F39" s="28">
        <v>0</v>
      </c>
      <c r="G39" s="28">
        <f t="shared" ref="G39" si="2">F39*$G$8</f>
        <v>0</v>
      </c>
      <c r="H39" s="78">
        <f t="shared" si="1"/>
        <v>0</v>
      </c>
    </row>
    <row r="40" spans="1:11" s="1" customFormat="1" ht="21.6" customHeight="1" x14ac:dyDescent="0.2">
      <c r="C40" s="19">
        <f>SUM(C9:C39)</f>
        <v>49</v>
      </c>
      <c r="D40" s="19">
        <f>SUM(D9:D39)</f>
        <v>346</v>
      </c>
      <c r="E40" s="19"/>
      <c r="F40" s="19">
        <f>SUM(F9:F39)</f>
        <v>117</v>
      </c>
      <c r="G40" s="19"/>
      <c r="H40" s="48">
        <f>SUM(H9:H39)</f>
        <v>87.508737592618488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8" zoomScaleNormal="100" workbookViewId="0">
      <selection activeCell="O34" sqref="O34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44409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4" t="s">
        <v>32</v>
      </c>
      <c r="F6" s="94"/>
      <c r="G6" s="95" t="s">
        <v>33</v>
      </c>
      <c r="H6" s="95"/>
      <c r="I6" s="95"/>
      <c r="J6" s="95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1</v>
      </c>
      <c r="D9" s="37">
        <f>Electricity!D8</f>
        <v>7</v>
      </c>
      <c r="E9" s="11">
        <v>0</v>
      </c>
      <c r="F9" s="4">
        <f>E9*13582</f>
        <v>0</v>
      </c>
      <c r="G9" s="11">
        <v>34</v>
      </c>
      <c r="H9" s="4">
        <f>G9*4000</f>
        <v>136000</v>
      </c>
      <c r="I9" s="11">
        <v>188</v>
      </c>
      <c r="J9" s="4">
        <f>I9*4000</f>
        <v>752000</v>
      </c>
      <c r="K9" s="11">
        <f t="shared" ref="K9:K38" si="0">F9+H9+J9</f>
        <v>888000</v>
      </c>
      <c r="L9" s="81">
        <f>K9/14306</f>
        <v>62.071857961694391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1</v>
      </c>
      <c r="D10" s="37">
        <f>Electricity!D9</f>
        <v>3</v>
      </c>
      <c r="E10" s="11">
        <v>0</v>
      </c>
      <c r="F10" s="4">
        <f>E10*13582</f>
        <v>0</v>
      </c>
      <c r="G10" s="11">
        <v>0</v>
      </c>
      <c r="H10" s="4">
        <f>G10*4000</f>
        <v>0</v>
      </c>
      <c r="I10" s="11">
        <v>225</v>
      </c>
      <c r="J10" s="4">
        <f>I10*4000</f>
        <v>900000</v>
      </c>
      <c r="K10" s="11">
        <f t="shared" si="0"/>
        <v>900000</v>
      </c>
      <c r="L10" s="81">
        <f t="shared" ref="L10:L39" si="1">K10/14306</f>
        <v>62.910666853068641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0</v>
      </c>
      <c r="D11" s="37">
        <f>Electricity!D10</f>
        <v>3</v>
      </c>
      <c r="E11" s="11">
        <v>0</v>
      </c>
      <c r="F11" s="4">
        <f t="shared" ref="F11:F38" si="2">E11*13582</f>
        <v>0</v>
      </c>
      <c r="G11" s="11">
        <v>0</v>
      </c>
      <c r="H11" s="4">
        <f t="shared" ref="H11:H38" si="3">G11*4000</f>
        <v>0</v>
      </c>
      <c r="I11" s="11">
        <v>234</v>
      </c>
      <c r="J11" s="4">
        <f t="shared" ref="J11:J38" si="4">I11*4000</f>
        <v>936000</v>
      </c>
      <c r="K11" s="11">
        <f t="shared" si="0"/>
        <v>936000</v>
      </c>
      <c r="L11" s="81">
        <f t="shared" si="1"/>
        <v>65.427093527191388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2</v>
      </c>
      <c r="D12" s="37">
        <f>Electricity!D11</f>
        <v>10</v>
      </c>
      <c r="E12" s="11">
        <v>0</v>
      </c>
      <c r="F12" s="4">
        <f t="shared" si="2"/>
        <v>0</v>
      </c>
      <c r="G12" s="11">
        <v>0</v>
      </c>
      <c r="H12" s="4">
        <f t="shared" si="3"/>
        <v>0</v>
      </c>
      <c r="I12" s="11">
        <v>236</v>
      </c>
      <c r="J12" s="4">
        <f t="shared" si="4"/>
        <v>944000</v>
      </c>
      <c r="K12" s="11">
        <f t="shared" si="0"/>
        <v>944000</v>
      </c>
      <c r="L12" s="81">
        <f t="shared" si="1"/>
        <v>65.986299454774226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1</v>
      </c>
      <c r="D13" s="37">
        <f>Electricity!D12</f>
        <v>5</v>
      </c>
      <c r="E13" s="11">
        <v>0</v>
      </c>
      <c r="F13" s="4">
        <f t="shared" si="2"/>
        <v>0</v>
      </c>
      <c r="G13" s="11">
        <v>25</v>
      </c>
      <c r="H13" s="4">
        <f t="shared" si="3"/>
        <v>100000</v>
      </c>
      <c r="I13" s="11">
        <v>232</v>
      </c>
      <c r="J13" s="4">
        <f t="shared" si="4"/>
        <v>928000</v>
      </c>
      <c r="K13" s="11">
        <f t="shared" si="0"/>
        <v>1028000</v>
      </c>
      <c r="L13" s="81">
        <f t="shared" si="1"/>
        <v>71.857961694393964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1</v>
      </c>
      <c r="D14" s="37">
        <f>Electricity!D13</f>
        <v>5</v>
      </c>
      <c r="E14" s="11">
        <v>0</v>
      </c>
      <c r="F14" s="4">
        <f t="shared" si="2"/>
        <v>0</v>
      </c>
      <c r="G14" s="11">
        <v>38</v>
      </c>
      <c r="H14" s="4">
        <f t="shared" si="3"/>
        <v>152000</v>
      </c>
      <c r="I14" s="11">
        <v>216</v>
      </c>
      <c r="J14" s="4">
        <f t="shared" si="4"/>
        <v>864000</v>
      </c>
      <c r="K14" s="11">
        <f t="shared" si="0"/>
        <v>1016000</v>
      </c>
      <c r="L14" s="81">
        <f t="shared" si="1"/>
        <v>71.019152803019708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2</v>
      </c>
      <c r="D15" s="37">
        <f>Electricity!D14</f>
        <v>15</v>
      </c>
      <c r="E15" s="11">
        <v>0</v>
      </c>
      <c r="F15" s="4">
        <f t="shared" si="2"/>
        <v>0</v>
      </c>
      <c r="G15" s="11">
        <v>24</v>
      </c>
      <c r="H15" s="4">
        <f t="shared" si="3"/>
        <v>96000</v>
      </c>
      <c r="I15" s="11">
        <v>226</v>
      </c>
      <c r="J15" s="4">
        <f t="shared" si="4"/>
        <v>904000</v>
      </c>
      <c r="K15" s="11">
        <f t="shared" si="0"/>
        <v>1000000</v>
      </c>
      <c r="L15" s="81">
        <f t="shared" si="1"/>
        <v>69.900740947854047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1</v>
      </c>
      <c r="D16" s="37">
        <f>Electricity!D15</f>
        <v>19</v>
      </c>
      <c r="E16" s="11">
        <v>0</v>
      </c>
      <c r="F16" s="4">
        <f t="shared" si="2"/>
        <v>0</v>
      </c>
      <c r="G16" s="11">
        <v>106</v>
      </c>
      <c r="H16" s="4">
        <f t="shared" si="3"/>
        <v>424000</v>
      </c>
      <c r="I16" s="11">
        <v>166</v>
      </c>
      <c r="J16" s="4">
        <f t="shared" si="4"/>
        <v>664000</v>
      </c>
      <c r="K16" s="11">
        <f t="shared" si="0"/>
        <v>1088000</v>
      </c>
      <c r="L16" s="81">
        <f t="shared" si="1"/>
        <v>76.052006151265203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1</v>
      </c>
      <c r="D17" s="37">
        <f>Electricity!D16</f>
        <v>11</v>
      </c>
      <c r="E17" s="11">
        <v>0</v>
      </c>
      <c r="F17" s="4">
        <f t="shared" si="2"/>
        <v>0</v>
      </c>
      <c r="G17" s="11">
        <v>80</v>
      </c>
      <c r="H17" s="4">
        <f t="shared" si="3"/>
        <v>320000</v>
      </c>
      <c r="I17" s="11">
        <v>178</v>
      </c>
      <c r="J17" s="4">
        <f t="shared" si="4"/>
        <v>712000</v>
      </c>
      <c r="K17" s="11">
        <f t="shared" si="0"/>
        <v>1032000</v>
      </c>
      <c r="L17" s="81">
        <f t="shared" si="1"/>
        <v>72.137564658185383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1</v>
      </c>
      <c r="D18" s="37">
        <f>Electricity!D17</f>
        <v>7</v>
      </c>
      <c r="E18" s="11">
        <v>0</v>
      </c>
      <c r="F18" s="4">
        <f t="shared" si="2"/>
        <v>0</v>
      </c>
      <c r="G18" s="11">
        <v>53</v>
      </c>
      <c r="H18" s="4">
        <f t="shared" si="3"/>
        <v>212000</v>
      </c>
      <c r="I18" s="11">
        <v>214</v>
      </c>
      <c r="J18" s="4">
        <f t="shared" si="4"/>
        <v>856000</v>
      </c>
      <c r="K18" s="11">
        <f t="shared" si="0"/>
        <v>1068000</v>
      </c>
      <c r="L18" s="81">
        <f t="shared" si="1"/>
        <v>74.653991332308124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0</v>
      </c>
      <c r="D19" s="37">
        <f>Electricity!D18</f>
        <v>12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240</v>
      </c>
      <c r="J19" s="4">
        <f t="shared" si="4"/>
        <v>960000</v>
      </c>
      <c r="K19" s="11">
        <f t="shared" si="0"/>
        <v>960000</v>
      </c>
      <c r="L19" s="81">
        <f t="shared" si="1"/>
        <v>67.104711309939887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2</v>
      </c>
      <c r="D20" s="37">
        <f>Electricity!D19</f>
        <v>5</v>
      </c>
      <c r="E20" s="11">
        <v>0</v>
      </c>
      <c r="F20" s="4">
        <f t="shared" si="2"/>
        <v>0</v>
      </c>
      <c r="G20" s="11">
        <v>0</v>
      </c>
      <c r="H20" s="4">
        <f>G20*4000</f>
        <v>0</v>
      </c>
      <c r="I20" s="11">
        <v>226</v>
      </c>
      <c r="J20" s="4">
        <f t="shared" si="4"/>
        <v>904000</v>
      </c>
      <c r="K20" s="11">
        <f t="shared" si="0"/>
        <v>904000</v>
      </c>
      <c r="L20" s="81">
        <f t="shared" si="1"/>
        <v>63.190269816860059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2</v>
      </c>
      <c r="D21" s="37">
        <f>Electricity!D20</f>
        <v>6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>
        <v>239</v>
      </c>
      <c r="J21" s="4">
        <f t="shared" si="4"/>
        <v>956000</v>
      </c>
      <c r="K21" s="11">
        <f t="shared" si="0"/>
        <v>956000</v>
      </c>
      <c r="L21" s="81">
        <f t="shared" si="1"/>
        <v>66.825108346148468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5</v>
      </c>
      <c r="D22" s="37">
        <f>Electricity!D21</f>
        <v>19</v>
      </c>
      <c r="E22" s="11">
        <v>0</v>
      </c>
      <c r="F22" s="4">
        <f t="shared" si="2"/>
        <v>0</v>
      </c>
      <c r="G22" s="11">
        <v>23</v>
      </c>
      <c r="H22" s="4">
        <f t="shared" si="3"/>
        <v>92000</v>
      </c>
      <c r="I22" s="11">
        <v>243</v>
      </c>
      <c r="J22" s="4">
        <f t="shared" si="4"/>
        <v>972000</v>
      </c>
      <c r="K22" s="11">
        <f t="shared" si="0"/>
        <v>1064000</v>
      </c>
      <c r="L22" s="81">
        <f t="shared" si="1"/>
        <v>74.374388368516705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3</v>
      </c>
      <c r="D23" s="37">
        <f>Electricity!D22</f>
        <v>22</v>
      </c>
      <c r="E23" s="11">
        <v>0</v>
      </c>
      <c r="F23" s="4">
        <f t="shared" si="2"/>
        <v>0</v>
      </c>
      <c r="G23" s="11">
        <v>31</v>
      </c>
      <c r="H23" s="4">
        <f t="shared" si="3"/>
        <v>124000</v>
      </c>
      <c r="I23" s="11">
        <v>218</v>
      </c>
      <c r="J23" s="4">
        <f t="shared" si="4"/>
        <v>872000</v>
      </c>
      <c r="K23" s="11">
        <f t="shared" si="0"/>
        <v>996000</v>
      </c>
      <c r="L23" s="81">
        <f t="shared" si="1"/>
        <v>69.621137984062628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0</v>
      </c>
      <c r="D24" s="37">
        <f>Electricity!D23</f>
        <v>9</v>
      </c>
      <c r="E24" s="11">
        <v>0</v>
      </c>
      <c r="F24" s="4">
        <f t="shared" si="2"/>
        <v>0</v>
      </c>
      <c r="G24" s="11">
        <v>117</v>
      </c>
      <c r="H24" s="4">
        <f t="shared" si="3"/>
        <v>468000</v>
      </c>
      <c r="I24" s="11">
        <v>175</v>
      </c>
      <c r="J24" s="4">
        <f t="shared" si="4"/>
        <v>700000</v>
      </c>
      <c r="K24" s="11">
        <f t="shared" si="0"/>
        <v>1168000</v>
      </c>
      <c r="L24" s="81">
        <f t="shared" si="1"/>
        <v>81.644065427093523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0</v>
      </c>
      <c r="D25" s="37">
        <f>Electricity!D24</f>
        <v>12</v>
      </c>
      <c r="E25" s="11">
        <v>0</v>
      </c>
      <c r="F25" s="4">
        <f t="shared" si="2"/>
        <v>0</v>
      </c>
      <c r="G25" s="11">
        <v>33</v>
      </c>
      <c r="H25" s="4">
        <f t="shared" si="3"/>
        <v>132000</v>
      </c>
      <c r="I25" s="11">
        <v>231</v>
      </c>
      <c r="J25" s="4">
        <f t="shared" si="4"/>
        <v>924000</v>
      </c>
      <c r="K25" s="11">
        <f t="shared" si="0"/>
        <v>1056000</v>
      </c>
      <c r="L25" s="81">
        <f t="shared" si="1"/>
        <v>73.815182440933867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0</v>
      </c>
      <c r="D26" s="37">
        <f>Electricity!D25</f>
        <v>7</v>
      </c>
      <c r="E26" s="11">
        <v>0</v>
      </c>
      <c r="F26" s="4">
        <f t="shared" si="2"/>
        <v>0</v>
      </c>
      <c r="G26" s="11">
        <v>36</v>
      </c>
      <c r="H26" s="4">
        <f t="shared" si="3"/>
        <v>144000</v>
      </c>
      <c r="I26" s="11">
        <v>233</v>
      </c>
      <c r="J26" s="4">
        <f t="shared" si="4"/>
        <v>932000</v>
      </c>
      <c r="K26" s="11">
        <f t="shared" si="0"/>
        <v>1076000</v>
      </c>
      <c r="L26" s="81">
        <f t="shared" si="1"/>
        <v>75.213197259890961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0</v>
      </c>
      <c r="D27" s="37">
        <f>Electricity!D26</f>
        <v>3</v>
      </c>
      <c r="E27" s="11">
        <v>0</v>
      </c>
      <c r="F27" s="4">
        <f t="shared" si="2"/>
        <v>0</v>
      </c>
      <c r="G27" s="11">
        <v>0</v>
      </c>
      <c r="H27" s="4">
        <f t="shared" si="3"/>
        <v>0</v>
      </c>
      <c r="I27" s="11">
        <v>229</v>
      </c>
      <c r="J27" s="4">
        <f t="shared" si="4"/>
        <v>916000</v>
      </c>
      <c r="K27" s="11">
        <f t="shared" si="0"/>
        <v>916000</v>
      </c>
      <c r="L27" s="81">
        <f t="shared" si="1"/>
        <v>64.029078708234309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3</v>
      </c>
      <c r="D28" s="37">
        <f>Electricity!D27</f>
        <v>42</v>
      </c>
      <c r="E28" s="11">
        <v>0</v>
      </c>
      <c r="F28" s="4">
        <f t="shared" si="2"/>
        <v>0</v>
      </c>
      <c r="G28" s="11">
        <v>30</v>
      </c>
      <c r="H28" s="4">
        <f t="shared" si="3"/>
        <v>120000</v>
      </c>
      <c r="I28" s="11">
        <v>217</v>
      </c>
      <c r="J28" s="4">
        <f t="shared" si="4"/>
        <v>868000</v>
      </c>
      <c r="K28" s="11">
        <f t="shared" si="0"/>
        <v>988000</v>
      </c>
      <c r="L28" s="81">
        <f t="shared" si="1"/>
        <v>69.061932056479804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3</v>
      </c>
      <c r="D29" s="37">
        <f>Electricity!D28</f>
        <v>13</v>
      </c>
      <c r="E29" s="11">
        <v>0</v>
      </c>
      <c r="F29" s="4">
        <f t="shared" si="2"/>
        <v>0</v>
      </c>
      <c r="G29" s="11">
        <v>0</v>
      </c>
      <c r="H29" s="4">
        <f t="shared" si="3"/>
        <v>0</v>
      </c>
      <c r="I29" s="11">
        <v>234</v>
      </c>
      <c r="J29" s="4">
        <f t="shared" si="4"/>
        <v>936000</v>
      </c>
      <c r="K29" s="11">
        <f t="shared" si="0"/>
        <v>936000</v>
      </c>
      <c r="L29" s="81">
        <f t="shared" si="1"/>
        <v>65.427093527191388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1</v>
      </c>
      <c r="D30" s="37">
        <f>Electricity!D29</f>
        <v>9</v>
      </c>
      <c r="E30" s="11">
        <v>0</v>
      </c>
      <c r="F30" s="4">
        <f t="shared" si="2"/>
        <v>0</v>
      </c>
      <c r="G30" s="11">
        <v>45</v>
      </c>
      <c r="H30" s="4">
        <f t="shared" si="3"/>
        <v>180000</v>
      </c>
      <c r="I30" s="11">
        <v>211</v>
      </c>
      <c r="J30" s="4">
        <f t="shared" si="4"/>
        <v>844000</v>
      </c>
      <c r="K30" s="11">
        <f t="shared" si="0"/>
        <v>1024000</v>
      </c>
      <c r="L30" s="81">
        <f t="shared" si="1"/>
        <v>71.578358730602545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4</v>
      </c>
      <c r="D31" s="37">
        <f>Electricity!D30</f>
        <v>8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>
        <v>234</v>
      </c>
      <c r="J31" s="4">
        <f t="shared" si="4"/>
        <v>936000</v>
      </c>
      <c r="K31" s="11">
        <f t="shared" si="0"/>
        <v>936000</v>
      </c>
      <c r="L31" s="81">
        <f t="shared" si="1"/>
        <v>65.427093527191388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3</v>
      </c>
      <c r="D32" s="37">
        <f>Electricity!D31</f>
        <v>11</v>
      </c>
      <c r="E32" s="11">
        <v>0</v>
      </c>
      <c r="F32" s="4">
        <f t="shared" si="2"/>
        <v>0</v>
      </c>
      <c r="G32" s="11">
        <v>36</v>
      </c>
      <c r="H32" s="4">
        <f t="shared" si="3"/>
        <v>144000</v>
      </c>
      <c r="I32" s="11">
        <v>220</v>
      </c>
      <c r="J32" s="4">
        <f t="shared" si="4"/>
        <v>880000</v>
      </c>
      <c r="K32" s="11">
        <f t="shared" si="0"/>
        <v>1024000</v>
      </c>
      <c r="L32" s="81">
        <f t="shared" si="1"/>
        <v>71.578358730602545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1</v>
      </c>
      <c r="D33" s="37">
        <f>Electricity!D32</f>
        <v>11</v>
      </c>
      <c r="E33" s="11">
        <v>0</v>
      </c>
      <c r="F33" s="4">
        <f t="shared" si="2"/>
        <v>0</v>
      </c>
      <c r="G33" s="11">
        <v>104</v>
      </c>
      <c r="H33" s="4">
        <f t="shared" si="3"/>
        <v>416000</v>
      </c>
      <c r="I33" s="11">
        <v>212</v>
      </c>
      <c r="J33" s="4">
        <f t="shared" si="4"/>
        <v>848000</v>
      </c>
      <c r="K33" s="11">
        <f t="shared" si="0"/>
        <v>1264000</v>
      </c>
      <c r="L33" s="81">
        <f t="shared" si="1"/>
        <v>88.354536558087517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4</v>
      </c>
      <c r="D34" s="37">
        <f>Electricity!D33</f>
        <v>11</v>
      </c>
      <c r="E34" s="11">
        <v>0</v>
      </c>
      <c r="F34" s="4">
        <f t="shared" si="2"/>
        <v>0</v>
      </c>
      <c r="G34" s="11">
        <v>92</v>
      </c>
      <c r="H34" s="4">
        <f t="shared" si="3"/>
        <v>368000</v>
      </c>
      <c r="I34" s="11">
        <v>179</v>
      </c>
      <c r="J34" s="4">
        <f t="shared" si="4"/>
        <v>716000</v>
      </c>
      <c r="K34" s="11">
        <f t="shared" si="0"/>
        <v>1084000</v>
      </c>
      <c r="L34" s="81">
        <f t="shared" si="1"/>
        <v>75.772403187473785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4</v>
      </c>
      <c r="D35" s="37">
        <f>Electricity!D34</f>
        <v>23</v>
      </c>
      <c r="E35" s="11">
        <v>0</v>
      </c>
      <c r="F35" s="4">
        <f t="shared" si="2"/>
        <v>0</v>
      </c>
      <c r="G35" s="11">
        <v>49</v>
      </c>
      <c r="H35" s="4">
        <f t="shared" si="3"/>
        <v>196000</v>
      </c>
      <c r="I35" s="11">
        <v>217</v>
      </c>
      <c r="J35" s="4">
        <f t="shared" si="4"/>
        <v>868000</v>
      </c>
      <c r="K35" s="11">
        <f t="shared" si="0"/>
        <v>1064000</v>
      </c>
      <c r="L35" s="81">
        <f t="shared" si="1"/>
        <v>74.374388368516705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3</v>
      </c>
      <c r="D36" s="37">
        <f>Electricity!D35</f>
        <v>4</v>
      </c>
      <c r="E36" s="11">
        <v>0</v>
      </c>
      <c r="F36" s="4">
        <f t="shared" si="2"/>
        <v>0</v>
      </c>
      <c r="G36" s="11">
        <v>99</v>
      </c>
      <c r="H36" s="4">
        <f t="shared" si="3"/>
        <v>396000</v>
      </c>
      <c r="I36" s="11">
        <v>150</v>
      </c>
      <c r="J36" s="4">
        <f t="shared" si="4"/>
        <v>600000</v>
      </c>
      <c r="K36" s="11">
        <f t="shared" si="0"/>
        <v>996000</v>
      </c>
      <c r="L36" s="81">
        <f t="shared" si="1"/>
        <v>69.621137984062628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0</v>
      </c>
      <c r="D37" s="37">
        <f>Electricity!D36</f>
        <v>14</v>
      </c>
      <c r="E37" s="11">
        <v>0</v>
      </c>
      <c r="F37" s="4">
        <f t="shared" si="2"/>
        <v>0</v>
      </c>
      <c r="G37" s="11">
        <v>105</v>
      </c>
      <c r="H37" s="4">
        <f t="shared" si="3"/>
        <v>420000</v>
      </c>
      <c r="I37" s="11">
        <v>157</v>
      </c>
      <c r="J37" s="4">
        <f t="shared" si="4"/>
        <v>628000</v>
      </c>
      <c r="K37" s="11">
        <f t="shared" si="0"/>
        <v>1048000</v>
      </c>
      <c r="L37" s="81">
        <f t="shared" si="1"/>
        <v>73.255976513351044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0</v>
      </c>
      <c r="D38" s="37">
        <f>Electricity!D37</f>
        <v>8</v>
      </c>
      <c r="E38" s="11">
        <v>0</v>
      </c>
      <c r="F38" s="4">
        <f t="shared" si="2"/>
        <v>0</v>
      </c>
      <c r="G38" s="11">
        <v>34</v>
      </c>
      <c r="H38" s="4">
        <f t="shared" si="3"/>
        <v>136000</v>
      </c>
      <c r="I38" s="11">
        <v>198</v>
      </c>
      <c r="J38" s="4">
        <f t="shared" si="4"/>
        <v>792000</v>
      </c>
      <c r="K38" s="11">
        <f t="shared" si="0"/>
        <v>928000</v>
      </c>
      <c r="L38" s="81">
        <f t="shared" si="1"/>
        <v>64.867887599608551</v>
      </c>
      <c r="M38" s="70"/>
    </row>
    <row r="39" spans="1:15" ht="17.100000000000001" customHeight="1" x14ac:dyDescent="0.25">
      <c r="B39" s="77">
        <v>31</v>
      </c>
      <c r="C39" s="37">
        <f>Electricity!C38</f>
        <v>0</v>
      </c>
      <c r="D39" s="37">
        <f>Electricity!D38</f>
        <v>12</v>
      </c>
      <c r="E39" s="11">
        <v>0</v>
      </c>
      <c r="F39" s="4"/>
      <c r="G39" s="11">
        <v>63</v>
      </c>
      <c r="H39" s="4">
        <f t="shared" ref="H39" si="5">G39*4000</f>
        <v>252000</v>
      </c>
      <c r="I39" s="11">
        <v>229</v>
      </c>
      <c r="J39" s="4">
        <f t="shared" ref="J39" si="6">I39*4000</f>
        <v>916000</v>
      </c>
      <c r="K39" s="11">
        <f t="shared" ref="K39" si="7">F39+H39+J39</f>
        <v>1168000</v>
      </c>
      <c r="L39" s="81">
        <f t="shared" si="1"/>
        <v>81.644065427093523</v>
      </c>
    </row>
    <row r="40" spans="1:15" ht="15.75" x14ac:dyDescent="0.25">
      <c r="C40" s="19">
        <f>SUM(C9:C39)</f>
        <v>49</v>
      </c>
      <c r="D40" s="19">
        <f>SUM(D9:D39)</f>
        <v>346</v>
      </c>
      <c r="E40" s="19">
        <v>0</v>
      </c>
      <c r="G40" s="19">
        <f>SUM(G9:G39)</f>
        <v>1257</v>
      </c>
      <c r="I40" s="19">
        <f>SUM(I9:I39)</f>
        <v>6607</v>
      </c>
      <c r="J40" s="39">
        <f>G40+I40</f>
        <v>7864</v>
      </c>
      <c r="K40" s="46"/>
      <c r="L40" s="51">
        <f>SUM(L9:L39)</f>
        <v>2198.7977072556969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7864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2021-09-01T10:19:49Z</dcterms:modified>
</cp:coreProperties>
</file>