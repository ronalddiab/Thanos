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4" i="3"/>
  <c r="G15" i="3"/>
  <c r="T4" i="2"/>
  <c r="T5" i="2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4" i="2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4" i="2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4" i="2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" i="2"/>
  <c r="I14" i="2"/>
  <c r="I15" i="2"/>
  <c r="H4" i="2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2" i="2"/>
  <c r="V4" i="4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4" i="4"/>
  <c r="R5" i="4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4" i="4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4" i="4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4" i="4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4" i="4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AA2" i="4"/>
  <c r="Z2" i="4"/>
  <c r="X2" i="4"/>
  <c r="I2" i="4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Q4" i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T2" i="1"/>
  <c r="U2" i="1" s="1"/>
  <c r="U14" i="2" l="1"/>
  <c r="O15" i="2"/>
  <c r="O14" i="2"/>
  <c r="O13" i="2"/>
  <c r="M14" i="2"/>
  <c r="M15" i="2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14" i="2"/>
  <c r="D15" i="2"/>
  <c r="E14" i="2"/>
  <c r="C15" i="2"/>
  <c r="C14" i="2"/>
  <c r="Y2" i="4"/>
  <c r="D2" i="1"/>
  <c r="G25" i="3"/>
  <c r="G26" i="3"/>
  <c r="G27" i="3"/>
  <c r="D16" i="2" l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15" i="2"/>
  <c r="G25" i="2"/>
  <c r="R14" i="2" l="1"/>
  <c r="R15" i="2" s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M26" i="2" l="1"/>
  <c r="R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2" i="1" l="1"/>
  <c r="T22" i="1"/>
  <c r="D24" i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<sst xmlns="http://schemas.openxmlformats.org/spreadsheetml/2006/main" count="441" uniqueCount="146">
  <si>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</si>
  <si>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</si>
  <si>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</si>
  <si>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</si>
  <si>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</si>
  <si>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</si>
  <si>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</si>
  <si>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</si>
  <si>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</si>
  <si>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</si>
  <si>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</si>
  <si>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</si>
  <si>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</si>
  <si>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</si>
  <si>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</si>
  <si>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</si>
  <si>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</si>
  <si>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</si>
  <si>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</si>
  <si>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</si>
  <si>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</si>
  <si>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</si>
  <si>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</si>
  <si>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</si>
  <si>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</si>
  <si>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</si>
  <si>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</si>
  <si>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</si>
  <si>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</si>
  <si>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</si>
  <si>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</si>
  <si>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</si>
  <si>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</si>
  <si>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</si>
  <si>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</si>
  <si>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</si>
  <si>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</si>
  <si>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</si>
  <si>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</si>
  <si>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</si>
  <si>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</si>
  <si>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</si>
  <si>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</si>
  <si>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</si>
  <si>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</si>
  <si>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</si>
  <si>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</si>
  <si>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</si>
  <si>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</si>
  <si>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</si>
  <si>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</si>
  <si>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</si>
  <si>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</si>
  <si>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</si>
  <si>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</si>
  <si>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</si>
  <si>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</si>
  <si>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</si>
  <si>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</si>
  <si>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</si>
  <si>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</si>
  <si>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</si>
  <si>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</si>
  <si>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</si>
  <si>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</si>
  <si>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</si>
  <si>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</si>
  <si>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</si>
  <si>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</si>
  <si>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</si>
  <si>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</si>
  <si>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</si>
  <si>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</si>
  <si>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</si>
  <si>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</si>
  <si>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</si>
  <si>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</si>
  <si>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</si>
  <si>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</si>
  <si>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</si>
  <si>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</si>
  <si>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</si>
  <si>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</si>
  <si>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</si>
  <si>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</si>
  <si>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</si>
  <si>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</si>
  <si>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</si>
  <si>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</si>
  <si>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</si>
  <si>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</si>
  <si>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</si>
  <si>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</si>
  <si>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</si>
  <si>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</si>
  <si>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</si>
  <si>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</si>
  <si>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</si>
  <si>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</si>
  <si>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</si>
  <si>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</si>
  <si>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</si>
  <si>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</si>
  <si>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</si>
  <si>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</si>
  <si>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</si>
  <si>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</si>
  <si>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</si>
  <si>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</si>
  <si>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</si>
  <si>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</si>
  <si>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</si>
  <si>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</si>
  <si>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</si>
  <si>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</si>
  <si>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</si>
  <si>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</si>
  <si>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</si>
  <si>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</si>
  <si>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</si>
  <si>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</si>
  <si>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</si>
  <si>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</si>
  <si>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</si>
  <si>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</si>
  <si>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</si>
  <si>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</si>
  <si>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</si>
  <si>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</si>
  <si>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</si>
  <si>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</si>
  <si>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</si>
  <si>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</si>
  <si>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</si>
  <si>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</si>
  <si>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</si>
  <si>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</si>
  <si>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</si>
  <si>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</si>
  <si>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</si>
  <si>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</si>
  <si>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</si>
  <si>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</si>
  <si>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Water consumption for cooling towers</t>
  </si>
  <si>
    <t>Total cons.</t>
  </si>
  <si>
    <t>Energy Monthly Statement  October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</si>
</sst>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2" sqref="C2:C32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0</v>
      </c>
      <c r="F3" s="146">
        <v>1.27</v>
      </c>
      <c r="G3" s="42">
        <f>Gas!C4*0.9147</f>
        <v>0</v>
      </c>
      <c r="H3" s="147">
        <v>3.65</v>
      </c>
      <c r="I3" s="149">
        <f>Submetering!H3+Submetering!AD3+Submetering!AE3</f>
        <v>-194</v>
      </c>
      <c r="J3" s="149">
        <v>10.029999999999999</v>
      </c>
      <c r="K3" s="42">
        <f>ELECT.!B4</f>
        <v>0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46">
        <v>1.27</v>
      </c>
      <c r="G4" s="42">
        <f>Gas!C5*0.9147</f>
        <v>0</v>
      </c>
      <c r="H4" s="147">
        <v>3.65</v>
      </c>
      <c r="I4" s="149">
        <f>Submetering!H4+Submetering!AD4+Submetering!AE4</f>
        <v>-194</v>
      </c>
      <c r="J4" s="149">
        <v>10.029999999999999</v>
      </c>
      <c r="K4" s="42">
        <f>ELECT.!B5</f>
        <v>0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46">
        <v>1.27</v>
      </c>
      <c r="G5" s="42">
        <f>Gas!C6*0.9147</f>
        <v>0</v>
      </c>
      <c r="H5" s="147">
        <v>3.65</v>
      </c>
      <c r="I5" s="149">
        <f>Submetering!H5+Submetering!AD5+Submetering!AE5</f>
        <v>-194</v>
      </c>
      <c r="J5" s="149">
        <v>10.029999999999999</v>
      </c>
      <c r="K5" s="42">
        <f>ELECT.!B6</f>
        <v>0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6">
        <v>1.27</v>
      </c>
      <c r="G6" s="42">
        <f>Gas!C7*0.9147</f>
        <v>0</v>
      </c>
      <c r="H6" s="147">
        <v>3.65</v>
      </c>
      <c r="I6" s="149">
        <f>Submetering!H6+Submetering!AD6+Submetering!AE6</f>
        <v>-194</v>
      </c>
      <c r="J6" s="149">
        <v>10.029999999999999</v>
      </c>
      <c r="K6" s="42">
        <f>ELECT.!B7</f>
        <v>0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6">
        <v>1.27</v>
      </c>
      <c r="G7" s="42">
        <f>Gas!C8*0.9147</f>
        <v>0</v>
      </c>
      <c r="H7" s="147">
        <v>3.65</v>
      </c>
      <c r="I7" s="149">
        <f>Submetering!H7+Submetering!AD7+Submetering!AE7</f>
        <v>-194</v>
      </c>
      <c r="J7" s="149">
        <v>10.029999999999999</v>
      </c>
      <c r="K7" s="42">
        <f>ELECT.!B8</f>
        <v>0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6">
        <v>1.27</v>
      </c>
      <c r="G8" s="42">
        <f>Gas!C9*0.9147</f>
        <v>0</v>
      </c>
      <c r="H8" s="147">
        <v>3.65</v>
      </c>
      <c r="I8" s="149">
        <f>Submetering!H8+Submetering!AD8+Submetering!AE8</f>
        <v>-194</v>
      </c>
      <c r="J8" s="149">
        <v>10.029999999999999</v>
      </c>
      <c r="K8" s="42">
        <f>ELECT.!B9</f>
        <v>0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6">
        <v>1.27</v>
      </c>
      <c r="G9" s="42">
        <f>Gas!C10*0.9147</f>
        <v>0</v>
      </c>
      <c r="H9" s="147">
        <v>3.65</v>
      </c>
      <c r="I9" s="149">
        <f>Submetering!H9+Submetering!AD9+Submetering!AE9</f>
        <v>-194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2" sqref="C2:C32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0</v>
      </c>
      <c r="F3" s="42">
        <f>Water!E4</f>
        <v>0</v>
      </c>
      <c r="G3" s="42">
        <f>Water!G4</f>
        <v>0</v>
      </c>
      <c r="H3" s="42">
        <f>Water!I4</f>
        <v>0</v>
      </c>
      <c r="I3" s="42">
        <f>ELECT.!F4</f>
        <v>0</v>
      </c>
      <c r="J3" s="42">
        <f>ELECT.!H4</f>
        <v>0</v>
      </c>
      <c r="K3" s="42">
        <f>ELECT.!K4</f>
        <v>0</v>
      </c>
      <c r="L3" s="42">
        <f>ELECT.!M4</f>
        <v>0</v>
      </c>
      <c r="M3" s="42">
        <f>ELECT.!O4</f>
        <v>0</v>
      </c>
      <c r="N3" s="42">
        <f>ELECT.!Q4</f>
        <v>0</v>
      </c>
      <c r="O3" s="42">
        <f>ELECT.!S4</f>
        <v>0</v>
      </c>
      <c r="P3" s="42">
        <f>ELECT.!W4*2</f>
        <v>0</v>
      </c>
      <c r="Q3" s="42">
        <f>ELECT.!D4</f>
        <v>0</v>
      </c>
      <c r="R3" s="43">
        <f>BTU!C4</f>
        <v>0</v>
      </c>
      <c r="S3" s="43">
        <f>BTU!F4</f>
        <v>0</v>
      </c>
      <c r="T3" s="43">
        <f>BTU!I4</f>
        <v>0</v>
      </c>
      <c r="U3" s="43">
        <f>BTU!O4</f>
        <v>0</v>
      </c>
      <c r="V3" s="43">
        <f>BTU!L4</f>
        <v>0</v>
      </c>
      <c r="W3" s="43">
        <f>BTU!R4</f>
        <v>0</v>
      </c>
      <c r="X3" s="40">
        <f>ELECT.!B4</f>
        <v>0</v>
      </c>
      <c r="Y3" s="40">
        <f t="shared" ref="Y3:Y31" si="0">I3+J3-(K3+L3+M3+N3+O3+P3)</f>
        <v>0</v>
      </c>
      <c r="Z3">
        <f>'Mall, Citadel, Rotana'!C4+'Mall, Citadel, Rotana'!E4+'Mall, Citadel, Rotana'!G4+'Mall, Citadel, Rotana'!I4</f>
        <v>0</v>
      </c>
      <c r="AA3">
        <f>'Mall, Citadel, Rotana'!K4+'Mall, Citadel, Rotana'!M4</f>
        <v>0</v>
      </c>
      <c r="AB3">
        <f>'Mall, Citadel, Rotana'!O4</f>
        <v>0</v>
      </c>
      <c r="AC3">
        <f>'Mall, Citadel, Rotana'!Q4+'Mall, Citadel, Rotana'!S4</f>
        <v>0</v>
      </c>
      <c r="AD3" s="40">
        <f t="shared" ref="AD3:AD31" si="1">(E3-H3-194)*0.1318</f>
        <v>-25.569199999999999</v>
      </c>
      <c r="AE3" s="40">
        <f t="shared" ref="AE3:AE31" si="2">E3-H3-AD3-194</f>
        <v>-168.4308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0</v>
      </c>
      <c r="F4" s="42">
        <f>Water!E5</f>
        <v>0</v>
      </c>
      <c r="G4" s="42">
        <f>Water!G5</f>
        <v>0</v>
      </c>
      <c r="H4" s="42">
        <f>Water!I5</f>
        <v>0</v>
      </c>
      <c r="I4" s="42">
        <f>ELECT.!F5</f>
        <v>0</v>
      </c>
      <c r="J4" s="42">
        <f>ELECT.!H5</f>
        <v>0</v>
      </c>
      <c r="K4" s="42">
        <f>ELECT.!K5</f>
        <v>0</v>
      </c>
      <c r="L4" s="42">
        <f>ELECT.!M5</f>
        <v>0</v>
      </c>
      <c r="M4" s="42">
        <f>ELECT.!O5</f>
        <v>0</v>
      </c>
      <c r="N4" s="42">
        <f>ELECT.!Q5</f>
        <v>0</v>
      </c>
      <c r="O4" s="42">
        <f>ELECT.!S5</f>
        <v>0</v>
      </c>
      <c r="P4" s="42">
        <f>ELECT.!W5*2</f>
        <v>0</v>
      </c>
      <c r="Q4" s="42">
        <f>ELECT.!D5</f>
        <v>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0</v>
      </c>
      <c r="Y4" s="40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40">
        <f t="shared" si="1"/>
        <v>-25.569199999999999</v>
      </c>
      <c r="AE4" s="40">
        <f t="shared" si="2"/>
        <v>-168.4308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0</v>
      </c>
      <c r="F5" s="42">
        <f>Water!E6</f>
        <v>0</v>
      </c>
      <c r="G5" s="42">
        <f>Water!G6</f>
        <v>0</v>
      </c>
      <c r="H5" s="42">
        <f>Water!I6</f>
        <v>0</v>
      </c>
      <c r="I5" s="42">
        <f>ELECT.!F6</f>
        <v>0</v>
      </c>
      <c r="J5" s="42">
        <f>ELECT.!H6</f>
        <v>0</v>
      </c>
      <c r="K5" s="42">
        <f>ELECT.!K6</f>
        <v>0</v>
      </c>
      <c r="L5" s="42">
        <f>ELECT.!M6</f>
        <v>0</v>
      </c>
      <c r="M5" s="42">
        <f>ELECT.!O6</f>
        <v>0</v>
      </c>
      <c r="N5" s="42">
        <f>ELECT.!Q6</f>
        <v>0</v>
      </c>
      <c r="O5" s="42">
        <f>ELECT.!S6</f>
        <v>0</v>
      </c>
      <c r="P5" s="42">
        <f>ELECT.!W6*2</f>
        <v>0</v>
      </c>
      <c r="Q5" s="42">
        <f>ELECT.!D6</f>
        <v>0</v>
      </c>
      <c r="R5" s="43">
        <f>BTU!C6</f>
        <v>0</v>
      </c>
      <c r="S5" s="43">
        <f>BTU!F6</f>
        <v>0</v>
      </c>
      <c r="T5" s="43">
        <f>BTU!I6</f>
        <v>0</v>
      </c>
      <c r="U5" s="43">
        <f>BTU!O6</f>
        <v>0</v>
      </c>
      <c r="V5" s="43">
        <f>BTU!L6</f>
        <v>0</v>
      </c>
      <c r="W5" s="43">
        <f>BTU!R6</f>
        <v>0</v>
      </c>
      <c r="X5" s="40">
        <f>ELECT.!B6</f>
        <v>0</v>
      </c>
      <c r="Y5" s="40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40">
        <f t="shared" si="1"/>
        <v>-25.569199999999999</v>
      </c>
      <c r="AE5" s="40">
        <f t="shared" si="2"/>
        <v>-168.4308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0</v>
      </c>
      <c r="J6" s="42">
        <f>ELECT.!H7</f>
        <v>0</v>
      </c>
      <c r="K6" s="42">
        <f>ELECT.!K7</f>
        <v>0</v>
      </c>
      <c r="L6" s="42">
        <f>ELECT.!M7</f>
        <v>0</v>
      </c>
      <c r="M6" s="42">
        <f>ELECT.!O7</f>
        <v>0</v>
      </c>
      <c r="N6" s="42">
        <f>ELECT.!Q7</f>
        <v>0</v>
      </c>
      <c r="O6" s="42">
        <f>ELECT.!S7</f>
        <v>0</v>
      </c>
      <c r="P6" s="42">
        <f>ELECT.!W7*2</f>
        <v>0</v>
      </c>
      <c r="Q6" s="42">
        <f>ELECT.!D7</f>
        <v>0</v>
      </c>
      <c r="R6" s="43">
        <f>BTU!C7</f>
        <v>0</v>
      </c>
      <c r="S6" s="43">
        <f>BTU!F7</f>
        <v>0</v>
      </c>
      <c r="T6" s="43">
        <f>BTU!I7</f>
        <v>0</v>
      </c>
      <c r="U6" s="43">
        <f>BTU!O7</f>
        <v>0</v>
      </c>
      <c r="V6" s="43">
        <f>BTU!L7</f>
        <v>0</v>
      </c>
      <c r="W6" s="43">
        <f>BTU!R7</f>
        <v>0</v>
      </c>
      <c r="X6" s="40">
        <f>ELECT.!B7</f>
        <v>0</v>
      </c>
      <c r="Y6" s="40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0">
        <f t="shared" si="1"/>
        <v>-25.569199999999999</v>
      </c>
      <c r="AE6" s="40">
        <f t="shared" si="2"/>
        <v>-168.4308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0</v>
      </c>
      <c r="F7" s="42">
        <f>Water!E8</f>
        <v>0</v>
      </c>
      <c r="G7" s="42">
        <f>Water!G8</f>
        <v>0</v>
      </c>
      <c r="H7" s="42">
        <f>Water!I8</f>
        <v>0</v>
      </c>
      <c r="I7" s="42">
        <f>ELECT.!F8</f>
        <v>0</v>
      </c>
      <c r="J7" s="42">
        <f>ELECT.!H8</f>
        <v>0</v>
      </c>
      <c r="K7" s="42">
        <f>ELECT.!K8</f>
        <v>0</v>
      </c>
      <c r="L7" s="42">
        <f>ELECT.!M8</f>
        <v>0</v>
      </c>
      <c r="M7" s="42">
        <f>ELECT.!O8</f>
        <v>0</v>
      </c>
      <c r="N7" s="42">
        <f>ELECT.!Q8</f>
        <v>0</v>
      </c>
      <c r="O7" s="42">
        <f>ELECT.!S8</f>
        <v>0</v>
      </c>
      <c r="P7" s="42">
        <f>ELECT.!W8*2</f>
        <v>0</v>
      </c>
      <c r="Q7" s="42">
        <f>ELECT.!D8</f>
        <v>0</v>
      </c>
      <c r="R7" s="43">
        <f>BTU!C8</f>
        <v>0</v>
      </c>
      <c r="S7" s="43">
        <f>BTU!F8</f>
        <v>0</v>
      </c>
      <c r="T7" s="43">
        <f>BTU!I8</f>
        <v>0</v>
      </c>
      <c r="U7" s="43">
        <f>BTU!O8</f>
        <v>0</v>
      </c>
      <c r="V7" s="43">
        <f>BTU!L8</f>
        <v>0</v>
      </c>
      <c r="W7" s="43">
        <f>BTU!R8</f>
        <v>0</v>
      </c>
      <c r="X7" s="40">
        <f>ELECT.!B8</f>
        <v>0</v>
      </c>
      <c r="Y7" s="40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0">
        <f t="shared" si="1"/>
        <v>-25.569199999999999</v>
      </c>
      <c r="AE7" s="40">
        <f t="shared" si="2"/>
        <v>-168.4308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0</v>
      </c>
      <c r="F8" s="42">
        <f>Water!E9</f>
        <v>0</v>
      </c>
      <c r="G8" s="42">
        <f>Water!G9</f>
        <v>0</v>
      </c>
      <c r="H8" s="42">
        <f>Water!I9</f>
        <v>0</v>
      </c>
      <c r="I8" s="42">
        <f>ELECT.!F9</f>
        <v>0</v>
      </c>
      <c r="J8" s="42">
        <f>ELECT.!H9</f>
        <v>0</v>
      </c>
      <c r="K8" s="42">
        <f>ELECT.!K9</f>
        <v>0</v>
      </c>
      <c r="L8" s="42">
        <f>ELECT.!M9</f>
        <v>0</v>
      </c>
      <c r="M8" s="42">
        <f>ELECT.!O9</f>
        <v>0</v>
      </c>
      <c r="N8" s="42">
        <f>ELECT.!Q9</f>
        <v>0</v>
      </c>
      <c r="O8" s="42">
        <f>ELECT.!S9</f>
        <v>0</v>
      </c>
      <c r="P8" s="42">
        <f>ELECT.!W9*2</f>
        <v>0</v>
      </c>
      <c r="Q8" s="42">
        <f>ELECT.!D9</f>
        <v>0</v>
      </c>
      <c r="R8" s="43">
        <f>BTU!C9</f>
        <v>0</v>
      </c>
      <c r="S8" s="43">
        <f>BTU!F9</f>
        <v>0</v>
      </c>
      <c r="T8" s="43">
        <f>BTU!I9</f>
        <v>0</v>
      </c>
      <c r="U8" s="43">
        <f>BTU!O9</f>
        <v>0</v>
      </c>
      <c r="V8" s="43">
        <f>BTU!L9</f>
        <v>0</v>
      </c>
      <c r="W8" s="43">
        <f>BTU!R9</f>
        <v>0</v>
      </c>
      <c r="X8" s="40">
        <f>ELECT.!B9</f>
        <v>0</v>
      </c>
      <c r="Y8" s="40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0">
        <f t="shared" si="1"/>
        <v>-25.569199999999999</v>
      </c>
      <c r="AE8" s="40">
        <f t="shared" si="2"/>
        <v>-168.4308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0</v>
      </c>
      <c r="F9" s="42">
        <f>Water!E10</f>
        <v>0</v>
      </c>
      <c r="G9" s="42">
        <f>Water!G10</f>
        <v>0</v>
      </c>
      <c r="H9" s="42">
        <f>Water!I10</f>
        <v>0</v>
      </c>
      <c r="I9" s="42">
        <f>ELECT.!F10</f>
        <v>0</v>
      </c>
      <c r="J9" s="42">
        <f>ELECT.!H10</f>
        <v>0</v>
      </c>
      <c r="K9" s="42">
        <f>ELECT.!K10</f>
        <v>0</v>
      </c>
      <c r="L9" s="42">
        <f>ELECT.!M10</f>
        <v>0</v>
      </c>
      <c r="M9" s="42">
        <f>ELECT.!O10</f>
        <v>0</v>
      </c>
      <c r="N9" s="42">
        <f>ELECT.!Q10</f>
        <v>0</v>
      </c>
      <c r="O9" s="42">
        <f>ELECT.!S10</f>
        <v>0</v>
      </c>
      <c r="P9" s="42">
        <f>ELECT.!W10*2</f>
        <v>0</v>
      </c>
      <c r="Q9" s="42">
        <f>ELECT.!D10</f>
        <v>0</v>
      </c>
      <c r="R9" s="43">
        <f>BTU!C10</f>
        <v>0</v>
      </c>
      <c r="S9" s="43">
        <f>BTU!F10</f>
        <v>0</v>
      </c>
      <c r="T9" s="43">
        <f>BTU!I10</f>
        <v>0</v>
      </c>
      <c r="U9" s="43">
        <f>BTU!O10</f>
        <v>0</v>
      </c>
      <c r="V9" s="43">
        <f>BTU!L10</f>
        <v>0</v>
      </c>
      <c r="W9" s="43">
        <f>BTU!R10</f>
        <v>0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0">
        <f t="shared" si="1"/>
        <v>-25.569199999999999</v>
      </c>
      <c r="AE9" s="40">
        <f t="shared" si="2"/>
        <v>-168.4308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>
        <f>BTU!C11</f>
        <v>0</v>
      </c>
      <c r="S10" s="43">
        <f>BTU!F11</f>
        <v>0</v>
      </c>
      <c r="T10" s="43">
        <f>BTU!I11</f>
        <v>0</v>
      </c>
      <c r="U10" s="43">
        <f>BTU!O11</f>
        <v>0</v>
      </c>
      <c r="V10" s="43">
        <f>BTU!L11</f>
        <v>0</v>
      </c>
      <c r="W10" s="43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A3" sqref="A3:XFD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f t="shared" ref="B4:B33" si="1">B3</f>
        <v>45989</v>
      </c>
      <c r="C4" s="16">
        <f t="shared" ref="C4:C33" si="2">(B4-B3)*800/5</f>
        <v>0</v>
      </c>
      <c r="D4" s="37">
        <f t="shared" ref="D4:D33" si="3">D3</f>
        <v>39897</v>
      </c>
      <c r="E4" s="16">
        <f t="shared" ref="E4:E33" si="4">(D4-D3)*800/5</f>
        <v>0</v>
      </c>
      <c r="F4" s="37">
        <f t="shared" ref="F4:F33" si="5">F3</f>
        <v>20845</v>
      </c>
      <c r="G4" s="16">
        <f t="shared" ref="G4:G33" si="6">(F4-F3)*100/5</f>
        <v>0</v>
      </c>
      <c r="H4" s="37">
        <f t="shared" ref="H4:H33" si="7">H3</f>
        <v>249167</v>
      </c>
      <c r="I4" s="16">
        <f t="shared" ref="I4:I33" si="8">(H4-H3)</f>
        <v>0</v>
      </c>
      <c r="J4" s="37">
        <f t="shared" ref="J4:J33" si="9">J3</f>
        <v>303517</v>
      </c>
      <c r="K4" s="16">
        <f t="shared" ref="K4:K33" si="10">(J4-J3)*800/5</f>
        <v>0</v>
      </c>
      <c r="L4" s="37">
        <f t="shared" ref="L4:L33" si="11">L3</f>
        <v>25435</v>
      </c>
      <c r="M4" s="16">
        <f t="shared" ref="M4:M33" si="12">(L4-L3)*800/5</f>
        <v>0</v>
      </c>
      <c r="N4" s="37">
        <f t="shared" ref="N4:N33" si="13">N3</f>
        <v>215935</v>
      </c>
      <c r="O4" s="16">
        <f t="shared" ref="O4:O33" si="14">N4-N3</f>
        <v>0</v>
      </c>
      <c r="P4" s="37">
        <f t="shared" ref="P4:P33" si="15">P3</f>
        <v>125199</v>
      </c>
      <c r="Q4" s="16">
        <f t="shared" ref="Q4:Q33" si="16">P4-P3</f>
        <v>0</v>
      </c>
      <c r="R4" s="1">
        <v>55047</v>
      </c>
      <c r="S4" s="16">
        <f t="shared" ref="S4:S31" si="17">R4-R3</f>
        <v>0</v>
      </c>
      <c r="T4" s="37">
        <f t="shared" ref="T4:T33" si="18">T3</f>
        <v>3789</v>
      </c>
      <c r="U4" s="16">
        <f t="shared" ref="U4:U33" si="19">(T4-T3)*800/5</f>
        <v>0</v>
      </c>
    </row>
    <row r="5" spans="1:24" ht="13.5" thickBot="1" x14ac:dyDescent="0.25">
      <c r="A5" s="10">
        <v>44472</v>
      </c>
      <c r="B5" s="37">
        <f t="shared" si="1"/>
        <v>45989</v>
      </c>
      <c r="C5" s="16">
        <f t="shared" si="2"/>
        <v>0</v>
      </c>
      <c r="D5" s="37">
        <f t="shared" si="3"/>
        <v>39897</v>
      </c>
      <c r="E5" s="16">
        <f t="shared" si="4"/>
        <v>0</v>
      </c>
      <c r="F5" s="37">
        <f t="shared" si="5"/>
        <v>20845</v>
      </c>
      <c r="G5" s="16">
        <f t="shared" si="6"/>
        <v>0</v>
      </c>
      <c r="H5" s="37">
        <f t="shared" si="7"/>
        <v>249167</v>
      </c>
      <c r="I5" s="16">
        <f t="shared" si="8"/>
        <v>0</v>
      </c>
      <c r="J5" s="37">
        <f t="shared" si="9"/>
        <v>303517</v>
      </c>
      <c r="K5" s="16">
        <f t="shared" si="10"/>
        <v>0</v>
      </c>
      <c r="L5" s="37">
        <f t="shared" si="11"/>
        <v>25435</v>
      </c>
      <c r="M5" s="16">
        <f t="shared" si="12"/>
        <v>0</v>
      </c>
      <c r="N5" s="37">
        <f t="shared" si="13"/>
        <v>215935</v>
      </c>
      <c r="O5" s="16">
        <f t="shared" si="14"/>
        <v>0</v>
      </c>
      <c r="P5" s="37">
        <f t="shared" si="15"/>
        <v>125199</v>
      </c>
      <c r="Q5" s="16">
        <f t="shared" si="16"/>
        <v>0</v>
      </c>
      <c r="R5" s="1">
        <v>55047</v>
      </c>
      <c r="S5" s="16">
        <f t="shared" si="17"/>
        <v>0</v>
      </c>
      <c r="T5" s="37">
        <f t="shared" si="18"/>
        <v>3789</v>
      </c>
      <c r="U5" s="16">
        <f t="shared" si="19"/>
        <v>0</v>
      </c>
    </row>
    <row r="6" spans="1:24" ht="13.5" thickBot="1" x14ac:dyDescent="0.25">
      <c r="A6" s="10">
        <v>44473</v>
      </c>
      <c r="B6" s="37">
        <f t="shared" si="1"/>
        <v>45989</v>
      </c>
      <c r="C6" s="16">
        <f t="shared" si="2"/>
        <v>0</v>
      </c>
      <c r="D6" s="37">
        <f t="shared" si="3"/>
        <v>39897</v>
      </c>
      <c r="E6" s="16">
        <f t="shared" si="4"/>
        <v>0</v>
      </c>
      <c r="F6" s="37">
        <f t="shared" si="5"/>
        <v>20845</v>
      </c>
      <c r="G6" s="16">
        <f t="shared" si="6"/>
        <v>0</v>
      </c>
      <c r="H6" s="37">
        <f t="shared" si="7"/>
        <v>249167</v>
      </c>
      <c r="I6" s="16">
        <f t="shared" si="8"/>
        <v>0</v>
      </c>
      <c r="J6" s="37">
        <f t="shared" si="9"/>
        <v>303517</v>
      </c>
      <c r="K6" s="16">
        <f t="shared" si="10"/>
        <v>0</v>
      </c>
      <c r="L6" s="37">
        <f t="shared" si="11"/>
        <v>25435</v>
      </c>
      <c r="M6" s="16">
        <f t="shared" si="12"/>
        <v>0</v>
      </c>
      <c r="N6" s="37">
        <f t="shared" si="13"/>
        <v>215935</v>
      </c>
      <c r="O6" s="16">
        <f t="shared" si="14"/>
        <v>0</v>
      </c>
      <c r="P6" s="37">
        <f t="shared" si="15"/>
        <v>125199</v>
      </c>
      <c r="Q6" s="16">
        <f t="shared" si="16"/>
        <v>0</v>
      </c>
      <c r="R6" s="1">
        <v>55047</v>
      </c>
      <c r="S6" s="16">
        <v>0</v>
      </c>
      <c r="T6" s="37">
        <f t="shared" si="18"/>
        <v>3789</v>
      </c>
      <c r="U6" s="16">
        <f t="shared" si="19"/>
        <v>0</v>
      </c>
    </row>
    <row r="7" spans="1:24" ht="13.5" thickBot="1" x14ac:dyDescent="0.25">
      <c r="A7" s="10">
        <v>44474</v>
      </c>
      <c r="B7" s="37">
        <f t="shared" si="1"/>
        <v>45989</v>
      </c>
      <c r="C7" s="16">
        <f t="shared" si="2"/>
        <v>0</v>
      </c>
      <c r="D7" s="37">
        <f t="shared" si="3"/>
        <v>39897</v>
      </c>
      <c r="E7" s="16">
        <f t="shared" si="4"/>
        <v>0</v>
      </c>
      <c r="F7" s="37">
        <f t="shared" si="5"/>
        <v>20845</v>
      </c>
      <c r="G7" s="16">
        <f t="shared" si="6"/>
        <v>0</v>
      </c>
      <c r="H7" s="37">
        <f t="shared" si="7"/>
        <v>249167</v>
      </c>
      <c r="I7" s="16">
        <f t="shared" si="8"/>
        <v>0</v>
      </c>
      <c r="J7" s="37">
        <f t="shared" si="9"/>
        <v>303517</v>
      </c>
      <c r="K7" s="16">
        <f t="shared" si="10"/>
        <v>0</v>
      </c>
      <c r="L7" s="37">
        <f t="shared" si="11"/>
        <v>25435</v>
      </c>
      <c r="M7" s="16">
        <f t="shared" si="12"/>
        <v>0</v>
      </c>
      <c r="N7" s="37">
        <f t="shared" si="13"/>
        <v>215935</v>
      </c>
      <c r="O7" s="16">
        <f t="shared" si="14"/>
        <v>0</v>
      </c>
      <c r="P7" s="37">
        <f t="shared" si="15"/>
        <v>125199</v>
      </c>
      <c r="Q7" s="16">
        <v>0</v>
      </c>
      <c r="R7" s="1">
        <v>55047</v>
      </c>
      <c r="S7" s="16">
        <v>0</v>
      </c>
      <c r="T7" s="37">
        <f t="shared" si="18"/>
        <v>3789</v>
      </c>
      <c r="U7" s="16">
        <f t="shared" si="19"/>
        <v>0</v>
      </c>
    </row>
    <row r="8" spans="1:24" ht="13.5" thickBot="1" x14ac:dyDescent="0.25">
      <c r="A8" s="10">
        <v>44475</v>
      </c>
      <c r="B8" s="37">
        <f t="shared" si="1"/>
        <v>45989</v>
      </c>
      <c r="C8" s="16">
        <f t="shared" si="2"/>
        <v>0</v>
      </c>
      <c r="D8" s="37">
        <f t="shared" si="3"/>
        <v>39897</v>
      </c>
      <c r="E8" s="16">
        <f t="shared" si="4"/>
        <v>0</v>
      </c>
      <c r="F8" s="37">
        <f t="shared" si="5"/>
        <v>20845</v>
      </c>
      <c r="G8" s="16">
        <f t="shared" si="6"/>
        <v>0</v>
      </c>
      <c r="H8" s="37">
        <f t="shared" si="7"/>
        <v>249167</v>
      </c>
      <c r="I8" s="16">
        <f t="shared" si="8"/>
        <v>0</v>
      </c>
      <c r="J8" s="37">
        <f t="shared" si="9"/>
        <v>303517</v>
      </c>
      <c r="K8" s="16">
        <f t="shared" si="10"/>
        <v>0</v>
      </c>
      <c r="L8" s="37">
        <f t="shared" si="11"/>
        <v>25435</v>
      </c>
      <c r="M8" s="16">
        <f t="shared" si="12"/>
        <v>0</v>
      </c>
      <c r="N8" s="37">
        <f t="shared" si="13"/>
        <v>215935</v>
      </c>
      <c r="O8" s="16">
        <f t="shared" si="14"/>
        <v>0</v>
      </c>
      <c r="P8" s="37">
        <f t="shared" si="15"/>
        <v>125199</v>
      </c>
      <c r="Q8" s="16">
        <f t="shared" si="16"/>
        <v>0</v>
      </c>
      <c r="R8" s="1">
        <v>55047</v>
      </c>
      <c r="S8" s="16">
        <f>R8-R7</f>
        <v>0</v>
      </c>
      <c r="T8" s="37">
        <f t="shared" si="18"/>
        <v>3789</v>
      </c>
      <c r="U8" s="16">
        <f t="shared" si="19"/>
        <v>0</v>
      </c>
    </row>
    <row r="9" spans="1:24" ht="13.5" thickBot="1" x14ac:dyDescent="0.25">
      <c r="A9" s="10">
        <v>44476</v>
      </c>
      <c r="B9" s="37">
        <f t="shared" si="1"/>
        <v>45989</v>
      </c>
      <c r="C9" s="16">
        <f t="shared" si="2"/>
        <v>0</v>
      </c>
      <c r="D9" s="37">
        <f t="shared" si="3"/>
        <v>39897</v>
      </c>
      <c r="E9" s="16">
        <f t="shared" si="4"/>
        <v>0</v>
      </c>
      <c r="F9" s="37">
        <f t="shared" si="5"/>
        <v>20845</v>
      </c>
      <c r="G9" s="16">
        <f t="shared" si="6"/>
        <v>0</v>
      </c>
      <c r="H9" s="37">
        <f t="shared" si="7"/>
        <v>249167</v>
      </c>
      <c r="I9" s="16">
        <f t="shared" si="8"/>
        <v>0</v>
      </c>
      <c r="J9" s="37">
        <f t="shared" si="9"/>
        <v>303517</v>
      </c>
      <c r="K9" s="16">
        <f t="shared" si="10"/>
        <v>0</v>
      </c>
      <c r="L9" s="37">
        <f t="shared" si="11"/>
        <v>25435</v>
      </c>
      <c r="M9" s="16">
        <f t="shared" si="12"/>
        <v>0</v>
      </c>
      <c r="N9" s="37">
        <f t="shared" si="13"/>
        <v>215935</v>
      </c>
      <c r="O9" s="16">
        <f t="shared" si="14"/>
        <v>0</v>
      </c>
      <c r="P9" s="37">
        <f t="shared" si="15"/>
        <v>125199</v>
      </c>
      <c r="Q9" s="16">
        <f>P9-P8</f>
        <v>0</v>
      </c>
      <c r="R9" s="1">
        <v>55047</v>
      </c>
      <c r="S9" s="16">
        <f>R9-R8</f>
        <v>0</v>
      </c>
      <c r="T9" s="37">
        <f t="shared" si="18"/>
        <v>3789</v>
      </c>
      <c r="U9" s="16">
        <f t="shared" si="19"/>
        <v>0</v>
      </c>
    </row>
    <row r="10" spans="1:24" ht="13.5" thickBot="1" x14ac:dyDescent="0.25">
      <c r="A10" s="10">
        <v>44477</v>
      </c>
      <c r="B10" s="37">
        <f t="shared" si="1"/>
        <v>45989</v>
      </c>
      <c r="C10" s="16">
        <f t="shared" si="2"/>
        <v>0</v>
      </c>
      <c r="D10" s="37">
        <f t="shared" si="3"/>
        <v>39897</v>
      </c>
      <c r="E10" s="16">
        <f t="shared" si="4"/>
        <v>0</v>
      </c>
      <c r="F10" s="37">
        <f t="shared" si="5"/>
        <v>20845</v>
      </c>
      <c r="G10" s="16">
        <f t="shared" si="6"/>
        <v>0</v>
      </c>
      <c r="H10" s="37">
        <f t="shared" si="7"/>
        <v>249167</v>
      </c>
      <c r="I10" s="16">
        <f t="shared" si="8"/>
        <v>0</v>
      </c>
      <c r="J10" s="37">
        <f t="shared" si="9"/>
        <v>303517</v>
      </c>
      <c r="K10" s="16">
        <f t="shared" si="10"/>
        <v>0</v>
      </c>
      <c r="L10" s="37">
        <f t="shared" si="11"/>
        <v>25435</v>
      </c>
      <c r="M10" s="16">
        <f t="shared" si="12"/>
        <v>0</v>
      </c>
      <c r="N10" s="37">
        <f t="shared" si="13"/>
        <v>215935</v>
      </c>
      <c r="O10" s="16">
        <f t="shared" si="14"/>
        <v>0</v>
      </c>
      <c r="P10" s="37">
        <f t="shared" si="15"/>
        <v>125199</v>
      </c>
      <c r="Q10" s="16">
        <f>P10-P9</f>
        <v>0</v>
      </c>
      <c r="R10" s="1">
        <v>55047</v>
      </c>
      <c r="S10" s="16">
        <f>R10-R9</f>
        <v>0</v>
      </c>
      <c r="T10" s="37">
        <f t="shared" si="18"/>
        <v>3789</v>
      </c>
      <c r="U10" s="16">
        <f t="shared" si="19"/>
        <v>0</v>
      </c>
    </row>
    <row r="11" spans="1:24" ht="13.5" thickBot="1" x14ac:dyDescent="0.25">
      <c r="A11" s="10">
        <v>44478</v>
      </c>
      <c r="B11" s="37">
        <f t="shared" si="1"/>
        <v>45989</v>
      </c>
      <c r="C11" s="16">
        <f t="shared" si="2"/>
        <v>0</v>
      </c>
      <c r="D11" s="37">
        <f t="shared" si="3"/>
        <v>39897</v>
      </c>
      <c r="E11" s="16">
        <f t="shared" si="4"/>
        <v>0</v>
      </c>
      <c r="F11" s="37">
        <f t="shared" si="5"/>
        <v>20845</v>
      </c>
      <c r="G11" s="16">
        <f t="shared" si="6"/>
        <v>0</v>
      </c>
      <c r="H11" s="37">
        <f t="shared" si="7"/>
        <v>249167</v>
      </c>
      <c r="I11" s="16">
        <f t="shared" si="8"/>
        <v>0</v>
      </c>
      <c r="J11" s="37">
        <f t="shared" si="9"/>
        <v>303517</v>
      </c>
      <c r="K11" s="16">
        <f t="shared" si="10"/>
        <v>0</v>
      </c>
      <c r="L11" s="37">
        <f t="shared" si="11"/>
        <v>25435</v>
      </c>
      <c r="M11" s="16">
        <f t="shared" si="12"/>
        <v>0</v>
      </c>
      <c r="N11" s="37">
        <f t="shared" si="13"/>
        <v>215935</v>
      </c>
      <c r="O11" s="16">
        <f t="shared" si="14"/>
        <v>0</v>
      </c>
      <c r="P11" s="37">
        <f t="shared" si="15"/>
        <v>125199</v>
      </c>
      <c r="Q11" s="16">
        <f t="shared" si="16"/>
        <v>0</v>
      </c>
      <c r="R11" s="1">
        <v>55047</v>
      </c>
      <c r="S11" s="16">
        <f t="shared" si="17"/>
        <v>0</v>
      </c>
      <c r="T11" s="37">
        <f t="shared" si="18"/>
        <v>3789</v>
      </c>
      <c r="U11" s="16">
        <f t="shared" si="19"/>
        <v>0</v>
      </c>
    </row>
    <row r="12" spans="1:24" ht="13.5" thickBot="1" x14ac:dyDescent="0.25">
      <c r="A12" s="10">
        <v>44479</v>
      </c>
      <c r="B12" s="37">
        <f t="shared" si="1"/>
        <v>45989</v>
      </c>
      <c r="C12" s="16">
        <f t="shared" si="2"/>
        <v>0</v>
      </c>
      <c r="D12" s="37">
        <f t="shared" si="3"/>
        <v>39897</v>
      </c>
      <c r="E12" s="16">
        <f t="shared" si="4"/>
        <v>0</v>
      </c>
      <c r="F12" s="37">
        <f t="shared" si="5"/>
        <v>20845</v>
      </c>
      <c r="G12" s="16">
        <f t="shared" si="6"/>
        <v>0</v>
      </c>
      <c r="H12" s="37">
        <f t="shared" si="7"/>
        <v>249167</v>
      </c>
      <c r="I12" s="16">
        <f t="shared" si="8"/>
        <v>0</v>
      </c>
      <c r="J12" s="37">
        <f t="shared" si="9"/>
        <v>303517</v>
      </c>
      <c r="K12" s="16">
        <f t="shared" si="10"/>
        <v>0</v>
      </c>
      <c r="L12" s="37">
        <f t="shared" si="11"/>
        <v>25435</v>
      </c>
      <c r="M12" s="16">
        <f t="shared" si="12"/>
        <v>0</v>
      </c>
      <c r="N12" s="37">
        <f t="shared" si="13"/>
        <v>215935</v>
      </c>
      <c r="O12" s="16">
        <f t="shared" si="14"/>
        <v>0</v>
      </c>
      <c r="P12" s="37">
        <f t="shared" si="15"/>
        <v>125199</v>
      </c>
      <c r="Q12" s="16">
        <f t="shared" si="16"/>
        <v>0</v>
      </c>
      <c r="R12" s="1">
        <v>55047</v>
      </c>
      <c r="S12" s="16">
        <f t="shared" si="17"/>
        <v>0</v>
      </c>
      <c r="T12" s="37">
        <f t="shared" si="18"/>
        <v>3789</v>
      </c>
      <c r="U12" s="16">
        <f t="shared" si="19"/>
        <v>0</v>
      </c>
    </row>
    <row r="13" spans="1:24" ht="13.5" thickBot="1" x14ac:dyDescent="0.25">
      <c r="A13" s="10">
        <v>44480</v>
      </c>
      <c r="B13" s="37">
        <f t="shared" si="1"/>
        <v>45989</v>
      </c>
      <c r="C13" s="16">
        <f t="shared" si="2"/>
        <v>0</v>
      </c>
      <c r="D13" s="37">
        <f t="shared" si="3"/>
        <v>39897</v>
      </c>
      <c r="E13" s="16">
        <f t="shared" si="4"/>
        <v>0</v>
      </c>
      <c r="F13" s="37">
        <f t="shared" si="5"/>
        <v>20845</v>
      </c>
      <c r="G13" s="16">
        <f t="shared" si="6"/>
        <v>0</v>
      </c>
      <c r="H13" s="37">
        <f t="shared" si="7"/>
        <v>249167</v>
      </c>
      <c r="I13" s="16">
        <f t="shared" si="8"/>
        <v>0</v>
      </c>
      <c r="J13" s="37">
        <f t="shared" si="9"/>
        <v>303517</v>
      </c>
      <c r="K13" s="16">
        <f t="shared" si="10"/>
        <v>0</v>
      </c>
      <c r="L13" s="37">
        <f t="shared" si="11"/>
        <v>25435</v>
      </c>
      <c r="M13" s="16">
        <f t="shared" si="12"/>
        <v>0</v>
      </c>
      <c r="N13" s="37">
        <f t="shared" si="13"/>
        <v>215935</v>
      </c>
      <c r="O13" s="16">
        <f t="shared" si="14"/>
        <v>0</v>
      </c>
      <c r="P13" s="37">
        <f t="shared" si="15"/>
        <v>125199</v>
      </c>
      <c r="Q13" s="16">
        <f t="shared" si="16"/>
        <v>0</v>
      </c>
      <c r="R13" s="1">
        <f>R12</f>
        <v>55047</v>
      </c>
      <c r="S13" s="16">
        <f t="shared" si="17"/>
        <v>0</v>
      </c>
      <c r="T13" s="37">
        <f t="shared" si="18"/>
        <v>3789</v>
      </c>
      <c r="U13" s="16">
        <f t="shared" si="19"/>
        <v>0</v>
      </c>
    </row>
    <row r="14" spans="1:24" ht="13.5" thickBot="1" x14ac:dyDescent="0.25">
      <c r="A14" s="10">
        <v>44481</v>
      </c>
      <c r="B14" s="37">
        <f t="shared" si="1"/>
        <v>45989</v>
      </c>
      <c r="C14" s="16">
        <f t="shared" si="2"/>
        <v>0</v>
      </c>
      <c r="D14" s="37">
        <f t="shared" si="3"/>
        <v>39897</v>
      </c>
      <c r="E14" s="16">
        <f t="shared" si="4"/>
        <v>0</v>
      </c>
      <c r="F14" s="37">
        <f t="shared" si="5"/>
        <v>20845</v>
      </c>
      <c r="G14" s="16">
        <f t="shared" si="6"/>
        <v>0</v>
      </c>
      <c r="H14" s="37">
        <f t="shared" si="7"/>
        <v>249167</v>
      </c>
      <c r="I14" s="16">
        <f t="shared" si="8"/>
        <v>0</v>
      </c>
      <c r="J14" s="37">
        <f t="shared" si="9"/>
        <v>303517</v>
      </c>
      <c r="K14" s="16">
        <v>0</v>
      </c>
      <c r="L14" s="37">
        <f t="shared" si="11"/>
        <v>25435</v>
      </c>
      <c r="M14" s="16">
        <f t="shared" si="12"/>
        <v>0</v>
      </c>
      <c r="N14" s="37">
        <f t="shared" si="13"/>
        <v>215935</v>
      </c>
      <c r="O14" s="16">
        <f t="shared" si="14"/>
        <v>0</v>
      </c>
      <c r="P14" s="37">
        <f t="shared" si="15"/>
        <v>125199</v>
      </c>
      <c r="Q14" s="16">
        <f t="shared" si="16"/>
        <v>0</v>
      </c>
      <c r="R14" s="1">
        <f t="shared" ref="R14:R33" si="20">R13</f>
        <v>55047</v>
      </c>
      <c r="S14" s="16">
        <v>0</v>
      </c>
      <c r="T14" s="37">
        <f t="shared" si="18"/>
        <v>3789</v>
      </c>
      <c r="U14" s="16">
        <f t="shared" si="19"/>
        <v>0</v>
      </c>
    </row>
    <row r="15" spans="1:24" ht="13.5" thickBot="1" x14ac:dyDescent="0.25">
      <c r="A15" s="10">
        <v>44482</v>
      </c>
      <c r="B15" s="37">
        <f t="shared" si="1"/>
        <v>45989</v>
      </c>
      <c r="C15" s="16">
        <f t="shared" si="2"/>
        <v>0</v>
      </c>
      <c r="D15" s="37">
        <f t="shared" si="3"/>
        <v>39897</v>
      </c>
      <c r="E15" s="16">
        <f t="shared" si="4"/>
        <v>0</v>
      </c>
      <c r="F15" s="37">
        <f t="shared" si="5"/>
        <v>20845</v>
      </c>
      <c r="G15" s="16">
        <f t="shared" si="6"/>
        <v>0</v>
      </c>
      <c r="H15" s="37">
        <f t="shared" si="7"/>
        <v>249167</v>
      </c>
      <c r="I15" s="16">
        <f t="shared" si="8"/>
        <v>0</v>
      </c>
      <c r="J15" s="37">
        <f t="shared" si="9"/>
        <v>303517</v>
      </c>
      <c r="K15" s="16">
        <f t="shared" si="10"/>
        <v>0</v>
      </c>
      <c r="L15" s="37">
        <f t="shared" si="11"/>
        <v>25435</v>
      </c>
      <c r="M15" s="16">
        <f t="shared" si="12"/>
        <v>0</v>
      </c>
      <c r="N15" s="37">
        <f t="shared" si="13"/>
        <v>215935</v>
      </c>
      <c r="O15" s="16">
        <f t="shared" si="14"/>
        <v>0</v>
      </c>
      <c r="P15" s="37">
        <f t="shared" si="15"/>
        <v>125199</v>
      </c>
      <c r="Q15" s="16">
        <f t="shared" si="16"/>
        <v>0</v>
      </c>
      <c r="R15" s="1">
        <f t="shared" si="20"/>
        <v>55047</v>
      </c>
      <c r="S15" s="16">
        <f t="shared" si="17"/>
        <v>0</v>
      </c>
      <c r="T15" s="37">
        <f t="shared" si="18"/>
        <v>3789</v>
      </c>
      <c r="U15" s="16">
        <f>(T15-T14)*800/5</f>
        <v>0</v>
      </c>
      <c r="X15" t="s">
        <v>12</v>
      </c>
    </row>
    <row r="16" spans="1:24" ht="13.5" thickBot="1" x14ac:dyDescent="0.25">
      <c r="A16" s="10">
        <v>44483</v>
      </c>
      <c r="B16" s="37">
        <f t="shared" si="1"/>
        <v>45989</v>
      </c>
      <c r="C16" s="16">
        <f t="shared" si="2"/>
        <v>0</v>
      </c>
      <c r="D16" s="37">
        <f t="shared" si="3"/>
        <v>39897</v>
      </c>
      <c r="E16" s="16">
        <f t="shared" si="4"/>
        <v>0</v>
      </c>
      <c r="F16" s="37">
        <f t="shared" si="5"/>
        <v>20845</v>
      </c>
      <c r="G16" s="16">
        <f t="shared" si="6"/>
        <v>0</v>
      </c>
      <c r="H16" s="37">
        <f t="shared" si="7"/>
        <v>249167</v>
      </c>
      <c r="I16" s="16">
        <f t="shared" si="8"/>
        <v>0</v>
      </c>
      <c r="J16" s="37">
        <f t="shared" si="9"/>
        <v>303517</v>
      </c>
      <c r="K16" s="16">
        <f t="shared" si="10"/>
        <v>0</v>
      </c>
      <c r="L16" s="37">
        <f t="shared" si="11"/>
        <v>25435</v>
      </c>
      <c r="M16" s="16">
        <f t="shared" si="12"/>
        <v>0</v>
      </c>
      <c r="N16" s="37">
        <f t="shared" si="13"/>
        <v>215935</v>
      </c>
      <c r="O16" s="16">
        <f t="shared" si="14"/>
        <v>0</v>
      </c>
      <c r="P16" s="37">
        <f t="shared" si="15"/>
        <v>125199</v>
      </c>
      <c r="Q16" s="16">
        <f t="shared" si="16"/>
        <v>0</v>
      </c>
      <c r="R16" s="1">
        <f t="shared" si="20"/>
        <v>55047</v>
      </c>
      <c r="S16" s="16">
        <f t="shared" si="17"/>
        <v>0</v>
      </c>
      <c r="T16" s="37">
        <f t="shared" si="18"/>
        <v>3789</v>
      </c>
      <c r="U16" s="16">
        <f t="shared" si="19"/>
        <v>0</v>
      </c>
      <c r="W16" t="s">
        <v>12</v>
      </c>
    </row>
    <row r="17" spans="1:23" ht="13.5" thickBot="1" x14ac:dyDescent="0.25">
      <c r="A17" s="10">
        <v>44484</v>
      </c>
      <c r="B17" s="37">
        <f t="shared" si="1"/>
        <v>45989</v>
      </c>
      <c r="C17" s="16">
        <f t="shared" si="2"/>
        <v>0</v>
      </c>
      <c r="D17" s="37">
        <f t="shared" si="3"/>
        <v>39897</v>
      </c>
      <c r="E17" s="16">
        <f t="shared" si="4"/>
        <v>0</v>
      </c>
      <c r="F17" s="37">
        <f t="shared" si="5"/>
        <v>20845</v>
      </c>
      <c r="G17" s="16">
        <f t="shared" si="6"/>
        <v>0</v>
      </c>
      <c r="H17" s="37">
        <f t="shared" si="7"/>
        <v>249167</v>
      </c>
      <c r="I17" s="16">
        <f t="shared" si="8"/>
        <v>0</v>
      </c>
      <c r="J17" s="37">
        <f t="shared" si="9"/>
        <v>303517</v>
      </c>
      <c r="K17" s="16">
        <f t="shared" si="10"/>
        <v>0</v>
      </c>
      <c r="L17" s="37">
        <f t="shared" si="11"/>
        <v>25435</v>
      </c>
      <c r="M17" s="16">
        <f t="shared" si="12"/>
        <v>0</v>
      </c>
      <c r="N17" s="37">
        <f t="shared" si="13"/>
        <v>215935</v>
      </c>
      <c r="O17" s="16">
        <f t="shared" si="14"/>
        <v>0</v>
      </c>
      <c r="P17" s="37">
        <f t="shared" si="15"/>
        <v>125199</v>
      </c>
      <c r="Q17" s="16">
        <f t="shared" si="16"/>
        <v>0</v>
      </c>
      <c r="R17" s="1">
        <f t="shared" si="20"/>
        <v>55047</v>
      </c>
      <c r="S17" s="16">
        <f>S16</f>
        <v>0</v>
      </c>
      <c r="T17" s="37">
        <f t="shared" si="18"/>
        <v>3789</v>
      </c>
      <c r="U17" s="16">
        <f t="shared" si="19"/>
        <v>0</v>
      </c>
    </row>
    <row r="18" spans="1:23" ht="13.5" thickBot="1" x14ac:dyDescent="0.25">
      <c r="A18" s="10">
        <v>44485</v>
      </c>
      <c r="B18" s="37">
        <f t="shared" si="1"/>
        <v>45989</v>
      </c>
      <c r="C18" s="16">
        <f t="shared" si="2"/>
        <v>0</v>
      </c>
      <c r="D18" s="37">
        <f t="shared" si="3"/>
        <v>39897</v>
      </c>
      <c r="E18" s="16">
        <f t="shared" si="4"/>
        <v>0</v>
      </c>
      <c r="F18" s="37">
        <f t="shared" si="5"/>
        <v>20845</v>
      </c>
      <c r="G18" s="16">
        <f t="shared" si="6"/>
        <v>0</v>
      </c>
      <c r="H18" s="37">
        <f t="shared" si="7"/>
        <v>249167</v>
      </c>
      <c r="I18" s="16">
        <f t="shared" si="8"/>
        <v>0</v>
      </c>
      <c r="J18" s="37">
        <f t="shared" si="9"/>
        <v>303517</v>
      </c>
      <c r="K18" s="16">
        <f t="shared" si="10"/>
        <v>0</v>
      </c>
      <c r="L18" s="37">
        <f t="shared" si="11"/>
        <v>25435</v>
      </c>
      <c r="M18" s="16">
        <f t="shared" si="12"/>
        <v>0</v>
      </c>
      <c r="N18" s="37">
        <f t="shared" si="13"/>
        <v>215935</v>
      </c>
      <c r="O18" s="16">
        <f t="shared" si="14"/>
        <v>0</v>
      </c>
      <c r="P18" s="37">
        <f t="shared" si="15"/>
        <v>125199</v>
      </c>
      <c r="Q18" s="16">
        <f t="shared" si="16"/>
        <v>0</v>
      </c>
      <c r="R18" s="1">
        <f t="shared" si="20"/>
        <v>55047</v>
      </c>
      <c r="S18" s="16">
        <f t="shared" si="17"/>
        <v>0</v>
      </c>
      <c r="T18" s="37">
        <f t="shared" si="18"/>
        <v>3789</v>
      </c>
      <c r="U18" s="16">
        <f t="shared" si="19"/>
        <v>0</v>
      </c>
    </row>
    <row r="19" spans="1:23" ht="13.5" thickBot="1" x14ac:dyDescent="0.25">
      <c r="A19" s="10">
        <v>44486</v>
      </c>
      <c r="B19" s="37">
        <f t="shared" si="1"/>
        <v>45989</v>
      </c>
      <c r="C19" s="16">
        <f t="shared" si="2"/>
        <v>0</v>
      </c>
      <c r="D19" s="37">
        <f t="shared" si="3"/>
        <v>39897</v>
      </c>
      <c r="E19" s="16">
        <f t="shared" si="4"/>
        <v>0</v>
      </c>
      <c r="F19" s="37">
        <f t="shared" si="5"/>
        <v>20845</v>
      </c>
      <c r="G19" s="16">
        <f t="shared" si="6"/>
        <v>0</v>
      </c>
      <c r="H19" s="37">
        <f t="shared" si="7"/>
        <v>249167</v>
      </c>
      <c r="I19" s="16">
        <f t="shared" si="8"/>
        <v>0</v>
      </c>
      <c r="J19" s="37">
        <f t="shared" si="9"/>
        <v>303517</v>
      </c>
      <c r="K19" s="16">
        <f t="shared" si="10"/>
        <v>0</v>
      </c>
      <c r="L19" s="37">
        <f t="shared" si="11"/>
        <v>25435</v>
      </c>
      <c r="M19" s="16">
        <f t="shared" si="12"/>
        <v>0</v>
      </c>
      <c r="N19" s="37">
        <f t="shared" si="13"/>
        <v>215935</v>
      </c>
      <c r="O19" s="16">
        <f t="shared" si="14"/>
        <v>0</v>
      </c>
      <c r="P19" s="37">
        <f t="shared" si="15"/>
        <v>125199</v>
      </c>
      <c r="Q19" s="16">
        <f t="shared" si="16"/>
        <v>0</v>
      </c>
      <c r="R19" s="1">
        <v>55047</v>
      </c>
      <c r="S19" s="16">
        <f t="shared" si="17"/>
        <v>0</v>
      </c>
      <c r="T19" s="37">
        <f t="shared" si="18"/>
        <v>3789</v>
      </c>
      <c r="U19" s="16">
        <f t="shared" si="19"/>
        <v>0</v>
      </c>
      <c r="W19" t="s">
        <v>12</v>
      </c>
    </row>
    <row r="20" spans="1:23" ht="13.5" thickBot="1" x14ac:dyDescent="0.25">
      <c r="A20" s="10">
        <v>44487</v>
      </c>
      <c r="B20" s="37">
        <f t="shared" si="1"/>
        <v>45989</v>
      </c>
      <c r="C20" s="16">
        <f t="shared" si="2"/>
        <v>0</v>
      </c>
      <c r="D20" s="37">
        <f t="shared" si="3"/>
        <v>39897</v>
      </c>
      <c r="E20" s="16">
        <f t="shared" si="4"/>
        <v>0</v>
      </c>
      <c r="F20" s="37">
        <f t="shared" si="5"/>
        <v>20845</v>
      </c>
      <c r="G20" s="16">
        <f t="shared" si="6"/>
        <v>0</v>
      </c>
      <c r="H20" s="37">
        <f t="shared" si="7"/>
        <v>249167</v>
      </c>
      <c r="I20" s="16">
        <f t="shared" si="8"/>
        <v>0</v>
      </c>
      <c r="J20" s="37">
        <f t="shared" si="9"/>
        <v>303517</v>
      </c>
      <c r="K20" s="16">
        <v>0</v>
      </c>
      <c r="L20" s="37">
        <f t="shared" si="11"/>
        <v>25435</v>
      </c>
      <c r="M20" s="16">
        <f t="shared" si="12"/>
        <v>0</v>
      </c>
      <c r="N20" s="37">
        <f t="shared" si="13"/>
        <v>215935</v>
      </c>
      <c r="O20" s="16">
        <f t="shared" si="14"/>
        <v>0</v>
      </c>
      <c r="P20" s="37">
        <f t="shared" si="15"/>
        <v>125199</v>
      </c>
      <c r="Q20" s="16">
        <f>P20-P19</f>
        <v>0</v>
      </c>
      <c r="R20" s="1">
        <v>55047</v>
      </c>
      <c r="S20" s="16">
        <f t="shared" si="17"/>
        <v>0</v>
      </c>
      <c r="T20" s="37">
        <f t="shared" si="18"/>
        <v>3789</v>
      </c>
      <c r="U20" s="16">
        <f t="shared" si="19"/>
        <v>0</v>
      </c>
    </row>
    <row r="21" spans="1:23" ht="13.5" thickBot="1" x14ac:dyDescent="0.25">
      <c r="A21" s="10">
        <v>44488</v>
      </c>
      <c r="B21" s="37">
        <f t="shared" si="1"/>
        <v>45989</v>
      </c>
      <c r="C21" s="16">
        <f t="shared" si="2"/>
        <v>0</v>
      </c>
      <c r="D21" s="37">
        <f t="shared" si="3"/>
        <v>39897</v>
      </c>
      <c r="E21" s="16">
        <f t="shared" si="4"/>
        <v>0</v>
      </c>
      <c r="F21" s="37">
        <f t="shared" si="5"/>
        <v>20845</v>
      </c>
      <c r="G21" s="16">
        <f t="shared" si="6"/>
        <v>0</v>
      </c>
      <c r="H21" s="37">
        <f t="shared" si="7"/>
        <v>249167</v>
      </c>
      <c r="I21" s="16">
        <f t="shared" si="8"/>
        <v>0</v>
      </c>
      <c r="J21" s="37">
        <f t="shared" si="9"/>
        <v>303517</v>
      </c>
      <c r="K21" s="16">
        <f t="shared" si="10"/>
        <v>0</v>
      </c>
      <c r="L21" s="37">
        <f t="shared" si="11"/>
        <v>25435</v>
      </c>
      <c r="M21" s="16">
        <f t="shared" si="12"/>
        <v>0</v>
      </c>
      <c r="N21" s="37">
        <f t="shared" si="13"/>
        <v>215935</v>
      </c>
      <c r="O21" s="16">
        <f t="shared" si="14"/>
        <v>0</v>
      </c>
      <c r="P21" s="37">
        <f t="shared" si="15"/>
        <v>125199</v>
      </c>
      <c r="Q21" s="16">
        <f t="shared" si="16"/>
        <v>0</v>
      </c>
      <c r="R21" s="1">
        <f t="shared" si="20"/>
        <v>55047</v>
      </c>
      <c r="S21" s="16">
        <f t="shared" si="17"/>
        <v>0</v>
      </c>
      <c r="T21" s="37">
        <f t="shared" si="18"/>
        <v>3789</v>
      </c>
      <c r="U21" s="16">
        <f t="shared" si="19"/>
        <v>0</v>
      </c>
    </row>
    <row r="22" spans="1:23" ht="13.5" thickBot="1" x14ac:dyDescent="0.25">
      <c r="A22" s="10">
        <v>44489</v>
      </c>
      <c r="B22" s="37">
        <f t="shared" si="1"/>
        <v>45989</v>
      </c>
      <c r="C22" s="16">
        <f t="shared" si="2"/>
        <v>0</v>
      </c>
      <c r="D22" s="37">
        <f t="shared" si="3"/>
        <v>39897</v>
      </c>
      <c r="E22" s="16">
        <f t="shared" si="4"/>
        <v>0</v>
      </c>
      <c r="F22" s="37">
        <f t="shared" si="5"/>
        <v>20845</v>
      </c>
      <c r="G22" s="16">
        <f t="shared" si="6"/>
        <v>0</v>
      </c>
      <c r="H22" s="37">
        <f t="shared" si="7"/>
        <v>249167</v>
      </c>
      <c r="I22" s="16">
        <f t="shared" si="8"/>
        <v>0</v>
      </c>
      <c r="J22" s="37">
        <f t="shared" si="9"/>
        <v>303517</v>
      </c>
      <c r="K22" s="16">
        <f t="shared" si="10"/>
        <v>0</v>
      </c>
      <c r="L22" s="37">
        <f t="shared" si="11"/>
        <v>25435</v>
      </c>
      <c r="M22" s="16">
        <f t="shared" si="12"/>
        <v>0</v>
      </c>
      <c r="N22" s="37">
        <f t="shared" si="13"/>
        <v>215935</v>
      </c>
      <c r="O22" s="16">
        <f t="shared" si="14"/>
        <v>0</v>
      </c>
      <c r="P22" s="37">
        <f t="shared" si="15"/>
        <v>125199</v>
      </c>
      <c r="Q22" s="16">
        <f>P22-P21</f>
        <v>0</v>
      </c>
      <c r="R22" s="1">
        <f t="shared" si="20"/>
        <v>55047</v>
      </c>
      <c r="S22" s="16">
        <f t="shared" si="17"/>
        <v>0</v>
      </c>
      <c r="T22" s="37">
        <f t="shared" si="18"/>
        <v>3789</v>
      </c>
      <c r="U22" s="16">
        <f t="shared" si="19"/>
        <v>0</v>
      </c>
    </row>
    <row r="23" spans="1:23" ht="13.5" thickBot="1" x14ac:dyDescent="0.25">
      <c r="A23" s="10">
        <v>44490</v>
      </c>
      <c r="B23" s="37">
        <f t="shared" si="1"/>
        <v>45989</v>
      </c>
      <c r="C23" s="16">
        <f t="shared" si="2"/>
        <v>0</v>
      </c>
      <c r="D23" s="37">
        <f t="shared" si="3"/>
        <v>39897</v>
      </c>
      <c r="E23" s="16">
        <f t="shared" si="4"/>
        <v>0</v>
      </c>
      <c r="F23" s="37">
        <f t="shared" si="5"/>
        <v>20845</v>
      </c>
      <c r="G23" s="16">
        <f t="shared" si="6"/>
        <v>0</v>
      </c>
      <c r="H23" s="37">
        <f t="shared" si="7"/>
        <v>249167</v>
      </c>
      <c r="I23" s="16">
        <f t="shared" si="8"/>
        <v>0</v>
      </c>
      <c r="J23" s="37">
        <f t="shared" si="9"/>
        <v>303517</v>
      </c>
      <c r="K23" s="16">
        <f t="shared" si="10"/>
        <v>0</v>
      </c>
      <c r="L23" s="37">
        <f t="shared" si="11"/>
        <v>25435</v>
      </c>
      <c r="M23" s="16">
        <f t="shared" si="12"/>
        <v>0</v>
      </c>
      <c r="N23" s="37">
        <f t="shared" si="13"/>
        <v>215935</v>
      </c>
      <c r="O23" s="16">
        <f t="shared" si="14"/>
        <v>0</v>
      </c>
      <c r="P23" s="37">
        <f t="shared" si="15"/>
        <v>125199</v>
      </c>
      <c r="Q23" s="16">
        <f t="shared" si="16"/>
        <v>0</v>
      </c>
      <c r="R23" s="1">
        <f t="shared" si="20"/>
        <v>55047</v>
      </c>
      <c r="S23" s="16">
        <f t="shared" si="17"/>
        <v>0</v>
      </c>
      <c r="T23" s="37">
        <f t="shared" si="18"/>
        <v>3789</v>
      </c>
      <c r="U23" s="16">
        <f t="shared" si="19"/>
        <v>0</v>
      </c>
    </row>
    <row r="24" spans="1:23" s="138" customFormat="1" ht="13.5" thickBot="1" x14ac:dyDescent="0.25">
      <c r="A24" s="10">
        <v>44491</v>
      </c>
      <c r="B24" s="37">
        <f t="shared" si="1"/>
        <v>45989</v>
      </c>
      <c r="C24" s="16">
        <f t="shared" si="2"/>
        <v>0</v>
      </c>
      <c r="D24" s="37">
        <f t="shared" si="3"/>
        <v>39897</v>
      </c>
      <c r="E24" s="16">
        <f t="shared" si="4"/>
        <v>0</v>
      </c>
      <c r="F24" s="37">
        <f t="shared" si="5"/>
        <v>20845</v>
      </c>
      <c r="G24" s="16">
        <f t="shared" si="6"/>
        <v>0</v>
      </c>
      <c r="H24" s="37">
        <f t="shared" si="7"/>
        <v>249167</v>
      </c>
      <c r="I24" s="16">
        <f t="shared" si="8"/>
        <v>0</v>
      </c>
      <c r="J24" s="37">
        <f t="shared" si="9"/>
        <v>303517</v>
      </c>
      <c r="K24" s="16">
        <f t="shared" si="10"/>
        <v>0</v>
      </c>
      <c r="L24" s="37">
        <f t="shared" si="11"/>
        <v>25435</v>
      </c>
      <c r="M24" s="16">
        <f t="shared" si="12"/>
        <v>0</v>
      </c>
      <c r="N24" s="37">
        <f t="shared" si="13"/>
        <v>215935</v>
      </c>
      <c r="O24" s="16">
        <f t="shared" si="14"/>
        <v>0</v>
      </c>
      <c r="P24" s="37">
        <f t="shared" si="15"/>
        <v>125199</v>
      </c>
      <c r="Q24" s="16">
        <f t="shared" si="16"/>
        <v>0</v>
      </c>
      <c r="R24" s="1">
        <f t="shared" si="20"/>
        <v>55047</v>
      </c>
      <c r="S24" s="16">
        <f t="shared" si="17"/>
        <v>0</v>
      </c>
      <c r="T24" s="37">
        <f t="shared" si="18"/>
        <v>3789</v>
      </c>
      <c r="U24" s="16">
        <f t="shared" si="19"/>
        <v>0</v>
      </c>
    </row>
    <row r="25" spans="1:23" ht="13.5" thickBot="1" x14ac:dyDescent="0.25">
      <c r="A25" s="10">
        <v>44492</v>
      </c>
      <c r="B25" s="37">
        <f t="shared" si="1"/>
        <v>45989</v>
      </c>
      <c r="C25" s="16">
        <f t="shared" si="2"/>
        <v>0</v>
      </c>
      <c r="D25" s="37">
        <f t="shared" si="3"/>
        <v>39897</v>
      </c>
      <c r="E25" s="16">
        <f t="shared" si="4"/>
        <v>0</v>
      </c>
      <c r="F25" s="37">
        <f t="shared" si="5"/>
        <v>20845</v>
      </c>
      <c r="G25" s="16">
        <f t="shared" si="6"/>
        <v>0</v>
      </c>
      <c r="H25" s="37">
        <f t="shared" si="7"/>
        <v>249167</v>
      </c>
      <c r="I25" s="16">
        <f t="shared" si="8"/>
        <v>0</v>
      </c>
      <c r="J25" s="37">
        <f t="shared" si="9"/>
        <v>303517</v>
      </c>
      <c r="K25" s="16">
        <f t="shared" si="10"/>
        <v>0</v>
      </c>
      <c r="L25" s="37">
        <f t="shared" si="11"/>
        <v>25435</v>
      </c>
      <c r="M25" s="16">
        <f t="shared" si="12"/>
        <v>0</v>
      </c>
      <c r="N25" s="37">
        <f t="shared" si="13"/>
        <v>215935</v>
      </c>
      <c r="O25" s="16">
        <f t="shared" si="14"/>
        <v>0</v>
      </c>
      <c r="P25" s="37">
        <f t="shared" si="15"/>
        <v>125199</v>
      </c>
      <c r="Q25" s="16">
        <f t="shared" si="16"/>
        <v>0</v>
      </c>
      <c r="R25" s="1">
        <f t="shared" si="20"/>
        <v>55047</v>
      </c>
      <c r="S25" s="16">
        <f t="shared" si="17"/>
        <v>0</v>
      </c>
      <c r="T25" s="37">
        <f t="shared" si="18"/>
        <v>3789</v>
      </c>
      <c r="U25" s="16">
        <f t="shared" si="19"/>
        <v>0</v>
      </c>
      <c r="V25" t="s">
        <v>12</v>
      </c>
    </row>
    <row r="26" spans="1:23" ht="12.75" customHeight="1" thickBot="1" x14ac:dyDescent="0.25">
      <c r="A26" s="10">
        <v>44493</v>
      </c>
      <c r="B26" s="37">
        <f t="shared" si="1"/>
        <v>45989</v>
      </c>
      <c r="C26" s="16">
        <f t="shared" si="2"/>
        <v>0</v>
      </c>
      <c r="D26" s="37">
        <f t="shared" si="3"/>
        <v>39897</v>
      </c>
      <c r="E26" s="16">
        <f t="shared" si="4"/>
        <v>0</v>
      </c>
      <c r="F26" s="37">
        <f t="shared" si="5"/>
        <v>20845</v>
      </c>
      <c r="G26" s="16">
        <f t="shared" si="6"/>
        <v>0</v>
      </c>
      <c r="H26" s="37">
        <f t="shared" si="7"/>
        <v>249167</v>
      </c>
      <c r="I26" s="16">
        <f t="shared" si="8"/>
        <v>0</v>
      </c>
      <c r="J26" s="37">
        <f t="shared" si="9"/>
        <v>303517</v>
      </c>
      <c r="K26" s="16">
        <f t="shared" si="10"/>
        <v>0</v>
      </c>
      <c r="L26" s="37">
        <f t="shared" si="11"/>
        <v>25435</v>
      </c>
      <c r="M26" s="16">
        <f t="shared" si="12"/>
        <v>0</v>
      </c>
      <c r="N26" s="37">
        <f t="shared" si="13"/>
        <v>215935</v>
      </c>
      <c r="O26" s="16">
        <f t="shared" si="14"/>
        <v>0</v>
      </c>
      <c r="P26" s="37">
        <f t="shared" si="15"/>
        <v>125199</v>
      </c>
      <c r="Q26" s="16">
        <f t="shared" si="16"/>
        <v>0</v>
      </c>
      <c r="R26" s="1">
        <f t="shared" si="20"/>
        <v>55047</v>
      </c>
      <c r="S26" s="16">
        <f t="shared" si="17"/>
        <v>0</v>
      </c>
      <c r="T26" s="37">
        <f t="shared" si="18"/>
        <v>3789</v>
      </c>
      <c r="U26" s="16">
        <f t="shared" si="19"/>
        <v>0</v>
      </c>
      <c r="W26" t="s">
        <v>12</v>
      </c>
    </row>
    <row r="27" spans="1:23" ht="13.5" thickBot="1" x14ac:dyDescent="0.25">
      <c r="A27" s="10">
        <v>44494</v>
      </c>
      <c r="B27" s="37">
        <f t="shared" si="1"/>
        <v>45989</v>
      </c>
      <c r="C27" s="16">
        <f t="shared" si="2"/>
        <v>0</v>
      </c>
      <c r="D27" s="37">
        <f t="shared" si="3"/>
        <v>39897</v>
      </c>
      <c r="E27" s="16">
        <f t="shared" si="4"/>
        <v>0</v>
      </c>
      <c r="F27" s="37">
        <f t="shared" si="5"/>
        <v>20845</v>
      </c>
      <c r="G27" s="16">
        <f t="shared" si="6"/>
        <v>0</v>
      </c>
      <c r="H27" s="37">
        <f t="shared" si="7"/>
        <v>249167</v>
      </c>
      <c r="I27" s="16">
        <f t="shared" si="8"/>
        <v>0</v>
      </c>
      <c r="J27" s="37">
        <f t="shared" si="9"/>
        <v>303517</v>
      </c>
      <c r="K27" s="16">
        <f t="shared" si="10"/>
        <v>0</v>
      </c>
      <c r="L27" s="37">
        <f t="shared" si="11"/>
        <v>25435</v>
      </c>
      <c r="M27" s="16">
        <f t="shared" si="12"/>
        <v>0</v>
      </c>
      <c r="N27" s="37">
        <f t="shared" si="13"/>
        <v>215935</v>
      </c>
      <c r="O27" s="16">
        <f t="shared" si="14"/>
        <v>0</v>
      </c>
      <c r="P27" s="37">
        <f t="shared" si="15"/>
        <v>125199</v>
      </c>
      <c r="Q27" s="16">
        <f t="shared" si="16"/>
        <v>0</v>
      </c>
      <c r="R27" s="1">
        <f t="shared" si="20"/>
        <v>55047</v>
      </c>
      <c r="S27" s="16">
        <f t="shared" si="17"/>
        <v>0</v>
      </c>
      <c r="T27" s="37">
        <f t="shared" si="18"/>
        <v>3789</v>
      </c>
      <c r="U27" s="16">
        <f t="shared" si="19"/>
        <v>0</v>
      </c>
    </row>
    <row r="28" spans="1:23" ht="13.5" thickBot="1" x14ac:dyDescent="0.25">
      <c r="A28" s="10">
        <v>44495</v>
      </c>
      <c r="B28" s="37">
        <f t="shared" si="1"/>
        <v>45989</v>
      </c>
      <c r="C28" s="16">
        <f t="shared" si="2"/>
        <v>0</v>
      </c>
      <c r="D28" s="37">
        <f t="shared" si="3"/>
        <v>39897</v>
      </c>
      <c r="E28" s="16">
        <f t="shared" si="4"/>
        <v>0</v>
      </c>
      <c r="F28" s="37">
        <f t="shared" si="5"/>
        <v>20845</v>
      </c>
      <c r="G28" s="16">
        <f t="shared" si="6"/>
        <v>0</v>
      </c>
      <c r="H28" s="37">
        <f t="shared" si="7"/>
        <v>249167</v>
      </c>
      <c r="I28" s="16">
        <f t="shared" si="8"/>
        <v>0</v>
      </c>
      <c r="J28" s="37">
        <f t="shared" si="9"/>
        <v>303517</v>
      </c>
      <c r="K28" s="16">
        <f t="shared" si="10"/>
        <v>0</v>
      </c>
      <c r="L28" s="37">
        <f t="shared" si="11"/>
        <v>25435</v>
      </c>
      <c r="M28" s="16">
        <f t="shared" si="12"/>
        <v>0</v>
      </c>
      <c r="N28" s="37">
        <f t="shared" si="13"/>
        <v>215935</v>
      </c>
      <c r="O28" s="16">
        <f t="shared" si="14"/>
        <v>0</v>
      </c>
      <c r="P28" s="37">
        <f t="shared" si="15"/>
        <v>125199</v>
      </c>
      <c r="Q28" s="17">
        <f t="shared" si="16"/>
        <v>0</v>
      </c>
      <c r="R28" s="1">
        <f t="shared" si="20"/>
        <v>55047</v>
      </c>
      <c r="S28" s="17">
        <f t="shared" si="17"/>
        <v>0</v>
      </c>
      <c r="T28" s="37">
        <f t="shared" si="18"/>
        <v>3789</v>
      </c>
      <c r="U28" s="16">
        <f t="shared" si="19"/>
        <v>0</v>
      </c>
    </row>
    <row r="29" spans="1:23" ht="13.5" thickBot="1" x14ac:dyDescent="0.25">
      <c r="A29" s="10">
        <v>44496</v>
      </c>
      <c r="B29" s="37">
        <f t="shared" si="1"/>
        <v>45989</v>
      </c>
      <c r="C29" s="16">
        <f t="shared" si="2"/>
        <v>0</v>
      </c>
      <c r="D29" s="37">
        <f t="shared" si="3"/>
        <v>39897</v>
      </c>
      <c r="E29" s="16">
        <f t="shared" si="4"/>
        <v>0</v>
      </c>
      <c r="F29" s="37">
        <f t="shared" si="5"/>
        <v>20845</v>
      </c>
      <c r="G29" s="16">
        <f t="shared" si="6"/>
        <v>0</v>
      </c>
      <c r="H29" s="37">
        <f t="shared" si="7"/>
        <v>249167</v>
      </c>
      <c r="I29" s="16">
        <f t="shared" si="8"/>
        <v>0</v>
      </c>
      <c r="J29" s="37">
        <f t="shared" si="9"/>
        <v>303517</v>
      </c>
      <c r="K29" s="16">
        <f t="shared" si="10"/>
        <v>0</v>
      </c>
      <c r="L29" s="37">
        <f t="shared" si="11"/>
        <v>25435</v>
      </c>
      <c r="M29" s="16">
        <f t="shared" si="12"/>
        <v>0</v>
      </c>
      <c r="N29" s="37">
        <f t="shared" si="13"/>
        <v>215935</v>
      </c>
      <c r="O29" s="16">
        <f t="shared" si="14"/>
        <v>0</v>
      </c>
      <c r="P29" s="37">
        <f t="shared" si="15"/>
        <v>125199</v>
      </c>
      <c r="Q29" s="16">
        <f t="shared" si="16"/>
        <v>0</v>
      </c>
      <c r="R29" s="1">
        <f t="shared" si="20"/>
        <v>55047</v>
      </c>
      <c r="S29" s="16">
        <f t="shared" si="17"/>
        <v>0</v>
      </c>
      <c r="T29" s="37">
        <f t="shared" si="18"/>
        <v>3789</v>
      </c>
      <c r="U29" s="16">
        <f t="shared" si="19"/>
        <v>0</v>
      </c>
    </row>
    <row r="30" spans="1:23" ht="13.5" thickBot="1" x14ac:dyDescent="0.25">
      <c r="A30" s="10">
        <v>44497</v>
      </c>
      <c r="B30" s="37">
        <f t="shared" si="1"/>
        <v>45989</v>
      </c>
      <c r="C30" s="16">
        <f t="shared" si="2"/>
        <v>0</v>
      </c>
      <c r="D30" s="37">
        <f t="shared" si="3"/>
        <v>39897</v>
      </c>
      <c r="E30" s="16">
        <f t="shared" si="4"/>
        <v>0</v>
      </c>
      <c r="F30" s="37">
        <f t="shared" si="5"/>
        <v>20845</v>
      </c>
      <c r="G30" s="16">
        <f t="shared" si="6"/>
        <v>0</v>
      </c>
      <c r="H30" s="37">
        <f t="shared" si="7"/>
        <v>249167</v>
      </c>
      <c r="I30" s="16">
        <f t="shared" si="8"/>
        <v>0</v>
      </c>
      <c r="J30" s="37">
        <f t="shared" si="9"/>
        <v>303517</v>
      </c>
      <c r="K30" s="16">
        <f t="shared" si="10"/>
        <v>0</v>
      </c>
      <c r="L30" s="37">
        <f t="shared" si="11"/>
        <v>25435</v>
      </c>
      <c r="M30" s="16">
        <f t="shared" si="12"/>
        <v>0</v>
      </c>
      <c r="N30" s="37">
        <f t="shared" si="13"/>
        <v>215935</v>
      </c>
      <c r="O30" s="16">
        <f t="shared" si="14"/>
        <v>0</v>
      </c>
      <c r="P30" s="37">
        <f t="shared" si="15"/>
        <v>125199</v>
      </c>
      <c r="Q30" s="16">
        <f t="shared" si="16"/>
        <v>0</v>
      </c>
      <c r="R30" s="1">
        <f t="shared" si="20"/>
        <v>55047</v>
      </c>
      <c r="S30" s="16">
        <f t="shared" si="17"/>
        <v>0</v>
      </c>
      <c r="T30" s="37">
        <f t="shared" si="18"/>
        <v>3789</v>
      </c>
      <c r="U30" s="16">
        <f t="shared" si="19"/>
        <v>0</v>
      </c>
    </row>
    <row r="31" spans="1:23" ht="13.5" thickBot="1" x14ac:dyDescent="0.25">
      <c r="A31" s="10">
        <v>44498</v>
      </c>
      <c r="B31" s="37">
        <f t="shared" si="1"/>
        <v>45989</v>
      </c>
      <c r="C31" s="16">
        <f t="shared" si="2"/>
        <v>0</v>
      </c>
      <c r="D31" s="37">
        <f t="shared" si="3"/>
        <v>39897</v>
      </c>
      <c r="E31" s="16">
        <f t="shared" si="4"/>
        <v>0</v>
      </c>
      <c r="F31" s="37">
        <f t="shared" si="5"/>
        <v>20845</v>
      </c>
      <c r="G31" s="16">
        <f t="shared" si="6"/>
        <v>0</v>
      </c>
      <c r="H31" s="37">
        <f t="shared" si="7"/>
        <v>249167</v>
      </c>
      <c r="I31" s="16">
        <f t="shared" si="8"/>
        <v>0</v>
      </c>
      <c r="J31" s="37">
        <f t="shared" si="9"/>
        <v>303517</v>
      </c>
      <c r="K31" s="16">
        <f t="shared" si="10"/>
        <v>0</v>
      </c>
      <c r="L31" s="37">
        <f t="shared" si="11"/>
        <v>25435</v>
      </c>
      <c r="M31" s="16">
        <f t="shared" si="12"/>
        <v>0</v>
      </c>
      <c r="N31" s="37">
        <f t="shared" si="13"/>
        <v>215935</v>
      </c>
      <c r="O31" s="16">
        <f t="shared" si="14"/>
        <v>0</v>
      </c>
      <c r="P31" s="37">
        <f t="shared" si="15"/>
        <v>125199</v>
      </c>
      <c r="Q31" s="16">
        <f t="shared" si="16"/>
        <v>0</v>
      </c>
      <c r="R31" s="1">
        <f t="shared" si="20"/>
        <v>55047</v>
      </c>
      <c r="S31" s="16">
        <f t="shared" si="17"/>
        <v>0</v>
      </c>
      <c r="T31" s="37">
        <f t="shared" si="18"/>
        <v>3789</v>
      </c>
      <c r="U31" s="16">
        <f t="shared" si="19"/>
        <v>0</v>
      </c>
    </row>
    <row r="32" spans="1:23" ht="15" customHeight="1" thickBot="1" x14ac:dyDescent="0.25">
      <c r="A32" s="10">
        <v>44499</v>
      </c>
      <c r="B32" s="37">
        <f t="shared" si="1"/>
        <v>45989</v>
      </c>
      <c r="C32" s="16">
        <f t="shared" si="2"/>
        <v>0</v>
      </c>
      <c r="D32" s="37">
        <f t="shared" si="3"/>
        <v>39897</v>
      </c>
      <c r="E32" s="16">
        <f t="shared" si="4"/>
        <v>0</v>
      </c>
      <c r="F32" s="37">
        <f t="shared" si="5"/>
        <v>20845</v>
      </c>
      <c r="G32" s="16">
        <f t="shared" si="6"/>
        <v>0</v>
      </c>
      <c r="H32" s="37">
        <f t="shared" si="7"/>
        <v>249167</v>
      </c>
      <c r="I32" s="16">
        <f t="shared" si="8"/>
        <v>0</v>
      </c>
      <c r="J32" s="37">
        <f t="shared" si="9"/>
        <v>303517</v>
      </c>
      <c r="K32" s="16">
        <f t="shared" si="10"/>
        <v>0</v>
      </c>
      <c r="L32" s="37">
        <f t="shared" si="11"/>
        <v>25435</v>
      </c>
      <c r="M32" s="16">
        <f t="shared" si="12"/>
        <v>0</v>
      </c>
      <c r="N32" s="37">
        <f t="shared" si="13"/>
        <v>215935</v>
      </c>
      <c r="O32" s="16">
        <f t="shared" si="14"/>
        <v>0</v>
      </c>
      <c r="P32" s="37">
        <f t="shared" si="15"/>
        <v>125199</v>
      </c>
      <c r="Q32" s="16">
        <f t="shared" si="16"/>
        <v>0</v>
      </c>
      <c r="R32" s="1">
        <f t="shared" si="20"/>
        <v>55047</v>
      </c>
      <c r="S32" s="16">
        <v>0</v>
      </c>
      <c r="T32" s="37">
        <f t="shared" si="18"/>
        <v>3789</v>
      </c>
      <c r="U32" s="16">
        <f t="shared" si="19"/>
        <v>0</v>
      </c>
      <c r="V32" t="s">
        <v>12</v>
      </c>
    </row>
    <row r="33" spans="1:21" ht="13.5" thickBot="1" x14ac:dyDescent="0.25">
      <c r="A33" s="10">
        <v>44500</v>
      </c>
      <c r="B33" s="37">
        <f t="shared" si="1"/>
        <v>45989</v>
      </c>
      <c r="C33" s="16">
        <f t="shared" si="2"/>
        <v>0</v>
      </c>
      <c r="D33" s="37">
        <f t="shared" si="3"/>
        <v>39897</v>
      </c>
      <c r="E33" s="16">
        <f t="shared" si="4"/>
        <v>0</v>
      </c>
      <c r="F33" s="37">
        <f t="shared" si="5"/>
        <v>20845</v>
      </c>
      <c r="G33" s="16">
        <f t="shared" si="6"/>
        <v>0</v>
      </c>
      <c r="H33" s="37">
        <f t="shared" si="7"/>
        <v>249167</v>
      </c>
      <c r="I33" s="16">
        <f t="shared" si="8"/>
        <v>0</v>
      </c>
      <c r="J33" s="37">
        <f t="shared" si="9"/>
        <v>303517</v>
      </c>
      <c r="K33" s="16">
        <f t="shared" si="10"/>
        <v>0</v>
      </c>
      <c r="L33" s="37">
        <f t="shared" si="11"/>
        <v>25435</v>
      </c>
      <c r="M33" s="16">
        <f t="shared" si="12"/>
        <v>0</v>
      </c>
      <c r="N33" s="37">
        <f t="shared" si="13"/>
        <v>215935</v>
      </c>
      <c r="O33" s="16">
        <f t="shared" si="14"/>
        <v>0</v>
      </c>
      <c r="P33" s="37">
        <f t="shared" si="15"/>
        <v>125199</v>
      </c>
      <c r="Q33" s="16">
        <f t="shared" si="16"/>
        <v>0</v>
      </c>
      <c r="R33" s="1">
        <f t="shared" si="20"/>
        <v>55047</v>
      </c>
      <c r="S33" s="16">
        <v>0</v>
      </c>
      <c r="T33" s="37">
        <f t="shared" si="18"/>
        <v>3789</v>
      </c>
      <c r="U33" s="16">
        <f t="shared" si="19"/>
        <v>0</v>
      </c>
    </row>
    <row r="34" spans="1:21" ht="16.5" thickBot="1" x14ac:dyDescent="0.3">
      <c r="A34" s="10" t="s">
        <v>23</v>
      </c>
      <c r="B34" s="1"/>
      <c r="C34" s="11">
        <f>SUM(C3:C33)</f>
        <v>1120</v>
      </c>
      <c r="D34" s="13"/>
      <c r="E34" s="11">
        <f>SUM(E3:E33)</f>
        <v>800</v>
      </c>
      <c r="F34" s="13"/>
      <c r="G34" s="11">
        <f>SUM(G3:G33)</f>
        <v>100</v>
      </c>
      <c r="H34" s="13"/>
      <c r="I34" s="11">
        <f>SUM(I3:I33)</f>
        <v>105</v>
      </c>
      <c r="J34" s="13"/>
      <c r="K34" s="11">
        <f>SUM(K3:K33)</f>
        <v>0</v>
      </c>
      <c r="L34" s="13"/>
      <c r="M34" s="11">
        <f>SUM(M3:M33)</f>
        <v>640</v>
      </c>
      <c r="N34" s="38"/>
      <c r="O34" s="11">
        <f>SUM(O3:O33)</f>
        <v>4</v>
      </c>
      <c r="P34" s="13"/>
      <c r="Q34" s="11">
        <f>SUM(Q3:Q33)</f>
        <v>0</v>
      </c>
      <c r="R34" s="1"/>
      <c r="S34" s="11">
        <f>SUM(S3:S33)</f>
        <v>0</v>
      </c>
      <c r="T34" s="1"/>
      <c r="U34" s="11">
        <f>SUM(U3:U33)</f>
        <v>160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A3" sqref="A3:XFD3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0</v>
      </c>
      <c r="C4" s="152">
        <f t="shared" ref="C4:C33" si="4">C3</f>
        <v>18928</v>
      </c>
      <c r="D4" s="44">
        <f t="shared" ref="D4:D33" si="5">IF((C4-C3)&lt;0,"0",(C4-C3))*160</f>
        <v>0</v>
      </c>
      <c r="E4" s="153">
        <f t="shared" ref="E4:E33" si="6">E3</f>
        <v>28182421</v>
      </c>
      <c r="F4" s="44">
        <f t="shared" ref="F4:F33" si="7">IF((E4-E3)&lt;0,"0",(E4-E3))</f>
        <v>0</v>
      </c>
      <c r="G4" s="154">
        <f t="shared" ref="G4:G33" si="8">G3</f>
        <v>89297612</v>
      </c>
      <c r="H4" s="44">
        <f t="shared" ref="H4:H33" si="9">IF((G4-G3)&lt;0,"0",(G4-G3))</f>
        <v>0</v>
      </c>
      <c r="I4" s="155">
        <f t="shared" ref="I4:I31" si="10">F4+H4</f>
        <v>0</v>
      </c>
      <c r="J4" s="153">
        <f t="shared" ref="J4:J33" si="11">J3</f>
        <v>8783230</v>
      </c>
      <c r="K4" s="44">
        <f t="shared" ref="K4:K33" si="12">IF((J4-J3)&lt;0,"0",(J4-J3))</f>
        <v>0</v>
      </c>
      <c r="L4" s="156">
        <f t="shared" ref="L4:L33" si="13">L3</f>
        <v>8732542</v>
      </c>
      <c r="M4" s="44">
        <f t="shared" ref="M4:M33" si="14">IF((L4-L3)&lt;0,"0",(L4-L3))</f>
        <v>0</v>
      </c>
      <c r="N4" s="153">
        <f t="shared" ref="N4:N33" si="15">N3</f>
        <v>5888063</v>
      </c>
      <c r="O4" s="44">
        <f>(IF((N4-N3)&lt;P94,"0",(N4-N3)))*2</f>
        <v>0</v>
      </c>
      <c r="P4" s="156">
        <f t="shared" ref="P4:P33" si="16">P3</f>
        <v>5093642</v>
      </c>
      <c r="Q4" s="44">
        <f t="shared" ref="Q4:Q33" si="17">IF((P4-P3)&lt;0,"0",(P4-P3))</f>
        <v>0</v>
      </c>
      <c r="R4" s="153">
        <f t="shared" ref="R4:R33" si="18">R3</f>
        <v>18841147</v>
      </c>
      <c r="S4" s="44">
        <f t="shared" ref="S4:S33" si="19">IF((R4-R3)&lt;0,"0",(R4-R3))</f>
        <v>0</v>
      </c>
      <c r="T4" s="153">
        <v>0</v>
      </c>
      <c r="U4" s="157"/>
      <c r="V4" s="153">
        <f t="shared" ref="V4:V33" si="20">V3</f>
        <v>6646068</v>
      </c>
      <c r="W4" s="44">
        <f t="shared" ref="W4:W33" si="21">IF((V4-V3)&lt;0,"0",(V4-V3))</f>
        <v>0</v>
      </c>
      <c r="X4" s="22">
        <f t="shared" ref="X4:X33" si="22">K4+M4+O4+Q4+S4+U4+W4</f>
        <v>0</v>
      </c>
      <c r="Y4" s="158">
        <f t="shared" ref="Y4:Y33" si="23">I4-X4</f>
        <v>0</v>
      </c>
      <c r="Z4" s="3">
        <f t="shared" ref="Z4:Z33" si="24">(0.93352*(W4+S4)+0.5568*(Q4+O4))*0.26</f>
        <v>0</v>
      </c>
      <c r="AA4" s="3">
        <f>SUM(Z2:Z4)</f>
        <v>7504.5631648000008</v>
      </c>
    </row>
    <row r="5" spans="1:27" ht="16.5" thickBot="1" x14ac:dyDescent="0.3">
      <c r="A5" s="10">
        <v>44472</v>
      </c>
      <c r="B5" s="44">
        <v>0</v>
      </c>
      <c r="C5" s="152">
        <f t="shared" si="4"/>
        <v>18928</v>
      </c>
      <c r="D5" s="44">
        <f t="shared" si="5"/>
        <v>0</v>
      </c>
      <c r="E5" s="153">
        <f t="shared" si="6"/>
        <v>28182421</v>
      </c>
      <c r="F5" s="44">
        <f t="shared" si="7"/>
        <v>0</v>
      </c>
      <c r="G5" s="154">
        <f t="shared" si="8"/>
        <v>89297612</v>
      </c>
      <c r="H5" s="44">
        <f t="shared" si="9"/>
        <v>0</v>
      </c>
      <c r="I5" s="155">
        <f t="shared" si="10"/>
        <v>0</v>
      </c>
      <c r="J5" s="153">
        <f t="shared" si="11"/>
        <v>8783230</v>
      </c>
      <c r="K5" s="44">
        <f t="shared" si="12"/>
        <v>0</v>
      </c>
      <c r="L5" s="156">
        <f t="shared" si="13"/>
        <v>8732542</v>
      </c>
      <c r="M5" s="44">
        <f t="shared" si="14"/>
        <v>0</v>
      </c>
      <c r="N5" s="153">
        <f t="shared" si="15"/>
        <v>5888063</v>
      </c>
      <c r="O5" s="44">
        <f t="shared" ref="O5:O33" si="25">(IF((N5-N4)&lt;0,"0",(N5-N4)))*2</f>
        <v>0</v>
      </c>
      <c r="P5" s="156">
        <f t="shared" si="16"/>
        <v>5093642</v>
      </c>
      <c r="Q5" s="44">
        <f t="shared" si="17"/>
        <v>0</v>
      </c>
      <c r="R5" s="153">
        <f t="shared" si="18"/>
        <v>18841147</v>
      </c>
      <c r="S5" s="44">
        <f t="shared" si="19"/>
        <v>0</v>
      </c>
      <c r="T5" s="153">
        <v>0</v>
      </c>
      <c r="U5" s="157"/>
      <c r="V5" s="153">
        <f t="shared" si="20"/>
        <v>6646068</v>
      </c>
      <c r="W5" s="44">
        <f t="shared" si="21"/>
        <v>0</v>
      </c>
      <c r="X5" s="22">
        <f t="shared" si="22"/>
        <v>0</v>
      </c>
      <c r="Y5" s="158">
        <f t="shared" si="23"/>
        <v>0</v>
      </c>
      <c r="Z5" s="3">
        <f t="shared" si="24"/>
        <v>0</v>
      </c>
      <c r="AA5" s="3">
        <f>SUM(Z3:Z5)</f>
        <v>7504.5631648000008</v>
      </c>
    </row>
    <row r="6" spans="1:27" ht="16.5" thickBot="1" x14ac:dyDescent="0.3">
      <c r="A6" s="10">
        <v>44473</v>
      </c>
      <c r="B6" s="44">
        <v>0</v>
      </c>
      <c r="C6" s="152">
        <f t="shared" si="4"/>
        <v>18928</v>
      </c>
      <c r="D6" s="44">
        <f t="shared" si="5"/>
        <v>0</v>
      </c>
      <c r="E6" s="153">
        <f t="shared" si="6"/>
        <v>28182421</v>
      </c>
      <c r="F6" s="44">
        <f t="shared" si="7"/>
        <v>0</v>
      </c>
      <c r="G6" s="154">
        <f t="shared" si="8"/>
        <v>89297612</v>
      </c>
      <c r="H6" s="44">
        <f t="shared" si="9"/>
        <v>0</v>
      </c>
      <c r="I6" s="155">
        <f t="shared" si="10"/>
        <v>0</v>
      </c>
      <c r="J6" s="153">
        <f t="shared" si="11"/>
        <v>8783230</v>
      </c>
      <c r="K6" s="44">
        <f t="shared" si="12"/>
        <v>0</v>
      </c>
      <c r="L6" s="156">
        <f t="shared" si="13"/>
        <v>8732542</v>
      </c>
      <c r="M6" s="44">
        <f t="shared" si="14"/>
        <v>0</v>
      </c>
      <c r="N6" s="153">
        <f t="shared" si="15"/>
        <v>5888063</v>
      </c>
      <c r="O6" s="44">
        <f t="shared" si="25"/>
        <v>0</v>
      </c>
      <c r="P6" s="156">
        <f t="shared" si="16"/>
        <v>5093642</v>
      </c>
      <c r="Q6" s="44">
        <f t="shared" si="17"/>
        <v>0</v>
      </c>
      <c r="R6" s="153">
        <f t="shared" si="18"/>
        <v>18841147</v>
      </c>
      <c r="S6" s="44">
        <f t="shared" si="19"/>
        <v>0</v>
      </c>
      <c r="T6" s="153">
        <v>0</v>
      </c>
      <c r="U6" s="157"/>
      <c r="V6" s="153">
        <f t="shared" si="20"/>
        <v>6646068</v>
      </c>
      <c r="W6" s="44">
        <f t="shared" si="21"/>
        <v>0</v>
      </c>
      <c r="X6" s="22">
        <f t="shared" si="22"/>
        <v>0</v>
      </c>
      <c r="Y6" s="158">
        <f t="shared" si="23"/>
        <v>0</v>
      </c>
      <c r="Z6" s="3">
        <f t="shared" si="24"/>
        <v>0</v>
      </c>
      <c r="AA6" s="3">
        <f>SUM(Z4:Z6)</f>
        <v>0</v>
      </c>
    </row>
    <row r="7" spans="1:27" ht="16.5" thickBot="1" x14ac:dyDescent="0.3">
      <c r="A7" s="10">
        <v>44474</v>
      </c>
      <c r="B7" s="44">
        <v>0</v>
      </c>
      <c r="C7" s="152">
        <f t="shared" si="4"/>
        <v>18928</v>
      </c>
      <c r="D7" s="44">
        <f t="shared" si="5"/>
        <v>0</v>
      </c>
      <c r="E7" s="153">
        <f t="shared" si="6"/>
        <v>28182421</v>
      </c>
      <c r="F7" s="44">
        <f t="shared" si="7"/>
        <v>0</v>
      </c>
      <c r="G7" s="154">
        <f t="shared" si="8"/>
        <v>89297612</v>
      </c>
      <c r="H7" s="44">
        <f t="shared" si="9"/>
        <v>0</v>
      </c>
      <c r="I7" s="155">
        <f t="shared" si="10"/>
        <v>0</v>
      </c>
      <c r="J7" s="153">
        <f t="shared" si="11"/>
        <v>8783230</v>
      </c>
      <c r="K7" s="44">
        <f t="shared" si="12"/>
        <v>0</v>
      </c>
      <c r="L7" s="156">
        <f t="shared" si="13"/>
        <v>8732542</v>
      </c>
      <c r="M7" s="44">
        <f t="shared" si="14"/>
        <v>0</v>
      </c>
      <c r="N7" s="153">
        <f t="shared" si="15"/>
        <v>5888063</v>
      </c>
      <c r="O7" s="44">
        <f t="shared" si="25"/>
        <v>0</v>
      </c>
      <c r="P7" s="156">
        <f t="shared" si="16"/>
        <v>5093642</v>
      </c>
      <c r="Q7" s="44">
        <f t="shared" si="17"/>
        <v>0</v>
      </c>
      <c r="R7" s="153">
        <f t="shared" si="18"/>
        <v>18841147</v>
      </c>
      <c r="S7" s="44">
        <f t="shared" si="19"/>
        <v>0</v>
      </c>
      <c r="T7" s="153">
        <v>0</v>
      </c>
      <c r="U7" s="157"/>
      <c r="V7" s="153">
        <f t="shared" si="20"/>
        <v>6646068</v>
      </c>
      <c r="W7" s="44">
        <f t="shared" si="21"/>
        <v>0</v>
      </c>
      <c r="X7" s="22">
        <f t="shared" si="22"/>
        <v>0</v>
      </c>
      <c r="Y7" s="158">
        <f t="shared" si="23"/>
        <v>0</v>
      </c>
      <c r="Z7" s="3">
        <f t="shared" si="24"/>
        <v>0</v>
      </c>
      <c r="AA7" s="3">
        <f t="shared" ref="AA7:AA33" si="26">SUM(Z4:Z7)</f>
        <v>0</v>
      </c>
    </row>
    <row r="8" spans="1:27" ht="16.5" thickBot="1" x14ac:dyDescent="0.3">
      <c r="A8" s="10">
        <v>44475</v>
      </c>
      <c r="B8" s="44">
        <v>0</v>
      </c>
      <c r="C8" s="152">
        <f t="shared" si="4"/>
        <v>18928</v>
      </c>
      <c r="D8" s="44">
        <f t="shared" si="5"/>
        <v>0</v>
      </c>
      <c r="E8" s="153">
        <f t="shared" si="6"/>
        <v>28182421</v>
      </c>
      <c r="F8" s="44">
        <f t="shared" si="7"/>
        <v>0</v>
      </c>
      <c r="G8" s="154">
        <f t="shared" si="8"/>
        <v>89297612</v>
      </c>
      <c r="H8" s="44">
        <f t="shared" si="9"/>
        <v>0</v>
      </c>
      <c r="I8" s="155">
        <f t="shared" si="10"/>
        <v>0</v>
      </c>
      <c r="J8" s="153">
        <f t="shared" si="11"/>
        <v>8783230</v>
      </c>
      <c r="K8" s="44">
        <f t="shared" si="12"/>
        <v>0</v>
      </c>
      <c r="L8" s="156">
        <f t="shared" si="13"/>
        <v>8732542</v>
      </c>
      <c r="M8" s="44">
        <f t="shared" si="14"/>
        <v>0</v>
      </c>
      <c r="N8" s="153">
        <f t="shared" si="15"/>
        <v>5888063</v>
      </c>
      <c r="O8" s="44">
        <f t="shared" si="25"/>
        <v>0</v>
      </c>
      <c r="P8" s="156">
        <f t="shared" si="16"/>
        <v>5093642</v>
      </c>
      <c r="Q8" s="44">
        <f t="shared" si="17"/>
        <v>0</v>
      </c>
      <c r="R8" s="153">
        <f t="shared" si="18"/>
        <v>18841147</v>
      </c>
      <c r="S8" s="44">
        <f t="shared" si="19"/>
        <v>0</v>
      </c>
      <c r="T8" s="153">
        <v>0</v>
      </c>
      <c r="U8" s="157"/>
      <c r="V8" s="153">
        <f t="shared" si="20"/>
        <v>6646068</v>
      </c>
      <c r="W8" s="44">
        <f t="shared" si="21"/>
        <v>0</v>
      </c>
      <c r="X8" s="22">
        <f t="shared" si="22"/>
        <v>0</v>
      </c>
      <c r="Y8" s="158">
        <f t="shared" si="23"/>
        <v>0</v>
      </c>
      <c r="Z8" s="3">
        <f t="shared" si="24"/>
        <v>0</v>
      </c>
      <c r="AA8" s="3">
        <f t="shared" si="26"/>
        <v>0</v>
      </c>
    </row>
    <row r="9" spans="1:27" ht="16.5" thickBot="1" x14ac:dyDescent="0.3">
      <c r="A9" s="10">
        <v>44476</v>
      </c>
      <c r="B9" s="44">
        <v>0</v>
      </c>
      <c r="C9" s="152">
        <f t="shared" si="4"/>
        <v>18928</v>
      </c>
      <c r="D9" s="44">
        <f t="shared" si="5"/>
        <v>0</v>
      </c>
      <c r="E9" s="153">
        <f t="shared" si="6"/>
        <v>28182421</v>
      </c>
      <c r="F9" s="44">
        <f t="shared" si="7"/>
        <v>0</v>
      </c>
      <c r="G9" s="154">
        <f t="shared" si="8"/>
        <v>89297612</v>
      </c>
      <c r="H9" s="44">
        <f t="shared" si="9"/>
        <v>0</v>
      </c>
      <c r="I9" s="155">
        <f t="shared" si="10"/>
        <v>0</v>
      </c>
      <c r="J9" s="153">
        <f t="shared" si="11"/>
        <v>8783230</v>
      </c>
      <c r="K9" s="44">
        <f t="shared" si="12"/>
        <v>0</v>
      </c>
      <c r="L9" s="156">
        <f t="shared" si="13"/>
        <v>8732542</v>
      </c>
      <c r="M9" s="44">
        <f t="shared" si="14"/>
        <v>0</v>
      </c>
      <c r="N9" s="153">
        <f t="shared" si="15"/>
        <v>5888063</v>
      </c>
      <c r="O9" s="44">
        <f t="shared" si="25"/>
        <v>0</v>
      </c>
      <c r="P9" s="156">
        <f t="shared" si="16"/>
        <v>5093642</v>
      </c>
      <c r="Q9" s="44">
        <f t="shared" si="17"/>
        <v>0</v>
      </c>
      <c r="R9" s="153">
        <f t="shared" si="18"/>
        <v>18841147</v>
      </c>
      <c r="S9" s="44">
        <f t="shared" si="19"/>
        <v>0</v>
      </c>
      <c r="T9" s="153">
        <v>0</v>
      </c>
      <c r="U9" s="157"/>
      <c r="V9" s="153">
        <f t="shared" si="20"/>
        <v>6646068</v>
      </c>
      <c r="W9" s="44">
        <f t="shared" si="21"/>
        <v>0</v>
      </c>
      <c r="X9" s="22">
        <f t="shared" si="22"/>
        <v>0</v>
      </c>
      <c r="Y9" s="158">
        <f t="shared" si="23"/>
        <v>0</v>
      </c>
      <c r="Z9" s="3">
        <f t="shared" si="24"/>
        <v>0</v>
      </c>
      <c r="AA9" s="3">
        <f t="shared" si="26"/>
        <v>0</v>
      </c>
    </row>
    <row r="10" spans="1:27" ht="16.5" thickBot="1" x14ac:dyDescent="0.3">
      <c r="A10" s="10">
        <v>44477</v>
      </c>
      <c r="B10" s="44">
        <v>0</v>
      </c>
      <c r="C10" s="152">
        <f t="shared" si="4"/>
        <v>18928</v>
      </c>
      <c r="D10" s="44">
        <f t="shared" si="5"/>
        <v>0</v>
      </c>
      <c r="E10" s="153">
        <f t="shared" si="6"/>
        <v>28182421</v>
      </c>
      <c r="F10" s="44">
        <f t="shared" si="7"/>
        <v>0</v>
      </c>
      <c r="G10" s="154">
        <f t="shared" si="8"/>
        <v>89297612</v>
      </c>
      <c r="H10" s="44">
        <f t="shared" si="9"/>
        <v>0</v>
      </c>
      <c r="I10" s="155">
        <f t="shared" si="10"/>
        <v>0</v>
      </c>
      <c r="J10" s="153">
        <f t="shared" si="11"/>
        <v>8783230</v>
      </c>
      <c r="K10" s="44">
        <f t="shared" si="12"/>
        <v>0</v>
      </c>
      <c r="L10" s="156">
        <f t="shared" si="13"/>
        <v>8732542</v>
      </c>
      <c r="M10" s="44">
        <f t="shared" si="14"/>
        <v>0</v>
      </c>
      <c r="N10" s="153">
        <f t="shared" si="15"/>
        <v>5888063</v>
      </c>
      <c r="O10" s="44">
        <f t="shared" si="25"/>
        <v>0</v>
      </c>
      <c r="P10" s="156">
        <f t="shared" si="16"/>
        <v>5093642</v>
      </c>
      <c r="Q10" s="44">
        <f t="shared" si="17"/>
        <v>0</v>
      </c>
      <c r="R10" s="153">
        <f t="shared" si="18"/>
        <v>18841147</v>
      </c>
      <c r="S10" s="44">
        <f t="shared" si="19"/>
        <v>0</v>
      </c>
      <c r="T10" s="153">
        <v>0</v>
      </c>
      <c r="U10" s="157"/>
      <c r="V10" s="153">
        <f t="shared" si="20"/>
        <v>6646068</v>
      </c>
      <c r="W10" s="44">
        <f t="shared" si="21"/>
        <v>0</v>
      </c>
      <c r="X10" s="22">
        <f t="shared" si="22"/>
        <v>0</v>
      </c>
      <c r="Y10" s="158">
        <f t="shared" si="23"/>
        <v>0</v>
      </c>
      <c r="Z10" s="3">
        <f t="shared" si="24"/>
        <v>0</v>
      </c>
      <c r="AA10" s="3">
        <f t="shared" si="26"/>
        <v>0</v>
      </c>
    </row>
    <row r="11" spans="1:27" ht="15.75" customHeight="1" thickBot="1" x14ac:dyDescent="0.3">
      <c r="A11" s="10">
        <v>44478</v>
      </c>
      <c r="B11" s="44">
        <v>0</v>
      </c>
      <c r="C11" s="152">
        <f t="shared" si="4"/>
        <v>18928</v>
      </c>
      <c r="D11" s="44">
        <f t="shared" si="5"/>
        <v>0</v>
      </c>
      <c r="E11" s="153">
        <f t="shared" si="6"/>
        <v>28182421</v>
      </c>
      <c r="F11" s="44">
        <f t="shared" si="7"/>
        <v>0</v>
      </c>
      <c r="G11" s="154">
        <f t="shared" si="8"/>
        <v>89297612</v>
      </c>
      <c r="H11" s="44">
        <f t="shared" si="9"/>
        <v>0</v>
      </c>
      <c r="I11" s="155">
        <f t="shared" si="10"/>
        <v>0</v>
      </c>
      <c r="J11" s="153">
        <f t="shared" si="11"/>
        <v>8783230</v>
      </c>
      <c r="K11" s="44">
        <f t="shared" si="12"/>
        <v>0</v>
      </c>
      <c r="L11" s="156">
        <f t="shared" si="13"/>
        <v>8732542</v>
      </c>
      <c r="M11" s="44">
        <f t="shared" si="14"/>
        <v>0</v>
      </c>
      <c r="N11" s="153">
        <f t="shared" si="15"/>
        <v>5888063</v>
      </c>
      <c r="O11" s="44">
        <f t="shared" si="25"/>
        <v>0</v>
      </c>
      <c r="P11" s="156">
        <f t="shared" si="16"/>
        <v>5093642</v>
      </c>
      <c r="Q11" s="44">
        <f t="shared" si="17"/>
        <v>0</v>
      </c>
      <c r="R11" s="153">
        <f t="shared" si="18"/>
        <v>18841147</v>
      </c>
      <c r="S11" s="44">
        <f t="shared" si="19"/>
        <v>0</v>
      </c>
      <c r="T11" s="153">
        <v>0</v>
      </c>
      <c r="U11" s="157"/>
      <c r="V11" s="153">
        <f t="shared" si="20"/>
        <v>6646068</v>
      </c>
      <c r="W11" s="44">
        <f t="shared" si="21"/>
        <v>0</v>
      </c>
      <c r="X11" s="22">
        <f t="shared" si="22"/>
        <v>0</v>
      </c>
      <c r="Y11" s="158">
        <f t="shared" si="23"/>
        <v>0</v>
      </c>
      <c r="Z11" s="3">
        <f t="shared" si="24"/>
        <v>0</v>
      </c>
      <c r="AA11" s="3">
        <f t="shared" si="26"/>
        <v>0</v>
      </c>
    </row>
    <row r="12" spans="1:27" ht="16.5" thickBot="1" x14ac:dyDescent="0.3">
      <c r="A12" s="10">
        <v>44479</v>
      </c>
      <c r="B12" s="44">
        <v>0</v>
      </c>
      <c r="C12" s="152">
        <f t="shared" si="4"/>
        <v>18928</v>
      </c>
      <c r="D12" s="44">
        <f t="shared" si="5"/>
        <v>0</v>
      </c>
      <c r="E12" s="153">
        <f t="shared" si="6"/>
        <v>28182421</v>
      </c>
      <c r="F12" s="44">
        <f t="shared" si="7"/>
        <v>0</v>
      </c>
      <c r="G12" s="154">
        <f t="shared" si="8"/>
        <v>89297612</v>
      </c>
      <c r="H12" s="44">
        <f t="shared" si="9"/>
        <v>0</v>
      </c>
      <c r="I12" s="155">
        <f t="shared" si="10"/>
        <v>0</v>
      </c>
      <c r="J12" s="153">
        <f t="shared" si="11"/>
        <v>8783230</v>
      </c>
      <c r="K12" s="44">
        <f t="shared" si="12"/>
        <v>0</v>
      </c>
      <c r="L12" s="156">
        <f t="shared" si="13"/>
        <v>8732542</v>
      </c>
      <c r="M12" s="44">
        <f t="shared" si="14"/>
        <v>0</v>
      </c>
      <c r="N12" s="153">
        <f t="shared" si="15"/>
        <v>5888063</v>
      </c>
      <c r="O12" s="44">
        <f t="shared" si="25"/>
        <v>0</v>
      </c>
      <c r="P12" s="156">
        <f t="shared" si="16"/>
        <v>5093642</v>
      </c>
      <c r="Q12" s="44">
        <f t="shared" si="17"/>
        <v>0</v>
      </c>
      <c r="R12" s="153">
        <f t="shared" si="18"/>
        <v>18841147</v>
      </c>
      <c r="S12" s="44">
        <f t="shared" si="19"/>
        <v>0</v>
      </c>
      <c r="T12" s="153">
        <v>0</v>
      </c>
      <c r="U12" s="157"/>
      <c r="V12" s="153">
        <f t="shared" si="20"/>
        <v>6646068</v>
      </c>
      <c r="W12" s="44">
        <f t="shared" si="21"/>
        <v>0</v>
      </c>
      <c r="X12" s="22">
        <f t="shared" si="22"/>
        <v>0</v>
      </c>
      <c r="Y12" s="158">
        <f t="shared" si="23"/>
        <v>0</v>
      </c>
      <c r="Z12" s="3">
        <f t="shared" si="24"/>
        <v>0</v>
      </c>
      <c r="AA12" s="3">
        <f t="shared" si="26"/>
        <v>0</v>
      </c>
    </row>
    <row r="13" spans="1:27" ht="16.5" thickBot="1" x14ac:dyDescent="0.3">
      <c r="A13" s="10">
        <v>44480</v>
      </c>
      <c r="B13" s="44">
        <v>0</v>
      </c>
      <c r="C13" s="152">
        <f t="shared" si="4"/>
        <v>18928</v>
      </c>
      <c r="D13" s="44">
        <f t="shared" si="5"/>
        <v>0</v>
      </c>
      <c r="E13" s="153">
        <f t="shared" si="6"/>
        <v>28182421</v>
      </c>
      <c r="F13" s="44">
        <f t="shared" si="7"/>
        <v>0</v>
      </c>
      <c r="G13" s="154">
        <f t="shared" si="8"/>
        <v>89297612</v>
      </c>
      <c r="H13" s="44">
        <f t="shared" si="9"/>
        <v>0</v>
      </c>
      <c r="I13" s="155">
        <f t="shared" si="10"/>
        <v>0</v>
      </c>
      <c r="J13" s="153">
        <f t="shared" si="11"/>
        <v>8783230</v>
      </c>
      <c r="K13" s="44">
        <f t="shared" si="12"/>
        <v>0</v>
      </c>
      <c r="L13" s="156">
        <f t="shared" si="13"/>
        <v>8732542</v>
      </c>
      <c r="M13" s="44">
        <f t="shared" si="14"/>
        <v>0</v>
      </c>
      <c r="N13" s="153">
        <f t="shared" si="15"/>
        <v>5888063</v>
      </c>
      <c r="O13" s="44">
        <f t="shared" si="25"/>
        <v>0</v>
      </c>
      <c r="P13" s="156">
        <f t="shared" si="16"/>
        <v>5093642</v>
      </c>
      <c r="Q13" s="44">
        <f t="shared" si="17"/>
        <v>0</v>
      </c>
      <c r="R13" s="153">
        <f t="shared" si="18"/>
        <v>18841147</v>
      </c>
      <c r="S13" s="44">
        <f>IF((R13-R12)&lt;0,"0",(R13-R12))</f>
        <v>0</v>
      </c>
      <c r="T13" s="153">
        <v>0</v>
      </c>
      <c r="U13" s="157"/>
      <c r="V13" s="153">
        <f t="shared" si="20"/>
        <v>6646068</v>
      </c>
      <c r="W13" s="44">
        <f t="shared" si="21"/>
        <v>0</v>
      </c>
      <c r="X13" s="22">
        <f t="shared" si="22"/>
        <v>0</v>
      </c>
      <c r="Y13" s="158">
        <f t="shared" si="23"/>
        <v>0</v>
      </c>
      <c r="Z13" s="3">
        <f t="shared" si="24"/>
        <v>0</v>
      </c>
      <c r="AA13" s="3">
        <f t="shared" si="26"/>
        <v>0</v>
      </c>
    </row>
    <row r="14" spans="1:27" ht="16.5" thickBot="1" x14ac:dyDescent="0.3">
      <c r="A14" s="10">
        <v>44481</v>
      </c>
      <c r="B14" s="44">
        <v>0</v>
      </c>
      <c r="C14" s="152">
        <f t="shared" si="4"/>
        <v>18928</v>
      </c>
      <c r="D14" s="44">
        <f t="shared" si="5"/>
        <v>0</v>
      </c>
      <c r="E14" s="153">
        <f t="shared" si="6"/>
        <v>28182421</v>
      </c>
      <c r="F14" s="44">
        <f t="shared" si="7"/>
        <v>0</v>
      </c>
      <c r="G14" s="154">
        <f t="shared" si="8"/>
        <v>89297612</v>
      </c>
      <c r="H14" s="44">
        <f t="shared" si="9"/>
        <v>0</v>
      </c>
      <c r="I14" s="155">
        <f t="shared" si="10"/>
        <v>0</v>
      </c>
      <c r="J14" s="153">
        <f t="shared" si="11"/>
        <v>8783230</v>
      </c>
      <c r="K14" s="44">
        <f t="shared" si="12"/>
        <v>0</v>
      </c>
      <c r="L14" s="156">
        <f t="shared" si="13"/>
        <v>8732542</v>
      </c>
      <c r="M14" s="44">
        <f t="shared" si="14"/>
        <v>0</v>
      </c>
      <c r="N14" s="153">
        <f t="shared" si="15"/>
        <v>5888063</v>
      </c>
      <c r="O14" s="44">
        <f t="shared" si="25"/>
        <v>0</v>
      </c>
      <c r="P14" s="156">
        <f t="shared" si="16"/>
        <v>5093642</v>
      </c>
      <c r="Q14" s="44">
        <f t="shared" si="17"/>
        <v>0</v>
      </c>
      <c r="R14" s="153">
        <f t="shared" si="18"/>
        <v>18841147</v>
      </c>
      <c r="S14" s="44">
        <f>IF((R14-R13)&lt;0,"0",(R14-R13))</f>
        <v>0</v>
      </c>
      <c r="T14" s="153">
        <v>0</v>
      </c>
      <c r="U14" s="157"/>
      <c r="V14" s="153">
        <f t="shared" si="20"/>
        <v>6646068</v>
      </c>
      <c r="W14" s="44">
        <f t="shared" si="21"/>
        <v>0</v>
      </c>
      <c r="X14" s="22">
        <f t="shared" si="22"/>
        <v>0</v>
      </c>
      <c r="Y14" s="158">
        <f t="shared" si="23"/>
        <v>0</v>
      </c>
      <c r="Z14" s="3">
        <f t="shared" si="24"/>
        <v>0</v>
      </c>
      <c r="AA14" s="3">
        <f t="shared" si="26"/>
        <v>0</v>
      </c>
    </row>
    <row r="15" spans="1:27" ht="16.5" thickBot="1" x14ac:dyDescent="0.3">
      <c r="A15" s="10">
        <v>44482</v>
      </c>
      <c r="B15" s="44">
        <v>0</v>
      </c>
      <c r="C15" s="152">
        <f t="shared" si="4"/>
        <v>18928</v>
      </c>
      <c r="D15" s="44">
        <f t="shared" si="5"/>
        <v>0</v>
      </c>
      <c r="E15" s="153">
        <f t="shared" si="6"/>
        <v>28182421</v>
      </c>
      <c r="F15" s="44">
        <f t="shared" si="7"/>
        <v>0</v>
      </c>
      <c r="G15" s="154">
        <f t="shared" si="8"/>
        <v>89297612</v>
      </c>
      <c r="H15" s="44">
        <f t="shared" si="9"/>
        <v>0</v>
      </c>
      <c r="I15" s="155">
        <f t="shared" si="10"/>
        <v>0</v>
      </c>
      <c r="J15" s="153">
        <f t="shared" si="11"/>
        <v>8783230</v>
      </c>
      <c r="K15" s="44">
        <f t="shared" si="12"/>
        <v>0</v>
      </c>
      <c r="L15" s="156">
        <f t="shared" si="13"/>
        <v>8732542</v>
      </c>
      <c r="M15" s="44">
        <f t="shared" si="14"/>
        <v>0</v>
      </c>
      <c r="N15" s="153">
        <f t="shared" si="15"/>
        <v>5888063</v>
      </c>
      <c r="O15" s="44">
        <f t="shared" si="25"/>
        <v>0</v>
      </c>
      <c r="P15" s="156">
        <f t="shared" si="16"/>
        <v>5093642</v>
      </c>
      <c r="Q15" s="44">
        <f t="shared" si="17"/>
        <v>0</v>
      </c>
      <c r="R15" s="153">
        <f t="shared" si="18"/>
        <v>18841147</v>
      </c>
      <c r="S15" s="44">
        <f>IF((R15-R14)&lt;0,"0",(R15-R14))</f>
        <v>0</v>
      </c>
      <c r="T15" s="153">
        <v>0</v>
      </c>
      <c r="U15" s="157"/>
      <c r="V15" s="153">
        <f t="shared" si="20"/>
        <v>6646068</v>
      </c>
      <c r="W15" s="44">
        <f t="shared" si="21"/>
        <v>0</v>
      </c>
      <c r="X15" s="22">
        <f t="shared" si="22"/>
        <v>0</v>
      </c>
      <c r="Y15" s="158">
        <f t="shared" si="23"/>
        <v>0</v>
      </c>
      <c r="Z15" s="3">
        <f t="shared" si="24"/>
        <v>0</v>
      </c>
      <c r="AA15" s="3">
        <f t="shared" si="26"/>
        <v>0</v>
      </c>
    </row>
    <row r="16" spans="1:27" ht="16.5" thickBot="1" x14ac:dyDescent="0.3">
      <c r="A16" s="10">
        <v>44483</v>
      </c>
      <c r="B16" s="44">
        <v>0</v>
      </c>
      <c r="C16" s="152">
        <f t="shared" si="4"/>
        <v>18928</v>
      </c>
      <c r="D16" s="44">
        <f t="shared" si="5"/>
        <v>0</v>
      </c>
      <c r="E16" s="153">
        <f t="shared" si="6"/>
        <v>28182421</v>
      </c>
      <c r="F16" s="44">
        <f t="shared" si="7"/>
        <v>0</v>
      </c>
      <c r="G16" s="154">
        <f t="shared" si="8"/>
        <v>89297612</v>
      </c>
      <c r="H16" s="44">
        <f t="shared" si="9"/>
        <v>0</v>
      </c>
      <c r="I16" s="155">
        <f t="shared" si="10"/>
        <v>0</v>
      </c>
      <c r="J16" s="153">
        <f t="shared" si="11"/>
        <v>8783230</v>
      </c>
      <c r="K16" s="44">
        <f t="shared" si="12"/>
        <v>0</v>
      </c>
      <c r="L16" s="156">
        <f t="shared" si="13"/>
        <v>8732542</v>
      </c>
      <c r="M16" s="44">
        <f t="shared" si="14"/>
        <v>0</v>
      </c>
      <c r="N16" s="153">
        <f t="shared" si="15"/>
        <v>5888063</v>
      </c>
      <c r="O16" s="44">
        <f t="shared" si="25"/>
        <v>0</v>
      </c>
      <c r="P16" s="156">
        <f t="shared" si="16"/>
        <v>5093642</v>
      </c>
      <c r="Q16" s="44">
        <f t="shared" si="17"/>
        <v>0</v>
      </c>
      <c r="R16" s="153">
        <f t="shared" si="18"/>
        <v>18841147</v>
      </c>
      <c r="S16" s="44">
        <f t="shared" si="19"/>
        <v>0</v>
      </c>
      <c r="T16" s="153">
        <v>0</v>
      </c>
      <c r="U16" s="157"/>
      <c r="V16" s="153">
        <f t="shared" si="20"/>
        <v>6646068</v>
      </c>
      <c r="W16" s="44">
        <f t="shared" si="21"/>
        <v>0</v>
      </c>
      <c r="X16" s="22">
        <f t="shared" si="22"/>
        <v>0</v>
      </c>
      <c r="Y16" s="158">
        <f t="shared" si="23"/>
        <v>0</v>
      </c>
      <c r="Z16" s="3">
        <f t="shared" si="24"/>
        <v>0</v>
      </c>
      <c r="AA16" s="3">
        <f t="shared" si="26"/>
        <v>0</v>
      </c>
    </row>
    <row r="17" spans="1:27" s="136" customFormat="1" ht="16.5" thickBot="1" x14ac:dyDescent="0.3">
      <c r="A17" s="10">
        <v>44484</v>
      </c>
      <c r="B17" s="44">
        <v>0</v>
      </c>
      <c r="C17" s="152">
        <f t="shared" si="4"/>
        <v>18928</v>
      </c>
      <c r="D17" s="44">
        <f t="shared" si="5"/>
        <v>0</v>
      </c>
      <c r="E17" s="153">
        <f t="shared" si="6"/>
        <v>28182421</v>
      </c>
      <c r="F17" s="44">
        <f t="shared" si="7"/>
        <v>0</v>
      </c>
      <c r="G17" s="154">
        <f t="shared" si="8"/>
        <v>89297612</v>
      </c>
      <c r="H17" s="44">
        <f t="shared" si="9"/>
        <v>0</v>
      </c>
      <c r="I17" s="159">
        <f t="shared" si="10"/>
        <v>0</v>
      </c>
      <c r="J17" s="153">
        <f t="shared" si="11"/>
        <v>8783230</v>
      </c>
      <c r="K17" s="44">
        <f t="shared" si="12"/>
        <v>0</v>
      </c>
      <c r="L17" s="156">
        <f t="shared" si="13"/>
        <v>8732542</v>
      </c>
      <c r="M17" s="135">
        <f t="shared" si="14"/>
        <v>0</v>
      </c>
      <c r="N17" s="153">
        <f t="shared" si="15"/>
        <v>5888063</v>
      </c>
      <c r="O17" s="135">
        <f t="shared" si="25"/>
        <v>0</v>
      </c>
      <c r="P17" s="156">
        <f t="shared" si="16"/>
        <v>5093642</v>
      </c>
      <c r="Q17" s="135">
        <f t="shared" si="17"/>
        <v>0</v>
      </c>
      <c r="R17" s="153">
        <f t="shared" si="18"/>
        <v>18841147</v>
      </c>
      <c r="S17" s="135">
        <f t="shared" si="19"/>
        <v>0</v>
      </c>
      <c r="T17" s="160">
        <v>0</v>
      </c>
      <c r="U17" s="157"/>
      <c r="V17" s="153">
        <f t="shared" si="20"/>
        <v>6646068</v>
      </c>
      <c r="W17" s="135">
        <f t="shared" si="21"/>
        <v>0</v>
      </c>
      <c r="X17" s="22">
        <f t="shared" si="22"/>
        <v>0</v>
      </c>
      <c r="Y17" s="161">
        <f t="shared" si="23"/>
        <v>0</v>
      </c>
      <c r="Z17" s="162">
        <f t="shared" si="24"/>
        <v>0</v>
      </c>
      <c r="AA17" s="162">
        <f t="shared" si="26"/>
        <v>0</v>
      </c>
    </row>
    <row r="18" spans="1:27" s="136" customFormat="1" ht="16.5" thickBot="1" x14ac:dyDescent="0.3">
      <c r="A18" s="10">
        <v>44485</v>
      </c>
      <c r="B18" s="44">
        <v>0</v>
      </c>
      <c r="C18" s="152">
        <f t="shared" si="4"/>
        <v>18928</v>
      </c>
      <c r="D18" s="44">
        <f t="shared" si="5"/>
        <v>0</v>
      </c>
      <c r="E18" s="153">
        <f t="shared" si="6"/>
        <v>28182421</v>
      </c>
      <c r="F18" s="44">
        <f t="shared" si="7"/>
        <v>0</v>
      </c>
      <c r="G18" s="154">
        <f t="shared" si="8"/>
        <v>89297612</v>
      </c>
      <c r="H18" s="44">
        <f t="shared" si="9"/>
        <v>0</v>
      </c>
      <c r="I18" s="159">
        <f t="shared" si="10"/>
        <v>0</v>
      </c>
      <c r="J18" s="153">
        <f t="shared" si="11"/>
        <v>8783230</v>
      </c>
      <c r="K18" s="44">
        <f t="shared" si="12"/>
        <v>0</v>
      </c>
      <c r="L18" s="156">
        <f t="shared" si="13"/>
        <v>8732542</v>
      </c>
      <c r="M18" s="135">
        <f t="shared" si="14"/>
        <v>0</v>
      </c>
      <c r="N18" s="153">
        <f t="shared" si="15"/>
        <v>5888063</v>
      </c>
      <c r="O18" s="135">
        <f t="shared" si="25"/>
        <v>0</v>
      </c>
      <c r="P18" s="156">
        <f t="shared" si="16"/>
        <v>5093642</v>
      </c>
      <c r="Q18" s="135">
        <f t="shared" si="17"/>
        <v>0</v>
      </c>
      <c r="R18" s="153">
        <f t="shared" si="18"/>
        <v>18841147</v>
      </c>
      <c r="S18" s="135">
        <f t="shared" si="19"/>
        <v>0</v>
      </c>
      <c r="T18" s="160">
        <v>0</v>
      </c>
      <c r="U18" s="157"/>
      <c r="V18" s="153">
        <f t="shared" si="20"/>
        <v>6646068</v>
      </c>
      <c r="W18" s="135">
        <f t="shared" si="21"/>
        <v>0</v>
      </c>
      <c r="X18" s="22">
        <f t="shared" si="22"/>
        <v>0</v>
      </c>
      <c r="Y18" s="161">
        <f t="shared" si="23"/>
        <v>0</v>
      </c>
      <c r="Z18" s="162">
        <f t="shared" si="24"/>
        <v>0</v>
      </c>
      <c r="AA18" s="162">
        <f t="shared" si="26"/>
        <v>0</v>
      </c>
    </row>
    <row r="19" spans="1:27" s="136" customFormat="1" ht="16.5" thickBot="1" x14ac:dyDescent="0.3">
      <c r="A19" s="10">
        <v>44486</v>
      </c>
      <c r="B19" s="44">
        <v>0</v>
      </c>
      <c r="C19" s="152">
        <f t="shared" si="4"/>
        <v>18928</v>
      </c>
      <c r="D19" s="44">
        <f t="shared" si="5"/>
        <v>0</v>
      </c>
      <c r="E19" s="153">
        <f t="shared" si="6"/>
        <v>28182421</v>
      </c>
      <c r="F19" s="44">
        <f t="shared" si="7"/>
        <v>0</v>
      </c>
      <c r="G19" s="154">
        <f t="shared" si="8"/>
        <v>89297612</v>
      </c>
      <c r="H19" s="44">
        <f t="shared" si="9"/>
        <v>0</v>
      </c>
      <c r="I19" s="159">
        <f t="shared" si="10"/>
        <v>0</v>
      </c>
      <c r="J19" s="153">
        <f t="shared" si="11"/>
        <v>8783230</v>
      </c>
      <c r="K19" s="44">
        <f t="shared" si="12"/>
        <v>0</v>
      </c>
      <c r="L19" s="156">
        <f t="shared" si="13"/>
        <v>8732542</v>
      </c>
      <c r="M19" s="135">
        <f t="shared" si="14"/>
        <v>0</v>
      </c>
      <c r="N19" s="153">
        <f t="shared" si="15"/>
        <v>5888063</v>
      </c>
      <c r="O19" s="135">
        <f t="shared" si="25"/>
        <v>0</v>
      </c>
      <c r="P19" s="156">
        <f t="shared" si="16"/>
        <v>5093642</v>
      </c>
      <c r="Q19" s="135">
        <f t="shared" si="17"/>
        <v>0</v>
      </c>
      <c r="R19" s="153">
        <f t="shared" si="18"/>
        <v>18841147</v>
      </c>
      <c r="S19" s="135">
        <f t="shared" si="19"/>
        <v>0</v>
      </c>
      <c r="T19" s="160">
        <v>0</v>
      </c>
      <c r="U19" s="157"/>
      <c r="V19" s="153">
        <f t="shared" si="20"/>
        <v>6646068</v>
      </c>
      <c r="W19" s="135">
        <f t="shared" si="21"/>
        <v>0</v>
      </c>
      <c r="X19" s="22">
        <f t="shared" si="22"/>
        <v>0</v>
      </c>
      <c r="Y19" s="161">
        <f t="shared" si="23"/>
        <v>0</v>
      </c>
      <c r="Z19" s="162">
        <f t="shared" si="24"/>
        <v>0</v>
      </c>
      <c r="AA19" s="162">
        <f t="shared" si="26"/>
        <v>0</v>
      </c>
    </row>
    <row r="20" spans="1:27" s="136" customFormat="1" ht="16.5" thickBot="1" x14ac:dyDescent="0.3">
      <c r="A20" s="10">
        <v>44487</v>
      </c>
      <c r="B20" s="44">
        <v>0</v>
      </c>
      <c r="C20" s="152">
        <f t="shared" si="4"/>
        <v>18928</v>
      </c>
      <c r="D20" s="44">
        <f t="shared" si="5"/>
        <v>0</v>
      </c>
      <c r="E20" s="153">
        <f t="shared" si="6"/>
        <v>28182421</v>
      </c>
      <c r="F20" s="44">
        <f t="shared" si="7"/>
        <v>0</v>
      </c>
      <c r="G20" s="154">
        <f t="shared" si="8"/>
        <v>89297612</v>
      </c>
      <c r="H20" s="44">
        <f t="shared" si="9"/>
        <v>0</v>
      </c>
      <c r="I20" s="159">
        <f t="shared" si="10"/>
        <v>0</v>
      </c>
      <c r="J20" s="153">
        <f t="shared" si="11"/>
        <v>8783230</v>
      </c>
      <c r="K20" s="44">
        <f t="shared" si="12"/>
        <v>0</v>
      </c>
      <c r="L20" s="156">
        <f t="shared" si="13"/>
        <v>8732542</v>
      </c>
      <c r="M20" s="135">
        <f t="shared" si="14"/>
        <v>0</v>
      </c>
      <c r="N20" s="153">
        <f t="shared" si="15"/>
        <v>5888063</v>
      </c>
      <c r="O20" s="135">
        <f t="shared" si="25"/>
        <v>0</v>
      </c>
      <c r="P20" s="156">
        <f t="shared" si="16"/>
        <v>5093642</v>
      </c>
      <c r="Q20" s="135">
        <f t="shared" si="17"/>
        <v>0</v>
      </c>
      <c r="R20" s="153">
        <f t="shared" si="18"/>
        <v>18841147</v>
      </c>
      <c r="S20" s="135">
        <f t="shared" si="19"/>
        <v>0</v>
      </c>
      <c r="T20" s="160">
        <v>0</v>
      </c>
      <c r="U20" s="157"/>
      <c r="V20" s="153">
        <f t="shared" si="20"/>
        <v>6646068</v>
      </c>
      <c r="W20" s="135">
        <f t="shared" si="21"/>
        <v>0</v>
      </c>
      <c r="X20" s="22">
        <f t="shared" si="22"/>
        <v>0</v>
      </c>
      <c r="Y20" s="161">
        <f t="shared" si="23"/>
        <v>0</v>
      </c>
      <c r="Z20" s="162">
        <f t="shared" si="24"/>
        <v>0</v>
      </c>
      <c r="AA20" s="162">
        <f t="shared" si="26"/>
        <v>0</v>
      </c>
    </row>
    <row r="21" spans="1:27" s="136" customFormat="1" ht="16.5" thickBot="1" x14ac:dyDescent="0.3">
      <c r="A21" s="10">
        <v>44488</v>
      </c>
      <c r="B21" s="44">
        <v>0</v>
      </c>
      <c r="C21" s="152">
        <f t="shared" si="4"/>
        <v>18928</v>
      </c>
      <c r="D21" s="44">
        <f t="shared" si="5"/>
        <v>0</v>
      </c>
      <c r="E21" s="153">
        <f t="shared" si="6"/>
        <v>28182421</v>
      </c>
      <c r="F21" s="44">
        <f t="shared" si="7"/>
        <v>0</v>
      </c>
      <c r="G21" s="154">
        <f t="shared" si="8"/>
        <v>89297612</v>
      </c>
      <c r="H21" s="44">
        <f t="shared" si="9"/>
        <v>0</v>
      </c>
      <c r="I21" s="159">
        <f t="shared" si="10"/>
        <v>0</v>
      </c>
      <c r="J21" s="153">
        <f t="shared" si="11"/>
        <v>8783230</v>
      </c>
      <c r="K21" s="44">
        <f t="shared" si="12"/>
        <v>0</v>
      </c>
      <c r="L21" s="156">
        <f t="shared" si="13"/>
        <v>8732542</v>
      </c>
      <c r="M21" s="135">
        <f t="shared" si="14"/>
        <v>0</v>
      </c>
      <c r="N21" s="153">
        <f t="shared" si="15"/>
        <v>5888063</v>
      </c>
      <c r="O21" s="135">
        <f t="shared" si="25"/>
        <v>0</v>
      </c>
      <c r="P21" s="156">
        <f t="shared" si="16"/>
        <v>5093642</v>
      </c>
      <c r="Q21" s="135">
        <f t="shared" si="17"/>
        <v>0</v>
      </c>
      <c r="R21" s="153">
        <f t="shared" si="18"/>
        <v>18841147</v>
      </c>
      <c r="S21" s="135">
        <f t="shared" si="19"/>
        <v>0</v>
      </c>
      <c r="T21" s="160">
        <v>0</v>
      </c>
      <c r="U21" s="157"/>
      <c r="V21" s="153">
        <f t="shared" si="20"/>
        <v>6646068</v>
      </c>
      <c r="W21" s="135">
        <f t="shared" si="21"/>
        <v>0</v>
      </c>
      <c r="X21" s="22">
        <f t="shared" si="22"/>
        <v>0</v>
      </c>
      <c r="Y21" s="161">
        <f t="shared" si="23"/>
        <v>0</v>
      </c>
      <c r="Z21" s="162">
        <f t="shared" si="24"/>
        <v>0</v>
      </c>
      <c r="AA21" s="162">
        <f t="shared" si="26"/>
        <v>0</v>
      </c>
    </row>
    <row r="22" spans="1:27" ht="16.5" thickBot="1" x14ac:dyDescent="0.3">
      <c r="A22" s="10">
        <v>44489</v>
      </c>
      <c r="B22" s="44">
        <v>0</v>
      </c>
      <c r="C22" s="152">
        <f t="shared" si="4"/>
        <v>18928</v>
      </c>
      <c r="D22" s="44">
        <f t="shared" si="5"/>
        <v>0</v>
      </c>
      <c r="E22" s="153">
        <f t="shared" si="6"/>
        <v>28182421</v>
      </c>
      <c r="F22" s="44">
        <f t="shared" si="7"/>
        <v>0</v>
      </c>
      <c r="G22" s="154">
        <f t="shared" si="8"/>
        <v>89297612</v>
      </c>
      <c r="H22" s="44">
        <f t="shared" si="9"/>
        <v>0</v>
      </c>
      <c r="I22" s="155">
        <f t="shared" si="10"/>
        <v>0</v>
      </c>
      <c r="J22" s="153">
        <f t="shared" si="11"/>
        <v>8783230</v>
      </c>
      <c r="K22" s="44">
        <f t="shared" si="12"/>
        <v>0</v>
      </c>
      <c r="L22" s="156">
        <f t="shared" si="13"/>
        <v>8732542</v>
      </c>
      <c r="M22" s="44">
        <f t="shared" si="14"/>
        <v>0</v>
      </c>
      <c r="N22" s="153">
        <f t="shared" si="15"/>
        <v>5888063</v>
      </c>
      <c r="O22" s="44">
        <f t="shared" si="25"/>
        <v>0</v>
      </c>
      <c r="P22" s="156">
        <f t="shared" si="16"/>
        <v>5093642</v>
      </c>
      <c r="Q22" s="44">
        <f t="shared" si="17"/>
        <v>0</v>
      </c>
      <c r="R22" s="153">
        <f t="shared" si="18"/>
        <v>18841147</v>
      </c>
      <c r="S22" s="44">
        <f t="shared" si="19"/>
        <v>0</v>
      </c>
      <c r="T22" s="153">
        <v>0</v>
      </c>
      <c r="U22" s="157"/>
      <c r="V22" s="153">
        <f t="shared" si="20"/>
        <v>6646068</v>
      </c>
      <c r="W22" s="44">
        <f t="shared" si="21"/>
        <v>0</v>
      </c>
      <c r="X22" s="22">
        <f t="shared" si="22"/>
        <v>0</v>
      </c>
      <c r="Y22" s="158">
        <f t="shared" si="23"/>
        <v>0</v>
      </c>
      <c r="Z22" s="3">
        <f t="shared" si="24"/>
        <v>0</v>
      </c>
      <c r="AA22" s="3">
        <f t="shared" si="26"/>
        <v>0</v>
      </c>
    </row>
    <row r="23" spans="1:27" ht="16.5" thickBot="1" x14ac:dyDescent="0.3">
      <c r="A23" s="10">
        <v>44490</v>
      </c>
      <c r="B23" s="44">
        <v>0</v>
      </c>
      <c r="C23" s="152">
        <f t="shared" si="4"/>
        <v>18928</v>
      </c>
      <c r="D23" s="44">
        <f t="shared" si="5"/>
        <v>0</v>
      </c>
      <c r="E23" s="153">
        <f t="shared" si="6"/>
        <v>28182421</v>
      </c>
      <c r="F23" s="44">
        <f t="shared" si="7"/>
        <v>0</v>
      </c>
      <c r="G23" s="154">
        <f t="shared" si="8"/>
        <v>89297612</v>
      </c>
      <c r="H23" s="44">
        <f t="shared" si="9"/>
        <v>0</v>
      </c>
      <c r="I23" s="155">
        <f t="shared" si="10"/>
        <v>0</v>
      </c>
      <c r="J23" s="153">
        <f t="shared" si="11"/>
        <v>8783230</v>
      </c>
      <c r="K23" s="44">
        <f t="shared" si="12"/>
        <v>0</v>
      </c>
      <c r="L23" s="156">
        <f t="shared" si="13"/>
        <v>8732542</v>
      </c>
      <c r="M23" s="44">
        <f t="shared" si="14"/>
        <v>0</v>
      </c>
      <c r="N23" s="153">
        <f t="shared" si="15"/>
        <v>5888063</v>
      </c>
      <c r="O23" s="44">
        <f t="shared" si="25"/>
        <v>0</v>
      </c>
      <c r="P23" s="156">
        <f t="shared" si="16"/>
        <v>5093642</v>
      </c>
      <c r="Q23" s="44">
        <f t="shared" si="17"/>
        <v>0</v>
      </c>
      <c r="R23" s="153">
        <f t="shared" si="18"/>
        <v>18841147</v>
      </c>
      <c r="S23" s="44">
        <f t="shared" si="19"/>
        <v>0</v>
      </c>
      <c r="T23" s="153">
        <v>0</v>
      </c>
      <c r="U23" s="157"/>
      <c r="V23" s="153">
        <f t="shared" si="20"/>
        <v>6646068</v>
      </c>
      <c r="W23" s="44">
        <f t="shared" si="21"/>
        <v>0</v>
      </c>
      <c r="X23" s="22">
        <f t="shared" si="22"/>
        <v>0</v>
      </c>
      <c r="Y23" s="158">
        <f t="shared" si="23"/>
        <v>0</v>
      </c>
      <c r="Z23" s="3">
        <f t="shared" si="24"/>
        <v>0</v>
      </c>
      <c r="AA23" s="3">
        <f t="shared" si="26"/>
        <v>0</v>
      </c>
    </row>
    <row r="24" spans="1:27" ht="16.5" thickBot="1" x14ac:dyDescent="0.3">
      <c r="A24" s="10">
        <v>44491</v>
      </c>
      <c r="B24" s="44">
        <v>0</v>
      </c>
      <c r="C24" s="152">
        <f t="shared" si="4"/>
        <v>18928</v>
      </c>
      <c r="D24" s="44">
        <f t="shared" si="5"/>
        <v>0</v>
      </c>
      <c r="E24" s="153">
        <f t="shared" si="6"/>
        <v>28182421</v>
      </c>
      <c r="F24" s="44">
        <f t="shared" si="7"/>
        <v>0</v>
      </c>
      <c r="G24" s="154">
        <f t="shared" si="8"/>
        <v>89297612</v>
      </c>
      <c r="H24" s="44">
        <f t="shared" si="9"/>
        <v>0</v>
      </c>
      <c r="I24" s="155">
        <f t="shared" si="10"/>
        <v>0</v>
      </c>
      <c r="J24" s="153">
        <f t="shared" si="11"/>
        <v>8783230</v>
      </c>
      <c r="K24" s="44">
        <f t="shared" si="12"/>
        <v>0</v>
      </c>
      <c r="L24" s="156">
        <f t="shared" si="13"/>
        <v>8732542</v>
      </c>
      <c r="M24" s="44">
        <f t="shared" si="14"/>
        <v>0</v>
      </c>
      <c r="N24" s="153">
        <f t="shared" si="15"/>
        <v>5888063</v>
      </c>
      <c r="O24" s="44">
        <f t="shared" si="25"/>
        <v>0</v>
      </c>
      <c r="P24" s="156">
        <f t="shared" si="16"/>
        <v>5093642</v>
      </c>
      <c r="Q24" s="44">
        <f t="shared" si="17"/>
        <v>0</v>
      </c>
      <c r="R24" s="153">
        <f t="shared" si="18"/>
        <v>18841147</v>
      </c>
      <c r="S24" s="44">
        <f t="shared" si="19"/>
        <v>0</v>
      </c>
      <c r="T24" s="153">
        <v>0</v>
      </c>
      <c r="U24" s="157"/>
      <c r="V24" s="153">
        <f t="shared" si="20"/>
        <v>6646068</v>
      </c>
      <c r="W24" s="44">
        <f t="shared" si="21"/>
        <v>0</v>
      </c>
      <c r="X24" s="22">
        <f t="shared" si="22"/>
        <v>0</v>
      </c>
      <c r="Y24" s="158">
        <f t="shared" si="23"/>
        <v>0</v>
      </c>
      <c r="Z24" s="3">
        <f t="shared" si="24"/>
        <v>0</v>
      </c>
      <c r="AA24" s="3">
        <f t="shared" si="26"/>
        <v>0</v>
      </c>
    </row>
    <row r="25" spans="1:27" ht="16.5" thickBot="1" x14ac:dyDescent="0.3">
      <c r="A25" s="10">
        <v>44492</v>
      </c>
      <c r="B25" s="44">
        <v>0</v>
      </c>
      <c r="C25" s="152">
        <f t="shared" si="4"/>
        <v>18928</v>
      </c>
      <c r="D25" s="44">
        <f t="shared" si="5"/>
        <v>0</v>
      </c>
      <c r="E25" s="153">
        <f t="shared" si="6"/>
        <v>28182421</v>
      </c>
      <c r="F25" s="44">
        <f t="shared" si="7"/>
        <v>0</v>
      </c>
      <c r="G25" s="154">
        <f t="shared" si="8"/>
        <v>89297612</v>
      </c>
      <c r="H25" s="44">
        <f t="shared" si="9"/>
        <v>0</v>
      </c>
      <c r="I25" s="155">
        <f t="shared" si="10"/>
        <v>0</v>
      </c>
      <c r="J25" s="153">
        <f t="shared" si="11"/>
        <v>8783230</v>
      </c>
      <c r="K25" s="44">
        <f t="shared" si="12"/>
        <v>0</v>
      </c>
      <c r="L25" s="156">
        <f t="shared" si="13"/>
        <v>8732542</v>
      </c>
      <c r="M25" s="44">
        <f t="shared" si="14"/>
        <v>0</v>
      </c>
      <c r="N25" s="153">
        <f t="shared" si="15"/>
        <v>5888063</v>
      </c>
      <c r="O25" s="44">
        <f t="shared" si="25"/>
        <v>0</v>
      </c>
      <c r="P25" s="156">
        <f t="shared" si="16"/>
        <v>5093642</v>
      </c>
      <c r="Q25" s="44">
        <f t="shared" si="17"/>
        <v>0</v>
      </c>
      <c r="R25" s="153">
        <f t="shared" si="18"/>
        <v>18841147</v>
      </c>
      <c r="S25" s="44">
        <f t="shared" si="19"/>
        <v>0</v>
      </c>
      <c r="T25" s="153">
        <v>0</v>
      </c>
      <c r="U25" s="157"/>
      <c r="V25" s="153">
        <f t="shared" si="20"/>
        <v>6646068</v>
      </c>
      <c r="W25" s="44">
        <f t="shared" si="21"/>
        <v>0</v>
      </c>
      <c r="X25" s="22">
        <f t="shared" si="22"/>
        <v>0</v>
      </c>
      <c r="Y25" s="158">
        <f t="shared" si="23"/>
        <v>0</v>
      </c>
      <c r="Z25" s="3">
        <f t="shared" si="24"/>
        <v>0</v>
      </c>
      <c r="AA25" s="3">
        <f t="shared" si="26"/>
        <v>0</v>
      </c>
    </row>
    <row r="26" spans="1:27" ht="16.5" thickBot="1" x14ac:dyDescent="0.3">
      <c r="A26" s="10">
        <v>44493</v>
      </c>
      <c r="B26" s="44">
        <v>0</v>
      </c>
      <c r="C26" s="152">
        <f t="shared" si="4"/>
        <v>18928</v>
      </c>
      <c r="D26" s="44">
        <f t="shared" si="5"/>
        <v>0</v>
      </c>
      <c r="E26" s="153">
        <f t="shared" si="6"/>
        <v>28182421</v>
      </c>
      <c r="F26" s="44">
        <f t="shared" si="7"/>
        <v>0</v>
      </c>
      <c r="G26" s="154">
        <f t="shared" si="8"/>
        <v>89297612</v>
      </c>
      <c r="H26" s="44">
        <f t="shared" si="9"/>
        <v>0</v>
      </c>
      <c r="I26" s="155">
        <f t="shared" si="10"/>
        <v>0</v>
      </c>
      <c r="J26" s="153">
        <f t="shared" si="11"/>
        <v>8783230</v>
      </c>
      <c r="K26" s="44">
        <f t="shared" si="12"/>
        <v>0</v>
      </c>
      <c r="L26" s="156">
        <f t="shared" si="13"/>
        <v>8732542</v>
      </c>
      <c r="M26" s="44">
        <f t="shared" si="14"/>
        <v>0</v>
      </c>
      <c r="N26" s="153">
        <f t="shared" si="15"/>
        <v>5888063</v>
      </c>
      <c r="O26" s="44">
        <f t="shared" si="25"/>
        <v>0</v>
      </c>
      <c r="P26" s="156">
        <f t="shared" si="16"/>
        <v>5093642</v>
      </c>
      <c r="Q26" s="44">
        <f t="shared" si="17"/>
        <v>0</v>
      </c>
      <c r="R26" s="153">
        <f t="shared" si="18"/>
        <v>18841147</v>
      </c>
      <c r="S26" s="44">
        <f t="shared" si="19"/>
        <v>0</v>
      </c>
      <c r="T26" s="153">
        <v>0</v>
      </c>
      <c r="U26" s="157"/>
      <c r="V26" s="153">
        <f t="shared" si="20"/>
        <v>6646068</v>
      </c>
      <c r="W26" s="44">
        <f t="shared" si="21"/>
        <v>0</v>
      </c>
      <c r="X26" s="22">
        <f t="shared" si="22"/>
        <v>0</v>
      </c>
      <c r="Y26" s="158">
        <f t="shared" si="23"/>
        <v>0</v>
      </c>
      <c r="Z26" s="3">
        <f t="shared" si="24"/>
        <v>0</v>
      </c>
      <c r="AA26" s="3">
        <f t="shared" si="26"/>
        <v>0</v>
      </c>
    </row>
    <row r="27" spans="1:27" ht="16.5" thickBot="1" x14ac:dyDescent="0.3">
      <c r="A27" s="10">
        <v>44494</v>
      </c>
      <c r="B27" s="44">
        <v>0</v>
      </c>
      <c r="C27" s="152">
        <f t="shared" si="4"/>
        <v>18928</v>
      </c>
      <c r="D27" s="44">
        <f t="shared" si="5"/>
        <v>0</v>
      </c>
      <c r="E27" s="153">
        <f t="shared" si="6"/>
        <v>28182421</v>
      </c>
      <c r="F27" s="44">
        <f t="shared" si="7"/>
        <v>0</v>
      </c>
      <c r="G27" s="154">
        <f t="shared" si="8"/>
        <v>89297612</v>
      </c>
      <c r="H27" s="44">
        <f t="shared" si="9"/>
        <v>0</v>
      </c>
      <c r="I27" s="155">
        <f t="shared" si="10"/>
        <v>0</v>
      </c>
      <c r="J27" s="153">
        <f t="shared" si="11"/>
        <v>8783230</v>
      </c>
      <c r="K27" s="44">
        <f t="shared" si="12"/>
        <v>0</v>
      </c>
      <c r="L27" s="156">
        <f t="shared" si="13"/>
        <v>8732542</v>
      </c>
      <c r="M27" s="44">
        <f t="shared" si="14"/>
        <v>0</v>
      </c>
      <c r="N27" s="153">
        <f t="shared" si="15"/>
        <v>5888063</v>
      </c>
      <c r="O27" s="44">
        <f t="shared" si="25"/>
        <v>0</v>
      </c>
      <c r="P27" s="156">
        <f t="shared" si="16"/>
        <v>5093642</v>
      </c>
      <c r="Q27" s="44">
        <f t="shared" si="17"/>
        <v>0</v>
      </c>
      <c r="R27" s="153">
        <f t="shared" si="18"/>
        <v>18841147</v>
      </c>
      <c r="S27" s="44">
        <f t="shared" si="19"/>
        <v>0</v>
      </c>
      <c r="T27" s="153">
        <v>0</v>
      </c>
      <c r="U27" s="157"/>
      <c r="V27" s="153">
        <f t="shared" si="20"/>
        <v>6646068</v>
      </c>
      <c r="W27" s="44">
        <f t="shared" si="21"/>
        <v>0</v>
      </c>
      <c r="X27" s="22">
        <f t="shared" si="22"/>
        <v>0</v>
      </c>
      <c r="Y27" s="158">
        <f t="shared" si="23"/>
        <v>0</v>
      </c>
      <c r="Z27" s="3">
        <f t="shared" si="24"/>
        <v>0</v>
      </c>
      <c r="AA27" s="3">
        <f t="shared" si="26"/>
        <v>0</v>
      </c>
    </row>
    <row r="28" spans="1:27" ht="16.5" thickBot="1" x14ac:dyDescent="0.3">
      <c r="A28" s="10">
        <v>44495</v>
      </c>
      <c r="B28" s="44">
        <v>0</v>
      </c>
      <c r="C28" s="152">
        <f t="shared" si="4"/>
        <v>18928</v>
      </c>
      <c r="D28" s="44">
        <f t="shared" si="5"/>
        <v>0</v>
      </c>
      <c r="E28" s="153">
        <f t="shared" si="6"/>
        <v>28182421</v>
      </c>
      <c r="F28" s="44">
        <f t="shared" si="7"/>
        <v>0</v>
      </c>
      <c r="G28" s="154">
        <f t="shared" si="8"/>
        <v>89297612</v>
      </c>
      <c r="H28" s="44">
        <f t="shared" si="9"/>
        <v>0</v>
      </c>
      <c r="I28" s="155">
        <f t="shared" si="10"/>
        <v>0</v>
      </c>
      <c r="J28" s="153">
        <f t="shared" si="11"/>
        <v>8783230</v>
      </c>
      <c r="K28" s="44">
        <f t="shared" si="12"/>
        <v>0</v>
      </c>
      <c r="L28" s="156">
        <f t="shared" si="13"/>
        <v>8732542</v>
      </c>
      <c r="M28" s="44">
        <f t="shared" si="14"/>
        <v>0</v>
      </c>
      <c r="N28" s="153">
        <f t="shared" si="15"/>
        <v>5888063</v>
      </c>
      <c r="O28" s="44">
        <f t="shared" si="25"/>
        <v>0</v>
      </c>
      <c r="P28" s="156">
        <f t="shared" si="16"/>
        <v>5093642</v>
      </c>
      <c r="Q28" s="44">
        <f t="shared" si="17"/>
        <v>0</v>
      </c>
      <c r="R28" s="153">
        <f t="shared" si="18"/>
        <v>18841147</v>
      </c>
      <c r="S28" s="44">
        <f t="shared" si="19"/>
        <v>0</v>
      </c>
      <c r="T28" s="153">
        <v>0</v>
      </c>
      <c r="U28" s="157"/>
      <c r="V28" s="153">
        <f t="shared" si="20"/>
        <v>6646068</v>
      </c>
      <c r="W28" s="44">
        <f t="shared" si="21"/>
        <v>0</v>
      </c>
      <c r="X28" s="22">
        <f t="shared" si="22"/>
        <v>0</v>
      </c>
      <c r="Y28" s="158">
        <f t="shared" si="23"/>
        <v>0</v>
      </c>
      <c r="Z28" s="3">
        <f t="shared" si="24"/>
        <v>0</v>
      </c>
      <c r="AA28" s="3">
        <f t="shared" si="26"/>
        <v>0</v>
      </c>
    </row>
    <row r="29" spans="1:27" ht="16.5" thickBot="1" x14ac:dyDescent="0.3">
      <c r="A29" s="10">
        <v>44496</v>
      </c>
      <c r="B29" s="44">
        <v>0</v>
      </c>
      <c r="C29" s="152">
        <f t="shared" si="4"/>
        <v>18928</v>
      </c>
      <c r="D29" s="44">
        <f t="shared" si="5"/>
        <v>0</v>
      </c>
      <c r="E29" s="153">
        <f t="shared" si="6"/>
        <v>28182421</v>
      </c>
      <c r="F29" s="44">
        <f t="shared" si="7"/>
        <v>0</v>
      </c>
      <c r="G29" s="154">
        <f t="shared" si="8"/>
        <v>89297612</v>
      </c>
      <c r="H29" s="44">
        <f t="shared" si="9"/>
        <v>0</v>
      </c>
      <c r="I29" s="155">
        <f t="shared" si="10"/>
        <v>0</v>
      </c>
      <c r="J29" s="153">
        <f t="shared" si="11"/>
        <v>8783230</v>
      </c>
      <c r="K29" s="44">
        <f t="shared" si="12"/>
        <v>0</v>
      </c>
      <c r="L29" s="156">
        <f t="shared" si="13"/>
        <v>8732542</v>
      </c>
      <c r="M29" s="44">
        <f t="shared" si="14"/>
        <v>0</v>
      </c>
      <c r="N29" s="153">
        <f t="shared" si="15"/>
        <v>5888063</v>
      </c>
      <c r="O29" s="44">
        <f t="shared" si="25"/>
        <v>0</v>
      </c>
      <c r="P29" s="156">
        <f t="shared" si="16"/>
        <v>5093642</v>
      </c>
      <c r="Q29" s="44">
        <f t="shared" si="17"/>
        <v>0</v>
      </c>
      <c r="R29" s="153">
        <f t="shared" si="18"/>
        <v>18841147</v>
      </c>
      <c r="S29" s="44">
        <f t="shared" si="19"/>
        <v>0</v>
      </c>
      <c r="T29" s="153">
        <v>0</v>
      </c>
      <c r="U29" s="157"/>
      <c r="V29" s="153">
        <f t="shared" si="20"/>
        <v>6646068</v>
      </c>
      <c r="W29" s="44">
        <f t="shared" si="21"/>
        <v>0</v>
      </c>
      <c r="X29" s="22">
        <f t="shared" si="22"/>
        <v>0</v>
      </c>
      <c r="Y29" s="158">
        <f t="shared" si="23"/>
        <v>0</v>
      </c>
      <c r="Z29" s="3">
        <f t="shared" si="24"/>
        <v>0</v>
      </c>
      <c r="AA29" s="3">
        <f t="shared" si="26"/>
        <v>0</v>
      </c>
    </row>
    <row r="30" spans="1:27" ht="16.5" thickBot="1" x14ac:dyDescent="0.3">
      <c r="A30" s="10">
        <v>44497</v>
      </c>
      <c r="B30" s="44">
        <v>0</v>
      </c>
      <c r="C30" s="152">
        <f t="shared" si="4"/>
        <v>18928</v>
      </c>
      <c r="D30" s="44">
        <f t="shared" si="5"/>
        <v>0</v>
      </c>
      <c r="E30" s="153">
        <f t="shared" si="6"/>
        <v>28182421</v>
      </c>
      <c r="F30" s="44">
        <f t="shared" si="7"/>
        <v>0</v>
      </c>
      <c r="G30" s="154">
        <f t="shared" si="8"/>
        <v>89297612</v>
      </c>
      <c r="H30" s="44">
        <f t="shared" si="9"/>
        <v>0</v>
      </c>
      <c r="I30" s="155">
        <f t="shared" si="10"/>
        <v>0</v>
      </c>
      <c r="J30" s="153">
        <f t="shared" si="11"/>
        <v>8783230</v>
      </c>
      <c r="K30" s="44">
        <f t="shared" si="12"/>
        <v>0</v>
      </c>
      <c r="L30" s="156">
        <f t="shared" si="13"/>
        <v>8732542</v>
      </c>
      <c r="M30" s="44">
        <f t="shared" si="14"/>
        <v>0</v>
      </c>
      <c r="N30" s="153">
        <f t="shared" si="15"/>
        <v>5888063</v>
      </c>
      <c r="O30" s="44">
        <f t="shared" si="25"/>
        <v>0</v>
      </c>
      <c r="P30" s="156">
        <f t="shared" si="16"/>
        <v>5093642</v>
      </c>
      <c r="Q30" s="44">
        <f t="shared" si="17"/>
        <v>0</v>
      </c>
      <c r="R30" s="153">
        <f t="shared" si="18"/>
        <v>18841147</v>
      </c>
      <c r="S30" s="44">
        <f t="shared" si="19"/>
        <v>0</v>
      </c>
      <c r="T30" s="153">
        <v>0</v>
      </c>
      <c r="U30" s="157"/>
      <c r="V30" s="153">
        <f t="shared" si="20"/>
        <v>6646068</v>
      </c>
      <c r="W30" s="44">
        <f t="shared" si="21"/>
        <v>0</v>
      </c>
      <c r="X30" s="22">
        <f t="shared" si="22"/>
        <v>0</v>
      </c>
      <c r="Y30" s="158">
        <f t="shared" si="23"/>
        <v>0</v>
      </c>
      <c r="Z30" s="3">
        <f t="shared" si="24"/>
        <v>0</v>
      </c>
      <c r="AA30" s="3">
        <f t="shared" si="26"/>
        <v>0</v>
      </c>
    </row>
    <row r="31" spans="1:27" ht="16.5" thickBot="1" x14ac:dyDescent="0.3">
      <c r="A31" s="10">
        <v>44498</v>
      </c>
      <c r="B31" s="44">
        <v>0</v>
      </c>
      <c r="C31" s="152">
        <f t="shared" si="4"/>
        <v>18928</v>
      </c>
      <c r="D31" s="44">
        <f t="shared" si="5"/>
        <v>0</v>
      </c>
      <c r="E31" s="153">
        <f t="shared" si="6"/>
        <v>28182421</v>
      </c>
      <c r="F31" s="44">
        <f t="shared" si="7"/>
        <v>0</v>
      </c>
      <c r="G31" s="154">
        <f t="shared" si="8"/>
        <v>89297612</v>
      </c>
      <c r="H31" s="44">
        <f t="shared" si="9"/>
        <v>0</v>
      </c>
      <c r="I31" s="155">
        <f t="shared" si="10"/>
        <v>0</v>
      </c>
      <c r="J31" s="153">
        <f t="shared" si="11"/>
        <v>8783230</v>
      </c>
      <c r="K31" s="44">
        <f t="shared" si="12"/>
        <v>0</v>
      </c>
      <c r="L31" s="156">
        <f t="shared" si="13"/>
        <v>8732542</v>
      </c>
      <c r="M31" s="44">
        <f t="shared" si="14"/>
        <v>0</v>
      </c>
      <c r="N31" s="153">
        <f t="shared" si="15"/>
        <v>5888063</v>
      </c>
      <c r="O31" s="44">
        <f t="shared" si="25"/>
        <v>0</v>
      </c>
      <c r="P31" s="156">
        <f t="shared" si="16"/>
        <v>5093642</v>
      </c>
      <c r="Q31" s="44">
        <f t="shared" si="17"/>
        <v>0</v>
      </c>
      <c r="R31" s="153">
        <f t="shared" si="18"/>
        <v>18841147</v>
      </c>
      <c r="S31" s="44">
        <f t="shared" si="19"/>
        <v>0</v>
      </c>
      <c r="T31" s="153">
        <v>0</v>
      </c>
      <c r="U31" s="11"/>
      <c r="V31" s="153">
        <f t="shared" si="20"/>
        <v>6646068</v>
      </c>
      <c r="W31" s="44">
        <f t="shared" si="21"/>
        <v>0</v>
      </c>
      <c r="X31" s="22">
        <f t="shared" si="22"/>
        <v>0</v>
      </c>
      <c r="Y31" s="158">
        <f t="shared" si="23"/>
        <v>0</v>
      </c>
      <c r="Z31" s="3">
        <f t="shared" si="24"/>
        <v>0</v>
      </c>
      <c r="AA31" s="3">
        <f t="shared" si="26"/>
        <v>0</v>
      </c>
    </row>
    <row r="32" spans="1:27" ht="16.5" thickBot="1" x14ac:dyDescent="0.3">
      <c r="A32" s="10">
        <v>44499</v>
      </c>
      <c r="B32" s="44">
        <v>0</v>
      </c>
      <c r="C32" s="152">
        <f t="shared" si="4"/>
        <v>18928</v>
      </c>
      <c r="D32" s="44">
        <f t="shared" si="5"/>
        <v>0</v>
      </c>
      <c r="E32" s="153">
        <f t="shared" si="6"/>
        <v>28182421</v>
      </c>
      <c r="F32" s="44">
        <f t="shared" si="7"/>
        <v>0</v>
      </c>
      <c r="G32" s="154">
        <f t="shared" si="8"/>
        <v>89297612</v>
      </c>
      <c r="H32" s="44">
        <f t="shared" si="9"/>
        <v>0</v>
      </c>
      <c r="I32" s="22">
        <f>F32+H32</f>
        <v>0</v>
      </c>
      <c r="J32" s="153">
        <f t="shared" si="11"/>
        <v>8783230</v>
      </c>
      <c r="K32" s="44">
        <f t="shared" si="12"/>
        <v>0</v>
      </c>
      <c r="L32" s="156">
        <f t="shared" si="13"/>
        <v>8732542</v>
      </c>
      <c r="M32" s="44">
        <f t="shared" si="14"/>
        <v>0</v>
      </c>
      <c r="N32" s="153">
        <f t="shared" si="15"/>
        <v>5888063</v>
      </c>
      <c r="O32" s="44">
        <f t="shared" si="25"/>
        <v>0</v>
      </c>
      <c r="P32" s="156">
        <f t="shared" si="16"/>
        <v>5093642</v>
      </c>
      <c r="Q32" s="44">
        <f t="shared" si="17"/>
        <v>0</v>
      </c>
      <c r="R32" s="153">
        <f t="shared" si="18"/>
        <v>18841147</v>
      </c>
      <c r="S32" s="44">
        <f t="shared" si="19"/>
        <v>0</v>
      </c>
      <c r="T32" s="153">
        <v>0</v>
      </c>
      <c r="U32" s="11"/>
      <c r="V32" s="153">
        <f t="shared" si="20"/>
        <v>6646068</v>
      </c>
      <c r="W32" s="44">
        <f t="shared" si="21"/>
        <v>0</v>
      </c>
      <c r="X32" s="22">
        <f t="shared" si="22"/>
        <v>0</v>
      </c>
      <c r="Y32" s="158">
        <f t="shared" si="23"/>
        <v>0</v>
      </c>
      <c r="Z32" s="3">
        <f t="shared" si="24"/>
        <v>0</v>
      </c>
      <c r="AA32" s="3">
        <f t="shared" si="26"/>
        <v>0</v>
      </c>
    </row>
    <row r="33" spans="1:27" ht="16.5" thickBot="1" x14ac:dyDescent="0.3">
      <c r="A33" s="10">
        <v>44500</v>
      </c>
      <c r="B33" s="44">
        <v>0</v>
      </c>
      <c r="C33" s="152">
        <f t="shared" si="4"/>
        <v>18928</v>
      </c>
      <c r="D33" s="44">
        <f t="shared" si="5"/>
        <v>0</v>
      </c>
      <c r="E33" s="153">
        <f t="shared" si="6"/>
        <v>28182421</v>
      </c>
      <c r="F33" s="44">
        <f t="shared" si="7"/>
        <v>0</v>
      </c>
      <c r="G33" s="154">
        <f t="shared" si="8"/>
        <v>89297612</v>
      </c>
      <c r="H33" s="44">
        <f t="shared" si="9"/>
        <v>0</v>
      </c>
      <c r="I33" s="22">
        <f>F33+H33</f>
        <v>0</v>
      </c>
      <c r="J33" s="153">
        <f t="shared" si="11"/>
        <v>8783230</v>
      </c>
      <c r="K33" s="44">
        <f t="shared" si="12"/>
        <v>0</v>
      </c>
      <c r="L33" s="156">
        <f t="shared" si="13"/>
        <v>8732542</v>
      </c>
      <c r="M33" s="44">
        <f t="shared" si="14"/>
        <v>0</v>
      </c>
      <c r="N33" s="153">
        <f t="shared" si="15"/>
        <v>5888063</v>
      </c>
      <c r="O33" s="44">
        <f t="shared" si="25"/>
        <v>0</v>
      </c>
      <c r="P33" s="156">
        <f t="shared" si="16"/>
        <v>5093642</v>
      </c>
      <c r="Q33" s="44">
        <f t="shared" si="17"/>
        <v>0</v>
      </c>
      <c r="R33" s="153">
        <f t="shared" si="18"/>
        <v>18841147</v>
      </c>
      <c r="S33" s="44">
        <f t="shared" si="19"/>
        <v>0</v>
      </c>
      <c r="T33" s="153">
        <v>0</v>
      </c>
      <c r="U33" s="11"/>
      <c r="V33" s="153">
        <f t="shared" si="20"/>
        <v>6646068</v>
      </c>
      <c r="W33" s="44">
        <f t="shared" si="21"/>
        <v>0</v>
      </c>
      <c r="X33" s="22">
        <f t="shared" si="22"/>
        <v>0</v>
      </c>
      <c r="Y33" s="158">
        <f t="shared" si="23"/>
        <v>0</v>
      </c>
      <c r="Z33" s="3">
        <f t="shared" si="24"/>
        <v>0</v>
      </c>
      <c r="AA33" s="3">
        <f t="shared" si="26"/>
        <v>0</v>
      </c>
    </row>
    <row r="34" spans="1:27" ht="16.5" thickBot="1" x14ac:dyDescent="0.3">
      <c r="A34" s="6" t="s">
        <v>23</v>
      </c>
      <c r="B34" s="144">
        <f>SUM(B2:B33)</f>
        <v>299</v>
      </c>
      <c r="C34" s="144"/>
      <c r="D34" s="144">
        <f>SUM(D2:D33)</f>
        <v>1120</v>
      </c>
      <c r="E34" s="61">
        <v>0</v>
      </c>
      <c r="F34" s="61">
        <f>SUM(F2:F33)</f>
        <v>12666</v>
      </c>
      <c r="G34" s="61">
        <v>0</v>
      </c>
      <c r="H34" s="61">
        <f>SUM(H2:H33)</f>
        <v>45890</v>
      </c>
      <c r="I34" s="61">
        <f>SUM(I5:I33)</f>
        <v>0</v>
      </c>
      <c r="J34" s="61">
        <v>0</v>
      </c>
      <c r="K34" s="61">
        <f>SUM(K2:K33)</f>
        <v>4342</v>
      </c>
      <c r="L34" s="61">
        <v>0</v>
      </c>
      <c r="M34" s="61">
        <f>SUM(M2:M33)</f>
        <v>3978</v>
      </c>
      <c r="N34" s="61">
        <v>0</v>
      </c>
      <c r="O34" s="61">
        <f>SUM(O2:O33)</f>
        <v>8450</v>
      </c>
      <c r="P34" s="61">
        <v>0</v>
      </c>
      <c r="Q34" s="61">
        <f>SUM(Q2:Q33)</f>
        <v>9867</v>
      </c>
      <c r="R34" s="61">
        <v>0</v>
      </c>
      <c r="S34" s="61">
        <f>SUM(S2:S33)</f>
        <v>9854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10140</v>
      </c>
      <c r="X34" s="61">
        <f>SUM(X5:X33)</f>
        <v>0</v>
      </c>
      <c r="Y34" s="61">
        <f>SUM(Y2:Y33)</f>
        <v>11925</v>
      </c>
      <c r="Z34" s="61">
        <f>SUM(Z2:Z33)</f>
        <v>7504.5631648000008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3" sqref="A3:XFD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f t="shared" ref="B4:B33" si="3">B3</f>
        <v>426751</v>
      </c>
      <c r="C4" s="44">
        <f t="shared" si="2"/>
        <v>0</v>
      </c>
      <c r="D4" s="3">
        <v>4377000</v>
      </c>
      <c r="E4" s="44">
        <f t="shared" ref="E4:E33" si="4">(IF((D4-D3)&lt;0,"0",(D4-D3)))*0.027</f>
        <v>0</v>
      </c>
      <c r="F4" s="3">
        <f t="shared" ref="F4:F33" si="5">F3</f>
        <v>5819000</v>
      </c>
      <c r="G4" s="44">
        <f>(IF((F4-F3)&lt;0,"0",(F4-F3)))*0.027</f>
        <v>0</v>
      </c>
      <c r="H4" s="3">
        <f t="shared" ref="H4:H33" si="6">H3</f>
        <v>750313</v>
      </c>
      <c r="I4" s="49">
        <f>(IF((H4-H3)&lt;0,"0",(H4-H3)))*0.027</f>
        <v>0</v>
      </c>
      <c r="J4" s="22">
        <f t="shared" ref="J4:J33" si="7">C4+E4+G4+I4</f>
        <v>0</v>
      </c>
      <c r="K4" s="23">
        <f t="shared" ref="K4:K33" si="8">J4*5.86</f>
        <v>0</v>
      </c>
    </row>
    <row r="5" spans="1:14" ht="16.5" thickBot="1" x14ac:dyDescent="0.3">
      <c r="A5" s="10">
        <v>44472</v>
      </c>
      <c r="B5" s="3">
        <f t="shared" si="3"/>
        <v>426751</v>
      </c>
      <c r="C5" s="44">
        <f t="shared" si="2"/>
        <v>0</v>
      </c>
      <c r="D5" s="3">
        <v>4377000</v>
      </c>
      <c r="E5" s="44">
        <f t="shared" si="4"/>
        <v>0</v>
      </c>
      <c r="F5" s="3">
        <f t="shared" si="5"/>
        <v>5819000</v>
      </c>
      <c r="G5" s="44">
        <f t="shared" ref="G5:G33" si="9">(IF((F5-F4)&lt;0,"0",(F5-F4)))*0.027</f>
        <v>0</v>
      </c>
      <c r="H5" s="3">
        <f t="shared" si="6"/>
        <v>750313</v>
      </c>
      <c r="I5" s="49">
        <f t="shared" ref="I5:I33" si="10">(IF((H5-H4)&lt;0,"0",(H5-H4)))*0.027</f>
        <v>0</v>
      </c>
      <c r="J5" s="22">
        <f t="shared" si="7"/>
        <v>0</v>
      </c>
      <c r="K5" s="23">
        <f t="shared" si="8"/>
        <v>0</v>
      </c>
    </row>
    <row r="6" spans="1:14" ht="16.5" thickBot="1" x14ac:dyDescent="0.3">
      <c r="A6" s="10">
        <v>44473</v>
      </c>
      <c r="B6" s="3">
        <f t="shared" si="3"/>
        <v>426751</v>
      </c>
      <c r="C6" s="44">
        <f t="shared" si="2"/>
        <v>0</v>
      </c>
      <c r="D6" s="3">
        <v>4377000</v>
      </c>
      <c r="E6" s="44">
        <f t="shared" si="4"/>
        <v>0</v>
      </c>
      <c r="F6" s="3">
        <f t="shared" si="5"/>
        <v>5819000</v>
      </c>
      <c r="G6" s="44">
        <f t="shared" si="9"/>
        <v>0</v>
      </c>
      <c r="H6" s="3">
        <f t="shared" si="6"/>
        <v>750313</v>
      </c>
      <c r="I6" s="49">
        <f t="shared" si="10"/>
        <v>0</v>
      </c>
      <c r="J6" s="22">
        <f t="shared" si="7"/>
        <v>0</v>
      </c>
      <c r="K6" s="23">
        <f t="shared" si="8"/>
        <v>0</v>
      </c>
    </row>
    <row r="7" spans="1:14" ht="16.5" thickBot="1" x14ac:dyDescent="0.3">
      <c r="A7" s="10">
        <v>44474</v>
      </c>
      <c r="B7" s="3">
        <f t="shared" si="3"/>
        <v>426751</v>
      </c>
      <c r="C7" s="44">
        <f t="shared" si="2"/>
        <v>0</v>
      </c>
      <c r="D7" s="3">
        <v>4377000</v>
      </c>
      <c r="E7" s="44">
        <f t="shared" si="4"/>
        <v>0</v>
      </c>
      <c r="F7" s="3">
        <f t="shared" si="5"/>
        <v>5819000</v>
      </c>
      <c r="G7" s="44">
        <f t="shared" si="9"/>
        <v>0</v>
      </c>
      <c r="H7" s="3">
        <f t="shared" si="6"/>
        <v>750313</v>
      </c>
      <c r="I7" s="49">
        <f t="shared" si="10"/>
        <v>0</v>
      </c>
      <c r="J7" s="22">
        <f t="shared" si="7"/>
        <v>0</v>
      </c>
      <c r="K7" s="23">
        <f t="shared" si="8"/>
        <v>0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f t="shared" si="3"/>
        <v>426751</v>
      </c>
      <c r="C8" s="44">
        <f t="shared" si="2"/>
        <v>0</v>
      </c>
      <c r="D8" s="3">
        <v>4377000</v>
      </c>
      <c r="E8" s="44">
        <f t="shared" si="4"/>
        <v>0</v>
      </c>
      <c r="F8" s="3">
        <f t="shared" si="5"/>
        <v>5819000</v>
      </c>
      <c r="G8" s="44">
        <f t="shared" si="9"/>
        <v>0</v>
      </c>
      <c r="H8" s="3">
        <f t="shared" si="6"/>
        <v>750313</v>
      </c>
      <c r="I8" s="49">
        <f t="shared" si="10"/>
        <v>0</v>
      </c>
      <c r="J8" s="22">
        <f t="shared" si="7"/>
        <v>0</v>
      </c>
      <c r="K8" s="23">
        <f t="shared" si="8"/>
        <v>0</v>
      </c>
    </row>
    <row r="9" spans="1:14" ht="16.5" thickBot="1" x14ac:dyDescent="0.3">
      <c r="A9" s="10">
        <v>44476</v>
      </c>
      <c r="B9" s="3">
        <f t="shared" si="3"/>
        <v>426751</v>
      </c>
      <c r="C9" s="44">
        <f t="shared" ref="C9:C33" si="11">(IF((B9-B8)&lt;0,"0",(B9-B8)))*10</f>
        <v>0</v>
      </c>
      <c r="D9" s="3">
        <v>4377000</v>
      </c>
      <c r="E9" s="44">
        <f t="shared" si="4"/>
        <v>0</v>
      </c>
      <c r="F9" s="3">
        <f t="shared" si="5"/>
        <v>5819000</v>
      </c>
      <c r="G9" s="44">
        <f t="shared" si="9"/>
        <v>0</v>
      </c>
      <c r="H9" s="3">
        <f t="shared" si="6"/>
        <v>750313</v>
      </c>
      <c r="I9" s="49">
        <f t="shared" si="10"/>
        <v>0</v>
      </c>
      <c r="J9" s="22">
        <f t="shared" si="7"/>
        <v>0</v>
      </c>
      <c r="K9" s="23">
        <f t="shared" si="8"/>
        <v>0</v>
      </c>
    </row>
    <row r="10" spans="1:14" ht="16.5" thickBot="1" x14ac:dyDescent="0.3">
      <c r="A10" s="10">
        <v>44477</v>
      </c>
      <c r="B10" s="3">
        <f t="shared" si="3"/>
        <v>426751</v>
      </c>
      <c r="C10" s="44">
        <f>(IF((B10-B9)&lt;0,"0",(B10-B9)))*10</f>
        <v>0</v>
      </c>
      <c r="D10" s="3">
        <v>4377000</v>
      </c>
      <c r="E10" s="44">
        <f t="shared" si="4"/>
        <v>0</v>
      </c>
      <c r="F10" s="3">
        <f t="shared" si="5"/>
        <v>5819000</v>
      </c>
      <c r="G10" s="44">
        <f t="shared" si="9"/>
        <v>0</v>
      </c>
      <c r="H10" s="3">
        <f t="shared" si="6"/>
        <v>750313</v>
      </c>
      <c r="I10" s="49">
        <f t="shared" si="10"/>
        <v>0</v>
      </c>
      <c r="J10" s="22">
        <f t="shared" si="7"/>
        <v>0</v>
      </c>
      <c r="K10" s="23">
        <f t="shared" si="8"/>
        <v>0</v>
      </c>
    </row>
    <row r="11" spans="1:14" ht="16.5" thickBot="1" x14ac:dyDescent="0.3">
      <c r="A11" s="10">
        <v>44478</v>
      </c>
      <c r="B11" s="3">
        <f t="shared" si="3"/>
        <v>426751</v>
      </c>
      <c r="C11" s="44">
        <f t="shared" si="11"/>
        <v>0</v>
      </c>
      <c r="D11" s="3">
        <v>4377000</v>
      </c>
      <c r="E11" s="44">
        <f t="shared" si="4"/>
        <v>0</v>
      </c>
      <c r="F11" s="3">
        <f t="shared" si="5"/>
        <v>5819000</v>
      </c>
      <c r="G11" s="44">
        <f t="shared" si="9"/>
        <v>0</v>
      </c>
      <c r="H11" s="3">
        <f t="shared" si="6"/>
        <v>750313</v>
      </c>
      <c r="I11" s="49">
        <f t="shared" si="10"/>
        <v>0</v>
      </c>
      <c r="J11" s="22">
        <f t="shared" si="7"/>
        <v>0</v>
      </c>
      <c r="K11" s="23">
        <f t="shared" si="8"/>
        <v>0</v>
      </c>
      <c r="N11" t="s">
        <v>12</v>
      </c>
    </row>
    <row r="12" spans="1:14" ht="16.5" thickBot="1" x14ac:dyDescent="0.3">
      <c r="A12" s="10">
        <v>44479</v>
      </c>
      <c r="B12" s="3">
        <f t="shared" si="3"/>
        <v>426751</v>
      </c>
      <c r="C12" s="44">
        <f t="shared" si="11"/>
        <v>0</v>
      </c>
      <c r="D12" s="3">
        <v>4377000</v>
      </c>
      <c r="E12" s="44">
        <f t="shared" si="4"/>
        <v>0</v>
      </c>
      <c r="F12" s="3">
        <f t="shared" si="5"/>
        <v>5819000</v>
      </c>
      <c r="G12" s="44">
        <f t="shared" si="9"/>
        <v>0</v>
      </c>
      <c r="H12" s="3">
        <f t="shared" si="6"/>
        <v>750313</v>
      </c>
      <c r="I12" s="49">
        <f t="shared" si="10"/>
        <v>0</v>
      </c>
      <c r="J12" s="22">
        <f t="shared" si="7"/>
        <v>0</v>
      </c>
      <c r="K12" s="23">
        <f t="shared" si="8"/>
        <v>0</v>
      </c>
    </row>
    <row r="13" spans="1:14" ht="16.5" thickBot="1" x14ac:dyDescent="0.3">
      <c r="A13" s="10">
        <v>44480</v>
      </c>
      <c r="B13" s="3">
        <f t="shared" si="3"/>
        <v>426751</v>
      </c>
      <c r="C13" s="44">
        <f t="shared" si="11"/>
        <v>0</v>
      </c>
      <c r="D13" s="3">
        <v>4377000</v>
      </c>
      <c r="E13" s="44">
        <f t="shared" si="4"/>
        <v>0</v>
      </c>
      <c r="F13" s="3">
        <f t="shared" si="5"/>
        <v>5819000</v>
      </c>
      <c r="G13" s="44">
        <f t="shared" si="9"/>
        <v>0</v>
      </c>
      <c r="H13" s="3">
        <f t="shared" si="6"/>
        <v>750313</v>
      </c>
      <c r="I13" s="49">
        <f t="shared" si="10"/>
        <v>0</v>
      </c>
      <c r="J13" s="22">
        <f t="shared" si="7"/>
        <v>0</v>
      </c>
      <c r="K13" s="23">
        <f t="shared" si="8"/>
        <v>0</v>
      </c>
    </row>
    <row r="14" spans="1:14" ht="16.5" thickBot="1" x14ac:dyDescent="0.3">
      <c r="A14" s="10">
        <v>44481</v>
      </c>
      <c r="B14" s="3">
        <f t="shared" si="3"/>
        <v>426751</v>
      </c>
      <c r="C14" s="44">
        <f t="shared" si="11"/>
        <v>0</v>
      </c>
      <c r="D14" s="3">
        <v>4377000</v>
      </c>
      <c r="E14" s="44">
        <f t="shared" si="4"/>
        <v>0</v>
      </c>
      <c r="F14" s="3">
        <f t="shared" si="5"/>
        <v>5819000</v>
      </c>
      <c r="G14" s="44">
        <f t="shared" si="9"/>
        <v>0</v>
      </c>
      <c r="H14" s="3">
        <f t="shared" si="6"/>
        <v>750313</v>
      </c>
      <c r="I14" s="49">
        <f t="shared" si="10"/>
        <v>0</v>
      </c>
      <c r="J14" s="22">
        <f t="shared" si="7"/>
        <v>0</v>
      </c>
      <c r="K14" s="23">
        <f t="shared" si="8"/>
        <v>0</v>
      </c>
    </row>
    <row r="15" spans="1:14" ht="16.5" thickBot="1" x14ac:dyDescent="0.3">
      <c r="A15" s="10">
        <v>44482</v>
      </c>
      <c r="B15" s="3">
        <f t="shared" si="3"/>
        <v>426751</v>
      </c>
      <c r="C15" s="44">
        <f t="shared" si="11"/>
        <v>0</v>
      </c>
      <c r="D15" s="3">
        <v>4377000</v>
      </c>
      <c r="E15" s="44">
        <f t="shared" si="4"/>
        <v>0</v>
      </c>
      <c r="F15" s="3">
        <f t="shared" si="5"/>
        <v>5819000</v>
      </c>
      <c r="G15" s="44">
        <f t="shared" si="9"/>
        <v>0</v>
      </c>
      <c r="H15" s="3">
        <f t="shared" si="6"/>
        <v>750313</v>
      </c>
      <c r="I15" s="49">
        <f t="shared" si="10"/>
        <v>0</v>
      </c>
      <c r="J15" s="22">
        <f t="shared" si="7"/>
        <v>0</v>
      </c>
      <c r="K15" s="23">
        <f t="shared" si="8"/>
        <v>0</v>
      </c>
    </row>
    <row r="16" spans="1:14" ht="16.5" thickBot="1" x14ac:dyDescent="0.3">
      <c r="A16" s="10">
        <v>44483</v>
      </c>
      <c r="B16" s="3">
        <f t="shared" si="3"/>
        <v>426751</v>
      </c>
      <c r="C16" s="44">
        <f t="shared" si="11"/>
        <v>0</v>
      </c>
      <c r="D16" s="3">
        <v>4377000</v>
      </c>
      <c r="E16" s="44">
        <f t="shared" si="4"/>
        <v>0</v>
      </c>
      <c r="F16" s="3">
        <f t="shared" si="5"/>
        <v>5819000</v>
      </c>
      <c r="G16" s="44">
        <f t="shared" si="9"/>
        <v>0</v>
      </c>
      <c r="H16" s="3">
        <f t="shared" si="6"/>
        <v>750313</v>
      </c>
      <c r="I16" s="49">
        <f t="shared" si="10"/>
        <v>0</v>
      </c>
      <c r="J16" s="22">
        <f t="shared" si="7"/>
        <v>0</v>
      </c>
      <c r="K16" s="23">
        <f t="shared" si="8"/>
        <v>0</v>
      </c>
    </row>
    <row r="17" spans="1:25" ht="16.5" thickBot="1" x14ac:dyDescent="0.3">
      <c r="A17" s="10">
        <v>44484</v>
      </c>
      <c r="B17" s="3">
        <f t="shared" si="3"/>
        <v>426751</v>
      </c>
      <c r="C17" s="44">
        <f t="shared" si="11"/>
        <v>0</v>
      </c>
      <c r="D17" s="3">
        <v>4377000</v>
      </c>
      <c r="E17" s="44">
        <f t="shared" si="4"/>
        <v>0</v>
      </c>
      <c r="F17" s="3">
        <f t="shared" si="5"/>
        <v>5819000</v>
      </c>
      <c r="G17" s="44">
        <f t="shared" si="9"/>
        <v>0</v>
      </c>
      <c r="H17" s="3">
        <f t="shared" si="6"/>
        <v>750313</v>
      </c>
      <c r="I17" s="49">
        <f t="shared" si="10"/>
        <v>0</v>
      </c>
      <c r="J17" s="22">
        <f t="shared" si="7"/>
        <v>0</v>
      </c>
      <c r="K17" s="23">
        <f t="shared" si="8"/>
        <v>0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f t="shared" si="3"/>
        <v>426751</v>
      </c>
      <c r="C18" s="44">
        <f t="shared" si="11"/>
        <v>0</v>
      </c>
      <c r="D18" s="3">
        <v>4377000</v>
      </c>
      <c r="E18" s="44">
        <f t="shared" si="4"/>
        <v>0</v>
      </c>
      <c r="F18" s="3">
        <f t="shared" si="5"/>
        <v>5819000</v>
      </c>
      <c r="G18" s="44">
        <f t="shared" si="9"/>
        <v>0</v>
      </c>
      <c r="H18" s="3">
        <f t="shared" si="6"/>
        <v>750313</v>
      </c>
      <c r="I18" s="49">
        <f t="shared" si="10"/>
        <v>0</v>
      </c>
      <c r="J18" s="22">
        <f t="shared" si="7"/>
        <v>0</v>
      </c>
      <c r="K18" s="23">
        <f t="shared" si="8"/>
        <v>0</v>
      </c>
      <c r="Q18" t="s">
        <v>43</v>
      </c>
    </row>
    <row r="19" spans="1:25" ht="16.5" thickBot="1" x14ac:dyDescent="0.3">
      <c r="A19" s="10">
        <v>44486</v>
      </c>
      <c r="B19" s="3">
        <f t="shared" si="3"/>
        <v>426751</v>
      </c>
      <c r="C19" s="44">
        <f t="shared" si="11"/>
        <v>0</v>
      </c>
      <c r="D19" s="3">
        <v>4377000</v>
      </c>
      <c r="E19" s="44">
        <f t="shared" si="4"/>
        <v>0</v>
      </c>
      <c r="F19" s="3">
        <f t="shared" si="5"/>
        <v>5819000</v>
      </c>
      <c r="G19" s="44">
        <f t="shared" si="9"/>
        <v>0</v>
      </c>
      <c r="H19" s="3">
        <f t="shared" si="6"/>
        <v>750313</v>
      </c>
      <c r="I19" s="49">
        <f t="shared" si="10"/>
        <v>0</v>
      </c>
      <c r="J19" s="22">
        <f t="shared" si="7"/>
        <v>0</v>
      </c>
      <c r="K19" s="23">
        <f t="shared" si="8"/>
        <v>0</v>
      </c>
      <c r="Q19" t="s">
        <v>12</v>
      </c>
    </row>
    <row r="20" spans="1:25" ht="16.5" thickBot="1" x14ac:dyDescent="0.3">
      <c r="A20" s="10">
        <v>44487</v>
      </c>
      <c r="B20" s="3">
        <f t="shared" si="3"/>
        <v>426751</v>
      </c>
      <c r="C20" s="44">
        <f t="shared" si="11"/>
        <v>0</v>
      </c>
      <c r="D20" s="3">
        <v>4377000</v>
      </c>
      <c r="E20" s="44">
        <f t="shared" si="4"/>
        <v>0</v>
      </c>
      <c r="F20" s="3">
        <f t="shared" si="5"/>
        <v>5819000</v>
      </c>
      <c r="G20" s="44">
        <f t="shared" si="9"/>
        <v>0</v>
      </c>
      <c r="H20" s="3">
        <f t="shared" si="6"/>
        <v>750313</v>
      </c>
      <c r="I20" s="49">
        <f t="shared" si="10"/>
        <v>0</v>
      </c>
      <c r="J20" s="22">
        <f t="shared" si="7"/>
        <v>0</v>
      </c>
      <c r="K20" s="23">
        <f t="shared" si="8"/>
        <v>0</v>
      </c>
    </row>
    <row r="21" spans="1:25" ht="16.5" thickBot="1" x14ac:dyDescent="0.3">
      <c r="A21" s="10">
        <v>44488</v>
      </c>
      <c r="B21" s="3">
        <f t="shared" si="3"/>
        <v>426751</v>
      </c>
      <c r="C21" s="44">
        <f t="shared" si="11"/>
        <v>0</v>
      </c>
      <c r="D21" s="3">
        <v>4377000</v>
      </c>
      <c r="E21" s="44">
        <f t="shared" si="4"/>
        <v>0</v>
      </c>
      <c r="F21" s="3">
        <f t="shared" si="5"/>
        <v>5819000</v>
      </c>
      <c r="G21" s="44">
        <f t="shared" si="9"/>
        <v>0</v>
      </c>
      <c r="H21" s="3">
        <f t="shared" si="6"/>
        <v>750313</v>
      </c>
      <c r="I21" s="49">
        <f t="shared" si="10"/>
        <v>0</v>
      </c>
      <c r="J21" s="22">
        <f t="shared" si="7"/>
        <v>0</v>
      </c>
      <c r="K21" s="23">
        <f t="shared" si="8"/>
        <v>0</v>
      </c>
    </row>
    <row r="22" spans="1:25" ht="16.5" thickBot="1" x14ac:dyDescent="0.3">
      <c r="A22" s="10">
        <v>44489</v>
      </c>
      <c r="B22" s="3">
        <f t="shared" si="3"/>
        <v>426751</v>
      </c>
      <c r="C22" s="44">
        <f t="shared" si="11"/>
        <v>0</v>
      </c>
      <c r="D22" s="3">
        <v>4377000</v>
      </c>
      <c r="E22" s="44">
        <f t="shared" si="4"/>
        <v>0</v>
      </c>
      <c r="F22" s="3">
        <f t="shared" si="5"/>
        <v>5819000</v>
      </c>
      <c r="G22" s="44">
        <f t="shared" si="9"/>
        <v>0</v>
      </c>
      <c r="H22" s="3">
        <f t="shared" si="6"/>
        <v>750313</v>
      </c>
      <c r="I22" s="49">
        <f t="shared" si="10"/>
        <v>0</v>
      </c>
      <c r="J22" s="22">
        <f t="shared" si="7"/>
        <v>0</v>
      </c>
      <c r="K22" s="23">
        <f t="shared" si="8"/>
        <v>0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f t="shared" si="3"/>
        <v>426751</v>
      </c>
      <c r="C23" s="44">
        <f t="shared" si="11"/>
        <v>0</v>
      </c>
      <c r="D23" s="3">
        <v>4377000</v>
      </c>
      <c r="E23" s="44">
        <f t="shared" si="4"/>
        <v>0</v>
      </c>
      <c r="F23" s="3">
        <f t="shared" si="5"/>
        <v>5819000</v>
      </c>
      <c r="G23" s="44">
        <f t="shared" si="9"/>
        <v>0</v>
      </c>
      <c r="H23" s="3">
        <f t="shared" si="6"/>
        <v>750313</v>
      </c>
      <c r="I23" s="49">
        <f t="shared" si="10"/>
        <v>0</v>
      </c>
      <c r="J23" s="22">
        <f t="shared" si="7"/>
        <v>0</v>
      </c>
      <c r="K23" s="23">
        <f t="shared" si="8"/>
        <v>0</v>
      </c>
      <c r="Q23" t="s">
        <v>12</v>
      </c>
    </row>
    <row r="24" spans="1:25" ht="16.5" thickBot="1" x14ac:dyDescent="0.3">
      <c r="A24" s="10">
        <v>44491</v>
      </c>
      <c r="B24" s="3">
        <f t="shared" si="3"/>
        <v>426751</v>
      </c>
      <c r="C24" s="44">
        <f t="shared" si="11"/>
        <v>0</v>
      </c>
      <c r="D24" s="3">
        <v>4377000</v>
      </c>
      <c r="E24" s="44">
        <f t="shared" si="4"/>
        <v>0</v>
      </c>
      <c r="F24" s="3">
        <f t="shared" si="5"/>
        <v>5819000</v>
      </c>
      <c r="G24" s="44">
        <f t="shared" si="9"/>
        <v>0</v>
      </c>
      <c r="H24" s="3">
        <f t="shared" si="6"/>
        <v>750313</v>
      </c>
      <c r="I24" s="49">
        <f t="shared" si="10"/>
        <v>0</v>
      </c>
      <c r="J24" s="22">
        <f t="shared" si="7"/>
        <v>0</v>
      </c>
      <c r="K24" s="23">
        <f t="shared" si="8"/>
        <v>0</v>
      </c>
    </row>
    <row r="25" spans="1:25" ht="17.25" customHeight="1" thickBot="1" x14ac:dyDescent="0.4">
      <c r="A25" s="10">
        <v>44492</v>
      </c>
      <c r="B25" s="3">
        <f t="shared" si="3"/>
        <v>426751</v>
      </c>
      <c r="C25" s="44">
        <f t="shared" si="11"/>
        <v>0</v>
      </c>
      <c r="D25" s="3">
        <v>4377000</v>
      </c>
      <c r="E25" s="44">
        <f t="shared" si="4"/>
        <v>0</v>
      </c>
      <c r="F25" s="3">
        <f t="shared" si="5"/>
        <v>5819000</v>
      </c>
      <c r="G25" s="44">
        <f t="shared" si="9"/>
        <v>0</v>
      </c>
      <c r="H25" s="3">
        <f t="shared" si="6"/>
        <v>750313</v>
      </c>
      <c r="I25" s="49">
        <f t="shared" si="10"/>
        <v>0</v>
      </c>
      <c r="J25" s="22">
        <f t="shared" si="7"/>
        <v>0</v>
      </c>
      <c r="K25" s="23">
        <f t="shared" si="8"/>
        <v>0</v>
      </c>
      <c r="Y25" s="60"/>
    </row>
    <row r="26" spans="1:25" ht="16.5" thickBot="1" x14ac:dyDescent="0.3">
      <c r="A26" s="10">
        <v>44493</v>
      </c>
      <c r="B26" s="3">
        <f t="shared" si="3"/>
        <v>426751</v>
      </c>
      <c r="C26" s="44">
        <f t="shared" si="11"/>
        <v>0</v>
      </c>
      <c r="D26" s="3">
        <v>4377000</v>
      </c>
      <c r="E26" s="44">
        <f t="shared" si="4"/>
        <v>0</v>
      </c>
      <c r="F26" s="3">
        <f t="shared" si="5"/>
        <v>5819000</v>
      </c>
      <c r="G26" s="44">
        <f t="shared" si="9"/>
        <v>0</v>
      </c>
      <c r="H26" s="3">
        <f t="shared" si="6"/>
        <v>750313</v>
      </c>
      <c r="I26" s="49">
        <f t="shared" si="10"/>
        <v>0</v>
      </c>
      <c r="J26" s="22">
        <f t="shared" si="7"/>
        <v>0</v>
      </c>
      <c r="K26" s="23">
        <f t="shared" si="8"/>
        <v>0</v>
      </c>
      <c r="L26" t="s">
        <v>12</v>
      </c>
    </row>
    <row r="27" spans="1:25" ht="16.5" thickBot="1" x14ac:dyDescent="0.3">
      <c r="A27" s="10">
        <v>44494</v>
      </c>
      <c r="B27" s="3">
        <f t="shared" si="3"/>
        <v>426751</v>
      </c>
      <c r="C27" s="44">
        <f t="shared" si="11"/>
        <v>0</v>
      </c>
      <c r="D27" s="3">
        <v>4377000</v>
      </c>
      <c r="E27" s="44">
        <f t="shared" si="4"/>
        <v>0</v>
      </c>
      <c r="F27" s="3">
        <f t="shared" si="5"/>
        <v>5819000</v>
      </c>
      <c r="G27" s="44">
        <f t="shared" si="9"/>
        <v>0</v>
      </c>
      <c r="H27" s="3">
        <f t="shared" si="6"/>
        <v>750313</v>
      </c>
      <c r="I27" s="49">
        <f t="shared" si="10"/>
        <v>0</v>
      </c>
      <c r="J27" s="22">
        <f t="shared" si="7"/>
        <v>0</v>
      </c>
      <c r="K27" s="23">
        <f t="shared" si="8"/>
        <v>0</v>
      </c>
      <c r="O27" t="s">
        <v>12</v>
      </c>
    </row>
    <row r="28" spans="1:25" ht="16.5" thickBot="1" x14ac:dyDescent="0.3">
      <c r="A28" s="10">
        <v>44495</v>
      </c>
      <c r="B28" s="3">
        <f t="shared" si="3"/>
        <v>426751</v>
      </c>
      <c r="C28" s="44">
        <f t="shared" si="11"/>
        <v>0</v>
      </c>
      <c r="D28" s="3">
        <v>4377000</v>
      </c>
      <c r="E28" s="44">
        <f t="shared" si="4"/>
        <v>0</v>
      </c>
      <c r="F28" s="3">
        <f t="shared" si="5"/>
        <v>5819000</v>
      </c>
      <c r="G28" s="44">
        <f t="shared" si="9"/>
        <v>0</v>
      </c>
      <c r="H28" s="3">
        <f t="shared" si="6"/>
        <v>750313</v>
      </c>
      <c r="I28" s="49">
        <f t="shared" si="10"/>
        <v>0</v>
      </c>
      <c r="J28" s="22">
        <f t="shared" si="7"/>
        <v>0</v>
      </c>
      <c r="K28" s="23">
        <f t="shared" si="8"/>
        <v>0</v>
      </c>
    </row>
    <row r="29" spans="1:25" ht="16.5" thickBot="1" x14ac:dyDescent="0.3">
      <c r="A29" s="10">
        <v>44496</v>
      </c>
      <c r="B29" s="3">
        <f t="shared" si="3"/>
        <v>426751</v>
      </c>
      <c r="C29" s="44">
        <f t="shared" si="11"/>
        <v>0</v>
      </c>
      <c r="D29" s="3">
        <v>4377000</v>
      </c>
      <c r="E29" s="44">
        <f t="shared" si="4"/>
        <v>0</v>
      </c>
      <c r="F29" s="3">
        <f t="shared" si="5"/>
        <v>5819000</v>
      </c>
      <c r="G29" s="44">
        <f t="shared" si="9"/>
        <v>0</v>
      </c>
      <c r="H29" s="3">
        <f t="shared" si="6"/>
        <v>750313</v>
      </c>
      <c r="I29" s="49">
        <f t="shared" si="10"/>
        <v>0</v>
      </c>
      <c r="J29" s="22">
        <f t="shared" si="7"/>
        <v>0</v>
      </c>
      <c r="K29" s="23">
        <f t="shared" si="8"/>
        <v>0</v>
      </c>
    </row>
    <row r="30" spans="1:25" ht="16.5" thickBot="1" x14ac:dyDescent="0.3">
      <c r="A30" s="10">
        <v>44497</v>
      </c>
      <c r="B30" s="3">
        <f t="shared" si="3"/>
        <v>426751</v>
      </c>
      <c r="C30" s="44">
        <f t="shared" si="11"/>
        <v>0</v>
      </c>
      <c r="D30" s="3">
        <v>4377000</v>
      </c>
      <c r="E30" s="44">
        <f t="shared" si="4"/>
        <v>0</v>
      </c>
      <c r="F30" s="3">
        <f t="shared" si="5"/>
        <v>5819000</v>
      </c>
      <c r="G30" s="44">
        <f t="shared" si="9"/>
        <v>0</v>
      </c>
      <c r="H30" s="3">
        <f t="shared" si="6"/>
        <v>750313</v>
      </c>
      <c r="I30" s="49">
        <f t="shared" si="10"/>
        <v>0</v>
      </c>
      <c r="J30" s="22">
        <f t="shared" si="7"/>
        <v>0</v>
      </c>
      <c r="K30" s="23">
        <f t="shared" si="8"/>
        <v>0</v>
      </c>
    </row>
    <row r="31" spans="1:25" ht="16.5" thickBot="1" x14ac:dyDescent="0.3">
      <c r="A31" s="10">
        <v>44498</v>
      </c>
      <c r="B31" s="3">
        <f t="shared" si="3"/>
        <v>426751</v>
      </c>
      <c r="C31" s="44">
        <f t="shared" si="11"/>
        <v>0</v>
      </c>
      <c r="D31" s="3">
        <v>4377000</v>
      </c>
      <c r="E31" s="44">
        <f t="shared" si="4"/>
        <v>0</v>
      </c>
      <c r="F31" s="3">
        <f t="shared" si="5"/>
        <v>5819000</v>
      </c>
      <c r="G31" s="44">
        <f t="shared" si="9"/>
        <v>0</v>
      </c>
      <c r="H31" s="3">
        <f t="shared" si="6"/>
        <v>750313</v>
      </c>
      <c r="I31" s="49">
        <f t="shared" si="10"/>
        <v>0</v>
      </c>
      <c r="J31" s="22">
        <f t="shared" si="7"/>
        <v>0</v>
      </c>
      <c r="K31" s="23">
        <f t="shared" si="8"/>
        <v>0</v>
      </c>
    </row>
    <row r="32" spans="1:25" ht="16.5" thickBot="1" x14ac:dyDescent="0.3">
      <c r="A32" s="10">
        <v>44499</v>
      </c>
      <c r="B32" s="3">
        <f t="shared" si="3"/>
        <v>426751</v>
      </c>
      <c r="C32" s="44">
        <f t="shared" si="11"/>
        <v>0</v>
      </c>
      <c r="D32" s="3">
        <v>4377000</v>
      </c>
      <c r="E32" s="44">
        <f t="shared" si="4"/>
        <v>0</v>
      </c>
      <c r="F32" s="3">
        <f t="shared" si="5"/>
        <v>5819000</v>
      </c>
      <c r="G32" s="44">
        <f t="shared" si="9"/>
        <v>0</v>
      </c>
      <c r="H32" s="3">
        <f t="shared" si="6"/>
        <v>750313</v>
      </c>
      <c r="I32" s="49">
        <f t="shared" si="10"/>
        <v>0</v>
      </c>
      <c r="J32" s="22">
        <f t="shared" si="7"/>
        <v>0</v>
      </c>
      <c r="K32" s="23">
        <f t="shared" si="8"/>
        <v>0</v>
      </c>
    </row>
    <row r="33" spans="1:11" ht="16.5" thickBot="1" x14ac:dyDescent="0.3">
      <c r="A33" s="10">
        <v>44500</v>
      </c>
      <c r="B33" s="3">
        <f t="shared" si="3"/>
        <v>426751</v>
      </c>
      <c r="C33" s="44">
        <f t="shared" si="11"/>
        <v>0</v>
      </c>
      <c r="D33" s="3">
        <v>4377000</v>
      </c>
      <c r="E33" s="44">
        <f t="shared" si="4"/>
        <v>0</v>
      </c>
      <c r="F33" s="3">
        <f t="shared" si="5"/>
        <v>5819000</v>
      </c>
      <c r="G33" s="44">
        <f t="shared" si="9"/>
        <v>0</v>
      </c>
      <c r="H33" s="3">
        <f t="shared" si="6"/>
        <v>750313</v>
      </c>
      <c r="I33" s="49">
        <f t="shared" si="10"/>
        <v>0</v>
      </c>
      <c r="J33" s="22">
        <f t="shared" si="7"/>
        <v>0</v>
      </c>
      <c r="K33" s="23">
        <f t="shared" si="8"/>
        <v>0</v>
      </c>
    </row>
    <row r="34" spans="1:11" ht="21" thickBot="1" x14ac:dyDescent="0.3">
      <c r="A34" s="9" t="s">
        <v>23</v>
      </c>
      <c r="B34" s="3"/>
      <c r="C34" s="61">
        <f>SUM(C3:C33)</f>
        <v>1080</v>
      </c>
      <c r="D34" s="3"/>
      <c r="E34" s="61">
        <f>SUM(E3:E33)</f>
        <v>0</v>
      </c>
      <c r="F34" s="3"/>
      <c r="G34" s="61">
        <f>SUM(G3:G33)</f>
        <v>550.79999999999995</v>
      </c>
      <c r="H34" s="3"/>
      <c r="I34" s="61">
        <f>SUM(I3:I33)</f>
        <v>4.4009999999999998</v>
      </c>
      <c r="J34" s="61">
        <f>SUM(J3:J33)</f>
        <v>1635.201</v>
      </c>
      <c r="K34" s="61">
        <f>SUM(K3:K33)</f>
        <v>9582.2778600000001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3" sqref="A3:XFD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f t="shared" ref="B4:B33" si="0">B3</f>
        <v>17639686</v>
      </c>
      <c r="C4" s="50">
        <f t="shared" ref="C4:C30" si="1">IF((B4-B3)&lt;0,"0",(B4-B3))</f>
        <v>0</v>
      </c>
    </row>
    <row r="5" spans="1:9" ht="24" thickBot="1" x14ac:dyDescent="0.4">
      <c r="A5" s="10">
        <v>44472</v>
      </c>
      <c r="B5" s="139">
        <f t="shared" si="0"/>
        <v>17639686</v>
      </c>
      <c r="C5" s="50">
        <f t="shared" si="1"/>
        <v>0</v>
      </c>
    </row>
    <row r="6" spans="1:9" ht="24" thickBot="1" x14ac:dyDescent="0.4">
      <c r="A6" s="10">
        <v>44473</v>
      </c>
      <c r="B6" s="139">
        <f t="shared" si="0"/>
        <v>17639686</v>
      </c>
      <c r="C6" s="50">
        <f>IF((B6-B5)&lt;0,"0",(B6-B5))</f>
        <v>0</v>
      </c>
    </row>
    <row r="7" spans="1:9" ht="24" thickBot="1" x14ac:dyDescent="0.4">
      <c r="A7" s="10">
        <v>44474</v>
      </c>
      <c r="B7" s="139">
        <f t="shared" si="0"/>
        <v>17639686</v>
      </c>
      <c r="C7" s="50">
        <f>IF((B7-B6)&lt;0,"0",(B7-B6))</f>
        <v>0</v>
      </c>
    </row>
    <row r="8" spans="1:9" ht="24" thickBot="1" x14ac:dyDescent="0.4">
      <c r="A8" s="10">
        <v>44475</v>
      </c>
      <c r="B8" s="139">
        <f t="shared" si="0"/>
        <v>17639686</v>
      </c>
      <c r="C8" s="50">
        <f>IF((B8-B7)&lt;0,"0",(B8-B7))</f>
        <v>0</v>
      </c>
    </row>
    <row r="9" spans="1:9" ht="24" thickBot="1" x14ac:dyDescent="0.4">
      <c r="A9" s="10">
        <v>44476</v>
      </c>
      <c r="B9" s="139">
        <f t="shared" si="0"/>
        <v>17639686</v>
      </c>
      <c r="C9" s="50">
        <f t="shared" si="1"/>
        <v>0</v>
      </c>
    </row>
    <row r="10" spans="1:9" ht="24" thickBot="1" x14ac:dyDescent="0.4">
      <c r="A10" s="10">
        <v>44477</v>
      </c>
      <c r="B10" s="139">
        <f t="shared" si="0"/>
        <v>17639686</v>
      </c>
      <c r="C10" s="50">
        <f t="shared" si="1"/>
        <v>0</v>
      </c>
    </row>
    <row r="11" spans="1:9" ht="24" thickBot="1" x14ac:dyDescent="0.4">
      <c r="A11" s="10">
        <v>44478</v>
      </c>
      <c r="B11" s="139">
        <f t="shared" si="0"/>
        <v>17639686</v>
      </c>
      <c r="C11" s="50">
        <f>IF((B11-B10)&lt;0,"0",(B11-B10))</f>
        <v>0</v>
      </c>
    </row>
    <row r="12" spans="1:9" ht="24" thickBot="1" x14ac:dyDescent="0.4">
      <c r="A12" s="10">
        <v>44479</v>
      </c>
      <c r="B12" s="139">
        <f t="shared" si="0"/>
        <v>17639686</v>
      </c>
      <c r="C12" s="50">
        <f t="shared" si="1"/>
        <v>0</v>
      </c>
    </row>
    <row r="13" spans="1:9" ht="24" thickBot="1" x14ac:dyDescent="0.4">
      <c r="A13" s="10">
        <v>44480</v>
      </c>
      <c r="B13" s="139">
        <f t="shared" si="0"/>
        <v>17639686</v>
      </c>
      <c r="C13" s="50">
        <f t="shared" si="1"/>
        <v>0</v>
      </c>
    </row>
    <row r="14" spans="1:9" ht="24" thickBot="1" x14ac:dyDescent="0.4">
      <c r="A14" s="10">
        <v>44481</v>
      </c>
      <c r="B14" s="139">
        <f t="shared" si="0"/>
        <v>17639686</v>
      </c>
      <c r="C14" s="50">
        <f t="shared" si="1"/>
        <v>0</v>
      </c>
    </row>
    <row r="15" spans="1:9" ht="24" thickBot="1" x14ac:dyDescent="0.4">
      <c r="A15" s="10">
        <v>44482</v>
      </c>
      <c r="B15" s="139">
        <f t="shared" si="0"/>
        <v>17639686</v>
      </c>
      <c r="C15" s="50">
        <f t="shared" si="1"/>
        <v>0</v>
      </c>
      <c r="I15" t="s">
        <v>12</v>
      </c>
    </row>
    <row r="16" spans="1:9" ht="26.25" customHeight="1" thickBot="1" x14ac:dyDescent="0.4">
      <c r="A16" s="10">
        <v>44483</v>
      </c>
      <c r="B16" s="139">
        <f t="shared" si="0"/>
        <v>17639686</v>
      </c>
      <c r="C16" s="50">
        <f t="shared" si="1"/>
        <v>0</v>
      </c>
    </row>
    <row r="17" spans="1:9" ht="25.5" customHeight="1" thickBot="1" x14ac:dyDescent="0.4">
      <c r="A17" s="10">
        <v>44484</v>
      </c>
      <c r="B17" s="139">
        <f t="shared" si="0"/>
        <v>17639686</v>
      </c>
      <c r="C17" s="50">
        <f t="shared" si="1"/>
        <v>0</v>
      </c>
      <c r="F17" s="137"/>
    </row>
    <row r="18" spans="1:9" ht="24" thickBot="1" x14ac:dyDescent="0.4">
      <c r="A18" s="10">
        <v>44485</v>
      </c>
      <c r="B18" s="139">
        <f t="shared" si="0"/>
        <v>17639686</v>
      </c>
      <c r="C18" s="50">
        <f t="shared" si="1"/>
        <v>0</v>
      </c>
    </row>
    <row r="19" spans="1:9" ht="24" thickBot="1" x14ac:dyDescent="0.4">
      <c r="A19" s="10">
        <v>44486</v>
      </c>
      <c r="B19" s="139">
        <f t="shared" si="0"/>
        <v>17639686</v>
      </c>
      <c r="C19" s="50">
        <f t="shared" si="1"/>
        <v>0</v>
      </c>
    </row>
    <row r="20" spans="1:9" ht="24" thickBot="1" x14ac:dyDescent="0.4">
      <c r="A20" s="10">
        <v>44487</v>
      </c>
      <c r="B20" s="139">
        <f t="shared" si="0"/>
        <v>17639686</v>
      </c>
      <c r="C20" s="50">
        <f t="shared" si="1"/>
        <v>0</v>
      </c>
    </row>
    <row r="21" spans="1:9" ht="24" thickBot="1" x14ac:dyDescent="0.4">
      <c r="A21" s="10">
        <v>44488</v>
      </c>
      <c r="B21" s="139">
        <f t="shared" si="0"/>
        <v>17639686</v>
      </c>
      <c r="C21" s="50">
        <f t="shared" si="1"/>
        <v>0</v>
      </c>
    </row>
    <row r="22" spans="1:9" ht="24" thickBot="1" x14ac:dyDescent="0.4">
      <c r="A22" s="10">
        <v>44489</v>
      </c>
      <c r="B22" s="139">
        <f t="shared" si="0"/>
        <v>17639686</v>
      </c>
      <c r="C22" s="50">
        <f t="shared" si="1"/>
        <v>0</v>
      </c>
    </row>
    <row r="23" spans="1:9" ht="24" thickBot="1" x14ac:dyDescent="0.4">
      <c r="A23" s="10">
        <v>44490</v>
      </c>
      <c r="B23" s="139">
        <f t="shared" si="0"/>
        <v>17639686</v>
      </c>
      <c r="C23" s="50">
        <f t="shared" si="1"/>
        <v>0</v>
      </c>
      <c r="F23" t="s">
        <v>12</v>
      </c>
    </row>
    <row r="24" spans="1:9" ht="24" thickBot="1" x14ac:dyDescent="0.4">
      <c r="A24" s="10">
        <v>44491</v>
      </c>
      <c r="B24" s="139">
        <f t="shared" si="0"/>
        <v>17639686</v>
      </c>
      <c r="C24" s="50">
        <f t="shared" si="1"/>
        <v>0</v>
      </c>
      <c r="E24" t="s">
        <v>12</v>
      </c>
    </row>
    <row r="25" spans="1:9" ht="24" thickBot="1" x14ac:dyDescent="0.4">
      <c r="A25" s="10">
        <v>44492</v>
      </c>
      <c r="B25" s="139">
        <f t="shared" si="0"/>
        <v>17639686</v>
      </c>
      <c r="C25" s="50">
        <f t="shared" si="1"/>
        <v>0</v>
      </c>
    </row>
    <row r="26" spans="1:9" ht="24" thickBot="1" x14ac:dyDescent="0.4">
      <c r="A26" s="10">
        <v>44493</v>
      </c>
      <c r="B26" s="139">
        <f t="shared" si="0"/>
        <v>17639686</v>
      </c>
      <c r="C26" s="50">
        <f t="shared" si="1"/>
        <v>0</v>
      </c>
    </row>
    <row r="27" spans="1:9" ht="24" thickBot="1" x14ac:dyDescent="0.4">
      <c r="A27" s="10">
        <v>44494</v>
      </c>
      <c r="B27" s="139">
        <f t="shared" si="0"/>
        <v>17639686</v>
      </c>
      <c r="C27" s="50">
        <f t="shared" si="1"/>
        <v>0</v>
      </c>
    </row>
    <row r="28" spans="1:9" ht="24" thickBot="1" x14ac:dyDescent="0.4">
      <c r="A28" s="10">
        <v>44495</v>
      </c>
      <c r="B28" s="139">
        <f t="shared" si="0"/>
        <v>17639686</v>
      </c>
      <c r="C28" s="50">
        <f t="shared" si="1"/>
        <v>0</v>
      </c>
      <c r="I28" t="s">
        <v>12</v>
      </c>
    </row>
    <row r="29" spans="1:9" ht="24" thickBot="1" x14ac:dyDescent="0.4">
      <c r="A29" s="10">
        <v>44496</v>
      </c>
      <c r="B29" s="139">
        <f t="shared" si="0"/>
        <v>17639686</v>
      </c>
      <c r="C29" s="50">
        <f t="shared" si="1"/>
        <v>0</v>
      </c>
    </row>
    <row r="30" spans="1:9" ht="24" thickBot="1" x14ac:dyDescent="0.4">
      <c r="A30" s="10">
        <v>44497</v>
      </c>
      <c r="B30" s="139">
        <f t="shared" si="0"/>
        <v>17639686</v>
      </c>
      <c r="C30" s="50">
        <f t="shared" si="1"/>
        <v>0</v>
      </c>
    </row>
    <row r="31" spans="1:9" ht="24" thickBot="1" x14ac:dyDescent="0.4">
      <c r="A31" s="10">
        <v>44498</v>
      </c>
      <c r="B31" s="139">
        <f t="shared" si="0"/>
        <v>17639686</v>
      </c>
      <c r="C31" s="50">
        <f>IF((B31-B30)&lt;0,"0",(B31-B30))</f>
        <v>0</v>
      </c>
    </row>
    <row r="32" spans="1:9" ht="24" thickBot="1" x14ac:dyDescent="0.4">
      <c r="A32" s="10">
        <v>44499</v>
      </c>
      <c r="B32" s="139">
        <f t="shared" si="0"/>
        <v>17639686</v>
      </c>
      <c r="C32" s="50">
        <f>IF((B32-B31)&lt;0,"0",(B32-B31))</f>
        <v>0</v>
      </c>
    </row>
    <row r="33" spans="1:3" ht="24" thickBot="1" x14ac:dyDescent="0.4">
      <c r="A33" s="10">
        <v>44500</v>
      </c>
      <c r="B33" s="139">
        <f t="shared" si="0"/>
        <v>17639686</v>
      </c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2105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A3" sqref="A3:XFD3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143</v>
      </c>
      <c r="X1" s="176"/>
      <c r="Y1" s="176"/>
      <c r="Z1" s="176"/>
      <c r="AA1" s="176"/>
    </row>
    <row r="2" spans="1:27" ht="16.5" thickBot="1" x14ac:dyDescent="0.25">
      <c r="A2" s="10">
        <v>44469</v>
      </c>
      <c r="B2" s="170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6">
        <v>44469</v>
      </c>
      <c r="X2" s="167">
        <v>147954</v>
      </c>
      <c r="Y2" s="167">
        <f t="shared" ref="Y2" si="8">X2-X1</f>
        <v>147954</v>
      </c>
      <c r="Z2" s="167">
        <v>7438</v>
      </c>
      <c r="AA2" s="167">
        <f t="shared" ref="AA2" si="9">Z2-Z1</f>
        <v>7438</v>
      </c>
    </row>
    <row r="3" spans="1:27" ht="16.5" thickBot="1" x14ac:dyDescent="0.25">
      <c r="A3" s="10">
        <v>44470</v>
      </c>
      <c r="B3" s="170">
        <v>22354.960999999999</v>
      </c>
      <c r="C3" s="49">
        <f>IF((B3-B2)&lt;0,"0",(B3-B2))</f>
        <v>9.0279999999984284</v>
      </c>
      <c r="D3" s="33">
        <f t="shared" ref="D3:D33" si="10">C3*1.9*1000</f>
        <v>17153.199999997014</v>
      </c>
      <c r="E3" s="1">
        <v>3952.42</v>
      </c>
      <c r="F3" s="49">
        <f t="shared" ref="F3:F33" si="11">IF((E3-E2)&lt;0,"0",(E3-E2))</f>
        <v>1.6010000000001128</v>
      </c>
      <c r="G3" s="33">
        <f t="shared" ref="G3:G33" si="12">F3*1.9*1000</f>
        <v>3041.9000000002143</v>
      </c>
      <c r="H3" s="1">
        <v>4132</v>
      </c>
      <c r="I3" s="49">
        <f t="shared" ref="I3:I33" si="13">IF((H3-H2)&lt;0,"0",(H3-H2))</f>
        <v>5</v>
      </c>
      <c r="J3" s="33">
        <f t="shared" ref="J3:J33" si="14">I3*1.9*1000</f>
        <v>9500</v>
      </c>
      <c r="K3" s="7">
        <v>13737.72</v>
      </c>
      <c r="L3" s="49">
        <f t="shared" ref="L3:L33" si="15">IF((K3-K2)&lt;0,"0",(K3-K2))</f>
        <v>2.4599999999991269</v>
      </c>
      <c r="M3" s="33">
        <f t="shared" ref="M3:M33" si="16">L3*1.9*1000</f>
        <v>4673.9999999983411</v>
      </c>
      <c r="N3" s="7">
        <v>3244.1</v>
      </c>
      <c r="O3" s="49">
        <f t="shared" ref="O3:O33" si="17">IF((N3-N2)&lt;0,"0",(N3-N2))</f>
        <v>1.7100000000000364</v>
      </c>
      <c r="P3" s="33">
        <f t="shared" ref="P3:P33" si="18">O3*1.9*1000</f>
        <v>3249.0000000000691</v>
      </c>
      <c r="Q3" s="7">
        <v>5176.8500000000004</v>
      </c>
      <c r="R3" s="49">
        <f t="shared" ref="R3:R33" si="19">IF((Q3-Q2)&lt;0,"0",(Q3-Q2))</f>
        <v>1.9600000000000364</v>
      </c>
      <c r="S3" s="33">
        <f t="shared" ref="S3:S33" si="20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44471</v>
      </c>
      <c r="B4" s="170">
        <f t="shared" ref="B4:B33" si="21">B3</f>
        <v>22354.960999999999</v>
      </c>
      <c r="C4" s="49">
        <f t="shared" ref="C4:C32" si="22">IF((B4-B3)&lt;0,"0",(B4-B3))</f>
        <v>0</v>
      </c>
      <c r="D4" s="33">
        <f t="shared" si="10"/>
        <v>0</v>
      </c>
      <c r="E4" s="1">
        <f t="shared" ref="E4:E33" si="23">E3</f>
        <v>3952.42</v>
      </c>
      <c r="F4" s="49">
        <f t="shared" si="11"/>
        <v>0</v>
      </c>
      <c r="G4" s="33">
        <f t="shared" si="12"/>
        <v>0</v>
      </c>
      <c r="H4" s="1">
        <f t="shared" ref="H4:H33" si="24">H3</f>
        <v>4132</v>
      </c>
      <c r="I4" s="49">
        <f t="shared" si="13"/>
        <v>0</v>
      </c>
      <c r="J4" s="33">
        <f t="shared" si="14"/>
        <v>0</v>
      </c>
      <c r="K4" s="7">
        <f t="shared" ref="K4:K33" si="25">K3</f>
        <v>13737.72</v>
      </c>
      <c r="L4" s="49">
        <f t="shared" si="15"/>
        <v>0</v>
      </c>
      <c r="M4" s="33">
        <f t="shared" si="16"/>
        <v>0</v>
      </c>
      <c r="N4" s="7">
        <f t="shared" ref="N4:N33" si="26">N3</f>
        <v>3244.1</v>
      </c>
      <c r="O4" s="49">
        <f t="shared" si="17"/>
        <v>0</v>
      </c>
      <c r="P4" s="33">
        <f t="shared" si="18"/>
        <v>0</v>
      </c>
      <c r="Q4" s="7">
        <f t="shared" ref="Q4:Q33" si="27">Q3</f>
        <v>5176.8500000000004</v>
      </c>
      <c r="R4" s="49">
        <f t="shared" si="19"/>
        <v>0</v>
      </c>
      <c r="S4" s="33">
        <f t="shared" si="20"/>
        <v>0</v>
      </c>
      <c r="T4" s="8">
        <f>C4+F4+I4+L4+O4+R4</f>
        <v>0</v>
      </c>
      <c r="U4" s="35">
        <f t="shared" ref="U4:U33" si="28">T4*1.9*1000</f>
        <v>0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44472</v>
      </c>
      <c r="B5" s="170">
        <f t="shared" si="21"/>
        <v>22354.960999999999</v>
      </c>
      <c r="C5" s="49">
        <f t="shared" si="22"/>
        <v>0</v>
      </c>
      <c r="D5" s="33">
        <f t="shared" si="10"/>
        <v>0</v>
      </c>
      <c r="E5" s="1">
        <f t="shared" si="23"/>
        <v>3952.42</v>
      </c>
      <c r="F5" s="49">
        <f t="shared" si="11"/>
        <v>0</v>
      </c>
      <c r="G5" s="33">
        <f t="shared" si="12"/>
        <v>0</v>
      </c>
      <c r="H5" s="1">
        <f t="shared" si="24"/>
        <v>4132</v>
      </c>
      <c r="I5" s="49">
        <f t="shared" si="13"/>
        <v>0</v>
      </c>
      <c r="J5" s="33">
        <f t="shared" si="14"/>
        <v>0</v>
      </c>
      <c r="K5" s="7">
        <f t="shared" si="25"/>
        <v>13737.72</v>
      </c>
      <c r="L5" s="49">
        <f t="shared" si="15"/>
        <v>0</v>
      </c>
      <c r="M5" s="33">
        <f t="shared" si="16"/>
        <v>0</v>
      </c>
      <c r="N5" s="7">
        <f t="shared" si="26"/>
        <v>3244.1</v>
      </c>
      <c r="O5" s="49">
        <f t="shared" si="17"/>
        <v>0</v>
      </c>
      <c r="P5" s="33">
        <f t="shared" si="18"/>
        <v>0</v>
      </c>
      <c r="Q5" s="7">
        <f t="shared" si="27"/>
        <v>5176.8500000000004</v>
      </c>
      <c r="R5" s="49">
        <f t="shared" si="19"/>
        <v>0</v>
      </c>
      <c r="S5" s="33">
        <f t="shared" si="20"/>
        <v>0</v>
      </c>
      <c r="T5" s="8">
        <f>C5+F5+I5+L5+O5+R5</f>
        <v>0</v>
      </c>
      <c r="U5" s="35">
        <f t="shared" si="28"/>
        <v>0</v>
      </c>
      <c r="W5" s="166">
        <v>44442</v>
      </c>
      <c r="X5" s="167">
        <v>142415</v>
      </c>
      <c r="Y5" s="167">
        <f t="shared" ref="Y5:Y33" si="29">X5-X4</f>
        <v>252</v>
      </c>
      <c r="Z5" s="167">
        <v>7199</v>
      </c>
      <c r="AA5" s="167">
        <f t="shared" ref="AA5:AA33" si="30">Z5-Z4</f>
        <v>4</v>
      </c>
    </row>
    <row r="6" spans="1:27" ht="16.5" thickBot="1" x14ac:dyDescent="0.25">
      <c r="A6" s="10">
        <v>44473</v>
      </c>
      <c r="B6" s="170">
        <f t="shared" si="21"/>
        <v>22354.960999999999</v>
      </c>
      <c r="C6" s="49">
        <f t="shared" si="22"/>
        <v>0</v>
      </c>
      <c r="D6" s="33">
        <f t="shared" si="10"/>
        <v>0</v>
      </c>
      <c r="E6" s="1">
        <f t="shared" si="23"/>
        <v>3952.42</v>
      </c>
      <c r="F6" s="49">
        <f t="shared" si="11"/>
        <v>0</v>
      </c>
      <c r="G6" s="33">
        <f t="shared" si="12"/>
        <v>0</v>
      </c>
      <c r="H6" s="1">
        <f t="shared" si="24"/>
        <v>4132</v>
      </c>
      <c r="I6" s="49">
        <f t="shared" si="13"/>
        <v>0</v>
      </c>
      <c r="J6" s="33">
        <f t="shared" si="14"/>
        <v>0</v>
      </c>
      <c r="K6" s="7">
        <f t="shared" si="25"/>
        <v>13737.72</v>
      </c>
      <c r="L6" s="49">
        <f t="shared" si="15"/>
        <v>0</v>
      </c>
      <c r="M6" s="33">
        <f t="shared" si="16"/>
        <v>0</v>
      </c>
      <c r="N6" s="7">
        <f t="shared" si="26"/>
        <v>3244.1</v>
      </c>
      <c r="O6" s="49">
        <f t="shared" si="17"/>
        <v>0</v>
      </c>
      <c r="P6" s="33">
        <f t="shared" si="18"/>
        <v>0</v>
      </c>
      <c r="Q6" s="7">
        <f t="shared" si="27"/>
        <v>5176.8500000000004</v>
      </c>
      <c r="R6" s="49">
        <f t="shared" si="19"/>
        <v>0</v>
      </c>
      <c r="S6" s="33">
        <f t="shared" si="20"/>
        <v>0</v>
      </c>
      <c r="T6" s="8">
        <f t="shared" ref="T6:T33" si="31">C6+F6+I6+L6+O6+R6</f>
        <v>0</v>
      </c>
      <c r="U6" s="35">
        <f t="shared" si="28"/>
        <v>0</v>
      </c>
      <c r="W6" s="166">
        <v>44443</v>
      </c>
      <c r="X6" s="167">
        <v>142677</v>
      </c>
      <c r="Y6" s="167">
        <f t="shared" si="29"/>
        <v>262</v>
      </c>
      <c r="Z6" s="167">
        <v>7204</v>
      </c>
      <c r="AA6" s="167"/>
    </row>
    <row r="7" spans="1:27" ht="16.5" thickBot="1" x14ac:dyDescent="0.25">
      <c r="A7" s="10">
        <v>44474</v>
      </c>
      <c r="B7" s="170">
        <f t="shared" si="21"/>
        <v>22354.960999999999</v>
      </c>
      <c r="C7" s="49">
        <f t="shared" si="22"/>
        <v>0</v>
      </c>
      <c r="D7" s="33">
        <f t="shared" si="10"/>
        <v>0</v>
      </c>
      <c r="E7" s="1">
        <f t="shared" si="23"/>
        <v>3952.42</v>
      </c>
      <c r="F7" s="49">
        <f t="shared" si="11"/>
        <v>0</v>
      </c>
      <c r="G7" s="33">
        <f t="shared" si="12"/>
        <v>0</v>
      </c>
      <c r="H7" s="1">
        <f t="shared" si="24"/>
        <v>4132</v>
      </c>
      <c r="I7" s="49">
        <f t="shared" si="13"/>
        <v>0</v>
      </c>
      <c r="J7" s="33">
        <f t="shared" si="14"/>
        <v>0</v>
      </c>
      <c r="K7" s="7">
        <f t="shared" si="25"/>
        <v>13737.72</v>
      </c>
      <c r="L7" s="49">
        <f t="shared" si="15"/>
        <v>0</v>
      </c>
      <c r="M7" s="33">
        <f t="shared" si="16"/>
        <v>0</v>
      </c>
      <c r="N7" s="7">
        <f t="shared" si="26"/>
        <v>3244.1</v>
      </c>
      <c r="O7" s="49">
        <f t="shared" si="17"/>
        <v>0</v>
      </c>
      <c r="P7" s="33">
        <f t="shared" si="18"/>
        <v>0</v>
      </c>
      <c r="Q7" s="7">
        <f t="shared" si="27"/>
        <v>5176.8500000000004</v>
      </c>
      <c r="R7" s="49">
        <f t="shared" si="19"/>
        <v>0</v>
      </c>
      <c r="S7" s="33">
        <f t="shared" si="20"/>
        <v>0</v>
      </c>
      <c r="T7" s="8">
        <f t="shared" si="31"/>
        <v>0</v>
      </c>
      <c r="U7" s="35">
        <f t="shared" si="28"/>
        <v>0</v>
      </c>
      <c r="W7" s="166">
        <v>44444</v>
      </c>
      <c r="X7" s="167">
        <v>142922</v>
      </c>
      <c r="Y7" s="167">
        <f t="shared" si="29"/>
        <v>245</v>
      </c>
      <c r="Z7" s="167">
        <v>7208</v>
      </c>
      <c r="AA7" s="167">
        <f t="shared" si="30"/>
        <v>4</v>
      </c>
    </row>
    <row r="8" spans="1:27" ht="16.5" thickBot="1" x14ac:dyDescent="0.25">
      <c r="A8" s="10">
        <v>44475</v>
      </c>
      <c r="B8" s="170">
        <f t="shared" si="21"/>
        <v>22354.960999999999</v>
      </c>
      <c r="C8" s="49">
        <f t="shared" si="22"/>
        <v>0</v>
      </c>
      <c r="D8" s="33">
        <f t="shared" si="10"/>
        <v>0</v>
      </c>
      <c r="E8" s="1">
        <f t="shared" si="23"/>
        <v>3952.42</v>
      </c>
      <c r="F8" s="49">
        <f t="shared" si="11"/>
        <v>0</v>
      </c>
      <c r="G8" s="33">
        <f t="shared" si="12"/>
        <v>0</v>
      </c>
      <c r="H8" s="1">
        <f t="shared" si="24"/>
        <v>4132</v>
      </c>
      <c r="I8" s="49">
        <f t="shared" si="13"/>
        <v>0</v>
      </c>
      <c r="J8" s="33">
        <f t="shared" si="14"/>
        <v>0</v>
      </c>
      <c r="K8" s="7">
        <f t="shared" si="25"/>
        <v>13737.72</v>
      </c>
      <c r="L8" s="49">
        <f t="shared" si="15"/>
        <v>0</v>
      </c>
      <c r="M8" s="33">
        <f t="shared" si="16"/>
        <v>0</v>
      </c>
      <c r="N8" s="7">
        <f t="shared" si="26"/>
        <v>3244.1</v>
      </c>
      <c r="O8" s="49">
        <f t="shared" si="17"/>
        <v>0</v>
      </c>
      <c r="P8" s="33">
        <f t="shared" si="18"/>
        <v>0</v>
      </c>
      <c r="Q8" s="7">
        <f t="shared" si="27"/>
        <v>5176.8500000000004</v>
      </c>
      <c r="R8" s="49">
        <f t="shared" si="19"/>
        <v>0</v>
      </c>
      <c r="S8" s="33">
        <f t="shared" si="20"/>
        <v>0</v>
      </c>
      <c r="T8" s="8">
        <f t="shared" si="31"/>
        <v>0</v>
      </c>
      <c r="U8" s="35">
        <f t="shared" si="28"/>
        <v>0</v>
      </c>
      <c r="W8" s="166">
        <v>44445</v>
      </c>
      <c r="X8" s="167">
        <v>142922</v>
      </c>
      <c r="Y8" s="167">
        <f t="shared" si="29"/>
        <v>0</v>
      </c>
      <c r="Z8" s="167">
        <v>7208</v>
      </c>
      <c r="AA8" s="167">
        <f t="shared" si="30"/>
        <v>0</v>
      </c>
    </row>
    <row r="9" spans="1:27" ht="16.5" thickBot="1" x14ac:dyDescent="0.25">
      <c r="A9" s="10">
        <v>44476</v>
      </c>
      <c r="B9" s="170">
        <f t="shared" si="21"/>
        <v>22354.960999999999</v>
      </c>
      <c r="C9" s="49">
        <f t="shared" si="22"/>
        <v>0</v>
      </c>
      <c r="D9" s="33">
        <f t="shared" si="10"/>
        <v>0</v>
      </c>
      <c r="E9" s="1">
        <f t="shared" si="23"/>
        <v>3952.42</v>
      </c>
      <c r="F9" s="49">
        <f t="shared" si="11"/>
        <v>0</v>
      </c>
      <c r="G9" s="33">
        <f t="shared" si="12"/>
        <v>0</v>
      </c>
      <c r="H9" s="1">
        <f t="shared" si="24"/>
        <v>4132</v>
      </c>
      <c r="I9" s="49">
        <f t="shared" si="13"/>
        <v>0</v>
      </c>
      <c r="J9" s="33">
        <f t="shared" si="14"/>
        <v>0</v>
      </c>
      <c r="K9" s="7">
        <f t="shared" si="25"/>
        <v>13737.72</v>
      </c>
      <c r="L9" s="49">
        <f t="shared" si="15"/>
        <v>0</v>
      </c>
      <c r="M9" s="33">
        <f t="shared" si="16"/>
        <v>0</v>
      </c>
      <c r="N9" s="7">
        <f t="shared" si="26"/>
        <v>3244.1</v>
      </c>
      <c r="O9" s="49">
        <f t="shared" si="17"/>
        <v>0</v>
      </c>
      <c r="P9" s="33">
        <f t="shared" si="18"/>
        <v>0</v>
      </c>
      <c r="Q9" s="7">
        <f t="shared" si="27"/>
        <v>5176.8500000000004</v>
      </c>
      <c r="R9" s="49">
        <f t="shared" si="19"/>
        <v>0</v>
      </c>
      <c r="S9" s="33">
        <f t="shared" si="20"/>
        <v>0</v>
      </c>
      <c r="T9" s="8">
        <f t="shared" si="31"/>
        <v>0</v>
      </c>
      <c r="U9" s="35">
        <f t="shared" si="28"/>
        <v>0</v>
      </c>
      <c r="W9" s="166">
        <v>44446</v>
      </c>
      <c r="X9" s="167">
        <v>143117</v>
      </c>
      <c r="Y9" s="167">
        <f t="shared" si="29"/>
        <v>195</v>
      </c>
      <c r="Z9" s="167">
        <v>7218</v>
      </c>
      <c r="AA9" s="167">
        <f t="shared" si="30"/>
        <v>10</v>
      </c>
    </row>
    <row r="10" spans="1:27" ht="16.5" thickBot="1" x14ac:dyDescent="0.25">
      <c r="A10" s="10">
        <v>44477</v>
      </c>
      <c r="B10" s="170">
        <f t="shared" si="21"/>
        <v>22354.960999999999</v>
      </c>
      <c r="C10" s="49">
        <f t="shared" si="22"/>
        <v>0</v>
      </c>
      <c r="D10" s="33">
        <f t="shared" si="10"/>
        <v>0</v>
      </c>
      <c r="E10" s="1">
        <f t="shared" si="23"/>
        <v>3952.42</v>
      </c>
      <c r="F10" s="49">
        <f t="shared" si="11"/>
        <v>0</v>
      </c>
      <c r="G10" s="33">
        <f t="shared" si="12"/>
        <v>0</v>
      </c>
      <c r="H10" s="1">
        <f t="shared" si="24"/>
        <v>4132</v>
      </c>
      <c r="I10" s="49">
        <f t="shared" si="13"/>
        <v>0</v>
      </c>
      <c r="J10" s="33">
        <f t="shared" si="14"/>
        <v>0</v>
      </c>
      <c r="K10" s="7">
        <f t="shared" si="25"/>
        <v>13737.72</v>
      </c>
      <c r="L10" s="49">
        <f t="shared" si="15"/>
        <v>0</v>
      </c>
      <c r="M10" s="33">
        <f t="shared" si="16"/>
        <v>0</v>
      </c>
      <c r="N10" s="7">
        <f t="shared" si="26"/>
        <v>3244.1</v>
      </c>
      <c r="O10" s="49">
        <f t="shared" si="17"/>
        <v>0</v>
      </c>
      <c r="P10" s="33">
        <f t="shared" si="18"/>
        <v>0</v>
      </c>
      <c r="Q10" s="7">
        <f t="shared" si="27"/>
        <v>5176.8500000000004</v>
      </c>
      <c r="R10" s="49">
        <f t="shared" si="19"/>
        <v>0</v>
      </c>
      <c r="S10" s="33">
        <f t="shared" si="20"/>
        <v>0</v>
      </c>
      <c r="T10" s="8">
        <f t="shared" si="31"/>
        <v>0</v>
      </c>
      <c r="U10" s="35">
        <f t="shared" si="28"/>
        <v>0</v>
      </c>
      <c r="W10" s="166">
        <v>44447</v>
      </c>
      <c r="X10" s="167">
        <v>143130</v>
      </c>
      <c r="Y10" s="167">
        <f t="shared" si="29"/>
        <v>13</v>
      </c>
      <c r="Z10" s="167">
        <v>7227</v>
      </c>
      <c r="AA10" s="167">
        <f t="shared" si="30"/>
        <v>9</v>
      </c>
    </row>
    <row r="11" spans="1:27" ht="16.5" thickBot="1" x14ac:dyDescent="0.25">
      <c r="A11" s="10">
        <v>44478</v>
      </c>
      <c r="B11" s="170">
        <f t="shared" si="21"/>
        <v>22354.960999999999</v>
      </c>
      <c r="C11" s="49">
        <f t="shared" si="22"/>
        <v>0</v>
      </c>
      <c r="D11" s="33">
        <f t="shared" si="10"/>
        <v>0</v>
      </c>
      <c r="E11" s="1">
        <f t="shared" si="23"/>
        <v>3952.42</v>
      </c>
      <c r="F11" s="49">
        <f t="shared" si="11"/>
        <v>0</v>
      </c>
      <c r="G11" s="33">
        <f t="shared" si="12"/>
        <v>0</v>
      </c>
      <c r="H11" s="1">
        <f t="shared" si="24"/>
        <v>4132</v>
      </c>
      <c r="I11" s="49">
        <f t="shared" si="13"/>
        <v>0</v>
      </c>
      <c r="J11" s="33">
        <f t="shared" si="14"/>
        <v>0</v>
      </c>
      <c r="K11" s="7">
        <f t="shared" si="25"/>
        <v>13737.72</v>
      </c>
      <c r="L11" s="49">
        <f t="shared" si="15"/>
        <v>0</v>
      </c>
      <c r="M11" s="33">
        <f t="shared" si="16"/>
        <v>0</v>
      </c>
      <c r="N11" s="7">
        <f t="shared" si="26"/>
        <v>3244.1</v>
      </c>
      <c r="O11" s="49">
        <f t="shared" si="17"/>
        <v>0</v>
      </c>
      <c r="P11" s="33">
        <f t="shared" si="18"/>
        <v>0</v>
      </c>
      <c r="Q11" s="7">
        <f t="shared" si="27"/>
        <v>5176.8500000000004</v>
      </c>
      <c r="R11" s="49">
        <f t="shared" si="19"/>
        <v>0</v>
      </c>
      <c r="S11" s="33">
        <f t="shared" si="20"/>
        <v>0</v>
      </c>
      <c r="T11" s="8">
        <f t="shared" si="31"/>
        <v>0</v>
      </c>
      <c r="U11" s="35">
        <f t="shared" si="28"/>
        <v>0</v>
      </c>
      <c r="W11" s="166">
        <v>44448</v>
      </c>
      <c r="X11" s="167">
        <v>143254</v>
      </c>
      <c r="Y11" s="167">
        <f t="shared" si="29"/>
        <v>124</v>
      </c>
      <c r="Z11" s="167">
        <v>7238</v>
      </c>
      <c r="AA11" s="167">
        <f t="shared" si="30"/>
        <v>11</v>
      </c>
    </row>
    <row r="12" spans="1:27" ht="16.5" thickBot="1" x14ac:dyDescent="0.25">
      <c r="A12" s="10">
        <v>44479</v>
      </c>
      <c r="B12" s="170">
        <f t="shared" si="21"/>
        <v>22354.960999999999</v>
      </c>
      <c r="C12" s="49">
        <f t="shared" si="22"/>
        <v>0</v>
      </c>
      <c r="D12" s="33">
        <f t="shared" si="10"/>
        <v>0</v>
      </c>
      <c r="E12" s="1">
        <f t="shared" si="23"/>
        <v>3952.42</v>
      </c>
      <c r="F12" s="49">
        <f t="shared" si="11"/>
        <v>0</v>
      </c>
      <c r="G12" s="33">
        <f t="shared" si="12"/>
        <v>0</v>
      </c>
      <c r="H12" s="1">
        <f t="shared" si="24"/>
        <v>4132</v>
      </c>
      <c r="I12" s="49">
        <f t="shared" si="13"/>
        <v>0</v>
      </c>
      <c r="J12" s="33">
        <f t="shared" si="14"/>
        <v>0</v>
      </c>
      <c r="K12" s="7">
        <f t="shared" si="25"/>
        <v>13737.72</v>
      </c>
      <c r="L12" s="49">
        <f t="shared" si="15"/>
        <v>0</v>
      </c>
      <c r="M12" s="33">
        <f t="shared" si="16"/>
        <v>0</v>
      </c>
      <c r="N12" s="7">
        <f t="shared" si="26"/>
        <v>3244.1</v>
      </c>
      <c r="O12" s="49">
        <f t="shared" si="17"/>
        <v>0</v>
      </c>
      <c r="P12" s="33">
        <f t="shared" si="18"/>
        <v>0</v>
      </c>
      <c r="Q12" s="7">
        <f t="shared" si="27"/>
        <v>5176.8500000000004</v>
      </c>
      <c r="R12" s="49">
        <f t="shared" si="19"/>
        <v>0</v>
      </c>
      <c r="S12" s="33">
        <f t="shared" si="20"/>
        <v>0</v>
      </c>
      <c r="T12" s="8">
        <f t="shared" si="31"/>
        <v>0</v>
      </c>
      <c r="U12" s="35">
        <f t="shared" si="28"/>
        <v>0</v>
      </c>
      <c r="W12" s="166">
        <v>44449</v>
      </c>
      <c r="X12" s="167">
        <v>143475</v>
      </c>
      <c r="Y12" s="167">
        <f t="shared" si="29"/>
        <v>221</v>
      </c>
      <c r="Z12" s="167">
        <v>7248</v>
      </c>
      <c r="AA12" s="167">
        <f t="shared" si="30"/>
        <v>10</v>
      </c>
    </row>
    <row r="13" spans="1:27" ht="16.5" thickBot="1" x14ac:dyDescent="0.25">
      <c r="A13" s="10">
        <v>44480</v>
      </c>
      <c r="B13" s="170">
        <f t="shared" si="21"/>
        <v>22354.960999999999</v>
      </c>
      <c r="C13" s="49">
        <f t="shared" si="22"/>
        <v>0</v>
      </c>
      <c r="D13" s="33">
        <f t="shared" si="10"/>
        <v>0</v>
      </c>
      <c r="E13" s="1">
        <f t="shared" si="23"/>
        <v>3952.42</v>
      </c>
      <c r="F13" s="49">
        <f t="shared" si="11"/>
        <v>0</v>
      </c>
      <c r="G13" s="33">
        <f t="shared" si="12"/>
        <v>0</v>
      </c>
      <c r="H13" s="1">
        <f t="shared" si="24"/>
        <v>4132</v>
      </c>
      <c r="I13" s="49">
        <f t="shared" si="13"/>
        <v>0</v>
      </c>
      <c r="J13" s="33">
        <f t="shared" si="14"/>
        <v>0</v>
      </c>
      <c r="K13" s="7">
        <f t="shared" si="25"/>
        <v>13737.72</v>
      </c>
      <c r="L13" s="49">
        <f t="shared" si="15"/>
        <v>0</v>
      </c>
      <c r="M13" s="33">
        <f t="shared" si="16"/>
        <v>0</v>
      </c>
      <c r="N13" s="7">
        <f t="shared" si="26"/>
        <v>3244.1</v>
      </c>
      <c r="O13" s="49">
        <f t="shared" si="17"/>
        <v>0</v>
      </c>
      <c r="P13" s="33">
        <f t="shared" si="18"/>
        <v>0</v>
      </c>
      <c r="Q13" s="7">
        <f t="shared" si="27"/>
        <v>5176.8500000000004</v>
      </c>
      <c r="R13" s="49">
        <f t="shared" si="19"/>
        <v>0</v>
      </c>
      <c r="S13" s="33">
        <f t="shared" si="20"/>
        <v>0</v>
      </c>
      <c r="T13" s="8">
        <f t="shared" si="31"/>
        <v>0</v>
      </c>
      <c r="U13" s="35">
        <f t="shared" si="28"/>
        <v>0</v>
      </c>
      <c r="W13" s="166">
        <v>44450</v>
      </c>
      <c r="X13" s="167">
        <v>143475</v>
      </c>
      <c r="Y13" s="167">
        <f t="shared" si="29"/>
        <v>0</v>
      </c>
      <c r="Z13" s="167">
        <v>7248</v>
      </c>
      <c r="AA13" s="167">
        <f t="shared" si="30"/>
        <v>0</v>
      </c>
    </row>
    <row r="14" spans="1:27" ht="16.5" thickBot="1" x14ac:dyDescent="0.25">
      <c r="A14" s="10">
        <v>44481</v>
      </c>
      <c r="B14" s="170">
        <f t="shared" si="21"/>
        <v>22354.960999999999</v>
      </c>
      <c r="C14" s="49">
        <f t="shared" si="22"/>
        <v>0</v>
      </c>
      <c r="D14" s="33">
        <f t="shared" si="10"/>
        <v>0</v>
      </c>
      <c r="E14" s="1">
        <f t="shared" si="23"/>
        <v>3952.42</v>
      </c>
      <c r="F14" s="49">
        <f t="shared" si="11"/>
        <v>0</v>
      </c>
      <c r="G14" s="33">
        <f t="shared" si="12"/>
        <v>0</v>
      </c>
      <c r="H14" s="1">
        <f t="shared" si="24"/>
        <v>4132</v>
      </c>
      <c r="I14" s="49">
        <f t="shared" si="13"/>
        <v>0</v>
      </c>
      <c r="J14" s="33">
        <f t="shared" si="14"/>
        <v>0</v>
      </c>
      <c r="K14" s="7">
        <f t="shared" si="25"/>
        <v>13737.72</v>
      </c>
      <c r="L14" s="49">
        <f t="shared" si="15"/>
        <v>0</v>
      </c>
      <c r="M14" s="33">
        <f t="shared" si="16"/>
        <v>0</v>
      </c>
      <c r="N14" s="7">
        <f t="shared" si="26"/>
        <v>3244.1</v>
      </c>
      <c r="O14" s="49">
        <f t="shared" si="17"/>
        <v>0</v>
      </c>
      <c r="P14" s="33">
        <f t="shared" si="18"/>
        <v>0</v>
      </c>
      <c r="Q14" s="7">
        <f t="shared" si="27"/>
        <v>5176.8500000000004</v>
      </c>
      <c r="R14" s="49">
        <f t="shared" si="19"/>
        <v>0</v>
      </c>
      <c r="S14" s="33">
        <f t="shared" si="20"/>
        <v>0</v>
      </c>
      <c r="T14" s="8">
        <f t="shared" si="31"/>
        <v>0</v>
      </c>
      <c r="U14" s="35">
        <f t="shared" si="28"/>
        <v>0</v>
      </c>
      <c r="W14" s="166">
        <v>44451</v>
      </c>
      <c r="X14" s="167">
        <v>143475</v>
      </c>
      <c r="Y14" s="167">
        <f t="shared" si="29"/>
        <v>0</v>
      </c>
      <c r="Z14" s="167">
        <v>7248</v>
      </c>
      <c r="AA14" s="167">
        <f t="shared" si="30"/>
        <v>0</v>
      </c>
    </row>
    <row r="15" spans="1:27" ht="16.5" thickBot="1" x14ac:dyDescent="0.25">
      <c r="A15" s="10">
        <v>44482</v>
      </c>
      <c r="B15" s="170">
        <f t="shared" si="21"/>
        <v>22354.960999999999</v>
      </c>
      <c r="C15" s="49">
        <f t="shared" si="22"/>
        <v>0</v>
      </c>
      <c r="D15" s="33">
        <f t="shared" si="10"/>
        <v>0</v>
      </c>
      <c r="E15" s="1">
        <f t="shared" si="23"/>
        <v>3952.42</v>
      </c>
      <c r="F15" s="49">
        <f t="shared" si="11"/>
        <v>0</v>
      </c>
      <c r="G15" s="33">
        <f t="shared" si="12"/>
        <v>0</v>
      </c>
      <c r="H15" s="1">
        <f t="shared" si="24"/>
        <v>4132</v>
      </c>
      <c r="I15" s="49">
        <f t="shared" si="13"/>
        <v>0</v>
      </c>
      <c r="J15" s="33">
        <f t="shared" si="14"/>
        <v>0</v>
      </c>
      <c r="K15" s="7">
        <f t="shared" si="25"/>
        <v>13737.72</v>
      </c>
      <c r="L15" s="49">
        <f t="shared" si="15"/>
        <v>0</v>
      </c>
      <c r="M15" s="33">
        <f t="shared" si="16"/>
        <v>0</v>
      </c>
      <c r="N15" s="7">
        <f t="shared" si="26"/>
        <v>3244.1</v>
      </c>
      <c r="O15" s="49">
        <f t="shared" si="17"/>
        <v>0</v>
      </c>
      <c r="P15" s="33">
        <f t="shared" si="18"/>
        <v>0</v>
      </c>
      <c r="Q15" s="7">
        <f t="shared" si="27"/>
        <v>5176.8500000000004</v>
      </c>
      <c r="R15" s="49">
        <f t="shared" si="19"/>
        <v>0</v>
      </c>
      <c r="S15" s="33">
        <f t="shared" si="20"/>
        <v>0</v>
      </c>
      <c r="T15" s="8">
        <f t="shared" si="31"/>
        <v>0</v>
      </c>
      <c r="U15" s="35">
        <f t="shared" si="28"/>
        <v>0</v>
      </c>
      <c r="W15" s="166">
        <v>44452</v>
      </c>
      <c r="X15" s="167">
        <v>143475</v>
      </c>
      <c r="Y15" s="167">
        <f t="shared" si="29"/>
        <v>0</v>
      </c>
      <c r="Z15" s="167">
        <v>7248</v>
      </c>
      <c r="AA15" s="167">
        <f t="shared" si="30"/>
        <v>0</v>
      </c>
    </row>
    <row r="16" spans="1:27" ht="16.5" thickBot="1" x14ac:dyDescent="0.25">
      <c r="A16" s="10">
        <v>44483</v>
      </c>
      <c r="B16" s="170">
        <f t="shared" si="21"/>
        <v>22354.960999999999</v>
      </c>
      <c r="C16" s="49">
        <f t="shared" si="22"/>
        <v>0</v>
      </c>
      <c r="D16" s="33">
        <f t="shared" si="10"/>
        <v>0</v>
      </c>
      <c r="E16" s="1">
        <f t="shared" si="23"/>
        <v>3952.42</v>
      </c>
      <c r="F16" s="49">
        <f t="shared" si="11"/>
        <v>0</v>
      </c>
      <c r="G16" s="33">
        <f t="shared" si="12"/>
        <v>0</v>
      </c>
      <c r="H16" s="1">
        <f t="shared" si="24"/>
        <v>4132</v>
      </c>
      <c r="I16" s="49">
        <f t="shared" si="13"/>
        <v>0</v>
      </c>
      <c r="J16" s="33">
        <f t="shared" si="14"/>
        <v>0</v>
      </c>
      <c r="K16" s="7">
        <f t="shared" si="25"/>
        <v>13737.72</v>
      </c>
      <c r="L16" s="49">
        <f t="shared" si="15"/>
        <v>0</v>
      </c>
      <c r="M16" s="33">
        <f t="shared" si="16"/>
        <v>0</v>
      </c>
      <c r="N16" s="7">
        <f t="shared" si="26"/>
        <v>3244.1</v>
      </c>
      <c r="O16" s="49">
        <f t="shared" si="17"/>
        <v>0</v>
      </c>
      <c r="P16" s="33">
        <f t="shared" si="18"/>
        <v>0</v>
      </c>
      <c r="Q16" s="7">
        <f t="shared" si="27"/>
        <v>5176.8500000000004</v>
      </c>
      <c r="R16" s="49">
        <f t="shared" si="19"/>
        <v>0</v>
      </c>
      <c r="S16" s="33">
        <f t="shared" si="20"/>
        <v>0</v>
      </c>
      <c r="T16" s="8">
        <f t="shared" si="31"/>
        <v>0</v>
      </c>
      <c r="U16" s="35">
        <f t="shared" si="28"/>
        <v>0</v>
      </c>
      <c r="W16" s="166">
        <v>44453</v>
      </c>
      <c r="X16" s="167">
        <v>143475</v>
      </c>
      <c r="Y16" s="167">
        <f t="shared" si="29"/>
        <v>0</v>
      </c>
      <c r="Z16" s="167">
        <v>7248</v>
      </c>
      <c r="AA16" s="167">
        <f t="shared" si="30"/>
        <v>0</v>
      </c>
    </row>
    <row r="17" spans="1:27" ht="16.5" thickBot="1" x14ac:dyDescent="0.25">
      <c r="A17" s="10">
        <v>44484</v>
      </c>
      <c r="B17" s="170">
        <f t="shared" si="21"/>
        <v>22354.960999999999</v>
      </c>
      <c r="C17" s="49">
        <f t="shared" si="22"/>
        <v>0</v>
      </c>
      <c r="D17" s="33">
        <f t="shared" si="10"/>
        <v>0</v>
      </c>
      <c r="E17" s="1">
        <f t="shared" si="23"/>
        <v>3952.42</v>
      </c>
      <c r="F17" s="49">
        <f t="shared" si="11"/>
        <v>0</v>
      </c>
      <c r="G17" s="33">
        <f t="shared" si="12"/>
        <v>0</v>
      </c>
      <c r="H17" s="1">
        <f t="shared" si="24"/>
        <v>4132</v>
      </c>
      <c r="I17" s="49">
        <f t="shared" si="13"/>
        <v>0</v>
      </c>
      <c r="J17" s="33">
        <f t="shared" si="14"/>
        <v>0</v>
      </c>
      <c r="K17" s="7">
        <f t="shared" si="25"/>
        <v>13737.72</v>
      </c>
      <c r="L17" s="49">
        <f t="shared" si="15"/>
        <v>0</v>
      </c>
      <c r="M17" s="33">
        <f t="shared" si="16"/>
        <v>0</v>
      </c>
      <c r="N17" s="7">
        <f t="shared" si="26"/>
        <v>3244.1</v>
      </c>
      <c r="O17" s="49">
        <f t="shared" si="17"/>
        <v>0</v>
      </c>
      <c r="P17" s="33">
        <f t="shared" si="18"/>
        <v>0</v>
      </c>
      <c r="Q17" s="7">
        <f t="shared" si="27"/>
        <v>5176.8500000000004</v>
      </c>
      <c r="R17" s="49">
        <f t="shared" si="19"/>
        <v>0</v>
      </c>
      <c r="S17" s="33">
        <f t="shared" si="20"/>
        <v>0</v>
      </c>
      <c r="T17" s="8">
        <f t="shared" si="31"/>
        <v>0</v>
      </c>
      <c r="U17" s="35">
        <f t="shared" si="28"/>
        <v>0</v>
      </c>
      <c r="W17" s="166">
        <v>44454</v>
      </c>
      <c r="X17" s="167">
        <v>143475</v>
      </c>
      <c r="Y17" s="167">
        <f t="shared" si="29"/>
        <v>0</v>
      </c>
      <c r="Z17" s="167">
        <v>7248</v>
      </c>
      <c r="AA17" s="167">
        <f t="shared" si="30"/>
        <v>0</v>
      </c>
    </row>
    <row r="18" spans="1:27" ht="16.5" thickBot="1" x14ac:dyDescent="0.25">
      <c r="A18" s="10">
        <v>44485</v>
      </c>
      <c r="B18" s="170">
        <f t="shared" si="21"/>
        <v>22354.960999999999</v>
      </c>
      <c r="C18" s="49">
        <f t="shared" si="22"/>
        <v>0</v>
      </c>
      <c r="D18" s="33">
        <f t="shared" si="10"/>
        <v>0</v>
      </c>
      <c r="E18" s="1">
        <f t="shared" si="23"/>
        <v>3952.42</v>
      </c>
      <c r="F18" s="49">
        <f t="shared" si="11"/>
        <v>0</v>
      </c>
      <c r="G18" s="33">
        <f t="shared" si="12"/>
        <v>0</v>
      </c>
      <c r="H18" s="1">
        <f t="shared" si="24"/>
        <v>4132</v>
      </c>
      <c r="I18" s="49">
        <f t="shared" si="13"/>
        <v>0</v>
      </c>
      <c r="J18" s="33">
        <f t="shared" si="14"/>
        <v>0</v>
      </c>
      <c r="K18" s="7">
        <f t="shared" si="25"/>
        <v>13737.72</v>
      </c>
      <c r="L18" s="49">
        <f t="shared" si="15"/>
        <v>0</v>
      </c>
      <c r="M18" s="33">
        <f t="shared" si="16"/>
        <v>0</v>
      </c>
      <c r="N18" s="7">
        <f t="shared" si="26"/>
        <v>3244.1</v>
      </c>
      <c r="O18" s="49">
        <f t="shared" si="17"/>
        <v>0</v>
      </c>
      <c r="P18" s="33">
        <f t="shared" si="18"/>
        <v>0</v>
      </c>
      <c r="Q18" s="7">
        <f t="shared" si="27"/>
        <v>5176.8500000000004</v>
      </c>
      <c r="R18" s="49">
        <f t="shared" si="19"/>
        <v>0</v>
      </c>
      <c r="S18" s="33">
        <f t="shared" si="20"/>
        <v>0</v>
      </c>
      <c r="T18" s="8">
        <f t="shared" si="31"/>
        <v>0</v>
      </c>
      <c r="U18" s="35">
        <f t="shared" si="28"/>
        <v>0</v>
      </c>
      <c r="W18" s="166">
        <v>44455</v>
      </c>
      <c r="X18" s="167">
        <v>143475</v>
      </c>
      <c r="Y18" s="167">
        <f t="shared" si="29"/>
        <v>0</v>
      </c>
      <c r="Z18" s="167">
        <v>7248</v>
      </c>
      <c r="AA18" s="167">
        <f t="shared" si="30"/>
        <v>0</v>
      </c>
    </row>
    <row r="19" spans="1:27" ht="16.5" thickBot="1" x14ac:dyDescent="0.25">
      <c r="A19" s="10">
        <v>44486</v>
      </c>
      <c r="B19" s="170">
        <f t="shared" si="21"/>
        <v>22354.960999999999</v>
      </c>
      <c r="C19" s="49">
        <f t="shared" si="22"/>
        <v>0</v>
      </c>
      <c r="D19" s="33">
        <f t="shared" si="10"/>
        <v>0</v>
      </c>
      <c r="E19" s="1">
        <f t="shared" si="23"/>
        <v>3952.42</v>
      </c>
      <c r="F19" s="49">
        <f t="shared" si="11"/>
        <v>0</v>
      </c>
      <c r="G19" s="33">
        <f t="shared" si="12"/>
        <v>0</v>
      </c>
      <c r="H19" s="1">
        <f t="shared" si="24"/>
        <v>4132</v>
      </c>
      <c r="I19" s="49">
        <f t="shared" si="13"/>
        <v>0</v>
      </c>
      <c r="J19" s="33">
        <f t="shared" si="14"/>
        <v>0</v>
      </c>
      <c r="K19" s="7">
        <f t="shared" si="25"/>
        <v>13737.72</v>
      </c>
      <c r="L19" s="49">
        <f t="shared" si="15"/>
        <v>0</v>
      </c>
      <c r="M19" s="33">
        <f t="shared" si="16"/>
        <v>0</v>
      </c>
      <c r="N19" s="7">
        <f t="shared" si="26"/>
        <v>3244.1</v>
      </c>
      <c r="O19" s="49">
        <f t="shared" si="17"/>
        <v>0</v>
      </c>
      <c r="P19" s="33">
        <f t="shared" si="18"/>
        <v>0</v>
      </c>
      <c r="Q19" s="7">
        <f t="shared" si="27"/>
        <v>5176.8500000000004</v>
      </c>
      <c r="R19" s="49">
        <f t="shared" si="19"/>
        <v>0</v>
      </c>
      <c r="S19" s="33">
        <f t="shared" si="20"/>
        <v>0</v>
      </c>
      <c r="T19" s="8">
        <f t="shared" si="31"/>
        <v>0</v>
      </c>
      <c r="U19" s="35">
        <f t="shared" si="28"/>
        <v>0</v>
      </c>
      <c r="W19" s="166">
        <v>44456</v>
      </c>
      <c r="X19" s="167">
        <v>143475</v>
      </c>
      <c r="Y19" s="167">
        <f t="shared" si="29"/>
        <v>0</v>
      </c>
      <c r="Z19" s="167">
        <v>7248</v>
      </c>
      <c r="AA19" s="167">
        <f t="shared" si="30"/>
        <v>0</v>
      </c>
    </row>
    <row r="20" spans="1:27" ht="16.5" thickBot="1" x14ac:dyDescent="0.25">
      <c r="A20" s="10">
        <v>44487</v>
      </c>
      <c r="B20" s="170">
        <f t="shared" si="21"/>
        <v>22354.960999999999</v>
      </c>
      <c r="C20" s="49">
        <f t="shared" si="22"/>
        <v>0</v>
      </c>
      <c r="D20" s="33">
        <f t="shared" si="10"/>
        <v>0</v>
      </c>
      <c r="E20" s="1">
        <f t="shared" si="23"/>
        <v>3952.42</v>
      </c>
      <c r="F20" s="49">
        <f t="shared" si="11"/>
        <v>0</v>
      </c>
      <c r="G20" s="33">
        <f t="shared" si="12"/>
        <v>0</v>
      </c>
      <c r="H20" s="1">
        <f t="shared" si="24"/>
        <v>4132</v>
      </c>
      <c r="I20" s="49">
        <f t="shared" si="13"/>
        <v>0</v>
      </c>
      <c r="J20" s="33">
        <f t="shared" si="14"/>
        <v>0</v>
      </c>
      <c r="K20" s="7">
        <f t="shared" si="25"/>
        <v>13737.72</v>
      </c>
      <c r="L20" s="49">
        <f t="shared" si="15"/>
        <v>0</v>
      </c>
      <c r="M20" s="33">
        <f t="shared" si="16"/>
        <v>0</v>
      </c>
      <c r="N20" s="7">
        <f t="shared" si="26"/>
        <v>3244.1</v>
      </c>
      <c r="O20" s="49">
        <f t="shared" si="17"/>
        <v>0</v>
      </c>
      <c r="P20" s="33">
        <f t="shared" si="18"/>
        <v>0</v>
      </c>
      <c r="Q20" s="7">
        <f t="shared" si="27"/>
        <v>5176.8500000000004</v>
      </c>
      <c r="R20" s="49">
        <f t="shared" si="19"/>
        <v>0</v>
      </c>
      <c r="S20" s="33">
        <f t="shared" si="20"/>
        <v>0</v>
      </c>
      <c r="T20" s="8">
        <f t="shared" si="31"/>
        <v>0</v>
      </c>
      <c r="U20" s="35">
        <f t="shared" si="28"/>
        <v>0</v>
      </c>
      <c r="W20" s="166">
        <v>44457</v>
      </c>
      <c r="X20" s="167">
        <v>145389</v>
      </c>
      <c r="Y20" s="167">
        <f t="shared" si="29"/>
        <v>1914</v>
      </c>
      <c r="Z20" s="167">
        <v>7307</v>
      </c>
      <c r="AA20" s="167">
        <f t="shared" si="30"/>
        <v>59</v>
      </c>
    </row>
    <row r="21" spans="1:27" ht="16.5" thickBot="1" x14ac:dyDescent="0.25">
      <c r="A21" s="10">
        <v>44488</v>
      </c>
      <c r="B21" s="170">
        <f t="shared" si="21"/>
        <v>22354.960999999999</v>
      </c>
      <c r="C21" s="49">
        <f t="shared" si="22"/>
        <v>0</v>
      </c>
      <c r="D21" s="33">
        <f t="shared" si="10"/>
        <v>0</v>
      </c>
      <c r="E21" s="1">
        <f t="shared" si="23"/>
        <v>3952.42</v>
      </c>
      <c r="F21" s="49">
        <f t="shared" si="11"/>
        <v>0</v>
      </c>
      <c r="G21" s="33">
        <f t="shared" si="12"/>
        <v>0</v>
      </c>
      <c r="H21" s="1">
        <f t="shared" si="24"/>
        <v>4132</v>
      </c>
      <c r="I21" s="49">
        <f t="shared" si="13"/>
        <v>0</v>
      </c>
      <c r="J21" s="33">
        <f t="shared" si="14"/>
        <v>0</v>
      </c>
      <c r="K21" s="7">
        <f t="shared" si="25"/>
        <v>13737.72</v>
      </c>
      <c r="L21" s="49">
        <f t="shared" si="15"/>
        <v>0</v>
      </c>
      <c r="M21" s="33">
        <f t="shared" si="16"/>
        <v>0</v>
      </c>
      <c r="N21" s="7">
        <f t="shared" si="26"/>
        <v>3244.1</v>
      </c>
      <c r="O21" s="49">
        <f t="shared" si="17"/>
        <v>0</v>
      </c>
      <c r="P21" s="33">
        <f t="shared" si="18"/>
        <v>0</v>
      </c>
      <c r="Q21" s="7">
        <f t="shared" si="27"/>
        <v>5176.8500000000004</v>
      </c>
      <c r="R21" s="49">
        <f t="shared" si="19"/>
        <v>0</v>
      </c>
      <c r="S21" s="33">
        <f t="shared" si="20"/>
        <v>0</v>
      </c>
      <c r="T21" s="8">
        <f t="shared" si="31"/>
        <v>0</v>
      </c>
      <c r="U21" s="35">
        <f t="shared" si="28"/>
        <v>0</v>
      </c>
      <c r="W21" s="166">
        <v>44458</v>
      </c>
      <c r="X21" s="167">
        <v>145421</v>
      </c>
      <c r="Y21" s="167">
        <f t="shared" si="29"/>
        <v>32</v>
      </c>
      <c r="Z21" s="167">
        <v>7312</v>
      </c>
      <c r="AA21" s="167">
        <f t="shared" si="30"/>
        <v>5</v>
      </c>
    </row>
    <row r="22" spans="1:27" ht="16.5" thickBot="1" x14ac:dyDescent="0.25">
      <c r="A22" s="10">
        <v>44489</v>
      </c>
      <c r="B22" s="170">
        <f t="shared" si="21"/>
        <v>22354.960999999999</v>
      </c>
      <c r="C22" s="49">
        <f t="shared" si="22"/>
        <v>0</v>
      </c>
      <c r="D22" s="33">
        <f t="shared" si="10"/>
        <v>0</v>
      </c>
      <c r="E22" s="1">
        <f t="shared" si="23"/>
        <v>3952.42</v>
      </c>
      <c r="F22" s="49">
        <f t="shared" si="11"/>
        <v>0</v>
      </c>
      <c r="G22" s="33">
        <f t="shared" si="12"/>
        <v>0</v>
      </c>
      <c r="H22" s="1">
        <f t="shared" si="24"/>
        <v>4132</v>
      </c>
      <c r="I22" s="49">
        <f t="shared" si="13"/>
        <v>0</v>
      </c>
      <c r="J22" s="33">
        <f t="shared" si="14"/>
        <v>0</v>
      </c>
      <c r="K22" s="7">
        <f t="shared" si="25"/>
        <v>13737.72</v>
      </c>
      <c r="L22" s="49">
        <f t="shared" si="15"/>
        <v>0</v>
      </c>
      <c r="M22" s="33">
        <f t="shared" si="16"/>
        <v>0</v>
      </c>
      <c r="N22" s="7">
        <f t="shared" si="26"/>
        <v>3244.1</v>
      </c>
      <c r="O22" s="49">
        <f t="shared" si="17"/>
        <v>0</v>
      </c>
      <c r="P22" s="33">
        <f t="shared" si="18"/>
        <v>0</v>
      </c>
      <c r="Q22" s="7">
        <f t="shared" si="27"/>
        <v>5176.8500000000004</v>
      </c>
      <c r="R22" s="49">
        <f t="shared" si="19"/>
        <v>0</v>
      </c>
      <c r="S22" s="33">
        <f t="shared" si="20"/>
        <v>0</v>
      </c>
      <c r="T22" s="8">
        <f t="shared" si="31"/>
        <v>0</v>
      </c>
      <c r="U22" s="35">
        <f t="shared" si="28"/>
        <v>0</v>
      </c>
      <c r="W22" s="166">
        <v>44459</v>
      </c>
      <c r="X22" s="167">
        <v>145421</v>
      </c>
      <c r="Y22" s="167">
        <f t="shared" si="29"/>
        <v>0</v>
      </c>
      <c r="Z22" s="167">
        <v>7312</v>
      </c>
      <c r="AA22" s="167">
        <f t="shared" si="30"/>
        <v>0</v>
      </c>
    </row>
    <row r="23" spans="1:27" ht="16.5" thickBot="1" x14ac:dyDescent="0.25">
      <c r="A23" s="10">
        <v>44490</v>
      </c>
      <c r="B23" s="170">
        <f t="shared" si="21"/>
        <v>22354.960999999999</v>
      </c>
      <c r="C23" s="49">
        <f t="shared" si="22"/>
        <v>0</v>
      </c>
      <c r="D23" s="33">
        <f t="shared" si="10"/>
        <v>0</v>
      </c>
      <c r="E23" s="1">
        <f t="shared" si="23"/>
        <v>3952.42</v>
      </c>
      <c r="F23" s="49">
        <f t="shared" si="11"/>
        <v>0</v>
      </c>
      <c r="G23" s="33">
        <f t="shared" si="12"/>
        <v>0</v>
      </c>
      <c r="H23" s="1">
        <f t="shared" si="24"/>
        <v>4132</v>
      </c>
      <c r="I23" s="49">
        <f t="shared" si="13"/>
        <v>0</v>
      </c>
      <c r="J23" s="33">
        <f t="shared" si="14"/>
        <v>0</v>
      </c>
      <c r="K23" s="7">
        <f t="shared" si="25"/>
        <v>13737.72</v>
      </c>
      <c r="L23" s="49">
        <f t="shared" si="15"/>
        <v>0</v>
      </c>
      <c r="M23" s="33">
        <f t="shared" si="16"/>
        <v>0</v>
      </c>
      <c r="N23" s="7">
        <f t="shared" si="26"/>
        <v>3244.1</v>
      </c>
      <c r="O23" s="49">
        <f t="shared" si="17"/>
        <v>0</v>
      </c>
      <c r="P23" s="33">
        <f t="shared" si="18"/>
        <v>0</v>
      </c>
      <c r="Q23" s="7">
        <f t="shared" si="27"/>
        <v>5176.8500000000004</v>
      </c>
      <c r="R23" s="49">
        <f t="shared" si="19"/>
        <v>0</v>
      </c>
      <c r="S23" s="33">
        <f t="shared" si="20"/>
        <v>0</v>
      </c>
      <c r="T23" s="8">
        <f t="shared" si="31"/>
        <v>0</v>
      </c>
      <c r="U23" s="35">
        <f t="shared" si="28"/>
        <v>0</v>
      </c>
      <c r="W23" s="166">
        <v>44460</v>
      </c>
      <c r="X23" s="167">
        <v>145575</v>
      </c>
      <c r="Y23" s="167">
        <f t="shared" si="29"/>
        <v>154</v>
      </c>
      <c r="Z23" s="167">
        <v>7340</v>
      </c>
      <c r="AA23" s="167">
        <f t="shared" si="30"/>
        <v>28</v>
      </c>
    </row>
    <row r="24" spans="1:27" ht="16.5" thickBot="1" x14ac:dyDescent="0.25">
      <c r="A24" s="10">
        <v>44491</v>
      </c>
      <c r="B24" s="170">
        <f t="shared" si="21"/>
        <v>22354.960999999999</v>
      </c>
      <c r="C24" s="49">
        <f t="shared" si="22"/>
        <v>0</v>
      </c>
      <c r="D24" s="33">
        <f t="shared" si="10"/>
        <v>0</v>
      </c>
      <c r="E24" s="1">
        <f t="shared" si="23"/>
        <v>3952.42</v>
      </c>
      <c r="F24" s="49">
        <f t="shared" si="11"/>
        <v>0</v>
      </c>
      <c r="G24" s="33">
        <f t="shared" si="12"/>
        <v>0</v>
      </c>
      <c r="H24" s="1">
        <f t="shared" si="24"/>
        <v>4132</v>
      </c>
      <c r="I24" s="49">
        <f t="shared" si="13"/>
        <v>0</v>
      </c>
      <c r="J24" s="33">
        <f t="shared" si="14"/>
        <v>0</v>
      </c>
      <c r="K24" s="7">
        <f t="shared" si="25"/>
        <v>13737.72</v>
      </c>
      <c r="L24" s="49">
        <f t="shared" si="15"/>
        <v>0</v>
      </c>
      <c r="M24" s="33">
        <f t="shared" si="16"/>
        <v>0</v>
      </c>
      <c r="N24" s="7">
        <f t="shared" si="26"/>
        <v>3244.1</v>
      </c>
      <c r="O24" s="49">
        <f t="shared" si="17"/>
        <v>0</v>
      </c>
      <c r="P24" s="33">
        <f t="shared" si="18"/>
        <v>0</v>
      </c>
      <c r="Q24" s="7">
        <f t="shared" si="27"/>
        <v>5176.8500000000004</v>
      </c>
      <c r="R24" s="49">
        <f t="shared" si="19"/>
        <v>0</v>
      </c>
      <c r="S24" s="33">
        <f t="shared" si="20"/>
        <v>0</v>
      </c>
      <c r="T24" s="8">
        <f t="shared" si="31"/>
        <v>0</v>
      </c>
      <c r="U24" s="35">
        <f t="shared" si="28"/>
        <v>0</v>
      </c>
      <c r="W24" s="166">
        <v>44461</v>
      </c>
      <c r="X24" s="167">
        <v>145575</v>
      </c>
      <c r="Y24" s="167">
        <f t="shared" si="29"/>
        <v>0</v>
      </c>
      <c r="Z24" s="167">
        <v>7340</v>
      </c>
      <c r="AA24" s="167">
        <f t="shared" si="30"/>
        <v>0</v>
      </c>
    </row>
    <row r="25" spans="1:27" ht="16.5" thickBot="1" x14ac:dyDescent="0.25">
      <c r="A25" s="10">
        <v>44492</v>
      </c>
      <c r="B25" s="170">
        <f t="shared" si="21"/>
        <v>22354.960999999999</v>
      </c>
      <c r="C25" s="49">
        <f t="shared" si="22"/>
        <v>0</v>
      </c>
      <c r="D25" s="33">
        <f t="shared" si="10"/>
        <v>0</v>
      </c>
      <c r="E25" s="1">
        <f t="shared" si="23"/>
        <v>3952.42</v>
      </c>
      <c r="F25" s="49">
        <f t="shared" si="11"/>
        <v>0</v>
      </c>
      <c r="G25" s="33">
        <f t="shared" si="12"/>
        <v>0</v>
      </c>
      <c r="H25" s="1">
        <f t="shared" si="24"/>
        <v>4132</v>
      </c>
      <c r="I25" s="49">
        <f t="shared" si="13"/>
        <v>0</v>
      </c>
      <c r="J25" s="33">
        <f t="shared" si="14"/>
        <v>0</v>
      </c>
      <c r="K25" s="7">
        <f t="shared" si="25"/>
        <v>13737.72</v>
      </c>
      <c r="L25" s="49">
        <f t="shared" si="15"/>
        <v>0</v>
      </c>
      <c r="M25" s="33">
        <f t="shared" si="16"/>
        <v>0</v>
      </c>
      <c r="N25" s="7">
        <f t="shared" si="26"/>
        <v>3244.1</v>
      </c>
      <c r="O25" s="49">
        <f t="shared" si="17"/>
        <v>0</v>
      </c>
      <c r="P25" s="33">
        <f t="shared" si="18"/>
        <v>0</v>
      </c>
      <c r="Q25" s="7">
        <f t="shared" si="27"/>
        <v>5176.8500000000004</v>
      </c>
      <c r="R25" s="49">
        <f t="shared" si="19"/>
        <v>0</v>
      </c>
      <c r="S25" s="33">
        <f t="shared" si="20"/>
        <v>0</v>
      </c>
      <c r="T25" s="8">
        <f t="shared" si="31"/>
        <v>0</v>
      </c>
      <c r="U25" s="35">
        <f t="shared" si="28"/>
        <v>0</v>
      </c>
      <c r="W25" s="166">
        <v>44462</v>
      </c>
      <c r="X25" s="167">
        <v>146224</v>
      </c>
      <c r="Y25" s="167">
        <f t="shared" si="29"/>
        <v>649</v>
      </c>
      <c r="Z25" s="167">
        <v>7364</v>
      </c>
      <c r="AA25" s="167">
        <f t="shared" si="30"/>
        <v>24</v>
      </c>
    </row>
    <row r="26" spans="1:27" ht="16.5" thickBot="1" x14ac:dyDescent="0.25">
      <c r="A26" s="10">
        <v>44493</v>
      </c>
      <c r="B26" s="170">
        <f t="shared" si="21"/>
        <v>22354.960999999999</v>
      </c>
      <c r="C26" s="49">
        <f t="shared" si="22"/>
        <v>0</v>
      </c>
      <c r="D26" s="33">
        <f t="shared" si="10"/>
        <v>0</v>
      </c>
      <c r="E26" s="1">
        <f t="shared" si="23"/>
        <v>3952.42</v>
      </c>
      <c r="F26" s="49">
        <f t="shared" si="11"/>
        <v>0</v>
      </c>
      <c r="G26" s="33">
        <f t="shared" si="12"/>
        <v>0</v>
      </c>
      <c r="H26" s="1">
        <f t="shared" si="24"/>
        <v>4132</v>
      </c>
      <c r="I26" s="49">
        <f t="shared" si="13"/>
        <v>0</v>
      </c>
      <c r="J26" s="33">
        <f t="shared" si="14"/>
        <v>0</v>
      </c>
      <c r="K26" s="7">
        <f t="shared" si="25"/>
        <v>13737.72</v>
      </c>
      <c r="L26" s="49">
        <f t="shared" si="15"/>
        <v>0</v>
      </c>
      <c r="M26" s="33">
        <f t="shared" si="16"/>
        <v>0</v>
      </c>
      <c r="N26" s="7">
        <f t="shared" si="26"/>
        <v>3244.1</v>
      </c>
      <c r="O26" s="49">
        <f t="shared" si="17"/>
        <v>0</v>
      </c>
      <c r="P26" s="33">
        <f t="shared" si="18"/>
        <v>0</v>
      </c>
      <c r="Q26" s="7">
        <f t="shared" si="27"/>
        <v>5176.8500000000004</v>
      </c>
      <c r="R26" s="49">
        <f t="shared" si="19"/>
        <v>0</v>
      </c>
      <c r="S26" s="33">
        <f t="shared" si="20"/>
        <v>0</v>
      </c>
      <c r="T26" s="8">
        <f t="shared" si="31"/>
        <v>0</v>
      </c>
      <c r="U26" s="35">
        <f t="shared" si="28"/>
        <v>0</v>
      </c>
      <c r="V26" t="s">
        <v>12</v>
      </c>
      <c r="W26" s="166">
        <v>44463</v>
      </c>
      <c r="X26" s="167">
        <v>146505</v>
      </c>
      <c r="Y26" s="167">
        <f t="shared" si="29"/>
        <v>281</v>
      </c>
      <c r="Z26" s="167">
        <v>7370</v>
      </c>
      <c r="AA26" s="167">
        <f t="shared" si="30"/>
        <v>6</v>
      </c>
    </row>
    <row r="27" spans="1:27" ht="16.5" thickBot="1" x14ac:dyDescent="0.25">
      <c r="A27" s="10">
        <v>44494</v>
      </c>
      <c r="B27" s="170">
        <f t="shared" si="21"/>
        <v>22354.960999999999</v>
      </c>
      <c r="C27" s="49">
        <f t="shared" si="22"/>
        <v>0</v>
      </c>
      <c r="D27" s="33">
        <f t="shared" si="10"/>
        <v>0</v>
      </c>
      <c r="E27" s="1">
        <f t="shared" si="23"/>
        <v>3952.42</v>
      </c>
      <c r="F27" s="49">
        <f t="shared" si="11"/>
        <v>0</v>
      </c>
      <c r="G27" s="33">
        <f t="shared" si="12"/>
        <v>0</v>
      </c>
      <c r="H27" s="1">
        <f t="shared" si="24"/>
        <v>4132</v>
      </c>
      <c r="I27" s="49">
        <f t="shared" si="13"/>
        <v>0</v>
      </c>
      <c r="J27" s="33">
        <f t="shared" si="14"/>
        <v>0</v>
      </c>
      <c r="K27" s="7">
        <f t="shared" si="25"/>
        <v>13737.72</v>
      </c>
      <c r="L27" s="49">
        <f t="shared" si="15"/>
        <v>0</v>
      </c>
      <c r="M27" s="33">
        <f t="shared" si="16"/>
        <v>0</v>
      </c>
      <c r="N27" s="7">
        <f t="shared" si="26"/>
        <v>3244.1</v>
      </c>
      <c r="O27" s="49">
        <f t="shared" si="17"/>
        <v>0</v>
      </c>
      <c r="P27" s="33">
        <f t="shared" si="18"/>
        <v>0</v>
      </c>
      <c r="Q27" s="7">
        <f t="shared" si="27"/>
        <v>5176.8500000000004</v>
      </c>
      <c r="R27" s="49">
        <f t="shared" si="19"/>
        <v>0</v>
      </c>
      <c r="S27" s="33">
        <f t="shared" si="20"/>
        <v>0</v>
      </c>
      <c r="T27" s="8">
        <f t="shared" si="31"/>
        <v>0</v>
      </c>
      <c r="U27" s="35">
        <f t="shared" si="28"/>
        <v>0</v>
      </c>
      <c r="V27" t="s">
        <v>12</v>
      </c>
      <c r="W27" s="166">
        <v>44464</v>
      </c>
      <c r="X27" s="167">
        <v>146505</v>
      </c>
      <c r="Y27" s="167">
        <f t="shared" si="29"/>
        <v>0</v>
      </c>
      <c r="Z27" s="167">
        <v>7381</v>
      </c>
      <c r="AA27" s="167">
        <f t="shared" si="30"/>
        <v>11</v>
      </c>
    </row>
    <row r="28" spans="1:27" ht="16.5" thickBot="1" x14ac:dyDescent="0.25">
      <c r="A28" s="10">
        <v>44495</v>
      </c>
      <c r="B28" s="170">
        <f t="shared" si="21"/>
        <v>22354.960999999999</v>
      </c>
      <c r="C28" s="49">
        <f t="shared" si="22"/>
        <v>0</v>
      </c>
      <c r="D28" s="33">
        <f t="shared" si="10"/>
        <v>0</v>
      </c>
      <c r="E28" s="1">
        <f t="shared" si="23"/>
        <v>3952.42</v>
      </c>
      <c r="F28" s="49">
        <f t="shared" si="11"/>
        <v>0</v>
      </c>
      <c r="G28" s="33">
        <f t="shared" si="12"/>
        <v>0</v>
      </c>
      <c r="H28" s="1">
        <f t="shared" si="24"/>
        <v>4132</v>
      </c>
      <c r="I28" s="49">
        <f t="shared" si="13"/>
        <v>0</v>
      </c>
      <c r="J28" s="33">
        <f t="shared" si="14"/>
        <v>0</v>
      </c>
      <c r="K28" s="7">
        <f t="shared" si="25"/>
        <v>13737.72</v>
      </c>
      <c r="L28" s="49">
        <f t="shared" si="15"/>
        <v>0</v>
      </c>
      <c r="M28" s="33">
        <f t="shared" si="16"/>
        <v>0</v>
      </c>
      <c r="N28" s="7">
        <f t="shared" si="26"/>
        <v>3244.1</v>
      </c>
      <c r="O28" s="49">
        <f t="shared" si="17"/>
        <v>0</v>
      </c>
      <c r="P28" s="33">
        <f t="shared" si="18"/>
        <v>0</v>
      </c>
      <c r="Q28" s="7">
        <f t="shared" si="27"/>
        <v>5176.8500000000004</v>
      </c>
      <c r="R28" s="49">
        <f t="shared" si="19"/>
        <v>0</v>
      </c>
      <c r="S28" s="33">
        <f t="shared" si="20"/>
        <v>0</v>
      </c>
      <c r="T28" s="8">
        <f t="shared" si="31"/>
        <v>0</v>
      </c>
      <c r="U28" s="35">
        <f t="shared" si="28"/>
        <v>0</v>
      </c>
      <c r="W28" s="166">
        <v>44465</v>
      </c>
      <c r="X28" s="167">
        <v>146675</v>
      </c>
      <c r="Y28" s="167">
        <f t="shared" si="29"/>
        <v>170</v>
      </c>
      <c r="Z28" s="167">
        <v>7396</v>
      </c>
      <c r="AA28" s="167">
        <f t="shared" si="30"/>
        <v>15</v>
      </c>
    </row>
    <row r="29" spans="1:27" ht="16.5" thickBot="1" x14ac:dyDescent="0.25">
      <c r="A29" s="10">
        <v>44496</v>
      </c>
      <c r="B29" s="170">
        <f t="shared" si="21"/>
        <v>22354.960999999999</v>
      </c>
      <c r="C29" s="49">
        <f t="shared" si="22"/>
        <v>0</v>
      </c>
      <c r="D29" s="33">
        <f t="shared" si="10"/>
        <v>0</v>
      </c>
      <c r="E29" s="1">
        <f t="shared" si="23"/>
        <v>3952.42</v>
      </c>
      <c r="F29" s="49">
        <f t="shared" si="11"/>
        <v>0</v>
      </c>
      <c r="G29" s="33">
        <f t="shared" si="12"/>
        <v>0</v>
      </c>
      <c r="H29" s="1">
        <f t="shared" si="24"/>
        <v>4132</v>
      </c>
      <c r="I29" s="49">
        <f t="shared" si="13"/>
        <v>0</v>
      </c>
      <c r="J29" s="33">
        <f t="shared" si="14"/>
        <v>0</v>
      </c>
      <c r="K29" s="7">
        <f t="shared" si="25"/>
        <v>13737.72</v>
      </c>
      <c r="L29" s="49">
        <f t="shared" si="15"/>
        <v>0</v>
      </c>
      <c r="M29" s="33">
        <f t="shared" si="16"/>
        <v>0</v>
      </c>
      <c r="N29" s="7">
        <f t="shared" si="26"/>
        <v>3244.1</v>
      </c>
      <c r="O29" s="49">
        <f t="shared" si="17"/>
        <v>0</v>
      </c>
      <c r="P29" s="33">
        <f t="shared" si="18"/>
        <v>0</v>
      </c>
      <c r="Q29" s="7">
        <f t="shared" si="27"/>
        <v>5176.8500000000004</v>
      </c>
      <c r="R29" s="49">
        <f t="shared" si="19"/>
        <v>0</v>
      </c>
      <c r="S29" s="33">
        <f t="shared" si="20"/>
        <v>0</v>
      </c>
      <c r="T29" s="8">
        <f t="shared" si="31"/>
        <v>0</v>
      </c>
      <c r="U29" s="35">
        <f t="shared" si="28"/>
        <v>0</v>
      </c>
      <c r="W29" s="166">
        <v>44466</v>
      </c>
      <c r="X29" s="167"/>
      <c r="Y29" s="167">
        <f t="shared" si="29"/>
        <v>-146675</v>
      </c>
      <c r="Z29" s="167"/>
      <c r="AA29" s="167">
        <f t="shared" si="30"/>
        <v>-7396</v>
      </c>
    </row>
    <row r="30" spans="1:27" ht="16.5" thickBot="1" x14ac:dyDescent="0.25">
      <c r="A30" s="10">
        <v>44497</v>
      </c>
      <c r="B30" s="170">
        <f t="shared" si="21"/>
        <v>22354.960999999999</v>
      </c>
      <c r="C30" s="49">
        <f t="shared" si="22"/>
        <v>0</v>
      </c>
      <c r="D30" s="33">
        <f t="shared" si="10"/>
        <v>0</v>
      </c>
      <c r="E30" s="1">
        <f t="shared" si="23"/>
        <v>3952.42</v>
      </c>
      <c r="F30" s="49">
        <f t="shared" si="11"/>
        <v>0</v>
      </c>
      <c r="G30" s="33">
        <f t="shared" si="12"/>
        <v>0</v>
      </c>
      <c r="H30" s="1">
        <f t="shared" si="24"/>
        <v>4132</v>
      </c>
      <c r="I30" s="49">
        <f t="shared" si="13"/>
        <v>0</v>
      </c>
      <c r="J30" s="33">
        <f t="shared" si="14"/>
        <v>0</v>
      </c>
      <c r="K30" s="7">
        <f t="shared" si="25"/>
        <v>13737.72</v>
      </c>
      <c r="L30" s="49">
        <f t="shared" si="15"/>
        <v>0</v>
      </c>
      <c r="M30" s="33">
        <f t="shared" si="16"/>
        <v>0</v>
      </c>
      <c r="N30" s="7">
        <f t="shared" si="26"/>
        <v>3244.1</v>
      </c>
      <c r="O30" s="49">
        <f t="shared" si="17"/>
        <v>0</v>
      </c>
      <c r="P30" s="33">
        <f t="shared" si="18"/>
        <v>0</v>
      </c>
      <c r="Q30" s="7">
        <f t="shared" si="27"/>
        <v>5176.8500000000004</v>
      </c>
      <c r="R30" s="49">
        <f t="shared" si="19"/>
        <v>0</v>
      </c>
      <c r="S30" s="33">
        <f t="shared" si="20"/>
        <v>0</v>
      </c>
      <c r="T30" s="8">
        <f t="shared" si="31"/>
        <v>0</v>
      </c>
      <c r="U30" s="35">
        <f t="shared" si="28"/>
        <v>0</v>
      </c>
      <c r="W30" s="166">
        <v>44467</v>
      </c>
      <c r="X30" s="167"/>
      <c r="Y30" s="167">
        <f t="shared" si="29"/>
        <v>0</v>
      </c>
      <c r="Z30" s="167"/>
      <c r="AA30" s="167">
        <f t="shared" si="30"/>
        <v>0</v>
      </c>
    </row>
    <row r="31" spans="1:27" ht="16.5" thickBot="1" x14ac:dyDescent="0.25">
      <c r="A31" s="10">
        <v>44498</v>
      </c>
      <c r="B31" s="170">
        <f t="shared" si="21"/>
        <v>22354.960999999999</v>
      </c>
      <c r="C31" s="49">
        <f t="shared" si="22"/>
        <v>0</v>
      </c>
      <c r="D31" s="33">
        <f t="shared" si="10"/>
        <v>0</v>
      </c>
      <c r="E31" s="1">
        <f t="shared" si="23"/>
        <v>3952.42</v>
      </c>
      <c r="F31" s="49">
        <f t="shared" si="11"/>
        <v>0</v>
      </c>
      <c r="G31" s="33">
        <f t="shared" si="12"/>
        <v>0</v>
      </c>
      <c r="H31" s="1">
        <f t="shared" si="24"/>
        <v>4132</v>
      </c>
      <c r="I31" s="49">
        <f t="shared" si="13"/>
        <v>0</v>
      </c>
      <c r="J31" s="33">
        <f t="shared" si="14"/>
        <v>0</v>
      </c>
      <c r="K31" s="7">
        <f t="shared" si="25"/>
        <v>13737.72</v>
      </c>
      <c r="L31" s="49">
        <f t="shared" si="15"/>
        <v>0</v>
      </c>
      <c r="M31" s="33">
        <f t="shared" si="16"/>
        <v>0</v>
      </c>
      <c r="N31" s="7">
        <f t="shared" si="26"/>
        <v>3244.1</v>
      </c>
      <c r="O31" s="49">
        <f t="shared" si="17"/>
        <v>0</v>
      </c>
      <c r="P31" s="33">
        <f t="shared" si="18"/>
        <v>0</v>
      </c>
      <c r="Q31" s="7">
        <f t="shared" si="27"/>
        <v>5176.8500000000004</v>
      </c>
      <c r="R31" s="49">
        <f t="shared" si="19"/>
        <v>0</v>
      </c>
      <c r="S31" s="33">
        <f t="shared" si="20"/>
        <v>0</v>
      </c>
      <c r="T31" s="8">
        <f t="shared" si="31"/>
        <v>0</v>
      </c>
      <c r="U31" s="35">
        <f t="shared" si="28"/>
        <v>0</v>
      </c>
      <c r="W31" s="166">
        <v>44468</v>
      </c>
      <c r="X31" s="167">
        <v>147650</v>
      </c>
      <c r="Y31" s="167">
        <f t="shared" si="29"/>
        <v>147650</v>
      </c>
      <c r="Z31" s="167">
        <v>7432</v>
      </c>
      <c r="AA31" s="167">
        <f t="shared" si="30"/>
        <v>7432</v>
      </c>
    </row>
    <row r="32" spans="1:27" ht="16.5" thickBot="1" x14ac:dyDescent="0.25">
      <c r="A32" s="10">
        <v>44499</v>
      </c>
      <c r="B32" s="170">
        <f t="shared" si="21"/>
        <v>22354.960999999999</v>
      </c>
      <c r="C32" s="49">
        <f t="shared" si="22"/>
        <v>0</v>
      </c>
      <c r="D32" s="33">
        <f t="shared" si="10"/>
        <v>0</v>
      </c>
      <c r="E32" s="1">
        <f t="shared" si="23"/>
        <v>3952.42</v>
      </c>
      <c r="F32" s="49">
        <f t="shared" si="11"/>
        <v>0</v>
      </c>
      <c r="G32" s="33">
        <f t="shared" si="12"/>
        <v>0</v>
      </c>
      <c r="H32" s="1">
        <f t="shared" si="24"/>
        <v>4132</v>
      </c>
      <c r="I32" s="49">
        <f t="shared" si="13"/>
        <v>0</v>
      </c>
      <c r="J32" s="33">
        <f t="shared" si="14"/>
        <v>0</v>
      </c>
      <c r="K32" s="7">
        <f t="shared" si="25"/>
        <v>13737.72</v>
      </c>
      <c r="L32" s="49">
        <f t="shared" si="15"/>
        <v>0</v>
      </c>
      <c r="M32" s="33">
        <f t="shared" si="16"/>
        <v>0</v>
      </c>
      <c r="N32" s="7">
        <f t="shared" si="26"/>
        <v>3244.1</v>
      </c>
      <c r="O32" s="49">
        <f t="shared" si="17"/>
        <v>0</v>
      </c>
      <c r="P32" s="33">
        <f t="shared" si="18"/>
        <v>0</v>
      </c>
      <c r="Q32" s="7">
        <f t="shared" si="27"/>
        <v>5176.8500000000004</v>
      </c>
      <c r="R32" s="49">
        <f t="shared" si="19"/>
        <v>0</v>
      </c>
      <c r="S32" s="33">
        <f t="shared" si="20"/>
        <v>0</v>
      </c>
      <c r="T32" s="8">
        <f t="shared" si="31"/>
        <v>0</v>
      </c>
      <c r="U32" s="35">
        <f t="shared" si="28"/>
        <v>0</v>
      </c>
      <c r="W32" s="166">
        <v>44469</v>
      </c>
      <c r="X32" s="167">
        <v>147954</v>
      </c>
      <c r="Y32" s="167">
        <f t="shared" si="29"/>
        <v>304</v>
      </c>
      <c r="Z32" s="167">
        <v>7438</v>
      </c>
      <c r="AA32" s="167">
        <f t="shared" si="30"/>
        <v>6</v>
      </c>
    </row>
    <row r="33" spans="1:27" ht="16.5" thickBot="1" x14ac:dyDescent="0.25">
      <c r="A33" s="10">
        <v>44500</v>
      </c>
      <c r="B33" s="170">
        <f t="shared" si="21"/>
        <v>22354.960999999999</v>
      </c>
      <c r="C33" s="49">
        <f t="shared" ref="C33" si="32">IF((B33-B32)&lt;0,"0",(B33-B32))</f>
        <v>0</v>
      </c>
      <c r="D33" s="33">
        <f t="shared" si="10"/>
        <v>0</v>
      </c>
      <c r="E33" s="1">
        <f t="shared" si="23"/>
        <v>3952.42</v>
      </c>
      <c r="F33" s="49">
        <f t="shared" si="11"/>
        <v>0</v>
      </c>
      <c r="G33" s="33">
        <f t="shared" si="12"/>
        <v>0</v>
      </c>
      <c r="H33" s="1">
        <f t="shared" si="24"/>
        <v>4132</v>
      </c>
      <c r="I33" s="49">
        <f t="shared" si="13"/>
        <v>0</v>
      </c>
      <c r="J33" s="33">
        <f t="shared" si="14"/>
        <v>0</v>
      </c>
      <c r="K33" s="7">
        <f t="shared" si="25"/>
        <v>13737.72</v>
      </c>
      <c r="L33" s="49">
        <f t="shared" si="15"/>
        <v>0</v>
      </c>
      <c r="M33" s="33">
        <f t="shared" si="16"/>
        <v>0</v>
      </c>
      <c r="N33" s="7">
        <f t="shared" si="26"/>
        <v>3244.1</v>
      </c>
      <c r="O33" s="49">
        <f t="shared" si="17"/>
        <v>0</v>
      </c>
      <c r="P33" s="33">
        <f t="shared" si="18"/>
        <v>0</v>
      </c>
      <c r="Q33" s="7">
        <f t="shared" si="27"/>
        <v>5176.8500000000004</v>
      </c>
      <c r="R33" s="49">
        <f t="shared" si="19"/>
        <v>0</v>
      </c>
      <c r="S33" s="33">
        <f t="shared" si="20"/>
        <v>0</v>
      </c>
      <c r="T33" s="8">
        <f t="shared" si="31"/>
        <v>0</v>
      </c>
      <c r="U33" s="35">
        <f t="shared" si="28"/>
        <v>0</v>
      </c>
      <c r="W33" s="166">
        <v>44470</v>
      </c>
      <c r="X33" s="167"/>
      <c r="Y33" s="167">
        <f t="shared" si="29"/>
        <v>-147954</v>
      </c>
      <c r="Z33" s="167"/>
      <c r="AA33" s="167">
        <f t="shared" si="30"/>
        <v>-7438</v>
      </c>
    </row>
    <row r="34" spans="1:27" s="25" customFormat="1" ht="16.5" thickBot="1" x14ac:dyDescent="0.25">
      <c r="A34" s="6" t="s">
        <v>23</v>
      </c>
      <c r="B34" s="171"/>
      <c r="C34" s="144">
        <f>SUM(C3:C33)</f>
        <v>9.0279999999984284</v>
      </c>
      <c r="D34" s="144">
        <f>SUM(D2:D33)</f>
        <v>17153.199999997014</v>
      </c>
      <c r="E34" s="144">
        <v>0</v>
      </c>
      <c r="F34" s="144">
        <f>SUM(F2:F33)</f>
        <v>1.6010000000001128</v>
      </c>
      <c r="G34" s="144">
        <f>SUM(G2:G33)</f>
        <v>3041.9000000002143</v>
      </c>
      <c r="H34" s="144"/>
      <c r="I34" s="144">
        <f>SUM(I2:I33)</f>
        <v>5</v>
      </c>
      <c r="J34" s="144">
        <f>SUM(J2:J33)</f>
        <v>9500</v>
      </c>
      <c r="K34" s="144"/>
      <c r="L34" s="144">
        <f>SUM(L2:L33)</f>
        <v>2.4599999999991269</v>
      </c>
      <c r="M34" s="144">
        <f>SUM(M2:M33)</f>
        <v>4673.9999999983411</v>
      </c>
      <c r="N34" s="144"/>
      <c r="O34" s="144">
        <f>SUM(O2:O33)</f>
        <v>1.7100000000000364</v>
      </c>
      <c r="P34" s="144">
        <f>SUM(P2:P33)</f>
        <v>3249.0000000000691</v>
      </c>
      <c r="Q34" s="144"/>
      <c r="R34" s="144">
        <f>SUM(R2:R33)</f>
        <v>1.9600000000000364</v>
      </c>
      <c r="S34" s="144">
        <f>SUM(S2:S33)</f>
        <v>3724.0000000000691</v>
      </c>
      <c r="T34" s="144">
        <f>SUM(T2:T33)</f>
        <v>21.758999999997741</v>
      </c>
      <c r="U34" s="144">
        <f>SUM(U2:U33)</f>
        <v>41342.099999995706</v>
      </c>
      <c r="V34"/>
      <c r="W34" s="168" t="s">
        <v>144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20102</v>
      </c>
      <c r="D2" s="102">
        <f>C2*1.27</f>
        <v>25529.54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28182421</v>
      </c>
      <c r="K3" s="97">
        <f>J3-I3</f>
        <v>12666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89297612</v>
      </c>
      <c r="K4" s="97">
        <f>J4-I4</f>
        <v>45890</v>
      </c>
    </row>
    <row r="5" spans="1:11" ht="13.5" thickBot="1" x14ac:dyDescent="0.25">
      <c r="A5" s="100"/>
      <c r="B5" s="106" t="s">
        <v>27</v>
      </c>
      <c r="C5" s="110">
        <f>(K10+K12)*0.842284+K26</f>
        <v>26501.386055999999</v>
      </c>
      <c r="D5" s="110">
        <f t="shared" ref="D5:D11" si="0">C5*1.27</f>
        <v>33656.760291120001</v>
      </c>
      <c r="E5" s="111"/>
      <c r="F5" s="100"/>
      <c r="G5" s="100"/>
      <c r="H5" s="106" t="s">
        <v>23</v>
      </c>
      <c r="I5" s="112"/>
      <c r="J5" s="112"/>
      <c r="K5" s="132">
        <f>K3+K4</f>
        <v>58556</v>
      </c>
    </row>
    <row r="6" spans="1:11" ht="13.5" thickBot="1" x14ac:dyDescent="0.25">
      <c r="A6" s="100"/>
      <c r="B6" s="106" t="s">
        <v>99</v>
      </c>
      <c r="C6" s="110">
        <f>(K10+K12+K26)*0.1488</f>
        <v>4650.5951999999997</v>
      </c>
      <c r="D6" s="110">
        <f t="shared" si="0"/>
        <v>5906.2559039999996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8783230</v>
      </c>
      <c r="K6" s="97">
        <f>J6-I6</f>
        <v>4342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8732542</v>
      </c>
      <c r="K7" s="97">
        <f>J7-I7</f>
        <v>3978</v>
      </c>
    </row>
    <row r="8" spans="1:11" ht="13.5" thickBot="1" x14ac:dyDescent="0.25">
      <c r="A8" s="100"/>
      <c r="B8" s="106" t="s">
        <v>103</v>
      </c>
      <c r="C8" s="110">
        <f>K21+K22+K23+K24</f>
        <v>1845</v>
      </c>
      <c r="D8" s="110">
        <f t="shared" si="0"/>
        <v>2343.15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5888063</v>
      </c>
      <c r="K8" s="97">
        <f>(J8-I8)*2</f>
        <v>8450</v>
      </c>
    </row>
    <row r="9" spans="1:11" ht="13.5" thickBot="1" x14ac:dyDescent="0.25">
      <c r="A9" s="100"/>
      <c r="B9" s="106" t="s">
        <v>137</v>
      </c>
      <c r="C9" s="110">
        <f>K25+K16+K17</f>
        <v>164</v>
      </c>
      <c r="D9" s="110">
        <f t="shared" si="0"/>
        <v>208.28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5093642</v>
      </c>
      <c r="K9" s="97">
        <f>J9-I9</f>
        <v>9867</v>
      </c>
    </row>
    <row r="10" spans="1:11" ht="13.5" thickBot="1" x14ac:dyDescent="0.25">
      <c r="A10" s="100"/>
      <c r="B10" s="106" t="s">
        <v>106</v>
      </c>
      <c r="C10" s="110">
        <f>K18</f>
        <v>640</v>
      </c>
      <c r="D10" s="110">
        <f t="shared" si="0"/>
        <v>812.8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18841147</v>
      </c>
      <c r="K10" s="97">
        <f>J10-I10</f>
        <v>9854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6646068</v>
      </c>
      <c r="K12" s="97">
        <f>(J12-I12)*2</f>
        <v>20280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56771</v>
      </c>
    </row>
    <row r="14" spans="1:11" ht="13.5" thickBot="1" x14ac:dyDescent="0.25">
      <c r="A14" s="100"/>
      <c r="B14" s="106" t="s">
        <v>42</v>
      </c>
      <c r="C14" s="110">
        <f>K29</f>
        <v>1080</v>
      </c>
      <c r="D14" s="118">
        <f t="shared" ref="D14:D22" si="1">C14*10.03</f>
        <v>10832.4</v>
      </c>
      <c r="E14" s="119"/>
      <c r="F14" s="100"/>
      <c r="G14" s="100"/>
      <c r="H14" s="106" t="s">
        <v>114</v>
      </c>
      <c r="I14" s="115"/>
      <c r="J14" s="116"/>
      <c r="K14" s="98">
        <f>K5-K13</f>
        <v>1785</v>
      </c>
    </row>
    <row r="15" spans="1:11" ht="13.5" thickBot="1" x14ac:dyDescent="0.25">
      <c r="A15" s="100"/>
      <c r="B15" s="106" t="s">
        <v>115</v>
      </c>
      <c r="C15" s="120">
        <f>K30</f>
        <v>4.4009999999999998</v>
      </c>
      <c r="D15" s="118">
        <f t="shared" si="1"/>
        <v>44.142029999999998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-625.31205179999995</v>
      </c>
      <c r="D16" s="118">
        <f t="shared" si="1"/>
        <v>-6271.8798795539988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3789</v>
      </c>
      <c r="K16" s="99">
        <f>(J16-I16)*160</f>
        <v>160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25435</v>
      </c>
      <c r="K18" s="99">
        <f>(J18-I18)*160</f>
        <v>640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122812</v>
      </c>
      <c r="J19" s="122">
        <f>'Mall, Citadel, Rotana'!P33</f>
        <v>125199</v>
      </c>
      <c r="K19" s="99">
        <f>J19-I19</f>
        <v>2387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45989</v>
      </c>
      <c r="K21" s="99">
        <f>(J21-I21)*120</f>
        <v>840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-4119.0889482000002</v>
      </c>
      <c r="D22" s="118">
        <f t="shared" si="1"/>
        <v>-41314.462150446001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39897</v>
      </c>
      <c r="K22" s="99">
        <f>(J22-I22)*160</f>
        <v>800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20845</v>
      </c>
      <c r="K23" s="99">
        <f>(J23-I23)*20</f>
        <v>100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249167</v>
      </c>
      <c r="K24" s="99">
        <f>J24-I24</f>
        <v>105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215935</v>
      </c>
      <c r="K25" s="99">
        <f>J25-I25</f>
        <v>4</v>
      </c>
    </row>
    <row r="26" spans="1:11" ht="13.5" thickBot="1" x14ac:dyDescent="0.25">
      <c r="A26" s="100"/>
      <c r="B26" s="106" t="s">
        <v>42</v>
      </c>
      <c r="C26" s="124">
        <f>K35</f>
        <v>2105</v>
      </c>
      <c r="D26" s="110">
        <f>C26*3.65</f>
        <v>7683.25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18928</v>
      </c>
      <c r="K26" s="99">
        <f>(J26-I26)*160</f>
        <v>1120</v>
      </c>
    </row>
    <row r="27" spans="1:11" ht="13.5" thickBot="1" x14ac:dyDescent="0.25">
      <c r="A27" s="100"/>
      <c r="B27" s="101" t="s">
        <v>124</v>
      </c>
      <c r="C27" s="124">
        <f>C26</f>
        <v>2105</v>
      </c>
      <c r="D27" s="110">
        <f>C27*3.65</f>
        <v>7683.25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426751</v>
      </c>
      <c r="K29" s="99">
        <f>(J29-I29)*10</f>
        <v>1080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750313</v>
      </c>
      <c r="K30" s="99">
        <f>(J30-I30)*0.027</f>
        <v>4.4009999999999998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5819000</v>
      </c>
      <c r="K32" s="99">
        <f>(J32-I32)*0.027</f>
        <v>550.79999999999995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17639686</v>
      </c>
      <c r="K35" s="130">
        <f>J35-I35</f>
        <v>2105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2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8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8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6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6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9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9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8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8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6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6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9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9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8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8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9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9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8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8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9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9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8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8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9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9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8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8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6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6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9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9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8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8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6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6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9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9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8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8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6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6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9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9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6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6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8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8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6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6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9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9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8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8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6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6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9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9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8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8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6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6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8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8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6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6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9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9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8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8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6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6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6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6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8">
        <v>23</v>
      </c>
      <c r="D49" s="66" t="s">
        <v>83</v>
      </c>
      <c r="E49" s="81"/>
      <c r="F49" s="81"/>
      <c r="G49" s="68">
        <f t="shared" si="0"/>
        <v>0</v>
      </c>
      <c r="H49" s="69"/>
      <c r="J49" s="18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6"/>
      <c r="D50" s="66" t="s">
        <v>82</v>
      </c>
      <c r="E50" s="81"/>
      <c r="F50" s="81"/>
      <c r="G50" s="68">
        <f t="shared" si="0"/>
        <v>0</v>
      </c>
      <c r="H50" s="69"/>
      <c r="J50" s="19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7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7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98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98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9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9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8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8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9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9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8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8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9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9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8">
        <v>28</v>
      </c>
      <c r="D62" s="183" t="s">
        <v>86</v>
      </c>
      <c r="E62" s="67"/>
      <c r="F62" s="67"/>
      <c r="G62" s="68"/>
      <c r="H62" s="185" t="s">
        <v>87</v>
      </c>
      <c r="I62" s="72"/>
      <c r="J62" s="188">
        <v>28</v>
      </c>
      <c r="K62" s="183" t="s">
        <v>86</v>
      </c>
      <c r="L62" s="67"/>
      <c r="M62" s="67"/>
      <c r="N62" s="68"/>
      <c r="O62" s="185" t="s">
        <v>87</v>
      </c>
    </row>
    <row r="63" spans="1:15" ht="15" x14ac:dyDescent="0.2">
      <c r="A63" s="72"/>
      <c r="B63" s="62"/>
      <c r="C63" s="189"/>
      <c r="D63" s="184"/>
      <c r="E63" s="67"/>
      <c r="F63" s="67"/>
      <c r="G63" s="68"/>
      <c r="H63" s="186"/>
      <c r="I63" s="72"/>
      <c r="J63" s="189"/>
      <c r="K63" s="184"/>
      <c r="L63" s="67"/>
      <c r="M63" s="67"/>
      <c r="N63" s="68"/>
      <c r="O63" s="186"/>
    </row>
    <row r="64" spans="1:15" x14ac:dyDescent="0.2">
      <c r="A64" s="72"/>
      <c r="B64" s="62"/>
      <c r="C64" s="187" t="s">
        <v>88</v>
      </c>
      <c r="D64" s="187"/>
      <c r="E64" s="187"/>
      <c r="F64" s="187"/>
      <c r="G64" s="86">
        <f>SUM(G2:G63)</f>
        <v>27078</v>
      </c>
      <c r="H64" s="87"/>
      <c r="I64" s="72"/>
      <c r="J64" s="187" t="s">
        <v>88</v>
      </c>
      <c r="K64" s="187"/>
      <c r="L64" s="187"/>
      <c r="M64" s="187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0">
        <v>44378</v>
      </c>
      <c r="C69" s="191"/>
      <c r="D69" s="191"/>
      <c r="E69" s="192"/>
      <c r="F69" s="90"/>
      <c r="G69" s="193">
        <v>44409</v>
      </c>
      <c r="H69" s="194"/>
      <c r="I69" s="194"/>
      <c r="J69" s="195"/>
      <c r="K69" s="90"/>
      <c r="L69" s="180" t="s">
        <v>25</v>
      </c>
      <c r="M69" s="181"/>
      <c r="N69" s="181"/>
      <c r="O69" s="182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2021-10-02T02:56:49Z</dcterms:modified>
</cp:coreProperties>
</file>