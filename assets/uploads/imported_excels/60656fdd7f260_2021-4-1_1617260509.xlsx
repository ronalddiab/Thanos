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2" i="9"/>
  <c r="P3" i="8" l="1"/>
  <c r="Y3" i="8" s="1"/>
  <c r="P4" i="8"/>
  <c r="Y4" i="8" s="1"/>
  <c r="P5" i="8"/>
  <c r="Y5" i="8" s="1"/>
  <c r="P6" i="8"/>
  <c r="P7" i="8"/>
  <c r="P8" i="8"/>
  <c r="P9" i="8"/>
  <c r="P10" i="8"/>
  <c r="P11" i="8"/>
  <c r="Y11" i="8" s="1"/>
  <c r="P12" i="8"/>
  <c r="Y12" i="8" s="1"/>
  <c r="P13" i="8"/>
  <c r="Y13" i="8" s="1"/>
  <c r="P14" i="8"/>
  <c r="P15" i="8"/>
  <c r="Y15" i="8" s="1"/>
  <c r="P16" i="8"/>
  <c r="P17" i="8"/>
  <c r="P18" i="8"/>
  <c r="P19" i="8"/>
  <c r="P20" i="8"/>
  <c r="P21" i="8"/>
  <c r="Y21" i="8" s="1"/>
  <c r="P22" i="8"/>
  <c r="P23" i="8"/>
  <c r="Y23" i="8" s="1"/>
  <c r="P24" i="8"/>
  <c r="P25" i="8"/>
  <c r="P26" i="8"/>
  <c r="P27" i="8"/>
  <c r="Y27" i="8" s="1"/>
  <c r="P28" i="8"/>
  <c r="Y28" i="8" s="1"/>
  <c r="P29" i="8"/>
  <c r="Y29" i="8" s="1"/>
  <c r="P30" i="8"/>
  <c r="P31" i="8"/>
  <c r="Y31" i="8" s="1"/>
  <c r="P32" i="8"/>
  <c r="Y8" i="8"/>
  <c r="Y9" i="8"/>
  <c r="Y10" i="8"/>
  <c r="Y17" i="8"/>
  <c r="Y18" i="8"/>
  <c r="Y25" i="8"/>
  <c r="Y26" i="8"/>
  <c r="P2" i="8"/>
  <c r="Y6" i="8"/>
  <c r="Y7" i="8"/>
  <c r="Y14" i="8"/>
  <c r="Y16" i="8"/>
  <c r="Y19" i="8"/>
  <c r="Y20" i="8"/>
  <c r="Y22" i="8"/>
  <c r="Y24" i="8"/>
  <c r="Y30" i="8"/>
  <c r="Y32" i="8"/>
  <c r="Y2" i="8"/>
  <c r="U34" i="2" l="1"/>
  <c r="S34" i="2"/>
  <c r="Q34" i="2"/>
  <c r="O34" i="2"/>
  <c r="M34" i="2"/>
  <c r="K34" i="2"/>
  <c r="I34" i="2"/>
  <c r="G34" i="2"/>
  <c r="E34" i="2"/>
  <c r="C34" i="2"/>
  <c r="K34" i="3"/>
  <c r="J34" i="3"/>
  <c r="I34" i="3"/>
  <c r="G34" i="3"/>
  <c r="E34" i="3"/>
  <c r="C34" i="3"/>
  <c r="Z34" i="4"/>
  <c r="Y34" i="4"/>
  <c r="X34" i="4"/>
  <c r="W34" i="4"/>
  <c r="S34" i="4"/>
  <c r="Q34" i="4"/>
  <c r="O34" i="4"/>
  <c r="M34" i="4"/>
  <c r="K34" i="4"/>
  <c r="H34" i="4"/>
  <c r="F34" i="4"/>
  <c r="D34" i="4"/>
  <c r="C34" i="4"/>
  <c r="B34" i="4"/>
  <c r="U34" i="1" l="1"/>
  <c r="O3" i="1" l="1"/>
  <c r="O4" i="1"/>
  <c r="O5" i="1"/>
  <c r="N34" i="1"/>
  <c r="L34" i="1"/>
  <c r="K34" i="1"/>
  <c r="D34" i="1"/>
  <c r="S34" i="1" l="1"/>
  <c r="R34" i="1"/>
  <c r="Q34" i="1"/>
  <c r="O34" i="1"/>
  <c r="M34" i="1"/>
  <c r="J34" i="1"/>
  <c r="C34" i="1"/>
  <c r="F34" i="1"/>
  <c r="H34" i="1"/>
  <c r="E34" i="1"/>
  <c r="B34" i="1"/>
  <c r="G34" i="1"/>
  <c r="N94" i="10" l="1"/>
  <c r="G60" i="10" l="1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s="1"/>
  <c r="D31" i="4" l="1"/>
  <c r="C32" i="5"/>
  <c r="C33" i="5"/>
  <c r="C31" i="5"/>
  <c r="J32" i="11" l="1"/>
  <c r="J11" i="11"/>
  <c r="K11" i="11" s="1"/>
  <c r="I3" i="11"/>
  <c r="I4" i="11"/>
  <c r="I6" i="11"/>
  <c r="I7" i="11"/>
  <c r="I8" i="11"/>
  <c r="I9" i="11"/>
  <c r="I10" i="11"/>
  <c r="I12" i="11"/>
  <c r="G25" i="3" l="1"/>
  <c r="K30" i="9" l="1"/>
  <c r="K31" i="9"/>
  <c r="K32" i="9"/>
  <c r="X30" i="8"/>
  <c r="X31" i="8"/>
  <c r="X32" i="8"/>
  <c r="Q32" i="8"/>
  <c r="O32" i="8"/>
  <c r="N32" i="8"/>
  <c r="Q31" i="8"/>
  <c r="O31" i="8"/>
  <c r="N31" i="8"/>
  <c r="Q30" i="8"/>
  <c r="O30" i="8"/>
  <c r="N30" i="8"/>
  <c r="T4" i="2"/>
  <c r="T5" i="2" s="1"/>
  <c r="T16" i="2" s="1"/>
  <c r="T17" i="2" s="1"/>
  <c r="T19" i="2" s="1"/>
  <c r="T20" i="2" s="1"/>
  <c r="T31" i="2" s="1"/>
  <c r="R4" i="2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2" i="2" s="1"/>
  <c r="R23" i="2" s="1"/>
  <c r="R24" i="2" s="1"/>
  <c r="R25" i="2" s="1"/>
  <c r="R26" i="2" s="1"/>
  <c r="R29" i="2" s="1"/>
  <c r="R31" i="2" s="1"/>
  <c r="P4" i="2"/>
  <c r="P5" i="2" s="1"/>
  <c r="P32" i="2" s="1"/>
  <c r="N4" i="2"/>
  <c r="N5" i="2" s="1"/>
  <c r="N16" i="2" s="1"/>
  <c r="N17" i="2" s="1"/>
  <c r="N19" i="2" s="1"/>
  <c r="N20" i="2" s="1"/>
  <c r="L4" i="2"/>
  <c r="L5" i="2"/>
  <c r="L16" i="2" s="1"/>
  <c r="L17" i="2" s="1"/>
  <c r="L19" i="2" s="1"/>
  <c r="L20" i="2" s="1"/>
  <c r="J4" i="2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9" i="2" s="1"/>
  <c r="J31" i="2" s="1"/>
  <c r="H4" i="2"/>
  <c r="H5" i="2" s="1"/>
  <c r="H16" i="2" s="1"/>
  <c r="H17" i="2" s="1"/>
  <c r="H19" i="2" s="1"/>
  <c r="H20" i="2" s="1"/>
  <c r="F4" i="2"/>
  <c r="F5" i="2" s="1"/>
  <c r="F16" i="2" s="1"/>
  <c r="F17" i="2" s="1"/>
  <c r="F19" i="2" s="1"/>
  <c r="F20" i="2" s="1"/>
  <c r="D4" i="2"/>
  <c r="D5" i="2" s="1"/>
  <c r="D16" i="2" s="1"/>
  <c r="D17" i="2" s="1"/>
  <c r="D19" i="2" s="1"/>
  <c r="D20" i="2" s="1"/>
  <c r="B4" i="2"/>
  <c r="B5" i="2" s="1"/>
  <c r="B16" i="2" s="1"/>
  <c r="B17" i="2" s="1"/>
  <c r="B19" i="2" s="1"/>
  <c r="B20" i="2" s="1"/>
  <c r="J3" i="2"/>
  <c r="H4" i="3"/>
  <c r="H5" i="3" s="1"/>
  <c r="H16" i="3" s="1"/>
  <c r="H17" i="3" s="1"/>
  <c r="H19" i="3" s="1"/>
  <c r="H20" i="3" s="1"/>
  <c r="F4" i="3"/>
  <c r="F5" i="3" s="1"/>
  <c r="F16" i="3"/>
  <c r="F17" i="3" s="1"/>
  <c r="F19" i="3" s="1"/>
  <c r="F20" i="3" s="1"/>
  <c r="I32" i="8" s="1"/>
  <c r="D4" i="3"/>
  <c r="D5" i="3" s="1"/>
  <c r="D16" i="3" s="1"/>
  <c r="D17" i="3" s="1"/>
  <c r="D19" i="3" s="1"/>
  <c r="D20" i="3" s="1"/>
  <c r="B4" i="3"/>
  <c r="B5" i="3" s="1"/>
  <c r="B16" i="3"/>
  <c r="B17" i="3" s="1"/>
  <c r="B19" i="3" s="1"/>
  <c r="B20" i="3" s="1"/>
  <c r="V4" i="4"/>
  <c r="V5" i="4" s="1"/>
  <c r="R4" i="4"/>
  <c r="R5" i="4" s="1"/>
  <c r="R16" i="4"/>
  <c r="R19" i="4" s="1"/>
  <c r="R20" i="4" s="1"/>
  <c r="U34" i="4"/>
  <c r="T34" i="4"/>
  <c r="P4" i="4"/>
  <c r="P5" i="4" s="1"/>
  <c r="P16" i="4" s="1"/>
  <c r="P17" i="4" s="1"/>
  <c r="P19" i="4" s="1"/>
  <c r="P20" i="4" s="1"/>
  <c r="N4" i="4"/>
  <c r="N5" i="4" s="1"/>
  <c r="N16" i="4" s="1"/>
  <c r="N17" i="4" s="1"/>
  <c r="N19" i="4" s="1"/>
  <c r="L4" i="4"/>
  <c r="L5" i="4"/>
  <c r="L16" i="4" s="1"/>
  <c r="L17" i="4" s="1"/>
  <c r="L19" i="4" s="1"/>
  <c r="L20" i="4" s="1"/>
  <c r="J4" i="4"/>
  <c r="J5" i="4" s="1"/>
  <c r="J16" i="4" s="1"/>
  <c r="J17" i="4" s="1"/>
  <c r="J19" i="4" s="1"/>
  <c r="J20" i="4" s="1"/>
  <c r="G4" i="4"/>
  <c r="G5" i="4" s="1"/>
  <c r="G16" i="4"/>
  <c r="G17" i="4" s="1"/>
  <c r="G19" i="4" s="1"/>
  <c r="G20" i="4" s="1"/>
  <c r="E4" i="4"/>
  <c r="E5" i="4" s="1"/>
  <c r="E16" i="4"/>
  <c r="E17" i="4" s="1"/>
  <c r="E19" i="4" s="1"/>
  <c r="E20" i="4" s="1"/>
  <c r="C4" i="4"/>
  <c r="C5" i="4" s="1"/>
  <c r="C16" i="4" s="1"/>
  <c r="C17" i="4" s="1"/>
  <c r="C19" i="4" s="1"/>
  <c r="C20" i="4" s="1"/>
  <c r="Z2" i="4"/>
  <c r="I2" i="4"/>
  <c r="B4" i="5"/>
  <c r="B5" i="5" s="1"/>
  <c r="B19" i="5" s="1"/>
  <c r="B20" i="5" s="1"/>
  <c r="Q4" i="1"/>
  <c r="Q5" i="1" s="1"/>
  <c r="Q16" i="1" s="1"/>
  <c r="Q17" i="1" s="1"/>
  <c r="Q19" i="1" s="1"/>
  <c r="Q20" i="1" s="1"/>
  <c r="N16" i="1"/>
  <c r="N17" i="1" s="1"/>
  <c r="N19" i="1" s="1"/>
  <c r="N20" i="1" s="1"/>
  <c r="N5" i="1"/>
  <c r="K4" i="1"/>
  <c r="K5" i="1" s="1"/>
  <c r="K16" i="1" s="1"/>
  <c r="K17" i="1" s="1"/>
  <c r="K19" i="1" s="1"/>
  <c r="K20" i="1" s="1"/>
  <c r="H4" i="1"/>
  <c r="H5" i="1" s="1"/>
  <c r="H16" i="1"/>
  <c r="H17" i="1" s="1"/>
  <c r="H19" i="1" s="1"/>
  <c r="H20" i="1" s="1"/>
  <c r="E4" i="1"/>
  <c r="E5" i="1"/>
  <c r="E16" i="1"/>
  <c r="E17" i="1" s="1"/>
  <c r="E19" i="1" s="1"/>
  <c r="E20" i="1" s="1"/>
  <c r="B4" i="1"/>
  <c r="B5" i="1" s="1"/>
  <c r="D2" i="1"/>
  <c r="C3" i="1"/>
  <c r="S2" i="1"/>
  <c r="P2" i="1"/>
  <c r="M2" i="1"/>
  <c r="J2" i="1"/>
  <c r="G2" i="1"/>
  <c r="J22" i="11" l="1"/>
  <c r="J9" i="11"/>
  <c r="K9" i="11" s="1"/>
  <c r="J23" i="11"/>
  <c r="H32" i="8"/>
  <c r="J30" i="11"/>
  <c r="J7" i="11"/>
  <c r="K7" i="11" s="1"/>
  <c r="J10" i="11"/>
  <c r="K10" i="11" s="1"/>
  <c r="J17" i="11"/>
  <c r="AB32" i="8"/>
  <c r="J25" i="11"/>
  <c r="J32" i="8"/>
  <c r="J4" i="11"/>
  <c r="K4" i="11" s="1"/>
  <c r="J29" i="11"/>
  <c r="K31" i="2"/>
  <c r="J19" i="11"/>
  <c r="J3" i="11"/>
  <c r="K3" i="11" s="1"/>
  <c r="J8" i="11"/>
  <c r="K8" i="11" s="1"/>
  <c r="J21" i="11"/>
  <c r="J18" i="11"/>
  <c r="AC32" i="8"/>
  <c r="J20" i="11"/>
  <c r="J6" i="11"/>
  <c r="K6" i="11" s="1"/>
  <c r="G32" i="8"/>
  <c r="J31" i="11"/>
  <c r="J24" i="11"/>
  <c r="J16" i="11"/>
  <c r="K32" i="2"/>
  <c r="AA32" i="8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W32" i="8"/>
  <c r="R31" i="1"/>
  <c r="U32" i="8"/>
  <c r="O32" i="1"/>
  <c r="L32" i="1"/>
  <c r="V32" i="8"/>
  <c r="T32" i="8"/>
  <c r="I31" i="1"/>
  <c r="I32" i="1"/>
  <c r="S32" i="8"/>
  <c r="F32" i="1"/>
  <c r="F31" i="1"/>
  <c r="U32" i="2"/>
  <c r="U31" i="2"/>
  <c r="Q32" i="2"/>
  <c r="Q31" i="2"/>
  <c r="AC30" i="8" s="1"/>
  <c r="O32" i="2"/>
  <c r="AB31" i="8" s="1"/>
  <c r="O31" i="2"/>
  <c r="AB30" i="8" s="1"/>
  <c r="M32" i="2"/>
  <c r="M31" i="2"/>
  <c r="AA30" i="8" s="1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F32" i="8"/>
  <c r="E32" i="3"/>
  <c r="E31" i="3"/>
  <c r="E32" i="8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V16" i="4"/>
  <c r="V17" i="4" s="1"/>
  <c r="V19" i="4" s="1"/>
  <c r="V20" i="4" s="1"/>
  <c r="Y2" i="4"/>
  <c r="C5" i="1"/>
  <c r="C4" i="1"/>
  <c r="U2" i="1"/>
  <c r="Z32" i="8" l="1"/>
  <c r="K32" i="8"/>
  <c r="M32" i="8"/>
  <c r="K5" i="11"/>
  <c r="AA31" i="8"/>
  <c r="AC31" i="8"/>
  <c r="I32" i="4"/>
  <c r="P31" i="1"/>
  <c r="M31" i="1"/>
  <c r="G31" i="9"/>
  <c r="G30" i="9"/>
  <c r="W30" i="8"/>
  <c r="S31" i="1"/>
  <c r="W31" i="8"/>
  <c r="S32" i="1"/>
  <c r="U31" i="8"/>
  <c r="P32" i="1"/>
  <c r="M32" i="1"/>
  <c r="V31" i="8"/>
  <c r="T30" i="8"/>
  <c r="J31" i="1"/>
  <c r="J32" i="1"/>
  <c r="T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AD32" i="8"/>
  <c r="AE32" i="8" s="1"/>
  <c r="W31" i="4"/>
  <c r="X31" i="4" s="1"/>
  <c r="C6" i="1"/>
  <c r="D28" i="4"/>
  <c r="L32" i="8" l="1"/>
  <c r="E32" i="9" s="1"/>
  <c r="G32" i="9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W32" i="4"/>
  <c r="D32" i="4"/>
  <c r="C7" i="1"/>
  <c r="W25" i="4"/>
  <c r="F25" i="4"/>
  <c r="J26" i="11" l="1"/>
  <c r="J12" i="11"/>
  <c r="K12" i="11" s="1"/>
  <c r="K13" i="11" s="1"/>
  <c r="K14" i="11" s="1"/>
  <c r="E31" i="9"/>
  <c r="E30" i="9"/>
  <c r="X32" i="4"/>
  <c r="Y32" i="4" s="1"/>
  <c r="Z32" i="4"/>
  <c r="C8" i="1"/>
  <c r="H23" i="4"/>
  <c r="C9" i="1" l="1"/>
  <c r="F21" i="4"/>
  <c r="C10" i="1" l="1"/>
  <c r="I20" i="3"/>
  <c r="C11" i="1" l="1"/>
  <c r="Q20" i="2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D15" i="4"/>
  <c r="W14" i="4"/>
  <c r="S14" i="4"/>
  <c r="Q14" i="4"/>
  <c r="O14" i="4"/>
  <c r="M14" i="4"/>
  <c r="K14" i="4"/>
  <c r="H14" i="4"/>
  <c r="F14" i="4"/>
  <c r="D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B16" i="1"/>
  <c r="Y14" i="4"/>
  <c r="F5" i="4"/>
  <c r="F6" i="4"/>
  <c r="B17" i="1" l="1"/>
  <c r="C16" i="1"/>
  <c r="D15" i="1"/>
  <c r="T15" i="1"/>
  <c r="U15" i="1" s="1"/>
  <c r="E11" i="2"/>
  <c r="C17" i="1" l="1"/>
  <c r="C4" i="5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" i="2"/>
  <c r="C34" i="5" l="1"/>
  <c r="B19" i="1"/>
  <c r="C18" i="1"/>
  <c r="C13" i="2"/>
  <c r="B20" i="1" l="1"/>
  <c r="C19" i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8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E3" i="3"/>
  <c r="F2" i="8" s="1"/>
  <c r="E6" i="2"/>
  <c r="O5" i="2"/>
  <c r="AB4" i="8" s="1"/>
  <c r="O6" i="2"/>
  <c r="AB5" i="8" s="1"/>
  <c r="R4" i="8"/>
  <c r="D6" i="1"/>
  <c r="D7" i="1"/>
  <c r="D8" i="1"/>
  <c r="R8" i="8"/>
  <c r="D10" i="1"/>
  <c r="C3" i="5"/>
  <c r="G2" i="9" s="1"/>
  <c r="E3" i="2"/>
  <c r="G3" i="2"/>
  <c r="K3" i="2"/>
  <c r="M3" i="2"/>
  <c r="O3" i="2"/>
  <c r="AB2" i="8" s="1"/>
  <c r="Q3" i="2"/>
  <c r="AC2" i="8" s="1"/>
  <c r="U3" i="2"/>
  <c r="S18" i="2"/>
  <c r="S19" i="2"/>
  <c r="D8" i="4"/>
  <c r="Q7" i="8" s="1"/>
  <c r="K8" i="2"/>
  <c r="R10" i="1"/>
  <c r="W9" i="8" s="1"/>
  <c r="L10" i="1"/>
  <c r="M10" i="1" s="1"/>
  <c r="M5" i="4"/>
  <c r="M78" i="10"/>
  <c r="E4" i="2"/>
  <c r="F7" i="1"/>
  <c r="G7" i="1" s="1"/>
  <c r="I6" i="1"/>
  <c r="L7" i="1"/>
  <c r="V6" i="8" s="1"/>
  <c r="R5" i="1"/>
  <c r="W4" i="8" s="1"/>
  <c r="R6" i="1"/>
  <c r="W5" i="8" s="1"/>
  <c r="I5" i="1"/>
  <c r="T4" i="8" s="1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K26" i="11" s="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F3" i="1"/>
  <c r="G3" i="1" s="1"/>
  <c r="I3" i="1"/>
  <c r="T2" i="8" s="1"/>
  <c r="L3" i="1"/>
  <c r="M3" i="1" s="1"/>
  <c r="U2" i="8"/>
  <c r="D4" i="1"/>
  <c r="F4" i="1"/>
  <c r="I4" i="1"/>
  <c r="J4" i="1" s="1"/>
  <c r="L4" i="1"/>
  <c r="V3" i="8" s="1"/>
  <c r="R4" i="1"/>
  <c r="S4" i="1" s="1"/>
  <c r="L5" i="1"/>
  <c r="L6" i="1"/>
  <c r="M6" i="1" s="1"/>
  <c r="G3" i="9"/>
  <c r="G4" i="9"/>
  <c r="G5" i="9"/>
  <c r="D3" i="4"/>
  <c r="F3" i="4"/>
  <c r="H3" i="4"/>
  <c r="K3" i="4"/>
  <c r="K2" i="8" s="1"/>
  <c r="M3" i="4"/>
  <c r="O3" i="4"/>
  <c r="Q3" i="4"/>
  <c r="S3" i="4"/>
  <c r="W3" i="4"/>
  <c r="D4" i="4"/>
  <c r="Q3" i="8" s="1"/>
  <c r="F4" i="4"/>
  <c r="H4" i="4"/>
  <c r="J3" i="8" s="1"/>
  <c r="K4" i="4"/>
  <c r="K3" i="8" s="1"/>
  <c r="M4" i="4"/>
  <c r="L3" i="8" s="1"/>
  <c r="O4" i="4"/>
  <c r="M3" i="8" s="1"/>
  <c r="Q4" i="4"/>
  <c r="N3" i="8" s="1"/>
  <c r="S4" i="4"/>
  <c r="O3" i="8" s="1"/>
  <c r="W4" i="4"/>
  <c r="D5" i="4"/>
  <c r="Q4" i="8" s="1"/>
  <c r="I4" i="8"/>
  <c r="J4" i="8"/>
  <c r="Q5" i="4"/>
  <c r="N4" i="8" s="1"/>
  <c r="S5" i="4"/>
  <c r="W5" i="4"/>
  <c r="C3" i="3"/>
  <c r="E2" i="8" s="1"/>
  <c r="G3" i="3"/>
  <c r="G2" i="8" s="1"/>
  <c r="I3" i="3"/>
  <c r="H2" i="8" s="1"/>
  <c r="E3" i="8"/>
  <c r="E4" i="3"/>
  <c r="F3" i="8" s="1"/>
  <c r="G4" i="3"/>
  <c r="I4" i="3"/>
  <c r="H3" i="8" s="1"/>
  <c r="E4" i="8"/>
  <c r="E5" i="3"/>
  <c r="F4" i="8" s="1"/>
  <c r="G5" i="3"/>
  <c r="G4" i="8" s="1"/>
  <c r="I5" i="3"/>
  <c r="G4" i="2"/>
  <c r="K4" i="2"/>
  <c r="M4" i="2"/>
  <c r="O4" i="2"/>
  <c r="AB3" i="8" s="1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I7" i="1"/>
  <c r="I8" i="1"/>
  <c r="J8" i="1" s="1"/>
  <c r="O7" i="1"/>
  <c r="U6" i="8" s="1"/>
  <c r="O6" i="1"/>
  <c r="S8" i="2"/>
  <c r="D7" i="4"/>
  <c r="Q6" i="8" s="1"/>
  <c r="J6" i="8"/>
  <c r="K8" i="4"/>
  <c r="K7" i="8" s="1"/>
  <c r="O8" i="4"/>
  <c r="M7" i="8" s="1"/>
  <c r="O9" i="1"/>
  <c r="P9" i="1" s="1"/>
  <c r="O8" i="1"/>
  <c r="U7" i="8" s="1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H8" i="4"/>
  <c r="L8" i="1"/>
  <c r="G8" i="9"/>
  <c r="G7" i="9"/>
  <c r="W8" i="4"/>
  <c r="R7" i="1"/>
  <c r="R8" i="1"/>
  <c r="S8" i="1" s="1"/>
  <c r="W9" i="4"/>
  <c r="S8" i="4"/>
  <c r="O7" i="8" s="1"/>
  <c r="Q8" i="4"/>
  <c r="M8" i="4"/>
  <c r="L7" i="8" s="1"/>
  <c r="S9" i="4"/>
  <c r="O8" i="8" s="1"/>
  <c r="M9" i="4"/>
  <c r="L8" i="8" s="1"/>
  <c r="K9" i="4"/>
  <c r="K8" i="8" s="1"/>
  <c r="I9" i="1"/>
  <c r="F8" i="1"/>
  <c r="G8" i="1" s="1"/>
  <c r="F9" i="4"/>
  <c r="I8" i="8" s="1"/>
  <c r="F8" i="4"/>
  <c r="I7" i="8" s="1"/>
  <c r="R9" i="1"/>
  <c r="Q8" i="2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I10" i="1"/>
  <c r="J10" i="1" s="1"/>
  <c r="F10" i="1"/>
  <c r="S9" i="8" s="1"/>
  <c r="R11" i="1"/>
  <c r="S11" i="1" s="1"/>
  <c r="I11" i="1"/>
  <c r="J11" i="1" s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K26" i="2"/>
  <c r="K27" i="2"/>
  <c r="K29" i="11"/>
  <c r="C14" i="11" s="1"/>
  <c r="U3" i="8"/>
  <c r="P5" i="1"/>
  <c r="R3" i="1"/>
  <c r="C4" i="2"/>
  <c r="I5" i="2"/>
  <c r="I4" i="2"/>
  <c r="I3" i="2"/>
  <c r="K28" i="2"/>
  <c r="C8" i="2"/>
  <c r="E8" i="2"/>
  <c r="G8" i="2"/>
  <c r="I8" i="2"/>
  <c r="M8" i="2"/>
  <c r="O8" i="2"/>
  <c r="AB7" i="8" s="1"/>
  <c r="C5" i="2"/>
  <c r="E6" i="3"/>
  <c r="E7" i="3"/>
  <c r="F6" i="8" s="1"/>
  <c r="G6" i="3"/>
  <c r="E8" i="3"/>
  <c r="F7" i="8" s="1"/>
  <c r="U6" i="2"/>
  <c r="U7" i="2"/>
  <c r="U9" i="2"/>
  <c r="C9" i="2"/>
  <c r="M10" i="2"/>
  <c r="M9" i="2"/>
  <c r="E9" i="3"/>
  <c r="F8" i="8" s="1"/>
  <c r="I7" i="3"/>
  <c r="H6" i="8" s="1"/>
  <c r="G9" i="3"/>
  <c r="G8" i="8" s="1"/>
  <c r="G8" i="3"/>
  <c r="G7" i="8" s="1"/>
  <c r="G7" i="3"/>
  <c r="G6" i="8" s="1"/>
  <c r="E5" i="8"/>
  <c r="I8" i="3"/>
  <c r="H7" i="8" s="1"/>
  <c r="E6" i="8"/>
  <c r="E7" i="8"/>
  <c r="C10" i="3"/>
  <c r="E9" i="8" s="1"/>
  <c r="C11" i="3"/>
  <c r="E10" i="8" s="1"/>
  <c r="C9" i="3"/>
  <c r="E11" i="3"/>
  <c r="U8" i="2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W11" i="4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Q13" i="8"/>
  <c r="K14" i="8"/>
  <c r="Q14" i="8"/>
  <c r="D16" i="4"/>
  <c r="Q15" i="8" s="1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D17" i="4"/>
  <c r="Q16" i="8" s="1"/>
  <c r="R17" i="1"/>
  <c r="W16" i="8" s="1"/>
  <c r="O16" i="1"/>
  <c r="U15" i="8" s="1"/>
  <c r="L17" i="1"/>
  <c r="W17" i="4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D20" i="4"/>
  <c r="Q19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D29" i="4"/>
  <c r="Q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D30" i="4"/>
  <c r="Q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D21" i="4"/>
  <c r="Q20" i="8" s="1"/>
  <c r="D22" i="4"/>
  <c r="Q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Q23" i="4"/>
  <c r="N22" i="8" s="1"/>
  <c r="O23" i="4"/>
  <c r="M22" i="8" s="1"/>
  <c r="M22" i="2"/>
  <c r="G23" i="2"/>
  <c r="E23" i="2"/>
  <c r="W22" i="4"/>
  <c r="O24" i="4"/>
  <c r="M23" i="8" s="1"/>
  <c r="W24" i="4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D23" i="4"/>
  <c r="Q22" i="8" s="1"/>
  <c r="O25" i="2"/>
  <c r="AB24" i="8" s="1"/>
  <c r="O24" i="2"/>
  <c r="AB23" i="8" s="1"/>
  <c r="M25" i="2"/>
  <c r="I25" i="2"/>
  <c r="I26" i="2"/>
  <c r="D24" i="4"/>
  <c r="Q23" i="8" s="1"/>
  <c r="D25" i="4"/>
  <c r="Q24" i="8" s="1"/>
  <c r="D26" i="4"/>
  <c r="Q25" i="8" s="1"/>
  <c r="G25" i="2"/>
  <c r="E25" i="2"/>
  <c r="G26" i="3"/>
  <c r="G25" i="8" s="1"/>
  <c r="G24" i="8"/>
  <c r="C26" i="3"/>
  <c r="E25" i="8" s="1"/>
  <c r="C25" i="3"/>
  <c r="E24" i="8" s="1"/>
  <c r="W27" i="4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Q28" i="4"/>
  <c r="N27" i="8" s="1"/>
  <c r="K28" i="4"/>
  <c r="K27" i="8" s="1"/>
  <c r="D27" i="4"/>
  <c r="Q26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AA27" i="8" s="1"/>
  <c r="C27" i="2"/>
  <c r="Q27" i="8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T5" i="8" l="1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P3" i="1"/>
  <c r="P34" i="1" s="1"/>
  <c r="I5" i="4"/>
  <c r="I3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P8" i="1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Y7" i="4" s="1"/>
  <c r="Z25" i="4"/>
  <c r="Z8" i="4"/>
  <c r="Z22" i="4"/>
  <c r="X22" i="4"/>
  <c r="X10" i="4"/>
  <c r="I10" i="4"/>
  <c r="I8" i="4"/>
  <c r="I9" i="4"/>
  <c r="I3" i="8"/>
  <c r="I13" i="8"/>
  <c r="Z4" i="4"/>
  <c r="X4" i="4"/>
  <c r="J23" i="3"/>
  <c r="K23" i="3" s="1"/>
  <c r="J16" i="3"/>
  <c r="K16" i="3" s="1"/>
  <c r="AD24" i="8"/>
  <c r="AE24" i="8" s="1"/>
  <c r="AD10" i="8"/>
  <c r="AE10" i="8" s="1"/>
  <c r="J3" i="3"/>
  <c r="K3" i="3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Z16" i="4"/>
  <c r="K13" i="4"/>
  <c r="K12" i="4"/>
  <c r="F13" i="4"/>
  <c r="I13" i="4" s="1"/>
  <c r="F12" i="4"/>
  <c r="D11" i="4"/>
  <c r="Q10" i="8" s="1"/>
  <c r="C11" i="2"/>
  <c r="U5" i="8"/>
  <c r="P6" i="1"/>
  <c r="I17" i="8"/>
  <c r="I11" i="2"/>
  <c r="S3" i="8"/>
  <c r="G4" i="1"/>
  <c r="U28" i="8"/>
  <c r="G30" i="3"/>
  <c r="G29" i="8" s="1"/>
  <c r="X28" i="4"/>
  <c r="X25" i="4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S9" i="1"/>
  <c r="W8" i="8"/>
  <c r="T8" i="8"/>
  <c r="J9" i="1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D19" i="4"/>
  <c r="Q18" i="8" s="1"/>
  <c r="D18" i="4"/>
  <c r="Q17" i="8" s="1"/>
  <c r="S16" i="1"/>
  <c r="W15" i="8"/>
  <c r="O17" i="4"/>
  <c r="M16" i="8" s="1"/>
  <c r="S17" i="4"/>
  <c r="T9" i="1"/>
  <c r="U9" i="1" s="1"/>
  <c r="O12" i="4"/>
  <c r="M11" i="8" s="1"/>
  <c r="O13" i="4"/>
  <c r="Z4" i="8"/>
  <c r="Z7" i="4"/>
  <c r="K5" i="8"/>
  <c r="X6" i="4"/>
  <c r="H4" i="8"/>
  <c r="AD4" i="8" s="1"/>
  <c r="AE4" i="8" s="1"/>
  <c r="J5" i="3"/>
  <c r="K5" i="3" s="1"/>
  <c r="J5" i="8"/>
  <c r="I6" i="4"/>
  <c r="K9" i="2"/>
  <c r="Z2" i="8"/>
  <c r="G21" i="1"/>
  <c r="J10" i="8"/>
  <c r="S3" i="1"/>
  <c r="W2" i="8"/>
  <c r="N7" i="8"/>
  <c r="X8" i="4"/>
  <c r="S7" i="1"/>
  <c r="W6" i="8"/>
  <c r="M8" i="1"/>
  <c r="V7" i="8"/>
  <c r="AC3" i="8"/>
  <c r="Z5" i="4"/>
  <c r="D3" i="1"/>
  <c r="R2" i="8"/>
  <c r="T3" i="1"/>
  <c r="U3" i="1" s="1"/>
  <c r="C8" i="11"/>
  <c r="D8" i="11" s="1"/>
  <c r="K17" i="2"/>
  <c r="AA16" i="8" s="1"/>
  <c r="AC6" i="8"/>
  <c r="T6" i="8"/>
  <c r="J7" i="1"/>
  <c r="G3" i="8"/>
  <c r="J4" i="3"/>
  <c r="K4" i="3" s="1"/>
  <c r="Z3" i="4"/>
  <c r="X3" i="4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T8" i="1"/>
  <c r="U8" i="1" s="1"/>
  <c r="V8" i="8"/>
  <c r="T7" i="1"/>
  <c r="U7" i="1" s="1"/>
  <c r="J3" i="1"/>
  <c r="T3" i="8"/>
  <c r="W3" i="8"/>
  <c r="T10" i="8"/>
  <c r="S8" i="8"/>
  <c r="S6" i="1"/>
  <c r="S22" i="1"/>
  <c r="L2" i="8"/>
  <c r="O2" i="8"/>
  <c r="N2" i="8"/>
  <c r="M2" i="8"/>
  <c r="J2" i="8"/>
  <c r="I2" i="8"/>
  <c r="Q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8" i="3"/>
  <c r="K8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C5" i="11"/>
  <c r="D5" i="11" s="1"/>
  <c r="C6" i="11"/>
  <c r="D6" i="11" s="1"/>
  <c r="U5" i="1" l="1"/>
  <c r="T34" i="1"/>
  <c r="I34" i="1"/>
  <c r="U6" i="1"/>
  <c r="K6" i="3"/>
  <c r="C28" i="1"/>
  <c r="Y3" i="4"/>
  <c r="Y5" i="4"/>
  <c r="Y4" i="4"/>
  <c r="S12" i="8"/>
  <c r="Y16" i="4"/>
  <c r="H17" i="4"/>
  <c r="J15" i="8"/>
  <c r="Z12" i="4"/>
  <c r="J17" i="3"/>
  <c r="K17" i="3" s="1"/>
  <c r="Y9" i="4"/>
  <c r="Y8" i="4"/>
  <c r="Y6" i="4"/>
  <c r="E5" i="9"/>
  <c r="E6" i="9"/>
  <c r="E4" i="9"/>
  <c r="AA23" i="4"/>
  <c r="AA26" i="4"/>
  <c r="AA25" i="4"/>
  <c r="AA24" i="4"/>
  <c r="Y10" i="4"/>
  <c r="AD28" i="8"/>
  <c r="AE28" i="8" s="1"/>
  <c r="C7" i="11"/>
  <c r="D7" i="11" s="1"/>
  <c r="E3" i="9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Z30" i="4"/>
  <c r="X30" i="4"/>
  <c r="I20" i="8"/>
  <c r="X17" i="4"/>
  <c r="K16" i="8"/>
  <c r="I12" i="2"/>
  <c r="I13" i="2"/>
  <c r="D12" i="4"/>
  <c r="D13" i="4"/>
  <c r="Q12" i="8" s="1"/>
  <c r="I12" i="8"/>
  <c r="K12" i="8"/>
  <c r="X13" i="4"/>
  <c r="G12" i="1"/>
  <c r="S11" i="8"/>
  <c r="S29" i="1"/>
  <c r="W28" i="8"/>
  <c r="J12" i="8"/>
  <c r="J11" i="8"/>
  <c r="C12" i="2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Z29" i="4"/>
  <c r="K18" i="4"/>
  <c r="K19" i="4"/>
  <c r="Z9" i="8"/>
  <c r="X21" i="4"/>
  <c r="L20" i="8"/>
  <c r="J30" i="3"/>
  <c r="K30" i="3" s="1"/>
  <c r="AA27" i="4"/>
  <c r="I11" i="8"/>
  <c r="Z11" i="4"/>
  <c r="N10" i="8"/>
  <c r="AA5" i="4"/>
  <c r="AA4" i="4"/>
  <c r="AA6" i="4"/>
  <c r="AA8" i="4"/>
  <c r="AA7" i="4"/>
  <c r="AA3" i="4"/>
  <c r="E7" i="9"/>
  <c r="G11" i="2"/>
  <c r="Z10" i="8" s="1"/>
  <c r="E14" i="9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E2" i="9"/>
  <c r="F18" i="8"/>
  <c r="AA32" i="4" l="1"/>
  <c r="AA31" i="4"/>
  <c r="C29" i="1"/>
  <c r="AA11" i="4"/>
  <c r="AA14" i="4"/>
  <c r="AA15" i="4"/>
  <c r="I17" i="4"/>
  <c r="Y17" i="4" s="1"/>
  <c r="J16" i="8"/>
  <c r="E16" i="9" s="1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K11" i="2"/>
  <c r="AA13" i="4"/>
  <c r="E17" i="8"/>
  <c r="AD17" i="8" s="1"/>
  <c r="AE17" i="8" s="1"/>
  <c r="J18" i="3"/>
  <c r="K19" i="2"/>
  <c r="AA18" i="8" s="1"/>
  <c r="AD18" i="8"/>
  <c r="AE18" i="8" s="1"/>
  <c r="Q11" i="8"/>
  <c r="Y11" i="4"/>
  <c r="G12" i="2"/>
  <c r="G13" i="2"/>
  <c r="Z12" i="8" s="1"/>
  <c r="AA12" i="4"/>
  <c r="K18" i="8"/>
  <c r="X19" i="4"/>
  <c r="M17" i="8"/>
  <c r="Z19" i="4"/>
  <c r="Y13" i="4"/>
  <c r="V18" i="8"/>
  <c r="M19" i="1"/>
  <c r="M18" i="1"/>
  <c r="V17" i="8"/>
  <c r="C30" i="1" l="1"/>
  <c r="R29" i="8" s="1"/>
  <c r="J17" i="8"/>
  <c r="E17" i="9" s="1"/>
  <c r="I18" i="4"/>
  <c r="Y18" i="4" s="1"/>
  <c r="H19" i="4"/>
  <c r="K12" i="2"/>
  <c r="AA11" i="8" s="1"/>
  <c r="Z11" i="8"/>
  <c r="AA22" i="4"/>
  <c r="AA19" i="4"/>
  <c r="AA21" i="4"/>
  <c r="K18" i="3"/>
  <c r="AA20" i="4"/>
  <c r="K21" i="2"/>
  <c r="AA20" i="8" s="1"/>
  <c r="AA10" i="8"/>
  <c r="E10" i="9" s="1"/>
  <c r="D30" i="1" l="1"/>
  <c r="T30" i="1"/>
  <c r="U30" i="1" s="1"/>
  <c r="C31" i="1"/>
  <c r="AA34" i="4"/>
  <c r="E11" i="9"/>
  <c r="J18" i="8"/>
  <c r="I19" i="4"/>
  <c r="Y19" i="4" s="1"/>
  <c r="H20" i="4"/>
  <c r="K22" i="2"/>
  <c r="AA21" i="8" s="1"/>
  <c r="K23" i="2"/>
  <c r="AA22" i="8" s="1"/>
  <c r="AA13" i="8"/>
  <c r="E13" i="9" s="1"/>
  <c r="K13" i="2"/>
  <c r="R30" i="8" l="1"/>
  <c r="T31" i="1"/>
  <c r="U31" i="1" s="1"/>
  <c r="D31" i="1"/>
  <c r="C32" i="1"/>
  <c r="J19" i="8"/>
  <c r="I20" i="4"/>
  <c r="Y20" i="4" s="1"/>
  <c r="H21" i="4"/>
  <c r="AA12" i="8"/>
  <c r="E12" i="9" s="1"/>
  <c r="R32" i="8" l="1"/>
  <c r="D32" i="1"/>
  <c r="R31" i="8"/>
  <c r="T32" i="1"/>
  <c r="U32" i="1" s="1"/>
  <c r="I21" i="4"/>
  <c r="Y21" i="4" s="1"/>
  <c r="J20" i="8"/>
  <c r="E20" i="9" s="1"/>
  <c r="H22" i="4"/>
  <c r="I22" i="4" l="1"/>
  <c r="Y22" i="4" s="1"/>
  <c r="J21" i="8"/>
  <c r="E21" i="9" s="1"/>
  <c r="H24" i="4" l="1"/>
  <c r="I23" i="4"/>
  <c r="Y23" i="4" s="1"/>
  <c r="J22" i="8"/>
  <c r="E22" i="9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D29" i="1"/>
  <c r="R28" i="8"/>
  <c r="U29" i="1" l="1"/>
  <c r="F24" i="4"/>
  <c r="I23" i="8" s="1"/>
  <c r="E23" i="9" s="1"/>
  <c r="I25" i="4" l="1"/>
  <c r="Y25" i="4" s="1"/>
  <c r="I24" i="8"/>
  <c r="E24" i="9" s="1"/>
  <c r="F27" i="4"/>
  <c r="I24" i="4"/>
  <c r="Y24" i="4" s="1"/>
  <c r="F26" i="4"/>
  <c r="I27" i="4" l="1"/>
  <c r="Y27" i="4" s="1"/>
  <c r="I26" i="8"/>
  <c r="E26" i="9" s="1"/>
  <c r="I26" i="4"/>
  <c r="Y26" i="4" s="1"/>
  <c r="I25" i="8"/>
  <c r="E25" i="9" s="1"/>
  <c r="F28" i="4"/>
  <c r="F29" i="4" l="1"/>
  <c r="F31" i="4"/>
  <c r="I28" i="4"/>
  <c r="Y28" i="4" s="1"/>
  <c r="I27" i="8"/>
  <c r="E27" i="9" s="1"/>
  <c r="F30" i="4" l="1"/>
  <c r="I28" i="8"/>
  <c r="E28" i="9" s="1"/>
  <c r="I29" i="4"/>
  <c r="Y29" i="4" s="1"/>
  <c r="I29" i="8" l="1"/>
  <c r="E29" i="9" s="1"/>
  <c r="I30" i="4"/>
  <c r="Y30" i="4" s="1"/>
  <c r="I31" i="4" l="1"/>
  <c r="Y31" i="4" l="1"/>
  <c r="I34" i="4"/>
</calcChain>
</file>

<file path=xl/sharedStrings.xml><?xml version="1.0" encoding="utf-8"?>
<sst xmlns="http://schemas.openxmlformats.org/spreadsheetml/2006/main" count="449" uniqueCount="144">
  <si>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</si>
  <si>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</si>
  <si>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</si>
  <si>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</si>
  <si>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</si>
  <si>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</si>
  <si>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</si>
  <si>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</si>
  <si>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</si>
  <si>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</si>
  <si>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</si>
  <si>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</si>
  <si>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</si>
  <si>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</si>
  <si>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</si>
  <si>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</si>
  <si>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</si>
  <si>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</si>
  <si>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</si>
  <si>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</si>
  <si>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</si>
  <si>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</si>
  <si>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</si>
  <si>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</si>
  <si>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</si>
  <si>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</si>
  <si>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</si>
  <si>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</si>
  <si>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</si>
  <si>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</si>
  <si>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</si>
  <si>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</si>
  <si>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</si>
  <si>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</si>
  <si>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</si>
  <si>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</si>
  <si>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</si>
  <si>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</si>
  <si>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</si>
  <si>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</si>
  <si>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</si>
  <si>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</si>
  <si>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</si>
  <si>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</si>
  <si>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</si>
  <si>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</si>
  <si>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</si>
  <si>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</si>
  <si>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</si>
  <si>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</si>
  <si>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</si>
  <si>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</si>
  <si>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</si>
  <si>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</si>
  <si>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</si>
  <si>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</si>
  <si>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</si>
  <si>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</si>
  <si>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</si>
  <si>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</si>
  <si>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</si>
  <si>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</si>
  <si>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</si>
  <si>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</si>
  <si>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</si>
  <si>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</si>
  <si>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</si>
  <si>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</si>
  <si>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</si>
  <si>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</si>
  <si>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</si>
  <si>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</si>
  <si>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</si>
  <si>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</si>
  <si>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</si>
  <si>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</si>
  <si>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</si>
  <si>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</si>
  <si>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</si>
  <si>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</si>
  <si>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</si>
  <si>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</si>
  <si>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</si>
  <si>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</si>
  <si>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</si>
  <si>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</si>
  <si>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</si>
  <si>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</si>
  <si>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</si>
  <si>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</si>
  <si>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</si>
  <si>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</si>
  <si>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</si>
  <si>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</si>
  <si>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</si>
  <si>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</si>
  <si>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</si>
  <si>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</si>
  <si>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</si>
  <si>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</si>
  <si>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</si>
  <si>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</si>
  <si>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</si>
  <si>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</si>
  <si>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</si>
  <si>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</si>
  <si>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</si>
  <si>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</si>
  <si>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</si>
  <si>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</si>
  <si>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</si>
  <si>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</si>
  <si>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</si>
  <si>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</si>
  <si>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</si>
  <si>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</si>
  <si>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</si>
  <si>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</si>
  <si>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</si>
  <si>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</si>
  <si>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</si>
  <si>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</si>
  <si>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</si>
  <si>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</si>
  <si>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</si>
  <si>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</si>
  <si>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</si>
  <si>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</si>
  <si>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</si>
  <si>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</si>
  <si>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</si>
  <si>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</si>
  <si>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</si>
  <si>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</si>
  <si>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</si>
  <si>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</si>
  <si>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</si>
  <si>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</si>
  <si>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</si>
  <si>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</si>
  <si>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</si>
  <si>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</si>
  <si>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Energy Monthly Statement March 2021</t>
  </si>
  <si>
    <t>Acutal till March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</si>
</sst>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selection activeCell="I2" sqref="I2:I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3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69872.761788000003</v>
      </c>
      <c r="F2" s="15">
        <v>1.27</v>
      </c>
      <c r="G2" s="47">
        <f>Gas!C3*0.9147</f>
        <v>2258.3942999999999</v>
      </c>
      <c r="H2" s="15">
        <v>3.65</v>
      </c>
      <c r="I2" s="47">
        <f>Water!C3</f>
        <v>680</v>
      </c>
      <c r="J2" s="48">
        <v>10.029999999999999</v>
      </c>
      <c r="K2" s="47">
        <f>ELECT.!B3</f>
        <v>96</v>
      </c>
    </row>
    <row r="3" spans="1:14" x14ac:dyDescent="0.2">
      <c r="A3" s="58" t="s">
        <v>54</v>
      </c>
      <c r="B3" s="63">
        <f>B2+1</f>
        <v>2</v>
      </c>
      <c r="C3" s="63">
        <v>3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0</v>
      </c>
      <c r="F3" s="15">
        <v>1.27</v>
      </c>
      <c r="G3" s="47">
        <f>Gas!C4*0.9147</f>
        <v>0</v>
      </c>
      <c r="H3" s="15">
        <v>3.65</v>
      </c>
      <c r="I3" s="47">
        <f>Water!C4</f>
        <v>0</v>
      </c>
      <c r="J3" s="48">
        <v>10.029999999999999</v>
      </c>
      <c r="K3" s="47">
        <f>ELECT.!B4</f>
        <v>108</v>
      </c>
    </row>
    <row r="4" spans="1:14" x14ac:dyDescent="0.2">
      <c r="A4" s="58" t="s">
        <v>54</v>
      </c>
      <c r="B4" s="63">
        <f t="shared" ref="B4:B32" si="0">B3+1</f>
        <v>3</v>
      </c>
      <c r="C4" s="63">
        <v>3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5">
        <v>1.27</v>
      </c>
      <c r="G4" s="47">
        <f>Gas!C5*0.9147</f>
        <v>0</v>
      </c>
      <c r="H4" s="15">
        <v>3.65</v>
      </c>
      <c r="I4" s="47">
        <f>Water!C5</f>
        <v>0</v>
      </c>
      <c r="J4" s="48">
        <v>10.029999999999999</v>
      </c>
      <c r="K4" s="47">
        <f>ELECT.!B5</f>
        <v>98</v>
      </c>
    </row>
    <row r="5" spans="1:14" x14ac:dyDescent="0.2">
      <c r="A5" s="58" t="s">
        <v>54</v>
      </c>
      <c r="B5" s="63">
        <f t="shared" si="0"/>
        <v>4</v>
      </c>
      <c r="C5" s="63">
        <v>3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151044.44434799999</v>
      </c>
      <c r="F5" s="15">
        <v>1.27</v>
      </c>
      <c r="G5" s="47">
        <f>Gas!C6*0.9147</f>
        <v>7345.9556999999995</v>
      </c>
      <c r="H5" s="15">
        <v>3.65</v>
      </c>
      <c r="I5" s="47">
        <f>Water!C6</f>
        <v>1630</v>
      </c>
      <c r="J5" s="48">
        <v>10.029999999999999</v>
      </c>
      <c r="K5" s="47">
        <f>ELECT.!B6</f>
        <v>108</v>
      </c>
    </row>
    <row r="6" spans="1:14" x14ac:dyDescent="0.2">
      <c r="A6" s="58" t="s">
        <v>54</v>
      </c>
      <c r="B6" s="63">
        <f t="shared" si="0"/>
        <v>5</v>
      </c>
      <c r="C6" s="63">
        <v>3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47152.710567999995</v>
      </c>
      <c r="F6" s="15">
        <v>1.27</v>
      </c>
      <c r="G6" s="47">
        <f>Gas!C7*0.9147</f>
        <v>2672.7534000000001</v>
      </c>
      <c r="H6" s="15">
        <v>3.65</v>
      </c>
      <c r="I6" s="47">
        <f>Water!C7</f>
        <v>550</v>
      </c>
      <c r="J6" s="48">
        <v>10.029999999999999</v>
      </c>
      <c r="K6" s="47">
        <f>ELECT.!B7</f>
        <v>119</v>
      </c>
    </row>
    <row r="7" spans="1:14" x14ac:dyDescent="0.2">
      <c r="A7" s="58" t="s">
        <v>54</v>
      </c>
      <c r="B7" s="63">
        <f t="shared" si="0"/>
        <v>6</v>
      </c>
      <c r="C7" s="63">
        <v>3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33244.982983999995</v>
      </c>
      <c r="F7" s="15">
        <v>1.27</v>
      </c>
      <c r="G7" s="47">
        <f>Gas!C8*0.9147</f>
        <v>2560.2453</v>
      </c>
      <c r="H7" s="15">
        <v>3.65</v>
      </c>
      <c r="I7" s="47">
        <f>Water!C8</f>
        <v>540</v>
      </c>
      <c r="J7" s="48">
        <v>10.029999999999999</v>
      </c>
      <c r="K7" s="47">
        <f>ELECT.!B8</f>
        <v>106</v>
      </c>
    </row>
    <row r="8" spans="1:14" x14ac:dyDescent="0.2">
      <c r="A8" s="58" t="s">
        <v>54</v>
      </c>
      <c r="B8" s="63">
        <f t="shared" si="0"/>
        <v>7</v>
      </c>
      <c r="C8" s="63">
        <v>3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68321.108435999995</v>
      </c>
      <c r="F8" s="15">
        <v>1.27</v>
      </c>
      <c r="G8" s="47">
        <f>Gas!C9*0.9147</f>
        <v>3043.2068999999997</v>
      </c>
      <c r="H8" s="15">
        <v>3.65</v>
      </c>
      <c r="I8" s="47">
        <f>Water!C9</f>
        <v>480</v>
      </c>
      <c r="J8" s="48">
        <v>10.029999999999999</v>
      </c>
      <c r="K8" s="47">
        <f>ELECT.!B9</f>
        <v>93</v>
      </c>
    </row>
    <row r="9" spans="1:14" x14ac:dyDescent="0.2">
      <c r="A9" s="58" t="s">
        <v>54</v>
      </c>
      <c r="B9" s="63">
        <f t="shared" si="0"/>
        <v>8</v>
      </c>
      <c r="C9" s="63">
        <v>3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35554.339379999998</v>
      </c>
      <c r="F9" s="15">
        <v>1.27</v>
      </c>
      <c r="G9" s="47">
        <f>Gas!C10*0.9147</f>
        <v>2746.8440999999998</v>
      </c>
      <c r="H9" s="15">
        <v>3.65</v>
      </c>
      <c r="I9" s="47">
        <f>Water!C10</f>
        <v>570</v>
      </c>
      <c r="J9" s="48">
        <v>10.029999999999999</v>
      </c>
      <c r="K9" s="47">
        <f>ELECT.!B10</f>
        <v>114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3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62887.391799999998</v>
      </c>
      <c r="F10" s="15">
        <v>1.27</v>
      </c>
      <c r="G10" s="47">
        <f>Gas!C11*0.9147</f>
        <v>2659.9476</v>
      </c>
      <c r="H10" s="15">
        <v>3.65</v>
      </c>
      <c r="I10" s="47">
        <f>Water!C11</f>
        <v>1050</v>
      </c>
      <c r="J10" s="48">
        <v>10.029999999999999</v>
      </c>
      <c r="K10" s="47">
        <f>ELECT.!B11</f>
        <v>118</v>
      </c>
    </row>
    <row r="11" spans="1:14" x14ac:dyDescent="0.2">
      <c r="A11" s="58" t="s">
        <v>54</v>
      </c>
      <c r="B11" s="63">
        <f t="shared" si="0"/>
        <v>10</v>
      </c>
      <c r="C11" s="63">
        <v>3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52575.471128000005</v>
      </c>
      <c r="F11" s="15">
        <v>1.27</v>
      </c>
      <c r="G11" s="47">
        <f>Gas!C12*0.9147</f>
        <v>2259.3089999999997</v>
      </c>
      <c r="H11" s="15">
        <v>3.65</v>
      </c>
      <c r="I11" s="47">
        <f>Water!C12</f>
        <v>50</v>
      </c>
      <c r="J11" s="48">
        <v>10.029999999999999</v>
      </c>
      <c r="K11" s="47">
        <f>ELECT.!B12</f>
        <v>146</v>
      </c>
    </row>
    <row r="12" spans="1:14" x14ac:dyDescent="0.2">
      <c r="A12" s="58" t="s">
        <v>54</v>
      </c>
      <c r="B12" s="63">
        <f t="shared" si="0"/>
        <v>11</v>
      </c>
      <c r="C12" s="63">
        <v>3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50997.527220000004</v>
      </c>
      <c r="F12" s="15">
        <v>1.27</v>
      </c>
      <c r="G12" s="47">
        <f>Gas!C13*0.9147</f>
        <v>2627.9330999999997</v>
      </c>
      <c r="H12" s="15">
        <v>3.65</v>
      </c>
      <c r="I12" s="47">
        <f>Water!C13</f>
        <v>830</v>
      </c>
      <c r="J12" s="48">
        <v>10.029999999999999</v>
      </c>
      <c r="K12" s="47">
        <f>ELECT.!B13</f>
        <v>116</v>
      </c>
    </row>
    <row r="13" spans="1:14" x14ac:dyDescent="0.2">
      <c r="A13" s="58" t="s">
        <v>54</v>
      </c>
      <c r="B13" s="63">
        <f t="shared" si="0"/>
        <v>12</v>
      </c>
      <c r="C13" s="63">
        <v>3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50755.120364000009</v>
      </c>
      <c r="F13" s="15">
        <v>1.27</v>
      </c>
      <c r="G13" s="47">
        <f>Gas!C14*0.9147</f>
        <v>1562.3075999999999</v>
      </c>
      <c r="H13" s="15">
        <v>3.65</v>
      </c>
      <c r="I13" s="47">
        <f>Water!C14</f>
        <v>180</v>
      </c>
      <c r="J13" s="48">
        <v>10.029999999999999</v>
      </c>
      <c r="K13" s="47">
        <f>ELECT.!B14</f>
        <v>110</v>
      </c>
    </row>
    <row r="14" spans="1:14" x14ac:dyDescent="0.2">
      <c r="A14" s="58" t="s">
        <v>54</v>
      </c>
      <c r="B14" s="63">
        <f t="shared" si="0"/>
        <v>13</v>
      </c>
      <c r="C14" s="63">
        <v>3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44332.740772000005</v>
      </c>
      <c r="F14" s="15">
        <v>1.27</v>
      </c>
      <c r="G14" s="47">
        <f>Gas!C15*0.9147</f>
        <v>0</v>
      </c>
      <c r="H14" s="15">
        <v>3.65</v>
      </c>
      <c r="I14" s="47">
        <f>Water!C15</f>
        <v>400</v>
      </c>
      <c r="J14" s="48">
        <v>10.029999999999999</v>
      </c>
      <c r="K14" s="47">
        <f>ELECT.!B15</f>
        <v>103</v>
      </c>
    </row>
    <row r="15" spans="1:14" x14ac:dyDescent="0.2">
      <c r="A15" s="58" t="s">
        <v>54</v>
      </c>
      <c r="B15" s="63">
        <f t="shared" si="0"/>
        <v>14</v>
      </c>
      <c r="C15" s="63">
        <v>3</v>
      </c>
      <c r="D15" s="63">
        <v>2021</v>
      </c>
      <c r="E15" s="47">
        <v>98</v>
      </c>
      <c r="F15" s="15">
        <v>1.27</v>
      </c>
      <c r="G15" s="47">
        <f>Gas!C16*0.9147</f>
        <v>0</v>
      </c>
      <c r="H15" s="15">
        <v>3.65</v>
      </c>
      <c r="I15" s="47">
        <f>Water!C16</f>
        <v>0</v>
      </c>
      <c r="J15" s="48">
        <v>10.029999999999999</v>
      </c>
      <c r="K15" s="47">
        <f>ELECT.!B16</f>
        <v>114</v>
      </c>
    </row>
    <row r="16" spans="1:14" x14ac:dyDescent="0.2">
      <c r="A16" s="58" t="s">
        <v>54</v>
      </c>
      <c r="B16" s="63">
        <f t="shared" si="0"/>
        <v>15</v>
      </c>
      <c r="C16" s="63">
        <v>3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323.62992000000168</v>
      </c>
      <c r="F16" s="15">
        <v>1.27</v>
      </c>
      <c r="G16" s="47">
        <f>Gas!C17*0.9147</f>
        <v>0</v>
      </c>
      <c r="H16" s="15">
        <v>3.65</v>
      </c>
      <c r="I16" s="47">
        <f>Water!C17</f>
        <v>0</v>
      </c>
      <c r="J16" s="48">
        <v>10.029999999999999</v>
      </c>
      <c r="K16" s="47">
        <f>ELECT.!B17</f>
        <v>132</v>
      </c>
    </row>
    <row r="17" spans="1:13" x14ac:dyDescent="0.2">
      <c r="A17" s="58" t="s">
        <v>54</v>
      </c>
      <c r="B17" s="63">
        <f t="shared" si="0"/>
        <v>16</v>
      </c>
      <c r="C17" s="63">
        <v>3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136229.494836</v>
      </c>
      <c r="F17" s="15">
        <v>1.27</v>
      </c>
      <c r="G17" s="47">
        <f>Gas!C18*0.9147</f>
        <v>9136.9382999999998</v>
      </c>
      <c r="H17" s="15">
        <v>3.65</v>
      </c>
      <c r="I17" s="47">
        <f>Water!C18</f>
        <v>2500</v>
      </c>
      <c r="J17" s="48">
        <v>10.029999999999999</v>
      </c>
      <c r="K17" s="47">
        <f>ELECT.!B18</f>
        <v>97</v>
      </c>
    </row>
    <row r="18" spans="1:13" x14ac:dyDescent="0.2">
      <c r="A18" s="58" t="s">
        <v>54</v>
      </c>
      <c r="B18" s="63">
        <f t="shared" si="0"/>
        <v>17</v>
      </c>
      <c r="C18" s="63">
        <v>3</v>
      </c>
      <c r="D18" s="63">
        <v>2021</v>
      </c>
      <c r="E18" s="47">
        <v>101</v>
      </c>
      <c r="F18" s="15">
        <v>1.27</v>
      </c>
      <c r="G18" s="47">
        <f>Gas!C19*0.9147</f>
        <v>0</v>
      </c>
      <c r="H18" s="15">
        <v>3.65</v>
      </c>
      <c r="I18" s="47">
        <f>Water!C19</f>
        <v>0</v>
      </c>
      <c r="J18" s="48">
        <v>10.029999999999999</v>
      </c>
      <c r="K18" s="47">
        <f>ELECT.!B19</f>
        <v>97</v>
      </c>
    </row>
    <row r="19" spans="1:13" x14ac:dyDescent="0.2">
      <c r="A19" s="58" t="s">
        <v>54</v>
      </c>
      <c r="B19" s="63">
        <f t="shared" si="0"/>
        <v>18</v>
      </c>
      <c r="C19" s="63">
        <v>3</v>
      </c>
      <c r="D19" s="63">
        <v>2021</v>
      </c>
      <c r="E19" s="47">
        <v>99</v>
      </c>
      <c r="F19" s="15">
        <v>1.27</v>
      </c>
      <c r="G19" s="47">
        <f>Gas!C20*0.9147</f>
        <v>0</v>
      </c>
      <c r="H19" s="15">
        <v>3.65</v>
      </c>
      <c r="I19" s="47">
        <f>Water!C20</f>
        <v>0</v>
      </c>
      <c r="J19" s="48">
        <v>10.029999999999999</v>
      </c>
      <c r="K19" s="47">
        <f>ELECT.!B20</f>
        <v>95</v>
      </c>
    </row>
    <row r="20" spans="1:13" x14ac:dyDescent="0.2">
      <c r="A20" s="58" t="s">
        <v>54</v>
      </c>
      <c r="B20" s="63">
        <f t="shared" si="0"/>
        <v>19</v>
      </c>
      <c r="C20" s="63">
        <v>3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170099.940772</v>
      </c>
      <c r="F20" s="15">
        <v>1.27</v>
      </c>
      <c r="G20" s="47">
        <f>Gas!C21*0.9147</f>
        <v>6969.0992999999999</v>
      </c>
      <c r="H20" s="15">
        <v>3.65</v>
      </c>
      <c r="I20" s="47">
        <f>Water!C21</f>
        <v>1740</v>
      </c>
      <c r="J20" s="48">
        <v>10.029999999999999</v>
      </c>
      <c r="K20" s="47">
        <f>ELECT.!B21</f>
        <v>77</v>
      </c>
    </row>
    <row r="21" spans="1:13" x14ac:dyDescent="0.2">
      <c r="A21" s="58" t="s">
        <v>54</v>
      </c>
      <c r="B21" s="63">
        <f t="shared" si="0"/>
        <v>20</v>
      </c>
      <c r="C21" s="63">
        <v>3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45556.53538400001</v>
      </c>
      <c r="F21" s="15">
        <v>1.27</v>
      </c>
      <c r="G21" s="47">
        <f>Gas!C22*0.9147</f>
        <v>2475.1781999999998</v>
      </c>
      <c r="H21" s="15">
        <v>3.65</v>
      </c>
      <c r="I21" s="47">
        <f>Water!C22</f>
        <v>580</v>
      </c>
      <c r="J21" s="48">
        <v>10.029999999999999</v>
      </c>
      <c r="K21" s="47">
        <f>ELECT.!B22</f>
        <v>124</v>
      </c>
    </row>
    <row r="22" spans="1:13" x14ac:dyDescent="0.2">
      <c r="A22" s="58" t="s">
        <v>54</v>
      </c>
      <c r="B22" s="63">
        <f t="shared" si="0"/>
        <v>21</v>
      </c>
      <c r="C22" s="63">
        <v>3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44139.948300000004</v>
      </c>
      <c r="F22" s="15">
        <v>1.27</v>
      </c>
      <c r="G22" s="47">
        <f>Gas!C23*0.9147</f>
        <v>2494.3869</v>
      </c>
      <c r="H22" s="15">
        <v>3.65</v>
      </c>
      <c r="I22" s="47">
        <f>Water!C23</f>
        <v>620</v>
      </c>
      <c r="J22" s="48">
        <v>10.029999999999999</v>
      </c>
      <c r="K22" s="47">
        <f>ELECT.!B23</f>
        <v>111</v>
      </c>
    </row>
    <row r="23" spans="1:13" x14ac:dyDescent="0.2">
      <c r="A23" s="58" t="s">
        <v>54</v>
      </c>
      <c r="B23" s="63">
        <f t="shared" si="0"/>
        <v>22</v>
      </c>
      <c r="C23" s="63">
        <v>3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58384.682519999995</v>
      </c>
      <c r="F23" s="15">
        <v>1.27</v>
      </c>
      <c r="G23" s="47">
        <f>Gas!C24*0.9147</f>
        <v>2624.2743</v>
      </c>
      <c r="H23" s="15">
        <v>3.65</v>
      </c>
      <c r="I23" s="47">
        <f>Water!C24</f>
        <v>550</v>
      </c>
      <c r="J23" s="48">
        <v>10.029999999999999</v>
      </c>
      <c r="K23" s="47">
        <f>ELECT.!B24</f>
        <v>115</v>
      </c>
    </row>
    <row r="24" spans="1:13" x14ac:dyDescent="0.2">
      <c r="A24" s="58" t="s">
        <v>54</v>
      </c>
      <c r="B24" s="63">
        <f t="shared" si="0"/>
        <v>23</v>
      </c>
      <c r="C24" s="63">
        <v>3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53573.230076000007</v>
      </c>
      <c r="F24" s="15">
        <v>1.27</v>
      </c>
      <c r="G24" s="47">
        <f>Gas!C25*0.9147</f>
        <v>2723.0618999999997</v>
      </c>
      <c r="H24" s="15">
        <v>3.65</v>
      </c>
      <c r="I24" s="47">
        <f>Water!C25</f>
        <v>800</v>
      </c>
      <c r="J24" s="48">
        <v>10.029999999999999</v>
      </c>
      <c r="K24" s="47">
        <f>ELECT.!B25</f>
        <v>111</v>
      </c>
    </row>
    <row r="25" spans="1:13" x14ac:dyDescent="0.2">
      <c r="A25" s="58" t="s">
        <v>54</v>
      </c>
      <c r="B25" s="63">
        <f t="shared" si="0"/>
        <v>24</v>
      </c>
      <c r="C25" s="63">
        <v>3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42704.661367999994</v>
      </c>
      <c r="F25" s="15">
        <v>1.27</v>
      </c>
      <c r="G25" s="47">
        <f>Gas!C26*0.9147</f>
        <v>1739.7593999999999</v>
      </c>
      <c r="H25" s="15">
        <v>3.65</v>
      </c>
      <c r="I25" s="47">
        <f>Water!C26</f>
        <v>650</v>
      </c>
      <c r="J25" s="48">
        <v>10.029999999999999</v>
      </c>
      <c r="K25" s="47">
        <f>ELECT.!B26</f>
        <v>89</v>
      </c>
    </row>
    <row r="26" spans="1:13" x14ac:dyDescent="0.2">
      <c r="A26" s="58" t="s">
        <v>54</v>
      </c>
      <c r="B26" s="63">
        <f>B25+1</f>
        <v>25</v>
      </c>
      <c r="C26" s="63">
        <v>3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56054.627436000002</v>
      </c>
      <c r="F26" s="15">
        <v>1.27</v>
      </c>
      <c r="G26" s="47">
        <f>Gas!C27*0.9147</f>
        <v>1419.6143999999999</v>
      </c>
      <c r="H26" s="15">
        <v>3.65</v>
      </c>
      <c r="I26" s="47">
        <f>Water!C27</f>
        <v>310</v>
      </c>
      <c r="J26" s="48">
        <v>10.029999999999999</v>
      </c>
      <c r="K26" s="47">
        <f>ELECT.!B27</f>
        <v>87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3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39679.482779999998</v>
      </c>
      <c r="F27" s="15">
        <v>1.27</v>
      </c>
      <c r="G27" s="47">
        <f>Gas!C28*0.9147</f>
        <v>1598.8955999999998</v>
      </c>
      <c r="H27" s="15">
        <v>3.65</v>
      </c>
      <c r="I27" s="47">
        <f>Water!C28</f>
        <v>980</v>
      </c>
      <c r="J27" s="48">
        <v>10.029999999999999</v>
      </c>
      <c r="K27" s="47">
        <f>ELECT.!B28</f>
        <v>90</v>
      </c>
    </row>
    <row r="28" spans="1:13" x14ac:dyDescent="0.2">
      <c r="A28" s="58" t="s">
        <v>54</v>
      </c>
      <c r="B28" s="63">
        <f t="shared" si="0"/>
        <v>27</v>
      </c>
      <c r="C28" s="63">
        <v>3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51621.524008000008</v>
      </c>
      <c r="F28" s="15">
        <v>1.27</v>
      </c>
      <c r="G28" s="47">
        <f>Gas!C29*0.9147</f>
        <v>1839.4616999999998</v>
      </c>
      <c r="H28" s="15">
        <v>3.65</v>
      </c>
      <c r="I28" s="47">
        <f>Water!C29</f>
        <v>620</v>
      </c>
      <c r="J28" s="48">
        <v>10.029999999999999</v>
      </c>
      <c r="K28" s="47">
        <f>ELECT.!B29</f>
        <v>91</v>
      </c>
    </row>
    <row r="29" spans="1:13" x14ac:dyDescent="0.2">
      <c r="A29" s="58" t="s">
        <v>54</v>
      </c>
      <c r="B29" s="63">
        <f t="shared" si="0"/>
        <v>28</v>
      </c>
      <c r="C29" s="63">
        <v>3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42173.297984000004</v>
      </c>
      <c r="F29" s="15">
        <v>1.27</v>
      </c>
      <c r="G29" s="47">
        <f>Gas!C30*0.9147</f>
        <v>1819.3382999999999</v>
      </c>
      <c r="H29" s="15">
        <v>3.65</v>
      </c>
      <c r="I29" s="47">
        <f>Water!C30</f>
        <v>600</v>
      </c>
      <c r="J29" s="48">
        <v>10.029999999999999</v>
      </c>
      <c r="K29" s="47">
        <f>ELECT.!B30</f>
        <v>92</v>
      </c>
    </row>
    <row r="30" spans="1:13" x14ac:dyDescent="0.2">
      <c r="A30" s="58" t="s">
        <v>54</v>
      </c>
      <c r="B30" s="63">
        <f t="shared" si="0"/>
        <v>29</v>
      </c>
      <c r="C30" s="63">
        <v>3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33717.641958400003</v>
      </c>
      <c r="F30" s="15">
        <v>1.27</v>
      </c>
      <c r="G30" s="47">
        <f>Gas!C31*0.9147</f>
        <v>1737.0153</v>
      </c>
      <c r="H30" s="15">
        <v>3.65</v>
      </c>
      <c r="I30" s="47">
        <f>Water!C31</f>
        <v>720</v>
      </c>
      <c r="J30" s="48">
        <v>10.029999999999999</v>
      </c>
      <c r="K30" s="47">
        <f>ELECT.!B31</f>
        <v>90</v>
      </c>
    </row>
    <row r="31" spans="1:13" x14ac:dyDescent="0.2">
      <c r="A31" s="58" t="s">
        <v>54</v>
      </c>
      <c r="B31" s="63">
        <f t="shared" si="0"/>
        <v>30</v>
      </c>
      <c r="C31" s="63">
        <v>3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47066.003721599991</v>
      </c>
      <c r="F31" s="15">
        <v>1.27</v>
      </c>
      <c r="G31" s="47">
        <f>Gas!C32*0.9147</f>
        <v>2709.3413999999998</v>
      </c>
      <c r="H31" s="15">
        <v>3.65</v>
      </c>
      <c r="I31" s="47">
        <f>Water!C32</f>
        <v>660</v>
      </c>
      <c r="J31" s="48">
        <v>10.029999999999999</v>
      </c>
      <c r="K31" s="47">
        <f>ELECT.!B32</f>
        <v>112</v>
      </c>
    </row>
    <row r="32" spans="1:13" x14ac:dyDescent="0.2">
      <c r="A32" s="58" t="s">
        <v>54</v>
      </c>
      <c r="B32" s="63">
        <f t="shared" si="0"/>
        <v>31</v>
      </c>
      <c r="C32" s="63">
        <v>3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41489.5468272</v>
      </c>
      <c r="F32" s="15">
        <v>1.27</v>
      </c>
      <c r="G32" s="47">
        <f>Gas!C33*0.9147</f>
        <v>1723.2947999999999</v>
      </c>
      <c r="H32" s="15">
        <v>3.65</v>
      </c>
      <c r="I32" s="47">
        <f>Water!C33</f>
        <v>740</v>
      </c>
      <c r="J32" s="48">
        <v>10.029999999999999</v>
      </c>
      <c r="K32" s="47">
        <f>ELECT.!B33</f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G1" zoomScale="85" zoomScaleNormal="85" workbookViewId="0">
      <selection activeCell="S15" sqref="S15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3</v>
      </c>
      <c r="D2" s="63">
        <v>2021</v>
      </c>
      <c r="E2" s="47">
        <f>Water!C3</f>
        <v>680</v>
      </c>
      <c r="F2" s="47">
        <f>Water!E3</f>
        <v>413.1</v>
      </c>
      <c r="G2" s="47">
        <f>Water!G3</f>
        <v>159.30000000000001</v>
      </c>
      <c r="H2" s="47">
        <f>Water!I3</f>
        <v>5.9939999999999998</v>
      </c>
      <c r="I2" s="47">
        <f>ELECT.!F3</f>
        <v>8627</v>
      </c>
      <c r="J2" s="47">
        <f>ELECT.!H3</f>
        <v>65314</v>
      </c>
      <c r="K2" s="47">
        <f>ELECT.!K3</f>
        <v>6009</v>
      </c>
      <c r="L2" s="47">
        <f>ELECT.!M3</f>
        <v>5968</v>
      </c>
      <c r="M2" s="47">
        <f>ELECT.!O3</f>
        <v>2502</v>
      </c>
      <c r="N2" s="47">
        <f>ELECT.!Q3</f>
        <v>7811</v>
      </c>
      <c r="O2" s="47">
        <f>ELECT.!S3</f>
        <v>8799</v>
      </c>
      <c r="P2" s="47">
        <f>ELECT.!W3</f>
        <v>10858</v>
      </c>
      <c r="Q2" s="47">
        <f>ELECT.!D3</f>
        <v>320</v>
      </c>
      <c r="R2" s="48">
        <f>BTU!C3</f>
        <v>4.0060000000012224</v>
      </c>
      <c r="S2" s="48">
        <f>BTU!F3</f>
        <v>1</v>
      </c>
      <c r="T2" s="48">
        <f>BTU!I3</f>
        <v>4</v>
      </c>
      <c r="U2" s="48">
        <f>BTU!O3</f>
        <v>0.90099999999983993</v>
      </c>
      <c r="V2" s="48">
        <f>BTU!L3</f>
        <v>0.75</v>
      </c>
      <c r="W2" s="48">
        <f>BTU!R3</f>
        <v>0.90999999999985448</v>
      </c>
      <c r="X2" s="45">
        <f>ELECT.!B3</f>
        <v>96</v>
      </c>
      <c r="Y2" s="45">
        <f>(I2+J2)-(K2+L2+M2+N2+O2+P2)</f>
        <v>31994</v>
      </c>
      <c r="Z2">
        <f>'Mall, Citadel, Rotana'!C3+'Mall, Citadel, Rotana'!E3+'Mall, Citadel, Rotana'!G3+'Mall, Citadel, Rotana'!I3</f>
        <v>1689</v>
      </c>
      <c r="AA2">
        <f>'Mall, Citadel, Rotana'!K3+'Mall, Citadel, Rotana'!M3</f>
        <v>640</v>
      </c>
      <c r="AB2">
        <f>'Mall, Citadel, Rotana'!O3</f>
        <v>73</v>
      </c>
      <c r="AC2">
        <f>'Mall, Citadel, Rotana'!Q3+'Mall, Citadel, Rotana'!S3</f>
        <v>134</v>
      </c>
      <c r="AD2" s="45">
        <f>(E2-H2-194)*0.1318</f>
        <v>63.264790799999993</v>
      </c>
      <c r="AE2" s="45">
        <f>E2-H2-AD2-194</f>
        <v>416.74120919999996</v>
      </c>
    </row>
    <row r="3" spans="1:31" x14ac:dyDescent="0.2">
      <c r="A3" s="58" t="s">
        <v>54</v>
      </c>
      <c r="B3" s="63">
        <f>B2+1</f>
        <v>2</v>
      </c>
      <c r="C3" s="63">
        <v>3</v>
      </c>
      <c r="D3" s="63">
        <v>2021</v>
      </c>
      <c r="E3" s="47">
        <f>Water!C4</f>
        <v>0</v>
      </c>
      <c r="F3" s="47">
        <f>Water!E4</f>
        <v>0</v>
      </c>
      <c r="G3" s="47">
        <f>Water!G4</f>
        <v>0</v>
      </c>
      <c r="H3" s="47">
        <f>Water!I4</f>
        <v>0</v>
      </c>
      <c r="I3" s="47">
        <f>ELECT.!F4</f>
        <v>0</v>
      </c>
      <c r="J3" s="47">
        <f>ELECT.!H4</f>
        <v>0</v>
      </c>
      <c r="K3" s="47">
        <f>ELECT.!K4</f>
        <v>0</v>
      </c>
      <c r="L3" s="47">
        <f>ELECT.!M4</f>
        <v>0</v>
      </c>
      <c r="M3" s="47">
        <f>ELECT.!O4</f>
        <v>0</v>
      </c>
      <c r="N3" s="47">
        <f>ELECT.!Q4</f>
        <v>0</v>
      </c>
      <c r="O3" s="47">
        <f>ELECT.!S4</f>
        <v>0</v>
      </c>
      <c r="P3" s="47">
        <f>ELECT.!W4*2</f>
        <v>0</v>
      </c>
      <c r="Q3" s="47">
        <f>ELECT.!D4</f>
        <v>0</v>
      </c>
      <c r="R3" s="48">
        <f>BTU!C4</f>
        <v>0</v>
      </c>
      <c r="S3" s="48">
        <f>BTU!F4</f>
        <v>0</v>
      </c>
      <c r="T3" s="48">
        <f>BTU!I4</f>
        <v>0</v>
      </c>
      <c r="U3" s="48" t="str">
        <f>BTU!O4</f>
        <v>0</v>
      </c>
      <c r="V3" s="48">
        <f>BTU!L4</f>
        <v>0</v>
      </c>
      <c r="W3" s="48">
        <f>BTU!R4</f>
        <v>0</v>
      </c>
      <c r="X3" s="45">
        <f>ELECT.!B4</f>
        <v>108</v>
      </c>
      <c r="Y3" s="45">
        <f t="shared" ref="Y3:Y32" si="0">(I3+J3)-(K3+L3+M3+N3+O3+P3)</f>
        <v>0</v>
      </c>
      <c r="Z3">
        <f>'Mall, Citadel, Rotana'!C4+'Mall, Citadel, Rotana'!E4+'Mall, Citadel, Rotana'!G4+'Mall, Citadel, Rotana'!I4</f>
        <v>0</v>
      </c>
      <c r="AA3">
        <f>'Mall, Citadel, Rotana'!K4+'Mall, Citadel, Rotana'!M4</f>
        <v>0</v>
      </c>
      <c r="AB3">
        <f>'Mall, Citadel, Rotana'!O4</f>
        <v>0</v>
      </c>
      <c r="AC3">
        <f>'Mall, Citadel, Rotana'!Q4+'Mall, Citadel, Rotana'!S4</f>
        <v>0</v>
      </c>
      <c r="AD3" s="45">
        <f t="shared" ref="AD3:AD32" si="1">(E3-H3-194)*0.1318</f>
        <v>-25.569199999999999</v>
      </c>
      <c r="AE3" s="45">
        <f t="shared" ref="AE3:AE32" si="2">E3-H3-AD3-194</f>
        <v>-168.4308</v>
      </c>
    </row>
    <row r="4" spans="1:31" x14ac:dyDescent="0.2">
      <c r="A4" s="58" t="s">
        <v>54</v>
      </c>
      <c r="B4" s="63">
        <f t="shared" ref="B4:B32" si="3">B3+1</f>
        <v>3</v>
      </c>
      <c r="C4" s="63">
        <v>3</v>
      </c>
      <c r="D4" s="63">
        <v>2021</v>
      </c>
      <c r="E4" s="47">
        <f>Water!C5</f>
        <v>0</v>
      </c>
      <c r="F4" s="47">
        <f>Water!E5</f>
        <v>0</v>
      </c>
      <c r="G4" s="47">
        <f>Water!G5</f>
        <v>0</v>
      </c>
      <c r="H4" s="47">
        <f>Water!I5</f>
        <v>0</v>
      </c>
      <c r="I4" s="47">
        <f>ELECT.!F5</f>
        <v>0</v>
      </c>
      <c r="J4" s="47">
        <f>ELECT.!H5</f>
        <v>0</v>
      </c>
      <c r="K4" s="47">
        <f>ELECT.!K5</f>
        <v>0</v>
      </c>
      <c r="L4" s="47">
        <f>ELECT.!M5</f>
        <v>0</v>
      </c>
      <c r="M4" s="47">
        <f>ELECT.!O5</f>
        <v>0</v>
      </c>
      <c r="N4" s="47">
        <f>ELECT.!Q5</f>
        <v>0</v>
      </c>
      <c r="O4" s="47">
        <f>ELECT.!S5</f>
        <v>0</v>
      </c>
      <c r="P4" s="47">
        <f>ELECT.!W5*2</f>
        <v>0</v>
      </c>
      <c r="Q4" s="47">
        <f>ELECT.!D5</f>
        <v>0</v>
      </c>
      <c r="R4" s="48">
        <f>BTU!C5</f>
        <v>0</v>
      </c>
      <c r="S4" s="48">
        <f>BTU!F5</f>
        <v>0</v>
      </c>
      <c r="T4" s="48">
        <f>BTU!I5</f>
        <v>0</v>
      </c>
      <c r="U4" s="48">
        <f>BTU!O5</f>
        <v>0</v>
      </c>
      <c r="V4" s="48">
        <f>BTU!L5</f>
        <v>0</v>
      </c>
      <c r="W4" s="48">
        <f>BTU!R5</f>
        <v>0</v>
      </c>
      <c r="X4" s="45">
        <f>ELECT.!B5</f>
        <v>98</v>
      </c>
      <c r="Y4" s="45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45">
        <f t="shared" si="1"/>
        <v>-25.569199999999999</v>
      </c>
      <c r="AE4" s="45">
        <f t="shared" si="2"/>
        <v>-168.4308</v>
      </c>
    </row>
    <row r="5" spans="1:31" x14ac:dyDescent="0.2">
      <c r="A5" s="58" t="s">
        <v>54</v>
      </c>
      <c r="B5" s="63">
        <f t="shared" si="3"/>
        <v>4</v>
      </c>
      <c r="C5" s="63">
        <v>3</v>
      </c>
      <c r="D5" s="63">
        <v>2021</v>
      </c>
      <c r="E5" s="47">
        <f>Water!C6</f>
        <v>1630</v>
      </c>
      <c r="F5" s="47">
        <f>Water!E6</f>
        <v>731.7</v>
      </c>
      <c r="G5" s="47">
        <f>Water!G6</f>
        <v>502.2</v>
      </c>
      <c r="H5" s="47">
        <f>Water!I6</f>
        <v>13.554</v>
      </c>
      <c r="I5" s="47">
        <f>ELECT.!F6</f>
        <v>25400</v>
      </c>
      <c r="J5" s="47">
        <f>ELECT.!H6</f>
        <v>132340</v>
      </c>
      <c r="K5" s="47">
        <f>ELECT.!K6</f>
        <v>17501</v>
      </c>
      <c r="L5" s="47">
        <f>ELECT.!M6</f>
        <v>18494</v>
      </c>
      <c r="M5" s="47">
        <f>ELECT.!O6</f>
        <v>6416</v>
      </c>
      <c r="N5" s="47">
        <f>ELECT.!Q6</f>
        <v>21474</v>
      </c>
      <c r="O5" s="47">
        <f>ELECT.!S6</f>
        <v>26933</v>
      </c>
      <c r="P5" s="47">
        <f>ELECT.!W6*2</f>
        <v>63864</v>
      </c>
      <c r="Q5" s="47">
        <f>ELECT.!D6</f>
        <v>1280</v>
      </c>
      <c r="R5" s="48">
        <f>BTU!C6</f>
        <v>11.096999999997934</v>
      </c>
      <c r="S5" s="48">
        <f>BTU!F6</f>
        <v>2.9940000000001419</v>
      </c>
      <c r="T5" s="48">
        <f>BTU!I6</f>
        <v>12</v>
      </c>
      <c r="U5" s="48">
        <f>BTU!O6</f>
        <v>28.537000000000262</v>
      </c>
      <c r="V5" s="48">
        <f>BTU!L6</f>
        <v>1.3400000000001455</v>
      </c>
      <c r="W5" s="48">
        <f>BTU!R6</f>
        <v>1.5799999999999272</v>
      </c>
      <c r="X5" s="45">
        <f>ELECT.!B6</f>
        <v>108</v>
      </c>
      <c r="Y5" s="45">
        <f t="shared" si="0"/>
        <v>3058</v>
      </c>
      <c r="Z5">
        <f>'Mall, Citadel, Rotana'!C6+'Mall, Citadel, Rotana'!E6+'Mall, Citadel, Rotana'!G6+'Mall, Citadel, Rotana'!I6</f>
        <v>3237</v>
      </c>
      <c r="AA5">
        <f>'Mall, Citadel, Rotana'!K6+'Mall, Citadel, Rotana'!M6</f>
        <v>1440</v>
      </c>
      <c r="AB5">
        <f>'Mall, Citadel, Rotana'!O6</f>
        <v>276</v>
      </c>
      <c r="AC5">
        <f>'Mall, Citadel, Rotana'!Q6+'Mall, Citadel, Rotana'!S6</f>
        <v>96</v>
      </c>
      <c r="AD5" s="45">
        <f t="shared" si="1"/>
        <v>187.47838279999999</v>
      </c>
      <c r="AE5" s="45">
        <f t="shared" si="2"/>
        <v>1234.9676171999999</v>
      </c>
    </row>
    <row r="6" spans="1:31" x14ac:dyDescent="0.2">
      <c r="A6" s="58" t="s">
        <v>54</v>
      </c>
      <c r="B6" s="63">
        <f t="shared" si="3"/>
        <v>5</v>
      </c>
      <c r="C6" s="63">
        <v>3</v>
      </c>
      <c r="D6" s="63">
        <v>2021</v>
      </c>
      <c r="E6" s="47">
        <f>Water!C7</f>
        <v>550</v>
      </c>
      <c r="F6" s="47">
        <f>Water!E7</f>
        <v>426.6</v>
      </c>
      <c r="G6" s="47">
        <f>Water!G7</f>
        <v>180.9</v>
      </c>
      <c r="H6" s="47">
        <f>Water!I7</f>
        <v>3.7530000000000001</v>
      </c>
      <c r="I6" s="47">
        <f>ELECT.!F7</f>
        <v>6938</v>
      </c>
      <c r="J6" s="47">
        <f>ELECT.!H7</f>
        <v>42033</v>
      </c>
      <c r="K6" s="47">
        <f>ELECT.!K7</f>
        <v>5230</v>
      </c>
      <c r="L6" s="47">
        <f>ELECT.!M7</f>
        <v>4953</v>
      </c>
      <c r="M6" s="47">
        <f>ELECT.!O7</f>
        <v>1838</v>
      </c>
      <c r="N6" s="47">
        <f>ELECT.!Q7</f>
        <v>7097</v>
      </c>
      <c r="O6" s="47">
        <f>ELECT.!S7</f>
        <v>8314</v>
      </c>
      <c r="P6" s="47">
        <f>ELECT.!W7*2</f>
        <v>20588</v>
      </c>
      <c r="Q6" s="47">
        <f>ELECT.!D7</f>
        <v>320</v>
      </c>
      <c r="R6" s="48">
        <f>BTU!C7</f>
        <v>3.6450000000004366</v>
      </c>
      <c r="S6" s="48">
        <f>BTU!F7</f>
        <v>0.54300000000012005</v>
      </c>
      <c r="T6" s="48">
        <f>BTU!I7</f>
        <v>4</v>
      </c>
      <c r="U6" s="48">
        <f>BTU!O7</f>
        <v>0.98500000000012733</v>
      </c>
      <c r="V6" s="48">
        <f>BTU!L7</f>
        <v>5.9999999999490683E-2</v>
      </c>
      <c r="W6" s="48">
        <f>BTU!R7</f>
        <v>6.9999999999708962E-2</v>
      </c>
      <c r="X6" s="45">
        <f>ELECT.!B7</f>
        <v>119</v>
      </c>
      <c r="Y6" s="45">
        <f t="shared" si="0"/>
        <v>951</v>
      </c>
      <c r="Z6">
        <f>'Mall, Citadel, Rotana'!C7+'Mall, Citadel, Rotana'!E7+'Mall, Citadel, Rotana'!G7+'Mall, Citadel, Rotana'!I7</f>
        <v>846</v>
      </c>
      <c r="AA6">
        <f>'Mall, Citadel, Rotana'!K7+'Mall, Citadel, Rotana'!M7</f>
        <v>320</v>
      </c>
      <c r="AB6">
        <f>'Mall, Citadel, Rotana'!O7</f>
        <v>12</v>
      </c>
      <c r="AC6">
        <f>'Mall, Citadel, Rotana'!Q7+'Mall, Citadel, Rotana'!S7</f>
        <v>102</v>
      </c>
      <c r="AD6" s="45">
        <f t="shared" si="1"/>
        <v>46.426154599999997</v>
      </c>
      <c r="AE6" s="45">
        <f t="shared" si="2"/>
        <v>305.82084539999994</v>
      </c>
    </row>
    <row r="7" spans="1:31" x14ac:dyDescent="0.2">
      <c r="A7" s="58" t="s">
        <v>54</v>
      </c>
      <c r="B7" s="63">
        <f t="shared" si="3"/>
        <v>6</v>
      </c>
      <c r="C7" s="63">
        <v>3</v>
      </c>
      <c r="D7" s="63">
        <v>2021</v>
      </c>
      <c r="E7" s="47">
        <f>Water!C8</f>
        <v>540</v>
      </c>
      <c r="F7" s="47">
        <f>Water!E8</f>
        <v>275.39999999999998</v>
      </c>
      <c r="G7" s="47">
        <f>Water!G8</f>
        <v>170.1</v>
      </c>
      <c r="H7" s="47">
        <f>Water!I8</f>
        <v>4.8330000000000002</v>
      </c>
      <c r="I7" s="47">
        <f>ELECT.!F8</f>
        <v>5398</v>
      </c>
      <c r="J7" s="47">
        <f>ELECT.!H8</f>
        <v>32455</v>
      </c>
      <c r="K7" s="47">
        <f>ELECT.!K8</f>
        <v>4355</v>
      </c>
      <c r="L7" s="47">
        <f>ELECT.!M8</f>
        <v>3725</v>
      </c>
      <c r="M7" s="47">
        <f>ELECT.!O8</f>
        <v>1562</v>
      </c>
      <c r="N7" s="47">
        <f>ELECT.!Q8</f>
        <v>5716</v>
      </c>
      <c r="O7" s="47">
        <f>ELECT.!S8</f>
        <v>6294</v>
      </c>
      <c r="P7" s="47">
        <f>ELECT.!W8*2</f>
        <v>15532</v>
      </c>
      <c r="Q7" s="47">
        <f>ELECT.!D8</f>
        <v>480</v>
      </c>
      <c r="R7" s="48">
        <f>BTU!C8</f>
        <v>3.8430000000007567</v>
      </c>
      <c r="S7" s="48">
        <f>BTU!F8</f>
        <v>0.67899999999963256</v>
      </c>
      <c r="T7" s="48">
        <f>BTU!I8</f>
        <v>4</v>
      </c>
      <c r="U7" s="48">
        <f>BTU!O8</f>
        <v>1.1169999999997344</v>
      </c>
      <c r="V7" s="48">
        <f>BTU!L8</f>
        <v>0</v>
      </c>
      <c r="W7" s="48">
        <f>BTU!R8</f>
        <v>0.1000000000003638</v>
      </c>
      <c r="X7" s="45">
        <f>ELECT.!B8</f>
        <v>106</v>
      </c>
      <c r="Y7" s="45">
        <f t="shared" si="0"/>
        <v>669</v>
      </c>
      <c r="Z7">
        <f>'Mall, Citadel, Rotana'!C8+'Mall, Citadel, Rotana'!E8+'Mall, Citadel, Rotana'!G8+'Mall, Citadel, Rotana'!I8</f>
        <v>2653</v>
      </c>
      <c r="AA7">
        <f>'Mall, Citadel, Rotana'!K8+'Mall, Citadel, Rotana'!M8</f>
        <v>1120</v>
      </c>
      <c r="AB7">
        <f>'Mall, Citadel, Rotana'!O8</f>
        <v>305</v>
      </c>
      <c r="AC7">
        <f>'Mall, Citadel, Rotana'!Q8+'Mall, Citadel, Rotana'!S8</f>
        <v>143</v>
      </c>
      <c r="AD7" s="45">
        <f t="shared" si="1"/>
        <v>44.965810600000005</v>
      </c>
      <c r="AE7" s="45">
        <f t="shared" si="2"/>
        <v>296.20118940000003</v>
      </c>
    </row>
    <row r="8" spans="1:31" x14ac:dyDescent="0.2">
      <c r="A8" s="58" t="s">
        <v>54</v>
      </c>
      <c r="B8" s="63">
        <f t="shared" si="3"/>
        <v>7</v>
      </c>
      <c r="C8" s="63">
        <v>3</v>
      </c>
      <c r="D8" s="63">
        <v>2021</v>
      </c>
      <c r="E8" s="47">
        <f>Water!C9</f>
        <v>480</v>
      </c>
      <c r="F8" s="47">
        <f>Water!E9</f>
        <v>270</v>
      </c>
      <c r="G8" s="47">
        <f>Water!G9</f>
        <v>197.1</v>
      </c>
      <c r="H8" s="47">
        <f>Water!I9</f>
        <v>4.968</v>
      </c>
      <c r="I8" s="47">
        <f>ELECT.!F9</f>
        <v>10737</v>
      </c>
      <c r="J8" s="47">
        <f>ELECT.!H9</f>
        <v>60010</v>
      </c>
      <c r="K8" s="47">
        <f>ELECT.!K9</f>
        <v>7737</v>
      </c>
      <c r="L8" s="47">
        <f>ELECT.!M9</f>
        <v>7470</v>
      </c>
      <c r="M8" s="47">
        <f>ELECT.!O9</f>
        <v>3044</v>
      </c>
      <c r="N8" s="47">
        <f>ELECT.!Q9</f>
        <v>10599</v>
      </c>
      <c r="O8" s="47">
        <f>ELECT.!S9</f>
        <v>11803</v>
      </c>
      <c r="P8" s="47">
        <f>ELECT.!W9*2</f>
        <v>28776</v>
      </c>
      <c r="Q8" s="47">
        <f>ELECT.!D9</f>
        <v>320</v>
      </c>
      <c r="R8" s="48">
        <f>BTU!C9</f>
        <v>3.9540000000015425</v>
      </c>
      <c r="S8" s="48">
        <f>BTU!F9</f>
        <v>1.1539999999999964</v>
      </c>
      <c r="T8" s="48">
        <f>BTU!I9</f>
        <v>5</v>
      </c>
      <c r="U8" s="48">
        <f>BTU!O9</f>
        <v>1.1579999999999018</v>
      </c>
      <c r="V8" s="48">
        <f>BTU!L9</f>
        <v>0.82999999999992724</v>
      </c>
      <c r="W8" s="48">
        <f>BTU!R9</f>
        <v>0.32999999999992724</v>
      </c>
      <c r="X8" s="45">
        <f>ELECT.!B9</f>
        <v>93</v>
      </c>
      <c r="Y8" s="45">
        <f t="shared" si="0"/>
        <v>1318</v>
      </c>
      <c r="Z8">
        <f>'Mall, Citadel, Rotana'!C9+'Mall, Citadel, Rotana'!E9+'Mall, Citadel, Rotana'!G9+'Mall, Citadel, Rotana'!I9</f>
        <v>893</v>
      </c>
      <c r="AA8">
        <f>'Mall, Citadel, Rotana'!K9+'Mall, Citadel, Rotana'!M9</f>
        <v>640</v>
      </c>
      <c r="AB8">
        <f>'Mall, Citadel, Rotana'!O9</f>
        <v>17</v>
      </c>
      <c r="AC8">
        <f>'Mall, Citadel, Rotana'!Q9+'Mall, Citadel, Rotana'!S9</f>
        <v>65</v>
      </c>
      <c r="AD8" s="45">
        <f t="shared" si="1"/>
        <v>37.040017599999999</v>
      </c>
      <c r="AE8" s="45">
        <f t="shared" si="2"/>
        <v>243.99198239999998</v>
      </c>
    </row>
    <row r="9" spans="1:31" x14ac:dyDescent="0.2">
      <c r="A9" s="58" t="s">
        <v>54</v>
      </c>
      <c r="B9" s="63">
        <f t="shared" si="3"/>
        <v>8</v>
      </c>
      <c r="C9" s="63">
        <v>3</v>
      </c>
      <c r="D9" s="63">
        <v>2021</v>
      </c>
      <c r="E9" s="47">
        <f>Water!C10</f>
        <v>570</v>
      </c>
      <c r="F9" s="47">
        <f>Water!E10</f>
        <v>245.7</v>
      </c>
      <c r="G9" s="47">
        <f>Water!G10</f>
        <v>194.4</v>
      </c>
      <c r="H9" s="47">
        <f>Water!I10</f>
        <v>4.5629999999999997</v>
      </c>
      <c r="I9" s="47">
        <f>ELECT.!F10</f>
        <v>6139</v>
      </c>
      <c r="J9" s="47">
        <f>ELECT.!H10</f>
        <v>32747</v>
      </c>
      <c r="K9" s="47">
        <f>ELECT.!K10</f>
        <v>4110</v>
      </c>
      <c r="L9" s="47">
        <f>ELECT.!M10</f>
        <v>4467</v>
      </c>
      <c r="M9" s="47">
        <f>ELECT.!O10</f>
        <v>1570</v>
      </c>
      <c r="N9" s="47">
        <f>ELECT.!Q10</f>
        <v>5995</v>
      </c>
      <c r="O9" s="47">
        <f>ELECT.!S10</f>
        <v>6513</v>
      </c>
      <c r="P9" s="47">
        <f>ELECT.!W10*2</f>
        <v>16382</v>
      </c>
      <c r="Q9" s="47">
        <f>ELECT.!D10</f>
        <v>320</v>
      </c>
      <c r="R9" s="48">
        <f>BTU!C10</f>
        <v>3.944999999999709</v>
      </c>
      <c r="S9" s="48">
        <f>BTU!F10</f>
        <v>1.2450000000003456</v>
      </c>
      <c r="T9" s="48">
        <f>BTU!I10</f>
        <v>4</v>
      </c>
      <c r="U9" s="48">
        <f>BTU!O10</f>
        <v>1.1500000000000909</v>
      </c>
      <c r="V9" s="48">
        <f>BTU!L10</f>
        <v>1.070000000001528</v>
      </c>
      <c r="W9" s="48">
        <f>BTU!R10</f>
        <v>0.93999999999959982</v>
      </c>
      <c r="X9" s="45">
        <f>ELECT.!B10</f>
        <v>114</v>
      </c>
      <c r="Y9" s="45">
        <f t="shared" si="0"/>
        <v>-151</v>
      </c>
      <c r="Z9">
        <f>'Mall, Citadel, Rotana'!C10+'Mall, Citadel, Rotana'!E10+'Mall, Citadel, Rotana'!G10+'Mall, Citadel, Rotana'!I10</f>
        <v>1802</v>
      </c>
      <c r="AA9">
        <f>'Mall, Citadel, Rotana'!K10+'Mall, Citadel, Rotana'!M10</f>
        <v>800</v>
      </c>
      <c r="AB9">
        <f>'Mall, Citadel, Rotana'!O10</f>
        <v>217</v>
      </c>
      <c r="AC9">
        <f>'Mall, Citadel, Rotana'!Q10+'Mall, Citadel, Rotana'!S10</f>
        <v>110</v>
      </c>
      <c r="AD9" s="45">
        <f t="shared" si="1"/>
        <v>48.9553966</v>
      </c>
      <c r="AE9" s="45">
        <f t="shared" si="2"/>
        <v>322.48160340000004</v>
      </c>
    </row>
    <row r="10" spans="1:31" x14ac:dyDescent="0.2">
      <c r="A10" s="58" t="s">
        <v>54</v>
      </c>
      <c r="B10" s="63">
        <f t="shared" si="3"/>
        <v>9</v>
      </c>
      <c r="C10" s="63">
        <v>3</v>
      </c>
      <c r="D10" s="63">
        <v>2021</v>
      </c>
      <c r="E10" s="47">
        <f>Water!C11</f>
        <v>1050</v>
      </c>
      <c r="F10" s="47">
        <f>Water!E11</f>
        <v>275.39999999999998</v>
      </c>
      <c r="G10" s="47">
        <f>Water!G11</f>
        <v>234.9</v>
      </c>
      <c r="H10" s="47">
        <f>Water!I11</f>
        <v>3.6989999999999998</v>
      </c>
      <c r="I10" s="47">
        <f>ELECT.!F11</f>
        <v>10231</v>
      </c>
      <c r="J10" s="47">
        <f>ELECT.!H11</f>
        <v>55876</v>
      </c>
      <c r="K10" s="47">
        <f>ELECT.!K11</f>
        <v>7791</v>
      </c>
      <c r="L10" s="47">
        <f>ELECT.!M11</f>
        <v>6747</v>
      </c>
      <c r="M10" s="47">
        <f>ELECT.!O11</f>
        <v>3304</v>
      </c>
      <c r="N10" s="47">
        <f>ELECT.!Q11</f>
        <v>10425</v>
      </c>
      <c r="O10" s="47">
        <f>ELECT.!S11</f>
        <v>10778</v>
      </c>
      <c r="P10" s="47">
        <f>ELECT.!W11*2</f>
        <v>25372</v>
      </c>
      <c r="Q10" s="47">
        <f>ELECT.!D11</f>
        <v>320</v>
      </c>
      <c r="R10" s="48">
        <f>BTU!C11</f>
        <v>3.9269999999996799</v>
      </c>
      <c r="S10" s="48">
        <f>BTU!F11</f>
        <v>1.375</v>
      </c>
      <c r="T10" s="48">
        <f>BTU!I11</f>
        <v>5</v>
      </c>
      <c r="U10" s="48">
        <f>BTU!O11</f>
        <v>1.2930000000001201</v>
      </c>
      <c r="V10" s="48">
        <f>BTU!L11</f>
        <v>0.13999999999941792</v>
      </c>
      <c r="W10" s="48">
        <f>BTU!R11</f>
        <v>0.5500000000001819</v>
      </c>
      <c r="X10" s="45">
        <f>ELECT.!B11</f>
        <v>118</v>
      </c>
      <c r="Y10" s="45">
        <f t="shared" si="0"/>
        <v>1690</v>
      </c>
      <c r="Z10">
        <f>'Mall, Citadel, Rotana'!C11+'Mall, Citadel, Rotana'!E11+'Mall, Citadel, Rotana'!G11+'Mall, Citadel, Rotana'!I11</f>
        <v>1545</v>
      </c>
      <c r="AA10">
        <f>'Mall, Citadel, Rotana'!K11+'Mall, Citadel, Rotana'!M11</f>
        <v>640</v>
      </c>
      <c r="AB10">
        <f>'Mall, Citadel, Rotana'!O11</f>
        <v>119</v>
      </c>
      <c r="AC10">
        <f>'Mall, Citadel, Rotana'!Q11+'Mall, Citadel, Rotana'!S11</f>
        <v>129</v>
      </c>
      <c r="AD10" s="45">
        <f t="shared" si="1"/>
        <v>112.33327179999999</v>
      </c>
      <c r="AE10" s="45">
        <f t="shared" si="2"/>
        <v>739.9677281999999</v>
      </c>
    </row>
    <row r="11" spans="1:31" x14ac:dyDescent="0.2">
      <c r="A11" s="58" t="s">
        <v>54</v>
      </c>
      <c r="B11" s="63">
        <f t="shared" si="3"/>
        <v>10</v>
      </c>
      <c r="C11" s="63">
        <v>3</v>
      </c>
      <c r="D11" s="63">
        <v>2021</v>
      </c>
      <c r="E11" s="47">
        <f>Water!C12</f>
        <v>50</v>
      </c>
      <c r="F11" s="47">
        <f>Water!E12</f>
        <v>318.60000000000002</v>
      </c>
      <c r="G11" s="47">
        <f>Water!G12</f>
        <v>340.2</v>
      </c>
      <c r="H11" s="47">
        <f>Water!I12</f>
        <v>4.1580000000000004</v>
      </c>
      <c r="I11" s="47">
        <f>ELECT.!F12</f>
        <v>8878</v>
      </c>
      <c r="J11" s="47">
        <f>ELECT.!H12</f>
        <v>46476</v>
      </c>
      <c r="K11" s="47">
        <f>ELECT.!K12</f>
        <v>5637</v>
      </c>
      <c r="L11" s="47">
        <f>ELECT.!M12</f>
        <v>6376</v>
      </c>
      <c r="M11" s="47">
        <f>ELECT.!O12</f>
        <v>2340</v>
      </c>
      <c r="N11" s="47">
        <f>ELECT.!Q12</f>
        <v>9581</v>
      </c>
      <c r="O11" s="47">
        <f>ELECT.!S12</f>
        <v>8946</v>
      </c>
      <c r="P11" s="47">
        <f>ELECT.!W12*2</f>
        <v>21196</v>
      </c>
      <c r="Q11" s="47">
        <f>ELECT.!D12</f>
        <v>480</v>
      </c>
      <c r="R11" s="48">
        <f>BTU!C12</f>
        <v>4.8899999999994179</v>
      </c>
      <c r="S11" s="48">
        <f>BTU!F12</f>
        <v>1.5659999999998035</v>
      </c>
      <c r="T11" s="48">
        <f>BTU!I12</f>
        <v>6</v>
      </c>
      <c r="U11" s="48">
        <f>BTU!O12</f>
        <v>1.5079999999998108</v>
      </c>
      <c r="V11" s="48">
        <f>BTU!L12</f>
        <v>1.3500000000003638</v>
      </c>
      <c r="W11" s="48">
        <f>BTU!R12</f>
        <v>0.76000000000021828</v>
      </c>
      <c r="X11" s="45">
        <f>ELECT.!B12</f>
        <v>146</v>
      </c>
      <c r="Y11" s="45">
        <f t="shared" si="0"/>
        <v>1278</v>
      </c>
      <c r="Z11">
        <f>'Mall, Citadel, Rotana'!C12+'Mall, Citadel, Rotana'!E12+'Mall, Citadel, Rotana'!G12+'Mall, Citadel, Rotana'!I12</f>
        <v>1495</v>
      </c>
      <c r="AA11">
        <f>'Mall, Citadel, Rotana'!K12+'Mall, Citadel, Rotana'!M12</f>
        <v>480</v>
      </c>
      <c r="AB11">
        <f>'Mall, Citadel, Rotana'!O12</f>
        <v>118</v>
      </c>
      <c r="AC11">
        <f>'Mall, Citadel, Rotana'!Q12+'Mall, Citadel, Rotana'!S12</f>
        <v>50</v>
      </c>
      <c r="AD11" s="45">
        <f t="shared" si="1"/>
        <v>-19.527224400000001</v>
      </c>
      <c r="AE11" s="45">
        <f t="shared" si="2"/>
        <v>-128.63077559999999</v>
      </c>
    </row>
    <row r="12" spans="1:31" x14ac:dyDescent="0.2">
      <c r="A12" s="58" t="s">
        <v>54</v>
      </c>
      <c r="B12" s="63">
        <f t="shared" si="3"/>
        <v>11</v>
      </c>
      <c r="C12" s="63">
        <v>3</v>
      </c>
      <c r="D12" s="63">
        <v>2021</v>
      </c>
      <c r="E12" s="47">
        <f>Water!C13</f>
        <v>830</v>
      </c>
      <c r="F12" s="47">
        <f>Water!E13</f>
        <v>291.60000000000002</v>
      </c>
      <c r="G12" s="47">
        <f>Water!G13</f>
        <v>275.39999999999998</v>
      </c>
      <c r="H12" s="47">
        <f>Water!I13</f>
        <v>4.2119999999999997</v>
      </c>
      <c r="I12" s="47">
        <f>ELECT.!F13</f>
        <v>9078</v>
      </c>
      <c r="J12" s="47">
        <f>ELECT.!H13</f>
        <v>44509</v>
      </c>
      <c r="K12" s="47">
        <f>ELECT.!K13</f>
        <v>3907</v>
      </c>
      <c r="L12" s="47">
        <f>ELECT.!M13</f>
        <v>6661</v>
      </c>
      <c r="M12" s="47">
        <f>ELECT.!O13</f>
        <v>2240</v>
      </c>
      <c r="N12" s="47">
        <f>ELECT.!Q13</f>
        <v>9256</v>
      </c>
      <c r="O12" s="47">
        <f>ELECT.!S13</f>
        <v>8991</v>
      </c>
      <c r="P12" s="47">
        <f>ELECT.!W13*2</f>
        <v>20664</v>
      </c>
      <c r="Q12" s="47">
        <f>ELECT.!D13</f>
        <v>320</v>
      </c>
      <c r="R12" s="48">
        <f>BTU!C13</f>
        <v>4.4269999999996799</v>
      </c>
      <c r="S12" s="48">
        <f>BTU!F13</f>
        <v>1.6140000000000327</v>
      </c>
      <c r="T12" s="48">
        <f>BTU!I13</f>
        <v>5</v>
      </c>
      <c r="U12" s="48">
        <f>BTU!O13</f>
        <v>1.4450000000001637</v>
      </c>
      <c r="V12" s="48">
        <f>BTU!L13</f>
        <v>1.25</v>
      </c>
      <c r="W12" s="48">
        <f>BTU!R13</f>
        <v>0.65999999999985448</v>
      </c>
      <c r="X12" s="45">
        <f>ELECT.!B13</f>
        <v>116</v>
      </c>
      <c r="Y12" s="45">
        <f t="shared" si="0"/>
        <v>1868</v>
      </c>
      <c r="Z12">
        <f>'Mall, Citadel, Rotana'!C13+'Mall, Citadel, Rotana'!E13+'Mall, Citadel, Rotana'!G13+'Mall, Citadel, Rotana'!I13</f>
        <v>1334</v>
      </c>
      <c r="AA12">
        <f>'Mall, Citadel, Rotana'!K13+'Mall, Citadel, Rotana'!M13</f>
        <v>480</v>
      </c>
      <c r="AB12">
        <f>'Mall, Citadel, Rotana'!O13</f>
        <v>16</v>
      </c>
      <c r="AC12">
        <f>'Mall, Citadel, Rotana'!Q13+'Mall, Citadel, Rotana'!S13</f>
        <v>99</v>
      </c>
      <c r="AD12" s="45">
        <f t="shared" si="1"/>
        <v>83.269658399999997</v>
      </c>
      <c r="AE12" s="45">
        <f t="shared" si="2"/>
        <v>548.51834159999999</v>
      </c>
    </row>
    <row r="13" spans="1:31" x14ac:dyDescent="0.2">
      <c r="A13" s="58" t="s">
        <v>54</v>
      </c>
      <c r="B13" s="63">
        <f t="shared" si="3"/>
        <v>12</v>
      </c>
      <c r="C13" s="63">
        <v>3</v>
      </c>
      <c r="D13" s="63">
        <v>2021</v>
      </c>
      <c r="E13" s="47">
        <f>Water!C14</f>
        <v>180</v>
      </c>
      <c r="F13" s="47">
        <f>Water!E14</f>
        <v>310.5</v>
      </c>
      <c r="G13" s="47">
        <f>Water!G14</f>
        <v>234.9</v>
      </c>
      <c r="H13" s="47">
        <f>Water!I14</f>
        <v>3.7530000000000001</v>
      </c>
      <c r="I13" s="47">
        <f>ELECT.!F14</f>
        <v>8539</v>
      </c>
      <c r="J13" s="47">
        <f>ELECT.!H14</f>
        <v>44609</v>
      </c>
      <c r="K13" s="47">
        <f>ELECT.!K14</f>
        <v>5121</v>
      </c>
      <c r="L13" s="47">
        <f>ELECT.!M14</f>
        <v>5982</v>
      </c>
      <c r="M13" s="47">
        <f>ELECT.!O14</f>
        <v>2390</v>
      </c>
      <c r="N13" s="47">
        <f>ELECT.!Q14</f>
        <v>8379</v>
      </c>
      <c r="O13" s="47">
        <f>ELECT.!S14</f>
        <v>9591</v>
      </c>
      <c r="P13" s="47">
        <f>ELECT.!W14*2</f>
        <v>21530</v>
      </c>
      <c r="Q13" s="47">
        <f>ELECT.!D14</f>
        <v>1440</v>
      </c>
      <c r="R13" s="48">
        <f>BTU!C14</f>
        <v>4.3179999999993015</v>
      </c>
      <c r="S13" s="48">
        <f>BTU!F14</f>
        <v>0.63700000000017099</v>
      </c>
      <c r="T13" s="48">
        <f>BTU!I14</f>
        <v>5</v>
      </c>
      <c r="U13" s="48">
        <f>BTU!O14</f>
        <v>1.1829999999999927</v>
      </c>
      <c r="V13" s="48">
        <f>BTU!L14</f>
        <v>1.2600000000002183</v>
      </c>
      <c r="W13" s="48">
        <f>BTU!R14</f>
        <v>0.43000000000029104</v>
      </c>
      <c r="X13" s="45">
        <f>ELECT.!B14</f>
        <v>110</v>
      </c>
      <c r="Y13" s="45">
        <f t="shared" si="0"/>
        <v>155</v>
      </c>
      <c r="Z13">
        <f>'Mall, Citadel, Rotana'!C14+'Mall, Citadel, Rotana'!E14+'Mall, Citadel, Rotana'!G14+'Mall, Citadel, Rotana'!I14</f>
        <v>1100</v>
      </c>
      <c r="AA13">
        <f>'Mall, Citadel, Rotana'!K14+'Mall, Citadel, Rotana'!M14</f>
        <v>640</v>
      </c>
      <c r="AB13">
        <f>'Mall, Citadel, Rotana'!O14</f>
        <v>175</v>
      </c>
      <c r="AC13">
        <f>'Mall, Citadel, Rotana'!Q14+'Mall, Citadel, Rotana'!S14</f>
        <v>52</v>
      </c>
      <c r="AD13" s="45">
        <f t="shared" si="1"/>
        <v>-2.339845399999998</v>
      </c>
      <c r="AE13" s="45">
        <f t="shared" si="2"/>
        <v>-15.413154599999984</v>
      </c>
    </row>
    <row r="14" spans="1:31" x14ac:dyDescent="0.2">
      <c r="A14" s="58" t="s">
        <v>54</v>
      </c>
      <c r="B14" s="63">
        <f t="shared" si="3"/>
        <v>13</v>
      </c>
      <c r="C14" s="63">
        <v>3</v>
      </c>
      <c r="D14" s="63">
        <v>2021</v>
      </c>
      <c r="E14" s="47">
        <f>Water!C15</f>
        <v>400</v>
      </c>
      <c r="F14" s="47">
        <f>Water!E15</f>
        <v>310.5</v>
      </c>
      <c r="G14" s="47">
        <f>Water!G15</f>
        <v>224.1</v>
      </c>
      <c r="H14" s="47">
        <f>Water!I15</f>
        <v>3.5640000000000001</v>
      </c>
      <c r="I14" s="47">
        <f>ELECT.!F15</f>
        <v>7137</v>
      </c>
      <c r="J14" s="47">
        <f>ELECT.!H15</f>
        <v>39568</v>
      </c>
      <c r="K14" s="47">
        <f>ELECT.!K15</f>
        <v>3996</v>
      </c>
      <c r="L14" s="47">
        <f>ELECT.!M15</f>
        <v>4868</v>
      </c>
      <c r="M14" s="47">
        <f>ELECT.!O15</f>
        <v>2138</v>
      </c>
      <c r="N14" s="47">
        <f>ELECT.!Q15</f>
        <v>7232</v>
      </c>
      <c r="O14" s="47">
        <f>ELECT.!S15</f>
        <v>8249</v>
      </c>
      <c r="P14" s="47">
        <f>ELECT.!W15*2</f>
        <v>19434</v>
      </c>
      <c r="Q14" s="47">
        <f>ELECT.!D15</f>
        <v>160</v>
      </c>
      <c r="R14" s="48">
        <f>BTU!C15</f>
        <v>4.0010000000002037</v>
      </c>
      <c r="S14" s="48">
        <f>BTU!F15</f>
        <v>0.62799999999970169</v>
      </c>
      <c r="T14" s="48">
        <f>BTU!I15</f>
        <v>5</v>
      </c>
      <c r="U14" s="48">
        <f>BTU!O15</f>
        <v>1.3119999999998981</v>
      </c>
      <c r="V14" s="48">
        <f>BTU!L15</f>
        <v>0.19999999999890861</v>
      </c>
      <c r="W14" s="48">
        <f>BTU!R15</f>
        <v>0.13999999999941792</v>
      </c>
      <c r="X14" s="45">
        <f>ELECT.!B15</f>
        <v>103</v>
      </c>
      <c r="Y14" s="45">
        <f t="shared" si="0"/>
        <v>788</v>
      </c>
      <c r="Z14">
        <f>'Mall, Citadel, Rotana'!C15+'Mall, Citadel, Rotana'!E15+'Mall, Citadel, Rotana'!G15+'Mall, Citadel, Rotana'!I15</f>
        <v>1200</v>
      </c>
      <c r="AA14">
        <f>'Mall, Citadel, Rotana'!K15+'Mall, Citadel, Rotana'!M15</f>
        <v>480</v>
      </c>
      <c r="AB14">
        <f>'Mall, Citadel, Rotana'!O15</f>
        <v>82</v>
      </c>
      <c r="AC14">
        <f>'Mall, Citadel, Rotana'!Q15+'Mall, Citadel, Rotana'!S15</f>
        <v>50</v>
      </c>
      <c r="AD14" s="45">
        <f t="shared" si="1"/>
        <v>26.681064799999998</v>
      </c>
      <c r="AE14" s="45">
        <f t="shared" si="2"/>
        <v>175.75493519999998</v>
      </c>
    </row>
    <row r="15" spans="1:31" x14ac:dyDescent="0.2">
      <c r="A15" s="58" t="s">
        <v>54</v>
      </c>
      <c r="B15" s="63">
        <f t="shared" si="3"/>
        <v>14</v>
      </c>
      <c r="C15" s="63">
        <v>3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114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98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54</v>
      </c>
      <c r="B16" s="63">
        <f t="shared" si="3"/>
        <v>15</v>
      </c>
      <c r="C16" s="63">
        <v>3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15880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132</v>
      </c>
      <c r="Y16" s="45">
        <f t="shared" si="0"/>
        <v>-15880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62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54</v>
      </c>
      <c r="B17" s="63">
        <f t="shared" si="3"/>
        <v>16</v>
      </c>
      <c r="C17" s="63">
        <v>3</v>
      </c>
      <c r="D17" s="63">
        <v>2021</v>
      </c>
      <c r="E17" s="47">
        <f>Water!C18</f>
        <v>2500</v>
      </c>
      <c r="F17" s="47">
        <f>Water!E18</f>
        <v>977.4</v>
      </c>
      <c r="G17" s="47">
        <f>Water!G18</f>
        <v>658.8</v>
      </c>
      <c r="H17" s="47">
        <f>Water!I18</f>
        <v>12.663</v>
      </c>
      <c r="I17" s="47">
        <f>ELECT.!F18</f>
        <v>22950</v>
      </c>
      <c r="J17" s="47">
        <f>ELECT.!H18</f>
        <v>122152</v>
      </c>
      <c r="K17" s="47">
        <f>ELECT.!K18</f>
        <v>12544</v>
      </c>
      <c r="L17" s="47">
        <f>ELECT.!M18</f>
        <v>16301</v>
      </c>
      <c r="M17" s="47">
        <f>ELECT.!O18</f>
        <v>6204</v>
      </c>
      <c r="N17" s="47">
        <f>ELECT.!Q18</f>
        <v>24277</v>
      </c>
      <c r="O17" s="47">
        <f>ELECT.!S18</f>
        <v>8745</v>
      </c>
      <c r="P17" s="47">
        <f>ELECT.!W18*2</f>
        <v>58534</v>
      </c>
      <c r="Q17" s="47">
        <f>ELECT.!D18</f>
        <v>480</v>
      </c>
      <c r="R17" s="48">
        <f>BTU!C18</f>
        <v>11.576000000000931</v>
      </c>
      <c r="S17" s="48">
        <f>BTU!F18</f>
        <v>3.7950000000000728</v>
      </c>
      <c r="T17" s="48">
        <f>BTU!I18</f>
        <v>16</v>
      </c>
      <c r="U17" s="48">
        <f>BTU!O18</f>
        <v>3.3910000000000764</v>
      </c>
      <c r="V17" s="48">
        <f>BTU!L18</f>
        <v>4.069999999999709</v>
      </c>
      <c r="W17" s="48">
        <f>BTU!R18</f>
        <v>1.5</v>
      </c>
      <c r="X17" s="45">
        <f>ELECT.!B18</f>
        <v>97</v>
      </c>
      <c r="Y17" s="45">
        <f t="shared" si="0"/>
        <v>18497</v>
      </c>
      <c r="Z17">
        <f>'Mall, Citadel, Rotana'!C18+'Mall, Citadel, Rotana'!E18+'Mall, Citadel, Rotana'!G18+'Mall, Citadel, Rotana'!I18</f>
        <v>4128</v>
      </c>
      <c r="AA17">
        <f>'Mall, Citadel, Rotana'!K18+'Mall, Citadel, Rotana'!M18</f>
        <v>2080</v>
      </c>
      <c r="AB17">
        <f>'Mall, Citadel, Rotana'!O18</f>
        <v>371</v>
      </c>
      <c r="AC17">
        <f>'Mall, Citadel, Rotana'!Q18+'Mall, Citadel, Rotana'!S18</f>
        <v>139</v>
      </c>
      <c r="AD17" s="45">
        <f t="shared" si="1"/>
        <v>302.26181659999997</v>
      </c>
      <c r="AE17" s="45">
        <f t="shared" si="2"/>
        <v>1991.0751834000002</v>
      </c>
    </row>
    <row r="18" spans="1:31" x14ac:dyDescent="0.2">
      <c r="A18" s="58" t="s">
        <v>54</v>
      </c>
      <c r="B18" s="63">
        <f t="shared" si="3"/>
        <v>17</v>
      </c>
      <c r="C18" s="63">
        <v>3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97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101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54</v>
      </c>
      <c r="B19" s="63">
        <f t="shared" si="3"/>
        <v>18</v>
      </c>
      <c r="C19" s="63">
        <v>3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5344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95</v>
      </c>
      <c r="Y19" s="45">
        <f t="shared" si="0"/>
        <v>-5344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99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54</v>
      </c>
      <c r="B20" s="63">
        <f t="shared" si="3"/>
        <v>19</v>
      </c>
      <c r="C20" s="63">
        <v>3</v>
      </c>
      <c r="D20" s="63">
        <v>2021</v>
      </c>
      <c r="E20" s="47">
        <f>Water!C21</f>
        <v>1740</v>
      </c>
      <c r="F20" s="47">
        <f>Water!E21</f>
        <v>885.6</v>
      </c>
      <c r="G20" s="47">
        <f>Water!G21</f>
        <v>675</v>
      </c>
      <c r="H20" s="47">
        <f>Water!I21</f>
        <v>10.26</v>
      </c>
      <c r="I20" s="47">
        <f>ELECT.!F21</f>
        <v>27491</v>
      </c>
      <c r="J20" s="47">
        <f>ELECT.!H21</f>
        <v>149072</v>
      </c>
      <c r="K20" s="47">
        <f>ELECT.!K21</f>
        <v>17678</v>
      </c>
      <c r="L20" s="47">
        <f>ELECT.!M21</f>
        <v>19644</v>
      </c>
      <c r="M20" s="47">
        <f>ELECT.!O21</f>
        <v>1978</v>
      </c>
      <c r="N20" s="47">
        <f>ELECT.!Q21</f>
        <v>29012</v>
      </c>
      <c r="O20" s="47">
        <f>ELECT.!S21</f>
        <v>28951</v>
      </c>
      <c r="P20" s="47">
        <f>ELECT.!W21*2</f>
        <v>70732</v>
      </c>
      <c r="Q20" s="47">
        <f>ELECT.!D21</f>
        <v>800</v>
      </c>
      <c r="R20" s="48">
        <f>BTU!C21</f>
        <v>12.755999999997584</v>
      </c>
      <c r="S20" s="48">
        <f>BTU!F21</f>
        <v>3.4450000000001637</v>
      </c>
      <c r="T20" s="48">
        <f>BTU!I21</f>
        <v>14</v>
      </c>
      <c r="U20" s="48">
        <f>BTU!O21</f>
        <v>3.456000000000131</v>
      </c>
      <c r="V20" s="48">
        <f>BTU!L21</f>
        <v>4.0200000000004366</v>
      </c>
      <c r="W20" s="48">
        <f>BTU!R21</f>
        <v>2.2800000000006548</v>
      </c>
      <c r="X20" s="45">
        <f>ELECT.!B21</f>
        <v>77</v>
      </c>
      <c r="Y20" s="45">
        <f t="shared" si="0"/>
        <v>8568</v>
      </c>
      <c r="Z20">
        <f>'Mall, Citadel, Rotana'!C21+'Mall, Citadel, Rotana'!E21+'Mall, Citadel, Rotana'!G21+'Mall, Citadel, Rotana'!I21</f>
        <v>2586</v>
      </c>
      <c r="AA20">
        <f>'Mall, Citadel, Rotana'!K21+'Mall, Citadel, Rotana'!M21</f>
        <v>1600</v>
      </c>
      <c r="AB20">
        <f>'Mall, Citadel, Rotana'!O21</f>
        <v>103</v>
      </c>
      <c r="AC20">
        <f>'Mall, Citadel, Rotana'!Q21+'Mall, Citadel, Rotana'!S21</f>
        <v>91</v>
      </c>
      <c r="AD20" s="45">
        <f t="shared" si="1"/>
        <v>202.41053199999999</v>
      </c>
      <c r="AE20" s="45">
        <f t="shared" si="2"/>
        <v>1333.3294679999999</v>
      </c>
    </row>
    <row r="21" spans="1:31" x14ac:dyDescent="0.2">
      <c r="A21" s="58" t="s">
        <v>54</v>
      </c>
      <c r="B21" s="63">
        <f t="shared" si="3"/>
        <v>20</v>
      </c>
      <c r="C21" s="63">
        <v>3</v>
      </c>
      <c r="D21" s="63">
        <v>2021</v>
      </c>
      <c r="E21" s="47">
        <f>Water!C22</f>
        <v>580</v>
      </c>
      <c r="F21" s="47">
        <f>Water!E22</f>
        <v>291.60000000000002</v>
      </c>
      <c r="G21" s="47">
        <f>Water!G22</f>
        <v>226.8</v>
      </c>
      <c r="H21" s="47">
        <f>Water!I22</f>
        <v>3.1589999999999998</v>
      </c>
      <c r="I21" s="47">
        <f>ELECT.!F22</f>
        <v>7249</v>
      </c>
      <c r="J21" s="47">
        <f>ELECT.!H22</f>
        <v>42657</v>
      </c>
      <c r="K21" s="47">
        <f>ELECT.!K22</f>
        <v>5511</v>
      </c>
      <c r="L21" s="47">
        <f>ELECT.!M22</f>
        <v>5009</v>
      </c>
      <c r="M21" s="47">
        <f>ELECT.!O22</f>
        <v>2108</v>
      </c>
      <c r="N21" s="47">
        <f>ELECT.!Q22</f>
        <v>8679</v>
      </c>
      <c r="O21" s="47">
        <f>ELECT.!S22</f>
        <v>8598</v>
      </c>
      <c r="P21" s="47">
        <f>ELECT.!W22*2</f>
        <v>19228</v>
      </c>
      <c r="Q21" s="47">
        <f>ELECT.!D22</f>
        <v>480</v>
      </c>
      <c r="R21" s="48">
        <f>BTU!C22</f>
        <v>3.7910000000010768</v>
      </c>
      <c r="S21" s="48">
        <f>BTU!F22</f>
        <v>0.56999999999970896</v>
      </c>
      <c r="T21" s="48">
        <f>BTU!I22</f>
        <v>5</v>
      </c>
      <c r="U21" s="48">
        <f>BTU!O22</f>
        <v>1.0960000000000036</v>
      </c>
      <c r="V21" s="48">
        <f>BTU!L22</f>
        <v>1.3400000000001455</v>
      </c>
      <c r="W21" s="48">
        <f>BTU!R22</f>
        <v>0.46999999999934516</v>
      </c>
      <c r="X21" s="45">
        <f>ELECT.!B22</f>
        <v>124</v>
      </c>
      <c r="Y21" s="45">
        <f t="shared" si="0"/>
        <v>773</v>
      </c>
      <c r="Z21">
        <f>'Mall, Citadel, Rotana'!C22+'Mall, Citadel, Rotana'!E22+'Mall, Citadel, Rotana'!G22+'Mall, Citadel, Rotana'!I22</f>
        <v>2919</v>
      </c>
      <c r="AA21">
        <f>'Mall, Citadel, Rotana'!K22+'Mall, Citadel, Rotana'!M22</f>
        <v>480</v>
      </c>
      <c r="AB21">
        <f>'Mall, Citadel, Rotana'!O22</f>
        <v>311</v>
      </c>
      <c r="AC21">
        <f>'Mall, Citadel, Rotana'!Q22+'Mall, Citadel, Rotana'!S22</f>
        <v>79</v>
      </c>
      <c r="AD21" s="45">
        <f t="shared" si="1"/>
        <v>50.458443799999998</v>
      </c>
      <c r="AE21" s="45">
        <f t="shared" si="2"/>
        <v>332.38255619999995</v>
      </c>
    </row>
    <row r="22" spans="1:31" x14ac:dyDescent="0.2">
      <c r="A22" s="58" t="s">
        <v>54</v>
      </c>
      <c r="B22" s="63">
        <f t="shared" si="3"/>
        <v>21</v>
      </c>
      <c r="C22" s="63">
        <v>3</v>
      </c>
      <c r="D22" s="63">
        <v>2021</v>
      </c>
      <c r="E22" s="47">
        <f>Water!C23</f>
        <v>620</v>
      </c>
      <c r="F22" s="47">
        <f>Water!E23</f>
        <v>332.1</v>
      </c>
      <c r="G22" s="47">
        <f>Water!G23</f>
        <v>243</v>
      </c>
      <c r="H22" s="47">
        <f>Water!I23</f>
        <v>3.4020000000000001</v>
      </c>
      <c r="I22" s="47">
        <f>ELECT.!F23</f>
        <v>7549</v>
      </c>
      <c r="J22" s="47">
        <f>ELECT.!H23</f>
        <v>38998</v>
      </c>
      <c r="K22" s="47">
        <f>ELECT.!K23</f>
        <v>5178</v>
      </c>
      <c r="L22" s="47">
        <f>ELECT.!M23</f>
        <v>5282</v>
      </c>
      <c r="M22" s="47">
        <f>ELECT.!O23</f>
        <v>2124</v>
      </c>
      <c r="N22" s="47">
        <f>ELECT.!Q23</f>
        <v>8668</v>
      </c>
      <c r="O22" s="47">
        <f>ELECT.!S23</f>
        <v>7861</v>
      </c>
      <c r="P22" s="47">
        <f>ELECT.!W23*2</f>
        <v>17564</v>
      </c>
      <c r="Q22" s="47">
        <f>ELECT.!D23</f>
        <v>320</v>
      </c>
      <c r="R22" s="48">
        <f>BTU!C23</f>
        <v>4.4089999999996508</v>
      </c>
      <c r="S22" s="48">
        <f>BTU!F23</f>
        <v>1.499000000000251</v>
      </c>
      <c r="T22" s="48">
        <f>BTU!I23</f>
        <v>6</v>
      </c>
      <c r="U22" s="48">
        <f>BTU!O23</f>
        <v>1.4400000000000546</v>
      </c>
      <c r="V22" s="48">
        <f>BTU!L23</f>
        <v>1.6399999999994179</v>
      </c>
      <c r="W22" s="48">
        <f>BTU!R23</f>
        <v>0.21000000000003638</v>
      </c>
      <c r="X22" s="45">
        <f>ELECT.!B23</f>
        <v>111</v>
      </c>
      <c r="Y22" s="45">
        <f t="shared" si="0"/>
        <v>-130</v>
      </c>
      <c r="Z22">
        <f>'Mall, Citadel, Rotana'!C23+'Mall, Citadel, Rotana'!E23+'Mall, Citadel, Rotana'!G23+'Mall, Citadel, Rotana'!I23</f>
        <v>1200</v>
      </c>
      <c r="AA22">
        <f>'Mall, Citadel, Rotana'!K23+'Mall, Citadel, Rotana'!M23</f>
        <v>480</v>
      </c>
      <c r="AB22">
        <f>'Mall, Citadel, Rotana'!O23</f>
        <v>113</v>
      </c>
      <c r="AC22">
        <f>'Mall, Citadel, Rotana'!Q23+'Mall, Citadel, Rotana'!S23</f>
        <v>81</v>
      </c>
      <c r="AD22" s="45">
        <f t="shared" si="1"/>
        <v>55.698416399999992</v>
      </c>
      <c r="AE22" s="45">
        <f t="shared" si="2"/>
        <v>366.89958359999991</v>
      </c>
    </row>
    <row r="23" spans="1:31" x14ac:dyDescent="0.2">
      <c r="A23" s="58" t="s">
        <v>54</v>
      </c>
      <c r="B23" s="63">
        <f t="shared" si="3"/>
        <v>22</v>
      </c>
      <c r="C23" s="63">
        <v>3</v>
      </c>
      <c r="D23" s="63">
        <v>2021</v>
      </c>
      <c r="E23" s="47">
        <f>Water!C24</f>
        <v>550</v>
      </c>
      <c r="F23" s="47">
        <f>Water!E24</f>
        <v>278.10000000000002</v>
      </c>
      <c r="G23" s="47">
        <f>Water!G24</f>
        <v>270</v>
      </c>
      <c r="H23" s="47">
        <f>Water!I24</f>
        <v>3.2399999999999998</v>
      </c>
      <c r="I23" s="47">
        <f>ELECT.!F24</f>
        <v>10062</v>
      </c>
      <c r="J23" s="47">
        <f>ELECT.!H24</f>
        <v>51425</v>
      </c>
      <c r="K23" s="47">
        <f>ELECT.!K24</f>
        <v>6615</v>
      </c>
      <c r="L23" s="47">
        <f>ELECT.!M24</f>
        <v>6344</v>
      </c>
      <c r="M23" s="47">
        <f>ELECT.!O24</f>
        <v>3552</v>
      </c>
      <c r="N23" s="47">
        <f>ELECT.!Q24</f>
        <v>10998</v>
      </c>
      <c r="O23" s="47">
        <f>ELECT.!S24</f>
        <v>9742</v>
      </c>
      <c r="P23" s="47">
        <f>ELECT.!W24*2</f>
        <v>22188</v>
      </c>
      <c r="Q23" s="47">
        <f>ELECT.!D24</f>
        <v>480</v>
      </c>
      <c r="R23" s="48">
        <f>BTU!C24</f>
        <v>5.6779999999998836</v>
      </c>
      <c r="S23" s="48">
        <f>BTU!F24</f>
        <v>1.7469999999998436</v>
      </c>
      <c r="T23" s="48">
        <f>BTU!I24</f>
        <v>6</v>
      </c>
      <c r="U23" s="48">
        <f>BTU!O24</f>
        <v>1.5309999999999491</v>
      </c>
      <c r="V23" s="48">
        <f>BTU!L24</f>
        <v>1.680000000000291</v>
      </c>
      <c r="W23" s="48">
        <f>BTU!R24</f>
        <v>0.71000000000003638</v>
      </c>
      <c r="X23" s="45">
        <f>ELECT.!B24</f>
        <v>115</v>
      </c>
      <c r="Y23" s="45">
        <f t="shared" si="0"/>
        <v>2048</v>
      </c>
      <c r="Z23">
        <f>'Mall, Citadel, Rotana'!C24+'Mall, Citadel, Rotana'!E24+'Mall, Citadel, Rotana'!G24+'Mall, Citadel, Rotana'!I24</f>
        <v>1379</v>
      </c>
      <c r="AA23">
        <f>'Mall, Citadel, Rotana'!K24+'Mall, Citadel, Rotana'!M24</f>
        <v>640</v>
      </c>
      <c r="AB23">
        <f>'Mall, Citadel, Rotana'!O24</f>
        <v>124</v>
      </c>
      <c r="AC23">
        <f>'Mall, Citadel, Rotana'!Q24+'Mall, Citadel, Rotana'!S24</f>
        <v>195</v>
      </c>
      <c r="AD23" s="45">
        <f t="shared" si="1"/>
        <v>46.493767999999996</v>
      </c>
      <c r="AE23" s="45">
        <f t="shared" si="2"/>
        <v>306.266232</v>
      </c>
    </row>
    <row r="24" spans="1:31" x14ac:dyDescent="0.2">
      <c r="A24" s="58" t="s">
        <v>54</v>
      </c>
      <c r="B24" s="63">
        <f t="shared" si="3"/>
        <v>23</v>
      </c>
      <c r="C24" s="63">
        <v>3</v>
      </c>
      <c r="D24" s="63">
        <v>2021</v>
      </c>
      <c r="E24" s="47">
        <f>Water!C25</f>
        <v>800</v>
      </c>
      <c r="F24" s="47">
        <f>Water!E25</f>
        <v>348.3</v>
      </c>
      <c r="G24" s="47">
        <f>Water!G25</f>
        <v>0</v>
      </c>
      <c r="H24" s="47">
        <f>Water!I25</f>
        <v>30.725999999999999</v>
      </c>
      <c r="I24" s="47">
        <f>ELECT.!F25</f>
        <v>9828</v>
      </c>
      <c r="J24" s="47">
        <f>ELECT.!H25</f>
        <v>46458</v>
      </c>
      <c r="K24" s="47">
        <f>ELECT.!K25</f>
        <v>6055</v>
      </c>
      <c r="L24" s="47">
        <f>ELECT.!M25</f>
        <v>9179</v>
      </c>
      <c r="M24" s="47">
        <f>ELECT.!O25</f>
        <v>3492</v>
      </c>
      <c r="N24" s="47">
        <f>ELECT.!Q25</f>
        <v>10696</v>
      </c>
      <c r="O24" s="47">
        <f>ELECT.!S25</f>
        <v>9119</v>
      </c>
      <c r="P24" s="47">
        <f>ELECT.!W25*2</f>
        <v>19770</v>
      </c>
      <c r="Q24" s="47">
        <f>ELECT.!D25</f>
        <v>320</v>
      </c>
      <c r="R24" s="48">
        <f>BTU!C25</f>
        <v>6.0869999999995343</v>
      </c>
      <c r="S24" s="48">
        <f>BTU!F25</f>
        <v>1.9259999999999309</v>
      </c>
      <c r="T24" s="48">
        <f>BTU!I25</f>
        <v>7</v>
      </c>
      <c r="U24" s="48">
        <f>BTU!O25</f>
        <v>1.3889999999996689</v>
      </c>
      <c r="V24" s="48">
        <f>BTU!L25</f>
        <v>1.569999999999709</v>
      </c>
      <c r="W24" s="48">
        <f>BTU!R25</f>
        <v>0.86000000000058208</v>
      </c>
      <c r="X24" s="45">
        <f>ELECT.!B25</f>
        <v>111</v>
      </c>
      <c r="Y24" s="45">
        <f t="shared" si="0"/>
        <v>-2025</v>
      </c>
      <c r="Z24">
        <f>'Mall, Citadel, Rotana'!C25+'Mall, Citadel, Rotana'!E25+'Mall, Citadel, Rotana'!G25+'Mall, Citadel, Rotana'!I25</f>
        <v>1050</v>
      </c>
      <c r="AA24">
        <f>'Mall, Citadel, Rotana'!K25+'Mall, Citadel, Rotana'!M25</f>
        <v>480</v>
      </c>
      <c r="AB24">
        <f>'Mall, Citadel, Rotana'!O25</f>
        <v>114</v>
      </c>
      <c r="AC24">
        <f>'Mall, Citadel, Rotana'!Q25+'Mall, Citadel, Rotana'!S25</f>
        <v>455</v>
      </c>
      <c r="AD24" s="45">
        <f t="shared" si="1"/>
        <v>75.821113199999999</v>
      </c>
      <c r="AE24" s="45">
        <f t="shared" si="2"/>
        <v>499.45288679999999</v>
      </c>
    </row>
    <row r="25" spans="1:31" x14ac:dyDescent="0.2">
      <c r="A25" s="58" t="s">
        <v>54</v>
      </c>
      <c r="B25" s="63">
        <f t="shared" si="3"/>
        <v>24</v>
      </c>
      <c r="C25" s="63">
        <v>3</v>
      </c>
      <c r="D25" s="63">
        <v>2021</v>
      </c>
      <c r="E25" s="47">
        <f>Water!C26</f>
        <v>650</v>
      </c>
      <c r="F25" s="47">
        <f>Water!E26</f>
        <v>321.3</v>
      </c>
      <c r="G25" s="47">
        <f>Water!G26</f>
        <v>529.20000000000005</v>
      </c>
      <c r="H25" s="47">
        <f>Water!I26</f>
        <v>3.6989999999999998</v>
      </c>
      <c r="I25" s="47">
        <f>ELECT.!F26</f>
        <v>8357</v>
      </c>
      <c r="J25" s="47">
        <f>ELECT.!H26</f>
        <v>36778</v>
      </c>
      <c r="K25" s="47">
        <f>ELECT.!K26</f>
        <v>4631</v>
      </c>
      <c r="L25" s="47">
        <f>ELECT.!M26</f>
        <v>2037</v>
      </c>
      <c r="M25" s="47">
        <f>ELECT.!O26</f>
        <v>3182</v>
      </c>
      <c r="N25" s="47">
        <f>ELECT.!Q26</f>
        <v>7197</v>
      </c>
      <c r="O25" s="47">
        <f>ELECT.!S26</f>
        <v>7606</v>
      </c>
      <c r="P25" s="47">
        <f>ELECT.!W26*2</f>
        <v>16696</v>
      </c>
      <c r="Q25" s="47">
        <f>ELECT.!D26</f>
        <v>320</v>
      </c>
      <c r="R25" s="48">
        <f>BTU!C26</f>
        <v>5.419000000001688</v>
      </c>
      <c r="S25" s="48">
        <f>BTU!F26</f>
        <v>1.4700000000002547</v>
      </c>
      <c r="T25" s="48">
        <f>BTU!I26</f>
        <v>7</v>
      </c>
      <c r="U25" s="48">
        <f>BTU!O26</f>
        <v>1.6539999999999964</v>
      </c>
      <c r="V25" s="48">
        <f>BTU!L26</f>
        <v>1.3100000000013097</v>
      </c>
      <c r="W25" s="48">
        <f>BTU!R26</f>
        <v>0.93999999999959982</v>
      </c>
      <c r="X25" s="45">
        <f>ELECT.!B26</f>
        <v>89</v>
      </c>
      <c r="Y25" s="45">
        <f t="shared" si="0"/>
        <v>3786</v>
      </c>
      <c r="Z25">
        <f>'Mall, Citadel, Rotana'!C26+'Mall, Citadel, Rotana'!E26+'Mall, Citadel, Rotana'!G26+'Mall, Citadel, Rotana'!I26</f>
        <v>943</v>
      </c>
      <c r="AA25">
        <f>'Mall, Citadel, Rotana'!K26+'Mall, Citadel, Rotana'!M26</f>
        <v>480</v>
      </c>
      <c r="AB25">
        <f>'Mall, Citadel, Rotana'!O26</f>
        <v>73</v>
      </c>
      <c r="AC25">
        <f>'Mall, Citadel, Rotana'!Q26+'Mall, Citadel, Rotana'!S26</f>
        <v>295</v>
      </c>
      <c r="AD25" s="45">
        <f t="shared" si="1"/>
        <v>59.613271800000007</v>
      </c>
      <c r="AE25" s="45">
        <f t="shared" si="2"/>
        <v>392.68772820000004</v>
      </c>
    </row>
    <row r="26" spans="1:31" x14ac:dyDescent="0.2">
      <c r="A26" s="58" t="s">
        <v>54</v>
      </c>
      <c r="B26" s="63">
        <f>B25+1</f>
        <v>25</v>
      </c>
      <c r="C26" s="63">
        <v>3</v>
      </c>
      <c r="D26" s="63">
        <v>2021</v>
      </c>
      <c r="E26" s="47">
        <f>Water!C27</f>
        <v>310</v>
      </c>
      <c r="F26" s="47">
        <f>Water!E27</f>
        <v>348.3</v>
      </c>
      <c r="G26" s="47">
        <f>Water!G27</f>
        <v>234.9</v>
      </c>
      <c r="H26" s="47">
        <f>Water!I27</f>
        <v>0</v>
      </c>
      <c r="I26" s="47">
        <f>ELECT.!F27</f>
        <v>10855</v>
      </c>
      <c r="J26" s="47">
        <f>ELECT.!H27</f>
        <v>47281</v>
      </c>
      <c r="K26" s="47">
        <f>ELECT.!K27</f>
        <v>5350</v>
      </c>
      <c r="L26" s="47">
        <f>ELECT.!M27</f>
        <v>7239</v>
      </c>
      <c r="M26" s="47">
        <f>ELECT.!O27</f>
        <v>3442</v>
      </c>
      <c r="N26" s="47">
        <f>ELECT.!Q27</f>
        <v>9152</v>
      </c>
      <c r="O26" s="47">
        <f>ELECT.!S27</f>
        <v>10031</v>
      </c>
      <c r="P26" s="47">
        <f>ELECT.!W27*2</f>
        <v>21898</v>
      </c>
      <c r="Q26" s="47">
        <f>ELECT.!D27</f>
        <v>480</v>
      </c>
      <c r="R26" s="48">
        <f>BTU!C27</f>
        <v>4.0839999999989232</v>
      </c>
      <c r="S26" s="48">
        <f>BTU!F27</f>
        <v>1.1369999999997162</v>
      </c>
      <c r="T26" s="48">
        <f>BTU!I27</f>
        <v>5</v>
      </c>
      <c r="U26" s="48">
        <f>BTU!O27</f>
        <v>1.6090000000003783</v>
      </c>
      <c r="V26" s="48">
        <f>BTU!L27</f>
        <v>1.1299999999991996</v>
      </c>
      <c r="W26" s="48">
        <f>BTU!R27</f>
        <v>0.6499999999996362</v>
      </c>
      <c r="X26" s="45">
        <f>ELECT.!B27</f>
        <v>87</v>
      </c>
      <c r="Y26" s="45">
        <f t="shared" si="0"/>
        <v>1024</v>
      </c>
      <c r="Z26">
        <f>'Mall, Citadel, Rotana'!C27+'Mall, Citadel, Rotana'!E27+'Mall, Citadel, Rotana'!G27+'Mall, Citadel, Rotana'!I27</f>
        <v>919</v>
      </c>
      <c r="AA26">
        <f>'Mall, Citadel, Rotana'!K27+'Mall, Citadel, Rotana'!M27</f>
        <v>320</v>
      </c>
      <c r="AB26">
        <f>'Mall, Citadel, Rotana'!O27</f>
        <v>41</v>
      </c>
      <c r="AC26">
        <f>'Mall, Citadel, Rotana'!Q27+'Mall, Citadel, Rotana'!S27</f>
        <v>136</v>
      </c>
      <c r="AD26" s="45">
        <f t="shared" si="1"/>
        <v>15.2888</v>
      </c>
      <c r="AE26" s="45">
        <f t="shared" si="2"/>
        <v>100.71120000000002</v>
      </c>
    </row>
    <row r="27" spans="1:31" x14ac:dyDescent="0.2">
      <c r="A27" s="58" t="s">
        <v>54</v>
      </c>
      <c r="B27" s="63">
        <f t="shared" si="3"/>
        <v>26</v>
      </c>
      <c r="C27" s="63">
        <v>3</v>
      </c>
      <c r="D27" s="63">
        <v>2021</v>
      </c>
      <c r="E27" s="47">
        <f>Water!C28</f>
        <v>980</v>
      </c>
      <c r="F27" s="47">
        <f>Water!E28</f>
        <v>332.1</v>
      </c>
      <c r="G27" s="47">
        <f>Water!G28</f>
        <v>213.3</v>
      </c>
      <c r="H27" s="47">
        <f>Water!I28</f>
        <v>2.9699999999999998</v>
      </c>
      <c r="I27" s="47">
        <f>ELECT.!F28</f>
        <v>7074</v>
      </c>
      <c r="J27" s="47">
        <f>ELECT.!H28</f>
        <v>36847</v>
      </c>
      <c r="K27" s="47">
        <f>ELECT.!K28</f>
        <v>3716</v>
      </c>
      <c r="L27" s="47">
        <f>ELECT.!M28</f>
        <v>4775</v>
      </c>
      <c r="M27" s="47">
        <f>ELECT.!O28</f>
        <v>2136</v>
      </c>
      <c r="N27" s="47">
        <f>ELECT.!Q28</f>
        <v>6814</v>
      </c>
      <c r="O27" s="47">
        <f>ELECT.!S28</f>
        <v>8093</v>
      </c>
      <c r="P27" s="47">
        <f>ELECT.!W28*2</f>
        <v>17452</v>
      </c>
      <c r="Q27" s="47">
        <f>ELECT.!D28</f>
        <v>480</v>
      </c>
      <c r="R27" s="48">
        <f>BTU!C28</f>
        <v>4.5840000000025611</v>
      </c>
      <c r="S27" s="48">
        <f>BTU!F28</f>
        <v>0.56000000000040018</v>
      </c>
      <c r="T27" s="48">
        <f>BTU!I28</f>
        <v>6</v>
      </c>
      <c r="U27" s="48">
        <f>BTU!O28</f>
        <v>1.2480000000000473</v>
      </c>
      <c r="V27" s="48">
        <f>BTU!L28</f>
        <v>0.92000000000007276</v>
      </c>
      <c r="W27" s="48">
        <f>BTU!R28</f>
        <v>0.32999999999992724</v>
      </c>
      <c r="X27" s="45">
        <f>ELECT.!B28</f>
        <v>90</v>
      </c>
      <c r="Y27" s="45">
        <f t="shared" si="0"/>
        <v>935</v>
      </c>
      <c r="Z27">
        <f>'Mall, Citadel, Rotana'!C28+'Mall, Citadel, Rotana'!E28+'Mall, Citadel, Rotana'!G28+'Mall, Citadel, Rotana'!I28</f>
        <v>2667</v>
      </c>
      <c r="AA27">
        <f>'Mall, Citadel, Rotana'!K28+'Mall, Citadel, Rotana'!M28</f>
        <v>800</v>
      </c>
      <c r="AB27">
        <f>'Mall, Citadel, Rotana'!O28</f>
        <v>207</v>
      </c>
      <c r="AC27">
        <f>'Mall, Citadel, Rotana'!Q28+'Mall, Citadel, Rotana'!S28</f>
        <v>83</v>
      </c>
      <c r="AD27" s="45">
        <f t="shared" si="1"/>
        <v>103.20335399999999</v>
      </c>
      <c r="AE27" s="45">
        <f t="shared" si="2"/>
        <v>679.82664599999998</v>
      </c>
    </row>
    <row r="28" spans="1:31" x14ac:dyDescent="0.2">
      <c r="A28" s="58" t="s">
        <v>54</v>
      </c>
      <c r="B28" s="63">
        <f t="shared" si="3"/>
        <v>27</v>
      </c>
      <c r="C28" s="63">
        <v>3</v>
      </c>
      <c r="D28" s="63">
        <v>2021</v>
      </c>
      <c r="E28" s="47">
        <f>Water!C29</f>
        <v>620</v>
      </c>
      <c r="F28" s="47">
        <f>Water!E29</f>
        <v>332.1</v>
      </c>
      <c r="G28" s="47">
        <f>Water!G29</f>
        <v>216</v>
      </c>
      <c r="H28" s="47">
        <f>Water!I29</f>
        <v>3.024</v>
      </c>
      <c r="I28" s="47">
        <f>ELECT.!F29</f>
        <v>8478</v>
      </c>
      <c r="J28" s="47">
        <f>ELECT.!H29</f>
        <v>45457</v>
      </c>
      <c r="K28" s="47">
        <f>ELECT.!K29</f>
        <v>4626</v>
      </c>
      <c r="L28" s="47">
        <f>ELECT.!M29</f>
        <v>5377</v>
      </c>
      <c r="M28" s="47">
        <f>ELECT.!O29</f>
        <v>2948</v>
      </c>
      <c r="N28" s="47">
        <f>ELECT.!Q29</f>
        <v>8059</v>
      </c>
      <c r="O28" s="47">
        <f>ELECT.!S29</f>
        <v>10208</v>
      </c>
      <c r="P28" s="47">
        <f>ELECT.!W29*2</f>
        <v>22054</v>
      </c>
      <c r="Q28" s="47">
        <f>ELECT.!D29</f>
        <v>320</v>
      </c>
      <c r="R28" s="48">
        <f>BTU!C29</f>
        <v>4.4249999999992724</v>
      </c>
      <c r="S28" s="48">
        <f>BTU!F29</f>
        <v>0.63599999999996726</v>
      </c>
      <c r="T28" s="48">
        <f>BTU!I29</f>
        <v>5</v>
      </c>
      <c r="U28" s="48">
        <f>BTU!O29</f>
        <v>1.3149999999995998</v>
      </c>
      <c r="V28" s="48">
        <f>BTU!L29</f>
        <v>0</v>
      </c>
      <c r="W28" s="48">
        <f>BTU!R29</f>
        <v>0.5500000000001819</v>
      </c>
      <c r="X28" s="45">
        <f>ELECT.!B29</f>
        <v>91</v>
      </c>
      <c r="Y28" s="45">
        <f t="shared" si="0"/>
        <v>663</v>
      </c>
      <c r="Z28">
        <f>'Mall, Citadel, Rotana'!C29+'Mall, Citadel, Rotana'!E29+'Mall, Citadel, Rotana'!G29+'Mall, Citadel, Rotana'!I29</f>
        <v>1031</v>
      </c>
      <c r="AA28">
        <f>'Mall, Citadel, Rotana'!K29+'Mall, Citadel, Rotana'!M29</f>
        <v>480</v>
      </c>
      <c r="AB28">
        <f>'Mall, Citadel, Rotana'!O29</f>
        <v>83</v>
      </c>
      <c r="AC28">
        <f>'Mall, Citadel, Rotana'!Q29+'Mall, Citadel, Rotana'!S29</f>
        <v>92</v>
      </c>
      <c r="AD28" s="45">
        <f t="shared" si="1"/>
        <v>55.748236800000001</v>
      </c>
      <c r="AE28" s="45">
        <f t="shared" si="2"/>
        <v>367.22776320000003</v>
      </c>
    </row>
    <row r="29" spans="1:31" x14ac:dyDescent="0.2">
      <c r="A29" s="58" t="s">
        <v>54</v>
      </c>
      <c r="B29" s="63">
        <f t="shared" si="3"/>
        <v>28</v>
      </c>
      <c r="C29" s="63">
        <v>3</v>
      </c>
      <c r="D29" s="63">
        <v>2021</v>
      </c>
      <c r="E29" s="47">
        <f>Water!C30</f>
        <v>600</v>
      </c>
      <c r="F29" s="47">
        <f>Water!E30</f>
        <v>329.4</v>
      </c>
      <c r="G29" s="47">
        <f>Water!G30</f>
        <v>218.7</v>
      </c>
      <c r="H29" s="47">
        <f>Water!I30</f>
        <v>3.1589999999999998</v>
      </c>
      <c r="I29" s="47">
        <f>ELECT.!F30</f>
        <v>7885</v>
      </c>
      <c r="J29" s="47">
        <f>ELECT.!H30</f>
        <v>36907</v>
      </c>
      <c r="K29" s="47">
        <f>ELECT.!K30</f>
        <v>3907</v>
      </c>
      <c r="L29" s="47">
        <f>ELECT.!M30</f>
        <v>5464</v>
      </c>
      <c r="M29" s="47">
        <f>ELECT.!O30</f>
        <v>2286</v>
      </c>
      <c r="N29" s="47">
        <f>ELECT.!Q30</f>
        <v>4620</v>
      </c>
      <c r="O29" s="47">
        <f>ELECT.!S30</f>
        <v>7744</v>
      </c>
      <c r="P29" s="47">
        <f>ELECT.!W30*2</f>
        <v>17732</v>
      </c>
      <c r="Q29" s="47">
        <f>ELECT.!D30</f>
        <v>320</v>
      </c>
      <c r="R29" s="48">
        <f>BTU!C30</f>
        <v>4.4579999999987194</v>
      </c>
      <c r="S29" s="48">
        <f>BTU!F30</f>
        <v>1.0489999999999782</v>
      </c>
      <c r="T29" s="48">
        <f>BTU!I30</f>
        <v>5</v>
      </c>
      <c r="U29" s="48">
        <f>BTU!O30</f>
        <v>1.3530000000000655</v>
      </c>
      <c r="V29" s="48">
        <f>BTU!L30</f>
        <v>0</v>
      </c>
      <c r="W29" s="48">
        <f>BTU!R30</f>
        <v>0.51000000000021828</v>
      </c>
      <c r="X29" s="45">
        <f>ELECT.!B30</f>
        <v>92</v>
      </c>
      <c r="Y29" s="45">
        <f t="shared" si="0"/>
        <v>3039</v>
      </c>
      <c r="Z29">
        <f>'Mall, Citadel, Rotana'!C30+'Mall, Citadel, Rotana'!E30+'Mall, Citadel, Rotana'!G30+'Mall, Citadel, Rotana'!I30</f>
        <v>1257</v>
      </c>
      <c r="AA29">
        <f>'Mall, Citadel, Rotana'!K30+'Mall, Citadel, Rotana'!M30</f>
        <v>640</v>
      </c>
      <c r="AB29">
        <f>'Mall, Citadel, Rotana'!O30</f>
        <v>117</v>
      </c>
      <c r="AC29">
        <f>'Mall, Citadel, Rotana'!Q30+'Mall, Citadel, Rotana'!S30</f>
        <v>95</v>
      </c>
      <c r="AD29" s="45">
        <f t="shared" si="1"/>
        <v>53.094443800000001</v>
      </c>
      <c r="AE29" s="45">
        <f t="shared" si="2"/>
        <v>349.74655619999999</v>
      </c>
    </row>
    <row r="30" spans="1:31" x14ac:dyDescent="0.2">
      <c r="A30" s="58" t="s">
        <v>54</v>
      </c>
      <c r="B30" s="63">
        <f t="shared" si="3"/>
        <v>29</v>
      </c>
      <c r="C30" s="63">
        <v>3</v>
      </c>
      <c r="D30" s="63">
        <v>2021</v>
      </c>
      <c r="E30" s="47">
        <f>Water!C31</f>
        <v>720</v>
      </c>
      <c r="F30" s="47">
        <f>Water!E31</f>
        <v>356.4</v>
      </c>
      <c r="G30" s="47">
        <f>Water!E31</f>
        <v>356.4</v>
      </c>
      <c r="H30" s="47">
        <f>Water!I31</f>
        <v>3.456</v>
      </c>
      <c r="I30" s="47">
        <f>Water!G31</f>
        <v>278.10000000000002</v>
      </c>
      <c r="J30" s="47">
        <f>ELECT.!H31</f>
        <v>36820</v>
      </c>
      <c r="K30" s="47">
        <f>Water!I31</f>
        <v>3.456</v>
      </c>
      <c r="L30" s="47">
        <f>Water!J31</f>
        <v>1357.9559999999999</v>
      </c>
      <c r="M30" s="47">
        <f>Water!K31</f>
        <v>7957.6221599999999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4.3320000000021537</v>
      </c>
      <c r="S30" s="48">
        <f>BTU!F31</f>
        <v>1.1879999999996471</v>
      </c>
      <c r="T30" s="48">
        <f>BTU!I31</f>
        <v>6</v>
      </c>
      <c r="U30" s="48">
        <f>BTU!O31</f>
        <v>1.3910000000000764</v>
      </c>
      <c r="V30" s="48">
        <f>BTU!L31</f>
        <v>0</v>
      </c>
      <c r="W30" s="48" t="str">
        <f>BTU!R31</f>
        <v>0</v>
      </c>
      <c r="X30" s="45">
        <f>ELECT.!B31</f>
        <v>90</v>
      </c>
      <c r="Y30" s="45">
        <f t="shared" si="0"/>
        <v>27779.065839999999</v>
      </c>
      <c r="Z30">
        <f>'Mall, Citadel, Rotana'!C31+'Mall, Citadel, Rotana'!E31+'Mall, Citadel, Rotana'!G31+'Mall, Citadel, Rotana'!I31</f>
        <v>1382</v>
      </c>
      <c r="AA30">
        <f>'Mall, Citadel, Rotana'!K31+'Mall, Citadel, Rotana'!M31</f>
        <v>480</v>
      </c>
      <c r="AB30">
        <f>'Mall, Citadel, Rotana'!O31</f>
        <v>123</v>
      </c>
      <c r="AC30">
        <f>'Mall, Citadel, Rotana'!Q31+'Mall, Citadel, Rotana'!S31</f>
        <v>209</v>
      </c>
      <c r="AD30" s="45">
        <f t="shared" si="1"/>
        <v>68.871299199999996</v>
      </c>
      <c r="AE30" s="45">
        <f t="shared" si="2"/>
        <v>453.67270080000003</v>
      </c>
    </row>
    <row r="31" spans="1:31" x14ac:dyDescent="0.2">
      <c r="A31" s="58" t="s">
        <v>54</v>
      </c>
      <c r="B31" s="63">
        <f t="shared" si="3"/>
        <v>30</v>
      </c>
      <c r="C31" s="63">
        <v>3</v>
      </c>
      <c r="D31" s="63">
        <v>2021</v>
      </c>
      <c r="E31" s="47">
        <f>Water!C32</f>
        <v>660</v>
      </c>
      <c r="F31" s="47">
        <f>Water!E32</f>
        <v>334.8</v>
      </c>
      <c r="G31" s="47">
        <f>Water!E32</f>
        <v>334.8</v>
      </c>
      <c r="H31" s="47">
        <f>Water!I32</f>
        <v>4.6440000000000001</v>
      </c>
      <c r="I31" s="47">
        <f>Water!G32</f>
        <v>270</v>
      </c>
      <c r="J31" s="47">
        <f>ELECT.!H32</f>
        <v>50010</v>
      </c>
      <c r="K31" s="47">
        <f>Water!I32</f>
        <v>4.6440000000000001</v>
      </c>
      <c r="L31" s="47">
        <f>Water!J32</f>
        <v>1269.444</v>
      </c>
      <c r="M31" s="47">
        <f>Water!K32</f>
        <v>7438.9418400000004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3.2899999999972351</v>
      </c>
      <c r="S31" s="48">
        <f>BTU!F32</f>
        <v>1.1159999999999854</v>
      </c>
      <c r="T31" s="48">
        <f>BTU!I32</f>
        <v>4</v>
      </c>
      <c r="U31" s="48">
        <f>BTU!O32</f>
        <v>1.1010000000001128</v>
      </c>
      <c r="V31" s="48">
        <f>BTU!L32</f>
        <v>0.73999999999978172</v>
      </c>
      <c r="W31" s="48">
        <f>BTU!R32</f>
        <v>0.88000000000010914</v>
      </c>
      <c r="X31" s="45">
        <f>ELECT.!B32</f>
        <v>112</v>
      </c>
      <c r="Y31" s="45">
        <f t="shared" si="0"/>
        <v>41566.970159999997</v>
      </c>
      <c r="Z31">
        <f>'Mall, Citadel, Rotana'!C32+'Mall, Citadel, Rotana'!E32+'Mall, Citadel, Rotana'!G32+'Mall, Citadel, Rotana'!I32</f>
        <v>871</v>
      </c>
      <c r="AA31">
        <f>'Mall, Citadel, Rotana'!K32+'Mall, Citadel, Rotana'!M32</f>
        <v>640</v>
      </c>
      <c r="AB31">
        <f>'Mall, Citadel, Rotana'!O32</f>
        <v>76</v>
      </c>
      <c r="AC31">
        <f>'Mall, Citadel, Rotana'!Q32+'Mall, Citadel, Rotana'!S32</f>
        <v>0</v>
      </c>
      <c r="AD31" s="45">
        <f t="shared" si="1"/>
        <v>60.806720800000001</v>
      </c>
      <c r="AE31" s="45">
        <f t="shared" si="2"/>
        <v>400.5492792</v>
      </c>
    </row>
    <row r="32" spans="1:31" x14ac:dyDescent="0.2">
      <c r="A32" s="58" t="s">
        <v>54</v>
      </c>
      <c r="B32" s="63">
        <f t="shared" si="3"/>
        <v>31</v>
      </c>
      <c r="C32" s="63">
        <v>3</v>
      </c>
      <c r="D32" s="63">
        <v>2021</v>
      </c>
      <c r="E32" s="47">
        <f>Water!C33</f>
        <v>740</v>
      </c>
      <c r="F32" s="47">
        <f>Water!E33</f>
        <v>359.1</v>
      </c>
      <c r="G32" s="47">
        <f>Water!E33</f>
        <v>359.1</v>
      </c>
      <c r="H32" s="47">
        <f>Water!I33</f>
        <v>3.3479999999999999</v>
      </c>
      <c r="I32" s="47">
        <f>Water!G33</f>
        <v>191.7</v>
      </c>
      <c r="J32" s="47">
        <f>ELECT.!H33</f>
        <v>45508</v>
      </c>
      <c r="K32" s="47">
        <f>Water!I33</f>
        <v>3.3479999999999999</v>
      </c>
      <c r="L32" s="47">
        <f>Water!J33</f>
        <v>1294.1479999999999</v>
      </c>
      <c r="M32" s="47">
        <f>Water!K33</f>
        <v>7583.7072799999996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4.125</v>
      </c>
      <c r="S32" s="48">
        <f>BTU!F33</f>
        <v>1.2909999999997126</v>
      </c>
      <c r="T32" s="48">
        <f>BTU!I33</f>
        <v>5</v>
      </c>
      <c r="U32" s="48">
        <f>BTU!O33</f>
        <v>1.1720000000000255</v>
      </c>
      <c r="V32" s="48">
        <f>BTU!L33</f>
        <v>0.80999999999949068</v>
      </c>
      <c r="W32" s="48">
        <f>BTU!R33</f>
        <v>0.11499999999978172</v>
      </c>
      <c r="X32" s="45">
        <f>ELECT.!B33</f>
        <v>160</v>
      </c>
      <c r="Y32" s="45">
        <f t="shared" si="0"/>
        <v>36818.496719999996</v>
      </c>
      <c r="Z32">
        <f>'Mall, Citadel, Rotana'!C33+'Mall, Citadel, Rotana'!E33+'Mall, Citadel, Rotana'!G33+'Mall, Citadel, Rotana'!I33</f>
        <v>1712</v>
      </c>
      <c r="AA32">
        <f>'Mall, Citadel, Rotana'!K33+'Mall, Citadel, Rotana'!M33</f>
        <v>800</v>
      </c>
      <c r="AB32">
        <f>'Mall, Citadel, Rotana'!O33</f>
        <v>163</v>
      </c>
      <c r="AC32">
        <f>'Mall, Citadel, Rotana'!Q33+'Mall, Citadel, Rotana'!S33</f>
        <v>61</v>
      </c>
      <c r="AD32" s="45">
        <f t="shared" si="1"/>
        <v>71.521533600000012</v>
      </c>
      <c r="AE32" s="45">
        <f t="shared" si="2"/>
        <v>471.13046640000005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U34" sqref="U3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44890</v>
      </c>
      <c r="C2" s="16"/>
      <c r="D2" s="1">
        <v>39308</v>
      </c>
      <c r="E2" s="16"/>
      <c r="F2" s="1">
        <v>20120</v>
      </c>
      <c r="G2" s="16"/>
      <c r="H2" s="1">
        <v>239183</v>
      </c>
      <c r="I2" s="16"/>
      <c r="J2" s="1">
        <v>303517</v>
      </c>
      <c r="K2" s="16"/>
      <c r="L2" s="1">
        <v>24670</v>
      </c>
      <c r="M2" s="16"/>
      <c r="N2" s="42">
        <v>209638</v>
      </c>
      <c r="O2" s="16"/>
      <c r="P2" s="1">
        <v>94770</v>
      </c>
      <c r="Q2" s="16"/>
      <c r="R2" s="1">
        <v>55047</v>
      </c>
      <c r="S2" s="16"/>
      <c r="T2" s="1">
        <v>3539</v>
      </c>
      <c r="U2" s="16"/>
    </row>
    <row r="3" spans="1:24" ht="13.5" thickBot="1" x14ac:dyDescent="0.25">
      <c r="A3" s="10">
        <v>44256</v>
      </c>
      <c r="B3" s="1">
        <v>44897</v>
      </c>
      <c r="C3" s="16">
        <f>(B3-B2)*800/5</f>
        <v>1120</v>
      </c>
      <c r="D3" s="1">
        <v>39311</v>
      </c>
      <c r="E3" s="16">
        <f>(D3-D2)*800/5</f>
        <v>480</v>
      </c>
      <c r="F3" s="1">
        <v>20124</v>
      </c>
      <c r="G3" s="16">
        <f t="shared" ref="G3:G32" si="0">(F3-F2)*100/5</f>
        <v>80</v>
      </c>
      <c r="H3" s="1">
        <v>239192</v>
      </c>
      <c r="I3" s="16">
        <f t="shared" ref="I3:I32" si="1">(H3-H2)</f>
        <v>9</v>
      </c>
      <c r="J3" s="1">
        <f>J2</f>
        <v>303517</v>
      </c>
      <c r="K3" s="16">
        <f t="shared" ref="K3:K32" si="2">(J3-J2)*800/5</f>
        <v>0</v>
      </c>
      <c r="L3" s="1">
        <v>24674</v>
      </c>
      <c r="M3" s="16">
        <f t="shared" ref="M3:M32" si="3">(L3-L2)*800/5</f>
        <v>640</v>
      </c>
      <c r="N3" s="42">
        <v>209711</v>
      </c>
      <c r="O3" s="16">
        <f>N3-N2</f>
        <v>73</v>
      </c>
      <c r="P3" s="1">
        <v>94904</v>
      </c>
      <c r="Q3" s="16">
        <f t="shared" ref="Q3:Q32" si="4">P3-P2</f>
        <v>134</v>
      </c>
      <c r="R3" s="1">
        <v>55047</v>
      </c>
      <c r="S3" s="16">
        <v>0</v>
      </c>
      <c r="T3" s="1">
        <v>3541</v>
      </c>
      <c r="U3" s="16">
        <f t="shared" ref="U3:U32" si="5">(T3-T2)*800/5</f>
        <v>320</v>
      </c>
    </row>
    <row r="4" spans="1:24" ht="13.5" thickBot="1" x14ac:dyDescent="0.25">
      <c r="A4" s="10">
        <v>44257</v>
      </c>
      <c r="B4" s="1">
        <f t="shared" ref="B4:B20" si="6">B3</f>
        <v>44897</v>
      </c>
      <c r="C4" s="16">
        <f t="shared" ref="C4:C32" si="7">(B4-B3)*800/5</f>
        <v>0</v>
      </c>
      <c r="D4" s="1">
        <f t="shared" ref="D4:D20" si="8">D3</f>
        <v>39311</v>
      </c>
      <c r="E4" s="16">
        <f t="shared" ref="E4:E32" si="9">(D4-D3)*800/5</f>
        <v>0</v>
      </c>
      <c r="F4" s="1">
        <f t="shared" ref="F4:F20" si="10">F3</f>
        <v>20124</v>
      </c>
      <c r="G4" s="16">
        <f t="shared" si="0"/>
        <v>0</v>
      </c>
      <c r="H4" s="1">
        <f t="shared" ref="H4:H20" si="11">H3</f>
        <v>239192</v>
      </c>
      <c r="I4" s="16">
        <f t="shared" si="1"/>
        <v>0</v>
      </c>
      <c r="J4" s="1">
        <f t="shared" ref="J4:J31" si="12">J3</f>
        <v>303517</v>
      </c>
      <c r="K4" s="16">
        <f t="shared" si="2"/>
        <v>0</v>
      </c>
      <c r="L4" s="1">
        <f t="shared" ref="L4:L20" si="13">L3</f>
        <v>24674</v>
      </c>
      <c r="M4" s="16">
        <f t="shared" si="3"/>
        <v>0</v>
      </c>
      <c r="N4" s="42">
        <f t="shared" ref="N4:N20" si="14">N3</f>
        <v>209711</v>
      </c>
      <c r="O4" s="16">
        <f t="shared" ref="O4:O32" si="15">N4-N3</f>
        <v>0</v>
      </c>
      <c r="P4" s="1">
        <f t="shared" ref="P4:P32" si="16">P3</f>
        <v>94904</v>
      </c>
      <c r="Q4" s="16">
        <f t="shared" si="4"/>
        <v>0</v>
      </c>
      <c r="R4" s="1">
        <f t="shared" ref="R4:R31" si="17">R3</f>
        <v>55047</v>
      </c>
      <c r="S4" s="16">
        <f t="shared" ref="S4:S32" si="18">R4-R3</f>
        <v>0</v>
      </c>
      <c r="T4" s="1">
        <f t="shared" ref="T4:T31" si="19">T3</f>
        <v>3541</v>
      </c>
      <c r="U4" s="16">
        <f t="shared" si="5"/>
        <v>0</v>
      </c>
    </row>
    <row r="5" spans="1:24" ht="13.5" thickBot="1" x14ac:dyDescent="0.25">
      <c r="A5" s="10">
        <v>44258</v>
      </c>
      <c r="B5" s="1">
        <f t="shared" si="6"/>
        <v>44897</v>
      </c>
      <c r="C5" s="16">
        <f t="shared" si="7"/>
        <v>0</v>
      </c>
      <c r="D5" s="1">
        <f t="shared" si="8"/>
        <v>39311</v>
      </c>
      <c r="E5" s="16">
        <f t="shared" si="9"/>
        <v>0</v>
      </c>
      <c r="F5" s="1">
        <f t="shared" si="10"/>
        <v>20124</v>
      </c>
      <c r="G5" s="16">
        <f t="shared" si="0"/>
        <v>0</v>
      </c>
      <c r="H5" s="1">
        <f t="shared" si="11"/>
        <v>239192</v>
      </c>
      <c r="I5" s="16">
        <f t="shared" si="1"/>
        <v>0</v>
      </c>
      <c r="J5" s="1">
        <f t="shared" si="12"/>
        <v>303517</v>
      </c>
      <c r="K5" s="16">
        <f t="shared" si="2"/>
        <v>0</v>
      </c>
      <c r="L5" s="1">
        <f t="shared" si="13"/>
        <v>24674</v>
      </c>
      <c r="M5" s="16">
        <f t="shared" si="3"/>
        <v>0</v>
      </c>
      <c r="N5" s="42">
        <f t="shared" si="14"/>
        <v>209711</v>
      </c>
      <c r="O5" s="16">
        <f t="shared" si="15"/>
        <v>0</v>
      </c>
      <c r="P5" s="1">
        <f t="shared" si="16"/>
        <v>94904</v>
      </c>
      <c r="Q5" s="16">
        <f t="shared" si="4"/>
        <v>0</v>
      </c>
      <c r="R5" s="1">
        <f t="shared" si="17"/>
        <v>55047</v>
      </c>
      <c r="S5" s="16">
        <f t="shared" si="18"/>
        <v>0</v>
      </c>
      <c r="T5" s="1">
        <f t="shared" si="19"/>
        <v>3541</v>
      </c>
      <c r="U5" s="16">
        <f t="shared" si="5"/>
        <v>0</v>
      </c>
    </row>
    <row r="6" spans="1:24" ht="13.5" thickBot="1" x14ac:dyDescent="0.25">
      <c r="A6" s="10">
        <v>44259</v>
      </c>
      <c r="B6" s="1">
        <v>44906</v>
      </c>
      <c r="C6" s="16">
        <f t="shared" si="7"/>
        <v>1440</v>
      </c>
      <c r="D6" s="1">
        <v>39321</v>
      </c>
      <c r="E6" s="16">
        <f t="shared" si="9"/>
        <v>1600</v>
      </c>
      <c r="F6" s="1">
        <v>20131</v>
      </c>
      <c r="G6" s="16">
        <f t="shared" si="0"/>
        <v>140</v>
      </c>
      <c r="H6" s="1">
        <v>239249</v>
      </c>
      <c r="I6" s="16">
        <f t="shared" si="1"/>
        <v>57</v>
      </c>
      <c r="J6" s="1">
        <f t="shared" si="12"/>
        <v>303517</v>
      </c>
      <c r="K6" s="16">
        <f t="shared" si="2"/>
        <v>0</v>
      </c>
      <c r="L6" s="1">
        <v>24683</v>
      </c>
      <c r="M6" s="16">
        <f t="shared" si="3"/>
        <v>1440</v>
      </c>
      <c r="N6" s="42">
        <v>209987</v>
      </c>
      <c r="O6" s="16">
        <f t="shared" si="15"/>
        <v>276</v>
      </c>
      <c r="P6" s="1">
        <v>95000</v>
      </c>
      <c r="Q6" s="16">
        <f t="shared" si="4"/>
        <v>96</v>
      </c>
      <c r="R6" s="1">
        <f t="shared" si="17"/>
        <v>55047</v>
      </c>
      <c r="S6" s="16">
        <f>R30-R5</f>
        <v>0</v>
      </c>
      <c r="T6" s="1">
        <v>3546</v>
      </c>
      <c r="U6" s="16">
        <f t="shared" si="5"/>
        <v>800</v>
      </c>
    </row>
    <row r="7" spans="1:24" ht="13.5" thickBot="1" x14ac:dyDescent="0.25">
      <c r="A7" s="10">
        <v>44260</v>
      </c>
      <c r="B7" s="1">
        <v>44908</v>
      </c>
      <c r="C7" s="16">
        <f t="shared" si="7"/>
        <v>320</v>
      </c>
      <c r="D7" s="1">
        <v>39324</v>
      </c>
      <c r="E7" s="16">
        <f t="shared" si="9"/>
        <v>480</v>
      </c>
      <c r="F7" s="1">
        <v>20133</v>
      </c>
      <c r="G7" s="16">
        <f t="shared" si="0"/>
        <v>40</v>
      </c>
      <c r="H7" s="1">
        <v>239255</v>
      </c>
      <c r="I7" s="16">
        <f t="shared" si="1"/>
        <v>6</v>
      </c>
      <c r="J7" s="1">
        <f t="shared" si="12"/>
        <v>303517</v>
      </c>
      <c r="K7" s="16">
        <f t="shared" si="2"/>
        <v>0</v>
      </c>
      <c r="L7" s="1">
        <v>24685</v>
      </c>
      <c r="M7" s="16">
        <f t="shared" si="3"/>
        <v>320</v>
      </c>
      <c r="N7" s="42">
        <v>209999</v>
      </c>
      <c r="O7" s="16">
        <f t="shared" si="15"/>
        <v>12</v>
      </c>
      <c r="P7" s="1">
        <v>95102</v>
      </c>
      <c r="Q7" s="16">
        <f t="shared" si="4"/>
        <v>102</v>
      </c>
      <c r="R7" s="1">
        <f t="shared" si="17"/>
        <v>55047</v>
      </c>
      <c r="S7" s="16">
        <f>R7-R30</f>
        <v>0</v>
      </c>
      <c r="T7" s="1">
        <v>3547</v>
      </c>
      <c r="U7" s="16">
        <f t="shared" si="5"/>
        <v>160</v>
      </c>
    </row>
    <row r="8" spans="1:24" ht="13.5" thickBot="1" x14ac:dyDescent="0.25">
      <c r="A8" s="10">
        <v>44261</v>
      </c>
      <c r="B8" s="1">
        <v>44921</v>
      </c>
      <c r="C8" s="16">
        <f t="shared" si="7"/>
        <v>2080</v>
      </c>
      <c r="D8" s="1">
        <v>39326</v>
      </c>
      <c r="E8" s="16">
        <f t="shared" si="9"/>
        <v>320</v>
      </c>
      <c r="F8" s="1">
        <v>20143</v>
      </c>
      <c r="G8" s="16">
        <f t="shared" si="0"/>
        <v>200</v>
      </c>
      <c r="H8" s="1">
        <v>239308</v>
      </c>
      <c r="I8" s="16">
        <f t="shared" si="1"/>
        <v>53</v>
      </c>
      <c r="J8" s="1">
        <f t="shared" si="12"/>
        <v>303517</v>
      </c>
      <c r="K8" s="16">
        <f t="shared" si="2"/>
        <v>0</v>
      </c>
      <c r="L8" s="1">
        <v>24692</v>
      </c>
      <c r="M8" s="16">
        <f t="shared" si="3"/>
        <v>1120</v>
      </c>
      <c r="N8" s="42">
        <v>210304</v>
      </c>
      <c r="O8" s="16">
        <f t="shared" si="15"/>
        <v>305</v>
      </c>
      <c r="P8" s="1">
        <v>95245</v>
      </c>
      <c r="Q8" s="16">
        <f t="shared" si="4"/>
        <v>143</v>
      </c>
      <c r="R8" s="1">
        <f t="shared" si="17"/>
        <v>55047</v>
      </c>
      <c r="S8" s="16">
        <f t="shared" si="18"/>
        <v>0</v>
      </c>
      <c r="T8" s="1">
        <v>3548</v>
      </c>
      <c r="U8" s="16">
        <f t="shared" si="5"/>
        <v>160</v>
      </c>
    </row>
    <row r="9" spans="1:24" ht="13.5" thickBot="1" x14ac:dyDescent="0.25">
      <c r="A9" s="10">
        <v>44262</v>
      </c>
      <c r="B9" s="1">
        <v>44923</v>
      </c>
      <c r="C9" s="16">
        <f t="shared" si="7"/>
        <v>320</v>
      </c>
      <c r="D9" s="1">
        <v>39329</v>
      </c>
      <c r="E9" s="16">
        <f t="shared" si="9"/>
        <v>480</v>
      </c>
      <c r="F9" s="1">
        <v>20147</v>
      </c>
      <c r="G9" s="16">
        <f t="shared" si="0"/>
        <v>80</v>
      </c>
      <c r="H9" s="1">
        <v>239321</v>
      </c>
      <c r="I9" s="16">
        <f t="shared" si="1"/>
        <v>13</v>
      </c>
      <c r="J9" s="1">
        <f t="shared" si="12"/>
        <v>303517</v>
      </c>
      <c r="K9" s="16">
        <f t="shared" si="2"/>
        <v>0</v>
      </c>
      <c r="L9" s="1">
        <v>24696</v>
      </c>
      <c r="M9" s="16">
        <f t="shared" si="3"/>
        <v>640</v>
      </c>
      <c r="N9" s="42">
        <v>210321</v>
      </c>
      <c r="O9" s="16">
        <f t="shared" si="15"/>
        <v>17</v>
      </c>
      <c r="P9" s="1">
        <v>95310</v>
      </c>
      <c r="Q9" s="16">
        <f>P9-P8</f>
        <v>65</v>
      </c>
      <c r="R9" s="1">
        <f t="shared" si="17"/>
        <v>55047</v>
      </c>
      <c r="S9" s="16">
        <f>R9-R8</f>
        <v>0</v>
      </c>
      <c r="T9" s="1">
        <v>3549</v>
      </c>
      <c r="U9" s="16">
        <f t="shared" si="5"/>
        <v>160</v>
      </c>
    </row>
    <row r="10" spans="1:24" ht="13.5" thickBot="1" x14ac:dyDescent="0.25">
      <c r="A10" s="10">
        <v>44263</v>
      </c>
      <c r="B10" s="1">
        <v>44931</v>
      </c>
      <c r="C10" s="16">
        <f t="shared" si="7"/>
        <v>1280</v>
      </c>
      <c r="D10" s="1">
        <v>39332</v>
      </c>
      <c r="E10" s="16">
        <f t="shared" si="9"/>
        <v>480</v>
      </c>
      <c r="F10" s="1">
        <v>20148</v>
      </c>
      <c r="G10" s="16">
        <f t="shared" si="0"/>
        <v>20</v>
      </c>
      <c r="H10" s="1">
        <v>239343</v>
      </c>
      <c r="I10" s="16">
        <f t="shared" si="1"/>
        <v>22</v>
      </c>
      <c r="J10" s="1">
        <f t="shared" si="12"/>
        <v>303517</v>
      </c>
      <c r="K10" s="16">
        <f t="shared" si="2"/>
        <v>0</v>
      </c>
      <c r="L10" s="1">
        <v>24701</v>
      </c>
      <c r="M10" s="16">
        <f t="shared" si="3"/>
        <v>800</v>
      </c>
      <c r="N10" s="42">
        <v>210538</v>
      </c>
      <c r="O10" s="16">
        <f t="shared" si="15"/>
        <v>217</v>
      </c>
      <c r="P10" s="1">
        <v>95420</v>
      </c>
      <c r="Q10" s="16">
        <f>P10-P9</f>
        <v>110</v>
      </c>
      <c r="R10" s="1">
        <f t="shared" si="17"/>
        <v>55047</v>
      </c>
      <c r="S10" s="16">
        <f>R10-R9</f>
        <v>0</v>
      </c>
      <c r="T10" s="1">
        <v>3550</v>
      </c>
      <c r="U10" s="16">
        <f t="shared" si="5"/>
        <v>160</v>
      </c>
    </row>
    <row r="11" spans="1:24" ht="13.5" thickBot="1" x14ac:dyDescent="0.25">
      <c r="A11" s="10">
        <v>44264</v>
      </c>
      <c r="B11" s="1">
        <v>44937</v>
      </c>
      <c r="C11" s="16">
        <f t="shared" si="7"/>
        <v>960</v>
      </c>
      <c r="D11" s="1">
        <v>39335</v>
      </c>
      <c r="E11" s="16">
        <f t="shared" si="9"/>
        <v>480</v>
      </c>
      <c r="F11" s="1">
        <v>20152</v>
      </c>
      <c r="G11" s="16">
        <f t="shared" si="0"/>
        <v>80</v>
      </c>
      <c r="H11" s="1">
        <v>239368</v>
      </c>
      <c r="I11" s="16">
        <f t="shared" si="1"/>
        <v>25</v>
      </c>
      <c r="J11" s="1">
        <f t="shared" si="12"/>
        <v>303517</v>
      </c>
      <c r="K11" s="16">
        <f t="shared" si="2"/>
        <v>0</v>
      </c>
      <c r="L11" s="1">
        <v>24705</v>
      </c>
      <c r="M11" s="16">
        <f t="shared" si="3"/>
        <v>640</v>
      </c>
      <c r="N11" s="42">
        <v>210657</v>
      </c>
      <c r="O11" s="16">
        <f t="shared" si="15"/>
        <v>119</v>
      </c>
      <c r="P11" s="1">
        <v>95549</v>
      </c>
      <c r="Q11" s="16">
        <f t="shared" si="4"/>
        <v>129</v>
      </c>
      <c r="R11" s="1">
        <f t="shared" si="17"/>
        <v>55047</v>
      </c>
      <c r="S11" s="16">
        <f t="shared" si="18"/>
        <v>0</v>
      </c>
      <c r="T11" s="1">
        <v>3552</v>
      </c>
      <c r="U11" s="16">
        <f t="shared" si="5"/>
        <v>320</v>
      </c>
    </row>
    <row r="12" spans="1:24" ht="13.5" thickBot="1" x14ac:dyDescent="0.25">
      <c r="A12" s="10">
        <v>44265</v>
      </c>
      <c r="B12" s="1">
        <v>44942</v>
      </c>
      <c r="C12" s="16">
        <f t="shared" si="7"/>
        <v>800</v>
      </c>
      <c r="D12" s="1">
        <v>39339</v>
      </c>
      <c r="E12" s="16">
        <f t="shared" si="9"/>
        <v>640</v>
      </c>
      <c r="F12" s="1">
        <v>20154</v>
      </c>
      <c r="G12" s="16">
        <f t="shared" si="0"/>
        <v>40</v>
      </c>
      <c r="H12" s="1">
        <v>239383</v>
      </c>
      <c r="I12" s="16">
        <f t="shared" si="1"/>
        <v>15</v>
      </c>
      <c r="J12" s="1">
        <f t="shared" si="12"/>
        <v>303517</v>
      </c>
      <c r="K12" s="16">
        <f t="shared" si="2"/>
        <v>0</v>
      </c>
      <c r="L12" s="1">
        <v>24708</v>
      </c>
      <c r="M12" s="16">
        <f t="shared" si="3"/>
        <v>480</v>
      </c>
      <c r="N12" s="42">
        <v>210775</v>
      </c>
      <c r="O12" s="16">
        <f t="shared" si="15"/>
        <v>118</v>
      </c>
      <c r="P12" s="1">
        <v>95599</v>
      </c>
      <c r="Q12" s="16">
        <f t="shared" si="4"/>
        <v>50</v>
      </c>
      <c r="R12" s="1">
        <f t="shared" si="17"/>
        <v>55047</v>
      </c>
      <c r="S12" s="16">
        <f t="shared" si="18"/>
        <v>0</v>
      </c>
      <c r="T12" s="1">
        <v>3553</v>
      </c>
      <c r="U12" s="16">
        <f t="shared" si="5"/>
        <v>160</v>
      </c>
    </row>
    <row r="13" spans="1:24" ht="13.5" thickBot="1" x14ac:dyDescent="0.25">
      <c r="A13" s="10">
        <v>44266</v>
      </c>
      <c r="B13" s="1">
        <v>44947</v>
      </c>
      <c r="C13" s="16">
        <f t="shared" si="7"/>
        <v>800</v>
      </c>
      <c r="D13" s="1">
        <v>39342</v>
      </c>
      <c r="E13" s="16">
        <f t="shared" si="9"/>
        <v>480</v>
      </c>
      <c r="F13" s="1">
        <v>20156</v>
      </c>
      <c r="G13" s="16">
        <f t="shared" si="0"/>
        <v>40</v>
      </c>
      <c r="H13" s="1">
        <v>239397</v>
      </c>
      <c r="I13" s="16">
        <f t="shared" si="1"/>
        <v>14</v>
      </c>
      <c r="J13" s="1">
        <f t="shared" si="12"/>
        <v>303517</v>
      </c>
      <c r="K13" s="16">
        <f t="shared" si="2"/>
        <v>0</v>
      </c>
      <c r="L13" s="1">
        <v>24711</v>
      </c>
      <c r="M13" s="16">
        <f t="shared" si="3"/>
        <v>480</v>
      </c>
      <c r="N13" s="42">
        <v>210791</v>
      </c>
      <c r="O13" s="16">
        <f t="shared" si="15"/>
        <v>16</v>
      </c>
      <c r="P13" s="1">
        <v>95698</v>
      </c>
      <c r="Q13" s="16">
        <f t="shared" si="4"/>
        <v>99</v>
      </c>
      <c r="R13" s="1">
        <f t="shared" si="17"/>
        <v>55047</v>
      </c>
      <c r="S13" s="16">
        <f t="shared" si="18"/>
        <v>0</v>
      </c>
      <c r="T13" s="1">
        <v>3554</v>
      </c>
      <c r="U13" s="16">
        <f t="shared" si="5"/>
        <v>160</v>
      </c>
    </row>
    <row r="14" spans="1:24" ht="13.5" thickBot="1" x14ac:dyDescent="0.25">
      <c r="A14" s="10">
        <v>44267</v>
      </c>
      <c r="B14" s="1">
        <v>44952</v>
      </c>
      <c r="C14" s="16">
        <f t="shared" si="7"/>
        <v>800</v>
      </c>
      <c r="D14" s="1">
        <v>39343</v>
      </c>
      <c r="E14" s="16">
        <f t="shared" si="9"/>
        <v>160</v>
      </c>
      <c r="F14" s="1">
        <v>20161</v>
      </c>
      <c r="G14" s="16">
        <f t="shared" si="0"/>
        <v>100</v>
      </c>
      <c r="H14" s="1">
        <v>239437</v>
      </c>
      <c r="I14" s="16">
        <f t="shared" si="1"/>
        <v>40</v>
      </c>
      <c r="J14" s="1">
        <f t="shared" si="12"/>
        <v>303517</v>
      </c>
      <c r="K14" s="16">
        <f t="shared" si="2"/>
        <v>0</v>
      </c>
      <c r="L14" s="1">
        <v>24715</v>
      </c>
      <c r="M14" s="16">
        <f t="shared" si="3"/>
        <v>640</v>
      </c>
      <c r="N14" s="42">
        <v>210966</v>
      </c>
      <c r="O14" s="16">
        <f t="shared" si="15"/>
        <v>175</v>
      </c>
      <c r="P14" s="1">
        <v>95750</v>
      </c>
      <c r="Q14" s="16">
        <f t="shared" si="4"/>
        <v>52</v>
      </c>
      <c r="R14" s="1">
        <f t="shared" si="17"/>
        <v>55047</v>
      </c>
      <c r="S14" s="16">
        <f t="shared" si="18"/>
        <v>0</v>
      </c>
      <c r="T14" s="1">
        <v>3555</v>
      </c>
      <c r="U14" s="16">
        <f>(T14-T13)*800/5</f>
        <v>160</v>
      </c>
    </row>
    <row r="15" spans="1:24" ht="13.5" thickBot="1" x14ac:dyDescent="0.25">
      <c r="A15" s="10">
        <v>44268</v>
      </c>
      <c r="B15" s="1">
        <v>44956</v>
      </c>
      <c r="C15" s="16">
        <f t="shared" si="7"/>
        <v>640</v>
      </c>
      <c r="D15" s="1">
        <v>39346</v>
      </c>
      <c r="E15" s="16">
        <f t="shared" si="9"/>
        <v>480</v>
      </c>
      <c r="F15" s="1">
        <v>20164</v>
      </c>
      <c r="G15" s="16">
        <f t="shared" si="0"/>
        <v>60</v>
      </c>
      <c r="H15" s="1">
        <v>239457</v>
      </c>
      <c r="I15" s="16">
        <f t="shared" si="1"/>
        <v>20</v>
      </c>
      <c r="J15" s="1">
        <f t="shared" si="12"/>
        <v>303517</v>
      </c>
      <c r="K15" s="16">
        <f t="shared" si="2"/>
        <v>0</v>
      </c>
      <c r="L15" s="1">
        <v>24718</v>
      </c>
      <c r="M15" s="16">
        <f t="shared" si="3"/>
        <v>480</v>
      </c>
      <c r="N15" s="42">
        <v>211048</v>
      </c>
      <c r="O15" s="16">
        <f t="shared" si="15"/>
        <v>82</v>
      </c>
      <c r="P15" s="1">
        <v>95800</v>
      </c>
      <c r="Q15" s="16">
        <f t="shared" si="4"/>
        <v>50</v>
      </c>
      <c r="R15" s="1">
        <f t="shared" si="17"/>
        <v>55047</v>
      </c>
      <c r="S15" s="16">
        <f t="shared" si="18"/>
        <v>0</v>
      </c>
      <c r="T15" s="1">
        <v>3557</v>
      </c>
      <c r="U15" s="16">
        <f t="shared" ref="U15" si="20">(T15-T14)*800/5</f>
        <v>320</v>
      </c>
      <c r="X15" t="s">
        <v>13</v>
      </c>
    </row>
    <row r="16" spans="1:24" ht="13.5" thickBot="1" x14ac:dyDescent="0.25">
      <c r="A16" s="10">
        <v>44269</v>
      </c>
      <c r="B16" s="1">
        <f t="shared" si="6"/>
        <v>44956</v>
      </c>
      <c r="C16" s="16">
        <f t="shared" si="7"/>
        <v>0</v>
      </c>
      <c r="D16" s="1">
        <f t="shared" si="8"/>
        <v>39346</v>
      </c>
      <c r="E16" s="16">
        <f t="shared" si="9"/>
        <v>0</v>
      </c>
      <c r="F16" s="1">
        <f t="shared" si="10"/>
        <v>20164</v>
      </c>
      <c r="G16" s="16">
        <f t="shared" si="0"/>
        <v>0</v>
      </c>
      <c r="H16" s="1">
        <f t="shared" si="11"/>
        <v>239457</v>
      </c>
      <c r="I16" s="16">
        <f t="shared" si="1"/>
        <v>0</v>
      </c>
      <c r="J16" s="1">
        <f t="shared" si="12"/>
        <v>303517</v>
      </c>
      <c r="K16" s="16">
        <f t="shared" si="2"/>
        <v>0</v>
      </c>
      <c r="L16" s="1">
        <f t="shared" si="13"/>
        <v>24718</v>
      </c>
      <c r="M16" s="16">
        <f t="shared" si="3"/>
        <v>0</v>
      </c>
      <c r="N16" s="42">
        <f t="shared" si="14"/>
        <v>211048</v>
      </c>
      <c r="O16" s="16">
        <f t="shared" si="15"/>
        <v>0</v>
      </c>
      <c r="P16" s="1">
        <v>95898</v>
      </c>
      <c r="Q16" s="16">
        <f t="shared" si="4"/>
        <v>98</v>
      </c>
      <c r="R16" s="1">
        <f t="shared" si="17"/>
        <v>55047</v>
      </c>
      <c r="S16" s="16">
        <f t="shared" si="18"/>
        <v>0</v>
      </c>
      <c r="T16" s="1">
        <f t="shared" si="19"/>
        <v>3557</v>
      </c>
      <c r="U16" s="16">
        <f t="shared" si="5"/>
        <v>0</v>
      </c>
      <c r="W16" t="s">
        <v>13</v>
      </c>
    </row>
    <row r="17" spans="1:23" ht="13.5" thickBot="1" x14ac:dyDescent="0.25">
      <c r="A17" s="10">
        <v>44270</v>
      </c>
      <c r="B17" s="1">
        <f t="shared" si="6"/>
        <v>44956</v>
      </c>
      <c r="C17" s="16">
        <f t="shared" si="7"/>
        <v>0</v>
      </c>
      <c r="D17" s="1">
        <f t="shared" si="8"/>
        <v>39346</v>
      </c>
      <c r="E17" s="16">
        <f t="shared" si="9"/>
        <v>0</v>
      </c>
      <c r="F17" s="1">
        <f t="shared" si="10"/>
        <v>20164</v>
      </c>
      <c r="G17" s="16">
        <f t="shared" si="0"/>
        <v>0</v>
      </c>
      <c r="H17" s="1">
        <f t="shared" si="11"/>
        <v>239457</v>
      </c>
      <c r="I17" s="16">
        <f t="shared" si="1"/>
        <v>0</v>
      </c>
      <c r="J17" s="1">
        <f t="shared" si="12"/>
        <v>303517</v>
      </c>
      <c r="K17" s="16">
        <f t="shared" si="2"/>
        <v>0</v>
      </c>
      <c r="L17" s="1">
        <f t="shared" si="13"/>
        <v>24718</v>
      </c>
      <c r="M17" s="16">
        <f t="shared" si="3"/>
        <v>0</v>
      </c>
      <c r="N17" s="42">
        <f t="shared" si="14"/>
        <v>211048</v>
      </c>
      <c r="O17" s="16">
        <f t="shared" si="15"/>
        <v>0</v>
      </c>
      <c r="P17" s="1">
        <v>95960</v>
      </c>
      <c r="Q17" s="16">
        <f t="shared" si="4"/>
        <v>62</v>
      </c>
      <c r="R17" s="1">
        <f t="shared" si="17"/>
        <v>55047</v>
      </c>
      <c r="S17" s="16">
        <f>S16</f>
        <v>0</v>
      </c>
      <c r="T17" s="1">
        <f t="shared" si="19"/>
        <v>3557</v>
      </c>
      <c r="U17" s="16">
        <f t="shared" si="5"/>
        <v>0</v>
      </c>
    </row>
    <row r="18" spans="1:23" ht="13.5" thickBot="1" x14ac:dyDescent="0.25">
      <c r="A18" s="10">
        <v>44271</v>
      </c>
      <c r="B18" s="1">
        <v>44971</v>
      </c>
      <c r="C18" s="16">
        <f t="shared" si="7"/>
        <v>2400</v>
      </c>
      <c r="D18" s="1">
        <v>39355</v>
      </c>
      <c r="E18" s="16">
        <f t="shared" si="9"/>
        <v>1440</v>
      </c>
      <c r="F18" s="1">
        <v>20174</v>
      </c>
      <c r="G18" s="16">
        <f t="shared" si="0"/>
        <v>200</v>
      </c>
      <c r="H18" s="1">
        <v>239545</v>
      </c>
      <c r="I18" s="16">
        <f t="shared" si="1"/>
        <v>88</v>
      </c>
      <c r="J18" s="1">
        <f t="shared" si="12"/>
        <v>303517</v>
      </c>
      <c r="K18" s="16">
        <f t="shared" si="2"/>
        <v>0</v>
      </c>
      <c r="L18" s="1">
        <v>24731</v>
      </c>
      <c r="M18" s="16">
        <f t="shared" si="3"/>
        <v>2080</v>
      </c>
      <c r="N18" s="42">
        <v>211419</v>
      </c>
      <c r="O18" s="16">
        <f t="shared" si="15"/>
        <v>371</v>
      </c>
      <c r="P18" s="1">
        <v>96099</v>
      </c>
      <c r="Q18" s="16">
        <f t="shared" si="4"/>
        <v>139</v>
      </c>
      <c r="R18" s="1">
        <v>55047</v>
      </c>
      <c r="S18" s="16">
        <f t="shared" si="18"/>
        <v>0</v>
      </c>
      <c r="T18" s="1">
        <v>3560</v>
      </c>
      <c r="U18" s="16">
        <f t="shared" si="5"/>
        <v>480</v>
      </c>
    </row>
    <row r="19" spans="1:23" ht="13.5" thickBot="1" x14ac:dyDescent="0.25">
      <c r="A19" s="10">
        <v>44272</v>
      </c>
      <c r="B19" s="1">
        <f t="shared" si="6"/>
        <v>44971</v>
      </c>
      <c r="C19" s="16">
        <f t="shared" si="7"/>
        <v>0</v>
      </c>
      <c r="D19" s="1">
        <f t="shared" si="8"/>
        <v>39355</v>
      </c>
      <c r="E19" s="16">
        <f t="shared" si="9"/>
        <v>0</v>
      </c>
      <c r="F19" s="1">
        <f t="shared" si="10"/>
        <v>20174</v>
      </c>
      <c r="G19" s="16">
        <f t="shared" si="0"/>
        <v>0</v>
      </c>
      <c r="H19" s="1">
        <f t="shared" si="11"/>
        <v>239545</v>
      </c>
      <c r="I19" s="16">
        <f t="shared" si="1"/>
        <v>0</v>
      </c>
      <c r="J19" s="1">
        <f t="shared" si="12"/>
        <v>303517</v>
      </c>
      <c r="K19" s="16">
        <f t="shared" si="2"/>
        <v>0</v>
      </c>
      <c r="L19" s="1">
        <f t="shared" si="13"/>
        <v>24731</v>
      </c>
      <c r="M19" s="16">
        <f t="shared" si="3"/>
        <v>0</v>
      </c>
      <c r="N19" s="42">
        <f t="shared" si="14"/>
        <v>211419</v>
      </c>
      <c r="O19" s="16">
        <f t="shared" si="15"/>
        <v>0</v>
      </c>
      <c r="P19" s="1">
        <v>96200</v>
      </c>
      <c r="Q19" s="16">
        <f t="shared" si="4"/>
        <v>101</v>
      </c>
      <c r="R19" s="1">
        <f t="shared" si="17"/>
        <v>55047</v>
      </c>
      <c r="S19" s="16">
        <f t="shared" si="18"/>
        <v>0</v>
      </c>
      <c r="T19" s="1">
        <f t="shared" si="19"/>
        <v>3560</v>
      </c>
      <c r="U19" s="16">
        <f t="shared" si="5"/>
        <v>0</v>
      </c>
      <c r="W19" t="s">
        <v>13</v>
      </c>
    </row>
    <row r="20" spans="1:23" ht="13.5" thickBot="1" x14ac:dyDescent="0.25">
      <c r="A20" s="10">
        <v>44273</v>
      </c>
      <c r="B20" s="1">
        <f t="shared" si="6"/>
        <v>44971</v>
      </c>
      <c r="C20" s="16">
        <f t="shared" si="7"/>
        <v>0</v>
      </c>
      <c r="D20" s="1">
        <f t="shared" si="8"/>
        <v>39355</v>
      </c>
      <c r="E20" s="16">
        <f t="shared" si="9"/>
        <v>0</v>
      </c>
      <c r="F20" s="1">
        <f t="shared" si="10"/>
        <v>20174</v>
      </c>
      <c r="G20" s="16">
        <f t="shared" si="0"/>
        <v>0</v>
      </c>
      <c r="H20" s="1">
        <f t="shared" si="11"/>
        <v>239545</v>
      </c>
      <c r="I20" s="16">
        <f t="shared" si="1"/>
        <v>0</v>
      </c>
      <c r="J20" s="1">
        <f t="shared" si="12"/>
        <v>303517</v>
      </c>
      <c r="K20" s="16">
        <v>0</v>
      </c>
      <c r="L20" s="1">
        <f t="shared" si="13"/>
        <v>24731</v>
      </c>
      <c r="M20" s="16">
        <f t="shared" si="3"/>
        <v>0</v>
      </c>
      <c r="N20" s="42">
        <f t="shared" si="14"/>
        <v>211419</v>
      </c>
      <c r="O20" s="16">
        <f t="shared" si="15"/>
        <v>0</v>
      </c>
      <c r="P20" s="1">
        <v>96299</v>
      </c>
      <c r="Q20" s="16">
        <f t="shared" si="4"/>
        <v>99</v>
      </c>
      <c r="R20" s="1">
        <f t="shared" si="17"/>
        <v>55047</v>
      </c>
      <c r="S20" s="16">
        <f t="shared" si="18"/>
        <v>0</v>
      </c>
      <c r="T20" s="1">
        <f t="shared" si="19"/>
        <v>3560</v>
      </c>
      <c r="U20" s="16">
        <f t="shared" si="5"/>
        <v>0</v>
      </c>
    </row>
    <row r="21" spans="1:23" ht="13.5" thickBot="1" x14ac:dyDescent="0.25">
      <c r="A21" s="10">
        <v>44274</v>
      </c>
      <c r="B21" s="1">
        <v>44978</v>
      </c>
      <c r="C21" s="16">
        <f t="shared" si="7"/>
        <v>1120</v>
      </c>
      <c r="D21" s="1">
        <v>39363</v>
      </c>
      <c r="E21" s="16">
        <f t="shared" si="9"/>
        <v>1280</v>
      </c>
      <c r="F21" s="1">
        <v>20182</v>
      </c>
      <c r="G21" s="16">
        <f t="shared" si="0"/>
        <v>160</v>
      </c>
      <c r="H21" s="1">
        <v>239571</v>
      </c>
      <c r="I21" s="16">
        <f t="shared" si="1"/>
        <v>26</v>
      </c>
      <c r="J21" s="1">
        <f t="shared" si="12"/>
        <v>303517</v>
      </c>
      <c r="K21" s="16">
        <f t="shared" si="2"/>
        <v>0</v>
      </c>
      <c r="L21" s="1">
        <v>24741</v>
      </c>
      <c r="M21" s="16">
        <f t="shared" si="3"/>
        <v>1600</v>
      </c>
      <c r="N21" s="42">
        <v>211522</v>
      </c>
      <c r="O21" s="16">
        <f t="shared" si="15"/>
        <v>103</v>
      </c>
      <c r="P21" s="1">
        <v>96390</v>
      </c>
      <c r="Q21" s="16">
        <f t="shared" si="4"/>
        <v>91</v>
      </c>
      <c r="R21" s="1">
        <f t="shared" si="17"/>
        <v>55047</v>
      </c>
      <c r="S21" s="16">
        <f t="shared" si="18"/>
        <v>0</v>
      </c>
      <c r="T21" s="1">
        <v>3566</v>
      </c>
      <c r="U21" s="16">
        <f t="shared" si="5"/>
        <v>960</v>
      </c>
    </row>
    <row r="22" spans="1:23" ht="13.5" thickBot="1" x14ac:dyDescent="0.25">
      <c r="A22" s="10">
        <v>44275</v>
      </c>
      <c r="B22" s="1">
        <v>44992</v>
      </c>
      <c r="C22" s="16">
        <f t="shared" si="7"/>
        <v>2240</v>
      </c>
      <c r="D22" s="1">
        <v>39366</v>
      </c>
      <c r="E22" s="16">
        <f t="shared" si="9"/>
        <v>480</v>
      </c>
      <c r="F22" s="1">
        <v>20189</v>
      </c>
      <c r="G22" s="16">
        <f t="shared" si="0"/>
        <v>140</v>
      </c>
      <c r="H22" s="1">
        <v>239630</v>
      </c>
      <c r="I22" s="16">
        <f t="shared" si="1"/>
        <v>59</v>
      </c>
      <c r="J22" s="1">
        <f t="shared" si="12"/>
        <v>303517</v>
      </c>
      <c r="K22" s="16">
        <f t="shared" si="2"/>
        <v>0</v>
      </c>
      <c r="L22" s="1">
        <v>24744</v>
      </c>
      <c r="M22" s="16">
        <f t="shared" si="3"/>
        <v>480</v>
      </c>
      <c r="N22" s="42">
        <v>211833</v>
      </c>
      <c r="O22" s="16">
        <f t="shared" si="15"/>
        <v>311</v>
      </c>
      <c r="P22" s="1">
        <v>96469</v>
      </c>
      <c r="Q22" s="16">
        <f t="shared" si="4"/>
        <v>79</v>
      </c>
      <c r="R22" s="1">
        <f t="shared" si="17"/>
        <v>55047</v>
      </c>
      <c r="S22" s="16">
        <f t="shared" si="18"/>
        <v>0</v>
      </c>
      <c r="T22" s="1">
        <v>3567</v>
      </c>
      <c r="U22" s="16">
        <f t="shared" si="5"/>
        <v>160</v>
      </c>
    </row>
    <row r="23" spans="1:23" ht="13.5" thickBot="1" x14ac:dyDescent="0.25">
      <c r="A23" s="10">
        <v>44276</v>
      </c>
      <c r="B23" s="1">
        <v>44997</v>
      </c>
      <c r="C23" s="16">
        <f t="shared" si="7"/>
        <v>800</v>
      </c>
      <c r="D23" s="1">
        <v>39368</v>
      </c>
      <c r="E23" s="16">
        <f t="shared" si="9"/>
        <v>320</v>
      </c>
      <c r="F23" s="1">
        <v>20192</v>
      </c>
      <c r="G23" s="16">
        <f t="shared" si="0"/>
        <v>60</v>
      </c>
      <c r="H23" s="1">
        <v>239650</v>
      </c>
      <c r="I23" s="16">
        <f t="shared" si="1"/>
        <v>20</v>
      </c>
      <c r="J23" s="1">
        <f t="shared" si="12"/>
        <v>303517</v>
      </c>
      <c r="K23" s="16">
        <f t="shared" si="2"/>
        <v>0</v>
      </c>
      <c r="L23" s="1">
        <v>24747</v>
      </c>
      <c r="M23" s="16">
        <f t="shared" si="3"/>
        <v>480</v>
      </c>
      <c r="N23" s="42">
        <v>211946</v>
      </c>
      <c r="O23" s="16">
        <f t="shared" si="15"/>
        <v>113</v>
      </c>
      <c r="P23" s="1">
        <v>96550</v>
      </c>
      <c r="Q23" s="16">
        <f t="shared" si="4"/>
        <v>81</v>
      </c>
      <c r="R23" s="1">
        <f t="shared" si="17"/>
        <v>55047</v>
      </c>
      <c r="S23" s="16">
        <f t="shared" si="18"/>
        <v>0</v>
      </c>
      <c r="T23" s="1">
        <v>3568</v>
      </c>
      <c r="U23" s="16">
        <f t="shared" si="5"/>
        <v>160</v>
      </c>
    </row>
    <row r="24" spans="1:23" s="156" customFormat="1" ht="13.5" thickBot="1" x14ac:dyDescent="0.25">
      <c r="A24" s="10">
        <v>44277</v>
      </c>
      <c r="B24" s="1">
        <v>45002</v>
      </c>
      <c r="C24" s="16">
        <f t="shared" si="7"/>
        <v>800</v>
      </c>
      <c r="D24" s="1">
        <v>39371</v>
      </c>
      <c r="E24" s="16">
        <f t="shared" si="9"/>
        <v>480</v>
      </c>
      <c r="F24" s="1">
        <v>20195</v>
      </c>
      <c r="G24" s="16">
        <f t="shared" si="0"/>
        <v>60</v>
      </c>
      <c r="H24" s="1">
        <v>239689</v>
      </c>
      <c r="I24" s="16">
        <f t="shared" si="1"/>
        <v>39</v>
      </c>
      <c r="J24" s="1">
        <f t="shared" si="12"/>
        <v>303517</v>
      </c>
      <c r="K24" s="16">
        <f t="shared" si="2"/>
        <v>0</v>
      </c>
      <c r="L24" s="1">
        <v>24751</v>
      </c>
      <c r="M24" s="16">
        <f t="shared" si="3"/>
        <v>640</v>
      </c>
      <c r="N24" s="42">
        <v>212070</v>
      </c>
      <c r="O24" s="16">
        <f t="shared" si="15"/>
        <v>124</v>
      </c>
      <c r="P24" s="1">
        <v>96745</v>
      </c>
      <c r="Q24" s="16">
        <f t="shared" si="4"/>
        <v>195</v>
      </c>
      <c r="R24" s="1">
        <f t="shared" si="17"/>
        <v>55047</v>
      </c>
      <c r="S24" s="16">
        <f t="shared" si="18"/>
        <v>0</v>
      </c>
      <c r="T24" s="1">
        <v>3570</v>
      </c>
      <c r="U24" s="16">
        <f t="shared" si="5"/>
        <v>320</v>
      </c>
    </row>
    <row r="25" spans="1:23" ht="13.5" thickBot="1" x14ac:dyDescent="0.25">
      <c r="A25" s="10">
        <v>44278</v>
      </c>
      <c r="B25" s="1">
        <v>45006</v>
      </c>
      <c r="C25" s="16">
        <f t="shared" si="7"/>
        <v>640</v>
      </c>
      <c r="D25" s="1">
        <v>39373</v>
      </c>
      <c r="E25" s="16">
        <f t="shared" si="9"/>
        <v>320</v>
      </c>
      <c r="F25" s="1">
        <v>20198</v>
      </c>
      <c r="G25" s="16">
        <f t="shared" si="0"/>
        <v>60</v>
      </c>
      <c r="H25" s="1">
        <v>239719</v>
      </c>
      <c r="I25" s="16">
        <f t="shared" si="1"/>
        <v>30</v>
      </c>
      <c r="J25" s="1">
        <f t="shared" si="12"/>
        <v>303517</v>
      </c>
      <c r="K25" s="16">
        <f t="shared" si="2"/>
        <v>0</v>
      </c>
      <c r="L25" s="1">
        <v>24754</v>
      </c>
      <c r="M25" s="16">
        <f t="shared" si="3"/>
        <v>480</v>
      </c>
      <c r="N25" s="42">
        <v>212184</v>
      </c>
      <c r="O25" s="16">
        <f t="shared" si="15"/>
        <v>114</v>
      </c>
      <c r="P25" s="1">
        <v>97200</v>
      </c>
      <c r="Q25" s="16">
        <f t="shared" si="4"/>
        <v>455</v>
      </c>
      <c r="R25" s="1">
        <f t="shared" si="17"/>
        <v>55047</v>
      </c>
      <c r="S25" s="16">
        <f t="shared" si="18"/>
        <v>0</v>
      </c>
      <c r="T25" s="1">
        <v>3571</v>
      </c>
      <c r="U25" s="16">
        <f t="shared" si="5"/>
        <v>160</v>
      </c>
      <c r="V25" t="s">
        <v>13</v>
      </c>
    </row>
    <row r="26" spans="1:23" ht="12.75" customHeight="1" thickBot="1" x14ac:dyDescent="0.25">
      <c r="A26" s="10">
        <v>44279</v>
      </c>
      <c r="B26" s="1">
        <v>45009</v>
      </c>
      <c r="C26" s="16">
        <f t="shared" si="7"/>
        <v>480</v>
      </c>
      <c r="D26" s="1">
        <v>39375</v>
      </c>
      <c r="E26" s="16">
        <f t="shared" si="9"/>
        <v>320</v>
      </c>
      <c r="F26" s="1">
        <v>20201</v>
      </c>
      <c r="G26" s="16">
        <f t="shared" si="0"/>
        <v>60</v>
      </c>
      <c r="H26" s="1">
        <v>239802</v>
      </c>
      <c r="I26" s="16">
        <f t="shared" si="1"/>
        <v>83</v>
      </c>
      <c r="J26" s="1">
        <v>303517</v>
      </c>
      <c r="K26" s="16">
        <f t="shared" si="2"/>
        <v>0</v>
      </c>
      <c r="L26" s="1">
        <v>24757</v>
      </c>
      <c r="M26" s="16">
        <f t="shared" si="3"/>
        <v>480</v>
      </c>
      <c r="N26" s="42">
        <v>212257</v>
      </c>
      <c r="O26" s="16">
        <f t="shared" si="15"/>
        <v>73</v>
      </c>
      <c r="P26" s="1">
        <v>97495</v>
      </c>
      <c r="Q26" s="16">
        <f t="shared" si="4"/>
        <v>295</v>
      </c>
      <c r="R26" s="1">
        <f t="shared" si="17"/>
        <v>55047</v>
      </c>
      <c r="S26" s="16">
        <f t="shared" si="18"/>
        <v>0</v>
      </c>
      <c r="T26" s="1">
        <v>3572</v>
      </c>
      <c r="U26" s="16">
        <f t="shared" si="5"/>
        <v>160</v>
      </c>
      <c r="W26" t="s">
        <v>13</v>
      </c>
    </row>
    <row r="27" spans="1:23" ht="13.5" thickBot="1" x14ac:dyDescent="0.25">
      <c r="A27" s="10">
        <v>44280</v>
      </c>
      <c r="B27" s="1">
        <v>45011</v>
      </c>
      <c r="C27" s="16">
        <f t="shared" si="7"/>
        <v>320</v>
      </c>
      <c r="D27" s="1">
        <v>39378</v>
      </c>
      <c r="E27" s="16">
        <f t="shared" si="9"/>
        <v>480</v>
      </c>
      <c r="F27" s="1">
        <v>20203</v>
      </c>
      <c r="G27" s="16">
        <f t="shared" si="0"/>
        <v>40</v>
      </c>
      <c r="H27" s="1">
        <v>239881</v>
      </c>
      <c r="I27" s="16">
        <f t="shared" si="1"/>
        <v>79</v>
      </c>
      <c r="J27" s="1">
        <v>303517</v>
      </c>
      <c r="K27" s="16">
        <f t="shared" si="2"/>
        <v>0</v>
      </c>
      <c r="L27" s="1">
        <v>24759</v>
      </c>
      <c r="M27" s="16">
        <f t="shared" si="3"/>
        <v>320</v>
      </c>
      <c r="N27" s="42">
        <v>212298</v>
      </c>
      <c r="O27" s="16">
        <f t="shared" si="15"/>
        <v>41</v>
      </c>
      <c r="P27" s="1">
        <v>97631</v>
      </c>
      <c r="Q27" s="16">
        <f t="shared" si="4"/>
        <v>136</v>
      </c>
      <c r="R27" s="1">
        <v>55047</v>
      </c>
      <c r="S27" s="16">
        <f t="shared" si="18"/>
        <v>0</v>
      </c>
      <c r="T27" s="1">
        <v>3573</v>
      </c>
      <c r="U27" s="16">
        <f t="shared" si="5"/>
        <v>160</v>
      </c>
    </row>
    <row r="28" spans="1:23" ht="13.5" thickBot="1" x14ac:dyDescent="0.25">
      <c r="A28" s="10">
        <v>44281</v>
      </c>
      <c r="B28" s="1">
        <v>45022</v>
      </c>
      <c r="C28" s="16">
        <f t="shared" si="7"/>
        <v>1760</v>
      </c>
      <c r="D28" s="1">
        <v>39383</v>
      </c>
      <c r="E28" s="16">
        <f t="shared" si="9"/>
        <v>800</v>
      </c>
      <c r="F28" s="1">
        <v>20208</v>
      </c>
      <c r="G28" s="16">
        <f t="shared" si="0"/>
        <v>100</v>
      </c>
      <c r="H28" s="1">
        <v>239888</v>
      </c>
      <c r="I28" s="16">
        <f t="shared" si="1"/>
        <v>7</v>
      </c>
      <c r="J28" s="1">
        <v>303517</v>
      </c>
      <c r="K28" s="16">
        <f t="shared" si="2"/>
        <v>0</v>
      </c>
      <c r="L28" s="1">
        <v>24764</v>
      </c>
      <c r="M28" s="16">
        <f t="shared" si="3"/>
        <v>800</v>
      </c>
      <c r="N28" s="42">
        <v>212505</v>
      </c>
      <c r="O28" s="16">
        <f t="shared" si="15"/>
        <v>207</v>
      </c>
      <c r="P28" s="1">
        <v>97714</v>
      </c>
      <c r="Q28" s="17">
        <f t="shared" si="4"/>
        <v>83</v>
      </c>
      <c r="R28" s="1">
        <v>55047</v>
      </c>
      <c r="S28" s="17">
        <f t="shared" si="18"/>
        <v>0</v>
      </c>
      <c r="T28" s="1">
        <v>3576</v>
      </c>
      <c r="U28" s="16">
        <f t="shared" si="5"/>
        <v>480</v>
      </c>
    </row>
    <row r="29" spans="1:23" ht="13.5" thickBot="1" x14ac:dyDescent="0.25">
      <c r="A29" s="10">
        <v>44282</v>
      </c>
      <c r="B29" s="1">
        <v>45027</v>
      </c>
      <c r="C29" s="16">
        <f t="shared" si="7"/>
        <v>800</v>
      </c>
      <c r="D29" s="1">
        <v>39384</v>
      </c>
      <c r="E29" s="16">
        <f t="shared" si="9"/>
        <v>160</v>
      </c>
      <c r="F29" s="1">
        <v>20211</v>
      </c>
      <c r="G29" s="16">
        <f t="shared" si="0"/>
        <v>60</v>
      </c>
      <c r="H29" s="1">
        <v>239899</v>
      </c>
      <c r="I29" s="16">
        <f t="shared" si="1"/>
        <v>11</v>
      </c>
      <c r="J29" s="1">
        <f t="shared" si="12"/>
        <v>303517</v>
      </c>
      <c r="K29" s="16">
        <f t="shared" si="2"/>
        <v>0</v>
      </c>
      <c r="L29" s="1">
        <v>24767</v>
      </c>
      <c r="M29" s="16">
        <f t="shared" si="3"/>
        <v>480</v>
      </c>
      <c r="N29" s="42">
        <v>212588</v>
      </c>
      <c r="O29" s="16">
        <f t="shared" si="15"/>
        <v>83</v>
      </c>
      <c r="P29" s="1">
        <v>97806</v>
      </c>
      <c r="Q29" s="16">
        <f t="shared" si="4"/>
        <v>92</v>
      </c>
      <c r="R29" s="1">
        <f t="shared" si="17"/>
        <v>55047</v>
      </c>
      <c r="S29" s="16">
        <f t="shared" si="18"/>
        <v>0</v>
      </c>
      <c r="T29" s="1">
        <v>3577</v>
      </c>
      <c r="U29" s="16">
        <f t="shared" si="5"/>
        <v>160</v>
      </c>
    </row>
    <row r="30" spans="1:23" ht="13.5" thickBot="1" x14ac:dyDescent="0.25">
      <c r="A30" s="10">
        <v>44283</v>
      </c>
      <c r="B30" s="1">
        <v>45032</v>
      </c>
      <c r="C30" s="16">
        <f t="shared" si="7"/>
        <v>800</v>
      </c>
      <c r="D30" s="1">
        <v>39387</v>
      </c>
      <c r="E30" s="16">
        <f t="shared" si="9"/>
        <v>480</v>
      </c>
      <c r="F30" s="1">
        <v>20214</v>
      </c>
      <c r="G30" s="16">
        <f t="shared" si="0"/>
        <v>60</v>
      </c>
      <c r="H30" s="1">
        <v>239816</v>
      </c>
      <c r="I30" s="16">
        <f t="shared" si="1"/>
        <v>-83</v>
      </c>
      <c r="J30" s="1">
        <v>303517</v>
      </c>
      <c r="K30" s="16">
        <f t="shared" si="2"/>
        <v>0</v>
      </c>
      <c r="L30" s="1">
        <v>24771</v>
      </c>
      <c r="M30" s="16">
        <f t="shared" si="3"/>
        <v>640</v>
      </c>
      <c r="N30" s="42">
        <v>212705</v>
      </c>
      <c r="O30" s="16">
        <f t="shared" si="15"/>
        <v>117</v>
      </c>
      <c r="P30" s="1">
        <v>97901</v>
      </c>
      <c r="Q30" s="16">
        <f t="shared" si="4"/>
        <v>95</v>
      </c>
      <c r="R30" s="1">
        <v>55047</v>
      </c>
      <c r="S30" s="16">
        <f t="shared" si="18"/>
        <v>0</v>
      </c>
      <c r="T30" s="1">
        <v>3578</v>
      </c>
      <c r="U30" s="16">
        <f t="shared" si="5"/>
        <v>160</v>
      </c>
    </row>
    <row r="31" spans="1:23" ht="13.5" thickBot="1" x14ac:dyDescent="0.25">
      <c r="A31" s="10">
        <v>44284</v>
      </c>
      <c r="B31" s="1">
        <v>45037</v>
      </c>
      <c r="C31" s="16">
        <f t="shared" si="7"/>
        <v>800</v>
      </c>
      <c r="D31" s="1">
        <v>39390</v>
      </c>
      <c r="E31" s="16">
        <f t="shared" si="9"/>
        <v>480</v>
      </c>
      <c r="F31" s="1">
        <v>20218</v>
      </c>
      <c r="G31" s="16">
        <f t="shared" si="0"/>
        <v>80</v>
      </c>
      <c r="H31" s="1">
        <v>239838</v>
      </c>
      <c r="I31" s="16">
        <f t="shared" si="1"/>
        <v>22</v>
      </c>
      <c r="J31" s="1">
        <f t="shared" si="12"/>
        <v>303517</v>
      </c>
      <c r="K31" s="16">
        <f t="shared" si="2"/>
        <v>0</v>
      </c>
      <c r="L31" s="1">
        <v>24774</v>
      </c>
      <c r="M31" s="16">
        <f t="shared" si="3"/>
        <v>480</v>
      </c>
      <c r="N31" s="42">
        <v>212828</v>
      </c>
      <c r="O31" s="16">
        <f t="shared" si="15"/>
        <v>123</v>
      </c>
      <c r="P31" s="1">
        <v>98110</v>
      </c>
      <c r="Q31" s="16">
        <f t="shared" si="4"/>
        <v>209</v>
      </c>
      <c r="R31" s="1">
        <f t="shared" si="17"/>
        <v>55047</v>
      </c>
      <c r="S31" s="16">
        <f t="shared" si="18"/>
        <v>0</v>
      </c>
      <c r="T31" s="1">
        <f t="shared" si="19"/>
        <v>3578</v>
      </c>
      <c r="U31" s="16">
        <f t="shared" si="5"/>
        <v>0</v>
      </c>
    </row>
    <row r="32" spans="1:23" ht="15" customHeight="1" thickBot="1" x14ac:dyDescent="0.25">
      <c r="A32" s="10">
        <v>44285</v>
      </c>
      <c r="B32" s="1">
        <v>45039</v>
      </c>
      <c r="C32" s="16">
        <f t="shared" si="7"/>
        <v>320</v>
      </c>
      <c r="D32" s="1">
        <v>39393</v>
      </c>
      <c r="E32" s="16">
        <f t="shared" si="9"/>
        <v>480</v>
      </c>
      <c r="F32" s="1">
        <v>20221</v>
      </c>
      <c r="G32" s="16">
        <f t="shared" si="0"/>
        <v>60</v>
      </c>
      <c r="H32" s="1">
        <v>239849</v>
      </c>
      <c r="I32" s="16">
        <f t="shared" si="1"/>
        <v>11</v>
      </c>
      <c r="J32" s="1">
        <v>303517</v>
      </c>
      <c r="K32" s="16">
        <f t="shared" si="2"/>
        <v>0</v>
      </c>
      <c r="L32" s="1">
        <v>24778</v>
      </c>
      <c r="M32" s="16">
        <f t="shared" si="3"/>
        <v>640</v>
      </c>
      <c r="N32" s="42">
        <v>212904</v>
      </c>
      <c r="O32" s="16">
        <f t="shared" si="15"/>
        <v>76</v>
      </c>
      <c r="P32" s="1">
        <f t="shared" si="16"/>
        <v>98110</v>
      </c>
      <c r="Q32" s="16">
        <f t="shared" si="4"/>
        <v>0</v>
      </c>
      <c r="R32" s="1">
        <v>55047</v>
      </c>
      <c r="S32" s="16">
        <f t="shared" si="18"/>
        <v>0</v>
      </c>
      <c r="T32" s="1">
        <v>3580</v>
      </c>
      <c r="U32" s="16">
        <f t="shared" si="5"/>
        <v>320</v>
      </c>
      <c r="V32" t="s">
        <v>13</v>
      </c>
    </row>
    <row r="33" spans="1:21" ht="13.5" thickBot="1" x14ac:dyDescent="0.25">
      <c r="A33" s="10">
        <v>44286</v>
      </c>
      <c r="B33" s="1">
        <v>45047</v>
      </c>
      <c r="C33" s="16">
        <v>1280</v>
      </c>
      <c r="D33" s="1">
        <v>39395</v>
      </c>
      <c r="E33" s="16">
        <v>320</v>
      </c>
      <c r="F33" s="1">
        <v>20224</v>
      </c>
      <c r="G33" s="16">
        <v>60</v>
      </c>
      <c r="H33" s="1">
        <v>239901</v>
      </c>
      <c r="I33" s="16">
        <v>52</v>
      </c>
      <c r="J33" s="1">
        <v>303517</v>
      </c>
      <c r="K33" s="16">
        <v>0</v>
      </c>
      <c r="L33" s="1">
        <v>24783</v>
      </c>
      <c r="M33" s="16">
        <v>800</v>
      </c>
      <c r="N33" s="42">
        <v>213067</v>
      </c>
      <c r="O33" s="16">
        <v>163</v>
      </c>
      <c r="P33" s="1">
        <v>98551</v>
      </c>
      <c r="Q33" s="16">
        <v>61</v>
      </c>
      <c r="R33" s="1">
        <v>55047</v>
      </c>
      <c r="S33" s="16">
        <v>0</v>
      </c>
      <c r="T33" s="1">
        <v>3583</v>
      </c>
      <c r="U33" s="16">
        <v>160</v>
      </c>
    </row>
    <row r="34" spans="1:21" ht="16.5" thickBot="1" x14ac:dyDescent="0.3">
      <c r="A34" s="10" t="s">
        <v>24</v>
      </c>
      <c r="B34" s="1"/>
      <c r="C34" s="11">
        <f>SUM(C3:C33)</f>
        <v>25120</v>
      </c>
      <c r="D34" s="13"/>
      <c r="E34" s="11">
        <f>SUM(E3:E33)</f>
        <v>13920</v>
      </c>
      <c r="F34" s="13"/>
      <c r="G34" s="11">
        <f>SUM(G3:G33)</f>
        <v>2080</v>
      </c>
      <c r="H34" s="13"/>
      <c r="I34" s="11">
        <f>SUM(I3:I33)</f>
        <v>718</v>
      </c>
      <c r="J34" s="13"/>
      <c r="K34" s="11">
        <f>SUM(K3:K33)</f>
        <v>0</v>
      </c>
      <c r="L34" s="13"/>
      <c r="M34" s="11">
        <f>SUM(M3:M33)</f>
        <v>18080</v>
      </c>
      <c r="N34" s="43"/>
      <c r="O34" s="11">
        <f>SUM(O3:O33)</f>
        <v>3429</v>
      </c>
      <c r="P34" s="13"/>
      <c r="Q34" s="11">
        <f>SUM(Q3:Q33)</f>
        <v>3401</v>
      </c>
      <c r="R34" s="1"/>
      <c r="S34" s="11">
        <f>SUM(S3:S33)</f>
        <v>0</v>
      </c>
      <c r="T34" s="1"/>
      <c r="U34" s="11">
        <f>SUM(U3:U33)</f>
        <v>6720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96" zoomScaleNormal="96" workbookViewId="0">
      <selection activeCell="J3" sqref="J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405614</v>
      </c>
      <c r="C2" s="49"/>
      <c r="D2" s="3">
        <v>3422000</v>
      </c>
      <c r="E2" s="49"/>
      <c r="F2" s="3">
        <v>2277500</v>
      </c>
      <c r="G2" s="49"/>
      <c r="H2" s="3">
        <v>721618</v>
      </c>
      <c r="I2" s="54"/>
      <c r="J2" s="23"/>
      <c r="K2" s="24"/>
    </row>
    <row r="3" spans="1:14" ht="16.5" thickBot="1" x14ac:dyDescent="0.3">
      <c r="A3" s="10">
        <v>44256</v>
      </c>
      <c r="B3" s="3">
        <v>405682</v>
      </c>
      <c r="C3" s="49">
        <f>(IF((B3-B2)&lt;0,"0",(B3-B2)))*10</f>
        <v>680</v>
      </c>
      <c r="D3" s="3">
        <v>3437300</v>
      </c>
      <c r="E3" s="49">
        <f>(IF((D3-D2)&lt;0,"0",(D3-D2)))*0.027</f>
        <v>413.1</v>
      </c>
      <c r="F3" s="3">
        <v>2283400</v>
      </c>
      <c r="G3" s="49">
        <f>(IF((F3-F2)&lt;0,"0",(F3-F2)))*0.027</f>
        <v>159.30000000000001</v>
      </c>
      <c r="H3" s="3">
        <v>721840</v>
      </c>
      <c r="I3" s="54">
        <f>(IF((H3-H2)&lt;0,"0",(H3-H2)))*0.027</f>
        <v>5.9939999999999998</v>
      </c>
      <c r="J3" s="23">
        <f>C3+E3+G3+I3</f>
        <v>1258.3939999999998</v>
      </c>
      <c r="K3" s="24">
        <f>J3*5.86</f>
        <v>7374.1888399999989</v>
      </c>
    </row>
    <row r="4" spans="1:14" ht="16.5" thickBot="1" x14ac:dyDescent="0.3">
      <c r="A4" s="10">
        <v>44257</v>
      </c>
      <c r="B4" s="3">
        <f t="shared" ref="B4:B20" si="0">B3</f>
        <v>405682</v>
      </c>
      <c r="C4" s="49">
        <f t="shared" ref="C4:C8" si="1">(IF((B4-B3)&lt;0,"0",(B4-B3)))*10</f>
        <v>0</v>
      </c>
      <c r="D4" s="3">
        <f t="shared" ref="D4:D20" si="2">D3</f>
        <v>3437300</v>
      </c>
      <c r="E4" s="49">
        <f t="shared" ref="E4:E32" si="3">(IF((D4-D3)&lt;0,"0",(D4-D3)))*0.027</f>
        <v>0</v>
      </c>
      <c r="F4" s="3">
        <f t="shared" ref="F4:F20" si="4">F3</f>
        <v>2283400</v>
      </c>
      <c r="G4" s="49">
        <f>(IF((F4-F3)&lt;0,"0",(F4-F3)))*0.027</f>
        <v>0</v>
      </c>
      <c r="H4" s="3">
        <f t="shared" ref="H4:H20" si="5">H3</f>
        <v>721840</v>
      </c>
      <c r="I4" s="54">
        <f>(IF((H4-H3)&lt;0,"0",(H4-H3)))*0.027</f>
        <v>0</v>
      </c>
      <c r="J4" s="23">
        <f t="shared" ref="J4:J32" si="6">C4+E4+G4+I4</f>
        <v>0</v>
      </c>
      <c r="K4" s="24">
        <f t="shared" ref="K4:K32" si="7">J4*5.86</f>
        <v>0</v>
      </c>
    </row>
    <row r="5" spans="1:14" ht="16.5" thickBot="1" x14ac:dyDescent="0.3">
      <c r="A5" s="10">
        <v>44258</v>
      </c>
      <c r="B5" s="3">
        <f t="shared" si="0"/>
        <v>405682</v>
      </c>
      <c r="C5" s="49">
        <f t="shared" si="1"/>
        <v>0</v>
      </c>
      <c r="D5" s="3">
        <f t="shared" si="2"/>
        <v>3437300</v>
      </c>
      <c r="E5" s="49">
        <f t="shared" si="3"/>
        <v>0</v>
      </c>
      <c r="F5" s="3">
        <f t="shared" si="4"/>
        <v>2283400</v>
      </c>
      <c r="G5" s="49">
        <f t="shared" ref="G5:G32" si="8">(IF((F5-F4)&lt;0,"0",(F5-F4)))*0.027</f>
        <v>0</v>
      </c>
      <c r="H5" s="3">
        <f t="shared" si="5"/>
        <v>721840</v>
      </c>
      <c r="I5" s="54">
        <f t="shared" ref="I5:I32" si="9">(IF((H5-H4)&lt;0,"0",(H5-H4)))*0.027</f>
        <v>0</v>
      </c>
      <c r="J5" s="23">
        <f t="shared" si="6"/>
        <v>0</v>
      </c>
      <c r="K5" s="24">
        <f t="shared" si="7"/>
        <v>0</v>
      </c>
    </row>
    <row r="6" spans="1:14" ht="16.5" thickBot="1" x14ac:dyDescent="0.3">
      <c r="A6" s="10">
        <v>44259</v>
      </c>
      <c r="B6" s="3">
        <v>405845</v>
      </c>
      <c r="C6" s="49">
        <f t="shared" si="1"/>
        <v>1630</v>
      </c>
      <c r="D6" s="3">
        <v>3464400</v>
      </c>
      <c r="E6" s="49">
        <f t="shared" si="3"/>
        <v>731.7</v>
      </c>
      <c r="F6" s="3">
        <v>2302000</v>
      </c>
      <c r="G6" s="49">
        <f t="shared" si="8"/>
        <v>502.2</v>
      </c>
      <c r="H6" s="3">
        <v>722342</v>
      </c>
      <c r="I6" s="54">
        <f t="shared" si="9"/>
        <v>13.554</v>
      </c>
      <c r="J6" s="23">
        <f t="shared" si="6"/>
        <v>2877.4539999999997</v>
      </c>
      <c r="K6" s="24">
        <f t="shared" si="7"/>
        <v>16861.880440000001</v>
      </c>
    </row>
    <row r="7" spans="1:14" ht="16.5" thickBot="1" x14ac:dyDescent="0.3">
      <c r="A7" s="10">
        <v>44260</v>
      </c>
      <c r="B7" s="3">
        <v>405900</v>
      </c>
      <c r="C7" s="49">
        <f t="shared" si="1"/>
        <v>550</v>
      </c>
      <c r="D7" s="3">
        <v>3480200</v>
      </c>
      <c r="E7" s="49">
        <f t="shared" si="3"/>
        <v>426.6</v>
      </c>
      <c r="F7" s="3">
        <v>2308700</v>
      </c>
      <c r="G7" s="49">
        <f t="shared" si="8"/>
        <v>180.9</v>
      </c>
      <c r="H7" s="3">
        <v>722481</v>
      </c>
      <c r="I7" s="54">
        <f t="shared" si="9"/>
        <v>3.7530000000000001</v>
      </c>
      <c r="J7" s="23">
        <f t="shared" si="6"/>
        <v>1161.2529999999999</v>
      </c>
      <c r="K7" s="24">
        <f t="shared" si="7"/>
        <v>6804.9425799999999</v>
      </c>
      <c r="L7" t="s">
        <v>13</v>
      </c>
      <c r="N7" t="s">
        <v>13</v>
      </c>
    </row>
    <row r="8" spans="1:14" ht="16.5" thickBot="1" x14ac:dyDescent="0.3">
      <c r="A8" s="10">
        <v>44261</v>
      </c>
      <c r="B8" s="3">
        <v>405954</v>
      </c>
      <c r="C8" s="49">
        <f t="shared" si="1"/>
        <v>540</v>
      </c>
      <c r="D8" s="3">
        <v>3490400</v>
      </c>
      <c r="E8" s="49">
        <f t="shared" si="3"/>
        <v>275.39999999999998</v>
      </c>
      <c r="F8" s="3">
        <v>2315000</v>
      </c>
      <c r="G8" s="49">
        <f t="shared" si="8"/>
        <v>170.1</v>
      </c>
      <c r="H8" s="3">
        <v>722660</v>
      </c>
      <c r="I8" s="54">
        <f t="shared" si="9"/>
        <v>4.8330000000000002</v>
      </c>
      <c r="J8" s="23">
        <f t="shared" si="6"/>
        <v>990.33299999999997</v>
      </c>
      <c r="K8" s="24">
        <f t="shared" si="7"/>
        <v>5803.3513800000001</v>
      </c>
    </row>
    <row r="9" spans="1:14" ht="16.5" thickBot="1" x14ac:dyDescent="0.3">
      <c r="A9" s="10">
        <v>44262</v>
      </c>
      <c r="B9" s="3">
        <v>406002</v>
      </c>
      <c r="C9" s="49">
        <f t="shared" ref="C9:C32" si="10">(IF((B9-B8)&lt;0,"0",(B9-B8)))*10</f>
        <v>480</v>
      </c>
      <c r="D9" s="3">
        <v>3500400</v>
      </c>
      <c r="E9" s="49">
        <f t="shared" si="3"/>
        <v>270</v>
      </c>
      <c r="F9" s="3">
        <v>2322300</v>
      </c>
      <c r="G9" s="49">
        <f t="shared" si="8"/>
        <v>197.1</v>
      </c>
      <c r="H9" s="3">
        <v>722844</v>
      </c>
      <c r="I9" s="54">
        <f t="shared" si="9"/>
        <v>4.968</v>
      </c>
      <c r="J9" s="23">
        <f t="shared" si="6"/>
        <v>952.06799999999998</v>
      </c>
      <c r="K9" s="24">
        <f t="shared" si="7"/>
        <v>5579.1184800000001</v>
      </c>
    </row>
    <row r="10" spans="1:14" ht="16.5" thickBot="1" x14ac:dyDescent="0.3">
      <c r="A10" s="10">
        <v>44263</v>
      </c>
      <c r="B10" s="3">
        <v>406059</v>
      </c>
      <c r="C10" s="49">
        <f>(IF((B10-B9)&lt;0,"0",(B10-B9)))*10</f>
        <v>570</v>
      </c>
      <c r="D10" s="3">
        <v>3509500</v>
      </c>
      <c r="E10" s="49">
        <f t="shared" si="3"/>
        <v>245.7</v>
      </c>
      <c r="F10" s="3">
        <v>2329500</v>
      </c>
      <c r="G10" s="49">
        <f t="shared" si="8"/>
        <v>194.4</v>
      </c>
      <c r="H10" s="3">
        <v>723013</v>
      </c>
      <c r="I10" s="54">
        <f t="shared" si="9"/>
        <v>4.5629999999999997</v>
      </c>
      <c r="J10" s="23">
        <f t="shared" si="6"/>
        <v>1014.663</v>
      </c>
      <c r="K10" s="24">
        <f t="shared" si="7"/>
        <v>5945.9251800000002</v>
      </c>
    </row>
    <row r="11" spans="1:14" ht="16.5" thickBot="1" x14ac:dyDescent="0.3">
      <c r="A11" s="10">
        <v>44264</v>
      </c>
      <c r="B11" s="3">
        <v>406164</v>
      </c>
      <c r="C11" s="49">
        <f t="shared" si="10"/>
        <v>1050</v>
      </c>
      <c r="D11" s="3">
        <v>3519700</v>
      </c>
      <c r="E11" s="49">
        <f t="shared" si="3"/>
        <v>275.39999999999998</v>
      </c>
      <c r="F11" s="3">
        <v>2338200</v>
      </c>
      <c r="G11" s="49">
        <f t="shared" si="8"/>
        <v>234.9</v>
      </c>
      <c r="H11" s="3">
        <v>723150</v>
      </c>
      <c r="I11" s="54">
        <f t="shared" si="9"/>
        <v>3.6989999999999998</v>
      </c>
      <c r="J11" s="23">
        <f t="shared" si="6"/>
        <v>1563.9990000000003</v>
      </c>
      <c r="K11" s="24">
        <f t="shared" si="7"/>
        <v>9165.0341400000016</v>
      </c>
      <c r="N11" t="s">
        <v>13</v>
      </c>
    </row>
    <row r="12" spans="1:14" ht="16.5" thickBot="1" x14ac:dyDescent="0.3">
      <c r="A12" s="10">
        <v>44265</v>
      </c>
      <c r="B12" s="3">
        <v>406169</v>
      </c>
      <c r="C12" s="49">
        <f t="shared" si="10"/>
        <v>50</v>
      </c>
      <c r="D12" s="3">
        <v>3531500</v>
      </c>
      <c r="E12" s="49">
        <f t="shared" si="3"/>
        <v>318.60000000000002</v>
      </c>
      <c r="F12" s="3">
        <v>2350800</v>
      </c>
      <c r="G12" s="49">
        <f t="shared" si="8"/>
        <v>340.2</v>
      </c>
      <c r="H12" s="3">
        <v>723304</v>
      </c>
      <c r="I12" s="54">
        <f t="shared" si="9"/>
        <v>4.1580000000000004</v>
      </c>
      <c r="J12" s="23">
        <f t="shared" si="6"/>
        <v>712.95799999999997</v>
      </c>
      <c r="K12" s="24">
        <f t="shared" si="7"/>
        <v>4177.9338800000005</v>
      </c>
    </row>
    <row r="13" spans="1:14" ht="16.5" thickBot="1" x14ac:dyDescent="0.3">
      <c r="A13" s="10">
        <v>44266</v>
      </c>
      <c r="B13" s="3">
        <v>406252</v>
      </c>
      <c r="C13" s="49">
        <f t="shared" si="10"/>
        <v>830</v>
      </c>
      <c r="D13" s="3">
        <v>3542300</v>
      </c>
      <c r="E13" s="49">
        <f t="shared" si="3"/>
        <v>291.60000000000002</v>
      </c>
      <c r="F13" s="3">
        <v>2361000</v>
      </c>
      <c r="G13" s="49">
        <f t="shared" si="8"/>
        <v>275.39999999999998</v>
      </c>
      <c r="H13" s="3">
        <v>723460</v>
      </c>
      <c r="I13" s="54">
        <f t="shared" si="9"/>
        <v>4.2119999999999997</v>
      </c>
      <c r="J13" s="23">
        <f t="shared" si="6"/>
        <v>1401.212</v>
      </c>
      <c r="K13" s="24">
        <f t="shared" si="7"/>
        <v>8211.10232</v>
      </c>
    </row>
    <row r="14" spans="1:14" ht="16.5" thickBot="1" x14ac:dyDescent="0.3">
      <c r="A14" s="10">
        <v>44267</v>
      </c>
      <c r="B14" s="3">
        <v>406270</v>
      </c>
      <c r="C14" s="49">
        <f t="shared" si="10"/>
        <v>180</v>
      </c>
      <c r="D14" s="3">
        <v>3553800</v>
      </c>
      <c r="E14" s="49">
        <f t="shared" si="3"/>
        <v>310.5</v>
      </c>
      <c r="F14" s="3">
        <v>2369700</v>
      </c>
      <c r="G14" s="49">
        <f t="shared" si="8"/>
        <v>234.9</v>
      </c>
      <c r="H14" s="3">
        <v>723599</v>
      </c>
      <c r="I14" s="54">
        <f t="shared" si="9"/>
        <v>3.7530000000000001</v>
      </c>
      <c r="J14" s="23">
        <f t="shared" si="6"/>
        <v>729.15300000000002</v>
      </c>
      <c r="K14" s="24">
        <f t="shared" si="7"/>
        <v>4272.8365800000001</v>
      </c>
    </row>
    <row r="15" spans="1:14" ht="16.5" thickBot="1" x14ac:dyDescent="0.3">
      <c r="A15" s="10">
        <v>44268</v>
      </c>
      <c r="B15" s="3">
        <v>406310</v>
      </c>
      <c r="C15" s="49">
        <f t="shared" si="10"/>
        <v>400</v>
      </c>
      <c r="D15" s="3">
        <v>3565300</v>
      </c>
      <c r="E15" s="49">
        <f t="shared" si="3"/>
        <v>310.5</v>
      </c>
      <c r="F15" s="3">
        <v>2378000</v>
      </c>
      <c r="G15" s="49">
        <f t="shared" si="8"/>
        <v>224.1</v>
      </c>
      <c r="H15" s="3">
        <v>723731</v>
      </c>
      <c r="I15" s="54">
        <f t="shared" si="9"/>
        <v>3.5640000000000001</v>
      </c>
      <c r="J15" s="23">
        <f t="shared" si="6"/>
        <v>938.16399999999999</v>
      </c>
      <c r="K15" s="24">
        <f t="shared" si="7"/>
        <v>5497.6410400000004</v>
      </c>
    </row>
    <row r="16" spans="1:14" ht="16.5" thickBot="1" x14ac:dyDescent="0.3">
      <c r="A16" s="10">
        <v>44269</v>
      </c>
      <c r="B16" s="3">
        <f t="shared" si="0"/>
        <v>406310</v>
      </c>
      <c r="C16" s="49">
        <f t="shared" si="10"/>
        <v>0</v>
      </c>
      <c r="D16" s="3">
        <f t="shared" si="2"/>
        <v>3565300</v>
      </c>
      <c r="E16" s="49">
        <f t="shared" si="3"/>
        <v>0</v>
      </c>
      <c r="F16" s="3">
        <f t="shared" si="4"/>
        <v>2378000</v>
      </c>
      <c r="G16" s="49">
        <f t="shared" si="8"/>
        <v>0</v>
      </c>
      <c r="H16" s="3">
        <f t="shared" si="5"/>
        <v>723731</v>
      </c>
      <c r="I16" s="54">
        <f t="shared" si="9"/>
        <v>0</v>
      </c>
      <c r="J16" s="23">
        <f t="shared" si="6"/>
        <v>0</v>
      </c>
      <c r="K16" s="24">
        <f t="shared" si="7"/>
        <v>0</v>
      </c>
    </row>
    <row r="17" spans="1:25" ht="16.5" thickBot="1" x14ac:dyDescent="0.3">
      <c r="A17" s="10">
        <v>44270</v>
      </c>
      <c r="B17" s="3">
        <f t="shared" si="0"/>
        <v>406310</v>
      </c>
      <c r="C17" s="49">
        <f t="shared" si="10"/>
        <v>0</v>
      </c>
      <c r="D17" s="3">
        <f t="shared" si="2"/>
        <v>3565300</v>
      </c>
      <c r="E17" s="49">
        <f t="shared" si="3"/>
        <v>0</v>
      </c>
      <c r="F17" s="3">
        <f t="shared" si="4"/>
        <v>2378000</v>
      </c>
      <c r="G17" s="49">
        <f t="shared" si="8"/>
        <v>0</v>
      </c>
      <c r="H17" s="3">
        <f t="shared" si="5"/>
        <v>723731</v>
      </c>
      <c r="I17" s="54">
        <f t="shared" si="9"/>
        <v>0</v>
      </c>
      <c r="J17" s="23">
        <f t="shared" si="6"/>
        <v>0</v>
      </c>
      <c r="K17" s="24">
        <f t="shared" si="7"/>
        <v>0</v>
      </c>
      <c r="P17" t="s">
        <v>13</v>
      </c>
      <c r="R17" t="s">
        <v>13</v>
      </c>
    </row>
    <row r="18" spans="1:25" ht="16.5" thickBot="1" x14ac:dyDescent="0.3">
      <c r="A18" s="10">
        <v>44271</v>
      </c>
      <c r="B18" s="3">
        <v>406560</v>
      </c>
      <c r="C18" s="49">
        <f t="shared" si="10"/>
        <v>2500</v>
      </c>
      <c r="D18" s="3">
        <v>3601500</v>
      </c>
      <c r="E18" s="49">
        <f t="shared" si="3"/>
        <v>977.4</v>
      </c>
      <c r="F18" s="3">
        <v>2402400</v>
      </c>
      <c r="G18" s="49">
        <f t="shared" si="8"/>
        <v>658.8</v>
      </c>
      <c r="H18" s="3">
        <v>724200</v>
      </c>
      <c r="I18" s="54">
        <f t="shared" si="9"/>
        <v>12.663</v>
      </c>
      <c r="J18" s="23">
        <f t="shared" si="6"/>
        <v>4148.8629999999994</v>
      </c>
      <c r="K18" s="24">
        <f t="shared" si="7"/>
        <v>24312.337179999999</v>
      </c>
      <c r="Q18" t="s">
        <v>44</v>
      </c>
    </row>
    <row r="19" spans="1:25" ht="16.5" thickBot="1" x14ac:dyDescent="0.3">
      <c r="A19" s="10">
        <v>44272</v>
      </c>
      <c r="B19" s="3">
        <f t="shared" si="0"/>
        <v>406560</v>
      </c>
      <c r="C19" s="49">
        <f t="shared" si="10"/>
        <v>0</v>
      </c>
      <c r="D19" s="3">
        <f t="shared" si="2"/>
        <v>3601500</v>
      </c>
      <c r="E19" s="49">
        <f t="shared" si="3"/>
        <v>0</v>
      </c>
      <c r="F19" s="3">
        <f t="shared" si="4"/>
        <v>2402400</v>
      </c>
      <c r="G19" s="49">
        <f t="shared" si="8"/>
        <v>0</v>
      </c>
      <c r="H19" s="3">
        <f t="shared" si="5"/>
        <v>724200</v>
      </c>
      <c r="I19" s="54">
        <f t="shared" si="9"/>
        <v>0</v>
      </c>
      <c r="J19" s="23">
        <f t="shared" si="6"/>
        <v>0</v>
      </c>
      <c r="K19" s="24">
        <f t="shared" si="7"/>
        <v>0</v>
      </c>
      <c r="Q19" t="s">
        <v>13</v>
      </c>
    </row>
    <row r="20" spans="1:25" ht="16.5" thickBot="1" x14ac:dyDescent="0.3">
      <c r="A20" s="10">
        <v>44273</v>
      </c>
      <c r="B20" s="3">
        <f t="shared" si="0"/>
        <v>406560</v>
      </c>
      <c r="C20" s="49">
        <f t="shared" si="10"/>
        <v>0</v>
      </c>
      <c r="D20" s="3">
        <f t="shared" si="2"/>
        <v>3601500</v>
      </c>
      <c r="E20" s="49">
        <f t="shared" si="3"/>
        <v>0</v>
      </c>
      <c r="F20" s="3">
        <f t="shared" si="4"/>
        <v>2402400</v>
      </c>
      <c r="G20" s="49">
        <f t="shared" si="8"/>
        <v>0</v>
      </c>
      <c r="H20" s="3">
        <f t="shared" si="5"/>
        <v>724200</v>
      </c>
      <c r="I20" s="54">
        <f t="shared" si="9"/>
        <v>0</v>
      </c>
      <c r="J20" s="23">
        <f t="shared" si="6"/>
        <v>0</v>
      </c>
      <c r="K20" s="24">
        <f t="shared" si="7"/>
        <v>0</v>
      </c>
    </row>
    <row r="21" spans="1:25" ht="16.5" thickBot="1" x14ac:dyDescent="0.3">
      <c r="A21" s="10">
        <v>44274</v>
      </c>
      <c r="B21" s="3">
        <v>406734</v>
      </c>
      <c r="C21" s="49">
        <f t="shared" si="10"/>
        <v>1740</v>
      </c>
      <c r="D21" s="3">
        <v>3634300</v>
      </c>
      <c r="E21" s="49">
        <f t="shared" si="3"/>
        <v>885.6</v>
      </c>
      <c r="F21" s="3">
        <v>2427400</v>
      </c>
      <c r="G21" s="49">
        <f t="shared" si="8"/>
        <v>675</v>
      </c>
      <c r="H21" s="3">
        <v>724580</v>
      </c>
      <c r="I21" s="54">
        <f t="shared" si="9"/>
        <v>10.26</v>
      </c>
      <c r="J21" s="23">
        <f t="shared" si="6"/>
        <v>3310.86</v>
      </c>
      <c r="K21" s="24">
        <f t="shared" si="7"/>
        <v>19401.639600000002</v>
      </c>
    </row>
    <row r="22" spans="1:25" ht="16.5" thickBot="1" x14ac:dyDescent="0.3">
      <c r="A22" s="10">
        <v>44275</v>
      </c>
      <c r="B22" s="3">
        <v>406792</v>
      </c>
      <c r="C22" s="49">
        <f t="shared" si="10"/>
        <v>580</v>
      </c>
      <c r="D22" s="3">
        <v>3645100</v>
      </c>
      <c r="E22" s="49">
        <f t="shared" si="3"/>
        <v>291.60000000000002</v>
      </c>
      <c r="F22" s="3">
        <v>2435800</v>
      </c>
      <c r="G22" s="49">
        <f t="shared" si="8"/>
        <v>226.8</v>
      </c>
      <c r="H22" s="3">
        <v>724697</v>
      </c>
      <c r="I22" s="54">
        <f t="shared" si="9"/>
        <v>3.1589999999999998</v>
      </c>
      <c r="J22" s="23">
        <f t="shared" si="6"/>
        <v>1101.5590000000002</v>
      </c>
      <c r="K22" s="24">
        <f t="shared" si="7"/>
        <v>6455.1357400000015</v>
      </c>
      <c r="P22" t="s">
        <v>13</v>
      </c>
      <c r="S22" s="36" t="s">
        <v>13</v>
      </c>
    </row>
    <row r="23" spans="1:25" ht="16.5" thickBot="1" x14ac:dyDescent="0.3">
      <c r="A23" s="10">
        <v>44276</v>
      </c>
      <c r="B23" s="3">
        <v>406854</v>
      </c>
      <c r="C23" s="49">
        <f t="shared" si="10"/>
        <v>620</v>
      </c>
      <c r="D23" s="3">
        <v>3657400</v>
      </c>
      <c r="E23" s="49">
        <f t="shared" si="3"/>
        <v>332.1</v>
      </c>
      <c r="F23" s="3">
        <v>2444800</v>
      </c>
      <c r="G23" s="49">
        <f t="shared" si="8"/>
        <v>243</v>
      </c>
      <c r="H23" s="3">
        <v>724823</v>
      </c>
      <c r="I23" s="54">
        <f t="shared" si="9"/>
        <v>3.4020000000000001</v>
      </c>
      <c r="J23" s="23">
        <f t="shared" si="6"/>
        <v>1198.502</v>
      </c>
      <c r="K23" s="24">
        <f t="shared" si="7"/>
        <v>7023.2217200000005</v>
      </c>
      <c r="Q23" t="s">
        <v>13</v>
      </c>
    </row>
    <row r="24" spans="1:25" ht="16.5" thickBot="1" x14ac:dyDescent="0.3">
      <c r="A24" s="10">
        <v>44277</v>
      </c>
      <c r="B24" s="3">
        <v>406909</v>
      </c>
      <c r="C24" s="49">
        <f t="shared" si="10"/>
        <v>550</v>
      </c>
      <c r="D24" s="3">
        <v>3667700</v>
      </c>
      <c r="E24" s="49">
        <f t="shared" si="3"/>
        <v>278.10000000000002</v>
      </c>
      <c r="F24" s="3">
        <v>2454800</v>
      </c>
      <c r="G24" s="49">
        <f t="shared" si="8"/>
        <v>270</v>
      </c>
      <c r="H24" s="3">
        <v>724943</v>
      </c>
      <c r="I24" s="54">
        <f t="shared" si="9"/>
        <v>3.2399999999999998</v>
      </c>
      <c r="J24" s="23">
        <f t="shared" si="6"/>
        <v>1101.3399999999999</v>
      </c>
      <c r="K24" s="24">
        <f t="shared" si="7"/>
        <v>6453.8523999999998</v>
      </c>
    </row>
    <row r="25" spans="1:25" ht="17.25" customHeight="1" thickBot="1" x14ac:dyDescent="0.4">
      <c r="A25" s="10">
        <v>44278</v>
      </c>
      <c r="B25" s="3">
        <v>406989</v>
      </c>
      <c r="C25" s="49">
        <f t="shared" si="10"/>
        <v>800</v>
      </c>
      <c r="D25" s="3">
        <v>3680600</v>
      </c>
      <c r="E25" s="49">
        <f t="shared" si="3"/>
        <v>348.3</v>
      </c>
      <c r="F25" s="3">
        <v>2454800</v>
      </c>
      <c r="G25" s="49">
        <f>F25-F24</f>
        <v>0</v>
      </c>
      <c r="H25" s="3">
        <v>726081</v>
      </c>
      <c r="I25" s="54">
        <f t="shared" si="9"/>
        <v>30.725999999999999</v>
      </c>
      <c r="J25" s="23">
        <f t="shared" si="6"/>
        <v>1179.0259999999998</v>
      </c>
      <c r="K25" s="24">
        <f t="shared" si="7"/>
        <v>6909.0923599999996</v>
      </c>
      <c r="Y25" s="65"/>
    </row>
    <row r="26" spans="1:25" ht="16.5" thickBot="1" x14ac:dyDescent="0.3">
      <c r="A26" s="10">
        <v>44279</v>
      </c>
      <c r="B26" s="3">
        <v>407054</v>
      </c>
      <c r="C26" s="49">
        <f t="shared" si="10"/>
        <v>650</v>
      </c>
      <c r="D26" s="3">
        <v>3692500</v>
      </c>
      <c r="E26" s="49">
        <f t="shared" si="3"/>
        <v>321.3</v>
      </c>
      <c r="F26" s="3">
        <v>2474400</v>
      </c>
      <c r="G26" s="49">
        <f t="shared" si="8"/>
        <v>529.20000000000005</v>
      </c>
      <c r="H26" s="3">
        <v>726218</v>
      </c>
      <c r="I26" s="54">
        <f t="shared" si="9"/>
        <v>3.6989999999999998</v>
      </c>
      <c r="J26" s="23">
        <f t="shared" si="6"/>
        <v>1504.1990000000001</v>
      </c>
      <c r="K26" s="24">
        <f t="shared" si="7"/>
        <v>8814.6061400000017</v>
      </c>
      <c r="L26" t="s">
        <v>13</v>
      </c>
    </row>
    <row r="27" spans="1:25" ht="16.5" thickBot="1" x14ac:dyDescent="0.3">
      <c r="A27" s="10">
        <v>44280</v>
      </c>
      <c r="B27" s="3">
        <v>407085</v>
      </c>
      <c r="C27" s="49">
        <f t="shared" si="10"/>
        <v>310</v>
      </c>
      <c r="D27" s="3">
        <v>3705400</v>
      </c>
      <c r="E27" s="49">
        <f t="shared" si="3"/>
        <v>348.3</v>
      </c>
      <c r="F27" s="3">
        <v>2483100</v>
      </c>
      <c r="G27" s="49">
        <f t="shared" si="8"/>
        <v>234.9</v>
      </c>
      <c r="H27" s="3">
        <v>725385</v>
      </c>
      <c r="I27" s="54">
        <f t="shared" si="9"/>
        <v>0</v>
      </c>
      <c r="J27" s="23">
        <f t="shared" si="6"/>
        <v>893.19999999999993</v>
      </c>
      <c r="K27" s="24">
        <f t="shared" si="7"/>
        <v>5234.152</v>
      </c>
      <c r="O27" t="s">
        <v>13</v>
      </c>
    </row>
    <row r="28" spans="1:25" ht="16.5" thickBot="1" x14ac:dyDescent="0.3">
      <c r="A28" s="10">
        <v>44281</v>
      </c>
      <c r="B28" s="3">
        <v>407183</v>
      </c>
      <c r="C28" s="49">
        <f t="shared" si="10"/>
        <v>980</v>
      </c>
      <c r="D28" s="3">
        <v>3717700</v>
      </c>
      <c r="E28" s="49">
        <f t="shared" si="3"/>
        <v>332.1</v>
      </c>
      <c r="F28" s="3">
        <v>2491000</v>
      </c>
      <c r="G28" s="49">
        <f t="shared" si="8"/>
        <v>213.3</v>
      </c>
      <c r="H28" s="3">
        <v>725495</v>
      </c>
      <c r="I28" s="54">
        <f t="shared" si="9"/>
        <v>2.9699999999999998</v>
      </c>
      <c r="J28" s="23">
        <f t="shared" si="6"/>
        <v>1528.37</v>
      </c>
      <c r="K28" s="24">
        <f t="shared" si="7"/>
        <v>8956.2482</v>
      </c>
    </row>
    <row r="29" spans="1:25" ht="16.5" thickBot="1" x14ac:dyDescent="0.3">
      <c r="A29" s="10">
        <v>44282</v>
      </c>
      <c r="B29" s="3">
        <v>407245</v>
      </c>
      <c r="C29" s="49">
        <f t="shared" si="10"/>
        <v>620</v>
      </c>
      <c r="D29" s="3">
        <v>3730000</v>
      </c>
      <c r="E29" s="49">
        <f t="shared" si="3"/>
        <v>332.1</v>
      </c>
      <c r="F29" s="3">
        <v>2499000</v>
      </c>
      <c r="G29" s="49">
        <f t="shared" si="8"/>
        <v>216</v>
      </c>
      <c r="H29" s="3">
        <v>725607</v>
      </c>
      <c r="I29" s="54">
        <f t="shared" si="9"/>
        <v>3.024</v>
      </c>
      <c r="J29" s="23">
        <f t="shared" si="6"/>
        <v>1171.1239999999998</v>
      </c>
      <c r="K29" s="24">
        <f t="shared" si="7"/>
        <v>6862.7866399999994</v>
      </c>
    </row>
    <row r="30" spans="1:25" ht="16.5" thickBot="1" x14ac:dyDescent="0.3">
      <c r="A30" s="10">
        <v>44283</v>
      </c>
      <c r="B30" s="3">
        <v>407305</v>
      </c>
      <c r="C30" s="49">
        <f t="shared" si="10"/>
        <v>600</v>
      </c>
      <c r="D30" s="3">
        <v>3742200</v>
      </c>
      <c r="E30" s="49">
        <f t="shared" si="3"/>
        <v>329.4</v>
      </c>
      <c r="F30" s="3">
        <v>2507100</v>
      </c>
      <c r="G30" s="49">
        <f t="shared" si="8"/>
        <v>218.7</v>
      </c>
      <c r="H30" s="3">
        <v>725724</v>
      </c>
      <c r="I30" s="54">
        <f t="shared" si="9"/>
        <v>3.1589999999999998</v>
      </c>
      <c r="J30" s="23">
        <f t="shared" si="6"/>
        <v>1151.259</v>
      </c>
      <c r="K30" s="24">
        <f t="shared" si="7"/>
        <v>6746.3777400000008</v>
      </c>
    </row>
    <row r="31" spans="1:25" ht="16.5" thickBot="1" x14ac:dyDescent="0.3">
      <c r="A31" s="10">
        <v>44284</v>
      </c>
      <c r="B31" s="3">
        <v>407377</v>
      </c>
      <c r="C31" s="49">
        <f t="shared" si="10"/>
        <v>720</v>
      </c>
      <c r="D31" s="3">
        <v>3755400</v>
      </c>
      <c r="E31" s="49">
        <f t="shared" si="3"/>
        <v>356.4</v>
      </c>
      <c r="F31" s="3">
        <v>2517400</v>
      </c>
      <c r="G31" s="49">
        <f t="shared" si="8"/>
        <v>278.10000000000002</v>
      </c>
      <c r="H31" s="3">
        <v>725852</v>
      </c>
      <c r="I31" s="54">
        <f t="shared" si="9"/>
        <v>3.456</v>
      </c>
      <c r="J31" s="23">
        <f t="shared" si="6"/>
        <v>1357.9559999999999</v>
      </c>
      <c r="K31" s="24">
        <f t="shared" si="7"/>
        <v>7957.6221599999999</v>
      </c>
    </row>
    <row r="32" spans="1:25" ht="16.5" thickBot="1" x14ac:dyDescent="0.3">
      <c r="A32" s="10">
        <v>44285</v>
      </c>
      <c r="B32" s="3">
        <v>407443</v>
      </c>
      <c r="C32" s="49">
        <f t="shared" si="10"/>
        <v>660</v>
      </c>
      <c r="D32" s="3">
        <v>3767800</v>
      </c>
      <c r="E32" s="49">
        <f t="shared" si="3"/>
        <v>334.8</v>
      </c>
      <c r="F32" s="3">
        <v>2527400</v>
      </c>
      <c r="G32" s="49">
        <f t="shared" si="8"/>
        <v>270</v>
      </c>
      <c r="H32" s="3">
        <v>726024</v>
      </c>
      <c r="I32" s="54">
        <f t="shared" si="9"/>
        <v>4.6440000000000001</v>
      </c>
      <c r="J32" s="23">
        <f t="shared" si="6"/>
        <v>1269.444</v>
      </c>
      <c r="K32" s="24">
        <f t="shared" si="7"/>
        <v>7438.9418400000004</v>
      </c>
    </row>
    <row r="33" spans="1:11" ht="16.5" thickBot="1" x14ac:dyDescent="0.3">
      <c r="A33" s="10">
        <v>44286</v>
      </c>
      <c r="B33" s="3">
        <v>407517</v>
      </c>
      <c r="C33" s="49">
        <v>740</v>
      </c>
      <c r="D33" s="3">
        <v>3781100</v>
      </c>
      <c r="E33" s="49">
        <v>359.1</v>
      </c>
      <c r="F33" s="3">
        <v>2534500</v>
      </c>
      <c r="G33" s="49">
        <v>191.7</v>
      </c>
      <c r="H33" s="3">
        <v>726148</v>
      </c>
      <c r="I33" s="54">
        <v>3.3479999999999999</v>
      </c>
      <c r="J33" s="23">
        <v>1294.1479999999999</v>
      </c>
      <c r="K33" s="24">
        <v>7583.7072799999996</v>
      </c>
    </row>
    <row r="34" spans="1:11" ht="21" thickBot="1" x14ac:dyDescent="0.3">
      <c r="A34" s="9" t="s">
        <v>24</v>
      </c>
      <c r="B34" s="3"/>
      <c r="C34" s="66">
        <f>SUM(C3:C33)</f>
        <v>19030</v>
      </c>
      <c r="D34" s="3"/>
      <c r="E34" s="66">
        <f>SUM(E3:E33)</f>
        <v>9695.7000000000007</v>
      </c>
      <c r="F34" s="3"/>
      <c r="G34" s="66">
        <f>SUM(G3:G33)</f>
        <v>6939</v>
      </c>
      <c r="H34" s="3"/>
      <c r="I34" s="66">
        <f>SUM(I3:I33)</f>
        <v>144.80100000000002</v>
      </c>
      <c r="J34" s="66">
        <f>SUM(J3:J33)</f>
        <v>35809.501000000004</v>
      </c>
      <c r="K34" s="66">
        <f>SUM(K3:K33)</f>
        <v>209843.67586000005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G1" zoomScale="110" zoomScaleNormal="110" zoomScaleSheetLayoutView="110" workbookViewId="0">
      <selection activeCell="Y36" sqref="Y36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0.28515625" style="26" bestFit="1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49">
        <v>17997</v>
      </c>
      <c r="D2" s="49"/>
      <c r="E2" s="140">
        <v>25181492</v>
      </c>
      <c r="F2" s="49"/>
      <c r="G2" s="144">
        <v>78500836</v>
      </c>
      <c r="H2" s="49"/>
      <c r="I2" s="141">
        <f t="shared" ref="I2" si="0">F2+H2</f>
        <v>0</v>
      </c>
      <c r="J2" s="140">
        <v>7595749</v>
      </c>
      <c r="K2" s="49"/>
      <c r="L2" s="142">
        <v>7600315</v>
      </c>
      <c r="M2" s="49"/>
      <c r="N2" s="140">
        <v>4972415</v>
      </c>
      <c r="O2" s="49"/>
      <c r="P2" s="142">
        <v>2644726</v>
      </c>
      <c r="Q2" s="49"/>
      <c r="R2" s="140">
        <v>16718530</v>
      </c>
      <c r="S2" s="49"/>
      <c r="T2" s="140">
        <v>0</v>
      </c>
      <c r="U2" s="143"/>
      <c r="V2" s="140">
        <v>4268410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44256</v>
      </c>
      <c r="B3" s="49">
        <v>96</v>
      </c>
      <c r="C3" s="49">
        <v>17999</v>
      </c>
      <c r="D3" s="49">
        <f>IF((C3-C2)&lt;0,"0",(C3-C2))*160</f>
        <v>320</v>
      </c>
      <c r="E3" s="140">
        <v>25190119</v>
      </c>
      <c r="F3" s="49">
        <f>IF((E3-E2)&lt;0,"0",(E3-E2))</f>
        <v>8627</v>
      </c>
      <c r="G3" s="144">
        <v>78566150</v>
      </c>
      <c r="H3" s="49">
        <f>IF((G3-G2)&lt;0,"0",(G3-G2))</f>
        <v>65314</v>
      </c>
      <c r="I3" s="141">
        <f t="shared" ref="I3:I30" si="3">F3+H3</f>
        <v>73941</v>
      </c>
      <c r="J3" s="140">
        <v>7601758</v>
      </c>
      <c r="K3" s="49">
        <f>IF((J3-J2)&lt;0,"0",(J3-J2))</f>
        <v>6009</v>
      </c>
      <c r="L3" s="142">
        <v>7606283</v>
      </c>
      <c r="M3" s="49">
        <f>IF((L3-L2)&lt;0,"0",(L3-L2))</f>
        <v>5968</v>
      </c>
      <c r="N3" s="140">
        <v>4973666</v>
      </c>
      <c r="O3" s="49">
        <f>(IF((N3-N2)&lt;0,"0",(N3-N2)))*2</f>
        <v>2502</v>
      </c>
      <c r="P3" s="142">
        <v>2652537</v>
      </c>
      <c r="Q3" s="49">
        <f>IF((P3-P2)&lt;0,"0",(P3-P2))</f>
        <v>7811</v>
      </c>
      <c r="R3" s="140">
        <v>16727329</v>
      </c>
      <c r="S3" s="49">
        <f>IF((R3-R2)&lt;0,"0",(R3-R2))</f>
        <v>8799</v>
      </c>
      <c r="T3" s="140">
        <v>0</v>
      </c>
      <c r="U3" s="143"/>
      <c r="V3" s="140">
        <v>4279268</v>
      </c>
      <c r="W3" s="49">
        <f>IF((V3-V2)&lt;0,"0",(V3-V2))</f>
        <v>10858</v>
      </c>
      <c r="X3" s="28">
        <f t="shared" ref="X3:X32" si="4">K3+M3+O3+Q3+S3+U3+W3</f>
        <v>41947</v>
      </c>
      <c r="Y3" s="35">
        <f t="shared" ref="Y3:Y32" si="5">I3-X3</f>
        <v>31994</v>
      </c>
      <c r="Z3" s="27">
        <f t="shared" ref="Z3:Z32" si="6">(0.93352*(W3+S3)+0.5568*(Q3+O3))*0.26</f>
        <v>6264.0450703999995</v>
      </c>
      <c r="AA3" s="27">
        <f>SUM(Z1:Z3)</f>
        <v>6264.0450703999995</v>
      </c>
    </row>
    <row r="4" spans="1:27" ht="16.5" thickBot="1" x14ac:dyDescent="0.25">
      <c r="A4" s="10">
        <v>44257</v>
      </c>
      <c r="B4" s="49">
        <v>108</v>
      </c>
      <c r="C4" s="49">
        <f t="shared" ref="C4:C20" si="7">C3</f>
        <v>17999</v>
      </c>
      <c r="D4" s="49">
        <f t="shared" ref="D4:D32" si="8">IF((C4-C3)&lt;0,"0",(C4-C3))*160</f>
        <v>0</v>
      </c>
      <c r="E4" s="140">
        <f t="shared" ref="E4:E20" si="9">E3</f>
        <v>25190119</v>
      </c>
      <c r="F4" s="49">
        <f t="shared" ref="F4:F32" si="10">IF((E4-E3)&lt;0,"0",(E4-E3))</f>
        <v>0</v>
      </c>
      <c r="G4" s="144">
        <f t="shared" ref="G4:G20" si="11">G3</f>
        <v>78566150</v>
      </c>
      <c r="H4" s="49">
        <f t="shared" ref="H4:H32" si="12">IF((G4-G3)&lt;0,"0",(G4-G3))</f>
        <v>0</v>
      </c>
      <c r="I4" s="141">
        <f t="shared" si="3"/>
        <v>0</v>
      </c>
      <c r="J4" s="140">
        <f t="shared" ref="J4:J20" si="13">J3</f>
        <v>7601758</v>
      </c>
      <c r="K4" s="49">
        <f t="shared" ref="K4:K32" si="14">IF((J4-J3)&lt;0,"0",(J4-J3))</f>
        <v>0</v>
      </c>
      <c r="L4" s="142">
        <f t="shared" ref="L4:L20" si="15">L3</f>
        <v>7606283</v>
      </c>
      <c r="M4" s="49">
        <f t="shared" ref="M4:M32" si="16">IF((L4-L3)&lt;0,"0",(L4-L3))</f>
        <v>0</v>
      </c>
      <c r="N4" s="140">
        <f t="shared" ref="N4:N19" si="17">N3</f>
        <v>4973666</v>
      </c>
      <c r="O4" s="49">
        <f>(IF((N4-N3)&lt;P96,"0",(N4-N3)))*2</f>
        <v>0</v>
      </c>
      <c r="P4" s="142">
        <f t="shared" ref="P4:P20" si="18">P3</f>
        <v>2652537</v>
      </c>
      <c r="Q4" s="49">
        <f t="shared" ref="Q4:Q32" si="19">IF((P4-P3)&lt;0,"0",(P4-P3))</f>
        <v>0</v>
      </c>
      <c r="R4" s="140">
        <f t="shared" ref="R4:R20" si="20">R3</f>
        <v>16727329</v>
      </c>
      <c r="S4" s="49">
        <f t="shared" ref="S4:S32" si="21">IF((R4-R3)&lt;0,"0",(R4-R3))</f>
        <v>0</v>
      </c>
      <c r="T4" s="140">
        <v>0</v>
      </c>
      <c r="U4" s="143"/>
      <c r="V4" s="140">
        <f t="shared" ref="V4:V20" si="22">V3</f>
        <v>4279268</v>
      </c>
      <c r="W4" s="49">
        <f t="shared" ref="W4:W32" si="23">IF((V4-V3)&lt;0,"0",(V4-V3))</f>
        <v>0</v>
      </c>
      <c r="X4" s="28">
        <f t="shared" si="4"/>
        <v>0</v>
      </c>
      <c r="Y4" s="35">
        <f t="shared" si="5"/>
        <v>0</v>
      </c>
      <c r="Z4" s="27">
        <f t="shared" si="6"/>
        <v>0</v>
      </c>
      <c r="AA4" s="27">
        <f>SUM(Z2:Z4)</f>
        <v>6264.0450703999995</v>
      </c>
    </row>
    <row r="5" spans="1:27" ht="16.5" thickBot="1" x14ac:dyDescent="0.25">
      <c r="A5" s="10">
        <v>44258</v>
      </c>
      <c r="B5" s="49">
        <v>98</v>
      </c>
      <c r="C5" s="49">
        <f t="shared" si="7"/>
        <v>17999</v>
      </c>
      <c r="D5" s="49">
        <f t="shared" si="8"/>
        <v>0</v>
      </c>
      <c r="E5" s="140">
        <f t="shared" si="9"/>
        <v>25190119</v>
      </c>
      <c r="F5" s="49">
        <f t="shared" si="10"/>
        <v>0</v>
      </c>
      <c r="G5" s="144">
        <f t="shared" si="11"/>
        <v>78566150</v>
      </c>
      <c r="H5" s="49">
        <f t="shared" si="12"/>
        <v>0</v>
      </c>
      <c r="I5" s="141">
        <f t="shared" si="3"/>
        <v>0</v>
      </c>
      <c r="J5" s="140">
        <f t="shared" si="13"/>
        <v>7601758</v>
      </c>
      <c r="K5" s="49">
        <f t="shared" si="14"/>
        <v>0</v>
      </c>
      <c r="L5" s="142">
        <f t="shared" si="15"/>
        <v>7606283</v>
      </c>
      <c r="M5" s="49">
        <f t="shared" si="16"/>
        <v>0</v>
      </c>
      <c r="N5" s="140">
        <f t="shared" si="17"/>
        <v>4973666</v>
      </c>
      <c r="O5" s="49">
        <f t="shared" ref="O5:O32" si="24">(IF((N5-N4)&lt;0,"0",(N5-N4)))*2</f>
        <v>0</v>
      </c>
      <c r="P5" s="142">
        <f t="shared" si="18"/>
        <v>2652537</v>
      </c>
      <c r="Q5" s="49">
        <f t="shared" si="19"/>
        <v>0</v>
      </c>
      <c r="R5" s="140">
        <f t="shared" si="20"/>
        <v>16727329</v>
      </c>
      <c r="S5" s="49">
        <f t="shared" si="21"/>
        <v>0</v>
      </c>
      <c r="T5" s="140">
        <v>0</v>
      </c>
      <c r="U5" s="143"/>
      <c r="V5" s="140">
        <f t="shared" si="22"/>
        <v>4279268</v>
      </c>
      <c r="W5" s="49">
        <f t="shared" si="23"/>
        <v>0</v>
      </c>
      <c r="X5" s="28">
        <f t="shared" si="4"/>
        <v>0</v>
      </c>
      <c r="Y5" s="35">
        <f t="shared" si="5"/>
        <v>0</v>
      </c>
      <c r="Z5" s="27">
        <f t="shared" si="6"/>
        <v>0</v>
      </c>
      <c r="AA5" s="27">
        <f>SUM(Z3:Z5)</f>
        <v>6264.0450703999995</v>
      </c>
    </row>
    <row r="6" spans="1:27" ht="16.5" thickBot="1" x14ac:dyDescent="0.25">
      <c r="A6" s="10">
        <v>44259</v>
      </c>
      <c r="B6" s="49">
        <v>108</v>
      </c>
      <c r="C6" s="49">
        <v>18007</v>
      </c>
      <c r="D6" s="49">
        <f t="shared" si="8"/>
        <v>1280</v>
      </c>
      <c r="E6" s="140">
        <v>25215519</v>
      </c>
      <c r="F6" s="49">
        <f t="shared" si="10"/>
        <v>25400</v>
      </c>
      <c r="G6" s="144">
        <v>78698490</v>
      </c>
      <c r="H6" s="49">
        <f t="shared" si="12"/>
        <v>132340</v>
      </c>
      <c r="I6" s="141">
        <f t="shared" si="3"/>
        <v>157740</v>
      </c>
      <c r="J6" s="140">
        <v>7619259</v>
      </c>
      <c r="K6" s="49">
        <f t="shared" si="14"/>
        <v>17501</v>
      </c>
      <c r="L6" s="142">
        <v>7624777</v>
      </c>
      <c r="M6" s="49">
        <f t="shared" si="16"/>
        <v>18494</v>
      </c>
      <c r="N6" s="140">
        <v>4976874</v>
      </c>
      <c r="O6" s="49">
        <f t="shared" si="24"/>
        <v>6416</v>
      </c>
      <c r="P6" s="142">
        <v>2674011</v>
      </c>
      <c r="Q6" s="49">
        <f t="shared" si="19"/>
        <v>21474</v>
      </c>
      <c r="R6" s="140">
        <v>16754262</v>
      </c>
      <c r="S6" s="49">
        <f t="shared" si="21"/>
        <v>26933</v>
      </c>
      <c r="T6" s="140">
        <v>0</v>
      </c>
      <c r="U6" s="143"/>
      <c r="V6" s="140">
        <v>4311200</v>
      </c>
      <c r="W6" s="49">
        <f t="shared" si="23"/>
        <v>31932</v>
      </c>
      <c r="X6" s="28">
        <f t="shared" si="4"/>
        <v>122750</v>
      </c>
      <c r="Y6" s="35">
        <f t="shared" si="5"/>
        <v>34990</v>
      </c>
      <c r="Z6" s="27">
        <f t="shared" si="6"/>
        <v>18325.009768000004</v>
      </c>
      <c r="AA6" s="27">
        <f>SUM(Z4:Z6)</f>
        <v>18325.009768000004</v>
      </c>
    </row>
    <row r="7" spans="1:27" ht="16.5" thickBot="1" x14ac:dyDescent="0.25">
      <c r="A7" s="10">
        <v>44260</v>
      </c>
      <c r="B7" s="49">
        <v>119</v>
      </c>
      <c r="C7" s="49">
        <v>18009</v>
      </c>
      <c r="D7" s="49">
        <f t="shared" si="8"/>
        <v>320</v>
      </c>
      <c r="E7" s="140">
        <v>25222457</v>
      </c>
      <c r="F7" s="49">
        <f t="shared" si="10"/>
        <v>6938</v>
      </c>
      <c r="G7" s="144">
        <v>78740523</v>
      </c>
      <c r="H7" s="49">
        <f t="shared" si="12"/>
        <v>42033</v>
      </c>
      <c r="I7" s="141">
        <f t="shared" si="3"/>
        <v>48971</v>
      </c>
      <c r="J7" s="140">
        <v>7624489</v>
      </c>
      <c r="K7" s="49">
        <f t="shared" si="14"/>
        <v>5230</v>
      </c>
      <c r="L7" s="142">
        <v>7629730</v>
      </c>
      <c r="M7" s="49">
        <f t="shared" si="16"/>
        <v>4953</v>
      </c>
      <c r="N7" s="140">
        <v>4977793</v>
      </c>
      <c r="O7" s="49">
        <f t="shared" si="24"/>
        <v>1838</v>
      </c>
      <c r="P7" s="142">
        <v>2681108</v>
      </c>
      <c r="Q7" s="49">
        <f t="shared" si="19"/>
        <v>7097</v>
      </c>
      <c r="R7" s="140">
        <v>16762576</v>
      </c>
      <c r="S7" s="49">
        <f t="shared" si="21"/>
        <v>8314</v>
      </c>
      <c r="T7" s="140">
        <v>0</v>
      </c>
      <c r="U7" s="143"/>
      <c r="V7" s="140">
        <v>4321494</v>
      </c>
      <c r="W7" s="49">
        <f t="shared" si="23"/>
        <v>10294</v>
      </c>
      <c r="X7" s="28">
        <f t="shared" si="4"/>
        <v>37726</v>
      </c>
      <c r="Y7" s="35">
        <f t="shared" si="5"/>
        <v>11245</v>
      </c>
      <c r="Z7" s="27">
        <f t="shared" si="6"/>
        <v>5809.9465215999999</v>
      </c>
      <c r="AA7" s="27">
        <f t="shared" ref="AA7:AA32" si="25">SUM(Z4:Z7)</f>
        <v>24134.956289600002</v>
      </c>
    </row>
    <row r="8" spans="1:27" ht="16.5" thickBot="1" x14ac:dyDescent="0.25">
      <c r="A8" s="10">
        <v>44261</v>
      </c>
      <c r="B8" s="49">
        <v>106</v>
      </c>
      <c r="C8" s="49">
        <v>18012</v>
      </c>
      <c r="D8" s="49">
        <f t="shared" si="8"/>
        <v>480</v>
      </c>
      <c r="E8" s="140">
        <v>25227855</v>
      </c>
      <c r="F8" s="49">
        <f t="shared" si="10"/>
        <v>5398</v>
      </c>
      <c r="G8" s="144">
        <v>78772978</v>
      </c>
      <c r="H8" s="49">
        <f t="shared" si="12"/>
        <v>32455</v>
      </c>
      <c r="I8" s="141">
        <f t="shared" si="3"/>
        <v>37853</v>
      </c>
      <c r="J8" s="140">
        <v>7628844</v>
      </c>
      <c r="K8" s="49">
        <f t="shared" si="14"/>
        <v>4355</v>
      </c>
      <c r="L8" s="142">
        <v>7633455</v>
      </c>
      <c r="M8" s="49">
        <f t="shared" si="16"/>
        <v>3725</v>
      </c>
      <c r="N8" s="140">
        <v>4978574</v>
      </c>
      <c r="O8" s="49">
        <f t="shared" si="24"/>
        <v>1562</v>
      </c>
      <c r="P8" s="142">
        <v>2686824</v>
      </c>
      <c r="Q8" s="49">
        <f t="shared" si="19"/>
        <v>5716</v>
      </c>
      <c r="R8" s="140">
        <v>16768870</v>
      </c>
      <c r="S8" s="49">
        <f t="shared" si="21"/>
        <v>6294</v>
      </c>
      <c r="T8" s="140">
        <v>0</v>
      </c>
      <c r="U8" s="143"/>
      <c r="V8" s="140">
        <v>4329260</v>
      </c>
      <c r="W8" s="49">
        <f t="shared" si="23"/>
        <v>7766</v>
      </c>
      <c r="X8" s="28">
        <f t="shared" si="4"/>
        <v>29418</v>
      </c>
      <c r="Y8" s="35">
        <f t="shared" si="5"/>
        <v>8435</v>
      </c>
      <c r="Z8" s="27">
        <f t="shared" si="6"/>
        <v>4466.1972160000005</v>
      </c>
      <c r="AA8" s="27">
        <f t="shared" si="25"/>
        <v>28601.153505600003</v>
      </c>
    </row>
    <row r="9" spans="1:27" ht="16.5" thickBot="1" x14ac:dyDescent="0.25">
      <c r="A9" s="10">
        <v>44262</v>
      </c>
      <c r="B9" s="49">
        <v>93</v>
      </c>
      <c r="C9" s="49">
        <v>18014</v>
      </c>
      <c r="D9" s="49">
        <f t="shared" si="8"/>
        <v>320</v>
      </c>
      <c r="E9" s="140">
        <v>25238592</v>
      </c>
      <c r="F9" s="49">
        <f t="shared" si="10"/>
        <v>10737</v>
      </c>
      <c r="G9" s="144">
        <v>78832988</v>
      </c>
      <c r="H9" s="49">
        <f t="shared" si="12"/>
        <v>60010</v>
      </c>
      <c r="I9" s="141">
        <f t="shared" si="3"/>
        <v>70747</v>
      </c>
      <c r="J9" s="140">
        <v>7636581</v>
      </c>
      <c r="K9" s="49">
        <f t="shared" si="14"/>
        <v>7737</v>
      </c>
      <c r="L9" s="142">
        <v>7640925</v>
      </c>
      <c r="M9" s="49">
        <f t="shared" si="16"/>
        <v>7470</v>
      </c>
      <c r="N9" s="140">
        <v>4980096</v>
      </c>
      <c r="O9" s="49">
        <f t="shared" si="24"/>
        <v>3044</v>
      </c>
      <c r="P9" s="142">
        <v>2697423</v>
      </c>
      <c r="Q9" s="49">
        <f t="shared" si="19"/>
        <v>10599</v>
      </c>
      <c r="R9" s="140">
        <v>16780673</v>
      </c>
      <c r="S9" s="49">
        <f t="shared" si="21"/>
        <v>11803</v>
      </c>
      <c r="T9" s="140">
        <v>0</v>
      </c>
      <c r="U9" s="143"/>
      <c r="V9" s="140">
        <v>4343648</v>
      </c>
      <c r="W9" s="49">
        <f t="shared" si="23"/>
        <v>14388</v>
      </c>
      <c r="X9" s="28">
        <f t="shared" si="4"/>
        <v>55041</v>
      </c>
      <c r="Y9" s="35">
        <f t="shared" si="5"/>
        <v>15706</v>
      </c>
      <c r="Z9" s="27">
        <f t="shared" si="6"/>
        <v>8332.0236272000002</v>
      </c>
      <c r="AA9" s="27">
        <f t="shared" si="25"/>
        <v>36933.177132800003</v>
      </c>
    </row>
    <row r="10" spans="1:27" ht="16.5" thickBot="1" x14ac:dyDescent="0.25">
      <c r="A10" s="10">
        <v>44263</v>
      </c>
      <c r="B10" s="49">
        <v>114</v>
      </c>
      <c r="C10" s="49">
        <v>18016</v>
      </c>
      <c r="D10" s="49">
        <f t="shared" si="8"/>
        <v>320</v>
      </c>
      <c r="E10" s="140">
        <v>25244731</v>
      </c>
      <c r="F10" s="49">
        <f t="shared" si="10"/>
        <v>6139</v>
      </c>
      <c r="G10" s="144">
        <v>78865735</v>
      </c>
      <c r="H10" s="49">
        <f t="shared" si="12"/>
        <v>32747</v>
      </c>
      <c r="I10" s="141">
        <f t="shared" si="3"/>
        <v>38886</v>
      </c>
      <c r="J10" s="140">
        <v>7640691</v>
      </c>
      <c r="K10" s="49">
        <f t="shared" si="14"/>
        <v>4110</v>
      </c>
      <c r="L10" s="142">
        <v>7645392</v>
      </c>
      <c r="M10" s="49">
        <f t="shared" si="16"/>
        <v>4467</v>
      </c>
      <c r="N10" s="140">
        <v>4980881</v>
      </c>
      <c r="O10" s="49">
        <f t="shared" si="24"/>
        <v>1570</v>
      </c>
      <c r="P10" s="142">
        <v>2703418</v>
      </c>
      <c r="Q10" s="49">
        <f t="shared" si="19"/>
        <v>5995</v>
      </c>
      <c r="R10" s="140">
        <v>16787186</v>
      </c>
      <c r="S10" s="49">
        <f t="shared" si="21"/>
        <v>6513</v>
      </c>
      <c r="T10" s="140">
        <v>0</v>
      </c>
      <c r="U10" s="143"/>
      <c r="V10" s="140">
        <v>4351839</v>
      </c>
      <c r="W10" s="49">
        <f t="shared" si="23"/>
        <v>8191</v>
      </c>
      <c r="X10" s="28">
        <f t="shared" si="4"/>
        <v>30846</v>
      </c>
      <c r="Y10" s="35">
        <f t="shared" si="5"/>
        <v>8040</v>
      </c>
      <c r="Z10" s="27">
        <f t="shared" si="6"/>
        <v>4664.0542207999997</v>
      </c>
      <c r="AA10" s="27">
        <f t="shared" si="25"/>
        <v>23272.2215856</v>
      </c>
    </row>
    <row r="11" spans="1:27" ht="16.5" thickBot="1" x14ac:dyDescent="0.25">
      <c r="A11" s="10">
        <v>44264</v>
      </c>
      <c r="B11" s="49">
        <v>118</v>
      </c>
      <c r="C11" s="49">
        <v>18018</v>
      </c>
      <c r="D11" s="49">
        <f t="shared" si="8"/>
        <v>320</v>
      </c>
      <c r="E11" s="140">
        <v>25254962</v>
      </c>
      <c r="F11" s="49">
        <f t="shared" si="10"/>
        <v>10231</v>
      </c>
      <c r="G11" s="144">
        <v>78921611</v>
      </c>
      <c r="H11" s="49">
        <f t="shared" si="12"/>
        <v>55876</v>
      </c>
      <c r="I11" s="141">
        <f t="shared" si="3"/>
        <v>66107</v>
      </c>
      <c r="J11" s="140">
        <v>7648482</v>
      </c>
      <c r="K11" s="49">
        <f t="shared" si="14"/>
        <v>7791</v>
      </c>
      <c r="L11" s="142">
        <v>7652139</v>
      </c>
      <c r="M11" s="49">
        <f t="shared" si="16"/>
        <v>6747</v>
      </c>
      <c r="N11" s="140">
        <v>4982533</v>
      </c>
      <c r="O11" s="49">
        <f t="shared" si="24"/>
        <v>3304</v>
      </c>
      <c r="P11" s="142">
        <v>2713843</v>
      </c>
      <c r="Q11" s="49">
        <f t="shared" si="19"/>
        <v>10425</v>
      </c>
      <c r="R11" s="140">
        <v>16797964</v>
      </c>
      <c r="S11" s="49">
        <f t="shared" si="21"/>
        <v>10778</v>
      </c>
      <c r="T11" s="140">
        <v>0</v>
      </c>
      <c r="U11" s="143"/>
      <c r="V11" s="140">
        <v>4364525</v>
      </c>
      <c r="W11" s="49">
        <f t="shared" si="23"/>
        <v>12686</v>
      </c>
      <c r="X11" s="28">
        <f t="shared" si="4"/>
        <v>51731</v>
      </c>
      <c r="Y11" s="35">
        <f t="shared" si="5"/>
        <v>14376</v>
      </c>
      <c r="Z11" s="27">
        <f t="shared" si="6"/>
        <v>7682.5893248000002</v>
      </c>
      <c r="AA11" s="27">
        <f t="shared" si="25"/>
        <v>25144.864388800001</v>
      </c>
    </row>
    <row r="12" spans="1:27" ht="16.5" thickBot="1" x14ac:dyDescent="0.25">
      <c r="A12" s="10">
        <v>44265</v>
      </c>
      <c r="B12" s="49">
        <v>146</v>
      </c>
      <c r="C12" s="49">
        <v>18021</v>
      </c>
      <c r="D12" s="49">
        <f t="shared" si="8"/>
        <v>480</v>
      </c>
      <c r="E12" s="140">
        <v>25263840</v>
      </c>
      <c r="F12" s="49">
        <f t="shared" si="10"/>
        <v>8878</v>
      </c>
      <c r="G12" s="144">
        <v>78968087</v>
      </c>
      <c r="H12" s="49">
        <f t="shared" si="12"/>
        <v>46476</v>
      </c>
      <c r="I12" s="141">
        <f t="shared" si="3"/>
        <v>55354</v>
      </c>
      <c r="J12" s="140">
        <v>7654119</v>
      </c>
      <c r="K12" s="49">
        <f t="shared" si="14"/>
        <v>5637</v>
      </c>
      <c r="L12" s="142">
        <v>7658515</v>
      </c>
      <c r="M12" s="49">
        <f t="shared" si="16"/>
        <v>6376</v>
      </c>
      <c r="N12" s="140">
        <v>4983703</v>
      </c>
      <c r="O12" s="49">
        <f t="shared" si="24"/>
        <v>2340</v>
      </c>
      <c r="P12" s="142">
        <v>2723424</v>
      </c>
      <c r="Q12" s="49">
        <f t="shared" si="19"/>
        <v>9581</v>
      </c>
      <c r="R12" s="140">
        <v>16806910</v>
      </c>
      <c r="S12" s="49">
        <f t="shared" si="21"/>
        <v>8946</v>
      </c>
      <c r="T12" s="140">
        <v>0</v>
      </c>
      <c r="U12" s="143"/>
      <c r="V12" s="140">
        <v>4375123</v>
      </c>
      <c r="W12" s="49">
        <f t="shared" si="23"/>
        <v>10598</v>
      </c>
      <c r="X12" s="28">
        <f t="shared" si="4"/>
        <v>43478</v>
      </c>
      <c r="Y12" s="35">
        <f t="shared" si="5"/>
        <v>11876</v>
      </c>
      <c r="Z12" s="27">
        <f t="shared" si="6"/>
        <v>6469.4051967999994</v>
      </c>
      <c r="AA12" s="27">
        <f t="shared" si="25"/>
        <v>27148.072369599999</v>
      </c>
    </row>
    <row r="13" spans="1:27" ht="16.5" thickBot="1" x14ac:dyDescent="0.25">
      <c r="A13" s="10">
        <v>44266</v>
      </c>
      <c r="B13" s="49">
        <v>116</v>
      </c>
      <c r="C13" s="49">
        <v>18023</v>
      </c>
      <c r="D13" s="49">
        <f t="shared" si="8"/>
        <v>320</v>
      </c>
      <c r="E13" s="140">
        <v>25272918</v>
      </c>
      <c r="F13" s="49">
        <f t="shared" si="10"/>
        <v>9078</v>
      </c>
      <c r="G13" s="144">
        <v>79012596</v>
      </c>
      <c r="H13" s="49">
        <f t="shared" si="12"/>
        <v>44509</v>
      </c>
      <c r="I13" s="141">
        <f t="shared" si="3"/>
        <v>53587</v>
      </c>
      <c r="J13" s="140">
        <v>7658026</v>
      </c>
      <c r="K13" s="49">
        <f t="shared" si="14"/>
        <v>3907</v>
      </c>
      <c r="L13" s="142">
        <v>7665176</v>
      </c>
      <c r="M13" s="49">
        <f t="shared" si="16"/>
        <v>6661</v>
      </c>
      <c r="N13" s="140">
        <v>4984823</v>
      </c>
      <c r="O13" s="49">
        <f t="shared" si="24"/>
        <v>2240</v>
      </c>
      <c r="P13" s="142">
        <v>2732680</v>
      </c>
      <c r="Q13" s="49">
        <f t="shared" si="19"/>
        <v>9256</v>
      </c>
      <c r="R13" s="140">
        <v>16815901</v>
      </c>
      <c r="S13" s="49">
        <f>IF((R13-R12)&lt;0,"0",(R13-R12))</f>
        <v>8991</v>
      </c>
      <c r="T13" s="140">
        <v>0</v>
      </c>
      <c r="U13" s="143"/>
      <c r="V13" s="140">
        <v>4385455</v>
      </c>
      <c r="W13" s="49">
        <f t="shared" si="23"/>
        <v>10332</v>
      </c>
      <c r="X13" s="28">
        <f t="shared" si="4"/>
        <v>41387</v>
      </c>
      <c r="Y13" s="35">
        <f t="shared" si="5"/>
        <v>12200</v>
      </c>
      <c r="Z13" s="27">
        <f t="shared" si="6"/>
        <v>6354.2387376000006</v>
      </c>
      <c r="AA13" s="27">
        <f t="shared" si="25"/>
        <v>25170.287479999999</v>
      </c>
    </row>
    <row r="14" spans="1:27" ht="16.5" thickBot="1" x14ac:dyDescent="0.25">
      <c r="A14" s="10">
        <v>44267</v>
      </c>
      <c r="B14" s="49">
        <v>110</v>
      </c>
      <c r="C14" s="49">
        <v>18032</v>
      </c>
      <c r="D14" s="49">
        <f t="shared" si="8"/>
        <v>1440</v>
      </c>
      <c r="E14" s="140">
        <v>25281457</v>
      </c>
      <c r="F14" s="49">
        <f>IF((E14-E13)&lt;0,"0",(E14-E13))</f>
        <v>8539</v>
      </c>
      <c r="G14" s="144">
        <v>79057205</v>
      </c>
      <c r="H14" s="49">
        <f t="shared" si="12"/>
        <v>44609</v>
      </c>
      <c r="I14" s="141">
        <f t="shared" si="3"/>
        <v>53148</v>
      </c>
      <c r="J14" s="140">
        <v>7663147</v>
      </c>
      <c r="K14" s="49">
        <f t="shared" si="14"/>
        <v>5121</v>
      </c>
      <c r="L14" s="142">
        <v>7671158</v>
      </c>
      <c r="M14" s="49">
        <f t="shared" si="16"/>
        <v>5982</v>
      </c>
      <c r="N14" s="140">
        <v>4986018</v>
      </c>
      <c r="O14" s="49">
        <f t="shared" si="24"/>
        <v>2390</v>
      </c>
      <c r="P14" s="142">
        <v>2741059</v>
      </c>
      <c r="Q14" s="49">
        <f t="shared" si="19"/>
        <v>8379</v>
      </c>
      <c r="R14" s="140">
        <v>16825492</v>
      </c>
      <c r="S14" s="49">
        <f>IF((R14-R13)&lt;0,"0",(R14-R13))</f>
        <v>9591</v>
      </c>
      <c r="T14" s="140">
        <v>0</v>
      </c>
      <c r="U14" s="143"/>
      <c r="V14" s="140">
        <v>4396220</v>
      </c>
      <c r="W14" s="49">
        <f t="shared" si="23"/>
        <v>10765</v>
      </c>
      <c r="X14" s="28">
        <f t="shared" si="4"/>
        <v>42228</v>
      </c>
      <c r="Y14" s="35">
        <f t="shared" si="5"/>
        <v>10920</v>
      </c>
      <c r="Z14" s="27">
        <f t="shared" si="6"/>
        <v>6499.7172031999999</v>
      </c>
      <c r="AA14" s="27">
        <f t="shared" si="25"/>
        <v>27005.950462400004</v>
      </c>
    </row>
    <row r="15" spans="1:27" ht="16.5" thickBot="1" x14ac:dyDescent="0.25">
      <c r="A15" s="10">
        <v>44268</v>
      </c>
      <c r="B15" s="49">
        <v>103</v>
      </c>
      <c r="C15" s="49">
        <v>18033</v>
      </c>
      <c r="D15" s="49">
        <f t="shared" si="8"/>
        <v>160</v>
      </c>
      <c r="E15" s="140">
        <v>25288594</v>
      </c>
      <c r="F15" s="49">
        <f>IF((E15-E14)&lt;0,"0",(E15-E14))</f>
        <v>7137</v>
      </c>
      <c r="G15" s="144">
        <v>79096773</v>
      </c>
      <c r="H15" s="49">
        <f t="shared" si="12"/>
        <v>39568</v>
      </c>
      <c r="I15" s="141">
        <f t="shared" si="3"/>
        <v>46705</v>
      </c>
      <c r="J15" s="140">
        <v>7667143</v>
      </c>
      <c r="K15" s="49">
        <f t="shared" si="14"/>
        <v>3996</v>
      </c>
      <c r="L15" s="142">
        <v>7676026</v>
      </c>
      <c r="M15" s="49">
        <f t="shared" si="16"/>
        <v>4868</v>
      </c>
      <c r="N15" s="140">
        <v>4987087</v>
      </c>
      <c r="O15" s="49">
        <f t="shared" si="24"/>
        <v>2138</v>
      </c>
      <c r="P15" s="142">
        <v>2748291</v>
      </c>
      <c r="Q15" s="49">
        <f t="shared" si="19"/>
        <v>7232</v>
      </c>
      <c r="R15" s="140">
        <v>16833741</v>
      </c>
      <c r="S15" s="49">
        <f>IF((R15-R14)&lt;0,"0",(R15-R14))</f>
        <v>8249</v>
      </c>
      <c r="T15" s="140">
        <v>0</v>
      </c>
      <c r="U15" s="143"/>
      <c r="V15" s="140">
        <v>4405937</v>
      </c>
      <c r="W15" s="49">
        <f t="shared" si="23"/>
        <v>9717</v>
      </c>
      <c r="X15" s="28">
        <f t="shared" si="4"/>
        <v>36200</v>
      </c>
      <c r="Y15" s="35">
        <f t="shared" si="5"/>
        <v>10505</v>
      </c>
      <c r="Z15" s="27">
        <f t="shared" si="6"/>
        <v>5717.0974432000012</v>
      </c>
      <c r="AA15" s="27">
        <f t="shared" si="25"/>
        <v>25040.458580799997</v>
      </c>
    </row>
    <row r="16" spans="1:27" ht="16.5" thickBot="1" x14ac:dyDescent="0.25">
      <c r="A16" s="10">
        <v>44269</v>
      </c>
      <c r="B16" s="49">
        <v>114</v>
      </c>
      <c r="C16" s="49">
        <f t="shared" si="7"/>
        <v>18033</v>
      </c>
      <c r="D16" s="49">
        <f t="shared" si="8"/>
        <v>0</v>
      </c>
      <c r="E16" s="140">
        <f t="shared" si="9"/>
        <v>25288594</v>
      </c>
      <c r="F16" s="49">
        <f>IF((E16-E15)&lt;0,"0",(E16-E15))</f>
        <v>0</v>
      </c>
      <c r="G16" s="144">
        <f t="shared" si="11"/>
        <v>79096773</v>
      </c>
      <c r="H16" s="49">
        <f t="shared" si="12"/>
        <v>0</v>
      </c>
      <c r="I16" s="141">
        <f t="shared" si="3"/>
        <v>0</v>
      </c>
      <c r="J16" s="140">
        <f t="shared" si="13"/>
        <v>7667143</v>
      </c>
      <c r="K16" s="49">
        <f t="shared" si="14"/>
        <v>0</v>
      </c>
      <c r="L16" s="142">
        <f t="shared" si="15"/>
        <v>7676026</v>
      </c>
      <c r="M16" s="49">
        <f t="shared" si="16"/>
        <v>0</v>
      </c>
      <c r="N16" s="140">
        <f t="shared" si="17"/>
        <v>4987087</v>
      </c>
      <c r="O16" s="49">
        <f t="shared" si="24"/>
        <v>0</v>
      </c>
      <c r="P16" s="142">
        <f t="shared" si="18"/>
        <v>2748291</v>
      </c>
      <c r="Q16" s="49">
        <f t="shared" si="19"/>
        <v>0</v>
      </c>
      <c r="R16" s="140">
        <f t="shared" si="20"/>
        <v>16833741</v>
      </c>
      <c r="S16" s="49">
        <f t="shared" si="21"/>
        <v>0</v>
      </c>
      <c r="T16" s="140">
        <v>0</v>
      </c>
      <c r="U16" s="143"/>
      <c r="V16" s="140">
        <f t="shared" si="22"/>
        <v>4405937</v>
      </c>
      <c r="W16" s="49">
        <f t="shared" si="23"/>
        <v>0</v>
      </c>
      <c r="X16" s="28">
        <f t="shared" si="4"/>
        <v>0</v>
      </c>
      <c r="Y16" s="35">
        <f t="shared" si="5"/>
        <v>0</v>
      </c>
      <c r="Z16" s="27">
        <f t="shared" si="6"/>
        <v>0</v>
      </c>
      <c r="AA16" s="27">
        <f t="shared" si="25"/>
        <v>18571.053384000003</v>
      </c>
    </row>
    <row r="17" spans="1:27" s="154" customFormat="1" ht="16.5" thickBot="1" x14ac:dyDescent="0.25">
      <c r="A17" s="10">
        <v>44270</v>
      </c>
      <c r="B17" s="149">
        <v>132</v>
      </c>
      <c r="C17" s="49">
        <f t="shared" si="7"/>
        <v>18033</v>
      </c>
      <c r="D17" s="49">
        <f t="shared" si="8"/>
        <v>0</v>
      </c>
      <c r="E17" s="140">
        <f t="shared" si="9"/>
        <v>25288594</v>
      </c>
      <c r="F17" s="149">
        <f t="shared" si="10"/>
        <v>0</v>
      </c>
      <c r="G17" s="144">
        <f t="shared" si="11"/>
        <v>79096773</v>
      </c>
      <c r="H17" s="49">
        <f t="shared" si="12"/>
        <v>0</v>
      </c>
      <c r="I17" s="151">
        <f t="shared" si="3"/>
        <v>0</v>
      </c>
      <c r="J17" s="140">
        <f t="shared" si="13"/>
        <v>7667143</v>
      </c>
      <c r="K17" s="149">
        <f t="shared" si="14"/>
        <v>0</v>
      </c>
      <c r="L17" s="142">
        <f t="shared" si="15"/>
        <v>7676026</v>
      </c>
      <c r="M17" s="149">
        <f t="shared" si="16"/>
        <v>0</v>
      </c>
      <c r="N17" s="140">
        <f t="shared" si="17"/>
        <v>4987087</v>
      </c>
      <c r="O17" s="149">
        <f t="shared" si="24"/>
        <v>0</v>
      </c>
      <c r="P17" s="142">
        <f t="shared" si="18"/>
        <v>2748291</v>
      </c>
      <c r="Q17" s="149">
        <f t="shared" si="19"/>
        <v>0</v>
      </c>
      <c r="R17" s="140">
        <v>16849621</v>
      </c>
      <c r="S17" s="149">
        <f t="shared" si="21"/>
        <v>15880</v>
      </c>
      <c r="T17" s="150">
        <v>0</v>
      </c>
      <c r="U17" s="143"/>
      <c r="V17" s="140">
        <f t="shared" si="22"/>
        <v>4405937</v>
      </c>
      <c r="W17" s="149">
        <f t="shared" si="23"/>
        <v>0</v>
      </c>
      <c r="X17" s="28">
        <f t="shared" si="4"/>
        <v>15880</v>
      </c>
      <c r="Y17" s="152">
        <f t="shared" si="5"/>
        <v>-15880</v>
      </c>
      <c r="Z17" s="153">
        <f t="shared" si="6"/>
        <v>3854.317376</v>
      </c>
      <c r="AA17" s="153">
        <f t="shared" si="25"/>
        <v>16071.132022400001</v>
      </c>
    </row>
    <row r="18" spans="1:27" s="154" customFormat="1" ht="16.5" thickBot="1" x14ac:dyDescent="0.25">
      <c r="A18" s="10">
        <v>44271</v>
      </c>
      <c r="B18" s="149">
        <v>97</v>
      </c>
      <c r="C18" s="49">
        <v>18036</v>
      </c>
      <c r="D18" s="49">
        <f t="shared" si="8"/>
        <v>480</v>
      </c>
      <c r="E18" s="140">
        <v>25311544</v>
      </c>
      <c r="F18" s="149">
        <f t="shared" si="10"/>
        <v>22950</v>
      </c>
      <c r="G18" s="144">
        <v>79218925</v>
      </c>
      <c r="H18" s="49">
        <f t="shared" si="12"/>
        <v>122152</v>
      </c>
      <c r="I18" s="151">
        <f t="shared" si="3"/>
        <v>145102</v>
      </c>
      <c r="J18" s="140">
        <v>7679687</v>
      </c>
      <c r="K18" s="149">
        <f t="shared" si="14"/>
        <v>12544</v>
      </c>
      <c r="L18" s="142">
        <v>7692327</v>
      </c>
      <c r="M18" s="149">
        <f t="shared" si="16"/>
        <v>16301</v>
      </c>
      <c r="N18" s="140">
        <v>4990189</v>
      </c>
      <c r="O18" s="149">
        <f t="shared" si="24"/>
        <v>6204</v>
      </c>
      <c r="P18" s="142">
        <v>2772568</v>
      </c>
      <c r="Q18" s="149">
        <f t="shared" si="19"/>
        <v>24277</v>
      </c>
      <c r="R18" s="140">
        <v>16858366</v>
      </c>
      <c r="S18" s="149">
        <f t="shared" si="21"/>
        <v>8745</v>
      </c>
      <c r="T18" s="150">
        <v>0</v>
      </c>
      <c r="U18" s="143"/>
      <c r="V18" s="140">
        <v>4435204</v>
      </c>
      <c r="W18" s="149">
        <f t="shared" si="23"/>
        <v>29267</v>
      </c>
      <c r="X18" s="28">
        <f t="shared" si="4"/>
        <v>97338</v>
      </c>
      <c r="Y18" s="152">
        <f t="shared" si="5"/>
        <v>47764</v>
      </c>
      <c r="Z18" s="153">
        <f t="shared" si="6"/>
        <v>13638.7635904</v>
      </c>
      <c r="AA18" s="153">
        <f t="shared" si="25"/>
        <v>23210.178409600001</v>
      </c>
    </row>
    <row r="19" spans="1:27" s="154" customFormat="1" ht="16.5" thickBot="1" x14ac:dyDescent="0.25">
      <c r="A19" s="10">
        <v>44272</v>
      </c>
      <c r="B19" s="149">
        <v>97</v>
      </c>
      <c r="C19" s="49">
        <f t="shared" si="7"/>
        <v>18036</v>
      </c>
      <c r="D19" s="49">
        <f>IF((C19-C18)&lt;0,"0",(C19-C18))*160</f>
        <v>0</v>
      </c>
      <c r="E19" s="140">
        <f t="shared" si="9"/>
        <v>25311544</v>
      </c>
      <c r="F19" s="149">
        <f t="shared" si="10"/>
        <v>0</v>
      </c>
      <c r="G19" s="144">
        <f t="shared" si="11"/>
        <v>79218925</v>
      </c>
      <c r="H19" s="49">
        <f t="shared" si="12"/>
        <v>0</v>
      </c>
      <c r="I19" s="151">
        <f t="shared" si="3"/>
        <v>0</v>
      </c>
      <c r="J19" s="140">
        <f t="shared" si="13"/>
        <v>7679687</v>
      </c>
      <c r="K19" s="149">
        <f t="shared" si="14"/>
        <v>0</v>
      </c>
      <c r="L19" s="142">
        <f t="shared" si="15"/>
        <v>7692327</v>
      </c>
      <c r="M19" s="149">
        <f t="shared" si="16"/>
        <v>0</v>
      </c>
      <c r="N19" s="140">
        <f t="shared" si="17"/>
        <v>4990189</v>
      </c>
      <c r="O19" s="149">
        <f t="shared" si="24"/>
        <v>0</v>
      </c>
      <c r="P19" s="142">
        <f t="shared" si="18"/>
        <v>2772568</v>
      </c>
      <c r="Q19" s="149">
        <f t="shared" si="19"/>
        <v>0</v>
      </c>
      <c r="R19" s="140">
        <f t="shared" si="20"/>
        <v>16858366</v>
      </c>
      <c r="S19" s="149">
        <f t="shared" si="21"/>
        <v>0</v>
      </c>
      <c r="T19" s="150">
        <v>0</v>
      </c>
      <c r="U19" s="143"/>
      <c r="V19" s="140">
        <f t="shared" si="22"/>
        <v>4435204</v>
      </c>
      <c r="W19" s="149">
        <f t="shared" si="23"/>
        <v>0</v>
      </c>
      <c r="X19" s="28">
        <f t="shared" si="4"/>
        <v>0</v>
      </c>
      <c r="Y19" s="152">
        <f t="shared" si="5"/>
        <v>0</v>
      </c>
      <c r="Z19" s="153">
        <f t="shared" si="6"/>
        <v>0</v>
      </c>
      <c r="AA19" s="153">
        <f t="shared" si="25"/>
        <v>17493.080966400001</v>
      </c>
    </row>
    <row r="20" spans="1:27" s="154" customFormat="1" ht="16.5" thickBot="1" x14ac:dyDescent="0.25">
      <c r="A20" s="10">
        <v>44273</v>
      </c>
      <c r="B20" s="149">
        <v>95</v>
      </c>
      <c r="C20" s="49">
        <f t="shared" si="7"/>
        <v>18036</v>
      </c>
      <c r="D20" s="49">
        <f>IF((C20-C19)&lt;0,"0",(C20-C19))*160</f>
        <v>0</v>
      </c>
      <c r="E20" s="140">
        <f t="shared" si="9"/>
        <v>25311544</v>
      </c>
      <c r="F20" s="149">
        <f t="shared" si="10"/>
        <v>0</v>
      </c>
      <c r="G20" s="144">
        <f t="shared" si="11"/>
        <v>79218925</v>
      </c>
      <c r="H20" s="49">
        <f t="shared" si="12"/>
        <v>0</v>
      </c>
      <c r="I20" s="151">
        <f t="shared" si="3"/>
        <v>0</v>
      </c>
      <c r="J20" s="140">
        <f t="shared" si="13"/>
        <v>7679687</v>
      </c>
      <c r="K20" s="149">
        <f t="shared" si="14"/>
        <v>0</v>
      </c>
      <c r="L20" s="142">
        <f t="shared" si="15"/>
        <v>7692327</v>
      </c>
      <c r="M20" s="149">
        <f t="shared" si="16"/>
        <v>0</v>
      </c>
      <c r="N20" s="140">
        <v>4992861</v>
      </c>
      <c r="O20" s="149">
        <f t="shared" si="24"/>
        <v>5344</v>
      </c>
      <c r="P20" s="142">
        <f t="shared" si="18"/>
        <v>2772568</v>
      </c>
      <c r="Q20" s="149">
        <f t="shared" si="19"/>
        <v>0</v>
      </c>
      <c r="R20" s="140">
        <f t="shared" si="20"/>
        <v>16858366</v>
      </c>
      <c r="S20" s="149">
        <f t="shared" si="21"/>
        <v>0</v>
      </c>
      <c r="T20" s="150">
        <v>0</v>
      </c>
      <c r="U20" s="143"/>
      <c r="V20" s="140">
        <f t="shared" si="22"/>
        <v>4435204</v>
      </c>
      <c r="W20" s="149">
        <f t="shared" si="23"/>
        <v>0</v>
      </c>
      <c r="X20" s="28">
        <f t="shared" si="4"/>
        <v>5344</v>
      </c>
      <c r="Y20" s="152">
        <f t="shared" si="5"/>
        <v>-5344</v>
      </c>
      <c r="Z20" s="153">
        <f t="shared" si="6"/>
        <v>773.64019199999996</v>
      </c>
      <c r="AA20" s="153">
        <f t="shared" si="25"/>
        <v>18266.7211584</v>
      </c>
    </row>
    <row r="21" spans="1:27" s="154" customFormat="1" ht="16.5" thickBot="1" x14ac:dyDescent="0.25">
      <c r="A21" s="10">
        <v>44274</v>
      </c>
      <c r="B21" s="149">
        <v>77</v>
      </c>
      <c r="C21" s="49">
        <v>18041</v>
      </c>
      <c r="D21" s="49">
        <f>IF((C21-C20)&lt;0,"0",(C21-C20))*160</f>
        <v>800</v>
      </c>
      <c r="E21" s="140">
        <v>25339035</v>
      </c>
      <c r="F21" s="149">
        <f t="shared" si="10"/>
        <v>27491</v>
      </c>
      <c r="G21" s="144">
        <v>79367997</v>
      </c>
      <c r="H21" s="49">
        <f t="shared" si="12"/>
        <v>149072</v>
      </c>
      <c r="I21" s="151">
        <f t="shared" si="3"/>
        <v>176563</v>
      </c>
      <c r="J21" s="140">
        <v>7697365</v>
      </c>
      <c r="K21" s="149">
        <f t="shared" si="14"/>
        <v>17678</v>
      </c>
      <c r="L21" s="142">
        <v>7711971</v>
      </c>
      <c r="M21" s="149">
        <f t="shared" si="16"/>
        <v>19644</v>
      </c>
      <c r="N21" s="140">
        <v>4993850</v>
      </c>
      <c r="O21" s="149">
        <f t="shared" si="24"/>
        <v>1978</v>
      </c>
      <c r="P21" s="142">
        <v>2801580</v>
      </c>
      <c r="Q21" s="149">
        <f t="shared" si="19"/>
        <v>29012</v>
      </c>
      <c r="R21" s="140">
        <v>16887317</v>
      </c>
      <c r="S21" s="149">
        <f t="shared" si="21"/>
        <v>28951</v>
      </c>
      <c r="T21" s="150">
        <v>0</v>
      </c>
      <c r="U21" s="143"/>
      <c r="V21" s="140">
        <v>4470570</v>
      </c>
      <c r="W21" s="149">
        <f t="shared" si="23"/>
        <v>35366</v>
      </c>
      <c r="X21" s="28">
        <f t="shared" si="4"/>
        <v>132629</v>
      </c>
      <c r="Y21" s="152">
        <f t="shared" si="5"/>
        <v>43934</v>
      </c>
      <c r="Z21" s="153">
        <f t="shared" si="6"/>
        <v>20097.0738384</v>
      </c>
      <c r="AA21" s="153">
        <f t="shared" si="25"/>
        <v>34509.477620799997</v>
      </c>
    </row>
    <row r="22" spans="1:27" ht="16.5" thickBot="1" x14ac:dyDescent="0.25">
      <c r="A22" s="10">
        <v>44275</v>
      </c>
      <c r="B22" s="49">
        <v>124</v>
      </c>
      <c r="C22" s="49">
        <v>18044</v>
      </c>
      <c r="D22" s="49">
        <f t="shared" si="8"/>
        <v>480</v>
      </c>
      <c r="E22" s="140">
        <v>25346284</v>
      </c>
      <c r="F22" s="49">
        <f t="shared" si="10"/>
        <v>7249</v>
      </c>
      <c r="G22" s="144">
        <v>79410654</v>
      </c>
      <c r="H22" s="49">
        <f t="shared" si="12"/>
        <v>42657</v>
      </c>
      <c r="I22" s="141">
        <f t="shared" si="3"/>
        <v>49906</v>
      </c>
      <c r="J22" s="140">
        <v>7702876</v>
      </c>
      <c r="K22" s="49">
        <f t="shared" si="14"/>
        <v>5511</v>
      </c>
      <c r="L22" s="142">
        <v>7716980</v>
      </c>
      <c r="M22" s="49">
        <f t="shared" si="16"/>
        <v>5009</v>
      </c>
      <c r="N22" s="140">
        <v>4994904</v>
      </c>
      <c r="O22" s="49">
        <f t="shared" si="24"/>
        <v>2108</v>
      </c>
      <c r="P22" s="142">
        <v>2810259</v>
      </c>
      <c r="Q22" s="49">
        <f t="shared" si="19"/>
        <v>8679</v>
      </c>
      <c r="R22" s="140">
        <v>16895915</v>
      </c>
      <c r="S22" s="49">
        <f t="shared" si="21"/>
        <v>8598</v>
      </c>
      <c r="T22" s="140">
        <v>0</v>
      </c>
      <c r="U22" s="143"/>
      <c r="V22" s="140">
        <v>4480184</v>
      </c>
      <c r="W22" s="49">
        <f t="shared" si="23"/>
        <v>9614</v>
      </c>
      <c r="X22" s="28">
        <f t="shared" si="4"/>
        <v>39519</v>
      </c>
      <c r="Y22" s="35">
        <f t="shared" si="5"/>
        <v>10387</v>
      </c>
      <c r="Z22" s="27">
        <f t="shared" si="6"/>
        <v>5981.9416384000006</v>
      </c>
      <c r="AA22" s="27">
        <f t="shared" si="25"/>
        <v>26852.655668799998</v>
      </c>
    </row>
    <row r="23" spans="1:27" ht="16.5" thickBot="1" x14ac:dyDescent="0.25">
      <c r="A23" s="10">
        <v>44276</v>
      </c>
      <c r="B23" s="49">
        <v>111</v>
      </c>
      <c r="C23" s="49">
        <v>18046</v>
      </c>
      <c r="D23" s="49">
        <f t="shared" si="8"/>
        <v>320</v>
      </c>
      <c r="E23" s="140">
        <v>25353833</v>
      </c>
      <c r="F23" s="49">
        <f t="shared" si="10"/>
        <v>7549</v>
      </c>
      <c r="G23" s="144">
        <v>79449652</v>
      </c>
      <c r="H23" s="49">
        <f t="shared" si="12"/>
        <v>38998</v>
      </c>
      <c r="I23" s="141">
        <f t="shared" si="3"/>
        <v>46547</v>
      </c>
      <c r="J23" s="140">
        <v>7708054</v>
      </c>
      <c r="K23" s="49">
        <f t="shared" si="14"/>
        <v>5178</v>
      </c>
      <c r="L23" s="142">
        <v>7722262</v>
      </c>
      <c r="M23" s="49">
        <f t="shared" si="16"/>
        <v>5282</v>
      </c>
      <c r="N23" s="140">
        <v>4995966</v>
      </c>
      <c r="O23" s="49">
        <f t="shared" si="24"/>
        <v>2124</v>
      </c>
      <c r="P23" s="142">
        <v>2818927</v>
      </c>
      <c r="Q23" s="49">
        <f t="shared" si="19"/>
        <v>8668</v>
      </c>
      <c r="R23" s="140">
        <v>16903776</v>
      </c>
      <c r="S23" s="49">
        <f t="shared" si="21"/>
        <v>7861</v>
      </c>
      <c r="T23" s="140">
        <v>0</v>
      </c>
      <c r="U23" s="143"/>
      <c r="V23" s="140">
        <v>4488966</v>
      </c>
      <c r="W23" s="49">
        <f t="shared" si="23"/>
        <v>8782</v>
      </c>
      <c r="X23" s="28">
        <f t="shared" si="4"/>
        <v>37895</v>
      </c>
      <c r="Y23" s="35">
        <f t="shared" si="5"/>
        <v>8652</v>
      </c>
      <c r="Z23" s="27">
        <f t="shared" si="6"/>
        <v>5601.8453296000007</v>
      </c>
      <c r="AA23" s="27">
        <f t="shared" si="25"/>
        <v>32454.500998399999</v>
      </c>
    </row>
    <row r="24" spans="1:27" ht="16.5" thickBot="1" x14ac:dyDescent="0.25">
      <c r="A24" s="10">
        <v>44277</v>
      </c>
      <c r="B24" s="49">
        <v>115</v>
      </c>
      <c r="C24" s="49">
        <v>18049</v>
      </c>
      <c r="D24" s="49">
        <f t="shared" si="8"/>
        <v>480</v>
      </c>
      <c r="E24" s="140">
        <v>25363895</v>
      </c>
      <c r="F24" s="49">
        <f t="shared" si="10"/>
        <v>10062</v>
      </c>
      <c r="G24" s="144">
        <v>79501077</v>
      </c>
      <c r="H24" s="49">
        <f t="shared" si="12"/>
        <v>51425</v>
      </c>
      <c r="I24" s="141">
        <f t="shared" si="3"/>
        <v>61487</v>
      </c>
      <c r="J24" s="140">
        <v>7714669</v>
      </c>
      <c r="K24" s="49">
        <f t="shared" si="14"/>
        <v>6615</v>
      </c>
      <c r="L24" s="142">
        <v>7728606</v>
      </c>
      <c r="M24" s="49">
        <f t="shared" si="16"/>
        <v>6344</v>
      </c>
      <c r="N24" s="140">
        <v>4997742</v>
      </c>
      <c r="O24" s="49">
        <f t="shared" si="24"/>
        <v>3552</v>
      </c>
      <c r="P24" s="142">
        <v>2829925</v>
      </c>
      <c r="Q24" s="49">
        <f t="shared" si="19"/>
        <v>10998</v>
      </c>
      <c r="R24" s="140">
        <v>16913518</v>
      </c>
      <c r="S24" s="49">
        <f t="shared" si="21"/>
        <v>9742</v>
      </c>
      <c r="T24" s="140">
        <v>0</v>
      </c>
      <c r="U24" s="143"/>
      <c r="V24" s="140">
        <v>4500060</v>
      </c>
      <c r="W24" s="49">
        <f t="shared" si="23"/>
        <v>11094</v>
      </c>
      <c r="X24" s="28">
        <f t="shared" si="4"/>
        <v>48345</v>
      </c>
      <c r="Y24" s="35">
        <f t="shared" si="5"/>
        <v>13142</v>
      </c>
      <c r="Z24" s="27">
        <f t="shared" si="6"/>
        <v>7163.5883071999997</v>
      </c>
      <c r="AA24" s="27">
        <f t="shared" si="25"/>
        <v>38844.4491136</v>
      </c>
    </row>
    <row r="25" spans="1:27" ht="16.5" thickBot="1" x14ac:dyDescent="0.25">
      <c r="A25" s="10">
        <v>44278</v>
      </c>
      <c r="B25" s="49">
        <v>111</v>
      </c>
      <c r="C25" s="49">
        <v>18051</v>
      </c>
      <c r="D25" s="49">
        <f t="shared" si="8"/>
        <v>320</v>
      </c>
      <c r="E25" s="140">
        <v>25373723</v>
      </c>
      <c r="F25" s="49">
        <f t="shared" si="10"/>
        <v>9828</v>
      </c>
      <c r="G25" s="144">
        <v>79547535</v>
      </c>
      <c r="H25" s="49">
        <f t="shared" si="12"/>
        <v>46458</v>
      </c>
      <c r="I25" s="141">
        <f t="shared" si="3"/>
        <v>56286</v>
      </c>
      <c r="J25" s="140">
        <v>7720724</v>
      </c>
      <c r="K25" s="49">
        <f t="shared" si="14"/>
        <v>6055</v>
      </c>
      <c r="L25" s="142">
        <v>7737785</v>
      </c>
      <c r="M25" s="49">
        <f t="shared" si="16"/>
        <v>9179</v>
      </c>
      <c r="N25" s="140">
        <v>4999488</v>
      </c>
      <c r="O25" s="49">
        <f t="shared" si="24"/>
        <v>3492</v>
      </c>
      <c r="P25" s="142">
        <v>2840621</v>
      </c>
      <c r="Q25" s="49">
        <f t="shared" si="19"/>
        <v>10696</v>
      </c>
      <c r="R25" s="140">
        <v>16922637</v>
      </c>
      <c r="S25" s="49">
        <f t="shared" si="21"/>
        <v>9119</v>
      </c>
      <c r="T25" s="140">
        <v>0</v>
      </c>
      <c r="U25" s="143"/>
      <c r="V25" s="140">
        <v>4509945</v>
      </c>
      <c r="W25" s="49">
        <f t="shared" si="23"/>
        <v>9885</v>
      </c>
      <c r="X25" s="28">
        <f t="shared" si="4"/>
        <v>48426</v>
      </c>
      <c r="Y25" s="35">
        <f t="shared" si="5"/>
        <v>7860</v>
      </c>
      <c r="Z25" s="27">
        <f t="shared" si="6"/>
        <v>6666.5280448000003</v>
      </c>
      <c r="AA25" s="27">
        <f t="shared" si="25"/>
        <v>25413.903320000001</v>
      </c>
    </row>
    <row r="26" spans="1:27" ht="16.5" thickBot="1" x14ac:dyDescent="0.25">
      <c r="A26" s="10">
        <v>44279</v>
      </c>
      <c r="B26" s="49">
        <v>89</v>
      </c>
      <c r="C26" s="49">
        <v>18053</v>
      </c>
      <c r="D26" s="49">
        <f t="shared" si="8"/>
        <v>320</v>
      </c>
      <c r="E26" s="140">
        <v>25382080</v>
      </c>
      <c r="F26" s="49">
        <f t="shared" si="10"/>
        <v>8357</v>
      </c>
      <c r="G26" s="144">
        <v>79584313</v>
      </c>
      <c r="H26" s="49">
        <f t="shared" si="12"/>
        <v>36778</v>
      </c>
      <c r="I26" s="141">
        <f t="shared" si="3"/>
        <v>45135</v>
      </c>
      <c r="J26" s="140">
        <v>7725355</v>
      </c>
      <c r="K26" s="49">
        <f t="shared" si="14"/>
        <v>4631</v>
      </c>
      <c r="L26" s="142">
        <v>7739822</v>
      </c>
      <c r="M26" s="49">
        <f t="shared" si="16"/>
        <v>2037</v>
      </c>
      <c r="N26" s="140">
        <v>5001079</v>
      </c>
      <c r="O26" s="49">
        <f t="shared" si="24"/>
        <v>3182</v>
      </c>
      <c r="P26" s="142">
        <v>2847818</v>
      </c>
      <c r="Q26" s="49">
        <f t="shared" si="19"/>
        <v>7197</v>
      </c>
      <c r="R26" s="140">
        <v>16930243</v>
      </c>
      <c r="S26" s="49">
        <f t="shared" si="21"/>
        <v>7606</v>
      </c>
      <c r="T26" s="140">
        <v>0</v>
      </c>
      <c r="U26" s="143"/>
      <c r="V26" s="140">
        <v>4518293</v>
      </c>
      <c r="W26" s="49">
        <f t="shared" si="23"/>
        <v>8348</v>
      </c>
      <c r="X26" s="28">
        <f t="shared" si="4"/>
        <v>33001</v>
      </c>
      <c r="Y26" s="35">
        <f t="shared" si="5"/>
        <v>12134</v>
      </c>
      <c r="Z26" s="27">
        <f t="shared" si="6"/>
        <v>5374.8253728</v>
      </c>
      <c r="AA26" s="27">
        <f t="shared" si="25"/>
        <v>24806.787054400003</v>
      </c>
    </row>
    <row r="27" spans="1:27" ht="16.5" thickBot="1" x14ac:dyDescent="0.25">
      <c r="A27" s="10">
        <v>44280</v>
      </c>
      <c r="B27" s="49">
        <v>87</v>
      </c>
      <c r="C27" s="49">
        <v>18056</v>
      </c>
      <c r="D27" s="49">
        <f t="shared" si="8"/>
        <v>480</v>
      </c>
      <c r="E27" s="140">
        <v>25392935</v>
      </c>
      <c r="F27" s="49">
        <f t="shared" si="10"/>
        <v>10855</v>
      </c>
      <c r="G27" s="144">
        <v>79631594</v>
      </c>
      <c r="H27" s="49">
        <f t="shared" si="12"/>
        <v>47281</v>
      </c>
      <c r="I27" s="141">
        <f t="shared" si="3"/>
        <v>58136</v>
      </c>
      <c r="J27" s="140">
        <v>7730705</v>
      </c>
      <c r="K27" s="49">
        <f t="shared" si="14"/>
        <v>5350</v>
      </c>
      <c r="L27" s="142">
        <v>7747061</v>
      </c>
      <c r="M27" s="49">
        <f t="shared" si="16"/>
        <v>7239</v>
      </c>
      <c r="N27" s="140">
        <v>5002800</v>
      </c>
      <c r="O27" s="49">
        <f t="shared" si="24"/>
        <v>3442</v>
      </c>
      <c r="P27" s="142">
        <v>2856970</v>
      </c>
      <c r="Q27" s="49">
        <f t="shared" si="19"/>
        <v>9152</v>
      </c>
      <c r="R27" s="140">
        <v>16940274</v>
      </c>
      <c r="S27" s="49">
        <f t="shared" si="21"/>
        <v>10031</v>
      </c>
      <c r="T27" s="140">
        <v>0</v>
      </c>
      <c r="U27" s="143"/>
      <c r="V27" s="140">
        <v>4529242</v>
      </c>
      <c r="W27" s="49">
        <f t="shared" si="23"/>
        <v>10949</v>
      </c>
      <c r="X27" s="28">
        <f t="shared" si="4"/>
        <v>46163</v>
      </c>
      <c r="Y27" s="35">
        <f t="shared" si="5"/>
        <v>11973</v>
      </c>
      <c r="Z27" s="27">
        <f t="shared" si="6"/>
        <v>6915.3730879999994</v>
      </c>
      <c r="AA27" s="27">
        <f t="shared" si="25"/>
        <v>26120.314812800003</v>
      </c>
    </row>
    <row r="28" spans="1:27" ht="16.5" thickBot="1" x14ac:dyDescent="0.25">
      <c r="A28" s="10">
        <v>44281</v>
      </c>
      <c r="B28" s="49">
        <v>90</v>
      </c>
      <c r="C28" s="49">
        <v>18059</v>
      </c>
      <c r="D28" s="49">
        <f t="shared" si="8"/>
        <v>480</v>
      </c>
      <c r="E28" s="140">
        <v>25400009</v>
      </c>
      <c r="F28" s="49">
        <f t="shared" si="10"/>
        <v>7074</v>
      </c>
      <c r="G28" s="144">
        <v>79668441</v>
      </c>
      <c r="H28" s="49">
        <f t="shared" si="12"/>
        <v>36847</v>
      </c>
      <c r="I28" s="141">
        <f t="shared" si="3"/>
        <v>43921</v>
      </c>
      <c r="J28" s="140">
        <v>7734421</v>
      </c>
      <c r="K28" s="49">
        <f t="shared" si="14"/>
        <v>3716</v>
      </c>
      <c r="L28" s="142">
        <v>7751836</v>
      </c>
      <c r="M28" s="49">
        <f t="shared" si="16"/>
        <v>4775</v>
      </c>
      <c r="N28" s="140">
        <v>5003868</v>
      </c>
      <c r="O28" s="49">
        <f t="shared" si="24"/>
        <v>2136</v>
      </c>
      <c r="P28" s="142">
        <v>2863784</v>
      </c>
      <c r="Q28" s="49">
        <f t="shared" si="19"/>
        <v>6814</v>
      </c>
      <c r="R28" s="140">
        <v>16948367</v>
      </c>
      <c r="S28" s="49">
        <f t="shared" si="21"/>
        <v>8093</v>
      </c>
      <c r="T28" s="140">
        <v>0</v>
      </c>
      <c r="U28" s="143"/>
      <c r="V28" s="140">
        <v>4537968</v>
      </c>
      <c r="W28" s="49">
        <f t="shared" si="23"/>
        <v>8726</v>
      </c>
      <c r="X28" s="28">
        <f t="shared" si="4"/>
        <v>34260</v>
      </c>
      <c r="Y28" s="35">
        <f t="shared" si="5"/>
        <v>9661</v>
      </c>
      <c r="Z28" s="27">
        <f t="shared" si="6"/>
        <v>5377.9005488000003</v>
      </c>
      <c r="AA28" s="27">
        <f t="shared" si="25"/>
        <v>24334.6270544</v>
      </c>
    </row>
    <row r="29" spans="1:27" ht="16.5" thickBot="1" x14ac:dyDescent="0.25">
      <c r="A29" s="10">
        <v>44282</v>
      </c>
      <c r="B29" s="49">
        <v>91</v>
      </c>
      <c r="C29" s="49">
        <v>18061</v>
      </c>
      <c r="D29" s="49">
        <f t="shared" si="8"/>
        <v>320</v>
      </c>
      <c r="E29" s="140">
        <v>25408487</v>
      </c>
      <c r="F29" s="49">
        <f t="shared" si="10"/>
        <v>8478</v>
      </c>
      <c r="G29" s="144">
        <v>79713898</v>
      </c>
      <c r="H29" s="49">
        <f t="shared" si="12"/>
        <v>45457</v>
      </c>
      <c r="I29" s="141">
        <f t="shared" si="3"/>
        <v>53935</v>
      </c>
      <c r="J29" s="140">
        <v>7739047</v>
      </c>
      <c r="K29" s="49">
        <f t="shared" si="14"/>
        <v>4626</v>
      </c>
      <c r="L29" s="142">
        <v>7757213</v>
      </c>
      <c r="M29" s="49">
        <f t="shared" si="16"/>
        <v>5377</v>
      </c>
      <c r="N29" s="140">
        <v>5005342</v>
      </c>
      <c r="O29" s="49">
        <f t="shared" si="24"/>
        <v>2948</v>
      </c>
      <c r="P29" s="142">
        <v>2871843</v>
      </c>
      <c r="Q29" s="49">
        <f t="shared" si="19"/>
        <v>8059</v>
      </c>
      <c r="R29" s="140">
        <v>16958575</v>
      </c>
      <c r="S29" s="49">
        <f t="shared" si="21"/>
        <v>10208</v>
      </c>
      <c r="T29" s="140">
        <v>0</v>
      </c>
      <c r="U29" s="143"/>
      <c r="V29" s="140">
        <v>4548995</v>
      </c>
      <c r="W29" s="49">
        <f t="shared" si="23"/>
        <v>11027</v>
      </c>
      <c r="X29" s="28">
        <f t="shared" si="4"/>
        <v>42245</v>
      </c>
      <c r="Y29" s="35">
        <f t="shared" si="5"/>
        <v>11690</v>
      </c>
      <c r="Z29" s="27">
        <f t="shared" si="6"/>
        <v>6747.5186480000002</v>
      </c>
      <c r="AA29" s="27">
        <f t="shared" si="25"/>
        <v>24415.6176576</v>
      </c>
    </row>
    <row r="30" spans="1:27" ht="16.5" thickBot="1" x14ac:dyDescent="0.25">
      <c r="A30" s="10">
        <v>44283</v>
      </c>
      <c r="B30" s="49">
        <v>92</v>
      </c>
      <c r="C30" s="49">
        <v>18063</v>
      </c>
      <c r="D30" s="49">
        <f t="shared" si="8"/>
        <v>320</v>
      </c>
      <c r="E30" s="140">
        <v>25416372</v>
      </c>
      <c r="F30" s="49">
        <f t="shared" si="10"/>
        <v>7885</v>
      </c>
      <c r="G30" s="144">
        <v>79750805</v>
      </c>
      <c r="H30" s="49">
        <f t="shared" si="12"/>
        <v>36907</v>
      </c>
      <c r="I30" s="141">
        <f t="shared" si="3"/>
        <v>44792</v>
      </c>
      <c r="J30" s="140">
        <v>7742954</v>
      </c>
      <c r="K30" s="49">
        <f t="shared" si="14"/>
        <v>3907</v>
      </c>
      <c r="L30" s="142">
        <v>7762677</v>
      </c>
      <c r="M30" s="49">
        <f t="shared" si="16"/>
        <v>5464</v>
      </c>
      <c r="N30" s="140">
        <v>5006485</v>
      </c>
      <c r="O30" s="49">
        <f t="shared" si="24"/>
        <v>2286</v>
      </c>
      <c r="P30" s="142">
        <v>2876463</v>
      </c>
      <c r="Q30" s="49">
        <f t="shared" si="19"/>
        <v>4620</v>
      </c>
      <c r="R30" s="140">
        <v>16966319</v>
      </c>
      <c r="S30" s="49">
        <f t="shared" si="21"/>
        <v>7744</v>
      </c>
      <c r="T30" s="140">
        <v>0</v>
      </c>
      <c r="U30" s="143"/>
      <c r="V30" s="140">
        <v>4557861</v>
      </c>
      <c r="W30" s="49">
        <f t="shared" si="23"/>
        <v>8866</v>
      </c>
      <c r="X30" s="28">
        <f t="shared" si="4"/>
        <v>32887</v>
      </c>
      <c r="Y30" s="35">
        <f t="shared" si="5"/>
        <v>11905</v>
      </c>
      <c r="Z30" s="27">
        <f t="shared" si="6"/>
        <v>5031.26728</v>
      </c>
      <c r="AA30" s="27">
        <f t="shared" si="25"/>
        <v>24072.059564800002</v>
      </c>
    </row>
    <row r="31" spans="1:27" ht="16.5" thickBot="1" x14ac:dyDescent="0.25">
      <c r="A31" s="10">
        <v>44284</v>
      </c>
      <c r="B31" s="49">
        <v>90</v>
      </c>
      <c r="C31" s="49">
        <v>18065</v>
      </c>
      <c r="D31" s="49">
        <f t="shared" si="8"/>
        <v>320</v>
      </c>
      <c r="E31" s="140">
        <v>25423936</v>
      </c>
      <c r="F31" s="49">
        <f t="shared" si="10"/>
        <v>7564</v>
      </c>
      <c r="G31" s="144">
        <v>79787625</v>
      </c>
      <c r="H31" s="49">
        <f t="shared" si="12"/>
        <v>36820</v>
      </c>
      <c r="I31" s="28">
        <f>F31+H31</f>
        <v>44384</v>
      </c>
      <c r="J31" s="140">
        <v>7746870</v>
      </c>
      <c r="K31" s="49">
        <f t="shared" si="14"/>
        <v>3916</v>
      </c>
      <c r="L31" s="142">
        <v>7767837</v>
      </c>
      <c r="M31" s="49">
        <f t="shared" si="16"/>
        <v>5160</v>
      </c>
      <c r="N31" s="140">
        <v>5007617</v>
      </c>
      <c r="O31" s="49">
        <f t="shared" si="24"/>
        <v>2264</v>
      </c>
      <c r="P31" s="142">
        <v>2885194</v>
      </c>
      <c r="Q31" s="49">
        <f t="shared" si="19"/>
        <v>8731</v>
      </c>
      <c r="R31" s="140">
        <v>16974389</v>
      </c>
      <c r="S31" s="49">
        <f t="shared" si="21"/>
        <v>8070</v>
      </c>
      <c r="T31" s="140">
        <v>0</v>
      </c>
      <c r="U31" s="29"/>
      <c r="V31" s="140">
        <v>4566636</v>
      </c>
      <c r="W31" s="49">
        <f t="shared" si="23"/>
        <v>8775</v>
      </c>
      <c r="X31" s="28">
        <f t="shared" si="4"/>
        <v>36916</v>
      </c>
      <c r="Y31" s="35">
        <f t="shared" si="5"/>
        <v>7468</v>
      </c>
      <c r="Z31" s="27">
        <f t="shared" si="6"/>
        <v>5680.2617040000005</v>
      </c>
      <c r="AA31" s="27">
        <f t="shared" si="25"/>
        <v>22836.948180800002</v>
      </c>
    </row>
    <row r="32" spans="1:27" ht="16.5" thickBot="1" x14ac:dyDescent="0.25">
      <c r="A32" s="10">
        <v>44285</v>
      </c>
      <c r="B32" s="49">
        <v>112</v>
      </c>
      <c r="C32" s="49">
        <v>18067</v>
      </c>
      <c r="D32" s="49">
        <f t="shared" si="8"/>
        <v>320</v>
      </c>
      <c r="E32" s="140">
        <v>25433539</v>
      </c>
      <c r="F32" s="49">
        <f t="shared" si="10"/>
        <v>9603</v>
      </c>
      <c r="G32" s="144">
        <v>79837635</v>
      </c>
      <c r="H32" s="49">
        <f t="shared" si="12"/>
        <v>50010</v>
      </c>
      <c r="I32" s="28">
        <f t="shared" ref="I32" si="26">F32+H32</f>
        <v>59613</v>
      </c>
      <c r="J32" s="140">
        <v>7752235</v>
      </c>
      <c r="K32" s="49">
        <f t="shared" si="14"/>
        <v>5365</v>
      </c>
      <c r="L32" s="142">
        <v>7774835</v>
      </c>
      <c r="M32" s="49">
        <f t="shared" si="16"/>
        <v>6998</v>
      </c>
      <c r="N32" s="140">
        <v>5008835</v>
      </c>
      <c r="O32" s="49">
        <f t="shared" si="24"/>
        <v>2436</v>
      </c>
      <c r="P32" s="142">
        <v>2893394</v>
      </c>
      <c r="Q32" s="49">
        <f t="shared" si="19"/>
        <v>8200</v>
      </c>
      <c r="R32" s="140">
        <v>16985908</v>
      </c>
      <c r="S32" s="49">
        <f t="shared" si="21"/>
        <v>11519</v>
      </c>
      <c r="T32" s="140">
        <v>0</v>
      </c>
      <c r="U32" s="29"/>
      <c r="V32" s="140">
        <v>4578564</v>
      </c>
      <c r="W32" s="49">
        <f t="shared" si="23"/>
        <v>11928</v>
      </c>
      <c r="X32" s="28">
        <f t="shared" si="4"/>
        <v>46446</v>
      </c>
      <c r="Y32" s="35">
        <f t="shared" si="5"/>
        <v>13167</v>
      </c>
      <c r="Z32" s="27">
        <f t="shared" si="6"/>
        <v>7230.6957424000011</v>
      </c>
      <c r="AA32" s="27">
        <f t="shared" si="25"/>
        <v>24689.743374400001</v>
      </c>
    </row>
    <row r="33" spans="1:28" ht="16.5" thickBot="1" x14ac:dyDescent="0.25">
      <c r="A33" s="10">
        <v>44286</v>
      </c>
      <c r="B33" s="49">
        <v>160</v>
      </c>
      <c r="C33" s="49">
        <v>18069</v>
      </c>
      <c r="D33" s="49">
        <v>320</v>
      </c>
      <c r="E33" s="140">
        <v>25442432</v>
      </c>
      <c r="F33" s="49">
        <v>8893</v>
      </c>
      <c r="G33" s="144">
        <v>79883133</v>
      </c>
      <c r="H33" s="49">
        <v>45508</v>
      </c>
      <c r="I33" s="28">
        <v>54401</v>
      </c>
      <c r="J33" s="140">
        <v>7757089</v>
      </c>
      <c r="K33" s="49">
        <v>4854</v>
      </c>
      <c r="L33" s="142">
        <v>7781096</v>
      </c>
      <c r="M33" s="49">
        <v>6261</v>
      </c>
      <c r="N33" s="140">
        <v>5010068</v>
      </c>
      <c r="O33" s="49">
        <v>2466</v>
      </c>
      <c r="P33" s="142">
        <v>2901868</v>
      </c>
      <c r="Q33" s="49">
        <v>8474</v>
      </c>
      <c r="R33" s="140">
        <v>16995683</v>
      </c>
      <c r="S33" s="49">
        <v>9775</v>
      </c>
      <c r="T33" s="140">
        <v>0</v>
      </c>
      <c r="U33" s="29"/>
      <c r="V33" s="140">
        <v>4589219</v>
      </c>
      <c r="W33" s="49">
        <v>10650</v>
      </c>
      <c r="X33" s="28">
        <v>42480</v>
      </c>
      <c r="Y33" s="35">
        <v>11921</v>
      </c>
      <c r="Z33" s="27">
        <v>6541.2198800000006</v>
      </c>
      <c r="AA33" s="27">
        <v>24533.201222400003</v>
      </c>
    </row>
    <row r="34" spans="1:28" ht="16.5" thickBot="1" x14ac:dyDescent="0.25">
      <c r="A34" s="6" t="s">
        <v>24</v>
      </c>
      <c r="B34" s="162">
        <f>SUM(B3:B33)</f>
        <v>3319</v>
      </c>
      <c r="C34" s="162">
        <f>SUM(C2:C33)</f>
        <v>577077</v>
      </c>
      <c r="D34" s="162">
        <f>SUM(D3:D33)</f>
        <v>11520</v>
      </c>
      <c r="E34" s="162">
        <v>0</v>
      </c>
      <c r="F34" s="162">
        <f>SUM(F3:F33)</f>
        <v>260940</v>
      </c>
      <c r="G34" s="162">
        <v>0</v>
      </c>
      <c r="H34" s="162">
        <f>SUM(H3:H33)</f>
        <v>1382307</v>
      </c>
      <c r="I34" s="162">
        <f t="shared" ref="I34:AA34" si="27">SUM(I5:I33)</f>
        <v>1569306</v>
      </c>
      <c r="J34" s="162">
        <v>0</v>
      </c>
      <c r="K34" s="162">
        <f>SUM(K3:K33)</f>
        <v>161340</v>
      </c>
      <c r="L34" s="162">
        <v>0</v>
      </c>
      <c r="M34" s="162">
        <f>SUM(M3:M33)</f>
        <v>180781</v>
      </c>
      <c r="N34" s="162">
        <v>0</v>
      </c>
      <c r="O34" s="162">
        <f>SUM(O3:O33)</f>
        <v>75306</v>
      </c>
      <c r="P34" s="162">
        <v>0</v>
      </c>
      <c r="Q34" s="162">
        <f>SUM(Q3:Q33)</f>
        <v>257142</v>
      </c>
      <c r="R34" s="162">
        <v>0</v>
      </c>
      <c r="S34" s="162">
        <f>SUM(S3:S33)</f>
        <v>277153</v>
      </c>
      <c r="T34" s="162">
        <f t="shared" si="27"/>
        <v>0</v>
      </c>
      <c r="U34" s="162">
        <f t="shared" si="27"/>
        <v>0</v>
      </c>
      <c r="V34" s="162">
        <v>0</v>
      </c>
      <c r="W34" s="162">
        <f>SUM(W3:W33)</f>
        <v>320804</v>
      </c>
      <c r="X34" s="162">
        <f>SUM(X3:X33)</f>
        <v>1272526</v>
      </c>
      <c r="Y34" s="162">
        <f>SUM(Y3:Y33)</f>
        <v>370721</v>
      </c>
      <c r="Z34" s="162">
        <f>SUM(Z3:Z33)</f>
        <v>193261.08491040004</v>
      </c>
      <c r="AA34" s="162">
        <f t="shared" si="27"/>
        <v>714536.64821759996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4" zoomScale="80" zoomScaleNormal="55" zoomScaleSheetLayoutView="80" workbookViewId="0">
      <selection activeCell="B33" sqref="B3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17175001</v>
      </c>
      <c r="C2" s="55"/>
    </row>
    <row r="3" spans="1:9" ht="24" thickBot="1" x14ac:dyDescent="0.4">
      <c r="A3" s="10">
        <v>44256</v>
      </c>
      <c r="B3" s="157">
        <v>17177470</v>
      </c>
      <c r="C3" s="55">
        <f>IF((B3-B2)&lt;0,"0",(B3-B2))</f>
        <v>2469</v>
      </c>
    </row>
    <row r="4" spans="1:9" ht="24" thickBot="1" x14ac:dyDescent="0.4">
      <c r="A4" s="10">
        <v>44257</v>
      </c>
      <c r="B4" s="157">
        <f t="shared" ref="B4:B20" si="0">B3</f>
        <v>17177470</v>
      </c>
      <c r="C4" s="55">
        <f t="shared" ref="C4:C30" si="1">IF((B4-B3)&lt;0,"0",(B4-B3))</f>
        <v>0</v>
      </c>
    </row>
    <row r="5" spans="1:9" ht="24" thickBot="1" x14ac:dyDescent="0.4">
      <c r="A5" s="10">
        <v>44258</v>
      </c>
      <c r="B5" s="157">
        <f t="shared" si="0"/>
        <v>17177470</v>
      </c>
      <c r="C5" s="55">
        <f t="shared" si="1"/>
        <v>0</v>
      </c>
    </row>
    <row r="6" spans="1:9" ht="24" thickBot="1" x14ac:dyDescent="0.4">
      <c r="A6" s="10">
        <v>44259</v>
      </c>
      <c r="B6" s="157">
        <v>17185501</v>
      </c>
      <c r="C6" s="55">
        <f t="shared" si="1"/>
        <v>8031</v>
      </c>
    </row>
    <row r="7" spans="1:9" ht="24" thickBot="1" x14ac:dyDescent="0.4">
      <c r="A7" s="10">
        <v>44260</v>
      </c>
      <c r="B7" s="157">
        <v>17188423</v>
      </c>
      <c r="C7" s="55">
        <f t="shared" si="1"/>
        <v>2922</v>
      </c>
    </row>
    <row r="8" spans="1:9" ht="24" thickBot="1" x14ac:dyDescent="0.4">
      <c r="A8" s="10">
        <v>44261</v>
      </c>
      <c r="B8" s="157">
        <v>17191222</v>
      </c>
      <c r="C8" s="55">
        <f t="shared" si="1"/>
        <v>2799</v>
      </c>
    </row>
    <row r="9" spans="1:9" ht="24" thickBot="1" x14ac:dyDescent="0.4">
      <c r="A9" s="10">
        <v>44262</v>
      </c>
      <c r="B9" s="157">
        <v>17194549</v>
      </c>
      <c r="C9" s="55">
        <f t="shared" si="1"/>
        <v>3327</v>
      </c>
    </row>
    <row r="10" spans="1:9" ht="24" thickBot="1" x14ac:dyDescent="0.4">
      <c r="A10" s="10">
        <v>44263</v>
      </c>
      <c r="B10" s="157">
        <v>17197552</v>
      </c>
      <c r="C10" s="55">
        <f t="shared" si="1"/>
        <v>3003</v>
      </c>
    </row>
    <row r="11" spans="1:9" ht="24" thickBot="1" x14ac:dyDescent="0.4">
      <c r="A11" s="10">
        <v>44264</v>
      </c>
      <c r="B11" s="157">
        <v>17200460</v>
      </c>
      <c r="C11" s="55">
        <f t="shared" si="1"/>
        <v>2908</v>
      </c>
    </row>
    <row r="12" spans="1:9" ht="24" thickBot="1" x14ac:dyDescent="0.4">
      <c r="A12" s="10">
        <v>44265</v>
      </c>
      <c r="B12" s="157">
        <v>17202930</v>
      </c>
      <c r="C12" s="55">
        <f t="shared" si="1"/>
        <v>2470</v>
      </c>
    </row>
    <row r="13" spans="1:9" ht="24" thickBot="1" x14ac:dyDescent="0.4">
      <c r="A13" s="10">
        <v>44266</v>
      </c>
      <c r="B13" s="157">
        <v>17205803</v>
      </c>
      <c r="C13" s="55">
        <f t="shared" si="1"/>
        <v>2873</v>
      </c>
    </row>
    <row r="14" spans="1:9" ht="24" thickBot="1" x14ac:dyDescent="0.4">
      <c r="A14" s="10">
        <v>44267</v>
      </c>
      <c r="B14" s="157">
        <v>17207511</v>
      </c>
      <c r="C14" s="55">
        <f t="shared" si="1"/>
        <v>1708</v>
      </c>
    </row>
    <row r="15" spans="1:9" ht="24" thickBot="1" x14ac:dyDescent="0.4">
      <c r="A15" s="10">
        <v>44268</v>
      </c>
      <c r="B15" s="157">
        <v>17207511</v>
      </c>
      <c r="C15" s="55">
        <f t="shared" si="1"/>
        <v>0</v>
      </c>
      <c r="I15" t="s">
        <v>13</v>
      </c>
    </row>
    <row r="16" spans="1:9" ht="26.25" customHeight="1" thickBot="1" x14ac:dyDescent="0.4">
      <c r="A16" s="10">
        <v>44269</v>
      </c>
      <c r="B16" s="157">
        <v>17207511</v>
      </c>
      <c r="C16" s="55">
        <f t="shared" si="1"/>
        <v>0</v>
      </c>
    </row>
    <row r="17" spans="1:9" ht="25.5" customHeight="1" thickBot="1" x14ac:dyDescent="0.4">
      <c r="A17" s="10">
        <v>44270</v>
      </c>
      <c r="B17" s="157">
        <v>17207511</v>
      </c>
      <c r="C17" s="55">
        <f t="shared" si="1"/>
        <v>0</v>
      </c>
      <c r="F17" s="155"/>
    </row>
    <row r="18" spans="1:9" ht="24" thickBot="1" x14ac:dyDescent="0.4">
      <c r="A18" s="10">
        <v>44271</v>
      </c>
      <c r="B18" s="157">
        <v>17217500</v>
      </c>
      <c r="C18" s="55">
        <f t="shared" si="1"/>
        <v>9989</v>
      </c>
    </row>
    <row r="19" spans="1:9" ht="24" thickBot="1" x14ac:dyDescent="0.4">
      <c r="A19" s="10">
        <v>44272</v>
      </c>
      <c r="B19" s="157">
        <f t="shared" si="0"/>
        <v>17217500</v>
      </c>
      <c r="C19" s="55">
        <f t="shared" si="1"/>
        <v>0</v>
      </c>
    </row>
    <row r="20" spans="1:9" ht="24" thickBot="1" x14ac:dyDescent="0.4">
      <c r="A20" s="10">
        <v>44273</v>
      </c>
      <c r="B20" s="157">
        <f t="shared" si="0"/>
        <v>17217500</v>
      </c>
      <c r="C20" s="55">
        <f t="shared" si="1"/>
        <v>0</v>
      </c>
    </row>
    <row r="21" spans="1:9" ht="24" thickBot="1" x14ac:dyDescent="0.4">
      <c r="A21" s="10">
        <v>44274</v>
      </c>
      <c r="B21" s="157">
        <v>17225119</v>
      </c>
      <c r="C21" s="55">
        <f t="shared" si="1"/>
        <v>7619</v>
      </c>
    </row>
    <row r="22" spans="1:9" ht="24" thickBot="1" x14ac:dyDescent="0.4">
      <c r="A22" s="10">
        <v>44275</v>
      </c>
      <c r="B22" s="157">
        <v>17227825</v>
      </c>
      <c r="C22" s="55">
        <f t="shared" si="1"/>
        <v>2706</v>
      </c>
    </row>
    <row r="23" spans="1:9" ht="24" thickBot="1" x14ac:dyDescent="0.4">
      <c r="A23" s="10">
        <v>44276</v>
      </c>
      <c r="B23" s="157">
        <v>17230552</v>
      </c>
      <c r="C23" s="55">
        <f t="shared" si="1"/>
        <v>2727</v>
      </c>
      <c r="F23" t="s">
        <v>13</v>
      </c>
    </row>
    <row r="24" spans="1:9" ht="24" thickBot="1" x14ac:dyDescent="0.4">
      <c r="A24" s="10">
        <v>44277</v>
      </c>
      <c r="B24" s="157">
        <v>17233421</v>
      </c>
      <c r="C24" s="55">
        <f t="shared" si="1"/>
        <v>2869</v>
      </c>
      <c r="E24" t="s">
        <v>13</v>
      </c>
    </row>
    <row r="25" spans="1:9" ht="24" thickBot="1" x14ac:dyDescent="0.4">
      <c r="A25" s="10">
        <v>44278</v>
      </c>
      <c r="B25" s="157">
        <v>17236398</v>
      </c>
      <c r="C25" s="55">
        <f t="shared" si="1"/>
        <v>2977</v>
      </c>
    </row>
    <row r="26" spans="1:9" ht="24" thickBot="1" x14ac:dyDescent="0.4">
      <c r="A26" s="10">
        <v>44279</v>
      </c>
      <c r="B26" s="157">
        <v>17238300</v>
      </c>
      <c r="C26" s="55">
        <f t="shared" si="1"/>
        <v>1902</v>
      </c>
    </row>
    <row r="27" spans="1:9" ht="24" thickBot="1" x14ac:dyDescent="0.4">
      <c r="A27" s="10">
        <v>44280</v>
      </c>
      <c r="B27" s="157">
        <v>17239852</v>
      </c>
      <c r="C27" s="55">
        <f t="shared" si="1"/>
        <v>1552</v>
      </c>
    </row>
    <row r="28" spans="1:9" ht="24" thickBot="1" x14ac:dyDescent="0.4">
      <c r="A28" s="10">
        <v>44281</v>
      </c>
      <c r="B28" s="157">
        <v>17241600</v>
      </c>
      <c r="C28" s="55">
        <f t="shared" si="1"/>
        <v>1748</v>
      </c>
      <c r="I28" t="s">
        <v>13</v>
      </c>
    </row>
    <row r="29" spans="1:9" ht="24" thickBot="1" x14ac:dyDescent="0.4">
      <c r="A29" s="10">
        <v>44282</v>
      </c>
      <c r="B29" s="157">
        <v>17243611</v>
      </c>
      <c r="C29" s="55">
        <f t="shared" si="1"/>
        <v>2011</v>
      </c>
    </row>
    <row r="30" spans="1:9" ht="24" thickBot="1" x14ac:dyDescent="0.4">
      <c r="A30" s="10">
        <v>44283</v>
      </c>
      <c r="B30" s="157">
        <v>17245600</v>
      </c>
      <c r="C30" s="55">
        <f t="shared" si="1"/>
        <v>1989</v>
      </c>
    </row>
    <row r="31" spans="1:9" ht="24" thickBot="1" x14ac:dyDescent="0.4">
      <c r="A31" s="10">
        <v>44284</v>
      </c>
      <c r="B31" s="157">
        <v>17247499</v>
      </c>
      <c r="C31" s="55">
        <f>IF((B31-B30)&lt;0,"0",(B31-B30))</f>
        <v>1899</v>
      </c>
    </row>
    <row r="32" spans="1:9" ht="24" thickBot="1" x14ac:dyDescent="0.4">
      <c r="A32" s="10">
        <v>44285</v>
      </c>
      <c r="B32" s="157">
        <v>17250461</v>
      </c>
      <c r="C32" s="55">
        <f t="shared" ref="C32:C33" si="2">IF((B32-B31)&lt;0,"0",(B32-B31))</f>
        <v>2962</v>
      </c>
    </row>
    <row r="33" spans="1:3" ht="24" thickBot="1" x14ac:dyDescent="0.4">
      <c r="A33" s="10">
        <v>44286</v>
      </c>
      <c r="B33" s="157">
        <v>17252345</v>
      </c>
      <c r="C33" s="55">
        <f t="shared" si="2"/>
        <v>1884</v>
      </c>
    </row>
    <row r="34" spans="1:3" ht="24" thickBot="1" x14ac:dyDescent="0.4">
      <c r="A34" s="164" t="s">
        <v>141</v>
      </c>
      <c r="B34" s="165"/>
      <c r="C34" s="160">
        <f>SUM(C6:C33)</f>
        <v>74875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zoomScale="98" zoomScaleNormal="98" workbookViewId="0">
      <selection activeCell="B32" sqref="B32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20149.321</v>
      </c>
      <c r="C2" s="54">
        <v>0</v>
      </c>
      <c r="D2" s="38">
        <f t="shared" ref="D2" si="0">C2*1.9*1000</f>
        <v>0</v>
      </c>
      <c r="E2" s="1">
        <v>3475.9929999999999</v>
      </c>
      <c r="F2" s="54">
        <v>0</v>
      </c>
      <c r="G2" s="38">
        <f t="shared" ref="G2" si="1">F2*1.9*1000</f>
        <v>0</v>
      </c>
      <c r="H2" s="1">
        <v>2570</v>
      </c>
      <c r="I2" s="54">
        <v>0</v>
      </c>
      <c r="J2" s="38">
        <f t="shared" ref="J2" si="2">I2*1.9*1000</f>
        <v>0</v>
      </c>
      <c r="K2" s="7">
        <v>13289.24</v>
      </c>
      <c r="L2" s="54">
        <v>0</v>
      </c>
      <c r="M2" s="38">
        <f t="shared" ref="M2" si="3">L2*1.9*1000</f>
        <v>0</v>
      </c>
      <c r="N2" s="7">
        <v>2933.895</v>
      </c>
      <c r="O2" s="54">
        <v>0</v>
      </c>
      <c r="P2" s="38">
        <f t="shared" ref="P2" si="4">O2*1.9*1000</f>
        <v>0</v>
      </c>
      <c r="Q2" s="7">
        <v>4707.5600000000004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44256</v>
      </c>
      <c r="B3" s="1">
        <v>20153.327000000001</v>
      </c>
      <c r="C3" s="54">
        <f>IF((B3-B2)&lt;0,"0",(B3-B2))</f>
        <v>4.0060000000012224</v>
      </c>
      <c r="D3" s="38">
        <f>C3*1.9*1000</f>
        <v>7611.4000000023225</v>
      </c>
      <c r="E3" s="1">
        <v>3476.9929999999999</v>
      </c>
      <c r="F3" s="54">
        <f t="shared" ref="F3:F32" si="7">IF((E3-E2)&lt;0,"0",(E3-E2))</f>
        <v>1</v>
      </c>
      <c r="G3" s="38">
        <f>F3*1.9*1000</f>
        <v>1900</v>
      </c>
      <c r="H3" s="1">
        <v>2574</v>
      </c>
      <c r="I3" s="54">
        <f>IF((H3-H2)&lt;0,"0",(H3-H2))</f>
        <v>4</v>
      </c>
      <c r="J3" s="38">
        <f>I3*1.9*1000</f>
        <v>7600</v>
      </c>
      <c r="K3" s="7">
        <v>13289.99</v>
      </c>
      <c r="L3" s="54">
        <f>IF((K3-K2)&lt;0,"0",(K3-K2))</f>
        <v>0.75</v>
      </c>
      <c r="M3" s="38">
        <f>L3*1.9*1000</f>
        <v>1424.9999999999998</v>
      </c>
      <c r="N3" s="7">
        <v>2934.7959999999998</v>
      </c>
      <c r="O3" s="54">
        <f>IF((N3-N2)&lt;0,"0",(N3-N2))</f>
        <v>0.90099999999983993</v>
      </c>
      <c r="P3" s="38">
        <f>O3*1.9*1000</f>
        <v>1711.8999999996959</v>
      </c>
      <c r="Q3" s="7">
        <v>4708.47</v>
      </c>
      <c r="R3" s="54">
        <f t="shared" ref="R3:R32" si="8">IF((Q3-Q2)&lt;0,"0",(Q3-Q2))</f>
        <v>0.90999999999985448</v>
      </c>
      <c r="S3" s="38">
        <f>R3*1.9*1000</f>
        <v>1728.9999999997235</v>
      </c>
      <c r="T3" s="8">
        <f>C3+F3+I3+L3+O3+R3</f>
        <v>11.567000000000917</v>
      </c>
      <c r="U3" s="40">
        <f>T3*1.9*1000</f>
        <v>21977.300000001742</v>
      </c>
    </row>
    <row r="4" spans="1:25" ht="16.5" thickBot="1" x14ac:dyDescent="0.25">
      <c r="A4" s="10">
        <v>44257</v>
      </c>
      <c r="B4" s="1">
        <f t="shared" ref="B4:B20" si="9">B3</f>
        <v>20153.327000000001</v>
      </c>
      <c r="C4" s="54">
        <f t="shared" ref="C4:C32" si="10">IF((B4-B3)&lt;0,"0",(B4-B3))</f>
        <v>0</v>
      </c>
      <c r="D4" s="38">
        <f t="shared" ref="D4:D32" si="11">C4*1.9*1000</f>
        <v>0</v>
      </c>
      <c r="E4" s="1">
        <f t="shared" ref="E4:E20" si="12">E3</f>
        <v>3476.9929999999999</v>
      </c>
      <c r="F4" s="54">
        <f t="shared" si="7"/>
        <v>0</v>
      </c>
      <c r="G4" s="38">
        <f t="shared" ref="G4:G32" si="13">F4*1.9*1000</f>
        <v>0</v>
      </c>
      <c r="H4" s="1">
        <f t="shared" ref="H4:H20" si="14">H3</f>
        <v>2574</v>
      </c>
      <c r="I4" s="54">
        <f t="shared" ref="I4:I32" si="15">IF((H4-H3)&lt;0,"0",(H4-H3))</f>
        <v>0</v>
      </c>
      <c r="J4" s="38">
        <f t="shared" ref="J4:J32" si="16">I4*1.9*1000</f>
        <v>0</v>
      </c>
      <c r="K4" s="7">
        <f t="shared" ref="K4:K20" si="17">K3</f>
        <v>13289.99</v>
      </c>
      <c r="L4" s="54">
        <f t="shared" ref="L4:L32" si="18">IF((K4-K3)&lt;0,"0",(K4-K3))</f>
        <v>0</v>
      </c>
      <c r="M4" s="38">
        <f t="shared" ref="M4:M32" si="19">L4*1.9*1000</f>
        <v>0</v>
      </c>
      <c r="N4" s="7">
        <v>2909.2</v>
      </c>
      <c r="O4" s="54" t="str">
        <f t="shared" ref="O4:O32" si="20">IF((N4-N3)&lt;0,"0",(N4-N3))</f>
        <v>0</v>
      </c>
      <c r="P4" s="38">
        <v>0</v>
      </c>
      <c r="Q4" s="7">
        <f t="shared" ref="Q4:Q20" si="21">Q3</f>
        <v>4708.47</v>
      </c>
      <c r="R4" s="54">
        <f t="shared" si="8"/>
        <v>0</v>
      </c>
      <c r="S4" s="38">
        <f t="shared" ref="S4:S32" si="22">R4*1.9*1000</f>
        <v>0</v>
      </c>
      <c r="T4" s="8">
        <v>0</v>
      </c>
      <c r="U4" s="40">
        <f t="shared" ref="U4:U32" si="23">T4*1.9*1000</f>
        <v>0</v>
      </c>
    </row>
    <row r="5" spans="1:25" ht="16.5" thickBot="1" x14ac:dyDescent="0.25">
      <c r="A5" s="10">
        <v>44258</v>
      </c>
      <c r="B5" s="1">
        <f t="shared" si="9"/>
        <v>20153.327000000001</v>
      </c>
      <c r="C5" s="54">
        <f t="shared" si="10"/>
        <v>0</v>
      </c>
      <c r="D5" s="38">
        <f t="shared" si="11"/>
        <v>0</v>
      </c>
      <c r="E5" s="1">
        <f t="shared" si="12"/>
        <v>3476.9929999999999</v>
      </c>
      <c r="F5" s="54">
        <f t="shared" si="7"/>
        <v>0</v>
      </c>
      <c r="G5" s="38">
        <f t="shared" si="13"/>
        <v>0</v>
      </c>
      <c r="H5" s="1">
        <f t="shared" si="14"/>
        <v>2574</v>
      </c>
      <c r="I5" s="54">
        <f t="shared" si="15"/>
        <v>0</v>
      </c>
      <c r="J5" s="38">
        <f t="shared" si="16"/>
        <v>0</v>
      </c>
      <c r="K5" s="7">
        <f t="shared" si="17"/>
        <v>13289.99</v>
      </c>
      <c r="L5" s="54">
        <f t="shared" si="18"/>
        <v>0</v>
      </c>
      <c r="M5" s="38">
        <f t="shared" si="19"/>
        <v>0</v>
      </c>
      <c r="N5" s="7">
        <f>N4</f>
        <v>2909.2</v>
      </c>
      <c r="O5" s="54">
        <f t="shared" si="20"/>
        <v>0</v>
      </c>
      <c r="P5" s="38">
        <f t="shared" ref="P5:P32" si="24">O5*1.9*1000</f>
        <v>0</v>
      </c>
      <c r="Q5" s="7">
        <f t="shared" si="21"/>
        <v>4708.47</v>
      </c>
      <c r="R5" s="54">
        <f t="shared" si="8"/>
        <v>0</v>
      </c>
      <c r="S5" s="38">
        <f t="shared" si="22"/>
        <v>0</v>
      </c>
      <c r="T5" s="8">
        <f t="shared" ref="T5:T32" si="25">C5+F5+I5+L5+O5+R5</f>
        <v>0</v>
      </c>
      <c r="U5" s="40">
        <f t="shared" si="23"/>
        <v>0</v>
      </c>
    </row>
    <row r="6" spans="1:25" ht="16.5" thickBot="1" x14ac:dyDescent="0.25">
      <c r="A6" s="10">
        <v>44259</v>
      </c>
      <c r="B6" s="1">
        <v>20164.423999999999</v>
      </c>
      <c r="C6" s="54">
        <f t="shared" si="10"/>
        <v>11.096999999997934</v>
      </c>
      <c r="D6" s="38">
        <f t="shared" si="11"/>
        <v>21084.299999996074</v>
      </c>
      <c r="E6" s="1">
        <v>3479.9870000000001</v>
      </c>
      <c r="F6" s="54">
        <f t="shared" si="7"/>
        <v>2.9940000000001419</v>
      </c>
      <c r="G6" s="38">
        <f t="shared" si="13"/>
        <v>5688.6000000002696</v>
      </c>
      <c r="H6" s="1">
        <v>2586</v>
      </c>
      <c r="I6" s="54">
        <f t="shared" si="15"/>
        <v>12</v>
      </c>
      <c r="J6" s="38">
        <f t="shared" si="16"/>
        <v>22799.999999999996</v>
      </c>
      <c r="K6" s="7">
        <v>13291.33</v>
      </c>
      <c r="L6" s="54">
        <f t="shared" si="18"/>
        <v>1.3400000000001455</v>
      </c>
      <c r="M6" s="38">
        <f t="shared" si="19"/>
        <v>2546.0000000002765</v>
      </c>
      <c r="N6" s="7">
        <v>2937.7370000000001</v>
      </c>
      <c r="O6" s="54">
        <f t="shared" si="20"/>
        <v>28.537000000000262</v>
      </c>
      <c r="P6" s="38">
        <f t="shared" si="24"/>
        <v>54220.30000000049</v>
      </c>
      <c r="Q6" s="7">
        <v>4710.05</v>
      </c>
      <c r="R6" s="54">
        <f t="shared" si="8"/>
        <v>1.5799999999999272</v>
      </c>
      <c r="S6" s="38">
        <f t="shared" si="22"/>
        <v>3001.9999999998618</v>
      </c>
      <c r="T6" s="8">
        <f t="shared" si="25"/>
        <v>57.54799999999841</v>
      </c>
      <c r="U6" s="40">
        <f t="shared" si="23"/>
        <v>109341.19999999697</v>
      </c>
    </row>
    <row r="7" spans="1:25" ht="16.5" thickBot="1" x14ac:dyDescent="0.25">
      <c r="A7" s="10">
        <v>44260</v>
      </c>
      <c r="B7" s="1">
        <v>20168.069</v>
      </c>
      <c r="C7" s="54">
        <f t="shared" si="10"/>
        <v>3.6450000000004366</v>
      </c>
      <c r="D7" s="38">
        <f t="shared" si="11"/>
        <v>6925.5000000008295</v>
      </c>
      <c r="E7" s="1">
        <v>3480.53</v>
      </c>
      <c r="F7" s="54">
        <f t="shared" si="7"/>
        <v>0.54300000000012005</v>
      </c>
      <c r="G7" s="38">
        <f t="shared" si="13"/>
        <v>1031.7000000002281</v>
      </c>
      <c r="H7" s="1">
        <v>2590</v>
      </c>
      <c r="I7" s="54">
        <f t="shared" si="15"/>
        <v>4</v>
      </c>
      <c r="J7" s="38">
        <f t="shared" si="16"/>
        <v>7600</v>
      </c>
      <c r="K7" s="7">
        <v>13291.39</v>
      </c>
      <c r="L7" s="54">
        <f t="shared" si="18"/>
        <v>5.9999999999490683E-2</v>
      </c>
      <c r="M7" s="38">
        <f t="shared" si="19"/>
        <v>113.9999999990323</v>
      </c>
      <c r="N7" s="7">
        <v>2938.7220000000002</v>
      </c>
      <c r="O7" s="54">
        <f t="shared" si="20"/>
        <v>0.98500000000012733</v>
      </c>
      <c r="P7" s="38">
        <f t="shared" si="24"/>
        <v>1871.5000000002417</v>
      </c>
      <c r="Q7" s="7">
        <v>4710.12</v>
      </c>
      <c r="R7" s="54">
        <f t="shared" si="8"/>
        <v>6.9999999999708962E-2</v>
      </c>
      <c r="S7" s="38">
        <f t="shared" si="22"/>
        <v>132.99999999944703</v>
      </c>
      <c r="T7" s="8">
        <f t="shared" si="25"/>
        <v>9.3029999999998836</v>
      </c>
      <c r="U7" s="40">
        <f t="shared" si="23"/>
        <v>17675.699999999779</v>
      </c>
    </row>
    <row r="8" spans="1:25" ht="16.5" thickBot="1" x14ac:dyDescent="0.25">
      <c r="A8" s="10">
        <v>44261</v>
      </c>
      <c r="B8" s="1">
        <v>20171.912</v>
      </c>
      <c r="C8" s="54">
        <f t="shared" si="10"/>
        <v>3.8430000000007567</v>
      </c>
      <c r="D8" s="38">
        <f t="shared" si="11"/>
        <v>7301.7000000014377</v>
      </c>
      <c r="E8" s="1">
        <v>3481.2089999999998</v>
      </c>
      <c r="F8" s="54">
        <f t="shared" si="7"/>
        <v>0.67899999999963256</v>
      </c>
      <c r="G8" s="38">
        <f t="shared" si="13"/>
        <v>1290.0999999993019</v>
      </c>
      <c r="H8" s="1">
        <v>2594</v>
      </c>
      <c r="I8" s="54">
        <f t="shared" si="15"/>
        <v>4</v>
      </c>
      <c r="J8" s="38">
        <f t="shared" si="16"/>
        <v>7600</v>
      </c>
      <c r="K8" s="7">
        <v>13291.39</v>
      </c>
      <c r="L8" s="54">
        <f>IF((K8-K7)&lt;0,"0",(K8-K7))</f>
        <v>0</v>
      </c>
      <c r="M8" s="38">
        <f t="shared" si="19"/>
        <v>0</v>
      </c>
      <c r="N8" s="7">
        <v>2939.8389999999999</v>
      </c>
      <c r="O8" s="54">
        <f t="shared" si="20"/>
        <v>1.1169999999997344</v>
      </c>
      <c r="P8" s="38">
        <f t="shared" si="24"/>
        <v>2122.299999999495</v>
      </c>
      <c r="Q8" s="7">
        <v>4710.22</v>
      </c>
      <c r="R8" s="54">
        <f t="shared" si="8"/>
        <v>0.1000000000003638</v>
      </c>
      <c r="S8" s="38">
        <f t="shared" si="22"/>
        <v>190.00000000069119</v>
      </c>
      <c r="T8" s="8">
        <f t="shared" si="25"/>
        <v>9.7390000000004875</v>
      </c>
      <c r="U8" s="40">
        <f t="shared" si="23"/>
        <v>18504.100000000926</v>
      </c>
    </row>
    <row r="9" spans="1:25" ht="16.5" thickBot="1" x14ac:dyDescent="0.25">
      <c r="A9" s="10">
        <v>44262</v>
      </c>
      <c r="B9" s="1">
        <v>20175.866000000002</v>
      </c>
      <c r="C9" s="54">
        <f t="shared" si="10"/>
        <v>3.9540000000015425</v>
      </c>
      <c r="D9" s="38">
        <f t="shared" si="11"/>
        <v>7512.6000000029298</v>
      </c>
      <c r="E9" s="1">
        <v>3482.3629999999998</v>
      </c>
      <c r="F9" s="54">
        <f t="shared" si="7"/>
        <v>1.1539999999999964</v>
      </c>
      <c r="G9" s="38">
        <f t="shared" si="13"/>
        <v>2192.5999999999931</v>
      </c>
      <c r="H9" s="1">
        <v>2599</v>
      </c>
      <c r="I9" s="54">
        <f t="shared" si="15"/>
        <v>5</v>
      </c>
      <c r="J9" s="38">
        <f t="shared" si="16"/>
        <v>9500</v>
      </c>
      <c r="K9" s="7">
        <v>13292.22</v>
      </c>
      <c r="L9" s="54">
        <f t="shared" si="18"/>
        <v>0.82999999999992724</v>
      </c>
      <c r="M9" s="38">
        <f t="shared" si="19"/>
        <v>1576.9999999998615</v>
      </c>
      <c r="N9" s="7">
        <v>2940.9969999999998</v>
      </c>
      <c r="O9" s="54">
        <f t="shared" si="20"/>
        <v>1.1579999999999018</v>
      </c>
      <c r="P9" s="38">
        <f t="shared" si="24"/>
        <v>2200.1999999998134</v>
      </c>
      <c r="Q9" s="7">
        <v>4710.55</v>
      </c>
      <c r="R9" s="54">
        <f t="shared" si="8"/>
        <v>0.32999999999992724</v>
      </c>
      <c r="S9" s="38">
        <f t="shared" si="22"/>
        <v>626.99999999986176</v>
      </c>
      <c r="T9" s="8">
        <f t="shared" si="25"/>
        <v>12.426000000001295</v>
      </c>
      <c r="U9" s="40">
        <f t="shared" si="23"/>
        <v>23609.400000002461</v>
      </c>
    </row>
    <row r="10" spans="1:25" ht="16.5" thickBot="1" x14ac:dyDescent="0.25">
      <c r="A10" s="10">
        <v>44263</v>
      </c>
      <c r="B10" s="1">
        <v>20179.811000000002</v>
      </c>
      <c r="C10" s="54">
        <f t="shared" si="10"/>
        <v>3.944999999999709</v>
      </c>
      <c r="D10" s="38">
        <f t="shared" si="11"/>
        <v>7495.4999999994461</v>
      </c>
      <c r="E10" s="1">
        <v>3483.6080000000002</v>
      </c>
      <c r="F10" s="54">
        <f t="shared" si="7"/>
        <v>1.2450000000003456</v>
      </c>
      <c r="G10" s="38">
        <f t="shared" si="13"/>
        <v>2365.5000000006567</v>
      </c>
      <c r="H10" s="1">
        <v>2603</v>
      </c>
      <c r="I10" s="54">
        <f t="shared" si="15"/>
        <v>4</v>
      </c>
      <c r="J10" s="38">
        <f t="shared" si="16"/>
        <v>7600</v>
      </c>
      <c r="K10" s="7">
        <v>13293.29</v>
      </c>
      <c r="L10" s="54">
        <f t="shared" si="18"/>
        <v>1.070000000001528</v>
      </c>
      <c r="M10" s="38">
        <f t="shared" si="19"/>
        <v>2033.0000000029029</v>
      </c>
      <c r="N10" s="7">
        <v>2942.1469999999999</v>
      </c>
      <c r="O10" s="54">
        <f t="shared" si="20"/>
        <v>1.1500000000000909</v>
      </c>
      <c r="P10" s="38">
        <f t="shared" si="24"/>
        <v>2185.0000000001728</v>
      </c>
      <c r="Q10" s="7">
        <v>4711.49</v>
      </c>
      <c r="R10" s="54">
        <f t="shared" si="8"/>
        <v>0.93999999999959982</v>
      </c>
      <c r="S10" s="38">
        <f t="shared" si="22"/>
        <v>1785.9999999992394</v>
      </c>
      <c r="T10" s="8">
        <f t="shared" si="25"/>
        <v>12.350000000001273</v>
      </c>
      <c r="U10" s="40">
        <f t="shared" si="23"/>
        <v>23465.000000002419</v>
      </c>
    </row>
    <row r="11" spans="1:25" ht="16.5" thickBot="1" x14ac:dyDescent="0.25">
      <c r="A11" s="10">
        <v>44264</v>
      </c>
      <c r="B11" s="1">
        <v>20183.738000000001</v>
      </c>
      <c r="C11" s="54">
        <f t="shared" si="10"/>
        <v>3.9269999999996799</v>
      </c>
      <c r="D11" s="38">
        <f t="shared" si="11"/>
        <v>7461.2999999993908</v>
      </c>
      <c r="E11" s="1">
        <v>3484.9830000000002</v>
      </c>
      <c r="F11" s="54">
        <f t="shared" si="7"/>
        <v>1.375</v>
      </c>
      <c r="G11" s="38">
        <f t="shared" si="13"/>
        <v>2612.5</v>
      </c>
      <c r="H11" s="1">
        <v>2608</v>
      </c>
      <c r="I11" s="54">
        <f t="shared" si="15"/>
        <v>5</v>
      </c>
      <c r="J11" s="38">
        <f t="shared" si="16"/>
        <v>9500</v>
      </c>
      <c r="K11" s="7">
        <v>13293.43</v>
      </c>
      <c r="L11" s="54">
        <f t="shared" si="18"/>
        <v>0.13999999999941792</v>
      </c>
      <c r="M11" s="38">
        <f t="shared" si="19"/>
        <v>265.99999999889405</v>
      </c>
      <c r="N11" s="7">
        <v>2943.44</v>
      </c>
      <c r="O11" s="54">
        <f t="shared" si="20"/>
        <v>1.2930000000001201</v>
      </c>
      <c r="P11" s="38">
        <f t="shared" si="24"/>
        <v>2456.7000000002281</v>
      </c>
      <c r="Q11" s="7">
        <v>4712.04</v>
      </c>
      <c r="R11" s="54">
        <f t="shared" si="8"/>
        <v>0.5500000000001819</v>
      </c>
      <c r="S11" s="38">
        <f t="shared" si="22"/>
        <v>1045.0000000003456</v>
      </c>
      <c r="T11" s="8">
        <f t="shared" si="25"/>
        <v>12.2849999999994</v>
      </c>
      <c r="U11" s="40">
        <f t="shared" si="23"/>
        <v>23341.499999998858</v>
      </c>
    </row>
    <row r="12" spans="1:25" ht="16.5" thickBot="1" x14ac:dyDescent="0.25">
      <c r="A12" s="10">
        <v>44265</v>
      </c>
      <c r="B12" s="1">
        <v>20188.628000000001</v>
      </c>
      <c r="C12" s="54">
        <f t="shared" si="10"/>
        <v>4.8899999999994179</v>
      </c>
      <c r="D12" s="38">
        <f t="shared" si="11"/>
        <v>9290.9999999988941</v>
      </c>
      <c r="E12" s="1">
        <v>3486.549</v>
      </c>
      <c r="F12" s="54">
        <f t="shared" si="7"/>
        <v>1.5659999999998035</v>
      </c>
      <c r="G12" s="38">
        <f t="shared" si="13"/>
        <v>2975.3999999996267</v>
      </c>
      <c r="H12" s="1">
        <v>2614</v>
      </c>
      <c r="I12" s="54">
        <f t="shared" si="15"/>
        <v>6</v>
      </c>
      <c r="J12" s="38">
        <f t="shared" si="16"/>
        <v>11399.999999999998</v>
      </c>
      <c r="K12" s="7">
        <v>13294.78</v>
      </c>
      <c r="L12" s="54">
        <f t="shared" si="18"/>
        <v>1.3500000000003638</v>
      </c>
      <c r="M12" s="38">
        <f t="shared" si="19"/>
        <v>2565.0000000006908</v>
      </c>
      <c r="N12" s="7">
        <v>2944.9479999999999</v>
      </c>
      <c r="O12" s="54">
        <f t="shared" si="20"/>
        <v>1.5079999999998108</v>
      </c>
      <c r="P12" s="38">
        <f t="shared" si="24"/>
        <v>2865.1999999996406</v>
      </c>
      <c r="Q12" s="7">
        <v>4712.8</v>
      </c>
      <c r="R12" s="54">
        <f t="shared" si="8"/>
        <v>0.76000000000021828</v>
      </c>
      <c r="S12" s="38">
        <f t="shared" si="22"/>
        <v>1444.0000000004147</v>
      </c>
      <c r="T12" s="8">
        <f t="shared" si="25"/>
        <v>16.073999999999614</v>
      </c>
      <c r="U12" s="40">
        <f t="shared" si="23"/>
        <v>30540.599999999267</v>
      </c>
    </row>
    <row r="13" spans="1:25" ht="16.5" thickBot="1" x14ac:dyDescent="0.25">
      <c r="A13" s="10">
        <v>44266</v>
      </c>
      <c r="B13" s="1">
        <v>20193.055</v>
      </c>
      <c r="C13" s="54">
        <f t="shared" si="10"/>
        <v>4.4269999999996799</v>
      </c>
      <c r="D13" s="38">
        <f t="shared" si="11"/>
        <v>8411.2999999993917</v>
      </c>
      <c r="E13" s="1">
        <v>3488.163</v>
      </c>
      <c r="F13" s="54">
        <f t="shared" si="7"/>
        <v>1.6140000000000327</v>
      </c>
      <c r="G13" s="38">
        <f t="shared" si="13"/>
        <v>3066.6000000000618</v>
      </c>
      <c r="H13" s="1">
        <v>2619</v>
      </c>
      <c r="I13" s="54">
        <f t="shared" si="15"/>
        <v>5</v>
      </c>
      <c r="J13" s="38">
        <f t="shared" si="16"/>
        <v>9500</v>
      </c>
      <c r="K13" s="7">
        <v>13296.03</v>
      </c>
      <c r="L13" s="54">
        <f t="shared" si="18"/>
        <v>1.25</v>
      </c>
      <c r="M13" s="38">
        <f t="shared" si="19"/>
        <v>2375</v>
      </c>
      <c r="N13" s="7">
        <v>2946.393</v>
      </c>
      <c r="O13" s="54">
        <f t="shared" si="20"/>
        <v>1.4450000000001637</v>
      </c>
      <c r="P13" s="38">
        <f t="shared" si="24"/>
        <v>2745.500000000311</v>
      </c>
      <c r="Q13" s="7">
        <v>4713.46</v>
      </c>
      <c r="R13" s="54">
        <f t="shared" si="8"/>
        <v>0.65999999999985448</v>
      </c>
      <c r="S13" s="38">
        <f t="shared" si="22"/>
        <v>1253.9999999997235</v>
      </c>
      <c r="T13" s="8">
        <f t="shared" si="25"/>
        <v>14.395999999999731</v>
      </c>
      <c r="U13" s="40">
        <f t="shared" si="23"/>
        <v>27352.399999999489</v>
      </c>
    </row>
    <row r="14" spans="1:25" ht="16.5" thickBot="1" x14ac:dyDescent="0.25">
      <c r="A14" s="10">
        <v>44267</v>
      </c>
      <c r="B14" s="1">
        <v>20197.373</v>
      </c>
      <c r="C14" s="54">
        <f t="shared" si="10"/>
        <v>4.3179999999993015</v>
      </c>
      <c r="D14" s="38">
        <f t="shared" si="11"/>
        <v>8204.1999999986729</v>
      </c>
      <c r="E14" s="1">
        <v>3488.8</v>
      </c>
      <c r="F14" s="54">
        <f t="shared" si="7"/>
        <v>0.63700000000017099</v>
      </c>
      <c r="G14" s="38">
        <f t="shared" si="13"/>
        <v>1210.3000000003249</v>
      </c>
      <c r="H14" s="1">
        <v>2624</v>
      </c>
      <c r="I14" s="54">
        <f t="shared" si="15"/>
        <v>5</v>
      </c>
      <c r="J14" s="38">
        <f t="shared" si="16"/>
        <v>9500</v>
      </c>
      <c r="K14" s="7">
        <v>13297.29</v>
      </c>
      <c r="L14" s="54">
        <f t="shared" si="18"/>
        <v>1.2600000000002183</v>
      </c>
      <c r="M14" s="38">
        <f t="shared" si="19"/>
        <v>2394.0000000004143</v>
      </c>
      <c r="N14" s="7">
        <v>2947.576</v>
      </c>
      <c r="O14" s="54">
        <f t="shared" si="20"/>
        <v>1.1829999999999927</v>
      </c>
      <c r="P14" s="38">
        <f t="shared" si="24"/>
        <v>2247.6999999999862</v>
      </c>
      <c r="Q14" s="7">
        <v>4713.8900000000003</v>
      </c>
      <c r="R14" s="54">
        <f t="shared" si="8"/>
        <v>0.43000000000029104</v>
      </c>
      <c r="S14" s="38">
        <f t="shared" si="22"/>
        <v>817.00000000055297</v>
      </c>
      <c r="T14" s="8">
        <f t="shared" si="25"/>
        <v>12.827999999999975</v>
      </c>
      <c r="U14" s="40">
        <f t="shared" si="23"/>
        <v>24373.19999999995</v>
      </c>
    </row>
    <row r="15" spans="1:25" ht="16.5" thickBot="1" x14ac:dyDescent="0.25">
      <c r="A15" s="10">
        <v>44268</v>
      </c>
      <c r="B15" s="1">
        <v>20201.374</v>
      </c>
      <c r="C15" s="54">
        <f t="shared" si="10"/>
        <v>4.0010000000002037</v>
      </c>
      <c r="D15" s="38">
        <f t="shared" si="11"/>
        <v>7601.9000000003871</v>
      </c>
      <c r="E15" s="1">
        <v>3489.4279999999999</v>
      </c>
      <c r="F15" s="54">
        <f t="shared" si="7"/>
        <v>0.62799999999970169</v>
      </c>
      <c r="G15" s="38">
        <f t="shared" si="13"/>
        <v>1193.1999999994332</v>
      </c>
      <c r="H15" s="1">
        <v>2629</v>
      </c>
      <c r="I15" s="54">
        <f t="shared" si="15"/>
        <v>5</v>
      </c>
      <c r="J15" s="38">
        <f t="shared" si="16"/>
        <v>9500</v>
      </c>
      <c r="K15" s="7">
        <v>13297.49</v>
      </c>
      <c r="L15" s="54">
        <f t="shared" si="18"/>
        <v>0.19999999999890861</v>
      </c>
      <c r="M15" s="38">
        <f t="shared" si="19"/>
        <v>379.99999999792635</v>
      </c>
      <c r="N15" s="7">
        <v>2948.8879999999999</v>
      </c>
      <c r="O15" s="54">
        <f t="shared" si="20"/>
        <v>1.3119999999998981</v>
      </c>
      <c r="P15" s="38">
        <f t="shared" si="24"/>
        <v>2492.7999999998065</v>
      </c>
      <c r="Q15" s="7">
        <v>4714.03</v>
      </c>
      <c r="R15" s="54">
        <f t="shared" si="8"/>
        <v>0.13999999999941792</v>
      </c>
      <c r="S15" s="38">
        <f t="shared" si="22"/>
        <v>265.99999999889405</v>
      </c>
      <c r="T15" s="8">
        <f t="shared" si="25"/>
        <v>11.28099999999813</v>
      </c>
      <c r="U15" s="40">
        <f t="shared" si="23"/>
        <v>21433.899999996444</v>
      </c>
      <c r="W15" t="s">
        <v>13</v>
      </c>
    </row>
    <row r="16" spans="1:25" ht="16.5" thickBot="1" x14ac:dyDescent="0.25">
      <c r="A16" s="10">
        <v>44269</v>
      </c>
      <c r="B16" s="1">
        <f t="shared" si="9"/>
        <v>20201.374</v>
      </c>
      <c r="C16" s="54">
        <f t="shared" si="10"/>
        <v>0</v>
      </c>
      <c r="D16" s="38">
        <f t="shared" si="11"/>
        <v>0</v>
      </c>
      <c r="E16" s="1">
        <f t="shared" si="12"/>
        <v>3489.4279999999999</v>
      </c>
      <c r="F16" s="54">
        <f t="shared" si="7"/>
        <v>0</v>
      </c>
      <c r="G16" s="38">
        <f t="shared" si="13"/>
        <v>0</v>
      </c>
      <c r="H16" s="1">
        <f t="shared" si="14"/>
        <v>2629</v>
      </c>
      <c r="I16" s="54">
        <f t="shared" si="15"/>
        <v>0</v>
      </c>
      <c r="J16" s="38">
        <f t="shared" si="16"/>
        <v>0</v>
      </c>
      <c r="K16" s="7">
        <f t="shared" si="17"/>
        <v>13297.49</v>
      </c>
      <c r="L16" s="54">
        <f t="shared" si="18"/>
        <v>0</v>
      </c>
      <c r="M16" s="38">
        <f t="shared" si="19"/>
        <v>0</v>
      </c>
      <c r="N16" s="7">
        <f t="shared" ref="N16:N20" si="26">N15</f>
        <v>2948.8879999999999</v>
      </c>
      <c r="O16" s="54">
        <f t="shared" si="20"/>
        <v>0</v>
      </c>
      <c r="P16" s="38">
        <f t="shared" si="24"/>
        <v>0</v>
      </c>
      <c r="Q16" s="7">
        <f t="shared" si="21"/>
        <v>4714.03</v>
      </c>
      <c r="R16" s="54">
        <f t="shared" si="8"/>
        <v>0</v>
      </c>
      <c r="S16" s="38">
        <f t="shared" si="22"/>
        <v>0</v>
      </c>
      <c r="T16" s="8">
        <f t="shared" si="25"/>
        <v>0</v>
      </c>
      <c r="U16" s="40">
        <f t="shared" si="23"/>
        <v>0</v>
      </c>
      <c r="Y16" t="s">
        <v>13</v>
      </c>
    </row>
    <row r="17" spans="1:24" ht="16.5" thickBot="1" x14ac:dyDescent="0.25">
      <c r="A17" s="10">
        <v>44270</v>
      </c>
      <c r="B17" s="1">
        <f t="shared" si="9"/>
        <v>20201.374</v>
      </c>
      <c r="C17" s="54">
        <f>IF((B17-B16)&lt;0,"0",(B17-B16))</f>
        <v>0</v>
      </c>
      <c r="D17" s="38">
        <f t="shared" si="11"/>
        <v>0</v>
      </c>
      <c r="E17" s="1">
        <f t="shared" si="12"/>
        <v>3489.4279999999999</v>
      </c>
      <c r="F17" s="54">
        <f t="shared" si="7"/>
        <v>0</v>
      </c>
      <c r="G17" s="38">
        <f t="shared" si="13"/>
        <v>0</v>
      </c>
      <c r="H17" s="1">
        <f t="shared" si="14"/>
        <v>2629</v>
      </c>
      <c r="I17" s="54">
        <f t="shared" si="15"/>
        <v>0</v>
      </c>
      <c r="J17" s="38">
        <f t="shared" si="16"/>
        <v>0</v>
      </c>
      <c r="K17" s="7">
        <f t="shared" si="17"/>
        <v>13297.49</v>
      </c>
      <c r="L17" s="54">
        <f t="shared" si="18"/>
        <v>0</v>
      </c>
      <c r="M17" s="38">
        <f t="shared" si="19"/>
        <v>0</v>
      </c>
      <c r="N17" s="7">
        <f t="shared" si="26"/>
        <v>2948.8879999999999</v>
      </c>
      <c r="O17" s="54">
        <f t="shared" si="20"/>
        <v>0</v>
      </c>
      <c r="P17" s="38">
        <f t="shared" si="24"/>
        <v>0</v>
      </c>
      <c r="Q17" s="7">
        <f t="shared" si="21"/>
        <v>4714.03</v>
      </c>
      <c r="R17" s="54">
        <f t="shared" si="8"/>
        <v>0</v>
      </c>
      <c r="S17" s="38">
        <f t="shared" si="22"/>
        <v>0</v>
      </c>
      <c r="T17" s="8">
        <f t="shared" si="25"/>
        <v>0</v>
      </c>
      <c r="U17" s="40">
        <f t="shared" si="23"/>
        <v>0</v>
      </c>
    </row>
    <row r="18" spans="1:24" ht="16.5" thickBot="1" x14ac:dyDescent="0.25">
      <c r="A18" s="10">
        <v>44271</v>
      </c>
      <c r="B18" s="1">
        <v>20212.95</v>
      </c>
      <c r="C18" s="54">
        <f>IF((B18-B17)&lt;0,"0",(B18-B17))</f>
        <v>11.576000000000931</v>
      </c>
      <c r="D18" s="38">
        <f t="shared" si="11"/>
        <v>21994.40000000177</v>
      </c>
      <c r="E18" s="1">
        <v>3493.223</v>
      </c>
      <c r="F18" s="54">
        <f t="shared" si="7"/>
        <v>3.7950000000000728</v>
      </c>
      <c r="G18" s="38">
        <f t="shared" si="13"/>
        <v>7210.5000000001382</v>
      </c>
      <c r="H18" s="1">
        <v>2645</v>
      </c>
      <c r="I18" s="54">
        <f t="shared" si="15"/>
        <v>16</v>
      </c>
      <c r="J18" s="38">
        <f t="shared" si="16"/>
        <v>30400</v>
      </c>
      <c r="K18" s="7">
        <v>13301.56</v>
      </c>
      <c r="L18" s="54">
        <f t="shared" si="18"/>
        <v>4.069999999999709</v>
      </c>
      <c r="M18" s="38">
        <f t="shared" si="19"/>
        <v>7732.9999999994461</v>
      </c>
      <c r="N18" s="7">
        <v>2952.279</v>
      </c>
      <c r="O18" s="54">
        <f t="shared" si="20"/>
        <v>3.3910000000000764</v>
      </c>
      <c r="P18" s="38">
        <f t="shared" si="24"/>
        <v>6442.9000000001442</v>
      </c>
      <c r="Q18" s="7">
        <v>4715.53</v>
      </c>
      <c r="R18" s="54">
        <f t="shared" si="8"/>
        <v>1.5</v>
      </c>
      <c r="S18" s="38">
        <f t="shared" si="22"/>
        <v>2849.9999999999995</v>
      </c>
      <c r="T18" s="8">
        <f t="shared" si="25"/>
        <v>40.332000000000789</v>
      </c>
      <c r="U18" s="40">
        <f t="shared" si="23"/>
        <v>76630.800000001502</v>
      </c>
    </row>
    <row r="19" spans="1:24" ht="16.5" thickBot="1" x14ac:dyDescent="0.25">
      <c r="A19" s="10">
        <v>44272</v>
      </c>
      <c r="B19" s="1">
        <f t="shared" si="9"/>
        <v>20212.95</v>
      </c>
      <c r="C19" s="54">
        <f>IF((B19-B18)&lt;0,"0",(B19-B18))</f>
        <v>0</v>
      </c>
      <c r="D19" s="38">
        <f t="shared" si="11"/>
        <v>0</v>
      </c>
      <c r="E19" s="1">
        <f t="shared" si="12"/>
        <v>3493.223</v>
      </c>
      <c r="F19" s="54">
        <f t="shared" si="7"/>
        <v>0</v>
      </c>
      <c r="G19" s="38">
        <f t="shared" si="13"/>
        <v>0</v>
      </c>
      <c r="H19" s="1">
        <f t="shared" si="14"/>
        <v>2645</v>
      </c>
      <c r="I19" s="54">
        <f t="shared" si="15"/>
        <v>0</v>
      </c>
      <c r="J19" s="38">
        <f t="shared" si="16"/>
        <v>0</v>
      </c>
      <c r="K19" s="7">
        <f t="shared" si="17"/>
        <v>13301.56</v>
      </c>
      <c r="L19" s="54">
        <f t="shared" si="18"/>
        <v>0</v>
      </c>
      <c r="M19" s="38">
        <f t="shared" si="19"/>
        <v>0</v>
      </c>
      <c r="N19" s="7">
        <f t="shared" si="26"/>
        <v>2952.279</v>
      </c>
      <c r="O19" s="54">
        <f t="shared" si="20"/>
        <v>0</v>
      </c>
      <c r="P19" s="38">
        <f t="shared" si="24"/>
        <v>0</v>
      </c>
      <c r="Q19" s="7">
        <f t="shared" si="21"/>
        <v>4715.53</v>
      </c>
      <c r="R19" s="54">
        <f t="shared" si="8"/>
        <v>0</v>
      </c>
      <c r="S19" s="38">
        <f t="shared" si="22"/>
        <v>0</v>
      </c>
      <c r="T19" s="8">
        <f t="shared" si="25"/>
        <v>0</v>
      </c>
      <c r="U19" s="40">
        <f t="shared" si="23"/>
        <v>0</v>
      </c>
    </row>
    <row r="20" spans="1:24" ht="16.5" thickBot="1" x14ac:dyDescent="0.25">
      <c r="A20" s="10">
        <v>44273</v>
      </c>
      <c r="B20" s="1">
        <f t="shared" si="9"/>
        <v>20212.95</v>
      </c>
      <c r="C20" s="54">
        <f t="shared" si="10"/>
        <v>0</v>
      </c>
      <c r="D20" s="38">
        <f t="shared" si="11"/>
        <v>0</v>
      </c>
      <c r="E20" s="1">
        <f t="shared" si="12"/>
        <v>3493.223</v>
      </c>
      <c r="F20" s="54">
        <f t="shared" si="7"/>
        <v>0</v>
      </c>
      <c r="G20" s="38">
        <f t="shared" si="13"/>
        <v>0</v>
      </c>
      <c r="H20" s="1">
        <f t="shared" si="14"/>
        <v>2645</v>
      </c>
      <c r="I20" s="54">
        <f t="shared" si="15"/>
        <v>0</v>
      </c>
      <c r="J20" s="38">
        <f t="shared" si="16"/>
        <v>0</v>
      </c>
      <c r="K20" s="7">
        <f t="shared" si="17"/>
        <v>13301.56</v>
      </c>
      <c r="L20" s="54">
        <f t="shared" si="18"/>
        <v>0</v>
      </c>
      <c r="M20" s="38">
        <f t="shared" si="19"/>
        <v>0</v>
      </c>
      <c r="N20" s="7">
        <f t="shared" si="26"/>
        <v>2952.279</v>
      </c>
      <c r="O20" s="54">
        <f t="shared" si="20"/>
        <v>0</v>
      </c>
      <c r="P20" s="38">
        <f t="shared" si="24"/>
        <v>0</v>
      </c>
      <c r="Q20" s="7">
        <f t="shared" si="21"/>
        <v>4715.53</v>
      </c>
      <c r="R20" s="54">
        <v>0</v>
      </c>
      <c r="S20" s="38">
        <f t="shared" si="22"/>
        <v>0</v>
      </c>
      <c r="T20" s="8">
        <f t="shared" si="25"/>
        <v>0</v>
      </c>
      <c r="U20" s="40">
        <f t="shared" si="23"/>
        <v>0</v>
      </c>
      <c r="X20" t="s">
        <v>13</v>
      </c>
    </row>
    <row r="21" spans="1:24" ht="16.5" thickBot="1" x14ac:dyDescent="0.25">
      <c r="A21" s="10">
        <v>44274</v>
      </c>
      <c r="B21" s="1">
        <v>20225.705999999998</v>
      </c>
      <c r="C21" s="54">
        <f t="shared" si="10"/>
        <v>12.755999999997584</v>
      </c>
      <c r="D21" s="38">
        <f t="shared" si="11"/>
        <v>24236.39999999541</v>
      </c>
      <c r="E21" s="1">
        <v>3496.6680000000001</v>
      </c>
      <c r="F21" s="54">
        <f t="shared" si="7"/>
        <v>3.4450000000001637</v>
      </c>
      <c r="G21" s="38">
        <f t="shared" si="13"/>
        <v>6545.5000000003101</v>
      </c>
      <c r="H21" s="1">
        <v>2659</v>
      </c>
      <c r="I21" s="54">
        <f t="shared" si="15"/>
        <v>14</v>
      </c>
      <c r="J21" s="38">
        <f t="shared" si="16"/>
        <v>26599.999999999996</v>
      </c>
      <c r="K21" s="7">
        <v>13305.58</v>
      </c>
      <c r="L21" s="54">
        <f t="shared" si="18"/>
        <v>4.0200000000004366</v>
      </c>
      <c r="M21" s="38">
        <f t="shared" si="19"/>
        <v>7638.0000000008295</v>
      </c>
      <c r="N21" s="7">
        <v>2955.7350000000001</v>
      </c>
      <c r="O21" s="54">
        <f t="shared" si="20"/>
        <v>3.456000000000131</v>
      </c>
      <c r="P21" s="38">
        <f t="shared" si="24"/>
        <v>6566.4000000002488</v>
      </c>
      <c r="Q21" s="7">
        <v>4717.8100000000004</v>
      </c>
      <c r="R21" s="54">
        <f t="shared" si="8"/>
        <v>2.2800000000006548</v>
      </c>
      <c r="S21" s="38">
        <f t="shared" si="22"/>
        <v>4332.0000000012442</v>
      </c>
      <c r="T21" s="8">
        <f t="shared" si="25"/>
        <v>39.95699999999897</v>
      </c>
      <c r="U21" s="40">
        <f t="shared" si="23"/>
        <v>75918.299999998038</v>
      </c>
    </row>
    <row r="22" spans="1:24" ht="16.5" thickBot="1" x14ac:dyDescent="0.25">
      <c r="A22" s="10">
        <v>44275</v>
      </c>
      <c r="B22" s="1">
        <v>20229.496999999999</v>
      </c>
      <c r="C22" s="54">
        <f t="shared" si="10"/>
        <v>3.7910000000010768</v>
      </c>
      <c r="D22" s="38">
        <f t="shared" si="11"/>
        <v>7202.900000002046</v>
      </c>
      <c r="E22" s="1">
        <v>3497.2379999999998</v>
      </c>
      <c r="F22" s="54">
        <f t="shared" si="7"/>
        <v>0.56999999999970896</v>
      </c>
      <c r="G22" s="38">
        <f t="shared" si="13"/>
        <v>1082.999999999447</v>
      </c>
      <c r="H22" s="1">
        <v>2664</v>
      </c>
      <c r="I22" s="54">
        <f t="shared" si="15"/>
        <v>5</v>
      </c>
      <c r="J22" s="38">
        <f t="shared" si="16"/>
        <v>9500</v>
      </c>
      <c r="K22" s="7">
        <v>13306.92</v>
      </c>
      <c r="L22" s="54">
        <f t="shared" si="18"/>
        <v>1.3400000000001455</v>
      </c>
      <c r="M22" s="38">
        <f t="shared" si="19"/>
        <v>2546.0000000002765</v>
      </c>
      <c r="N22" s="7">
        <v>2956.8310000000001</v>
      </c>
      <c r="O22" s="54">
        <f t="shared" si="20"/>
        <v>1.0960000000000036</v>
      </c>
      <c r="P22" s="38">
        <f t="shared" si="24"/>
        <v>2082.4000000000069</v>
      </c>
      <c r="Q22" s="7">
        <v>4718.28</v>
      </c>
      <c r="R22" s="54">
        <f t="shared" si="8"/>
        <v>0.46999999999934516</v>
      </c>
      <c r="S22" s="38">
        <f t="shared" si="22"/>
        <v>892.99999999875581</v>
      </c>
      <c r="T22" s="8">
        <f t="shared" si="25"/>
        <v>12.26700000000028</v>
      </c>
      <c r="U22" s="40">
        <f t="shared" si="23"/>
        <v>23307.30000000053</v>
      </c>
    </row>
    <row r="23" spans="1:24" ht="16.5" thickBot="1" x14ac:dyDescent="0.25">
      <c r="A23" s="10">
        <v>44276</v>
      </c>
      <c r="B23" s="1">
        <v>20233.905999999999</v>
      </c>
      <c r="C23" s="54">
        <f t="shared" si="10"/>
        <v>4.4089999999996508</v>
      </c>
      <c r="D23" s="38">
        <f t="shared" si="11"/>
        <v>8377.0999999993364</v>
      </c>
      <c r="E23" s="1">
        <v>3498.7370000000001</v>
      </c>
      <c r="F23" s="54">
        <f t="shared" si="7"/>
        <v>1.499000000000251</v>
      </c>
      <c r="G23" s="38">
        <f t="shared" si="13"/>
        <v>2848.1000000004765</v>
      </c>
      <c r="H23" s="1">
        <v>2670</v>
      </c>
      <c r="I23" s="54">
        <f t="shared" si="15"/>
        <v>6</v>
      </c>
      <c r="J23" s="38">
        <f t="shared" si="16"/>
        <v>11399.999999999998</v>
      </c>
      <c r="K23" s="7">
        <v>13308.56</v>
      </c>
      <c r="L23" s="54">
        <f t="shared" si="18"/>
        <v>1.6399999999994179</v>
      </c>
      <c r="M23" s="38">
        <f t="shared" si="19"/>
        <v>3115.9999999988941</v>
      </c>
      <c r="N23" s="7">
        <v>2958.2710000000002</v>
      </c>
      <c r="O23" s="54">
        <f t="shared" si="20"/>
        <v>1.4400000000000546</v>
      </c>
      <c r="P23" s="38">
        <f t="shared" si="24"/>
        <v>2736.0000000001037</v>
      </c>
      <c r="Q23" s="7">
        <v>4718.49</v>
      </c>
      <c r="R23" s="54">
        <f t="shared" si="8"/>
        <v>0.21000000000003638</v>
      </c>
      <c r="S23" s="38">
        <f t="shared" si="22"/>
        <v>399.00000000006906</v>
      </c>
      <c r="T23" s="8">
        <f t="shared" si="25"/>
        <v>15.197999999999411</v>
      </c>
      <c r="U23" s="40">
        <f t="shared" si="23"/>
        <v>28876.199999998877</v>
      </c>
    </row>
    <row r="24" spans="1:24" ht="16.5" thickBot="1" x14ac:dyDescent="0.25">
      <c r="A24" s="10">
        <v>44277</v>
      </c>
      <c r="B24" s="1">
        <v>20239.583999999999</v>
      </c>
      <c r="C24" s="54">
        <f t="shared" si="10"/>
        <v>5.6779999999998836</v>
      </c>
      <c r="D24" s="38">
        <f t="shared" si="11"/>
        <v>10788.199999999777</v>
      </c>
      <c r="E24" s="1">
        <v>3500.4839999999999</v>
      </c>
      <c r="F24" s="54">
        <f t="shared" si="7"/>
        <v>1.7469999999998436</v>
      </c>
      <c r="G24" s="38">
        <f t="shared" si="13"/>
        <v>3319.2999999997028</v>
      </c>
      <c r="H24" s="1">
        <v>2676</v>
      </c>
      <c r="I24" s="54">
        <f t="shared" si="15"/>
        <v>6</v>
      </c>
      <c r="J24" s="38">
        <f t="shared" si="16"/>
        <v>11399.999999999998</v>
      </c>
      <c r="K24" s="7">
        <v>13310.24</v>
      </c>
      <c r="L24" s="54">
        <f t="shared" si="18"/>
        <v>1.680000000000291</v>
      </c>
      <c r="M24" s="38">
        <f t="shared" si="19"/>
        <v>3192.0000000005525</v>
      </c>
      <c r="N24" s="7">
        <v>2959.8020000000001</v>
      </c>
      <c r="O24" s="54">
        <f t="shared" si="20"/>
        <v>1.5309999999999491</v>
      </c>
      <c r="P24" s="38">
        <f t="shared" si="24"/>
        <v>2908.8999999999032</v>
      </c>
      <c r="Q24" s="7">
        <v>4719.2</v>
      </c>
      <c r="R24" s="54">
        <f t="shared" si="8"/>
        <v>0.71000000000003638</v>
      </c>
      <c r="S24" s="38">
        <f t="shared" si="22"/>
        <v>1349.0000000000691</v>
      </c>
      <c r="T24" s="8">
        <f t="shared" si="25"/>
        <v>17.346000000000004</v>
      </c>
      <c r="U24" s="40">
        <f t="shared" si="23"/>
        <v>32957.400000000009</v>
      </c>
    </row>
    <row r="25" spans="1:24" ht="16.5" thickBot="1" x14ac:dyDescent="0.25">
      <c r="A25" s="10">
        <v>44278</v>
      </c>
      <c r="B25" s="1">
        <v>20245.670999999998</v>
      </c>
      <c r="C25" s="54">
        <f t="shared" si="10"/>
        <v>6.0869999999995343</v>
      </c>
      <c r="D25" s="38">
        <f t="shared" si="11"/>
        <v>11565.299999999113</v>
      </c>
      <c r="E25" s="1">
        <v>3502.41</v>
      </c>
      <c r="F25" s="54">
        <f t="shared" si="7"/>
        <v>1.9259999999999309</v>
      </c>
      <c r="G25" s="38">
        <f t="shared" si="13"/>
        <v>3659.3999999998682</v>
      </c>
      <c r="H25" s="1">
        <v>2683</v>
      </c>
      <c r="I25" s="54">
        <f t="shared" si="15"/>
        <v>7</v>
      </c>
      <c r="J25" s="38">
        <f t="shared" si="16"/>
        <v>13299.999999999998</v>
      </c>
      <c r="K25" s="7">
        <v>13311.81</v>
      </c>
      <c r="L25" s="54">
        <f t="shared" si="18"/>
        <v>1.569999999999709</v>
      </c>
      <c r="M25" s="38">
        <f t="shared" si="19"/>
        <v>2982.9999999994466</v>
      </c>
      <c r="N25" s="7">
        <v>2961.1909999999998</v>
      </c>
      <c r="O25" s="54">
        <f t="shared" si="20"/>
        <v>1.3889999999996689</v>
      </c>
      <c r="P25" s="38">
        <f t="shared" si="24"/>
        <v>2639.0999999993705</v>
      </c>
      <c r="Q25" s="7">
        <v>4720.0600000000004</v>
      </c>
      <c r="R25" s="54">
        <f t="shared" si="8"/>
        <v>0.86000000000058208</v>
      </c>
      <c r="S25" s="38">
        <f t="shared" si="22"/>
        <v>1634.0000000011059</v>
      </c>
      <c r="T25" s="8">
        <f t="shared" si="25"/>
        <v>18.831999999999425</v>
      </c>
      <c r="U25" s="40">
        <f t="shared" si="23"/>
        <v>35780.799999998904</v>
      </c>
    </row>
    <row r="26" spans="1:24" ht="16.5" thickBot="1" x14ac:dyDescent="0.25">
      <c r="A26" s="10">
        <v>44279</v>
      </c>
      <c r="B26" s="1">
        <v>20251.09</v>
      </c>
      <c r="C26" s="54">
        <f t="shared" si="10"/>
        <v>5.419000000001688</v>
      </c>
      <c r="D26" s="38">
        <f t="shared" si="11"/>
        <v>10296.100000003207</v>
      </c>
      <c r="E26" s="1">
        <v>3503.88</v>
      </c>
      <c r="F26" s="54">
        <f t="shared" si="7"/>
        <v>1.4700000000002547</v>
      </c>
      <c r="G26" s="38">
        <f t="shared" si="13"/>
        <v>2793.0000000004839</v>
      </c>
      <c r="H26" s="1">
        <v>2690</v>
      </c>
      <c r="I26" s="54">
        <f t="shared" si="15"/>
        <v>7</v>
      </c>
      <c r="J26" s="38">
        <f t="shared" si="16"/>
        <v>13299.999999999998</v>
      </c>
      <c r="K26" s="7">
        <v>13313.12</v>
      </c>
      <c r="L26" s="54">
        <f t="shared" si="18"/>
        <v>1.3100000000013097</v>
      </c>
      <c r="M26" s="38">
        <f t="shared" si="19"/>
        <v>2489.0000000024879</v>
      </c>
      <c r="N26" s="7">
        <v>2962.8449999999998</v>
      </c>
      <c r="O26" s="54">
        <f t="shared" si="20"/>
        <v>1.6539999999999964</v>
      </c>
      <c r="P26" s="38">
        <f t="shared" si="24"/>
        <v>3142.5999999999926</v>
      </c>
      <c r="Q26" s="7">
        <v>4721</v>
      </c>
      <c r="R26" s="54">
        <f t="shared" si="8"/>
        <v>0.93999999999959982</v>
      </c>
      <c r="S26" s="38">
        <f t="shared" si="22"/>
        <v>1785.9999999992394</v>
      </c>
      <c r="T26" s="8">
        <f t="shared" si="25"/>
        <v>17.793000000002849</v>
      </c>
      <c r="U26" s="40">
        <f t="shared" si="23"/>
        <v>33806.70000000541</v>
      </c>
      <c r="V26" t="s">
        <v>13</v>
      </c>
    </row>
    <row r="27" spans="1:24" ht="16.5" thickBot="1" x14ac:dyDescent="0.25">
      <c r="A27" s="10">
        <v>44280</v>
      </c>
      <c r="B27" s="1">
        <v>20255.173999999999</v>
      </c>
      <c r="C27" s="54">
        <f t="shared" si="10"/>
        <v>4.0839999999989232</v>
      </c>
      <c r="D27" s="38">
        <f t="shared" si="11"/>
        <v>7759.5999999979531</v>
      </c>
      <c r="E27" s="1">
        <v>3505.0169999999998</v>
      </c>
      <c r="F27" s="54">
        <f t="shared" si="7"/>
        <v>1.1369999999997162</v>
      </c>
      <c r="G27" s="38">
        <f t="shared" si="13"/>
        <v>2160.2999999994609</v>
      </c>
      <c r="H27" s="1">
        <v>2695</v>
      </c>
      <c r="I27" s="54">
        <f t="shared" si="15"/>
        <v>5</v>
      </c>
      <c r="J27" s="38">
        <f t="shared" si="16"/>
        <v>9500</v>
      </c>
      <c r="K27" s="7">
        <v>13314.25</v>
      </c>
      <c r="L27" s="54">
        <f t="shared" si="18"/>
        <v>1.1299999999991996</v>
      </c>
      <c r="M27" s="38">
        <f t="shared" si="19"/>
        <v>2146.9999999984793</v>
      </c>
      <c r="N27" s="7">
        <v>2964.4540000000002</v>
      </c>
      <c r="O27" s="54">
        <f t="shared" si="20"/>
        <v>1.6090000000003783</v>
      </c>
      <c r="P27" s="38">
        <f t="shared" si="24"/>
        <v>3057.1000000007189</v>
      </c>
      <c r="Q27" s="7">
        <v>4721.6499999999996</v>
      </c>
      <c r="R27" s="54">
        <f t="shared" si="8"/>
        <v>0.6499999999996362</v>
      </c>
      <c r="S27" s="38">
        <f t="shared" si="22"/>
        <v>1234.9999999993086</v>
      </c>
      <c r="T27" s="8">
        <f t="shared" si="25"/>
        <v>13.609999999997854</v>
      </c>
      <c r="U27" s="40">
        <f t="shared" si="23"/>
        <v>25858.999999995918</v>
      </c>
      <c r="V27" t="s">
        <v>13</v>
      </c>
    </row>
    <row r="28" spans="1:24" ht="16.5" thickBot="1" x14ac:dyDescent="0.25">
      <c r="A28" s="10">
        <v>44281</v>
      </c>
      <c r="B28" s="1">
        <v>20259.758000000002</v>
      </c>
      <c r="C28" s="54">
        <f t="shared" si="10"/>
        <v>4.5840000000025611</v>
      </c>
      <c r="D28" s="38">
        <f t="shared" si="11"/>
        <v>8709.6000000048662</v>
      </c>
      <c r="E28" s="1">
        <v>3505.5770000000002</v>
      </c>
      <c r="F28" s="54">
        <f t="shared" si="7"/>
        <v>0.56000000000040018</v>
      </c>
      <c r="G28" s="38">
        <f t="shared" si="13"/>
        <v>1064.0000000007603</v>
      </c>
      <c r="H28" s="1">
        <v>2701</v>
      </c>
      <c r="I28" s="54">
        <f t="shared" si="15"/>
        <v>6</v>
      </c>
      <c r="J28" s="38">
        <f t="shared" si="16"/>
        <v>11399.999999999998</v>
      </c>
      <c r="K28" s="7">
        <v>13315.17</v>
      </c>
      <c r="L28" s="54">
        <f t="shared" si="18"/>
        <v>0.92000000000007276</v>
      </c>
      <c r="M28" s="38">
        <f t="shared" si="19"/>
        <v>1748.000000000138</v>
      </c>
      <c r="N28" s="7">
        <v>2965.7020000000002</v>
      </c>
      <c r="O28" s="54">
        <f t="shared" si="20"/>
        <v>1.2480000000000473</v>
      </c>
      <c r="P28" s="38">
        <f t="shared" si="24"/>
        <v>2371.2000000000899</v>
      </c>
      <c r="Q28" s="7">
        <v>4721.9799999999996</v>
      </c>
      <c r="R28" s="54">
        <f t="shared" si="8"/>
        <v>0.32999999999992724</v>
      </c>
      <c r="S28" s="38">
        <f t="shared" si="22"/>
        <v>626.99999999986176</v>
      </c>
      <c r="T28" s="8">
        <f t="shared" si="25"/>
        <v>13.642000000003009</v>
      </c>
      <c r="U28" s="40">
        <f t="shared" si="23"/>
        <v>25919.800000005715</v>
      </c>
    </row>
    <row r="29" spans="1:24" ht="16.5" thickBot="1" x14ac:dyDescent="0.25">
      <c r="A29" s="10">
        <v>44282</v>
      </c>
      <c r="B29" s="1">
        <v>20264.183000000001</v>
      </c>
      <c r="C29" s="54">
        <f t="shared" si="10"/>
        <v>4.4249999999992724</v>
      </c>
      <c r="D29" s="38">
        <f t="shared" si="11"/>
        <v>8407.4999999986176</v>
      </c>
      <c r="E29" s="1">
        <v>3506.2130000000002</v>
      </c>
      <c r="F29" s="54">
        <f t="shared" si="7"/>
        <v>0.63599999999996726</v>
      </c>
      <c r="G29" s="38">
        <f t="shared" si="13"/>
        <v>1208.3999999999378</v>
      </c>
      <c r="H29" s="1">
        <v>2706</v>
      </c>
      <c r="I29" s="54">
        <f t="shared" si="15"/>
        <v>5</v>
      </c>
      <c r="J29" s="38">
        <f t="shared" si="16"/>
        <v>9500</v>
      </c>
      <c r="K29" s="7">
        <v>13315.17</v>
      </c>
      <c r="L29" s="54">
        <f t="shared" si="18"/>
        <v>0</v>
      </c>
      <c r="M29" s="38">
        <f t="shared" si="19"/>
        <v>0</v>
      </c>
      <c r="N29" s="7">
        <v>2967.0169999999998</v>
      </c>
      <c r="O29" s="54">
        <f t="shared" si="20"/>
        <v>1.3149999999995998</v>
      </c>
      <c r="P29" s="38">
        <f t="shared" si="24"/>
        <v>2498.4999999992397</v>
      </c>
      <c r="Q29" s="7">
        <v>4722.53</v>
      </c>
      <c r="R29" s="54">
        <f t="shared" si="8"/>
        <v>0.5500000000001819</v>
      </c>
      <c r="S29" s="38">
        <f t="shared" si="22"/>
        <v>1045.0000000003456</v>
      </c>
      <c r="T29" s="8">
        <f t="shared" si="25"/>
        <v>11.925999999999021</v>
      </c>
      <c r="U29" s="40">
        <f t="shared" si="23"/>
        <v>22659.399999998139</v>
      </c>
    </row>
    <row r="30" spans="1:24" ht="16.5" thickBot="1" x14ac:dyDescent="0.25">
      <c r="A30" s="10">
        <v>44283</v>
      </c>
      <c r="B30" s="1">
        <v>20268.641</v>
      </c>
      <c r="C30" s="54">
        <f t="shared" si="10"/>
        <v>4.4579999999987194</v>
      </c>
      <c r="D30" s="38">
        <f t="shared" si="11"/>
        <v>8470.1999999975669</v>
      </c>
      <c r="E30" s="1">
        <v>3507.2620000000002</v>
      </c>
      <c r="F30" s="54">
        <f t="shared" si="7"/>
        <v>1.0489999999999782</v>
      </c>
      <c r="G30" s="38">
        <f t="shared" si="13"/>
        <v>1993.0999999999583</v>
      </c>
      <c r="H30" s="1">
        <v>2711</v>
      </c>
      <c r="I30" s="54">
        <f t="shared" si="15"/>
        <v>5</v>
      </c>
      <c r="J30" s="38">
        <f t="shared" si="16"/>
        <v>9500</v>
      </c>
      <c r="K30" s="7">
        <v>13315.17</v>
      </c>
      <c r="L30" s="54">
        <f t="shared" si="18"/>
        <v>0</v>
      </c>
      <c r="M30" s="38">
        <f t="shared" si="19"/>
        <v>0</v>
      </c>
      <c r="N30" s="7">
        <v>2968.37</v>
      </c>
      <c r="O30" s="54">
        <f t="shared" si="20"/>
        <v>1.3530000000000655</v>
      </c>
      <c r="P30" s="38">
        <f t="shared" si="24"/>
        <v>2570.7000000001244</v>
      </c>
      <c r="Q30" s="7">
        <v>4723.04</v>
      </c>
      <c r="R30" s="54">
        <f t="shared" si="8"/>
        <v>0.51000000000021828</v>
      </c>
      <c r="S30" s="38">
        <f t="shared" si="22"/>
        <v>969.00000000041462</v>
      </c>
      <c r="T30" s="8">
        <f t="shared" si="25"/>
        <v>12.369999999998981</v>
      </c>
      <c r="U30" s="40">
        <f t="shared" si="23"/>
        <v>23502.999999998065</v>
      </c>
    </row>
    <row r="31" spans="1:24" ht="16.5" thickBot="1" x14ac:dyDescent="0.25">
      <c r="A31" s="10">
        <v>44284</v>
      </c>
      <c r="B31" s="1">
        <v>20272.973000000002</v>
      </c>
      <c r="C31" s="54">
        <f t="shared" si="10"/>
        <v>4.3320000000021537</v>
      </c>
      <c r="D31" s="38">
        <f t="shared" si="11"/>
        <v>8230.800000004092</v>
      </c>
      <c r="E31" s="1">
        <v>3508.45</v>
      </c>
      <c r="F31" s="54">
        <f t="shared" si="7"/>
        <v>1.1879999999996471</v>
      </c>
      <c r="G31" s="38">
        <f t="shared" si="13"/>
        <v>2257.1999999993295</v>
      </c>
      <c r="H31" s="1">
        <v>2717</v>
      </c>
      <c r="I31" s="54">
        <f t="shared" si="15"/>
        <v>6</v>
      </c>
      <c r="J31" s="38">
        <f t="shared" si="16"/>
        <v>11399.999999999998</v>
      </c>
      <c r="K31" s="7">
        <v>13315.17</v>
      </c>
      <c r="L31" s="54">
        <f t="shared" si="18"/>
        <v>0</v>
      </c>
      <c r="M31" s="38">
        <f t="shared" si="19"/>
        <v>0</v>
      </c>
      <c r="N31" s="7">
        <v>2969.761</v>
      </c>
      <c r="O31" s="54">
        <f t="shared" si="20"/>
        <v>1.3910000000000764</v>
      </c>
      <c r="P31" s="38">
        <f t="shared" si="24"/>
        <v>2642.9000000001452</v>
      </c>
      <c r="Q31" s="7">
        <v>4722.79</v>
      </c>
      <c r="R31" s="54" t="str">
        <f t="shared" si="8"/>
        <v>0</v>
      </c>
      <c r="S31" s="38">
        <f t="shared" si="22"/>
        <v>0</v>
      </c>
      <c r="T31" s="8">
        <f t="shared" si="25"/>
        <v>12.911000000001877</v>
      </c>
      <c r="U31" s="40">
        <f t="shared" si="23"/>
        <v>24530.900000003567</v>
      </c>
    </row>
    <row r="32" spans="1:24" ht="16.5" thickBot="1" x14ac:dyDescent="0.25">
      <c r="A32" s="10">
        <v>44285</v>
      </c>
      <c r="B32" s="1">
        <v>20276.262999999999</v>
      </c>
      <c r="C32" s="54">
        <f t="shared" si="10"/>
        <v>3.2899999999972351</v>
      </c>
      <c r="D32" s="38">
        <f t="shared" si="11"/>
        <v>6250.9999999947468</v>
      </c>
      <c r="E32" s="1">
        <v>3509.5659999999998</v>
      </c>
      <c r="F32" s="54">
        <f t="shared" si="7"/>
        <v>1.1159999999999854</v>
      </c>
      <c r="G32" s="38">
        <f t="shared" si="13"/>
        <v>2120.3999999999719</v>
      </c>
      <c r="H32" s="1">
        <v>2721</v>
      </c>
      <c r="I32" s="54">
        <f t="shared" si="15"/>
        <v>4</v>
      </c>
      <c r="J32" s="38">
        <f t="shared" si="16"/>
        <v>7600</v>
      </c>
      <c r="K32" s="7">
        <v>13315.91</v>
      </c>
      <c r="L32" s="54">
        <f t="shared" si="18"/>
        <v>0.73999999999978172</v>
      </c>
      <c r="M32" s="38">
        <f t="shared" si="19"/>
        <v>1405.999999999585</v>
      </c>
      <c r="N32" s="7">
        <v>2970.8620000000001</v>
      </c>
      <c r="O32" s="54">
        <f t="shared" si="20"/>
        <v>1.1010000000001128</v>
      </c>
      <c r="P32" s="38">
        <f t="shared" si="24"/>
        <v>2091.9000000002143</v>
      </c>
      <c r="Q32" s="7">
        <v>4723.67</v>
      </c>
      <c r="R32" s="54">
        <f t="shared" si="8"/>
        <v>0.88000000000010914</v>
      </c>
      <c r="S32" s="38">
        <f t="shared" si="22"/>
        <v>1672.0000000002074</v>
      </c>
      <c r="T32" s="8">
        <f t="shared" si="25"/>
        <v>11.126999999997224</v>
      </c>
      <c r="U32" s="40">
        <f t="shared" si="23"/>
        <v>21141.299999994724</v>
      </c>
    </row>
    <row r="33" spans="1:27" ht="16.5" thickBot="1" x14ac:dyDescent="0.25">
      <c r="A33" s="10">
        <v>44286</v>
      </c>
      <c r="B33" s="1">
        <v>20280.445</v>
      </c>
      <c r="C33" s="54">
        <v>4.125</v>
      </c>
      <c r="D33" s="38">
        <v>7837.4999999999991</v>
      </c>
      <c r="E33" s="1">
        <v>3510.6309999999999</v>
      </c>
      <c r="F33" s="54">
        <v>1.2909999999997126</v>
      </c>
      <c r="G33" s="38">
        <v>2452.8999999994539</v>
      </c>
      <c r="H33" s="1">
        <v>2727</v>
      </c>
      <c r="I33" s="54">
        <v>5</v>
      </c>
      <c r="J33" s="38">
        <v>9500</v>
      </c>
      <c r="K33" s="7">
        <v>13318.56</v>
      </c>
      <c r="L33" s="54">
        <v>0.80999999999949068</v>
      </c>
      <c r="M33" s="38">
        <v>1538.9999999990323</v>
      </c>
      <c r="N33" s="7">
        <v>2972.1869999999999</v>
      </c>
      <c r="O33" s="54">
        <v>1.1720000000000255</v>
      </c>
      <c r="P33" s="38">
        <v>2226.8000000000484</v>
      </c>
      <c r="Q33" s="7">
        <v>4724.13</v>
      </c>
      <c r="R33" s="54">
        <v>0.11499999999978172</v>
      </c>
      <c r="S33" s="38">
        <v>218.49999999958524</v>
      </c>
      <c r="T33" s="8">
        <v>12.51299999999901</v>
      </c>
      <c r="U33" s="40">
        <v>23774.69999999812</v>
      </c>
    </row>
    <row r="34" spans="1:27" s="26" customFormat="1" ht="16.5" thickBot="1" x14ac:dyDescent="0.25">
      <c r="A34" s="6" t="s">
        <v>24</v>
      </c>
      <c r="B34" s="162">
        <f t="shared" ref="B34:H34" si="27">SUM(B2:B33)</f>
        <v>646778.04099999997</v>
      </c>
      <c r="C34" s="162">
        <f t="shared" si="27"/>
        <v>131.0669999999991</v>
      </c>
      <c r="D34" s="162">
        <f>SUM(D2:D33)</f>
        <v>249027.2999999983</v>
      </c>
      <c r="E34" s="162">
        <f t="shared" si="27"/>
        <v>111763.25000000001</v>
      </c>
      <c r="F34" s="162">
        <f t="shared" si="27"/>
        <v>34.863999999999578</v>
      </c>
      <c r="G34" s="162">
        <f t="shared" si="27"/>
        <v>66241.599999999191</v>
      </c>
      <c r="H34" s="162">
        <f t="shared" si="27"/>
        <v>84571</v>
      </c>
      <c r="I34" s="162">
        <f t="shared" ref="I34" si="28">SUM(I5:I33)</f>
        <v>152</v>
      </c>
      <c r="J34" s="162">
        <f t="shared" ref="J34:S34" si="29">SUM(J2:J33)</f>
        <v>296400</v>
      </c>
      <c r="K34" s="162">
        <f>SUM(K2:K33)</f>
        <v>425663.13999999984</v>
      </c>
      <c r="L34" s="162">
        <f>SUM(L2:L33)</f>
        <v>27.479999999999563</v>
      </c>
      <c r="M34" s="162">
        <f t="shared" si="29"/>
        <v>52211.999999999171</v>
      </c>
      <c r="N34" s="162">
        <f>SUM(N2:N33)</f>
        <v>94405.418999999994</v>
      </c>
      <c r="O34" s="162">
        <f t="shared" si="29"/>
        <v>63.735000000000127</v>
      </c>
      <c r="P34" s="162">
        <f t="shared" si="29"/>
        <v>121096.5000000002</v>
      </c>
      <c r="Q34" s="162">
        <f t="shared" si="29"/>
        <v>150900.90000000002</v>
      </c>
      <c r="R34" s="162">
        <f t="shared" si="29"/>
        <v>16.474999999999454</v>
      </c>
      <c r="S34" s="162">
        <f t="shared" si="29"/>
        <v>31302.499999998963</v>
      </c>
      <c r="T34" s="162">
        <f>SUM(T2:T33)</f>
        <v>429.62099999999782</v>
      </c>
      <c r="U34" s="162">
        <f>SUM(U2:U33)</f>
        <v>816279.89999999572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Normal="100" workbookViewId="0">
      <selection activeCell="I31" sqref="I3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6" t="s">
        <v>142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</row>
    <row r="2" spans="1:11" ht="13.5" thickBot="1" x14ac:dyDescent="0.25">
      <c r="A2" s="108"/>
      <c r="B2" s="109" t="s">
        <v>93</v>
      </c>
      <c r="C2" s="110">
        <f>K8+K9+K14</f>
        <v>382345</v>
      </c>
      <c r="D2" s="110">
        <f>C2*1.27</f>
        <v>485578.15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25181492</v>
      </c>
      <c r="J3" s="158">
        <f>ELECT.!E33</f>
        <v>25442432</v>
      </c>
      <c r="K3" s="105">
        <f>J3-I3</f>
        <v>260940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78500836</v>
      </c>
      <c r="J4" s="158">
        <f>ELECT.!G33</f>
        <v>79883133</v>
      </c>
      <c r="K4" s="105">
        <f>J4-I4</f>
        <v>1382297</v>
      </c>
    </row>
    <row r="5" spans="1:11" ht="13.5" thickBot="1" x14ac:dyDescent="0.25">
      <c r="A5" s="108"/>
      <c r="B5" s="114" t="s">
        <v>28</v>
      </c>
      <c r="C5" s="118">
        <f>(K10+K12)*0.842284+K26</f>
        <v>785386.11296400009</v>
      </c>
      <c r="D5" s="118">
        <f t="shared" ref="D5:D11" si="0">C5*1.27</f>
        <v>997440.36346428015</v>
      </c>
      <c r="E5" s="119"/>
      <c r="F5" s="108"/>
      <c r="G5" s="108"/>
      <c r="H5" s="114" t="s">
        <v>24</v>
      </c>
      <c r="I5" s="120"/>
      <c r="J5" s="120"/>
      <c r="K5" s="145">
        <f>K3+K4</f>
        <v>1643237</v>
      </c>
    </row>
    <row r="6" spans="1:11" ht="13.5" thickBot="1" x14ac:dyDescent="0.25">
      <c r="A6" s="108"/>
      <c r="B6" s="114" t="s">
        <v>100</v>
      </c>
      <c r="C6" s="118">
        <f>(K10+K12+K26)*0.1488</f>
        <v>138427.3008</v>
      </c>
      <c r="D6" s="118">
        <f t="shared" si="0"/>
        <v>175802.672016</v>
      </c>
      <c r="E6" s="119"/>
      <c r="F6" s="108"/>
      <c r="G6" s="108"/>
      <c r="H6" s="114" t="s">
        <v>101</v>
      </c>
      <c r="I6" s="163">
        <f>ELECT.!J2</f>
        <v>7595749</v>
      </c>
      <c r="J6" s="159">
        <f>ELECT.!J33</f>
        <v>7757089</v>
      </c>
      <c r="K6" s="105">
        <f>J6-I6</f>
        <v>161340</v>
      </c>
    </row>
    <row r="7" spans="1:11" ht="13.5" thickBot="1" x14ac:dyDescent="0.25">
      <c r="A7" s="108"/>
      <c r="B7" s="114" t="s">
        <v>102</v>
      </c>
      <c r="C7" s="118">
        <f>(K6+K7)-(C8+C9+C10+C11+K26)</f>
        <v>262713</v>
      </c>
      <c r="D7" s="118">
        <f t="shared" si="0"/>
        <v>333645.51</v>
      </c>
      <c r="E7" s="119"/>
      <c r="F7" s="108"/>
      <c r="G7" s="108"/>
      <c r="H7" s="114" t="s">
        <v>103</v>
      </c>
      <c r="I7" s="163">
        <f>ELECT.!L2</f>
        <v>7600315</v>
      </c>
      <c r="J7" s="159">
        <f>ELECT.!L33</f>
        <v>7781096</v>
      </c>
      <c r="K7" s="105">
        <f>J7-I7</f>
        <v>180781</v>
      </c>
    </row>
    <row r="8" spans="1:11" ht="13.5" thickBot="1" x14ac:dyDescent="0.25">
      <c r="A8" s="108"/>
      <c r="B8" s="114" t="s">
        <v>104</v>
      </c>
      <c r="C8" s="118">
        <f>K21+K22+K23+K24</f>
        <v>35558</v>
      </c>
      <c r="D8" s="118">
        <f t="shared" si="0"/>
        <v>45158.66</v>
      </c>
      <c r="E8" s="119"/>
      <c r="F8" s="108"/>
      <c r="G8" s="108"/>
      <c r="H8" s="114" t="s">
        <v>105</v>
      </c>
      <c r="I8" s="163">
        <f>ELECT.!N2</f>
        <v>4972415</v>
      </c>
      <c r="J8" s="159">
        <f>ELECT.!N33</f>
        <v>5010068</v>
      </c>
      <c r="K8" s="105">
        <f>(J8-I8)*2</f>
        <v>75306</v>
      </c>
    </row>
    <row r="9" spans="1:11" ht="13.5" thickBot="1" x14ac:dyDescent="0.25">
      <c r="A9" s="108"/>
      <c r="B9" s="114" t="s">
        <v>138</v>
      </c>
      <c r="C9" s="118">
        <f>K25+K16+K17</f>
        <v>10469</v>
      </c>
      <c r="D9" s="118">
        <f t="shared" si="0"/>
        <v>13295.630000000001</v>
      </c>
      <c r="E9" s="119"/>
      <c r="F9" s="108"/>
      <c r="G9" s="108"/>
      <c r="H9" s="114" t="s">
        <v>106</v>
      </c>
      <c r="I9" s="163">
        <f>ELECT.!P2</f>
        <v>2644726</v>
      </c>
      <c r="J9" s="159">
        <f>ELECT.!P33</f>
        <v>2901868</v>
      </c>
      <c r="K9" s="105">
        <f>J9-I9</f>
        <v>257142</v>
      </c>
    </row>
    <row r="10" spans="1:11" ht="13.5" thickBot="1" x14ac:dyDescent="0.25">
      <c r="A10" s="108"/>
      <c r="B10" s="114" t="s">
        <v>107</v>
      </c>
      <c r="C10" s="118">
        <f>K18</f>
        <v>18080</v>
      </c>
      <c r="D10" s="118">
        <f t="shared" si="0"/>
        <v>22961.599999999999</v>
      </c>
      <c r="E10" s="119"/>
      <c r="F10" s="108"/>
      <c r="G10" s="108"/>
      <c r="H10" s="114" t="s">
        <v>108</v>
      </c>
      <c r="I10" s="163">
        <f>ELECT.!R2</f>
        <v>16718530</v>
      </c>
      <c r="J10" s="159">
        <f>ELECT.!R33</f>
        <v>16995683</v>
      </c>
      <c r="K10" s="105">
        <f>J10-I10</f>
        <v>277153</v>
      </c>
    </row>
    <row r="11" spans="1:11" ht="13.5" thickBot="1" x14ac:dyDescent="0.25">
      <c r="A11" s="108"/>
      <c r="B11" s="114" t="s">
        <v>109</v>
      </c>
      <c r="C11" s="118">
        <f>K19+K20</f>
        <v>3781</v>
      </c>
      <c r="D11" s="118">
        <f t="shared" si="0"/>
        <v>4801.87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4268410</v>
      </c>
      <c r="J12" s="159">
        <f>ELECT.!V33</f>
        <v>4589219</v>
      </c>
      <c r="K12" s="105">
        <f>(J12-I12)*2</f>
        <v>641618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1593340</v>
      </c>
    </row>
    <row r="14" spans="1:11" ht="13.5" thickBot="1" x14ac:dyDescent="0.25">
      <c r="A14" s="108"/>
      <c r="B14" s="114" t="s">
        <v>43</v>
      </c>
      <c r="C14" s="118">
        <f>K29</f>
        <v>19030</v>
      </c>
      <c r="D14" s="126">
        <f t="shared" ref="D14:D22" si="1">C14*10.03</f>
        <v>190870.9</v>
      </c>
      <c r="E14" s="127"/>
      <c r="F14" s="108"/>
      <c r="G14" s="108"/>
      <c r="H14" s="114" t="s">
        <v>115</v>
      </c>
      <c r="I14" s="123"/>
      <c r="J14" s="124"/>
      <c r="K14" s="106">
        <f>K5-K13</f>
        <v>49897</v>
      </c>
    </row>
    <row r="15" spans="1:11" ht="13.5" thickBot="1" x14ac:dyDescent="0.25">
      <c r="A15" s="108"/>
      <c r="B15" s="114" t="s">
        <v>116</v>
      </c>
      <c r="C15" s="128">
        <f>K30</f>
        <v>122.31</v>
      </c>
      <c r="D15" s="126">
        <f t="shared" si="1"/>
        <v>1226.7692999999999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1724.9575419999999</v>
      </c>
      <c r="D16" s="126">
        <f t="shared" si="1"/>
        <v>17301.324146259998</v>
      </c>
      <c r="E16" s="127"/>
      <c r="F16" s="108"/>
      <c r="G16" s="108"/>
      <c r="H16" s="129" t="s">
        <v>137</v>
      </c>
      <c r="I16" s="130">
        <f>'Mall, Citadel, Rotana'!T2</f>
        <v>3539</v>
      </c>
      <c r="J16" s="130">
        <f>'Mall, Citadel, Rotana'!T33</f>
        <v>3583</v>
      </c>
      <c r="K16" s="107">
        <f>(J16-I16)*160</f>
        <v>7040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24670</v>
      </c>
      <c r="J18" s="130">
        <f>'Mall, Citadel, Rotana'!L33</f>
        <v>24783</v>
      </c>
      <c r="K18" s="107">
        <f>(J18-I18)*160</f>
        <v>18080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67" t="s">
        <v>117</v>
      </c>
      <c r="F19" s="168"/>
      <c r="G19" s="108"/>
      <c r="H19" s="129" t="s">
        <v>118</v>
      </c>
      <c r="I19" s="130">
        <f>'Mall, Citadel, Rotana'!P2</f>
        <v>94770</v>
      </c>
      <c r="J19" s="130">
        <f>'Mall, Citadel, Rotana'!P33</f>
        <v>98551</v>
      </c>
      <c r="K19" s="107">
        <f>J19-I19</f>
        <v>3781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44890</v>
      </c>
      <c r="J21" s="130">
        <f>'Mall, Citadel, Rotana'!B33</f>
        <v>45047</v>
      </c>
      <c r="K21" s="107">
        <f>(J21-I21)*120</f>
        <v>18840</v>
      </c>
    </row>
    <row r="22" spans="1:11" ht="13.5" thickBot="1" x14ac:dyDescent="0.25">
      <c r="A22" s="108"/>
      <c r="B22" s="114" t="s">
        <v>120</v>
      </c>
      <c r="C22" s="126">
        <f>C14-(C15+C16+C17+C18+C19+C20+C21)</f>
        <v>11362.732458</v>
      </c>
      <c r="D22" s="126">
        <f t="shared" si="1"/>
        <v>113968.20655373999</v>
      </c>
      <c r="E22" s="127"/>
      <c r="F22" s="108"/>
      <c r="G22" s="108"/>
      <c r="H22" s="129" t="s">
        <v>16</v>
      </c>
      <c r="I22" s="130">
        <f>'Mall, Citadel, Rotana'!D2</f>
        <v>39308</v>
      </c>
      <c r="J22" s="130">
        <f>'Mall, Citadel, Rotana'!D33</f>
        <v>39395</v>
      </c>
      <c r="K22" s="107">
        <f>(J22-I22)*160</f>
        <v>13920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20120</v>
      </c>
      <c r="J23" s="130">
        <f>'Mall, Citadel, Rotana'!F33</f>
        <v>20224</v>
      </c>
      <c r="K23" s="107">
        <f>(J23-I23)*20</f>
        <v>2080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239183</v>
      </c>
      <c r="J24" s="130">
        <f>'Mall, Citadel, Rotana'!H33</f>
        <v>239901</v>
      </c>
      <c r="K24" s="107">
        <f>J24-I24</f>
        <v>718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209638</v>
      </c>
      <c r="J25" s="130">
        <f>'Mall, Citadel, Rotana'!N33</f>
        <v>213067</v>
      </c>
      <c r="K25" s="107">
        <f>J25-I25</f>
        <v>3429</v>
      </c>
    </row>
    <row r="26" spans="1:11" ht="13.5" thickBot="1" x14ac:dyDescent="0.25">
      <c r="A26" s="108"/>
      <c r="B26" s="114" t="s">
        <v>43</v>
      </c>
      <c r="C26" s="132">
        <f>K35</f>
        <v>77344</v>
      </c>
      <c r="D26" s="118">
        <f>C26*3.65</f>
        <v>282305.59999999998</v>
      </c>
      <c r="E26" s="119"/>
      <c r="F26" s="108"/>
      <c r="G26" s="108"/>
      <c r="H26" s="129" t="s">
        <v>124</v>
      </c>
      <c r="I26" s="139">
        <f>ELECT.!C2</f>
        <v>17997</v>
      </c>
      <c r="J26" s="139">
        <f>ELECT.!C33</f>
        <v>18069</v>
      </c>
      <c r="K26" s="107">
        <f>(J26-I26)*160</f>
        <v>11520</v>
      </c>
    </row>
    <row r="27" spans="1:11" ht="13.5" thickBot="1" x14ac:dyDescent="0.25">
      <c r="A27" s="108"/>
      <c r="B27" s="109" t="s">
        <v>125</v>
      </c>
      <c r="C27" s="132">
        <f>C26</f>
        <v>77344</v>
      </c>
      <c r="D27" s="118">
        <f>C27*3.65</f>
        <v>282305.59999999998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405614</v>
      </c>
      <c r="J29" s="130">
        <f>Water!B33</f>
        <v>407517</v>
      </c>
      <c r="K29" s="107">
        <f>(J29-I29)*10</f>
        <v>19030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721618</v>
      </c>
      <c r="J30" s="130">
        <f>Water!H33</f>
        <v>726148</v>
      </c>
      <c r="K30" s="107">
        <f>(J30-I30)*0.027</f>
        <v>122.31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3422000</v>
      </c>
      <c r="J31" s="130">
        <f>Water!D33</f>
        <v>3781100</v>
      </c>
      <c r="K31" s="107">
        <f>(J31-I31)*0.027</f>
        <v>9695.7000000000007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2277500</v>
      </c>
      <c r="J32" s="130">
        <f>Water!F33</f>
        <v>2534500</v>
      </c>
      <c r="K32" s="107">
        <f>(J32-I32)*0.027</f>
        <v>6939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17175001</v>
      </c>
      <c r="J35" s="161">
        <f>Gas!B33</f>
        <v>17252345</v>
      </c>
      <c r="K35" s="138">
        <f>J35-I35</f>
        <v>77344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5" zoomScaleNormal="100" workbookViewId="0">
      <selection activeCell="N37" sqref="N37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139</v>
      </c>
      <c r="F1" s="69" t="s">
        <v>140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140</v>
      </c>
      <c r="M1" s="69" t="s">
        <v>143</v>
      </c>
      <c r="N1" s="69" t="s">
        <v>92</v>
      </c>
      <c r="O1" s="70" t="s">
        <v>80</v>
      </c>
    </row>
    <row r="2" spans="2:15" ht="15" x14ac:dyDescent="0.2">
      <c r="B2" s="67"/>
      <c r="C2" s="169">
        <v>6</v>
      </c>
      <c r="D2" s="71" t="s">
        <v>81</v>
      </c>
      <c r="E2" s="72">
        <v>272089</v>
      </c>
      <c r="F2" s="72">
        <v>274698</v>
      </c>
      <c r="G2" s="73">
        <f>F2-E2</f>
        <v>2609</v>
      </c>
      <c r="H2" s="74"/>
      <c r="J2" s="169">
        <v>6</v>
      </c>
      <c r="K2" s="71" t="s">
        <v>81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1"/>
      <c r="D3" s="71" t="s">
        <v>82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1"/>
      <c r="K3" s="71" t="s">
        <v>82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0"/>
      <c r="D4" s="71" t="s">
        <v>83</v>
      </c>
      <c r="E4" s="72">
        <v>186678</v>
      </c>
      <c r="F4" s="72">
        <v>187896</v>
      </c>
      <c r="G4" s="73">
        <f t="shared" si="0"/>
        <v>1218</v>
      </c>
      <c r="H4" s="74"/>
      <c r="J4" s="170"/>
      <c r="K4" s="71" t="s">
        <v>83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69">
        <v>7</v>
      </c>
      <c r="D5" s="71" t="s">
        <v>81</v>
      </c>
      <c r="E5" s="72">
        <v>234919</v>
      </c>
      <c r="F5" s="72">
        <v>235909</v>
      </c>
      <c r="G5" s="73">
        <f t="shared" si="0"/>
        <v>990</v>
      </c>
      <c r="H5" s="74"/>
      <c r="J5" s="169">
        <v>7</v>
      </c>
      <c r="K5" s="71" t="s">
        <v>81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1"/>
      <c r="D6" s="71" t="s">
        <v>82</v>
      </c>
      <c r="E6" s="72">
        <v>153441</v>
      </c>
      <c r="F6" s="72">
        <v>153504</v>
      </c>
      <c r="G6" s="73">
        <f t="shared" si="0"/>
        <v>63</v>
      </c>
      <c r="H6" s="74"/>
      <c r="J6" s="171"/>
      <c r="K6" s="71" t="s">
        <v>82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0"/>
      <c r="D7" s="71" t="s">
        <v>83</v>
      </c>
      <c r="E7" s="72">
        <v>115849</v>
      </c>
      <c r="F7" s="72">
        <v>116610</v>
      </c>
      <c r="G7" s="73">
        <f t="shared" si="0"/>
        <v>761</v>
      </c>
      <c r="H7" s="74"/>
      <c r="J7" s="170"/>
      <c r="K7" s="71" t="s">
        <v>83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69">
        <v>8</v>
      </c>
      <c r="D8" s="71" t="s">
        <v>81</v>
      </c>
      <c r="E8" s="72">
        <v>71827</v>
      </c>
      <c r="F8" s="72">
        <v>72003</v>
      </c>
      <c r="G8" s="73">
        <f t="shared" si="0"/>
        <v>176</v>
      </c>
      <c r="H8" s="74"/>
      <c r="J8" s="169">
        <v>8</v>
      </c>
      <c r="K8" s="71" t="s">
        <v>81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1"/>
      <c r="D9" s="71" t="s">
        <v>82</v>
      </c>
      <c r="E9" s="72">
        <v>1580</v>
      </c>
      <c r="F9" s="72">
        <v>1580</v>
      </c>
      <c r="G9" s="73">
        <f t="shared" si="0"/>
        <v>0</v>
      </c>
      <c r="H9" s="76" t="s">
        <v>13</v>
      </c>
      <c r="J9" s="171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0"/>
      <c r="D10" s="71" t="s">
        <v>83</v>
      </c>
      <c r="E10" s="72">
        <v>94047</v>
      </c>
      <c r="F10" s="72">
        <v>94510</v>
      </c>
      <c r="G10" s="73">
        <f t="shared" si="0"/>
        <v>463</v>
      </c>
      <c r="H10" s="74"/>
      <c r="J10" s="170"/>
      <c r="K10" s="71" t="s">
        <v>83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69">
        <v>9</v>
      </c>
      <c r="D11" s="71" t="s">
        <v>81</v>
      </c>
      <c r="E11" s="72">
        <v>34479</v>
      </c>
      <c r="F11" s="72">
        <v>39500</v>
      </c>
      <c r="G11" s="73">
        <f t="shared" si="0"/>
        <v>5021</v>
      </c>
      <c r="H11" s="74"/>
      <c r="J11" s="169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1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71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0"/>
      <c r="D13" s="71" t="s">
        <v>83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0"/>
      <c r="K13" s="71" t="s">
        <v>83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69">
        <v>10</v>
      </c>
      <c r="D14" s="71" t="s">
        <v>81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69">
        <v>10</v>
      </c>
      <c r="K14" s="71" t="s">
        <v>81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1"/>
      <c r="D15" s="71" t="s">
        <v>82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1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0"/>
      <c r="D16" s="71" t="s">
        <v>83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0"/>
      <c r="K16" s="71" t="s">
        <v>83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69">
        <v>11</v>
      </c>
      <c r="D17" s="71" t="s">
        <v>81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69">
        <v>11</v>
      </c>
      <c r="K17" s="71" t="s">
        <v>81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1"/>
      <c r="D18" s="71" t="s">
        <v>82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1"/>
      <c r="K18" s="71" t="s">
        <v>82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0"/>
      <c r="D19" s="71" t="s">
        <v>83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0"/>
      <c r="K19" s="71" t="s">
        <v>83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69">
        <v>12</v>
      </c>
      <c r="D20" s="71" t="s">
        <v>81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69">
        <v>12</v>
      </c>
      <c r="K20" s="71" t="s">
        <v>81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1"/>
      <c r="D21" s="71" t="s">
        <v>82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13</v>
      </c>
      <c r="J21" s="171"/>
      <c r="K21" s="71" t="s">
        <v>82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0"/>
      <c r="D22" s="71" t="s">
        <v>83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0"/>
      <c r="K22" s="71" t="s">
        <v>83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69">
        <v>14</v>
      </c>
      <c r="D23" s="71" t="s">
        <v>81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69">
        <v>14</v>
      </c>
      <c r="K23" s="71" t="s">
        <v>81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1"/>
      <c r="D24" s="71" t="s">
        <v>82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1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0"/>
      <c r="D25" s="71" t="s">
        <v>83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0"/>
      <c r="K25" s="71" t="s">
        <v>83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69">
        <v>15</v>
      </c>
      <c r="D26" s="71" t="s">
        <v>81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13</v>
      </c>
      <c r="J26" s="169">
        <v>15</v>
      </c>
      <c r="K26" s="71" t="s">
        <v>81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1"/>
      <c r="D27" s="71" t="s">
        <v>82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13</v>
      </c>
      <c r="J27" s="171"/>
      <c r="K27" s="71" t="s">
        <v>82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0"/>
      <c r="D28" s="71" t="s">
        <v>83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0"/>
      <c r="K28" s="71" t="s">
        <v>83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69">
        <v>16</v>
      </c>
      <c r="D29" s="71" t="s">
        <v>81</v>
      </c>
      <c r="E29" s="79">
        <v>97965</v>
      </c>
      <c r="F29" s="79">
        <v>97965</v>
      </c>
      <c r="G29" s="73">
        <f t="shared" si="0"/>
        <v>0</v>
      </c>
      <c r="H29" s="76" t="s">
        <v>13</v>
      </c>
      <c r="I29" s="78"/>
      <c r="J29" s="169">
        <v>16</v>
      </c>
      <c r="K29" s="71" t="s">
        <v>81</v>
      </c>
      <c r="L29" s="79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71"/>
      <c r="D30" s="71" t="s">
        <v>82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1"/>
      <c r="K30" s="71" t="s">
        <v>82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0"/>
      <c r="D31" s="71" t="s">
        <v>83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0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69">
        <v>17</v>
      </c>
      <c r="D32" s="71" t="s">
        <v>81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69">
        <v>17</v>
      </c>
      <c r="K32" s="71" t="s">
        <v>81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1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1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0"/>
      <c r="D34" s="71" t="s">
        <v>83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0"/>
      <c r="K34" s="71" t="s">
        <v>83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69">
        <v>18</v>
      </c>
      <c r="D35" s="71" t="s">
        <v>81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69">
        <v>18</v>
      </c>
      <c r="K35" s="71" t="s">
        <v>81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1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1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0"/>
      <c r="D37" s="71" t="s">
        <v>83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0"/>
      <c r="K37" s="71" t="s">
        <v>83</v>
      </c>
      <c r="L37" s="72">
        <v>72822</v>
      </c>
      <c r="M37" s="72">
        <v>74162</v>
      </c>
      <c r="N37" s="73">
        <f t="shared" si="1"/>
        <v>1340</v>
      </c>
      <c r="O37" s="74"/>
    </row>
    <row r="38" spans="2:15" ht="15" x14ac:dyDescent="0.2">
      <c r="B38" s="67"/>
      <c r="C38" s="169">
        <v>19</v>
      </c>
      <c r="D38" s="71" t="s">
        <v>81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69">
        <v>19</v>
      </c>
      <c r="K38" s="71" t="s">
        <v>81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1"/>
      <c r="D39" s="71" t="s">
        <v>82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1"/>
      <c r="K39" s="71" t="s">
        <v>82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0"/>
      <c r="D40" s="71" t="s">
        <v>83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0"/>
      <c r="K40" s="71" t="s">
        <v>83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69">
        <v>20</v>
      </c>
      <c r="D41" s="71" t="s">
        <v>81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69">
        <v>20</v>
      </c>
      <c r="K41" s="71" t="s">
        <v>81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1"/>
      <c r="D42" s="71" t="s">
        <v>82</v>
      </c>
      <c r="E42" s="79">
        <v>68225</v>
      </c>
      <c r="F42" s="79">
        <v>68333</v>
      </c>
      <c r="G42" s="73">
        <f t="shared" si="0"/>
        <v>108</v>
      </c>
      <c r="H42" s="74"/>
      <c r="J42" s="171"/>
      <c r="K42" s="71" t="s">
        <v>82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0"/>
      <c r="D43" s="71" t="s">
        <v>83</v>
      </c>
      <c r="E43" s="72">
        <v>3223</v>
      </c>
      <c r="F43" s="72">
        <v>3224</v>
      </c>
      <c r="G43" s="73">
        <f t="shared" si="0"/>
        <v>1</v>
      </c>
      <c r="H43" s="74"/>
      <c r="J43" s="170"/>
      <c r="K43" s="71" t="s">
        <v>83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69">
        <v>21</v>
      </c>
      <c r="D45" s="87" t="s">
        <v>84</v>
      </c>
      <c r="E45" s="72">
        <v>3114</v>
      </c>
      <c r="F45" s="72">
        <v>3182</v>
      </c>
      <c r="G45" s="73">
        <f t="shared" si="0"/>
        <v>68</v>
      </c>
      <c r="H45" s="76" t="s">
        <v>13</v>
      </c>
      <c r="J45" s="169">
        <v>21</v>
      </c>
      <c r="K45" s="87" t="s">
        <v>84</v>
      </c>
      <c r="L45" s="72">
        <v>3182</v>
      </c>
      <c r="M45" s="72">
        <v>3182</v>
      </c>
      <c r="N45" s="73">
        <f t="shared" si="1"/>
        <v>0</v>
      </c>
      <c r="O45" s="76" t="s">
        <v>13</v>
      </c>
    </row>
    <row r="46" spans="2:15" ht="15" x14ac:dyDescent="0.2">
      <c r="B46" s="67"/>
      <c r="C46" s="171"/>
      <c r="D46" s="87" t="s">
        <v>83</v>
      </c>
      <c r="E46" s="72">
        <v>38096</v>
      </c>
      <c r="F46" s="72">
        <v>38125</v>
      </c>
      <c r="G46" s="73">
        <f t="shared" si="0"/>
        <v>29</v>
      </c>
      <c r="H46" s="74"/>
      <c r="J46" s="171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69">
        <v>22</v>
      </c>
      <c r="D47" s="87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69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1"/>
      <c r="D48" s="87" t="s">
        <v>83</v>
      </c>
      <c r="E48" s="88">
        <v>18873</v>
      </c>
      <c r="F48" s="88">
        <v>19003</v>
      </c>
      <c r="G48" s="73">
        <f t="shared" si="0"/>
        <v>130</v>
      </c>
      <c r="H48" s="74"/>
      <c r="J48" s="171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69">
        <v>23</v>
      </c>
      <c r="D49" s="71" t="s">
        <v>84</v>
      </c>
      <c r="E49" s="88"/>
      <c r="F49" s="88"/>
      <c r="G49" s="73">
        <f t="shared" si="0"/>
        <v>0</v>
      </c>
      <c r="H49" s="74"/>
      <c r="J49" s="169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1"/>
      <c r="D50" s="71" t="s">
        <v>83</v>
      </c>
      <c r="E50" s="88"/>
      <c r="F50" s="88"/>
      <c r="G50" s="73">
        <f t="shared" si="0"/>
        <v>0</v>
      </c>
      <c r="H50" s="74"/>
      <c r="J50" s="171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2">
        <v>24</v>
      </c>
      <c r="D52" s="71" t="s">
        <v>85</v>
      </c>
      <c r="E52" s="79">
        <v>236508</v>
      </c>
      <c r="F52" s="79">
        <v>237611</v>
      </c>
      <c r="G52" s="73">
        <f t="shared" si="0"/>
        <v>1103</v>
      </c>
      <c r="H52" s="90"/>
      <c r="J52" s="172">
        <v>24</v>
      </c>
      <c r="K52" s="71" t="s">
        <v>85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3"/>
      <c r="D53" s="71" t="s">
        <v>86</v>
      </c>
      <c r="E53" s="79">
        <v>533385</v>
      </c>
      <c r="F53" s="79">
        <v>533854</v>
      </c>
      <c r="G53" s="73">
        <f t="shared" si="0"/>
        <v>469</v>
      </c>
      <c r="H53" s="82"/>
      <c r="J53" s="173"/>
      <c r="K53" s="71" t="s">
        <v>86</v>
      </c>
      <c r="L53" s="79">
        <v>533854</v>
      </c>
      <c r="M53" s="79">
        <v>534339</v>
      </c>
      <c r="N53" s="73">
        <f t="shared" si="1"/>
        <v>485</v>
      </c>
      <c r="O53" s="82"/>
    </row>
    <row r="54" spans="1:15" ht="15" x14ac:dyDescent="0.2">
      <c r="B54" s="67"/>
      <c r="C54" s="174"/>
      <c r="D54" s="71" t="s">
        <v>85</v>
      </c>
      <c r="E54" s="79">
        <v>34567</v>
      </c>
      <c r="F54" s="79">
        <v>34567</v>
      </c>
      <c r="G54" s="73">
        <f t="shared" si="0"/>
        <v>0</v>
      </c>
      <c r="H54" s="91" t="s">
        <v>13</v>
      </c>
      <c r="J54" s="174"/>
      <c r="K54" s="71" t="s">
        <v>85</v>
      </c>
      <c r="L54" s="79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69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69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0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0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69">
        <v>26</v>
      </c>
      <c r="D57" s="71" t="s">
        <v>85</v>
      </c>
      <c r="E57" s="72">
        <v>685258</v>
      </c>
      <c r="F57" s="72">
        <v>688763</v>
      </c>
      <c r="G57" s="73">
        <f t="shared" si="0"/>
        <v>3505</v>
      </c>
      <c r="H57" s="74"/>
      <c r="J57" s="169">
        <v>26</v>
      </c>
      <c r="K57" s="71" t="s">
        <v>85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0"/>
      <c r="D58" s="71" t="s">
        <v>86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0"/>
      <c r="K58" s="71" t="s">
        <v>86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69">
        <v>27</v>
      </c>
      <c r="D59" s="71" t="s">
        <v>85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69">
        <v>27</v>
      </c>
      <c r="K59" s="71" t="s">
        <v>85</v>
      </c>
      <c r="L59" s="72">
        <v>234450</v>
      </c>
      <c r="M59" s="72">
        <v>235568</v>
      </c>
      <c r="N59" s="73">
        <f t="shared" si="1"/>
        <v>1118</v>
      </c>
      <c r="O59" s="74"/>
    </row>
    <row r="60" spans="1:15" ht="15" x14ac:dyDescent="0.2">
      <c r="A60" s="78"/>
      <c r="B60" s="67"/>
      <c r="C60" s="170"/>
      <c r="D60" s="71" t="s">
        <v>86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0"/>
      <c r="K60" s="71" t="s">
        <v>86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69">
        <v>28</v>
      </c>
      <c r="D62" s="178" t="s">
        <v>87</v>
      </c>
      <c r="E62" s="72"/>
      <c r="F62" s="72"/>
      <c r="G62" s="73"/>
      <c r="H62" s="180" t="s">
        <v>88</v>
      </c>
      <c r="I62" s="78"/>
      <c r="J62" s="169">
        <v>28</v>
      </c>
      <c r="K62" s="178" t="s">
        <v>87</v>
      </c>
      <c r="L62" s="72"/>
      <c r="M62" s="72"/>
      <c r="N62" s="73"/>
      <c r="O62" s="180" t="s">
        <v>88</v>
      </c>
    </row>
    <row r="63" spans="1:15" ht="15" x14ac:dyDescent="0.2">
      <c r="A63" s="78"/>
      <c r="B63" s="67"/>
      <c r="C63" s="170"/>
      <c r="D63" s="179"/>
      <c r="E63" s="72"/>
      <c r="F63" s="72"/>
      <c r="G63" s="73"/>
      <c r="H63" s="181"/>
      <c r="I63" s="78"/>
      <c r="J63" s="170"/>
      <c r="K63" s="179"/>
      <c r="L63" s="72"/>
      <c r="M63" s="72"/>
      <c r="N63" s="73"/>
      <c r="O63" s="181"/>
    </row>
    <row r="64" spans="1:15" x14ac:dyDescent="0.2">
      <c r="A64" s="78"/>
      <c r="B64" s="67"/>
      <c r="C64" s="182" t="s">
        <v>89</v>
      </c>
      <c r="D64" s="182"/>
      <c r="E64" s="182"/>
      <c r="F64" s="182"/>
      <c r="G64" s="93">
        <f>SUM(G2:G63)</f>
        <v>36510</v>
      </c>
      <c r="H64" s="94"/>
      <c r="I64" s="78"/>
      <c r="J64" s="182" t="s">
        <v>89</v>
      </c>
      <c r="K64" s="182"/>
      <c r="L64" s="182"/>
      <c r="M64" s="182"/>
      <c r="N64" s="93">
        <f>SUM(N2:N63)</f>
        <v>29021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83">
        <v>44228</v>
      </c>
      <c r="C69" s="184"/>
      <c r="D69" s="184"/>
      <c r="E69" s="185"/>
      <c r="F69" s="97"/>
      <c r="G69" s="183">
        <v>44256</v>
      </c>
      <c r="H69" s="184"/>
      <c r="I69" s="184"/>
      <c r="J69" s="185"/>
      <c r="K69" s="97"/>
      <c r="L69" s="175" t="s">
        <v>26</v>
      </c>
      <c r="M69" s="176"/>
      <c r="N69" s="176"/>
      <c r="O69" s="177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90775</v>
      </c>
      <c r="D71" s="102">
        <v>54843</v>
      </c>
      <c r="E71" s="103">
        <v>78552</v>
      </c>
      <c r="F71" s="95"/>
      <c r="G71" s="100">
        <v>6</v>
      </c>
      <c r="H71" s="101">
        <v>91470</v>
      </c>
      <c r="I71" s="102">
        <v>54889</v>
      </c>
      <c r="J71" s="103">
        <v>78552</v>
      </c>
      <c r="K71" s="95"/>
      <c r="L71" s="99">
        <v>6</v>
      </c>
      <c r="M71" s="104">
        <f>H71-C71</f>
        <v>695</v>
      </c>
      <c r="N71" s="104">
        <f>I71-D71</f>
        <v>46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94967</v>
      </c>
      <c r="D72" s="102">
        <v>103139</v>
      </c>
      <c r="E72" s="103">
        <v>62576</v>
      </c>
      <c r="F72" s="95"/>
      <c r="G72" s="100">
        <v>7</v>
      </c>
      <c r="H72" s="101">
        <v>95126</v>
      </c>
      <c r="I72" s="102">
        <v>103305</v>
      </c>
      <c r="J72" s="103">
        <v>62782</v>
      </c>
      <c r="K72" s="95"/>
      <c r="L72" s="99">
        <v>7</v>
      </c>
      <c r="M72" s="104">
        <f t="shared" ref="M72:O94" si="2">H72-C72</f>
        <v>159</v>
      </c>
      <c r="N72" s="104">
        <f t="shared" si="2"/>
        <v>166</v>
      </c>
      <c r="O72" s="104">
        <f t="shared" si="2"/>
        <v>206</v>
      </c>
    </row>
    <row r="73" spans="1:15" ht="15.75" thickBot="1" x14ac:dyDescent="0.25">
      <c r="A73" s="95"/>
      <c r="B73" s="100">
        <v>8</v>
      </c>
      <c r="C73" s="101">
        <v>110347</v>
      </c>
      <c r="D73" s="102">
        <v>242489</v>
      </c>
      <c r="E73" s="103">
        <v>105323</v>
      </c>
      <c r="F73" s="95"/>
      <c r="G73" s="100">
        <v>8</v>
      </c>
      <c r="H73" s="101">
        <v>110953</v>
      </c>
      <c r="I73" s="102">
        <v>242857</v>
      </c>
      <c r="J73" s="103">
        <v>105408</v>
      </c>
      <c r="K73" s="95"/>
      <c r="L73" s="99">
        <v>8</v>
      </c>
      <c r="M73" s="104">
        <f t="shared" si="2"/>
        <v>606</v>
      </c>
      <c r="N73" s="104">
        <f t="shared" si="2"/>
        <v>368</v>
      </c>
      <c r="O73" s="104">
        <f t="shared" si="2"/>
        <v>85</v>
      </c>
    </row>
    <row r="74" spans="1:15" ht="15.75" thickBot="1" x14ac:dyDescent="0.25">
      <c r="A74" s="95"/>
      <c r="B74" s="100">
        <v>9</v>
      </c>
      <c r="C74" s="101">
        <v>67954</v>
      </c>
      <c r="D74" s="102">
        <v>148472</v>
      </c>
      <c r="E74" s="103">
        <v>147276</v>
      </c>
      <c r="F74" s="95"/>
      <c r="G74" s="100">
        <v>9</v>
      </c>
      <c r="H74" s="101">
        <v>68063</v>
      </c>
      <c r="I74" s="102">
        <v>149328</v>
      </c>
      <c r="J74" s="103">
        <v>148112</v>
      </c>
      <c r="K74" s="95"/>
      <c r="L74" s="99">
        <v>9</v>
      </c>
      <c r="M74" s="104">
        <f t="shared" si="2"/>
        <v>109</v>
      </c>
      <c r="N74" s="104">
        <f t="shared" si="2"/>
        <v>856</v>
      </c>
      <c r="O74" s="104">
        <f t="shared" si="2"/>
        <v>836</v>
      </c>
    </row>
    <row r="75" spans="1:15" ht="15.75" thickBot="1" x14ac:dyDescent="0.25">
      <c r="A75" s="95"/>
      <c r="B75" s="100">
        <v>10</v>
      </c>
      <c r="C75" s="101">
        <v>68687</v>
      </c>
      <c r="D75" s="102">
        <v>110346</v>
      </c>
      <c r="E75" s="103">
        <v>140694</v>
      </c>
      <c r="F75" s="95"/>
      <c r="G75" s="100">
        <v>10</v>
      </c>
      <c r="H75" s="101">
        <v>69195</v>
      </c>
      <c r="I75" s="102">
        <v>110744</v>
      </c>
      <c r="J75" s="103">
        <v>141284</v>
      </c>
      <c r="K75" s="95"/>
      <c r="L75" s="99">
        <v>10</v>
      </c>
      <c r="M75" s="104">
        <f t="shared" si="2"/>
        <v>508</v>
      </c>
      <c r="N75" s="104">
        <f t="shared" si="2"/>
        <v>398</v>
      </c>
      <c r="O75" s="104">
        <f t="shared" si="2"/>
        <v>590</v>
      </c>
    </row>
    <row r="76" spans="1:15" ht="15.75" thickBot="1" x14ac:dyDescent="0.25">
      <c r="A76" s="95"/>
      <c r="B76" s="100">
        <v>11</v>
      </c>
      <c r="C76" s="101">
        <v>150937</v>
      </c>
      <c r="D76" s="102">
        <v>179158</v>
      </c>
      <c r="E76" s="103">
        <v>210113</v>
      </c>
      <c r="F76" s="95"/>
      <c r="G76" s="100">
        <v>11</v>
      </c>
      <c r="H76" s="101">
        <v>151372</v>
      </c>
      <c r="I76" s="102">
        <v>179549</v>
      </c>
      <c r="J76" s="103">
        <v>210251</v>
      </c>
      <c r="K76" s="95"/>
      <c r="L76" s="99">
        <v>11</v>
      </c>
      <c r="M76" s="104">
        <f t="shared" si="2"/>
        <v>435</v>
      </c>
      <c r="N76" s="104">
        <f t="shared" si="2"/>
        <v>391</v>
      </c>
      <c r="O76" s="104">
        <f t="shared" si="2"/>
        <v>138</v>
      </c>
    </row>
    <row r="77" spans="1:15" ht="15.75" thickBot="1" x14ac:dyDescent="0.25">
      <c r="A77" s="95"/>
      <c r="B77" s="100">
        <v>12</v>
      </c>
      <c r="C77" s="101">
        <v>146499</v>
      </c>
      <c r="D77" s="102">
        <v>95492</v>
      </c>
      <c r="E77" s="103">
        <v>100024</v>
      </c>
      <c r="F77" s="95"/>
      <c r="G77" s="100">
        <v>12</v>
      </c>
      <c r="H77" s="101">
        <v>147165</v>
      </c>
      <c r="I77" s="102">
        <v>95707</v>
      </c>
      <c r="J77" s="103">
        <v>100054</v>
      </c>
      <c r="K77" s="95"/>
      <c r="L77" s="99">
        <v>12</v>
      </c>
      <c r="M77" s="104">
        <f t="shared" si="2"/>
        <v>666</v>
      </c>
      <c r="N77" s="104">
        <f>I77-D77</f>
        <v>215</v>
      </c>
      <c r="O77" s="104">
        <f t="shared" si="2"/>
        <v>30</v>
      </c>
    </row>
    <row r="78" spans="1:15" ht="15.75" thickBot="1" x14ac:dyDescent="0.25">
      <c r="A78" s="95"/>
      <c r="B78" s="100">
        <v>14</v>
      </c>
      <c r="C78" s="101">
        <v>123654</v>
      </c>
      <c r="D78" s="102">
        <v>47628</v>
      </c>
      <c r="E78" s="103">
        <v>50623</v>
      </c>
      <c r="F78" s="95"/>
      <c r="G78" s="100">
        <v>14</v>
      </c>
      <c r="H78" s="101">
        <v>123657</v>
      </c>
      <c r="I78" s="102">
        <v>47659</v>
      </c>
      <c r="J78" s="103">
        <v>50711</v>
      </c>
      <c r="K78" s="95"/>
      <c r="L78" s="99">
        <v>14</v>
      </c>
      <c r="M78" s="104">
        <f t="shared" si="2"/>
        <v>3</v>
      </c>
      <c r="N78" s="104">
        <f t="shared" si="2"/>
        <v>31</v>
      </c>
      <c r="O78" s="104">
        <f t="shared" si="2"/>
        <v>88</v>
      </c>
    </row>
    <row r="79" spans="1:15" ht="15.75" thickBot="1" x14ac:dyDescent="0.25">
      <c r="A79" s="95"/>
      <c r="B79" s="100">
        <v>15</v>
      </c>
      <c r="C79" s="101">
        <v>164622</v>
      </c>
      <c r="D79" s="103">
        <v>143229</v>
      </c>
      <c r="E79" s="103">
        <v>155553</v>
      </c>
      <c r="F79" s="95"/>
      <c r="G79" s="100">
        <v>15</v>
      </c>
      <c r="H79" s="101">
        <v>165166</v>
      </c>
      <c r="I79" s="102">
        <v>144390</v>
      </c>
      <c r="J79" s="103">
        <v>156136</v>
      </c>
      <c r="K79" s="95"/>
      <c r="L79" s="99">
        <v>15</v>
      </c>
      <c r="M79" s="104">
        <f t="shared" si="2"/>
        <v>544</v>
      </c>
      <c r="N79" s="104">
        <f t="shared" si="2"/>
        <v>1161</v>
      </c>
      <c r="O79" s="104">
        <f t="shared" si="2"/>
        <v>583</v>
      </c>
    </row>
    <row r="80" spans="1:15" ht="15.75" thickBot="1" x14ac:dyDescent="0.25">
      <c r="A80" s="95"/>
      <c r="B80" s="100">
        <v>16</v>
      </c>
      <c r="C80" s="101">
        <v>120434</v>
      </c>
      <c r="D80" s="102">
        <v>144955</v>
      </c>
      <c r="E80" s="103">
        <v>214702</v>
      </c>
      <c r="F80" s="95"/>
      <c r="G80" s="100">
        <v>16</v>
      </c>
      <c r="H80" s="101">
        <v>120591</v>
      </c>
      <c r="I80" s="102">
        <v>145481</v>
      </c>
      <c r="J80" s="103">
        <v>214855</v>
      </c>
      <c r="K80" s="95"/>
      <c r="L80" s="99">
        <v>16</v>
      </c>
      <c r="M80" s="104">
        <f t="shared" si="2"/>
        <v>157</v>
      </c>
      <c r="N80" s="104">
        <f t="shared" si="2"/>
        <v>526</v>
      </c>
      <c r="O80" s="104">
        <f t="shared" si="2"/>
        <v>153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84120</v>
      </c>
      <c r="E81" s="103">
        <v>201146</v>
      </c>
      <c r="F81" s="95"/>
      <c r="G81" s="100">
        <v>17</v>
      </c>
      <c r="H81" s="101">
        <v>38476</v>
      </c>
      <c r="I81" s="102">
        <v>84399</v>
      </c>
      <c r="J81" s="103">
        <v>201455</v>
      </c>
      <c r="K81" s="95"/>
      <c r="L81" s="99">
        <v>17</v>
      </c>
      <c r="M81" s="104">
        <f t="shared" si="2"/>
        <v>0</v>
      </c>
      <c r="N81" s="104">
        <f t="shared" si="2"/>
        <v>279</v>
      </c>
      <c r="O81" s="104">
        <f t="shared" si="2"/>
        <v>309</v>
      </c>
    </row>
    <row r="82" spans="1:15" ht="15.75" thickBot="1" x14ac:dyDescent="0.25">
      <c r="A82" s="95"/>
      <c r="B82" s="100">
        <v>18</v>
      </c>
      <c r="C82" s="101">
        <v>135815</v>
      </c>
      <c r="D82" s="102">
        <v>71782</v>
      </c>
      <c r="E82" s="103">
        <v>161761</v>
      </c>
      <c r="F82" s="95"/>
      <c r="G82" s="100">
        <v>18</v>
      </c>
      <c r="H82" s="101">
        <v>135942</v>
      </c>
      <c r="I82" s="102">
        <v>71992</v>
      </c>
      <c r="J82" s="103">
        <v>162109</v>
      </c>
      <c r="K82" s="95"/>
      <c r="L82" s="99">
        <v>18</v>
      </c>
      <c r="M82" s="104">
        <f t="shared" si="2"/>
        <v>127</v>
      </c>
      <c r="N82" s="104">
        <f t="shared" si="2"/>
        <v>210</v>
      </c>
      <c r="O82" s="104">
        <f t="shared" si="2"/>
        <v>348</v>
      </c>
    </row>
    <row r="83" spans="1:15" ht="15.75" thickBot="1" x14ac:dyDescent="0.25">
      <c r="A83" s="95"/>
      <c r="B83" s="100">
        <v>19</v>
      </c>
      <c r="C83" s="101">
        <v>74571</v>
      </c>
      <c r="D83" s="102">
        <v>168677</v>
      </c>
      <c r="E83" s="103">
        <v>118794</v>
      </c>
      <c r="F83" s="95"/>
      <c r="G83" s="100">
        <v>19</v>
      </c>
      <c r="H83" s="101">
        <v>74916</v>
      </c>
      <c r="I83" s="102">
        <v>169125</v>
      </c>
      <c r="J83" s="103">
        <v>119705</v>
      </c>
      <c r="K83" s="95"/>
      <c r="L83" s="99">
        <v>19</v>
      </c>
      <c r="M83" s="104">
        <f t="shared" si="2"/>
        <v>345</v>
      </c>
      <c r="N83" s="104">
        <f t="shared" si="2"/>
        <v>448</v>
      </c>
      <c r="O83" s="104">
        <f t="shared" si="2"/>
        <v>911</v>
      </c>
    </row>
    <row r="84" spans="1:15" ht="15.75" thickBot="1" x14ac:dyDescent="0.25">
      <c r="A84" s="95"/>
      <c r="B84" s="100">
        <v>20</v>
      </c>
      <c r="C84" s="101">
        <v>141834</v>
      </c>
      <c r="D84" s="102">
        <v>169763</v>
      </c>
      <c r="E84" s="103">
        <v>86594</v>
      </c>
      <c r="F84" s="95"/>
      <c r="G84" s="100">
        <v>20</v>
      </c>
      <c r="H84" s="101">
        <v>141936</v>
      </c>
      <c r="I84" s="102">
        <v>170122</v>
      </c>
      <c r="J84" s="103">
        <v>87002</v>
      </c>
      <c r="K84" s="95"/>
      <c r="L84" s="99">
        <v>20</v>
      </c>
      <c r="M84" s="104">
        <f>H84-C84</f>
        <v>102</v>
      </c>
      <c r="N84" s="104">
        <f t="shared" si="2"/>
        <v>359</v>
      </c>
      <c r="O84" s="104">
        <f t="shared" si="2"/>
        <v>408</v>
      </c>
    </row>
    <row r="85" spans="1:15" ht="15.75" thickBot="1" x14ac:dyDescent="0.25">
      <c r="A85" s="95"/>
      <c r="B85" s="100">
        <v>21</v>
      </c>
      <c r="C85" s="101">
        <v>190110</v>
      </c>
      <c r="D85" s="102">
        <v>87677</v>
      </c>
      <c r="E85" s="103">
        <v>108563</v>
      </c>
      <c r="F85" s="95"/>
      <c r="G85" s="100">
        <v>21</v>
      </c>
      <c r="H85" s="101">
        <v>190497</v>
      </c>
      <c r="I85" s="102">
        <v>87854</v>
      </c>
      <c r="J85" s="103">
        <v>109217</v>
      </c>
      <c r="K85" s="95"/>
      <c r="L85" s="99">
        <v>21</v>
      </c>
      <c r="M85" s="104">
        <f t="shared" si="2"/>
        <v>387</v>
      </c>
      <c r="N85" s="104">
        <f t="shared" si="2"/>
        <v>177</v>
      </c>
      <c r="O85" s="104">
        <f t="shared" si="2"/>
        <v>654</v>
      </c>
    </row>
    <row r="86" spans="1:15" ht="15.75" thickBot="1" x14ac:dyDescent="0.25">
      <c r="A86" s="95"/>
      <c r="B86" s="100">
        <v>22</v>
      </c>
      <c r="C86" s="101">
        <v>129832</v>
      </c>
      <c r="D86" s="102">
        <v>89214</v>
      </c>
      <c r="E86" s="103">
        <v>113073</v>
      </c>
      <c r="F86" s="95"/>
      <c r="G86" s="100">
        <v>22</v>
      </c>
      <c r="H86" s="101">
        <v>130468</v>
      </c>
      <c r="I86" s="102">
        <v>89706</v>
      </c>
      <c r="J86" s="103">
        <v>113532</v>
      </c>
      <c r="K86" s="95"/>
      <c r="L86" s="99">
        <v>22</v>
      </c>
      <c r="M86" s="104">
        <f t="shared" si="2"/>
        <v>636</v>
      </c>
      <c r="N86" s="104">
        <f t="shared" si="2"/>
        <v>492</v>
      </c>
      <c r="O86" s="104">
        <f t="shared" si="2"/>
        <v>459</v>
      </c>
    </row>
    <row r="87" spans="1:15" ht="15.75" thickBot="1" x14ac:dyDescent="0.25">
      <c r="A87" s="95"/>
      <c r="B87" s="100">
        <v>23</v>
      </c>
      <c r="C87" s="101">
        <v>127095</v>
      </c>
      <c r="D87" s="102">
        <v>153993</v>
      </c>
      <c r="E87" s="103">
        <v>287225</v>
      </c>
      <c r="F87" s="95"/>
      <c r="G87" s="100">
        <v>23</v>
      </c>
      <c r="H87" s="101">
        <v>127095</v>
      </c>
      <c r="I87" s="102">
        <v>154166</v>
      </c>
      <c r="J87" s="103">
        <v>287362</v>
      </c>
      <c r="K87" s="95"/>
      <c r="L87" s="99">
        <v>23</v>
      </c>
      <c r="M87" s="104">
        <f t="shared" si="2"/>
        <v>0</v>
      </c>
      <c r="N87" s="104">
        <f t="shared" si="2"/>
        <v>173</v>
      </c>
      <c r="O87" s="104">
        <f t="shared" si="2"/>
        <v>137</v>
      </c>
    </row>
    <row r="88" spans="1:15" ht="15.75" thickBot="1" x14ac:dyDescent="0.25">
      <c r="A88" s="95"/>
      <c r="B88" s="100">
        <v>24</v>
      </c>
      <c r="C88" s="101">
        <v>78015</v>
      </c>
      <c r="D88" s="102">
        <v>148505</v>
      </c>
      <c r="E88" s="103">
        <v>101009</v>
      </c>
      <c r="F88" s="95"/>
      <c r="G88" s="100">
        <v>24</v>
      </c>
      <c r="H88" s="101">
        <v>78141</v>
      </c>
      <c r="I88" s="102">
        <v>148871</v>
      </c>
      <c r="J88" s="103">
        <v>101100</v>
      </c>
      <c r="K88" s="95"/>
      <c r="L88" s="99">
        <v>24</v>
      </c>
      <c r="M88" s="104">
        <f t="shared" si="2"/>
        <v>126</v>
      </c>
      <c r="N88" s="104">
        <f t="shared" si="2"/>
        <v>366</v>
      </c>
      <c r="O88" s="104">
        <f>J88-E88</f>
        <v>91</v>
      </c>
    </row>
    <row r="89" spans="1:15" ht="15.75" thickBot="1" x14ac:dyDescent="0.25">
      <c r="A89" s="95"/>
      <c r="B89" s="100">
        <v>25</v>
      </c>
      <c r="C89" s="101">
        <v>120043</v>
      </c>
      <c r="D89" s="102">
        <v>178534</v>
      </c>
      <c r="E89" s="103">
        <v>155803</v>
      </c>
      <c r="F89" s="95"/>
      <c r="G89" s="100">
        <v>25</v>
      </c>
      <c r="H89" s="101">
        <v>120117</v>
      </c>
      <c r="I89" s="102">
        <v>178766</v>
      </c>
      <c r="J89" s="103">
        <v>157645</v>
      </c>
      <c r="K89" s="95"/>
      <c r="L89" s="99">
        <v>25</v>
      </c>
      <c r="M89" s="104">
        <f t="shared" si="2"/>
        <v>74</v>
      </c>
      <c r="N89" s="104">
        <f t="shared" si="2"/>
        <v>232</v>
      </c>
      <c r="O89" s="104">
        <f>J89-E89</f>
        <v>1842</v>
      </c>
    </row>
    <row r="90" spans="1:15" ht="15.75" thickBot="1" x14ac:dyDescent="0.25">
      <c r="A90" s="95"/>
      <c r="B90" s="100">
        <v>26</v>
      </c>
      <c r="C90" s="101">
        <v>110896</v>
      </c>
      <c r="D90" s="102">
        <v>50258</v>
      </c>
      <c r="E90" s="103">
        <v>52916</v>
      </c>
      <c r="F90" s="95"/>
      <c r="G90" s="100">
        <v>26</v>
      </c>
      <c r="H90" s="101">
        <v>110959</v>
      </c>
      <c r="I90" s="102">
        <v>50394</v>
      </c>
      <c r="J90" s="103">
        <v>52916</v>
      </c>
      <c r="K90" s="95"/>
      <c r="L90" s="99">
        <v>26</v>
      </c>
      <c r="M90" s="104">
        <f t="shared" si="2"/>
        <v>63</v>
      </c>
      <c r="N90" s="104">
        <f t="shared" si="2"/>
        <v>136</v>
      </c>
      <c r="O90" s="104">
        <f t="shared" si="2"/>
        <v>0</v>
      </c>
    </row>
    <row r="91" spans="1:15" ht="15.75" thickBot="1" x14ac:dyDescent="0.25">
      <c r="A91" s="95"/>
      <c r="B91" s="100">
        <v>27</v>
      </c>
      <c r="C91" s="101">
        <v>100954</v>
      </c>
      <c r="D91" s="102">
        <v>107381</v>
      </c>
      <c r="E91" s="103">
        <v>119608</v>
      </c>
      <c r="F91" s="95"/>
      <c r="G91" s="100">
        <v>27</v>
      </c>
      <c r="H91" s="101">
        <v>101127</v>
      </c>
      <c r="I91" s="102">
        <v>107674</v>
      </c>
      <c r="J91" s="103">
        <v>119724</v>
      </c>
      <c r="K91" s="95"/>
      <c r="L91" s="99">
        <v>27</v>
      </c>
      <c r="M91" s="104">
        <f t="shared" si="2"/>
        <v>173</v>
      </c>
      <c r="N91" s="104">
        <f t="shared" si="2"/>
        <v>293</v>
      </c>
      <c r="O91" s="104">
        <f t="shared" si="2"/>
        <v>116</v>
      </c>
    </row>
    <row r="92" spans="1:15" ht="15.75" thickBot="1" x14ac:dyDescent="0.25">
      <c r="A92" s="95"/>
      <c r="B92" s="100">
        <v>28</v>
      </c>
      <c r="C92" s="101">
        <v>192744</v>
      </c>
      <c r="D92" s="102">
        <v>101904</v>
      </c>
      <c r="E92" s="103">
        <v>109404</v>
      </c>
      <c r="F92" s="95"/>
      <c r="G92" s="100">
        <v>28</v>
      </c>
      <c r="H92" s="101">
        <v>193617</v>
      </c>
      <c r="I92" s="102">
        <v>101990</v>
      </c>
      <c r="J92" s="103">
        <v>109763</v>
      </c>
      <c r="K92" s="95"/>
      <c r="L92" s="99">
        <v>28</v>
      </c>
      <c r="M92" s="104">
        <f t="shared" si="2"/>
        <v>873</v>
      </c>
      <c r="N92" s="104">
        <f t="shared" si="2"/>
        <v>86</v>
      </c>
      <c r="O92" s="104">
        <f t="shared" si="2"/>
        <v>359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79720</v>
      </c>
      <c r="J93" s="103"/>
      <c r="K93" s="95"/>
      <c r="L93" s="99">
        <v>29</v>
      </c>
      <c r="M93" s="104">
        <f t="shared" si="2"/>
        <v>0</v>
      </c>
      <c r="N93" s="104">
        <f t="shared" si="2"/>
        <v>0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2018-07-02T08:24:59Z</cp:lastPrinted>
  <dcterms:created xsi:type="dcterms:W3CDTF">2017-07-31T14:40:49Z</dcterms:created>
  <dcterms:modified xsi:type="dcterms:W3CDTF">2021-04-01T06:55:37Z</dcterms:modified>
</cp:coreProperties>
</file>