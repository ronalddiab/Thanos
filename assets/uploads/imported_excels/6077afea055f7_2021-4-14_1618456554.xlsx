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1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Q6" i="9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AP7" i="7"/>
  <c r="AA38" i="7"/>
  <c r="AL7" i="7"/>
  <c r="W38" i="7"/>
  <c r="AG7" i="7"/>
  <c r="R38" i="7"/>
  <c r="M2" i="9"/>
  <c r="Y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<sst xmlns="http://schemas.openxmlformats.org/spreadsheetml/2006/main" count="128" uniqueCount="49">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</sst>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0" fillId="2" borderId="2" xfId="0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Submetering!R2</f>
        <v>732.85537599999998</v>
      </c>
      <c r="H2" s="11">
        <v>0.52800000000000002</v>
      </c>
      <c r="I2" s="12">
        <f>Hotel!B7</f>
        <v>239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Submetering!R3</f>
        <v>668.124865</v>
      </c>
      <c r="H3" s="11">
        <v>0.52800000000000002</v>
      </c>
      <c r="I3" s="12">
        <f>Hotel!B8</f>
        <v>256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Submetering!R4</f>
        <v>513.68013699999995</v>
      </c>
      <c r="H4" s="11">
        <v>0.52800000000000002</v>
      </c>
      <c r="I4" s="12">
        <f>Hotel!B9</f>
        <v>205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Submetering!R5</f>
        <v>718.09227699999997</v>
      </c>
      <c r="H5" s="11">
        <v>0.52800000000000002</v>
      </c>
      <c r="I5" s="12">
        <f>Hotel!B10</f>
        <v>185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Submetering!R6</f>
        <v>674.56006200000002</v>
      </c>
      <c r="H6" s="11">
        <v>0.52800000000000002</v>
      </c>
      <c r="I6" s="12">
        <f>Hotel!B11</f>
        <v>180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Submetering!R7</f>
        <v>637.84158500000001</v>
      </c>
      <c r="H7" s="11">
        <v>0.52800000000000002</v>
      </c>
      <c r="I7" s="12">
        <f>Hotel!B12</f>
        <v>194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Submetering!R8</f>
        <v>710.52145700000005</v>
      </c>
      <c r="H8" s="11">
        <v>0.52800000000000002</v>
      </c>
      <c r="I8" s="12">
        <f>Hotel!B13</f>
        <v>152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Submetering!R9</f>
        <v>704.84334199999989</v>
      </c>
      <c r="H9" s="11">
        <v>0.52800000000000002</v>
      </c>
      <c r="I9" s="12">
        <f>Hotel!B14</f>
        <v>129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Submetering!R10</f>
        <v>689.70170199999995</v>
      </c>
      <c r="H10" s="11">
        <v>0.52800000000000002</v>
      </c>
      <c r="I10" s="12">
        <f>Hotel!B15</f>
        <v>166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Submetering!R11</f>
        <v>674.56006200000002</v>
      </c>
      <c r="H11" s="11">
        <v>0.52800000000000002</v>
      </c>
      <c r="I11" s="12">
        <f>Hotel!B16</f>
        <v>117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Submetering!R12</f>
        <v>831.27603600000009</v>
      </c>
      <c r="H12" s="11">
        <v>0.52800000000000002</v>
      </c>
      <c r="I12" s="12">
        <f>Hotel!B17</f>
        <v>96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Submetering!R13</f>
        <v>647.30511000000001</v>
      </c>
      <c r="H13" s="11">
        <v>0.52800000000000002</v>
      </c>
      <c r="I13" s="12">
        <f>Hotel!B18</f>
        <v>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Submetering!R14</f>
        <v>681.752341</v>
      </c>
      <c r="H14" s="11">
        <v>0.52800000000000002</v>
      </c>
      <c r="I14" s="12">
        <f>Hotel!B19</f>
        <v>14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37520</v>
      </c>
      <c r="F15" s="11">
        <v>5.0000000000000001E-3</v>
      </c>
      <c r="G15" s="12">
        <f>Submetering!R15</f>
        <v>546.23466299999995</v>
      </c>
      <c r="H15" s="11">
        <v>0.52800000000000002</v>
      </c>
      <c r="I15" s="12">
        <f>Hotel!B20</f>
        <v>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Hotel!AV7*0.00378541*100</f>
        <v>732.85537599999998</v>
      </c>
      <c r="S2" s="4">
        <f>Hotel!B7</f>
        <v>239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Hotel!AV8*0.00378541*100</f>
        <v>668.124865</v>
      </c>
      <c r="S3" s="4">
        <f>Hotel!B8</f>
        <v>256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Hotel!AV9*0.00378541*100</f>
        <v>513.68013699999995</v>
      </c>
      <c r="S4" s="4">
        <f>Hotel!B9</f>
        <v>205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Hotel!AV10*0.00378541*100</f>
        <v>718.09227699999997</v>
      </c>
      <c r="S5" s="4">
        <f>Hotel!B10</f>
        <v>185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Hotel!AV11*0.00378541*100</f>
        <v>674.56006200000002</v>
      </c>
      <c r="S6" s="4">
        <f>Hotel!B11</f>
        <v>180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Hotel!AV12*0.00378541*100</f>
        <v>637.84158500000001</v>
      </c>
      <c r="S7" s="4">
        <f>Hotel!B12</f>
        <v>194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Hotel!AV13*0.00378541*100</f>
        <v>710.52145700000005</v>
      </c>
      <c r="S8" s="4">
        <f>Hotel!B13</f>
        <v>152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Hotel!AV14*0.00378541*100</f>
        <v>704.84334199999989</v>
      </c>
      <c r="S9" s="4">
        <f>Hotel!B14</f>
        <v>129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Hotel!AV15*0.00378541*100</f>
        <v>689.70170199999995</v>
      </c>
      <c r="S10" s="4">
        <f>Hotel!B15</f>
        <v>166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Hotel!AV16*0.00378541*100</f>
        <v>674.56006200000002</v>
      </c>
      <c r="S11" s="4">
        <f>Hotel!B16</f>
        <v>117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Hotel!AV17*0.00378541*100</f>
        <v>831.27603600000009</v>
      </c>
      <c r="S12" s="4">
        <f>Hotel!B17</f>
        <v>96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Hotel!AV18*0.00378541*100</f>
        <v>647.30511000000001</v>
      </c>
      <c r="S13" s="4">
        <f>Hotel!B18</f>
        <v>32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Hotel!AV19*0.00378541*100</f>
        <v>681.752341</v>
      </c>
      <c r="S14" s="4">
        <f>Hotel!B19</f>
        <v>14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510</v>
      </c>
      <c r="F15" s="4">
        <f>Hotel!R20</f>
        <v>1750</v>
      </c>
      <c r="G15" s="4">
        <f>Hotel!S20</f>
        <v>2930</v>
      </c>
      <c r="H15" s="4">
        <f>Hotel!T20</f>
        <v>1380</v>
      </c>
      <c r="I15" s="4">
        <f>Hotel!U20</f>
        <v>2630</v>
      </c>
      <c r="J15" s="4">
        <f>Hotel!V20</f>
        <v>2230</v>
      </c>
      <c r="K15" s="4">
        <f>Hotel!W20</f>
        <v>2080</v>
      </c>
      <c r="L15" s="4">
        <f>Hotel!X20</f>
        <v>1950</v>
      </c>
      <c r="M15" s="4">
        <f>Hotel!Y20</f>
        <v>3260</v>
      </c>
      <c r="N15" s="4">
        <f>Hotel!Z20</f>
        <v>1210</v>
      </c>
      <c r="O15" s="4">
        <f>Hotel!AA20</f>
        <v>2440</v>
      </c>
      <c r="P15" s="4">
        <f>Hotel!AB20</f>
        <v>5680</v>
      </c>
      <c r="Q15" s="4">
        <f>Hotel!AC20</f>
        <v>9470</v>
      </c>
      <c r="R15" s="4">
        <f>Hotel!AV20*0.00378541*100</f>
        <v>546.23466299999995</v>
      </c>
      <c r="S15" s="4">
        <f>Hotel!B20</f>
        <v>9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L1" zoomScale="93" zoomScaleNormal="93" workbookViewId="0">
      <selection activeCell="AW21" sqref="AW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532452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532452</v>
      </c>
    </row>
    <row r="7" spans="1:49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>IF((C7-C2&lt;0), "0",C7-C2)</f>
        <v>550</v>
      </c>
      <c r="R7" s="37">
        <f t="shared" ref="R7:AC7" si="0">IF((D7-D2&lt;0), "0",D7-D2)</f>
        <v>1900</v>
      </c>
      <c r="S7" s="37">
        <f>IF((E7-E2&lt;0), "0",E7-E2)</f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U7" s="47">
        <v>534388</v>
      </c>
      <c r="AV7" s="37">
        <f>IF((AU7-AU6&lt;0),"0",AU7-AU6)</f>
        <v>1936</v>
      </c>
      <c r="AW7" s="49">
        <v>0</v>
      </c>
    </row>
    <row r="8" spans="1:49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4">IF((D8-D7&lt;0), "0",D8-D7)</f>
        <v>2210</v>
      </c>
      <c r="S8" s="37">
        <f t="shared" ref="S8:S35" si="15">IF((E8-E7&lt;0), "0",E8-E7)</f>
        <v>3460</v>
      </c>
      <c r="T8" s="37">
        <f t="shared" si="14"/>
        <v>1440</v>
      </c>
      <c r="U8" s="37">
        <f t="shared" si="14"/>
        <v>3820</v>
      </c>
      <c r="V8" s="37">
        <f t="shared" si="14"/>
        <v>2960</v>
      </c>
      <c r="W8" s="37">
        <f t="shared" si="14"/>
        <v>2220</v>
      </c>
      <c r="X8" s="37">
        <f t="shared" si="14"/>
        <v>3170</v>
      </c>
      <c r="Y8" s="37">
        <f t="shared" si="14"/>
        <v>4800</v>
      </c>
      <c r="Z8" s="37">
        <f t="shared" si="14"/>
        <v>2480</v>
      </c>
      <c r="AA8" s="37">
        <f t="shared" si="14"/>
        <v>3560</v>
      </c>
      <c r="AB8" s="37">
        <f t="shared" si="14"/>
        <v>7270</v>
      </c>
      <c r="AC8" s="37">
        <f t="shared" si="14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U8" s="47">
        <v>536153</v>
      </c>
      <c r="AV8" s="37">
        <f>IF((AU8-AU7&lt;0),"0",AU8-AU7)</f>
        <v>1765</v>
      </c>
      <c r="AW8" s="35">
        <v>0</v>
      </c>
    </row>
    <row r="9" spans="1:49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16">IF((C9-C8&lt;0), "0",C9-C8)</f>
        <v>550</v>
      </c>
      <c r="R9" s="37">
        <f t="shared" ref="R9:R35" si="17">IF((D9-D8&lt;0), "0",D9-D8)</f>
        <v>1390</v>
      </c>
      <c r="S9" s="37">
        <f t="shared" si="15"/>
        <v>3160</v>
      </c>
      <c r="T9" s="37">
        <f t="shared" ref="T9:T35" si="18">IF((F9-F8&lt;0), "0",F9-F8)</f>
        <v>1490</v>
      </c>
      <c r="U9" s="37">
        <f t="shared" ref="U9:U35" si="19">IF((G9-G8&lt;0), "0",G9-G8)</f>
        <v>3980</v>
      </c>
      <c r="V9" s="37">
        <f t="shared" ref="V9:V35" si="20">IF((H9-H8&lt;0), "0",H9-H8)</f>
        <v>3050</v>
      </c>
      <c r="W9" s="37">
        <f t="shared" ref="W9:W35" si="21">IF((I9-I8&lt;0), "0",I9-I8)</f>
        <v>2330</v>
      </c>
      <c r="X9" s="37">
        <f t="shared" ref="X9:X35" si="22">IF((J9-J8&lt;0), "0",J9-J8)</f>
        <v>3020</v>
      </c>
      <c r="Y9" s="37">
        <f t="shared" ref="Y9:Y35" si="23">IF((K9-K8&lt;0), "0",K9-K8)</f>
        <v>4650</v>
      </c>
      <c r="Z9" s="37">
        <f t="shared" ref="Z9:Z35" si="24">IF((L9-L8&lt;0), "0",L9-L8)</f>
        <v>2630</v>
      </c>
      <c r="AA9" s="37">
        <f t="shared" ref="AA9:AA35" si="25">IF((M9-M8&lt;0), "0",M9-M8)</f>
        <v>3440</v>
      </c>
      <c r="AB9" s="37">
        <f t="shared" ref="AB9:AB37" si="26">IF((N9-N8&lt;0), "0",N9-N8)</f>
        <v>6590</v>
      </c>
      <c r="AC9" s="37">
        <f t="shared" ref="AC9:AC37" si="27">IF((O9-O8&lt;0), "0",O9-O8)</f>
        <v>3300</v>
      </c>
      <c r="AD9" s="35">
        <f t="shared" ref="AD9:AD37" si="28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29">SUM(AF9:AR9)</f>
        <v>197.89999999999998</v>
      </c>
      <c r="AU9" s="47">
        <v>537510</v>
      </c>
      <c r="AV9" s="37">
        <f>IF((AU9-AU8&lt;0),"0",AU9-AU8)</f>
        <v>1357</v>
      </c>
      <c r="AW9" s="35">
        <f t="shared" ref="AW9:AW35" si="30">AV9*$D$40</f>
        <v>2.714</v>
      </c>
    </row>
    <row r="10" spans="1:49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16"/>
        <v>570</v>
      </c>
      <c r="R10" s="37">
        <f t="shared" si="17"/>
        <v>1990</v>
      </c>
      <c r="S10" s="37">
        <f t="shared" si="15"/>
        <v>3690</v>
      </c>
      <c r="T10" s="37">
        <f t="shared" si="18"/>
        <v>1520</v>
      </c>
      <c r="U10" s="37">
        <f t="shared" si="19"/>
        <v>4070</v>
      </c>
      <c r="V10" s="37">
        <f t="shared" si="20"/>
        <v>2970</v>
      </c>
      <c r="W10" s="37">
        <f t="shared" si="21"/>
        <v>2330</v>
      </c>
      <c r="X10" s="37">
        <f t="shared" si="22"/>
        <v>3080</v>
      </c>
      <c r="Y10" s="37">
        <f t="shared" si="23"/>
        <v>4220</v>
      </c>
      <c r="Z10" s="37">
        <f t="shared" si="24"/>
        <v>2820</v>
      </c>
      <c r="AA10" s="37">
        <f t="shared" si="25"/>
        <v>3420</v>
      </c>
      <c r="AB10" s="37">
        <f t="shared" si="26"/>
        <v>6700</v>
      </c>
      <c r="AC10" s="37">
        <f t="shared" si="27"/>
        <v>18520</v>
      </c>
      <c r="AD10" s="35">
        <f t="shared" si="28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29"/>
        <v>279.5</v>
      </c>
      <c r="AU10" s="47">
        <v>539407</v>
      </c>
      <c r="AV10" s="37">
        <f t="shared" ref="AV10:AV26" si="31">IF((AU10-AU9&lt;0),"0",AU10-AU9)</f>
        <v>1897</v>
      </c>
      <c r="AW10" s="35">
        <f t="shared" si="30"/>
        <v>3.794</v>
      </c>
    </row>
    <row r="11" spans="1:49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16"/>
        <v>550</v>
      </c>
      <c r="R11" s="37">
        <f t="shared" si="17"/>
        <v>1870</v>
      </c>
      <c r="S11" s="37">
        <f t="shared" si="15"/>
        <v>2460</v>
      </c>
      <c r="T11" s="37">
        <f t="shared" si="18"/>
        <v>1490</v>
      </c>
      <c r="U11" s="37">
        <f t="shared" si="19"/>
        <v>3850</v>
      </c>
      <c r="V11" s="37">
        <f t="shared" si="20"/>
        <v>2880</v>
      </c>
      <c r="W11" s="37">
        <f t="shared" si="21"/>
        <v>2240</v>
      </c>
      <c r="X11" s="37">
        <f t="shared" si="22"/>
        <v>3010</v>
      </c>
      <c r="Y11" s="37">
        <f t="shared" si="23"/>
        <v>4010</v>
      </c>
      <c r="Z11" s="37">
        <f t="shared" si="24"/>
        <v>2730</v>
      </c>
      <c r="AA11" s="37">
        <f t="shared" si="25"/>
        <v>3050</v>
      </c>
      <c r="AB11" s="37">
        <f t="shared" si="26"/>
        <v>6520</v>
      </c>
      <c r="AC11" s="37">
        <f t="shared" si="27"/>
        <v>10600</v>
      </c>
      <c r="AD11" s="35">
        <f t="shared" si="28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29"/>
        <v>226.29999999999998</v>
      </c>
      <c r="AU11" s="47">
        <v>541189</v>
      </c>
      <c r="AV11" s="37">
        <f t="shared" si="31"/>
        <v>1782</v>
      </c>
      <c r="AW11" s="35">
        <f t="shared" si="30"/>
        <v>3.5640000000000001</v>
      </c>
    </row>
    <row r="12" spans="1:49" x14ac:dyDescent="0.25">
      <c r="A12" s="23">
        <v>44292</v>
      </c>
      <c r="B12" s="40">
        <v>194</v>
      </c>
      <c r="C12" s="54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16"/>
        <v>580</v>
      </c>
      <c r="R12" s="37">
        <f t="shared" si="17"/>
        <v>1930</v>
      </c>
      <c r="S12" s="37">
        <f t="shared" si="15"/>
        <v>3360</v>
      </c>
      <c r="T12" s="37">
        <f t="shared" ref="T12:W14" si="32">IF((F12-F11&lt;0), "0",F12-F11)</f>
        <v>1550</v>
      </c>
      <c r="U12" s="37">
        <f t="shared" si="32"/>
        <v>4090</v>
      </c>
      <c r="V12" s="37">
        <f t="shared" si="32"/>
        <v>2900</v>
      </c>
      <c r="W12" s="37">
        <f t="shared" si="32"/>
        <v>2350</v>
      </c>
      <c r="X12" s="37">
        <f t="shared" si="22"/>
        <v>3070</v>
      </c>
      <c r="Y12" s="37">
        <f t="shared" si="23"/>
        <v>4200</v>
      </c>
      <c r="Z12" s="37">
        <f>IF((L12-L11&lt;0), "0",L12-L11)</f>
        <v>2730</v>
      </c>
      <c r="AA12" s="37">
        <f t="shared" si="25"/>
        <v>3470</v>
      </c>
      <c r="AB12" s="37">
        <f t="shared" si="26"/>
        <v>5710</v>
      </c>
      <c r="AC12" s="37">
        <f t="shared" si="27"/>
        <v>11370</v>
      </c>
      <c r="AD12" s="35">
        <f t="shared" si="28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29"/>
        <v>236.54999999999998</v>
      </c>
      <c r="AU12" s="47">
        <v>542874</v>
      </c>
      <c r="AV12" s="37">
        <f t="shared" si="31"/>
        <v>1685</v>
      </c>
      <c r="AW12" s="35">
        <f t="shared" si="30"/>
        <v>3.37</v>
      </c>
    </row>
    <row r="13" spans="1:49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16"/>
        <v>550</v>
      </c>
      <c r="R13" s="37">
        <f t="shared" si="17"/>
        <v>1890</v>
      </c>
      <c r="S13" s="37">
        <f t="shared" si="15"/>
        <v>3500</v>
      </c>
      <c r="T13" s="37">
        <f t="shared" si="32"/>
        <v>1510</v>
      </c>
      <c r="U13" s="37">
        <f t="shared" si="32"/>
        <v>3790</v>
      </c>
      <c r="V13" s="37">
        <f t="shared" si="32"/>
        <v>2780</v>
      </c>
      <c r="W13" s="37">
        <f t="shared" si="32"/>
        <v>2290</v>
      </c>
      <c r="X13" s="37">
        <f t="shared" si="22"/>
        <v>2870</v>
      </c>
      <c r="Y13" s="37">
        <f t="shared" si="23"/>
        <v>4230</v>
      </c>
      <c r="Z13" s="37">
        <f>IF((L13-L12&lt;0), "0",L13-L12)</f>
        <v>2550</v>
      </c>
      <c r="AA13" s="37">
        <f t="shared" si="25"/>
        <v>3160</v>
      </c>
      <c r="AB13" s="37">
        <f t="shared" si="26"/>
        <v>7410</v>
      </c>
      <c r="AC13" s="37">
        <f t="shared" si="27"/>
        <v>9960</v>
      </c>
      <c r="AD13" s="35">
        <f t="shared" si="28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29"/>
        <v>232.45000000000005</v>
      </c>
      <c r="AU13" s="47">
        <v>544751</v>
      </c>
      <c r="AV13" s="37">
        <f t="shared" si="31"/>
        <v>1877</v>
      </c>
      <c r="AW13" s="35">
        <f t="shared" si="30"/>
        <v>3.754</v>
      </c>
    </row>
    <row r="14" spans="1:49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53"/>
      <c r="Q14" s="37">
        <f t="shared" si="16"/>
        <v>530</v>
      </c>
      <c r="R14" s="37">
        <f t="shared" si="17"/>
        <v>1780</v>
      </c>
      <c r="S14" s="37">
        <f t="shared" si="15"/>
        <v>3390</v>
      </c>
      <c r="T14" s="37">
        <f t="shared" si="32"/>
        <v>1430</v>
      </c>
      <c r="U14" s="37">
        <f t="shared" si="32"/>
        <v>3670</v>
      </c>
      <c r="V14" s="37">
        <f t="shared" si="32"/>
        <v>2700</v>
      </c>
      <c r="W14" s="37">
        <f t="shared" si="32"/>
        <v>2140</v>
      </c>
      <c r="X14" s="37">
        <f t="shared" si="22"/>
        <v>2950</v>
      </c>
      <c r="Y14" s="37">
        <f t="shared" si="23"/>
        <v>3970</v>
      </c>
      <c r="Z14" s="37">
        <f>IF((L14-L13&lt;0), "0",L14-L13)</f>
        <v>2220</v>
      </c>
      <c r="AA14" s="37">
        <f t="shared" si="25"/>
        <v>3540</v>
      </c>
      <c r="AB14" s="37">
        <f t="shared" si="26"/>
        <v>6000</v>
      </c>
      <c r="AC14" s="37">
        <f t="shared" si="27"/>
        <v>7930</v>
      </c>
      <c r="AD14" s="35">
        <f t="shared" si="28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29"/>
        <v>211.25</v>
      </c>
      <c r="AU14" s="47">
        <v>546613</v>
      </c>
      <c r="AV14" s="37">
        <f t="shared" si="31"/>
        <v>1862</v>
      </c>
      <c r="AW14" s="35">
        <f t="shared" si="30"/>
        <v>3.7240000000000002</v>
      </c>
    </row>
    <row r="15" spans="1:49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16"/>
        <v>550</v>
      </c>
      <c r="R15" s="37">
        <f t="shared" si="17"/>
        <v>1890</v>
      </c>
      <c r="S15" s="37">
        <f t="shared" si="15"/>
        <v>3690</v>
      </c>
      <c r="T15" s="37">
        <f t="shared" si="18"/>
        <v>1510</v>
      </c>
      <c r="U15" s="37">
        <f t="shared" si="19"/>
        <v>3940</v>
      </c>
      <c r="V15" s="37">
        <f t="shared" si="20"/>
        <v>2840</v>
      </c>
      <c r="W15" s="37">
        <f t="shared" si="21"/>
        <v>2280</v>
      </c>
      <c r="X15" s="37">
        <f t="shared" si="22"/>
        <v>3300</v>
      </c>
      <c r="Y15" s="37">
        <f t="shared" si="23"/>
        <v>4480</v>
      </c>
      <c r="Z15" s="37">
        <f t="shared" si="24"/>
        <v>2470</v>
      </c>
      <c r="AA15" s="37">
        <f t="shared" si="25"/>
        <v>3670</v>
      </c>
      <c r="AB15" s="37">
        <f t="shared" si="26"/>
        <v>6540</v>
      </c>
      <c r="AC15" s="37">
        <f t="shared" si="27"/>
        <v>10420</v>
      </c>
      <c r="AD15" s="35">
        <f t="shared" si="28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29"/>
        <v>237.9</v>
      </c>
      <c r="AU15" s="47">
        <v>548435</v>
      </c>
      <c r="AV15" s="37">
        <f t="shared" si="31"/>
        <v>1822</v>
      </c>
      <c r="AW15" s="35">
        <f t="shared" si="30"/>
        <v>3.6440000000000001</v>
      </c>
    </row>
    <row r="16" spans="1:49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16"/>
        <v>540</v>
      </c>
      <c r="R16" s="37">
        <f t="shared" si="17"/>
        <v>1810</v>
      </c>
      <c r="S16" s="37">
        <f t="shared" si="15"/>
        <v>3560</v>
      </c>
      <c r="T16" s="37">
        <f t="shared" si="18"/>
        <v>1480</v>
      </c>
      <c r="U16" s="37">
        <f t="shared" si="19"/>
        <v>4170</v>
      </c>
      <c r="V16" s="37">
        <f t="shared" si="20"/>
        <v>2760</v>
      </c>
      <c r="W16" s="37">
        <f t="shared" si="21"/>
        <v>2190</v>
      </c>
      <c r="X16" s="37">
        <f t="shared" si="22"/>
        <v>3090</v>
      </c>
      <c r="Y16" s="37">
        <f t="shared" si="23"/>
        <v>4210</v>
      </c>
      <c r="Z16" s="37">
        <f t="shared" si="24"/>
        <v>2320</v>
      </c>
      <c r="AA16" s="37">
        <f t="shared" si="25"/>
        <v>3600</v>
      </c>
      <c r="AB16" s="37">
        <f t="shared" si="26"/>
        <v>6300</v>
      </c>
      <c r="AC16" s="37">
        <f t="shared" si="27"/>
        <v>9630</v>
      </c>
      <c r="AD16" s="35">
        <f t="shared" si="28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29"/>
        <v>228.3</v>
      </c>
      <c r="AU16" s="47">
        <v>550217</v>
      </c>
      <c r="AV16" s="37">
        <f t="shared" si="31"/>
        <v>1782</v>
      </c>
      <c r="AW16" s="35">
        <f t="shared" si="30"/>
        <v>3.5640000000000001</v>
      </c>
    </row>
    <row r="17" spans="1:49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16"/>
        <v>540</v>
      </c>
      <c r="R17" s="37">
        <f t="shared" si="17"/>
        <v>1850</v>
      </c>
      <c r="S17" s="37">
        <f t="shared" si="15"/>
        <v>3410</v>
      </c>
      <c r="T17" s="37">
        <f t="shared" si="18"/>
        <v>1470</v>
      </c>
      <c r="U17" s="37">
        <f t="shared" si="19"/>
        <v>3900</v>
      </c>
      <c r="V17" s="37">
        <f t="shared" si="20"/>
        <v>2680</v>
      </c>
      <c r="W17" s="37">
        <f t="shared" si="21"/>
        <v>2220</v>
      </c>
      <c r="X17" s="37">
        <f t="shared" si="22"/>
        <v>2640</v>
      </c>
      <c r="Y17" s="37">
        <f t="shared" si="23"/>
        <v>4170</v>
      </c>
      <c r="Z17" s="37">
        <f t="shared" si="24"/>
        <v>2260</v>
      </c>
      <c r="AA17" s="37">
        <f t="shared" si="25"/>
        <v>3710</v>
      </c>
      <c r="AB17" s="37">
        <f t="shared" si="26"/>
        <v>6460</v>
      </c>
      <c r="AC17" s="37">
        <f t="shared" si="27"/>
        <v>9860</v>
      </c>
      <c r="AD17" s="35">
        <f t="shared" si="28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29"/>
        <v>225.85000000000002</v>
      </c>
      <c r="AU17" s="47">
        <v>552413</v>
      </c>
      <c r="AV17" s="37">
        <f t="shared" si="31"/>
        <v>2196</v>
      </c>
      <c r="AW17" s="35">
        <f t="shared" si="30"/>
        <v>4.3920000000000003</v>
      </c>
    </row>
    <row r="18" spans="1:49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16"/>
        <v>580</v>
      </c>
      <c r="R18" s="37">
        <f t="shared" si="17"/>
        <v>1980</v>
      </c>
      <c r="S18" s="37">
        <f t="shared" si="15"/>
        <v>3560</v>
      </c>
      <c r="T18" s="37">
        <f t="shared" si="18"/>
        <v>1560</v>
      </c>
      <c r="U18" s="37">
        <f t="shared" si="19"/>
        <v>3870</v>
      </c>
      <c r="V18" s="37">
        <f t="shared" si="20"/>
        <v>2710</v>
      </c>
      <c r="W18" s="37">
        <f t="shared" si="21"/>
        <v>2360</v>
      </c>
      <c r="X18" s="37">
        <f t="shared" si="22"/>
        <v>2600</v>
      </c>
      <c r="Y18" s="37">
        <f t="shared" si="23"/>
        <v>4200</v>
      </c>
      <c r="Z18" s="37">
        <f t="shared" si="24"/>
        <v>2320</v>
      </c>
      <c r="AA18" s="37">
        <f t="shared" si="25"/>
        <v>3190</v>
      </c>
      <c r="AB18" s="37">
        <f t="shared" si="26"/>
        <v>6810</v>
      </c>
      <c r="AC18" s="37">
        <f t="shared" si="27"/>
        <v>10810</v>
      </c>
      <c r="AD18" s="35">
        <f t="shared" si="28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29"/>
        <v>232.75</v>
      </c>
      <c r="AU18" s="47">
        <v>554123</v>
      </c>
      <c r="AV18" s="37">
        <f t="shared" si="31"/>
        <v>1710</v>
      </c>
      <c r="AW18" s="35">
        <f t="shared" si="30"/>
        <v>3.42</v>
      </c>
    </row>
    <row r="19" spans="1:49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16"/>
        <v>570</v>
      </c>
      <c r="R19" s="37">
        <f t="shared" si="17"/>
        <v>1950</v>
      </c>
      <c r="S19" s="37">
        <f t="shared" si="15"/>
        <v>3410</v>
      </c>
      <c r="T19" s="37">
        <f t="shared" si="18"/>
        <v>1540</v>
      </c>
      <c r="U19" s="37">
        <f t="shared" si="19"/>
        <v>3330</v>
      </c>
      <c r="V19" s="37">
        <f t="shared" si="20"/>
        <v>2490</v>
      </c>
      <c r="W19" s="37">
        <f t="shared" si="21"/>
        <v>2310</v>
      </c>
      <c r="X19" s="37">
        <f t="shared" si="22"/>
        <v>2560</v>
      </c>
      <c r="Y19" s="37">
        <f t="shared" si="23"/>
        <v>3690</v>
      </c>
      <c r="Z19" s="37">
        <f t="shared" si="24"/>
        <v>2050</v>
      </c>
      <c r="AA19" s="37">
        <f t="shared" si="25"/>
        <v>2820</v>
      </c>
      <c r="AB19" s="37">
        <f t="shared" si="26"/>
        <v>6510</v>
      </c>
      <c r="AC19" s="37">
        <f t="shared" si="27"/>
        <v>9680</v>
      </c>
      <c r="AD19" s="35">
        <f t="shared" si="28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29"/>
        <v>214.54999999999998</v>
      </c>
      <c r="AU19" s="47">
        <v>555924</v>
      </c>
      <c r="AV19" s="37">
        <f t="shared" si="31"/>
        <v>1801</v>
      </c>
      <c r="AW19" s="35">
        <f t="shared" si="30"/>
        <v>3.6019999999999999</v>
      </c>
    </row>
    <row r="20" spans="1:49" x14ac:dyDescent="0.25">
      <c r="A20" s="23">
        <v>44300</v>
      </c>
      <c r="B20" s="40">
        <v>9</v>
      </c>
      <c r="C20" s="24">
        <v>6564130</v>
      </c>
      <c r="D20" s="24">
        <v>15229970</v>
      </c>
      <c r="E20" s="24">
        <v>2556090</v>
      </c>
      <c r="F20" s="24">
        <v>3388200</v>
      </c>
      <c r="G20" s="24">
        <v>10185750</v>
      </c>
      <c r="H20" s="24">
        <v>5351240</v>
      </c>
      <c r="I20" s="24">
        <v>4953540</v>
      </c>
      <c r="J20" s="24">
        <v>5752220</v>
      </c>
      <c r="K20" s="24">
        <v>8950750</v>
      </c>
      <c r="L20" s="24">
        <v>3707030</v>
      </c>
      <c r="M20" s="24">
        <v>7735020</v>
      </c>
      <c r="N20" s="24">
        <v>11660600</v>
      </c>
      <c r="O20" s="24">
        <v>16130830</v>
      </c>
      <c r="Q20" s="37">
        <f t="shared" si="16"/>
        <v>510</v>
      </c>
      <c r="R20" s="37">
        <f t="shared" si="17"/>
        <v>1750</v>
      </c>
      <c r="S20" s="37">
        <f t="shared" si="15"/>
        <v>2930</v>
      </c>
      <c r="T20" s="37">
        <f t="shared" si="18"/>
        <v>1380</v>
      </c>
      <c r="U20" s="37">
        <f t="shared" si="19"/>
        <v>2630</v>
      </c>
      <c r="V20" s="37">
        <f t="shared" si="20"/>
        <v>2230</v>
      </c>
      <c r="W20" s="37">
        <f t="shared" si="21"/>
        <v>2080</v>
      </c>
      <c r="X20" s="37">
        <f t="shared" si="22"/>
        <v>1950</v>
      </c>
      <c r="Y20" s="37">
        <f t="shared" si="23"/>
        <v>3260</v>
      </c>
      <c r="Z20" s="37">
        <f t="shared" si="24"/>
        <v>1210</v>
      </c>
      <c r="AA20" s="37">
        <f t="shared" si="25"/>
        <v>2440</v>
      </c>
      <c r="AB20" s="37">
        <f t="shared" si="26"/>
        <v>5680</v>
      </c>
      <c r="AC20" s="37">
        <f t="shared" si="27"/>
        <v>9470</v>
      </c>
      <c r="AD20" s="35">
        <f t="shared" si="28"/>
        <v>37520</v>
      </c>
      <c r="AF20" s="20">
        <f t="shared" si="1"/>
        <v>2.5500000000000003</v>
      </c>
      <c r="AG20" s="20">
        <f t="shared" si="2"/>
        <v>8.75</v>
      </c>
      <c r="AH20" s="20">
        <f t="shared" si="3"/>
        <v>14.65</v>
      </c>
      <c r="AI20" s="20">
        <f t="shared" si="4"/>
        <v>6.9</v>
      </c>
      <c r="AJ20" s="20">
        <f t="shared" si="5"/>
        <v>13.15</v>
      </c>
      <c r="AK20" s="20">
        <f t="shared" si="6"/>
        <v>11.15</v>
      </c>
      <c r="AL20" s="20">
        <f t="shared" si="7"/>
        <v>10.4</v>
      </c>
      <c r="AM20" s="20">
        <f t="shared" si="8"/>
        <v>9.75</v>
      </c>
      <c r="AN20" s="20">
        <f t="shared" si="9"/>
        <v>16.3</v>
      </c>
      <c r="AO20" s="20">
        <f t="shared" si="10"/>
        <v>6.05</v>
      </c>
      <c r="AP20" s="20">
        <f t="shared" si="11"/>
        <v>12.200000000000001</v>
      </c>
      <c r="AQ20" s="20">
        <f t="shared" si="12"/>
        <v>28.400000000000002</v>
      </c>
      <c r="AR20" s="20">
        <f t="shared" si="13"/>
        <v>47.35</v>
      </c>
      <c r="AS20" s="35">
        <f t="shared" si="29"/>
        <v>187.6</v>
      </c>
      <c r="AU20" s="47">
        <v>557367</v>
      </c>
      <c r="AV20" s="37">
        <f t="shared" si="31"/>
        <v>1443</v>
      </c>
      <c r="AW20" s="35">
        <f t="shared" si="30"/>
        <v>2.8860000000000001</v>
      </c>
    </row>
    <row r="21" spans="1:49" x14ac:dyDescent="0.25">
      <c r="A21" s="23">
        <v>44301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44302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44303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44304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44305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44306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44307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44308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44309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44310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44311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44312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44313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44314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44315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44316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7710</v>
      </c>
      <c r="R38" s="38">
        <f t="shared" ref="R38:AD38" si="62">SUM(R7:R37)</f>
        <v>26190</v>
      </c>
      <c r="S38" s="38">
        <f t="shared" si="62"/>
        <v>46980</v>
      </c>
      <c r="T38" s="38">
        <f t="shared" si="62"/>
        <v>20880</v>
      </c>
      <c r="U38" s="38">
        <f t="shared" si="62"/>
        <v>53070</v>
      </c>
      <c r="V38" s="38">
        <f t="shared" si="62"/>
        <v>38960</v>
      </c>
      <c r="W38" s="38">
        <f t="shared" si="62"/>
        <v>31620</v>
      </c>
      <c r="X38" s="38">
        <f t="shared" si="62"/>
        <v>40620</v>
      </c>
      <c r="Y38" s="38">
        <f t="shared" si="62"/>
        <v>59020</v>
      </c>
      <c r="Z38" s="38">
        <f t="shared" si="62"/>
        <v>33390</v>
      </c>
      <c r="AA38" s="38">
        <f t="shared" si="62"/>
        <v>46660</v>
      </c>
      <c r="AB38" s="38">
        <f t="shared" si="62"/>
        <v>90820</v>
      </c>
      <c r="AC38" s="38">
        <f t="shared" si="62"/>
        <v>140450</v>
      </c>
      <c r="AD38" s="38">
        <f t="shared" si="62"/>
        <v>636370</v>
      </c>
      <c r="AF38" s="35">
        <f t="shared" ref="AF38:AS38" si="63">SUM(AF7:AF34)</f>
        <v>38.549999999999997</v>
      </c>
      <c r="AG38" s="35">
        <f t="shared" si="63"/>
        <v>130.95000000000002</v>
      </c>
      <c r="AH38" s="35">
        <f t="shared" si="63"/>
        <v>234.90000000000003</v>
      </c>
      <c r="AI38" s="35">
        <f t="shared" si="63"/>
        <v>104.4</v>
      </c>
      <c r="AJ38" s="35">
        <f t="shared" si="63"/>
        <v>265.34999999999997</v>
      </c>
      <c r="AK38" s="35">
        <f t="shared" si="63"/>
        <v>194.80000000000004</v>
      </c>
      <c r="AL38" s="35">
        <f t="shared" si="63"/>
        <v>158.10000000000002</v>
      </c>
      <c r="AM38" s="35">
        <f t="shared" si="63"/>
        <v>203.09999999999997</v>
      </c>
      <c r="AN38" s="35">
        <f t="shared" si="63"/>
        <v>295.10000000000002</v>
      </c>
      <c r="AO38" s="35">
        <f t="shared" si="63"/>
        <v>166.95</v>
      </c>
      <c r="AP38" s="35">
        <f t="shared" si="63"/>
        <v>233.29999999999998</v>
      </c>
      <c r="AQ38" s="35">
        <f t="shared" si="63"/>
        <v>454.1</v>
      </c>
      <c r="AR38" s="35">
        <f t="shared" si="63"/>
        <v>702.25</v>
      </c>
      <c r="AS38" s="35">
        <f t="shared" si="63"/>
        <v>3181.85</v>
      </c>
      <c r="AU38" s="48"/>
      <c r="AV38" s="35">
        <f>SUM(AV7:AV34)</f>
        <v>24915</v>
      </c>
      <c r="AW38" s="35">
        <f>SUM(AW7:AW34)</f>
        <v>42.428000000000004</v>
      </c>
    </row>
    <row r="39" spans="1:49" x14ac:dyDescent="0.25">
      <c r="D39">
        <v>5.0000000000000001E-3</v>
      </c>
      <c r="AV39" s="36">
        <f>AV38*0.00378541*1000</f>
        <v>94313.490149999998</v>
      </c>
    </row>
    <row r="40" spans="1:49" x14ac:dyDescent="0.25">
      <c r="D40">
        <v>2E-3</v>
      </c>
      <c r="AV40">
        <f>AV39/31</f>
        <v>3042.3706499999998</v>
      </c>
    </row>
    <row r="41" spans="1:49" x14ac:dyDescent="0.25">
      <c r="AV41">
        <f>AV38*0.00378541</f>
        <v>94.313490149999993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2021-04-15T03:14:42Z</dcterms:modified>
</cp:coreProperties>
</file>