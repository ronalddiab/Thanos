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omments6.xml" ContentType="application/vnd.openxmlformats-officedocument.spreadsheetml.comments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omments7.xml" ContentType="application/vnd.openxmlformats-officedocument.spreadsheetml.comment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80" yWindow="180" windowWidth="15270" windowHeight="10200" tabRatio="581" activeTab="6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T9" i="3"/>
  <c r="S3" i="2" l="1"/>
  <c r="C12" i="1" l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B12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H1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M9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K9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F1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AR5" i="7" l="1"/>
  <c r="AS5"/>
  <c r="AT5"/>
  <c r="AU5"/>
  <c r="AV5"/>
  <c r="AW5"/>
  <c r="AX5"/>
  <c r="AY5"/>
  <c r="AZ5"/>
  <c r="BA5"/>
  <c r="BB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C15" i="77" l="1"/>
  <c r="C16"/>
  <c r="C17"/>
  <c r="C18"/>
  <c r="C19"/>
  <c r="C14"/>
  <c r="F37" i="73" l="1"/>
  <c r="P34" i="3"/>
  <c r="AK38" i="5"/>
  <c r="F37"/>
  <c r="AH38" i="1"/>
  <c r="AH37"/>
  <c r="AV36"/>
  <c r="AV38" s="1"/>
  <c r="AS36"/>
  <c r="AW36" s="1"/>
  <c r="A35"/>
  <c r="W16" i="76"/>
  <c r="W15"/>
  <c r="B49" i="74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V11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M6" i="79"/>
  <c r="O6" s="1"/>
  <c r="A36"/>
  <c r="L36" s="1"/>
  <c r="H5"/>
  <c r="H6" s="1"/>
  <c r="H7" s="1"/>
  <c r="H8" s="1"/>
  <c r="H9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K36" i="5" s="1"/>
  <c r="C5" i="79"/>
  <c r="D5"/>
  <c r="E5"/>
  <c r="F5"/>
  <c r="G5"/>
  <c r="B5"/>
  <c r="A5"/>
  <c r="C5" i="73"/>
  <c r="D5"/>
  <c r="E5"/>
  <c r="F5"/>
  <c r="G5"/>
  <c r="H5"/>
  <c r="I5"/>
  <c r="J5"/>
  <c r="K5"/>
  <c r="L5"/>
  <c r="M5"/>
  <c r="N5"/>
  <c r="O5"/>
  <c r="B5"/>
  <c r="A36"/>
  <c r="D36"/>
  <c r="AM36" i="5" s="1"/>
  <c r="G36" i="73"/>
  <c r="K36"/>
  <c r="AF11" i="76"/>
  <c r="AE11"/>
  <c r="AC10"/>
  <c r="AC11"/>
  <c r="AC12"/>
  <c r="AC13"/>
  <c r="AC14"/>
  <c r="AC15"/>
  <c r="AC16"/>
  <c r="AC17"/>
  <c r="AC18"/>
  <c r="AC19"/>
  <c r="AB10"/>
  <c r="AB11"/>
  <c r="AB12"/>
  <c r="AB13"/>
  <c r="AB14"/>
  <c r="AB15"/>
  <c r="AB16"/>
  <c r="AB17"/>
  <c r="AB18"/>
  <c r="AB19"/>
  <c r="Y14"/>
  <c r="X14"/>
  <c r="W14"/>
  <c r="W13"/>
  <c r="Y10"/>
  <c r="Z10"/>
  <c r="AA10"/>
  <c r="AD10"/>
  <c r="Y11"/>
  <c r="Z11"/>
  <c r="AA11"/>
  <c r="AD11"/>
  <c r="Y12"/>
  <c r="Z12"/>
  <c r="AA12"/>
  <c r="AD12"/>
  <c r="Z9"/>
  <c r="AA9"/>
  <c r="AB9"/>
  <c r="AC9"/>
  <c r="AD9"/>
  <c r="Y9"/>
  <c r="V10"/>
  <c r="W10"/>
  <c r="V11"/>
  <c r="W11"/>
  <c r="W9"/>
  <c r="V9"/>
  <c r="A34"/>
  <c r="C3"/>
  <c r="D3"/>
  <c r="E3"/>
  <c r="F3"/>
  <c r="F4" s="1"/>
  <c r="F5" s="1"/>
  <c r="F6" s="1"/>
  <c r="F7" s="1"/>
  <c r="F8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34" s="1"/>
  <c r="G3"/>
  <c r="H3"/>
  <c r="H4" s="1"/>
  <c r="H5" s="1"/>
  <c r="H6" s="1"/>
  <c r="H7" s="1"/>
  <c r="H8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4" s="1"/>
  <c r="M34" s="1"/>
  <c r="M35" s="1"/>
  <c r="I3"/>
  <c r="J3"/>
  <c r="J4" s="1"/>
  <c r="J5" s="1"/>
  <c r="J6" s="1"/>
  <c r="J7" s="1"/>
  <c r="J8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4" s="1"/>
  <c r="N34" s="1"/>
  <c r="N35" s="1"/>
  <c r="K3"/>
  <c r="L3"/>
  <c r="M3"/>
  <c r="N3"/>
  <c r="O3"/>
  <c r="P3"/>
  <c r="Q3"/>
  <c r="R3"/>
  <c r="S3"/>
  <c r="T3"/>
  <c r="B3"/>
  <c r="B4" s="1"/>
  <c r="B5" s="1"/>
  <c r="B6" s="1"/>
  <c r="B7" s="1"/>
  <c r="B8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C34" s="1"/>
  <c r="AS37" i="7"/>
  <c r="AU37" s="1"/>
  <c r="A36"/>
  <c r="AW36"/>
  <c r="G32" i="81" s="1"/>
  <c r="BB36" i="7"/>
  <c r="C2" i="3"/>
  <c r="D2"/>
  <c r="D3" s="1"/>
  <c r="E2"/>
  <c r="F2"/>
  <c r="G2"/>
  <c r="H2"/>
  <c r="I2"/>
  <c r="J2"/>
  <c r="K2"/>
  <c r="L2"/>
  <c r="M2"/>
  <c r="N2"/>
  <c r="O2"/>
  <c r="P2"/>
  <c r="Q2"/>
  <c r="R2"/>
  <c r="R3" s="1"/>
  <c r="R4" s="1"/>
  <c r="R5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T2"/>
  <c r="T3" s="1"/>
  <c r="T4" s="1"/>
  <c r="T5" s="1"/>
  <c r="T6" s="1"/>
  <c r="T8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U2"/>
  <c r="V2"/>
  <c r="W2"/>
  <c r="X2"/>
  <c r="Y2"/>
  <c r="Z2"/>
  <c r="AA2"/>
  <c r="AB2"/>
  <c r="AC2"/>
  <c r="AD2"/>
  <c r="AE2"/>
  <c r="AF2"/>
  <c r="AG2"/>
  <c r="AH2"/>
  <c r="AI2"/>
  <c r="AJ2"/>
  <c r="AK2"/>
  <c r="B2"/>
  <c r="B3" s="1"/>
  <c r="B4" s="1"/>
  <c r="B5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C33" s="1"/>
  <c r="A33"/>
  <c r="AJ33"/>
  <c r="AT5" i="5"/>
  <c r="AT6" s="1"/>
  <c r="AT7" s="1"/>
  <c r="AT8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U5"/>
  <c r="AU6" s="1"/>
  <c r="AV5"/>
  <c r="AV6" s="1"/>
  <c r="AV7" s="1"/>
  <c r="AV8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W5"/>
  <c r="AX5"/>
  <c r="AX6" s="1"/>
  <c r="AX7" s="1"/>
  <c r="AX8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Z5"/>
  <c r="BA5"/>
  <c r="BC5"/>
  <c r="BD5"/>
  <c r="AS5"/>
  <c r="AS6" s="1"/>
  <c r="C5"/>
  <c r="D5"/>
  <c r="E5"/>
  <c r="F5"/>
  <c r="G5"/>
  <c r="G6" s="1"/>
  <c r="G7" s="1"/>
  <c r="G8" s="1"/>
  <c r="G9" s="1"/>
  <c r="G10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H36" s="1"/>
  <c r="H5"/>
  <c r="I5"/>
  <c r="J5"/>
  <c r="K5"/>
  <c r="L5"/>
  <c r="M5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N5"/>
  <c r="O5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P5"/>
  <c r="Q5"/>
  <c r="R5"/>
  <c r="S5"/>
  <c r="T5"/>
  <c r="T6" s="1"/>
  <c r="T7" s="1"/>
  <c r="T8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5"/>
  <c r="V5"/>
  <c r="V6" s="1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36" s="1"/>
  <c r="W5"/>
  <c r="X5"/>
  <c r="X6" s="1"/>
  <c r="X7" s="1"/>
  <c r="X8" s="1"/>
  <c r="X10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36" s="1"/>
  <c r="J32" i="82" s="1"/>
  <c r="Y5" i="5"/>
  <c r="Z5"/>
  <c r="Z6" s="1"/>
  <c r="Z7" s="1"/>
  <c r="Z8" s="1"/>
  <c r="Z9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J36" s="1"/>
  <c r="K32" i="82" s="1"/>
  <c r="AA5" i="5"/>
  <c r="AB5"/>
  <c r="AB6" s="1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5"/>
  <c r="AE5"/>
  <c r="AE6" s="1"/>
  <c r="AE7" s="1"/>
  <c r="AE8" s="1"/>
  <c r="AE9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36" s="1"/>
  <c r="AF5"/>
  <c r="AG5"/>
  <c r="AG6" s="1"/>
  <c r="AG7" s="1"/>
  <c r="AG8" s="1"/>
  <c r="AG9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36" s="1"/>
  <c r="AH5"/>
  <c r="AI5"/>
  <c r="AJ5"/>
  <c r="AK5"/>
  <c r="AL5"/>
  <c r="AM5"/>
  <c r="AN5"/>
  <c r="AO5"/>
  <c r="AP5"/>
  <c r="B5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A36"/>
  <c r="AN36"/>
  <c r="AP36"/>
  <c r="C4" i="1"/>
  <c r="C5" s="1"/>
  <c r="C7" s="1"/>
  <c r="D4"/>
  <c r="E4"/>
  <c r="F4"/>
  <c r="F5" s="1"/>
  <c r="G4"/>
  <c r="H4"/>
  <c r="H5" s="1"/>
  <c r="I4"/>
  <c r="J4"/>
  <c r="K4"/>
  <c r="L4"/>
  <c r="M4"/>
  <c r="N4"/>
  <c r="O4"/>
  <c r="P4"/>
  <c r="P5" s="1"/>
  <c r="Q4"/>
  <c r="Q5" s="1"/>
  <c r="R4"/>
  <c r="S4"/>
  <c r="T4"/>
  <c r="U4"/>
  <c r="V4"/>
  <c r="W4"/>
  <c r="X4"/>
  <c r="X5" s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35" s="1"/>
  <c r="Y4"/>
  <c r="Z4"/>
  <c r="Z5" s="1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35" s="1"/>
  <c r="AA4"/>
  <c r="AB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35" s="1"/>
  <c r="AG35" s="1"/>
  <c r="AD4"/>
  <c r="AE4"/>
  <c r="AE5" s="1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35" s="1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B5" s="1"/>
  <c r="B7" s="1"/>
  <c r="AL3" i="2"/>
  <c r="AL4" s="1"/>
  <c r="AL5" s="1"/>
  <c r="AL6" s="1"/>
  <c r="AL8" s="1"/>
  <c r="AL11" s="1"/>
  <c r="AL12" s="1"/>
  <c r="AL13" s="1"/>
  <c r="AL14" s="1"/>
  <c r="AL15" s="1"/>
  <c r="AL16" s="1"/>
  <c r="AL17" s="1"/>
  <c r="AL18" s="1"/>
  <c r="AL19" s="1"/>
  <c r="AL20" s="1"/>
  <c r="AL21" s="1"/>
  <c r="AL22" s="1"/>
  <c r="AL23" s="1"/>
  <c r="AL24" s="1"/>
  <c r="AL25" s="1"/>
  <c r="AL26" s="1"/>
  <c r="AL27" s="1"/>
  <c r="AL28" s="1"/>
  <c r="AL29" s="1"/>
  <c r="AL30" s="1"/>
  <c r="AL31" s="1"/>
  <c r="AL32" s="1"/>
  <c r="AL33" s="1"/>
  <c r="AK3"/>
  <c r="AK4" s="1"/>
  <c r="AK5" s="1"/>
  <c r="AK6" s="1"/>
  <c r="AK11" s="1"/>
  <c r="AK12" s="1"/>
  <c r="AK13" s="1"/>
  <c r="AK14" s="1"/>
  <c r="AK15" s="1"/>
  <c r="AK16" s="1"/>
  <c r="AK17" s="1"/>
  <c r="AK18" s="1"/>
  <c r="AK19" s="1"/>
  <c r="AK20" s="1"/>
  <c r="AK21" s="1"/>
  <c r="AK22" s="1"/>
  <c r="AK23" s="1"/>
  <c r="AK24" s="1"/>
  <c r="AK25" s="1"/>
  <c r="AK26" s="1"/>
  <c r="AK27" s="1"/>
  <c r="AK28" s="1"/>
  <c r="AK29" s="1"/>
  <c r="AK30" s="1"/>
  <c r="AK31" s="1"/>
  <c r="AK32" s="1"/>
  <c r="AK33" s="1"/>
  <c r="AI3"/>
  <c r="E3"/>
  <c r="F3"/>
  <c r="F4" s="1"/>
  <c r="F5" s="1"/>
  <c r="F6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34" s="1"/>
  <c r="I32" i="82" s="1"/>
  <c r="G3" i="2"/>
  <c r="H3"/>
  <c r="H4" s="1"/>
  <c r="H5" s="1"/>
  <c r="H6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4" s="1"/>
  <c r="G32" i="82" s="1"/>
  <c r="I3" i="2"/>
  <c r="J3"/>
  <c r="J4" s="1"/>
  <c r="J5" s="1"/>
  <c r="J6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4" s="1"/>
  <c r="F32" i="82" s="1"/>
  <c r="K3" i="2"/>
  <c r="L3"/>
  <c r="L4" s="1"/>
  <c r="L5" s="1"/>
  <c r="L6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M34" s="1"/>
  <c r="M3"/>
  <c r="N3"/>
  <c r="O3"/>
  <c r="P3"/>
  <c r="P4" s="1"/>
  <c r="P5" s="1"/>
  <c r="P6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Q34" s="1"/>
  <c r="AD33" i="3" s="1"/>
  <c r="Q3" i="2"/>
  <c r="R3"/>
  <c r="S4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S34" s="1"/>
  <c r="T3"/>
  <c r="U3"/>
  <c r="U4" s="1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U34" s="1"/>
  <c r="V3"/>
  <c r="W3"/>
  <c r="W4" s="1"/>
  <c r="W5" s="1"/>
  <c r="W6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W34" s="1"/>
  <c r="X34" s="1"/>
  <c r="X3"/>
  <c r="Y3"/>
  <c r="Y4" s="1"/>
  <c r="Y5" s="1"/>
  <c r="Y6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Y34" s="1"/>
  <c r="Z34" s="1"/>
  <c r="Z3"/>
  <c r="AA3"/>
  <c r="AB3"/>
  <c r="AC3"/>
  <c r="AD3"/>
  <c r="AE3"/>
  <c r="AF3"/>
  <c r="AG3"/>
  <c r="D3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B3"/>
  <c r="A3"/>
  <c r="A34"/>
  <c r="B34" s="1"/>
  <c r="O32" i="81" s="1"/>
  <c r="E34" i="2"/>
  <c r="H32" i="82" s="1"/>
  <c r="H25" i="3"/>
  <c r="A13" i="1"/>
  <c r="AJ35" l="1"/>
  <c r="P6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S35" s="1"/>
  <c r="T35" s="1"/>
  <c r="G35"/>
  <c r="F6"/>
  <c r="F7" s="1"/>
  <c r="F8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H6"/>
  <c r="H7" s="1"/>
  <c r="Q6"/>
  <c r="Q7" s="1"/>
  <c r="Q8" s="1"/>
  <c r="E3" i="3"/>
  <c r="D4"/>
  <c r="D5" s="1"/>
  <c r="D6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33" s="1"/>
  <c r="J35" i="1"/>
  <c r="AH35"/>
  <c r="Z36" i="7"/>
  <c r="AM35" i="1"/>
  <c r="AB35"/>
  <c r="B6" i="7"/>
  <c r="AZ36"/>
  <c r="BA36"/>
  <c r="D34" i="76"/>
  <c r="E34" s="1"/>
  <c r="L34"/>
  <c r="L35" s="1"/>
  <c r="F33" i="3"/>
  <c r="AI33"/>
  <c r="S33"/>
  <c r="U33" s="1"/>
  <c r="AV32" i="5"/>
  <c r="AV33" s="1"/>
  <c r="AV34" s="1"/>
  <c r="AV35" s="1"/>
  <c r="AI36"/>
  <c r="AL36"/>
  <c r="AA36"/>
  <c r="O34" i="2"/>
  <c r="L32" i="82"/>
  <c r="N34" i="2"/>
  <c r="E32" i="82"/>
  <c r="Q12" i="1" l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35" s="1"/>
  <c r="Q9"/>
  <c r="AB36" i="7"/>
  <c r="D35" i="1"/>
  <c r="E35" s="1"/>
  <c r="E32" i="81"/>
  <c r="S34" i="76"/>
  <c r="T34" s="1"/>
  <c r="F32" i="81" s="1"/>
  <c r="B7" i="7"/>
  <c r="R34" i="2"/>
  <c r="I4"/>
  <c r="G4"/>
  <c r="AD36" i="7" l="1"/>
  <c r="B8"/>
  <c r="G5" i="2"/>
  <c r="AF36" i="7" l="1"/>
  <c r="B9"/>
  <c r="AM4" i="2"/>
  <c r="AM5"/>
  <c r="AM3"/>
  <c r="AH36" i="7" l="1"/>
  <c r="B10"/>
  <c r="AN5" i="2"/>
  <c r="E5" s="1"/>
  <c r="AN4"/>
  <c r="E4" s="1"/>
  <c r="AJ36" i="7" l="1"/>
  <c r="B11"/>
  <c r="F38" i="5"/>
  <c r="F39"/>
  <c r="B39"/>
  <c r="AL36" i="7" l="1"/>
  <c r="B12"/>
  <c r="AM6" i="2"/>
  <c r="AN6" s="1"/>
  <c r="E6" s="1"/>
  <c r="B13" i="7" l="1"/>
  <c r="AM7" i="2"/>
  <c r="AN7" s="1"/>
  <c r="E7" s="1"/>
  <c r="B14" i="7" l="1"/>
  <c r="AM8" i="2"/>
  <c r="AN8" s="1"/>
  <c r="E8" s="1"/>
  <c r="A19" i="76"/>
  <c r="B15" i="7" l="1"/>
  <c r="AM9" i="2"/>
  <c r="AN9" s="1"/>
  <c r="E9" s="1"/>
  <c r="H7" i="82" s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AC26" i="76"/>
  <c r="V27"/>
  <c r="V28"/>
  <c r="V26"/>
  <c r="W28"/>
  <c r="W27"/>
  <c r="W26"/>
  <c r="BC5" i="7"/>
  <c r="BD5"/>
  <c r="BE5"/>
  <c r="BF5"/>
  <c r="BG5"/>
  <c r="BH5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6" s="1"/>
  <c r="H27" s="1"/>
  <c r="H28" s="1"/>
  <c r="H29" s="1"/>
  <c r="H30" s="1"/>
  <c r="H31" s="1"/>
  <c r="H32" s="1"/>
  <c r="H33" s="1"/>
  <c r="I33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33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AA33" s="1"/>
  <c r="X3"/>
  <c r="X4" s="1"/>
  <c r="X5" s="1"/>
  <c r="C36" i="5"/>
  <c r="U36"/>
  <c r="AD36"/>
  <c r="K5" i="1"/>
  <c r="M5"/>
  <c r="X7" i="3" l="1"/>
  <c r="X8" s="1"/>
  <c r="X9" s="1"/>
  <c r="X10" s="1"/>
  <c r="X11" s="1"/>
  <c r="X12" s="1"/>
  <c r="X13" s="1"/>
  <c r="X14" s="1"/>
  <c r="X15" s="1"/>
  <c r="X16" s="1"/>
  <c r="X17" s="1"/>
  <c r="X19" s="1"/>
  <c r="X20" s="1"/>
  <c r="X21" s="1"/>
  <c r="X22" s="1"/>
  <c r="X23" s="1"/>
  <c r="X25" s="1"/>
  <c r="X26" s="1"/>
  <c r="X27" s="1"/>
  <c r="X28" s="1"/>
  <c r="X29" s="1"/>
  <c r="X30" s="1"/>
  <c r="X31" s="1"/>
  <c r="X32" s="1"/>
  <c r="X33" s="1"/>
  <c r="Y33" s="1"/>
  <c r="X6"/>
  <c r="N35" i="1"/>
  <c r="V35" s="1"/>
  <c r="AI35" s="1"/>
  <c r="AK35" s="1"/>
  <c r="M6"/>
  <c r="M7" s="1"/>
  <c r="K25"/>
  <c r="K26" s="1"/>
  <c r="K27" s="1"/>
  <c r="K28" s="1"/>
  <c r="K29" s="1"/>
  <c r="K30" s="1"/>
  <c r="K31" s="1"/>
  <c r="K32" s="1"/>
  <c r="K33" s="1"/>
  <c r="K34" s="1"/>
  <c r="K35" s="1"/>
  <c r="L35" s="1"/>
  <c r="U35" s="1"/>
  <c r="K6"/>
  <c r="K7" s="1"/>
  <c r="B16" i="7"/>
  <c r="N33" i="3"/>
  <c r="AB33" s="1"/>
  <c r="Z33"/>
  <c r="E36" i="5"/>
  <c r="D36"/>
  <c r="I36"/>
  <c r="AM10" i="2"/>
  <c r="AN10" s="1"/>
  <c r="E10" s="1"/>
  <c r="H8" i="82" s="1"/>
  <c r="AL35" i="1" l="1"/>
  <c r="J36" i="5"/>
  <c r="L32" i="81" s="1"/>
  <c r="K32"/>
  <c r="B17" i="7"/>
  <c r="AC33" i="3"/>
  <c r="AK33"/>
  <c r="AE33"/>
  <c r="AF33" s="1"/>
  <c r="AG33" s="1"/>
  <c r="AM11" i="2"/>
  <c r="AN11" s="1"/>
  <c r="E11" s="1"/>
  <c r="H9" i="82" s="1"/>
  <c r="B18" i="7" l="1"/>
  <c r="AH33" i="3"/>
  <c r="AM12" i="2"/>
  <c r="AN12" s="1"/>
  <c r="E12" s="1"/>
  <c r="H10" i="82" s="1"/>
  <c r="V34" i="2"/>
  <c r="AA4"/>
  <c r="AA5" s="1"/>
  <c r="AA6" s="1"/>
  <c r="AA7" s="1"/>
  <c r="AA8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A34" s="1"/>
  <c r="AB34" s="1"/>
  <c r="AC4"/>
  <c r="AC5" s="1"/>
  <c r="AC6" s="1"/>
  <c r="AC7" s="1"/>
  <c r="AC8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D34" s="1"/>
  <c r="AF34" l="1"/>
  <c r="B19" i="7"/>
  <c r="AM13" i="2"/>
  <c r="AN13" s="1"/>
  <c r="E13" s="1"/>
  <c r="H11" i="82" s="1"/>
  <c r="AF32" i="1"/>
  <c r="AA32"/>
  <c r="Y32"/>
  <c r="AB32" s="1"/>
  <c r="R32"/>
  <c r="S32"/>
  <c r="T32" s="1"/>
  <c r="N32"/>
  <c r="L32"/>
  <c r="I32"/>
  <c r="G32"/>
  <c r="J32" s="1"/>
  <c r="D32"/>
  <c r="E32" s="1"/>
  <c r="B20" i="7" l="1"/>
  <c r="AM14" i="2"/>
  <c r="AN14" s="1"/>
  <c r="E14" s="1"/>
  <c r="H12" i="82" s="1"/>
  <c r="V32" i="1"/>
  <c r="U32"/>
  <c r="B21" i="7" l="1"/>
  <c r="AM15" i="2"/>
  <c r="AN15" s="1"/>
  <c r="E15" s="1"/>
  <c r="H13" i="82" s="1"/>
  <c r="B22" i="7" l="1"/>
  <c r="AM16" i="2"/>
  <c r="AN16" s="1"/>
  <c r="E16" s="1"/>
  <c r="H14" i="82" s="1"/>
  <c r="A14" i="5"/>
  <c r="B23" i="7" l="1"/>
  <c r="AM17" i="2"/>
  <c r="AN17" s="1"/>
  <c r="E17" s="1"/>
  <c r="H15" i="82" s="1"/>
  <c r="B24" i="7" l="1"/>
  <c r="AM18" i="2"/>
  <c r="AN18" s="1"/>
  <c r="E18" s="1"/>
  <c r="H16" i="82" s="1"/>
  <c r="B25" i="7" l="1"/>
  <c r="AM19" i="2"/>
  <c r="AN19" s="1"/>
  <c r="E19" s="1"/>
  <c r="H17" i="82" s="1"/>
  <c r="AT37" i="7"/>
  <c r="AT38" s="1"/>
  <c r="B26" l="1"/>
  <c r="AM20" i="2"/>
  <c r="AN20" s="1"/>
  <c r="E20" s="1"/>
  <c r="H18" i="82" s="1"/>
  <c r="E6" i="3"/>
  <c r="B27" i="7" l="1"/>
  <c r="AM21" i="2"/>
  <c r="AN21" s="1"/>
  <c r="E21" s="1"/>
  <c r="H19" i="82" s="1"/>
  <c r="B28" i="7" l="1"/>
  <c r="AM22" i="2"/>
  <c r="AN22" s="1"/>
  <c r="E22" s="1"/>
  <c r="H20" i="82" s="1"/>
  <c r="B29" i="7" l="1"/>
  <c r="AM23" i="2"/>
  <c r="AN23" s="1"/>
  <c r="E23" s="1"/>
  <c r="H21" i="82" s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B30" i="7" l="1"/>
  <c r="AM24" i="2"/>
  <c r="AN24" s="1"/>
  <c r="E24" s="1"/>
  <c r="H22" i="82" s="1"/>
  <c r="AC34" i="76"/>
  <c r="AB34" s="1"/>
  <c r="B31" i="7" l="1"/>
  <c r="AM25" i="2"/>
  <c r="AN25" s="1"/>
  <c r="E25" s="1"/>
  <c r="H23" i="82" s="1"/>
  <c r="A5" i="7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K6"/>
  <c r="P36"/>
  <c r="N36"/>
  <c r="T34" i="2"/>
  <c r="AE34" s="1"/>
  <c r="AG34" s="1"/>
  <c r="Q36" i="5" l="1"/>
  <c r="M32" i="81" s="1"/>
  <c r="B32" i="7"/>
  <c r="AM26" i="2"/>
  <c r="AN26" s="1"/>
  <c r="E26" s="1"/>
  <c r="H24" i="82" s="1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B33" i="7" l="1"/>
  <c r="AM27" i="2"/>
  <c r="AN27" s="1"/>
  <c r="E27" s="1"/>
  <c r="H25" i="82" s="1"/>
  <c r="I35" i="79"/>
  <c r="K35" i="5"/>
  <c r="L36" s="1"/>
  <c r="AK36" s="1"/>
  <c r="Q16" i="2"/>
  <c r="B34" i="7" l="1"/>
  <c r="AM28" i="2"/>
  <c r="AN28" s="1"/>
  <c r="E28" s="1"/>
  <c r="H26" i="82" s="1"/>
  <c r="Q21" i="2"/>
  <c r="B35" i="7" l="1"/>
  <c r="B36"/>
  <c r="AM29" i="2"/>
  <c r="AN29" s="1"/>
  <c r="E29" s="1"/>
  <c r="H27" i="82" s="1"/>
  <c r="G15" i="73"/>
  <c r="D36" i="7" l="1"/>
  <c r="AM30" i="2"/>
  <c r="AN30" s="1"/>
  <c r="E30" s="1"/>
  <c r="H28" i="82" s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F36" i="7" l="1"/>
  <c r="AM31" i="2"/>
  <c r="AN31" s="1"/>
  <c r="E31" s="1"/>
  <c r="H29" i="82" s="1"/>
  <c r="K43" i="74"/>
  <c r="J43"/>
  <c r="G43"/>
  <c r="F43"/>
  <c r="H36" i="7" l="1"/>
  <c r="AM33" i="2"/>
  <c r="AM32"/>
  <c r="AN32" s="1"/>
  <c r="E32" s="1"/>
  <c r="H30" i="82" s="1"/>
  <c r="S3" i="3"/>
  <c r="J36" i="7" l="1"/>
  <c r="AN33" i="2"/>
  <c r="E33" s="1"/>
  <c r="H31" i="82" s="1"/>
  <c r="L36" i="7" l="1"/>
  <c r="A33" i="2"/>
  <c r="B33" s="1"/>
  <c r="A32"/>
  <c r="B32" s="1"/>
  <c r="N36" i="7" l="1"/>
  <c r="D31" i="73"/>
  <c r="A25" i="3"/>
  <c r="P36" i="7" l="1"/>
  <c r="A23" i="3"/>
  <c r="A23" i="1"/>
  <c r="R36" i="7" l="1"/>
  <c r="I7" i="77"/>
  <c r="I12" s="1"/>
  <c r="T36" i="7" l="1"/>
  <c r="L30" i="82"/>
  <c r="L31"/>
  <c r="O30" i="81"/>
  <c r="O31"/>
  <c r="O32" i="2"/>
  <c r="O33"/>
  <c r="A34" i="79"/>
  <c r="L34" s="1"/>
  <c r="A31" i="76"/>
  <c r="A32"/>
  <c r="A33"/>
  <c r="AZ34" i="7"/>
  <c r="BB34"/>
  <c r="AZ35"/>
  <c r="BB35"/>
  <c r="D34" i="73"/>
  <c r="AM34" i="5" s="1"/>
  <c r="G34" i="73"/>
  <c r="K34"/>
  <c r="D35"/>
  <c r="AM35" i="5" s="1"/>
  <c r="G35" i="73"/>
  <c r="K35"/>
  <c r="AN34" i="5"/>
  <c r="AP34"/>
  <c r="AN35"/>
  <c r="AP35"/>
  <c r="A31" i="3"/>
  <c r="A32"/>
  <c r="A34" i="73"/>
  <c r="A35"/>
  <c r="A34" i="5"/>
  <c r="AR34" s="1"/>
  <c r="A35"/>
  <c r="AR35" s="1"/>
  <c r="A33" i="1"/>
  <c r="A34"/>
  <c r="V36" i="7" l="1"/>
  <c r="AD34" i="1"/>
  <c r="AG34" s="1"/>
  <c r="AD32"/>
  <c r="S23" i="3"/>
  <c r="U23" s="1"/>
  <c r="E25"/>
  <c r="K29" i="76"/>
  <c r="M32" i="2"/>
  <c r="M33"/>
  <c r="K32"/>
  <c r="F30" i="82" s="1"/>
  <c r="I32" i="2"/>
  <c r="G30" i="82" s="1"/>
  <c r="G32" i="2"/>
  <c r="I30" i="82" s="1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AA34"/>
  <c r="AA33"/>
  <c r="AD32" i="2"/>
  <c r="AB32"/>
  <c r="X32"/>
  <c r="T32"/>
  <c r="Q32"/>
  <c r="AD31" i="3" s="1"/>
  <c r="AI31" s="1"/>
  <c r="U35" i="5"/>
  <c r="U34"/>
  <c r="AD33" i="1" l="1"/>
  <c r="AG33" s="1"/>
  <c r="E31" i="82"/>
  <c r="E30"/>
  <c r="N32" i="2"/>
  <c r="R32" s="1"/>
  <c r="AI32" s="1"/>
  <c r="V32"/>
  <c r="E31" i="3"/>
  <c r="C23"/>
  <c r="K31" i="76"/>
  <c r="N31" s="1"/>
  <c r="S25" i="3"/>
  <c r="U25" s="1"/>
  <c r="C25"/>
  <c r="F25" s="1"/>
  <c r="Z32" i="2"/>
  <c r="Z33"/>
  <c r="I34" i="79"/>
  <c r="AL34" i="5"/>
  <c r="Y34" i="1"/>
  <c r="AB34" s="1"/>
  <c r="K33" i="2"/>
  <c r="F31" i="82" s="1"/>
  <c r="I33" i="2"/>
  <c r="G31" i="82" s="1"/>
  <c r="G33" i="2"/>
  <c r="I31" i="82" s="1"/>
  <c r="K32" i="76"/>
  <c r="N32" s="1"/>
  <c r="I31"/>
  <c r="M31" s="1"/>
  <c r="L31"/>
  <c r="G32"/>
  <c r="C32"/>
  <c r="E32" i="3"/>
  <c r="BA35" i="5"/>
  <c r="BD35" s="1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D31"/>
  <c r="X33" i="2"/>
  <c r="AE32"/>
  <c r="T33"/>
  <c r="Q33"/>
  <c r="AB33"/>
  <c r="AD33"/>
  <c r="W35" i="5"/>
  <c r="D31" i="76" l="1"/>
  <c r="E31" s="1"/>
  <c r="AM33" i="1"/>
  <c r="N33" i="2"/>
  <c r="R33" s="1"/>
  <c r="AI33" s="1"/>
  <c r="AF32"/>
  <c r="AG32" s="1"/>
  <c r="E23" i="3"/>
  <c r="F23" s="1"/>
  <c r="S32"/>
  <c r="U32" s="1"/>
  <c r="S31"/>
  <c r="U31" s="1"/>
  <c r="C32"/>
  <c r="F32" s="1"/>
  <c r="C31"/>
  <c r="F31" s="1"/>
  <c r="AM34" i="1"/>
  <c r="V33" i="2"/>
  <c r="AF33" s="1"/>
  <c r="J31" i="82"/>
  <c r="E30" i="81"/>
  <c r="S32" i="76"/>
  <c r="K33"/>
  <c r="N33" s="1"/>
  <c r="I32"/>
  <c r="M32" s="1"/>
  <c r="L32"/>
  <c r="G33"/>
  <c r="C33"/>
  <c r="AI35" i="5"/>
  <c r="AL35"/>
  <c r="U34" i="1"/>
  <c r="J34"/>
  <c r="AL34"/>
  <c r="Z35" i="7"/>
  <c r="AB34"/>
  <c r="D32"/>
  <c r="F31"/>
  <c r="AE33" i="2"/>
  <c r="AD32" i="3"/>
  <c r="W6" i="5"/>
  <c r="D32" i="76" l="1"/>
  <c r="E32" s="1"/>
  <c r="L35" i="5"/>
  <c r="AK35" s="1"/>
  <c r="AG33" i="2"/>
  <c r="E31" i="81"/>
  <c r="S33" i="76"/>
  <c r="I33"/>
  <c r="M33" s="1"/>
  <c r="L33"/>
  <c r="F32" i="7"/>
  <c r="AB35"/>
  <c r="H31"/>
  <c r="D33"/>
  <c r="AD34"/>
  <c r="AI32" i="3"/>
  <c r="H7" i="77"/>
  <c r="H12" s="1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AA17" i="76"/>
  <c r="D24" i="73"/>
  <c r="AM24" i="5" s="1"/>
  <c r="AP24"/>
  <c r="AN24"/>
  <c r="N43" i="74" l="1"/>
  <c r="S43"/>
  <c r="AB14" s="1"/>
  <c r="R43"/>
  <c r="AA14" s="1"/>
  <c r="W43"/>
  <c r="B14" i="77" s="1"/>
  <c r="V43" i="74"/>
  <c r="B15" i="77" s="1"/>
  <c r="O43" i="74"/>
  <c r="I23" i="3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V22" i="2"/>
  <c r="T22"/>
  <c r="Q22"/>
  <c r="M22"/>
  <c r="K22"/>
  <c r="I22"/>
  <c r="G22"/>
  <c r="I25" i="3" l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2" i="2"/>
  <c r="R22" s="1"/>
  <c r="AI22" s="1"/>
  <c r="I22" i="1"/>
  <c r="E18" i="3"/>
  <c r="E19"/>
  <c r="I32" l="1"/>
  <c r="I31"/>
  <c r="AJ34" i="1"/>
  <c r="AK34" s="1"/>
  <c r="G31" i="81"/>
  <c r="L35" i="7"/>
  <c r="R32"/>
  <c r="P33"/>
  <c r="N34"/>
  <c r="R33" l="1"/>
  <c r="P34"/>
  <c r="N35"/>
  <c r="U24" i="5"/>
  <c r="R23" i="1"/>
  <c r="V23" s="1"/>
  <c r="S23"/>
  <c r="AL23" s="1"/>
  <c r="AF23"/>
  <c r="AD23"/>
  <c r="AG23" s="1"/>
  <c r="AA23"/>
  <c r="Y23"/>
  <c r="X22" i="2"/>
  <c r="Z22"/>
  <c r="I24" i="1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0" l="1"/>
  <c r="I31" l="1"/>
  <c r="K19" i="73" l="1"/>
  <c r="G19"/>
  <c r="K15" i="76"/>
  <c r="D14" i="73" l="1"/>
  <c r="L24" i="5" l="1"/>
  <c r="AK24" s="1"/>
  <c r="X78" i="74" l="1"/>
  <c r="AB22" i="2" l="1"/>
  <c r="AE22" s="1"/>
  <c r="AD22"/>
  <c r="AF22" s="1"/>
  <c r="BA19" i="5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A23" i="2"/>
  <c r="C17" i="76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Q15" i="2"/>
  <c r="Q14"/>
  <c r="L34" i="5" l="1"/>
  <c r="AK34" s="1"/>
  <c r="N14" i="1"/>
  <c r="L13"/>
  <c r="S5" i="3"/>
  <c r="U5" s="1"/>
  <c r="S6"/>
  <c r="U6" s="1"/>
  <c r="K11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16"/>
  <c r="A17"/>
  <c r="A18"/>
  <c r="A19"/>
  <c r="A20"/>
  <c r="A21"/>
  <c r="A22"/>
  <c r="A24"/>
  <c r="A25"/>
  <c r="A26"/>
  <c r="A27"/>
  <c r="A28"/>
  <c r="A29"/>
  <c r="A30"/>
  <c r="A31"/>
  <c r="A4"/>
  <c r="B4" s="1"/>
  <c r="N17" i="1" l="1"/>
  <c r="L16"/>
  <c r="Y6" i="5"/>
  <c r="S7" i="3"/>
  <c r="U7" s="1"/>
  <c r="G25" i="2"/>
  <c r="N18" i="1" l="1"/>
  <c r="Q17" i="2"/>
  <c r="S8" i="3"/>
  <c r="D9" i="1"/>
  <c r="E9" s="1"/>
  <c r="L18" l="1"/>
  <c r="N19"/>
  <c r="Q18" i="2"/>
  <c r="S9" i="3"/>
  <c r="L19" i="1" l="1"/>
  <c r="N20"/>
  <c r="Q19" i="2"/>
  <c r="S16" i="3"/>
  <c r="U16" s="1"/>
  <c r="Y13" i="76"/>
  <c r="L20" i="1" l="1"/>
  <c r="N21"/>
  <c r="Q20" i="2"/>
  <c r="L21" i="1" l="1"/>
  <c r="N22"/>
  <c r="L22" l="1"/>
  <c r="N24" l="1"/>
  <c r="Q23" i="2"/>
  <c r="C13" i="76"/>
  <c r="N25" i="1" l="1"/>
  <c r="L24"/>
  <c r="Q24" i="2"/>
  <c r="AD23" i="3" s="1"/>
  <c r="C14" i="76"/>
  <c r="AI23" i="3" l="1"/>
  <c r="N26" i="1"/>
  <c r="L25"/>
  <c r="Q25" i="2"/>
  <c r="C15" i="76"/>
  <c r="N27" i="1" l="1"/>
  <c r="L26"/>
  <c r="Q26" i="2"/>
  <c r="AD25" i="3" s="1"/>
  <c r="C16" i="76"/>
  <c r="D12" i="73"/>
  <c r="AB8" i="2"/>
  <c r="G5" i="76"/>
  <c r="AI25" i="3" l="1"/>
  <c r="N28" i="1"/>
  <c r="L27"/>
  <c r="Q27" i="2"/>
  <c r="N29" i="1" l="1"/>
  <c r="L28"/>
  <c r="Q28" i="2"/>
  <c r="C18" i="76"/>
  <c r="L29" i="1" l="1"/>
  <c r="N30"/>
  <c r="Q29" i="2"/>
  <c r="C19" i="76"/>
  <c r="N31" i="1" l="1"/>
  <c r="L30"/>
  <c r="Q30" i="2"/>
  <c r="C20" i="76"/>
  <c r="C4"/>
  <c r="AB9" i="2"/>
  <c r="G14" i="76"/>
  <c r="L14" l="1"/>
  <c r="L31" i="1"/>
  <c r="Q31" i="2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G17"/>
  <c r="I17"/>
  <c r="M17" s="1"/>
  <c r="E15"/>
  <c r="L17" l="1"/>
  <c r="D17"/>
  <c r="E17" s="1"/>
  <c r="C24"/>
  <c r="G18"/>
  <c r="E16"/>
  <c r="S12" i="3"/>
  <c r="U12" l="1"/>
  <c r="C25" i="76"/>
  <c r="G19"/>
  <c r="I19"/>
  <c r="K18"/>
  <c r="N18" s="1"/>
  <c r="D18" l="1"/>
  <c r="E18" s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AA5" i="76"/>
  <c r="V16"/>
  <c r="V15"/>
  <c r="V14"/>
  <c r="V13"/>
  <c r="D21" l="1"/>
  <c r="E21" s="1"/>
  <c r="C29"/>
  <c r="M21"/>
  <c r="K22"/>
  <c r="D22" s="1"/>
  <c r="L21"/>
  <c r="N22" l="1"/>
  <c r="E22"/>
  <c r="C30"/>
  <c r="M22"/>
  <c r="I23"/>
  <c r="K23"/>
  <c r="N23" s="1"/>
  <c r="L22"/>
  <c r="G23"/>
  <c r="G30" i="73"/>
  <c r="D30"/>
  <c r="D23" i="76" l="1"/>
  <c r="E23" s="1"/>
  <c r="M23"/>
  <c r="I24"/>
  <c r="G24"/>
  <c r="L23"/>
  <c r="K24"/>
  <c r="N24" s="1"/>
  <c r="D24" l="1"/>
  <c r="E24" s="1"/>
  <c r="X21" i="2"/>
  <c r="M24" i="76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AB8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3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O12" i="79" l="1"/>
  <c r="I11"/>
  <c r="D31" i="1"/>
  <c r="E31" s="1"/>
  <c r="O13" i="79" l="1"/>
  <c r="I12"/>
  <c r="E24" i="3"/>
  <c r="O14" i="79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A3" i="76"/>
  <c r="O19" i="79" l="1"/>
  <c r="I18"/>
  <c r="O20" l="1"/>
  <c r="I19"/>
  <c r="O21" l="1"/>
  <c r="I20"/>
  <c r="A2" i="3"/>
  <c r="A5" i="73"/>
  <c r="I21" i="79" l="1"/>
  <c r="O22"/>
  <c r="I22" l="1"/>
  <c r="O23"/>
  <c r="I23" l="1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AP14" i="5"/>
  <c r="Y11"/>
  <c r="AD7" i="1"/>
  <c r="AB21" i="74"/>
  <c r="AA21"/>
  <c r="I4" i="76"/>
  <c r="U3" i="3"/>
  <c r="I3"/>
  <c r="AJ6" i="5"/>
  <c r="J2" i="82"/>
  <c r="U6" i="5"/>
  <c r="H6"/>
  <c r="D5" i="75"/>
  <c r="E5" s="1"/>
  <c r="Y5" i="1"/>
  <c r="R5"/>
  <c r="G5"/>
  <c r="AD4" i="2"/>
  <c r="AB4"/>
  <c r="Z4"/>
  <c r="V4"/>
  <c r="T4"/>
  <c r="K4"/>
  <c r="I2" i="82"/>
  <c r="I13" i="76"/>
  <c r="M13" s="1"/>
  <c r="E4" i="3"/>
  <c r="AJ14" i="5"/>
  <c r="K10" i="82" s="1"/>
  <c r="H8" i="5"/>
  <c r="H10"/>
  <c r="AF13" i="1"/>
  <c r="AA6"/>
  <c r="Y6"/>
  <c r="Y15"/>
  <c r="AB15" s="1"/>
  <c r="R13"/>
  <c r="S10"/>
  <c r="V5" i="2"/>
  <c r="B17" i="77"/>
  <c r="J9" i="63"/>
  <c r="K9" i="73"/>
  <c r="G9"/>
  <c r="C6" i="76"/>
  <c r="K4"/>
  <c r="AW38" i="1"/>
  <c r="S6"/>
  <c r="T6" s="1"/>
  <c r="S5"/>
  <c r="D7" i="7"/>
  <c r="K25" i="73"/>
  <c r="X4" i="2"/>
  <c r="M4"/>
  <c r="G2" i="82"/>
  <c r="J30" i="63"/>
  <c r="AP31" i="5"/>
  <c r="B8" i="77"/>
  <c r="J11" i="63"/>
  <c r="D7" i="77"/>
  <c r="AV39" i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R14" i="5"/>
  <c r="AP18"/>
  <c r="AP17"/>
  <c r="AP13"/>
  <c r="I5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P9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5" i="2"/>
  <c r="E3" i="82" s="1"/>
  <c r="K5" i="2"/>
  <c r="F3" i="82" s="1"/>
  <c r="H4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D6" i="2"/>
  <c r="AB6"/>
  <c r="Z6"/>
  <c r="Z5"/>
  <c r="T6"/>
  <c r="T5"/>
  <c r="Q6"/>
  <c r="Q5"/>
  <c r="I5" i="65"/>
  <c r="I6" i="2"/>
  <c r="G4" i="82" s="1"/>
  <c r="G6" i="2"/>
  <c r="I4" i="82" s="1"/>
  <c r="H2"/>
  <c r="L5" i="79"/>
  <c r="J2" i="63"/>
  <c r="K31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Q7"/>
  <c r="K6"/>
  <c r="F4" i="82" s="1"/>
  <c r="I7" i="2"/>
  <c r="G5" i="82" s="1"/>
  <c r="G7" i="2"/>
  <c r="G6" i="1"/>
  <c r="I6"/>
  <c r="G7"/>
  <c r="AF6"/>
  <c r="X6" i="2"/>
  <c r="H5" i="8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C9" i="7"/>
  <c r="AD8" i="2"/>
  <c r="Z8"/>
  <c r="Q8"/>
  <c r="M7"/>
  <c r="E5" i="82" s="1"/>
  <c r="K7" i="2"/>
  <c r="F5" i="82" s="1"/>
  <c r="I8" i="2"/>
  <c r="G6" i="82" s="1"/>
  <c r="G8" i="2"/>
  <c r="I6" i="82" s="1"/>
  <c r="H6"/>
  <c r="I7" i="1"/>
  <c r="AF7"/>
  <c r="G8"/>
  <c r="X7" i="2"/>
  <c r="AJ10" i="5"/>
  <c r="K6" i="82" s="1"/>
  <c r="AA10" i="5"/>
  <c r="R10" i="1"/>
  <c r="Z10" i="7"/>
  <c r="Z9" i="2"/>
  <c r="Q9"/>
  <c r="M8"/>
  <c r="E6" i="82" s="1"/>
  <c r="I8" i="1"/>
  <c r="G9"/>
  <c r="AF8"/>
  <c r="X8" i="2"/>
  <c r="AA11" i="5"/>
  <c r="AJ11"/>
  <c r="AD11" i="1"/>
  <c r="R11"/>
  <c r="Q10" i="2"/>
  <c r="M9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1" i="2"/>
  <c r="M10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D10"/>
  <c r="E10" s="1"/>
  <c r="Z13" i="7"/>
  <c r="Z12"/>
  <c r="Z1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D11" i="2"/>
  <c r="AB13"/>
  <c r="X13"/>
  <c r="X14"/>
  <c r="K11"/>
  <c r="F9" i="82" s="1"/>
  <c r="I11" i="2"/>
  <c r="G9" i="82" s="1"/>
  <c r="G11" i="2"/>
  <c r="S11" i="3"/>
  <c r="U11" s="1"/>
  <c r="H13" i="5"/>
  <c r="S14" i="1"/>
  <c r="S13"/>
  <c r="U13" s="1"/>
  <c r="AD13" i="2"/>
  <c r="AD12"/>
  <c r="K14"/>
  <c r="F12" i="82" s="1"/>
  <c r="K12" i="2"/>
  <c r="F10" i="82" s="1"/>
  <c r="I12" i="2"/>
  <c r="G10" i="82" s="1"/>
  <c r="G12" i="2"/>
  <c r="I10" i="82" s="1"/>
  <c r="G13" i="2"/>
  <c r="I11" i="82" s="1"/>
  <c r="V8" i="2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C15" i="7" l="1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G37" i="73"/>
  <c r="T12" i="1"/>
  <c r="U12"/>
  <c r="T9"/>
  <c r="U9"/>
  <c r="T14"/>
  <c r="U14"/>
  <c r="T11"/>
  <c r="U11"/>
  <c r="T10"/>
  <c r="U10"/>
  <c r="T8"/>
  <c r="A35" i="76"/>
  <c r="E2" i="82"/>
  <c r="N4" i="2"/>
  <c r="R4" s="1"/>
  <c r="AA11" i="7"/>
  <c r="AA7"/>
  <c r="AL6" i="5"/>
  <c r="U4" i="3"/>
  <c r="M5" i="76"/>
  <c r="D5"/>
  <c r="E5" s="1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O26" i="79"/>
  <c r="I25"/>
  <c r="H3" i="82"/>
  <c r="N5" i="2"/>
  <c r="S5" i="76" s="1"/>
  <c r="J11" i="1"/>
  <c r="J10"/>
  <c r="B27" i="2"/>
  <c r="L25" i="82" s="1"/>
  <c r="AZ29" i="7"/>
  <c r="B19" i="2"/>
  <c r="L17" i="82" s="1"/>
  <c r="AZ21" i="7"/>
  <c r="B28" i="2"/>
  <c r="O26" i="81" s="1"/>
  <c r="AZ30" i="7"/>
  <c r="B12" i="2"/>
  <c r="L10" i="82" s="1"/>
  <c r="AZ14" i="7"/>
  <c r="B13" i="2"/>
  <c r="AZ15" i="7"/>
  <c r="B22" i="2"/>
  <c r="AZ24" i="7"/>
  <c r="B7" i="2"/>
  <c r="O5" i="81" s="1"/>
  <c r="AZ9" i="7"/>
  <c r="B24" i="2"/>
  <c r="O22" i="81" s="1"/>
  <c r="AZ26" i="7"/>
  <c r="B17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AD7"/>
  <c r="E8" i="63"/>
  <c r="AD8" i="3"/>
  <c r="I8" i="65"/>
  <c r="N7" i="2"/>
  <c r="C5" i="63" s="1"/>
  <c r="N11" i="2"/>
  <c r="S11" i="76" s="1"/>
  <c r="N10" i="2"/>
  <c r="S10" i="76" s="1"/>
  <c r="B30" i="2"/>
  <c r="L28" i="82" s="1"/>
  <c r="X50" i="74"/>
  <c r="R81"/>
  <c r="S81"/>
  <c r="N9" i="2"/>
  <c r="S9" i="76" s="1"/>
  <c r="N8" i="2"/>
  <c r="I8" i="82"/>
  <c r="I5"/>
  <c r="I3"/>
  <c r="N6" i="2"/>
  <c r="E2" i="63"/>
  <c r="J21"/>
  <c r="X76" i="74"/>
  <c r="X58"/>
  <c r="X51"/>
  <c r="A28" i="65"/>
  <c r="B26" i="2"/>
  <c r="L24" i="82" s="1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B31" i="2"/>
  <c r="O29" i="81" s="1"/>
  <c r="J27" i="63"/>
  <c r="A11" i="65"/>
  <c r="P49" i="74"/>
  <c r="P53"/>
  <c r="X55"/>
  <c r="B9" i="2"/>
  <c r="B5"/>
  <c r="AB12" i="7"/>
  <c r="AC12" s="1"/>
  <c r="B16" i="2"/>
  <c r="AA9" i="7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AI4" i="2"/>
  <c r="F2" i="82"/>
  <c r="N5" i="1"/>
  <c r="AL5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P58" i="74"/>
  <c r="AE13" i="2"/>
  <c r="T14"/>
  <c r="A12" i="63" s="1"/>
  <c r="AP15" i="5"/>
  <c r="P57" i="74"/>
  <c r="S13" i="3"/>
  <c r="S14"/>
  <c r="U14" s="1"/>
  <c r="E14"/>
  <c r="C13"/>
  <c r="AA14" i="1"/>
  <c r="AA15"/>
  <c r="S15"/>
  <c r="T13"/>
  <c r="J13"/>
  <c r="V14" i="2"/>
  <c r="K14" i="73"/>
  <c r="P56" i="74"/>
  <c r="X56"/>
  <c r="K13" i="76"/>
  <c r="N13" s="1"/>
  <c r="M11"/>
  <c r="G13"/>
  <c r="BA15" i="5"/>
  <c r="BA14"/>
  <c r="BD14" s="1"/>
  <c r="AD14" i="1"/>
  <c r="AG12"/>
  <c r="AD13"/>
  <c r="I16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Q13" i="2"/>
  <c r="AD10" i="3"/>
  <c r="Q12" i="2"/>
  <c r="M13"/>
  <c r="E11" i="82" s="1"/>
  <c r="G15" i="2"/>
  <c r="I13" i="82" s="1"/>
  <c r="I9"/>
  <c r="N12" i="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5" i="2"/>
  <c r="B18"/>
  <c r="X74" i="74"/>
  <c r="J14" i="63"/>
  <c r="D6" i="7"/>
  <c r="F12"/>
  <c r="J25" i="63"/>
  <c r="B21" i="2"/>
  <c r="D11" i="7"/>
  <c r="C11"/>
  <c r="B23" i="2"/>
  <c r="A31" i="65"/>
  <c r="J29" i="63"/>
  <c r="A7" i="65"/>
  <c r="J5" i="63"/>
  <c r="P67" i="74"/>
  <c r="D9" i="7"/>
  <c r="X64" i="74"/>
  <c r="X52"/>
  <c r="B29" i="2"/>
  <c r="A26" i="65"/>
  <c r="J24" i="63"/>
  <c r="B20" i="2"/>
  <c r="C12" i="7"/>
  <c r="B11" i="2"/>
  <c r="B10"/>
  <c r="P76" i="74"/>
  <c r="I35" i="76" l="1"/>
  <c r="G35"/>
  <c r="AO36" i="7"/>
  <c r="AN36" s="1"/>
  <c r="Y36"/>
  <c r="T15" i="1"/>
  <c r="B81" i="74"/>
  <c r="C81"/>
  <c r="C35" i="76"/>
  <c r="K35"/>
  <c r="D38" i="73"/>
  <c r="D6" i="75"/>
  <c r="E6" s="1"/>
  <c r="D13" i="76"/>
  <c r="E13" s="1"/>
  <c r="U13" i="3"/>
  <c r="L11" i="82"/>
  <c r="O13" i="2"/>
  <c r="F4" i="77"/>
  <c r="Y34" i="7"/>
  <c r="AO34"/>
  <c r="AN34" s="1"/>
  <c r="AO35"/>
  <c r="AN35" s="1"/>
  <c r="Y35"/>
  <c r="O6" i="81"/>
  <c r="O8" i="2"/>
  <c r="L20" i="82"/>
  <c r="O22" i="2"/>
  <c r="AI3" i="3"/>
  <c r="D5" i="65" s="1"/>
  <c r="O20" i="81"/>
  <c r="O17"/>
  <c r="L5" i="82"/>
  <c r="R12" i="2"/>
  <c r="AI12" s="1"/>
  <c r="BC10" i="5"/>
  <c r="I4" i="3"/>
  <c r="O27" i="79"/>
  <c r="I26"/>
  <c r="AH14" i="1"/>
  <c r="U6"/>
  <c r="O25" i="81"/>
  <c r="L15" i="82"/>
  <c r="L26"/>
  <c r="L22"/>
  <c r="O11" i="81"/>
  <c r="O10"/>
  <c r="O12" i="2"/>
  <c r="F17" i="77"/>
  <c r="E17"/>
  <c r="C6" i="63"/>
  <c r="R8" i="2"/>
  <c r="AI8" s="1"/>
  <c r="O28" i="81"/>
  <c r="V81" i="74"/>
  <c r="AG4" i="2"/>
  <c r="B7" i="63"/>
  <c r="H6" i="65"/>
  <c r="AG5" i="2"/>
  <c r="H11" i="65"/>
  <c r="D5" i="63"/>
  <c r="O7" i="2"/>
  <c r="R10"/>
  <c r="AI10" s="1"/>
  <c r="J81" i="74"/>
  <c r="B6" i="63"/>
  <c r="B9"/>
  <c r="AI4" i="3"/>
  <c r="D6" i="65" s="1"/>
  <c r="R9" i="2"/>
  <c r="AI9" s="1"/>
  <c r="F81" i="74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C7" i="63"/>
  <c r="D7" s="1"/>
  <c r="E7" i="81"/>
  <c r="E5"/>
  <c r="R7" i="2"/>
  <c r="AI7" s="1"/>
  <c r="S7" i="76"/>
  <c r="C9" i="63"/>
  <c r="D9" s="1"/>
  <c r="C8"/>
  <c r="D8" s="1"/>
  <c r="R11" i="2"/>
  <c r="AI11" s="1"/>
  <c r="E9" i="81"/>
  <c r="E8"/>
  <c r="E3"/>
  <c r="C3" i="63"/>
  <c r="D3" s="1"/>
  <c r="R5" i="2"/>
  <c r="AI5" s="1"/>
  <c r="O24" i="81"/>
  <c r="L12" i="82"/>
  <c r="L4"/>
  <c r="O6" i="2"/>
  <c r="AL6" i="1"/>
  <c r="S8" i="76"/>
  <c r="E6" i="81"/>
  <c r="E4"/>
  <c r="C4" i="63"/>
  <c r="D4" s="1"/>
  <c r="R6" i="2"/>
  <c r="AI6" s="1"/>
  <c r="S6" i="76"/>
  <c r="B2" i="63"/>
  <c r="AC11" i="7"/>
  <c r="AD11"/>
  <c r="D7" i="65"/>
  <c r="L2" i="82"/>
  <c r="AD13" i="7"/>
  <c r="AE13" s="1"/>
  <c r="AD7"/>
  <c r="AE7" s="1"/>
  <c r="AD10"/>
  <c r="AF10" s="1"/>
  <c r="G81" i="74"/>
  <c r="K8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V6" i="1"/>
  <c r="O4" i="2"/>
  <c r="W3" i="7"/>
  <c r="AO3" s="1"/>
  <c r="H17" i="5"/>
  <c r="AE14" i="2"/>
  <c r="E15" i="3"/>
  <c r="F13"/>
  <c r="C14"/>
  <c r="BD15" i="5"/>
  <c r="Y16"/>
  <c r="AA16" i="1"/>
  <c r="Y16"/>
  <c r="AB16" s="1"/>
  <c r="T16" i="2"/>
  <c r="G14"/>
  <c r="I12" i="82" s="1"/>
  <c r="N81" i="74"/>
  <c r="L13" i="76"/>
  <c r="S15" i="3"/>
  <c r="U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G16" i="2"/>
  <c r="I14" i="82" s="1"/>
  <c r="N13" i="2"/>
  <c r="S12" i="76"/>
  <c r="E10" i="81"/>
  <c r="C10" i="63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G36" i="76" l="1"/>
  <c r="AR35" i="7"/>
  <c r="X36"/>
  <c r="AR36"/>
  <c r="AQ36" s="1"/>
  <c r="AR34"/>
  <c r="T16" i="1"/>
  <c r="U16"/>
  <c r="I36" i="76"/>
  <c r="K36"/>
  <c r="D7" i="75"/>
  <c r="E7" s="1"/>
  <c r="J6" i="65"/>
  <c r="J5"/>
  <c r="J10"/>
  <c r="J8"/>
  <c r="X34" i="7"/>
  <c r="AF13" i="2"/>
  <c r="B11" i="63" s="1"/>
  <c r="AF6" i="2"/>
  <c r="H7" i="65" s="1"/>
  <c r="X35" i="7"/>
  <c r="F14" i="3"/>
  <c r="J12" i="82"/>
  <c r="E14" i="77"/>
  <c r="C14" i="65"/>
  <c r="I5" i="3"/>
  <c r="I27" i="79"/>
  <c r="O28"/>
  <c r="F5" i="3"/>
  <c r="J11" i="65"/>
  <c r="AF7" i="7"/>
  <c r="AG7" s="1"/>
  <c r="D10" i="63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J12"/>
  <c r="AL7" i="1"/>
  <c r="D8" i="75" s="1"/>
  <c r="E8" s="1"/>
  <c r="J7" i="65"/>
  <c r="AE11" i="7"/>
  <c r="AF11"/>
  <c r="AF13"/>
  <c r="AH13" s="1"/>
  <c r="AF12"/>
  <c r="AH12" s="1"/>
  <c r="D12" i="65"/>
  <c r="AI11" i="3"/>
  <c r="AI12"/>
  <c r="W6" i="1"/>
  <c r="AI6"/>
  <c r="B6" i="65"/>
  <c r="E6" s="1"/>
  <c r="V7" i="1"/>
  <c r="AG10" i="7"/>
  <c r="AH10"/>
  <c r="H18" i="5"/>
  <c r="E16" i="3"/>
  <c r="C15"/>
  <c r="Y17" i="5"/>
  <c r="Y17" i="1"/>
  <c r="AB17" s="1"/>
  <c r="V15" i="2"/>
  <c r="V16"/>
  <c r="T17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I18"/>
  <c r="J15"/>
  <c r="AL15"/>
  <c r="D16" i="75" s="1"/>
  <c r="E16" s="1"/>
  <c r="G16" i="1"/>
  <c r="AC15" i="7"/>
  <c r="AD15"/>
  <c r="AB16"/>
  <c r="AA16"/>
  <c r="Z17"/>
  <c r="AH14"/>
  <c r="AG14"/>
  <c r="C16"/>
  <c r="D16"/>
  <c r="G13"/>
  <c r="H13"/>
  <c r="AD15" i="2"/>
  <c r="AB16"/>
  <c r="Z14"/>
  <c r="AE15"/>
  <c r="A13" i="63"/>
  <c r="X16" i="2"/>
  <c r="BE15" i="7"/>
  <c r="BG15" s="1"/>
  <c r="AD13" i="3"/>
  <c r="E12" i="63"/>
  <c r="I15" i="65"/>
  <c r="M15" i="2"/>
  <c r="E13" i="82" s="1"/>
  <c r="K16" i="2"/>
  <c r="F14" i="82" s="1"/>
  <c r="I16" i="2"/>
  <c r="G14" i="82" s="1"/>
  <c r="G17" i="2"/>
  <c r="I15" i="82" s="1"/>
  <c r="J13" i="6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5" l="1"/>
  <c r="AS36"/>
  <c r="AX36" s="1"/>
  <c r="AY36" s="1"/>
  <c r="T17" i="1"/>
  <c r="AW7" i="7"/>
  <c r="AJ6" i="1" s="1"/>
  <c r="AK6" s="1"/>
  <c r="D14" i="65"/>
  <c r="AG13" i="2"/>
  <c r="AG6"/>
  <c r="H14" i="65"/>
  <c r="B4" i="63"/>
  <c r="AF14" i="2"/>
  <c r="H15" i="65" s="1"/>
  <c r="J13" i="82"/>
  <c r="E15" i="77"/>
  <c r="I6" i="3"/>
  <c r="O29" i="7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W7" s="1"/>
  <c r="AG11" i="7"/>
  <c r="AH11"/>
  <c r="AG12"/>
  <c r="D13" i="65"/>
  <c r="V8" i="1"/>
  <c r="AL8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7" i="2"/>
  <c r="T18"/>
  <c r="S17" i="3"/>
  <c r="BA18" i="5"/>
  <c r="BD19" s="1"/>
  <c r="AJ17"/>
  <c r="AA17"/>
  <c r="U18"/>
  <c r="AF17" i="1"/>
  <c r="AG16"/>
  <c r="AM16"/>
  <c r="F17" i="75" s="1"/>
  <c r="G17" s="1"/>
  <c r="R17" i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D16" i="2"/>
  <c r="AB17"/>
  <c r="Z15"/>
  <c r="X17"/>
  <c r="A14" i="63"/>
  <c r="AE16" i="2"/>
  <c r="AI13" i="3"/>
  <c r="I16" i="65"/>
  <c r="BE16" i="7"/>
  <c r="BG16" s="1"/>
  <c r="E13" i="63"/>
  <c r="AD14" i="3"/>
  <c r="M16" i="2"/>
  <c r="E14" i="82" s="1"/>
  <c r="K17" i="2"/>
  <c r="F15" i="82" s="1"/>
  <c r="I17" i="2"/>
  <c r="G15" i="82" s="1"/>
  <c r="G18" i="2"/>
  <c r="I16" i="82" s="1"/>
  <c r="E11" i="81"/>
  <c r="S13" i="76"/>
  <c r="R13" i="2"/>
  <c r="AI13" s="1"/>
  <c r="C11" i="63"/>
  <c r="D11" s="1"/>
  <c r="N14" i="2"/>
  <c r="R14" s="1"/>
  <c r="AI14" s="1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Q34" i="76" l="1"/>
  <c r="T18" i="1"/>
  <c r="G3" i="81"/>
  <c r="D9" i="75"/>
  <c r="E9" s="1"/>
  <c r="D15" i="65"/>
  <c r="AG14" i="2"/>
  <c r="AF15"/>
  <c r="H16" i="65" s="1"/>
  <c r="B12" i="63"/>
  <c r="F16" i="3"/>
  <c r="BD18" i="5"/>
  <c r="J14" i="82"/>
  <c r="O14" i="2"/>
  <c r="S14" i="76"/>
  <c r="I7" i="3"/>
  <c r="I29" i="79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AW9" i="7" s="1"/>
  <c r="W8" i="1"/>
  <c r="B8" i="65"/>
  <c r="E8" s="1"/>
  <c r="V9" i="1"/>
  <c r="AL9"/>
  <c r="AJ7"/>
  <c r="AK7" s="1"/>
  <c r="G4" i="81"/>
  <c r="AK13" i="7"/>
  <c r="AL13"/>
  <c r="AM13" s="1"/>
  <c r="AL10"/>
  <c r="AM10" s="1"/>
  <c r="AK10"/>
  <c r="H20" i="5"/>
  <c r="C17" i="3"/>
  <c r="Y19" i="5"/>
  <c r="Y19" i="1"/>
  <c r="AB19" s="1"/>
  <c r="V18" i="2"/>
  <c r="T19"/>
  <c r="S18" i="3"/>
  <c r="U18" s="1"/>
  <c r="K13" i="82"/>
  <c r="AJ18" i="5"/>
  <c r="K14" i="82" s="1"/>
  <c r="AA18" i="5"/>
  <c r="U19"/>
  <c r="AF18" i="1"/>
  <c r="R18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D17" i="2"/>
  <c r="AB18"/>
  <c r="Z16"/>
  <c r="X18"/>
  <c r="A15" i="63"/>
  <c r="AE17" i="2"/>
  <c r="AI14" i="3"/>
  <c r="I17" i="65"/>
  <c r="AD15" i="3"/>
  <c r="E14" i="63"/>
  <c r="BE17" i="7"/>
  <c r="BG17" s="1"/>
  <c r="M17" i="2"/>
  <c r="E15" i="82" s="1"/>
  <c r="K18" i="2"/>
  <c r="F16" i="82" s="1"/>
  <c r="I18" i="2"/>
  <c r="G19"/>
  <c r="I17" i="82" s="1"/>
  <c r="J14" i="65"/>
  <c r="C12" i="63"/>
  <c r="D12" s="1"/>
  <c r="E12" i="81"/>
  <c r="N15" i="2"/>
  <c r="R15" s="1"/>
  <c r="AI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T19" i="1" l="1"/>
  <c r="AL18"/>
  <c r="D19" i="75" s="1"/>
  <c r="E19" s="1"/>
  <c r="D10"/>
  <c r="E10" s="1"/>
  <c r="AJ8" i="1"/>
  <c r="AK8" s="1"/>
  <c r="D16" i="65"/>
  <c r="AG15" i="2"/>
  <c r="B13" i="63"/>
  <c r="AF16" i="2"/>
  <c r="B14" i="63" s="1"/>
  <c r="G16" i="82"/>
  <c r="J15"/>
  <c r="AN6" i="7"/>
  <c r="O15" i="2"/>
  <c r="S15" i="76"/>
  <c r="I8" i="3"/>
  <c r="I30" i="79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AL10"/>
  <c r="B9" i="65"/>
  <c r="E9" s="1"/>
  <c r="W9" i="1"/>
  <c r="AI9"/>
  <c r="AW10" i="7" s="1"/>
  <c r="AO12"/>
  <c r="AO13"/>
  <c r="H21" i="5"/>
  <c r="C18" i="3"/>
  <c r="F17"/>
  <c r="Y20" i="5"/>
  <c r="Y20" i="1"/>
  <c r="AB20" s="1"/>
  <c r="V19" i="2"/>
  <c r="T20"/>
  <c r="S19" i="3"/>
  <c r="AA19" i="5"/>
  <c r="AJ19"/>
  <c r="U20"/>
  <c r="AF19" i="1"/>
  <c r="R19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D18" i="2"/>
  <c r="AB19"/>
  <c r="Z17"/>
  <c r="AE18"/>
  <c r="A16" i="63"/>
  <c r="X19" i="2"/>
  <c r="AI15" i="3"/>
  <c r="BE18" i="7"/>
  <c r="BG18" s="1"/>
  <c r="AD16" i="3"/>
  <c r="I18" i="65"/>
  <c r="E15" i="63"/>
  <c r="M18" i="2"/>
  <c r="E16" i="82" s="1"/>
  <c r="K19" i="2"/>
  <c r="F17" i="82" s="1"/>
  <c r="I19" i="2"/>
  <c r="G17" i="82" s="1"/>
  <c r="G20" i="2"/>
  <c r="I18" i="82" s="1"/>
  <c r="N16" i="2"/>
  <c r="E13" i="81"/>
  <c r="C13" i="63"/>
  <c r="D13" s="1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AL19" i="1" l="1"/>
  <c r="D20" i="75" s="1"/>
  <c r="E20" s="1"/>
  <c r="G5" i="81"/>
  <c r="D11" i="75"/>
  <c r="E11" s="1"/>
  <c r="D17" i="65"/>
  <c r="AG16" i="2"/>
  <c r="U19" i="3"/>
  <c r="H17" i="65"/>
  <c r="AF17" i="2"/>
  <c r="B15" i="63" s="1"/>
  <c r="F18" i="3"/>
  <c r="T20" i="1"/>
  <c r="J16" i="82"/>
  <c r="S16" i="76"/>
  <c r="R16" i="2"/>
  <c r="AI16" s="1"/>
  <c r="AN7" i="7"/>
  <c r="O16" i="2"/>
  <c r="F9" i="3"/>
  <c r="I9"/>
  <c r="O32" i="79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W10" i="1"/>
  <c r="B10" i="65"/>
  <c r="E10" s="1"/>
  <c r="AI10" i="1"/>
  <c r="G6" i="81"/>
  <c r="AJ9" i="1"/>
  <c r="AK9" s="1"/>
  <c r="H22" i="5"/>
  <c r="C19" i="3"/>
  <c r="Y21" i="5"/>
  <c r="Y21" i="1"/>
  <c r="AB21" s="1"/>
  <c r="V20" i="2"/>
  <c r="T21"/>
  <c r="S20" i="3"/>
  <c r="U20" s="1"/>
  <c r="BD21" i="5"/>
  <c r="AA20"/>
  <c r="AJ20"/>
  <c r="K16" i="82" s="1"/>
  <c r="K15"/>
  <c r="U21" i="5"/>
  <c r="AF20" i="1"/>
  <c r="R20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D19" i="2"/>
  <c r="AB20"/>
  <c r="Z18"/>
  <c r="A17" i="63"/>
  <c r="AE19" i="2"/>
  <c r="X20"/>
  <c r="BE19" i="7"/>
  <c r="BG19" s="1"/>
  <c r="I19" i="65"/>
  <c r="E16" i="63"/>
  <c r="AD17" i="3"/>
  <c r="AI16"/>
  <c r="M19" i="2"/>
  <c r="E17" i="82" s="1"/>
  <c r="K20" i="2"/>
  <c r="F18" i="82" s="1"/>
  <c r="I20" i="2"/>
  <c r="G18" i="82" s="1"/>
  <c r="G21" i="2"/>
  <c r="I19" i="82" s="1"/>
  <c r="C14" i="63"/>
  <c r="D14" s="1"/>
  <c r="E14" i="81"/>
  <c r="N18" i="2"/>
  <c r="J16" i="65"/>
  <c r="N17" i="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L20" i="1" l="1"/>
  <c r="D21" i="75" s="1"/>
  <c r="E21" s="1"/>
  <c r="AW11" i="7"/>
  <c r="AJ10" i="1" s="1"/>
  <c r="AK10" s="1"/>
  <c r="D18" i="65"/>
  <c r="O35" i="79"/>
  <c r="AG17" i="2"/>
  <c r="H18" i="65"/>
  <c r="AF18" i="2"/>
  <c r="B16" i="63" s="1"/>
  <c r="O34" i="79"/>
  <c r="T21" i="1"/>
  <c r="J17" i="82"/>
  <c r="S17" i="76"/>
  <c r="R17" i="2"/>
  <c r="AI17" s="1"/>
  <c r="C12" i="65"/>
  <c r="O17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B11" i="65"/>
  <c r="E11" s="1"/>
  <c r="W11" i="1"/>
  <c r="AI11"/>
  <c r="AW12" i="7" s="1"/>
  <c r="AL12" i="1"/>
  <c r="V12"/>
  <c r="AL13"/>
  <c r="D14" i="75" s="1"/>
  <c r="E14" s="1"/>
  <c r="H23" i="5"/>
  <c r="E21" i="3"/>
  <c r="F19"/>
  <c r="C20"/>
  <c r="Y22" i="5"/>
  <c r="Y22" i="1"/>
  <c r="AB22" s="1"/>
  <c r="V21" i="2"/>
  <c r="S21" i="3"/>
  <c r="BA22" i="5"/>
  <c r="BD22" s="1"/>
  <c r="AA21"/>
  <c r="AJ21"/>
  <c r="U22"/>
  <c r="AF21" i="1"/>
  <c r="R2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D20" i="2"/>
  <c r="AB21"/>
  <c r="AE21" s="1"/>
  <c r="Z19"/>
  <c r="A18" i="63"/>
  <c r="AE20" i="2"/>
  <c r="I20" i="65"/>
  <c r="E17" i="63"/>
  <c r="BE20" i="7"/>
  <c r="BG20" s="1"/>
  <c r="AD18" i="3"/>
  <c r="AI17"/>
  <c r="M20" i="2"/>
  <c r="E18" i="82" s="1"/>
  <c r="K21" i="2"/>
  <c r="F19" i="82" s="1"/>
  <c r="I21" i="2"/>
  <c r="G19" i="82" s="1"/>
  <c r="I20"/>
  <c r="J17" i="65"/>
  <c r="C15" i="63"/>
  <c r="D15" s="1"/>
  <c r="E15" i="81"/>
  <c r="R18" i="2"/>
  <c r="AI18" s="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G7" i="81" l="1"/>
  <c r="D19" i="65"/>
  <c r="AG18" i="2"/>
  <c r="H19" i="65"/>
  <c r="AF19" i="2"/>
  <c r="B17" i="63" s="1"/>
  <c r="F20" i="3"/>
  <c r="T22" i="1"/>
  <c r="J18" i="82"/>
  <c r="F13" i="75"/>
  <c r="G13" s="1"/>
  <c r="D13"/>
  <c r="E13" s="1"/>
  <c r="O18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3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D21" i="2"/>
  <c r="Z20"/>
  <c r="A19" i="63"/>
  <c r="AI18" i="3"/>
  <c r="BE21" i="7"/>
  <c r="BG21" s="1"/>
  <c r="AD19" i="3"/>
  <c r="I21" i="65"/>
  <c r="E18" i="63"/>
  <c r="M21" i="2"/>
  <c r="E19" i="82" s="1"/>
  <c r="F20"/>
  <c r="G20"/>
  <c r="G23" i="2"/>
  <c r="I21" i="82" s="1"/>
  <c r="N19" i="2"/>
  <c r="R19" s="1"/>
  <c r="AI19" s="1"/>
  <c r="J18" i="65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D20" i="65" l="1"/>
  <c r="AG19" i="2"/>
  <c r="AF20"/>
  <c r="H21" i="65" s="1"/>
  <c r="H20"/>
  <c r="BC19" i="5"/>
  <c r="BC18"/>
  <c r="J19" i="82"/>
  <c r="O19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Y7" i="7"/>
  <c r="AR7" s="1"/>
  <c r="H25" i="5"/>
  <c r="C22" i="3"/>
  <c r="E22" s="1"/>
  <c r="F21"/>
  <c r="Y24" i="1"/>
  <c r="AB24" s="1"/>
  <c r="V23" i="2"/>
  <c r="T24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B23" i="2"/>
  <c r="Z21"/>
  <c r="X23"/>
  <c r="A20" i="63"/>
  <c r="AD20" i="3"/>
  <c r="E19" i="63"/>
  <c r="I22" i="65"/>
  <c r="BE22" i="7"/>
  <c r="BG22" s="1"/>
  <c r="AI19" i="3"/>
  <c r="E20" i="82"/>
  <c r="K23" i="2"/>
  <c r="F21" i="82" s="1"/>
  <c r="I23" i="2"/>
  <c r="G21" i="82" s="1"/>
  <c r="G24" i="2"/>
  <c r="I22" i="82" s="1"/>
  <c r="J19" i="65"/>
  <c r="E17" i="81"/>
  <c r="C17" i="63"/>
  <c r="D17" s="1"/>
  <c r="N20" i="2"/>
  <c r="R20" s="1"/>
  <c r="AI20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W14" l="1"/>
  <c r="AJ13" i="1" s="1"/>
  <c r="AK13" s="1"/>
  <c r="D21" i="65"/>
  <c r="AG20" i="2"/>
  <c r="AF21"/>
  <c r="B19" i="63" s="1"/>
  <c r="B18"/>
  <c r="F22" i="3"/>
  <c r="T24" i="1"/>
  <c r="J20" i="82"/>
  <c r="AI14" i="1"/>
  <c r="AW15" i="7" s="1"/>
  <c r="O20" i="2"/>
  <c r="S20" i="76"/>
  <c r="I13" i="3"/>
  <c r="AN17" i="7"/>
  <c r="Y9"/>
  <c r="AR9" s="1"/>
  <c r="AU21" i="5"/>
  <c r="AZ21" s="1"/>
  <c r="Y11" i="7"/>
  <c r="AR11" s="1"/>
  <c r="AS11" s="1"/>
  <c r="V15" i="1"/>
  <c r="B14" i="65"/>
  <c r="E14" s="1"/>
  <c r="W14" i="1"/>
  <c r="Y8" i="7"/>
  <c r="AR8" s="1"/>
  <c r="AS8" s="1"/>
  <c r="X7"/>
  <c r="Y13"/>
  <c r="AR13" s="1"/>
  <c r="Y10"/>
  <c r="AR10" s="1"/>
  <c r="H26" i="5"/>
  <c r="Y25"/>
  <c r="Y25" i="1"/>
  <c r="AB25" s="1"/>
  <c r="AO18" i="7"/>
  <c r="Y15"/>
  <c r="AR15" s="1"/>
  <c r="AS15" s="1"/>
  <c r="V24" i="2"/>
  <c r="T25"/>
  <c r="S24" i="3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3" i="2"/>
  <c r="AB24"/>
  <c r="AG22"/>
  <c r="X24"/>
  <c r="A21" i="63"/>
  <c r="AE23" i="2"/>
  <c r="AD21" i="3"/>
  <c r="I23" i="65"/>
  <c r="BE23" i="7"/>
  <c r="BG23" s="1"/>
  <c r="E20" i="63"/>
  <c r="AI20" i="3"/>
  <c r="M23" i="2"/>
  <c r="E21" i="82" s="1"/>
  <c r="K24" i="2"/>
  <c r="F22" i="82" s="1"/>
  <c r="I24" i="2"/>
  <c r="G22" i="82" s="1"/>
  <c r="I23"/>
  <c r="N21" i="2"/>
  <c r="R21" s="1"/>
  <c r="AI21" s="1"/>
  <c r="J20" i="65"/>
  <c r="C18" i="63"/>
  <c r="D18" s="1"/>
  <c r="E18" i="81"/>
  <c r="AQ7" i="7"/>
  <c r="X12"/>
  <c r="Y6"/>
  <c r="AR6" s="1"/>
  <c r="AS7" s="1"/>
  <c r="AS12" l="1"/>
  <c r="AX12" s="1"/>
  <c r="AS9"/>
  <c r="AS10"/>
  <c r="AS6"/>
  <c r="AQ6"/>
  <c r="AS13"/>
  <c r="AS14"/>
  <c r="G10" i="81"/>
  <c r="D22" i="65"/>
  <c r="AG21" i="2"/>
  <c r="H22" i="65"/>
  <c r="BC15" i="7"/>
  <c r="T25" i="1"/>
  <c r="J21" i="82"/>
  <c r="D24" i="75"/>
  <c r="E24" s="1"/>
  <c r="O21" i="2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5" i="2"/>
  <c r="T26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D24" i="2"/>
  <c r="AB25"/>
  <c r="H23" i="65"/>
  <c r="B20" i="63"/>
  <c r="Z23" i="2"/>
  <c r="X25"/>
  <c r="AE24"/>
  <c r="A22" i="63"/>
  <c r="AI21" i="3"/>
  <c r="BE24" i="7"/>
  <c r="BG24" s="1"/>
  <c r="E21" i="63"/>
  <c r="I24" i="65"/>
  <c r="AD22" i="3"/>
  <c r="M24" i="2"/>
  <c r="E22" i="82" s="1"/>
  <c r="K25" i="2"/>
  <c r="F23" i="82" s="1"/>
  <c r="I25" i="2"/>
  <c r="G23" i="82" s="1"/>
  <c r="G26" i="2"/>
  <c r="I24" i="82" s="1"/>
  <c r="J21" i="65"/>
  <c r="C19" i="63"/>
  <c r="D19" s="1"/>
  <c r="E19" i="81"/>
  <c r="X6" i="7"/>
  <c r="AQ9"/>
  <c r="AQ12"/>
  <c r="D23" i="65" l="1"/>
  <c r="BC8" i="7"/>
  <c r="BJ12"/>
  <c r="Q10" i="76"/>
  <c r="AX9" i="7"/>
  <c r="AF23" i="2"/>
  <c r="B21" i="63" s="1"/>
  <c r="AX15" i="7"/>
  <c r="AX14"/>
  <c r="AX11"/>
  <c r="AQ11"/>
  <c r="BC12"/>
  <c r="AQ15"/>
  <c r="F24" i="3"/>
  <c r="T26" i="1"/>
  <c r="J22" i="82"/>
  <c r="S22" i="76"/>
  <c r="I15" i="3"/>
  <c r="AQ8" i="7"/>
  <c r="BC9"/>
  <c r="AX8"/>
  <c r="AN19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AS16" s="1"/>
  <c r="Y27" i="5"/>
  <c r="Y27" i="1"/>
  <c r="AB27" s="1"/>
  <c r="V26" i="2"/>
  <c r="T27"/>
  <c r="S26" i="3"/>
  <c r="U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D25" i="2"/>
  <c r="AB26"/>
  <c r="Z24"/>
  <c r="X26"/>
  <c r="A23" i="63"/>
  <c r="AE25" i="2"/>
  <c r="I25" i="65"/>
  <c r="E22" i="63"/>
  <c r="BE25" i="7"/>
  <c r="BG25" s="1"/>
  <c r="AI22" i="3"/>
  <c r="M25" i="2"/>
  <c r="E23" i="82" s="1"/>
  <c r="K26" i="2"/>
  <c r="F24" i="82" s="1"/>
  <c r="I26" i="2"/>
  <c r="G24" i="82" s="1"/>
  <c r="G27" i="2"/>
  <c r="I25" i="82" s="1"/>
  <c r="E20" i="81"/>
  <c r="C20" i="63"/>
  <c r="D20" s="1"/>
  <c r="N23" i="2"/>
  <c r="R23" s="1"/>
  <c r="AI23" s="1"/>
  <c r="J22" i="65"/>
  <c r="BC6" i="7"/>
  <c r="AX7"/>
  <c r="AY12"/>
  <c r="D24" i="65" l="1"/>
  <c r="AG23" i="2"/>
  <c r="BJ7" i="7"/>
  <c r="Q5" i="76"/>
  <c r="H24" i="65"/>
  <c r="AF24" i="2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3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AS17" s="1"/>
  <c r="H29" i="5"/>
  <c r="E27" i="3"/>
  <c r="C26"/>
  <c r="Y28" i="5"/>
  <c r="Y28" i="1"/>
  <c r="AB28" s="1"/>
  <c r="V27" i="2"/>
  <c r="T28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D26" i="2"/>
  <c r="AB27"/>
  <c r="Z25"/>
  <c r="A24" i="63"/>
  <c r="AE26" i="2"/>
  <c r="X27"/>
  <c r="D25" i="65"/>
  <c r="BE26" i="7"/>
  <c r="BG26" s="1"/>
  <c r="E6" i="63"/>
  <c r="D6" s="1"/>
  <c r="E23"/>
  <c r="I26" i="65"/>
  <c r="AD24" i="3"/>
  <c r="M26" i="2"/>
  <c r="E24" i="82" s="1"/>
  <c r="K27" i="2"/>
  <c r="F25" i="82" s="1"/>
  <c r="I27" i="2"/>
  <c r="G25" i="82" s="1"/>
  <c r="G28" i="2"/>
  <c r="I26" i="82" s="1"/>
  <c r="J23" i="65"/>
  <c r="C21" i="63"/>
  <c r="D21" s="1"/>
  <c r="E21" i="81"/>
  <c r="N24" i="2"/>
  <c r="R24" s="1"/>
  <c r="AI24" s="1"/>
  <c r="AY7" i="7"/>
  <c r="AG24" i="2" l="1"/>
  <c r="H25" i="65"/>
  <c r="AF25" i="2"/>
  <c r="H26" i="65" s="1"/>
  <c r="F26" i="3"/>
  <c r="T28" i="1"/>
  <c r="J24" i="82"/>
  <c r="D27" i="75"/>
  <c r="E27" s="1"/>
  <c r="O24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AR18" s="1"/>
  <c r="AS18" s="1"/>
  <c r="V28" i="2"/>
  <c r="T29"/>
  <c r="S28" i="3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D27" i="2"/>
  <c r="AB28"/>
  <c r="Z26"/>
  <c r="X28"/>
  <c r="AE27"/>
  <c r="A25" i="63"/>
  <c r="AI24" i="3"/>
  <c r="I27" i="65"/>
  <c r="E24" i="63"/>
  <c r="BE27" i="7"/>
  <c r="BG27" s="1"/>
  <c r="J9" i="65"/>
  <c r="M27" i="2"/>
  <c r="E25" i="82" s="1"/>
  <c r="K28" i="2"/>
  <c r="F26" i="82" s="1"/>
  <c r="I28" i="2"/>
  <c r="G26" i="82" s="1"/>
  <c r="G29" i="2"/>
  <c r="I27" i="82" s="1"/>
  <c r="N25" i="2"/>
  <c r="R25" s="1"/>
  <c r="AI25" s="1"/>
  <c r="J24" i="65"/>
  <c r="E22" i="81"/>
  <c r="C22" i="63"/>
  <c r="D22" s="1"/>
  <c r="D26" i="65" l="1"/>
  <c r="AG25" i="2"/>
  <c r="B23" i="63"/>
  <c r="AF26" i="2"/>
  <c r="H27" i="65" s="1"/>
  <c r="F27" i="3"/>
  <c r="T29" i="1"/>
  <c r="J25" i="82"/>
  <c r="O25" i="2"/>
  <c r="S25" i="76"/>
  <c r="I18" i="3"/>
  <c r="X18" i="7"/>
  <c r="AN22"/>
  <c r="AU26" i="5"/>
  <c r="AZ25"/>
  <c r="BC25" s="1"/>
  <c r="B19" i="65"/>
  <c r="V20" i="1"/>
  <c r="H31" i="5"/>
  <c r="E29" i="3"/>
  <c r="C28"/>
  <c r="Y30" i="5"/>
  <c r="Y30" i="1"/>
  <c r="AB30" s="1"/>
  <c r="V29" i="2"/>
  <c r="T30"/>
  <c r="S29" i="3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R19" s="1"/>
  <c r="AS19" s="1"/>
  <c r="AD28" i="2"/>
  <c r="AB29"/>
  <c r="Z27"/>
  <c r="X29"/>
  <c r="AE28"/>
  <c r="A26" i="63"/>
  <c r="D27" i="65"/>
  <c r="AD26" i="3"/>
  <c r="BE28" i="7"/>
  <c r="BG28" s="1"/>
  <c r="I28" i="65"/>
  <c r="E25" i="63"/>
  <c r="M28" i="2"/>
  <c r="E26" i="82" s="1"/>
  <c r="K29" i="2"/>
  <c r="F27" i="82" s="1"/>
  <c r="I29" i="2"/>
  <c r="G27" i="82" s="1"/>
  <c r="G30" i="2"/>
  <c r="I28" i="82" s="1"/>
  <c r="J25" i="65"/>
  <c r="C23" i="63"/>
  <c r="D23" s="1"/>
  <c r="E23" i="81"/>
  <c r="N26" i="2"/>
  <c r="R26" s="1"/>
  <c r="AI26" s="1"/>
  <c r="AG26" l="1"/>
  <c r="B24" i="63"/>
  <c r="AF27" i="2"/>
  <c r="H28" i="65" s="1"/>
  <c r="F28" i="3"/>
  <c r="T30" i="1"/>
  <c r="J26" i="82"/>
  <c r="S26" i="76"/>
  <c r="O26" i="2"/>
  <c r="I19" i="3"/>
  <c r="AN23" i="7"/>
  <c r="AU27" i="5"/>
  <c r="AZ26"/>
  <c r="BC26" s="1"/>
  <c r="V21" i="1"/>
  <c r="B20" i="65"/>
  <c r="AO24" i="7"/>
  <c r="H32" i="5"/>
  <c r="E30" i="3"/>
  <c r="C29"/>
  <c r="F29" s="1"/>
  <c r="Y31" i="5"/>
  <c r="Y31" i="1"/>
  <c r="AB31" s="1"/>
  <c r="V30" i="2"/>
  <c r="T31"/>
  <c r="S30" i="3"/>
  <c r="S35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AS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9" i="2"/>
  <c r="AB30"/>
  <c r="Z28"/>
  <c r="AE29"/>
  <c r="A27" i="63"/>
  <c r="X30" i="2"/>
  <c r="BE29" i="7"/>
  <c r="BG29" s="1"/>
  <c r="AD27" i="3"/>
  <c r="I29" i="65"/>
  <c r="E26" i="63"/>
  <c r="AI26" i="3"/>
  <c r="M29" i="2"/>
  <c r="E27" i="82" s="1"/>
  <c r="K30" i="2"/>
  <c r="F28" i="82" s="1"/>
  <c r="I30" i="2"/>
  <c r="G28" i="82" s="1"/>
  <c r="G31" i="2"/>
  <c r="I29" i="82" s="1"/>
  <c r="N27" i="2"/>
  <c r="R27" s="1"/>
  <c r="AI27" s="1"/>
  <c r="J26" i="65"/>
  <c r="E24" i="81"/>
  <c r="C24" i="63"/>
  <c r="D24" s="1"/>
  <c r="AG27" i="2" l="1"/>
  <c r="D28" i="65"/>
  <c r="U30" i="3"/>
  <c r="B25" i="63"/>
  <c r="AF28" i="2"/>
  <c r="H29" i="65" s="1"/>
  <c r="T31" i="1"/>
  <c r="O27" i="2"/>
  <c r="S27" i="76"/>
  <c r="I20" i="3"/>
  <c r="J27" i="82"/>
  <c r="AN24" i="7"/>
  <c r="X20"/>
  <c r="AU28" i="5"/>
  <c r="AZ27"/>
  <c r="BC27" s="1"/>
  <c r="B21" i="65"/>
  <c r="V22" i="1"/>
  <c r="H33" i="5"/>
  <c r="H37" s="1"/>
  <c r="C30" i="3"/>
  <c r="C35" s="1"/>
  <c r="Y32" i="5"/>
  <c r="V31" i="2"/>
  <c r="BA32" i="5"/>
  <c r="BD32" s="1"/>
  <c r="AJ31"/>
  <c r="K27" i="82" s="1"/>
  <c r="AA31" i="5"/>
  <c r="U32"/>
  <c r="AF31" i="1"/>
  <c r="R31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30" i="2"/>
  <c r="AB31"/>
  <c r="Z29"/>
  <c r="X31"/>
  <c r="A28" i="63"/>
  <c r="AE30" i="2"/>
  <c r="AI27" i="3"/>
  <c r="I30" i="65"/>
  <c r="E27" i="63"/>
  <c r="AD28" i="3"/>
  <c r="BE30" i="7"/>
  <c r="BG30" s="1"/>
  <c r="M30" i="2"/>
  <c r="E28" i="82" s="1"/>
  <c r="K31" i="2"/>
  <c r="F29" i="82" s="1"/>
  <c r="I31" i="2"/>
  <c r="G29" i="82" s="1"/>
  <c r="N28" i="2"/>
  <c r="R28" s="1"/>
  <c r="AI28" s="1"/>
  <c r="E25" i="81"/>
  <c r="C25" i="63"/>
  <c r="D25" s="1"/>
  <c r="J27" i="65"/>
  <c r="D29" l="1"/>
  <c r="AG28" i="2"/>
  <c r="B26" i="63"/>
  <c r="AG29" i="2"/>
  <c r="AF29"/>
  <c r="H30" i="65" s="1"/>
  <c r="F30" i="3"/>
  <c r="O28" i="2"/>
  <c r="S28" i="76"/>
  <c r="I21" i="3"/>
  <c r="J28" i="82"/>
  <c r="AN25" i="7"/>
  <c r="AU29" i="5"/>
  <c r="AZ28"/>
  <c r="BC28" s="1"/>
  <c r="B22" i="65"/>
  <c r="Y22" i="7"/>
  <c r="AR22" s="1"/>
  <c r="AS22" s="1"/>
  <c r="Y33" i="5"/>
  <c r="Y37" s="1"/>
  <c r="X21" i="7"/>
  <c r="BA33" i="5"/>
  <c r="AA32"/>
  <c r="AJ32"/>
  <c r="K28" i="82" s="1"/>
  <c r="U33" i="5"/>
  <c r="U37" s="1"/>
  <c r="J31" i="1"/>
  <c r="U3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1" i="2"/>
  <c r="Z30"/>
  <c r="AE31"/>
  <c r="A29" i="63"/>
  <c r="I31" i="65"/>
  <c r="E28" i="63"/>
  <c r="AD29" i="3"/>
  <c r="BE31" i="7"/>
  <c r="BG31" s="1"/>
  <c r="AI28" i="3"/>
  <c r="M31" i="2"/>
  <c r="E29" i="82" s="1"/>
  <c r="N29" i="2"/>
  <c r="R29" s="1"/>
  <c r="AI29" s="1"/>
  <c r="C26" i="63"/>
  <c r="D26" s="1"/>
  <c r="E26" i="81"/>
  <c r="J28" i="65"/>
  <c r="D30" l="1"/>
  <c r="AF30" i="2"/>
  <c r="B28" i="63" s="1"/>
  <c r="B27"/>
  <c r="BD33" i="5"/>
  <c r="BD34"/>
  <c r="AL32" i="1"/>
  <c r="AL36" s="1"/>
  <c r="O29" i="2"/>
  <c r="S29" i="76"/>
  <c r="I22" i="3"/>
  <c r="J29" i="82"/>
  <c r="AN26" i="7"/>
  <c r="AU30" i="5"/>
  <c r="AZ29"/>
  <c r="BC29" s="1"/>
  <c r="B23" i="65"/>
  <c r="V24" i="1"/>
  <c r="X22" i="7"/>
  <c r="D1" i="5"/>
  <c r="AO27" i="7"/>
  <c r="Y23"/>
  <c r="AR23" s="1"/>
  <c r="AS23" s="1"/>
  <c r="AA33" i="5"/>
  <c r="AJ33"/>
  <c r="AJ37" s="1"/>
  <c r="Z38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Z31" i="2"/>
  <c r="A30" i="63"/>
  <c r="AI29" i="3"/>
  <c r="AD30"/>
  <c r="I32" i="65"/>
  <c r="BE32" i="7"/>
  <c r="BG32" s="1"/>
  <c r="E29" i="63"/>
  <c r="J29" i="65"/>
  <c r="N30" i="2"/>
  <c r="R30" s="1"/>
  <c r="AI30" s="1"/>
  <c r="C27" i="63"/>
  <c r="D27" s="1"/>
  <c r="E27" i="81"/>
  <c r="K29" i="82" l="1"/>
  <c r="D33" i="75"/>
  <c r="E33" s="1"/>
  <c r="D31" i="65"/>
  <c r="AG30" i="2"/>
  <c r="H31" i="65"/>
  <c r="AG31" i="2"/>
  <c r="AF31"/>
  <c r="H32" i="65" s="1"/>
  <c r="D34" i="75"/>
  <c r="E34" s="1"/>
  <c r="O30" i="2"/>
  <c r="S30" i="76"/>
  <c r="I24" i="3"/>
  <c r="AN27" i="7"/>
  <c r="B7" i="77"/>
  <c r="AU31" i="5"/>
  <c r="AZ31" s="1"/>
  <c r="AZ30"/>
  <c r="BC30" s="1"/>
  <c r="V25" i="1"/>
  <c r="B24" i="65"/>
  <c r="Y24" i="7"/>
  <c r="AR24" s="1"/>
  <c r="AS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N31" i="2"/>
  <c r="J30" i="65"/>
  <c r="D32" l="1"/>
  <c r="B29" i="63"/>
  <c r="R31" i="2"/>
  <c r="AI31" s="1"/>
  <c r="S31" i="76"/>
  <c r="I26" i="3"/>
  <c r="O31" i="2"/>
  <c r="X24" i="7"/>
  <c r="AN28"/>
  <c r="AU32" i="5"/>
  <c r="BC31"/>
  <c r="B25" i="65"/>
  <c r="V26" i="1"/>
  <c r="AO29" i="7"/>
  <c r="Y25"/>
  <c r="AR25" s="1"/>
  <c r="AS25" s="1"/>
  <c r="J36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I27" i="3" l="1"/>
  <c r="D35" i="75"/>
  <c r="E35" s="1"/>
  <c r="AN29" i="7"/>
  <c r="AU33" i="5"/>
  <c r="AU34" s="1"/>
  <c r="AZ32"/>
  <c r="BC32" s="1"/>
  <c r="X25" i="7"/>
  <c r="B26" i="65"/>
  <c r="V27" i="1"/>
  <c r="Y26" i="7"/>
  <c r="AR26" s="1"/>
  <c r="AS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U35" i="5" l="1"/>
  <c r="AZ35" s="1"/>
  <c r="AZ34"/>
  <c r="I28" i="3"/>
  <c r="X26" i="7"/>
  <c r="AN30"/>
  <c r="AZ33" i="5"/>
  <c r="B16" i="77"/>
  <c r="E8"/>
  <c r="G8" s="1"/>
  <c r="AO31" i="7"/>
  <c r="B27" i="65"/>
  <c r="V28" i="1"/>
  <c r="AJ33" i="7"/>
  <c r="AI33"/>
  <c r="AK32"/>
  <c r="AL32"/>
  <c r="AM32" s="1"/>
  <c r="V28"/>
  <c r="W28" s="1"/>
  <c r="U28"/>
  <c r="Y27"/>
  <c r="AR27" s="1"/>
  <c r="AS27" s="1"/>
  <c r="S29"/>
  <c r="T29"/>
  <c r="R30"/>
  <c r="Q30"/>
  <c r="C31" i="63"/>
  <c r="D31" s="1"/>
  <c r="J33" i="65"/>
  <c r="BC35" i="5" l="1"/>
  <c r="BC33"/>
  <c r="BC34"/>
  <c r="I29" i="3"/>
  <c r="AN31" i="7"/>
  <c r="E16" i="77"/>
  <c r="F7"/>
  <c r="C36" i="76"/>
  <c r="AD26"/>
  <c r="AD27"/>
  <c r="E9" i="77"/>
  <c r="G9" s="1"/>
  <c r="V29" i="1"/>
  <c r="B28" i="65"/>
  <c r="F8" i="77"/>
  <c r="AK33" i="7"/>
  <c r="AL33"/>
  <c r="AM33" s="1"/>
  <c r="AO32"/>
  <c r="Y28"/>
  <c r="AR28" s="1"/>
  <c r="AS28" s="1"/>
  <c r="X27"/>
  <c r="V29"/>
  <c r="W29" s="1"/>
  <c r="U29"/>
  <c r="S30"/>
  <c r="T30"/>
  <c r="AD28" i="76" l="1"/>
  <c r="I30" i="3"/>
  <c r="AN32" i="7"/>
  <c r="F9" i="77"/>
  <c r="B29" i="65"/>
  <c r="V30" i="1"/>
  <c r="AO33" i="7"/>
  <c r="X28"/>
  <c r="U30"/>
  <c r="V30"/>
  <c r="W30" s="1"/>
  <c r="Y29"/>
  <c r="AR29" s="1"/>
  <c r="AS29" s="1"/>
  <c r="T31"/>
  <c r="AN33" l="1"/>
  <c r="V31" i="1"/>
  <c r="B30" i="65"/>
  <c r="Y30" i="7"/>
  <c r="AR30" s="1"/>
  <c r="AS30" s="1"/>
  <c r="T32"/>
  <c r="U31"/>
  <c r="V31"/>
  <c r="W31" s="1"/>
  <c r="X29"/>
  <c r="X30" l="1"/>
  <c r="B31" i="65"/>
  <c r="Y31" i="7"/>
  <c r="AR31" s="1"/>
  <c r="AS31" s="1"/>
  <c r="T33"/>
  <c r="V32"/>
  <c r="W32" s="1"/>
  <c r="U32"/>
  <c r="B32" i="65" l="1"/>
  <c r="Y32" i="7"/>
  <c r="AR32" s="1"/>
  <c r="AS32" s="1"/>
  <c r="X31"/>
  <c r="U33"/>
  <c r="V33"/>
  <c r="W33" s="1"/>
  <c r="X32" l="1"/>
  <c r="B33" i="65"/>
  <c r="Y33" i="7"/>
  <c r="AR33" s="1"/>
  <c r="AS33" l="1"/>
  <c r="AS34"/>
  <c r="B34" i="65"/>
  <c r="X33" i="7"/>
  <c r="AS40" l="1"/>
  <c r="AQ34"/>
  <c r="AX34"/>
  <c r="AY34" s="1"/>
  <c r="L11" i="5"/>
  <c r="L16"/>
  <c r="AK16" s="1"/>
  <c r="L13"/>
  <c r="AK13" s="1"/>
  <c r="L15"/>
  <c r="AK15" s="1"/>
  <c r="L12"/>
  <c r="AK12" s="1"/>
  <c r="L19"/>
  <c r="AK19" s="1"/>
  <c r="AX35" i="7" l="1"/>
  <c r="Q32" i="76"/>
  <c r="H8" i="63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Q33" i="76"/>
  <c r="AY35" i="7"/>
  <c r="H7" i="63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AA28" i="76" l="1"/>
  <c r="AB28" s="1"/>
  <c r="AE28" s="1"/>
  <c r="AF28" s="1"/>
  <c r="AA27"/>
  <c r="AB27" s="1"/>
  <c r="AA26"/>
  <c r="AB26" l="1"/>
  <c r="AB30" s="1"/>
  <c r="AA29"/>
  <c r="B10" i="77" s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V5" s="1"/>
  <c r="V36" s="1"/>
  <c r="AA5"/>
  <c r="AH5" s="1"/>
  <c r="AD17" l="1"/>
  <c r="AA17"/>
  <c r="AH17" s="1"/>
  <c r="W5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AG18"/>
  <c r="AJ17"/>
  <c r="AK17" s="1"/>
  <c r="G14" i="81"/>
  <c r="AX18" i="7"/>
  <c r="AA19" i="1"/>
  <c r="AH19" s="1"/>
  <c r="C18" i="65"/>
  <c r="E18" s="1"/>
  <c r="AI18" i="1"/>
  <c r="G2" i="81"/>
  <c r="AJ5" i="1"/>
  <c r="AK5" s="1"/>
  <c r="AX6" i="7"/>
  <c r="AW19" l="1"/>
  <c r="AX19" s="1"/>
  <c r="F19" i="75"/>
  <c r="G19" s="1"/>
  <c r="BJ6" i="7"/>
  <c r="Q4" i="76"/>
  <c r="AM19" i="1"/>
  <c r="F20" i="75" s="1"/>
  <c r="G20" s="1"/>
  <c r="AG19" i="1"/>
  <c r="AD20"/>
  <c r="Q16" i="76"/>
  <c r="AY18" i="7"/>
  <c r="AA20" i="1"/>
  <c r="AH20" s="1"/>
  <c r="C19" i="65"/>
  <c r="E19" s="1"/>
  <c r="AI19" i="1"/>
  <c r="AW20" i="7" s="1"/>
  <c r="AY6"/>
  <c r="AJ18" i="1" l="1"/>
  <c r="AK18" s="1"/>
  <c r="G15" i="81"/>
  <c r="AD21" i="1"/>
  <c r="AM20"/>
  <c r="AG20"/>
  <c r="C20" i="65"/>
  <c r="E20" s="1"/>
  <c r="AI20" i="1"/>
  <c r="AJ19"/>
  <c r="AK19" s="1"/>
  <c r="G16" i="81"/>
  <c r="AX20" i="7"/>
  <c r="Q17" i="76"/>
  <c r="AY19" i="7"/>
  <c r="AA21" i="1"/>
  <c r="AH21" s="1"/>
  <c r="AW21" i="7" l="1"/>
  <c r="AJ20" i="1" s="1"/>
  <c r="AK20" s="1"/>
  <c r="F21" i="75"/>
  <c r="G21" s="1"/>
  <c r="AD22" i="1"/>
  <c r="AM21"/>
  <c r="F22" i="75" s="1"/>
  <c r="G22" s="1"/>
  <c r="AG21" i="1"/>
  <c r="AA22"/>
  <c r="AH22" s="1"/>
  <c r="C21" i="65"/>
  <c r="E21" s="1"/>
  <c r="AI21" i="1"/>
  <c r="AW22" i="7" s="1"/>
  <c r="Q18" i="76"/>
  <c r="AY20" i="7"/>
  <c r="G17" i="81" l="1"/>
  <c r="AX21" i="7"/>
  <c r="AM22" i="1"/>
  <c r="AG22"/>
  <c r="C22" i="65"/>
  <c r="E22" s="1"/>
  <c r="AI22" i="1"/>
  <c r="AJ21"/>
  <c r="AK21" s="1"/>
  <c r="G18" i="81"/>
  <c r="AX22" i="7"/>
  <c r="AY21" l="1"/>
  <c r="Q19" i="76"/>
  <c r="F23" i="75"/>
  <c r="G23" s="1"/>
  <c r="AD24" i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M31" i="1" l="1"/>
  <c r="F32" i="75" s="1"/>
  <c r="G32" s="1"/>
  <c r="AG31" i="1"/>
  <c r="AH32"/>
  <c r="AH36" s="1"/>
  <c r="AJ30"/>
  <c r="AK30" s="1"/>
  <c r="G27" i="81"/>
  <c r="AX31" i="7"/>
  <c r="C31" i="65"/>
  <c r="E31" s="1"/>
  <c r="AI31" i="1"/>
  <c r="AW32" i="7" s="1"/>
  <c r="AY30"/>
  <c r="Q28" i="76"/>
  <c r="AG32" i="1" l="1"/>
  <c r="AM32"/>
  <c r="AM36" s="1"/>
  <c r="C32" i="65"/>
  <c r="E32" s="1"/>
  <c r="AI32" i="1"/>
  <c r="AI37" s="1"/>
  <c r="Q29" i="76"/>
  <c r="AY31" i="7"/>
  <c r="AJ31" i="1"/>
  <c r="AK31" s="1"/>
  <c r="G28" i="81"/>
  <c r="AX32" i="7"/>
  <c r="F33" i="75" l="1"/>
  <c r="G33" s="1"/>
  <c r="AW33" i="7"/>
  <c r="G29" i="81" s="1"/>
  <c r="F34" i="75"/>
  <c r="G34" s="1"/>
  <c r="Q30" i="76"/>
  <c r="AY32" i="7"/>
  <c r="C33" i="65"/>
  <c r="E33" s="1"/>
  <c r="AX33" i="7" l="1"/>
  <c r="AX37" s="1"/>
  <c r="AX42" s="1"/>
  <c r="AJ32" i="1"/>
  <c r="AK32" s="1"/>
  <c r="F35" i="75"/>
  <c r="G35" s="1"/>
  <c r="C34" i="65"/>
  <c r="E34" s="1"/>
  <c r="AY33" i="7" l="1"/>
  <c r="AY37" s="1"/>
  <c r="Q31" i="76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s="1"/>
  <c r="O31" s="1"/>
  <c r="O32" l="1"/>
  <c r="O33" s="1"/>
  <c r="O34" s="1"/>
  <c r="O35" s="1"/>
  <c r="G34" i="65"/>
  <c r="I31" i="63" l="1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Z6" l="1"/>
  <c r="AU7"/>
  <c r="AZ7" s="1"/>
  <c r="BC6" l="1"/>
  <c r="BC7"/>
  <c r="BC8"/>
  <c r="Y3" i="3" l="1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3" l="1"/>
  <c r="Y20"/>
  <c r="Y21" s="1"/>
  <c r="Y22" l="1"/>
  <c r="Y25" l="1"/>
  <c r="Y24" l="1"/>
  <c r="Y26" l="1"/>
  <c r="Y27" l="1"/>
  <c r="Y28" l="1"/>
  <c r="Y29" l="1"/>
  <c r="Y31" l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35" s="1"/>
  <c r="AT35" l="1"/>
  <c r="Q22" i="3"/>
  <c r="P23"/>
  <c r="P24" s="1"/>
  <c r="AD7" i="5"/>
  <c r="K3" i="3"/>
  <c r="Q3"/>
  <c r="AQ5" i="1"/>
  <c r="AO5"/>
  <c r="AS5"/>
  <c r="AT5" l="1"/>
  <c r="P25" i="3"/>
  <c r="P26" s="1"/>
  <c r="P27" s="1"/>
  <c r="AD8" i="5"/>
  <c r="AS6" i="1"/>
  <c r="K4" i="3"/>
  <c r="Q4"/>
  <c r="AQ6" i="1"/>
  <c r="AO6"/>
  <c r="Z3" i="3"/>
  <c r="N3"/>
  <c r="AB3" s="1"/>
  <c r="P28" l="1"/>
  <c r="P29" s="1"/>
  <c r="P30" s="1"/>
  <c r="P31" s="1"/>
  <c r="P32" s="1"/>
  <c r="P33" s="1"/>
  <c r="Q33" s="1"/>
  <c r="K5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G3" i="3" l="1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F7" i="63"/>
  <c r="AS11" i="1"/>
  <c r="AQ11"/>
  <c r="AT10"/>
  <c r="BK10" i="7" l="1"/>
  <c r="AG7" i="3"/>
  <c r="AQ12" i="1"/>
  <c r="AD14" i="5"/>
  <c r="AO12" i="1"/>
  <c r="AS12"/>
  <c r="AK8" i="3"/>
  <c r="F8" i="63"/>
  <c r="AE8" i="3"/>
  <c r="AF8" s="1"/>
  <c r="Q10"/>
  <c r="K10"/>
  <c r="N9"/>
  <c r="AB9" s="1"/>
  <c r="Z9"/>
  <c r="AK9" s="1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AK10" s="1"/>
  <c r="F9" i="63"/>
  <c r="AE9" i="3"/>
  <c r="AF9" s="1"/>
  <c r="AS13" i="1"/>
  <c r="AD15" i="5"/>
  <c r="AG9" i="3" l="1"/>
  <c r="BK12" i="7"/>
  <c r="AT13" i="1"/>
  <c r="AU13" s="1"/>
  <c r="I10" i="81" s="1"/>
  <c r="AS14" i="1"/>
  <c r="AE10" i="3"/>
  <c r="AF10" s="1"/>
  <c r="F10" i="63"/>
  <c r="K12" i="3"/>
  <c r="Q12"/>
  <c r="AQ14" i="1"/>
  <c r="N11" i="3"/>
  <c r="AB11" s="1"/>
  <c r="Z11"/>
  <c r="AK11" s="1"/>
  <c r="AD16" i="5"/>
  <c r="AO14" i="1"/>
  <c r="AT14" l="1"/>
  <c r="AU14" s="1"/>
  <c r="I11" i="81" s="1"/>
  <c r="AG10" i="3"/>
  <c r="BK13" i="7"/>
  <c r="AQ15" i="1"/>
  <c r="AS15"/>
  <c r="AD17" i="5"/>
  <c r="K13" i="3"/>
  <c r="Q13"/>
  <c r="Z12"/>
  <c r="AK12" s="1"/>
  <c r="N12"/>
  <c r="AB12" s="1"/>
  <c r="AO15" i="1"/>
  <c r="F11" i="63"/>
  <c r="AE11" i="3"/>
  <c r="AF11" s="1"/>
  <c r="AG11" l="1"/>
  <c r="BK14" i="7"/>
  <c r="AT15" i="1"/>
  <c r="AU15" s="1"/>
  <c r="I12" i="81" s="1"/>
  <c r="AD18" i="5"/>
  <c r="AQ16" i="1"/>
  <c r="F12" i="63"/>
  <c r="AE12" i="3"/>
  <c r="AF12" s="1"/>
  <c r="K14"/>
  <c r="Q14"/>
  <c r="AS16" i="1"/>
  <c r="AO16"/>
  <c r="Z13" i="3"/>
  <c r="AK13" s="1"/>
  <c r="N13"/>
  <c r="AB13" s="1"/>
  <c r="AG12" l="1"/>
  <c r="BK15" i="7"/>
  <c r="AT16" i="1"/>
  <c r="AU16" s="1"/>
  <c r="I13" i="81" s="1"/>
  <c r="Z14" i="3"/>
  <c r="AK14" s="1"/>
  <c r="N14"/>
  <c r="AB14" s="1"/>
  <c r="AD19" i="5"/>
  <c r="AS17" i="1"/>
  <c r="AO17"/>
  <c r="F13" i="63"/>
  <c r="AE13" i="3"/>
  <c r="AF13" s="1"/>
  <c r="AQ17" i="1"/>
  <c r="K15" i="3"/>
  <c r="Q15"/>
  <c r="AG13" l="1"/>
  <c r="BK16" i="7"/>
  <c r="AS18" i="1"/>
  <c r="F14" i="63"/>
  <c r="AE14" i="3"/>
  <c r="AF14" s="1"/>
  <c r="AG14" s="1"/>
  <c r="K16"/>
  <c r="Q16"/>
  <c r="Z15"/>
  <c r="AK15" s="1"/>
  <c r="N15"/>
  <c r="AB15" s="1"/>
  <c r="AO18" i="1"/>
  <c r="AD20" i="5"/>
  <c r="AQ18" i="1"/>
  <c r="AT17"/>
  <c r="AU17" s="1"/>
  <c r="I14" i="81" s="1"/>
  <c r="AD21" i="5" l="1"/>
  <c r="F15" i="63"/>
  <c r="AE15" i="3"/>
  <c r="AF15" s="1"/>
  <c r="AG15" s="1"/>
  <c r="AS19" i="1"/>
  <c r="K17" i="3"/>
  <c r="Q17"/>
  <c r="AQ19" i="1"/>
  <c r="AO19"/>
  <c r="Z16" i="3"/>
  <c r="AK16" s="1"/>
  <c r="N16"/>
  <c r="AB16" s="1"/>
  <c r="AT18" i="1"/>
  <c r="AU18" s="1"/>
  <c r="I15" i="81" s="1"/>
  <c r="AT19" i="1" l="1"/>
  <c r="AU19" s="1"/>
  <c r="I16" i="81" s="1"/>
  <c r="AO20" i="1"/>
  <c r="Z17" i="3"/>
  <c r="AK17" s="1"/>
  <c r="N17"/>
  <c r="AD22" i="5"/>
  <c r="AS20" i="1"/>
  <c r="AE16" i="3"/>
  <c r="AF16" s="1"/>
  <c r="AG16" s="1"/>
  <c r="F16" i="63"/>
  <c r="AQ20" i="1"/>
  <c r="K18" i="3"/>
  <c r="Q18"/>
  <c r="AD23" i="5" l="1"/>
  <c r="AO21" i="1"/>
  <c r="K19" i="3"/>
  <c r="Q19"/>
  <c r="Z18"/>
  <c r="AK18" s="1"/>
  <c r="N18"/>
  <c r="AB18" s="1"/>
  <c r="AS21" i="1"/>
  <c r="AE17" i="3"/>
  <c r="AF17" s="1"/>
  <c r="AG17" s="1"/>
  <c r="F17" i="63"/>
  <c r="AQ21" i="1"/>
  <c r="AT20"/>
  <c r="AU20" s="1"/>
  <c r="I17" i="81" s="1"/>
  <c r="K20" i="3" l="1"/>
  <c r="Q20"/>
  <c r="AD24" i="5"/>
  <c r="AS22" i="1"/>
  <c r="Z19" i="3"/>
  <c r="AK19" s="1"/>
  <c r="N19"/>
  <c r="AB19" s="1"/>
  <c r="AQ22" i="1"/>
  <c r="AO22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AK20" s="1"/>
  <c r="N20"/>
  <c r="AB20" s="1"/>
  <c r="AO23" i="1"/>
  <c r="F19" i="63"/>
  <c r="AE19" i="3"/>
  <c r="AF19" s="1"/>
  <c r="AG19" s="1"/>
  <c r="AD25" i="5"/>
  <c r="K23" i="3" l="1"/>
  <c r="Q23"/>
  <c r="AT23" i="1"/>
  <c r="AU23" s="1"/>
  <c r="I20" i="81" s="1"/>
  <c r="AD26" i="5"/>
  <c r="AO24" i="1"/>
  <c r="AS24"/>
  <c r="Z21" i="3"/>
  <c r="AK21" s="1"/>
  <c r="N21"/>
  <c r="AB21" s="1"/>
  <c r="F20" i="63"/>
  <c r="AE20" i="3"/>
  <c r="AF20" s="1"/>
  <c r="AG20" s="1"/>
  <c r="AQ24" i="1"/>
  <c r="K22" i="3"/>
  <c r="N23" l="1"/>
  <c r="AB23" s="1"/>
  <c r="Z23"/>
  <c r="AK23" s="1"/>
  <c r="AO25" i="1"/>
  <c r="AS25"/>
  <c r="AD27" i="5"/>
  <c r="Z22" i="3"/>
  <c r="AK22" s="1"/>
  <c r="N22"/>
  <c r="AB22" s="1"/>
  <c r="AE21"/>
  <c r="AF21" s="1"/>
  <c r="AG21" s="1"/>
  <c r="F21" i="63"/>
  <c r="AQ25" i="1"/>
  <c r="AT24"/>
  <c r="AU24" s="1"/>
  <c r="I21" i="81" s="1"/>
  <c r="Q25" i="3" l="1"/>
  <c r="K25"/>
  <c r="AE23"/>
  <c r="AF23" s="1"/>
  <c r="AG23" s="1"/>
  <c r="AT25" i="1"/>
  <c r="AU25" s="1"/>
  <c r="I22" i="81" s="1"/>
  <c r="AD28" i="5"/>
  <c r="K24" i="3"/>
  <c r="Q24"/>
  <c r="AO26" i="1"/>
  <c r="AE22" i="3"/>
  <c r="AF22" s="1"/>
  <c r="AG22" s="1"/>
  <c r="F22" i="63"/>
  <c r="AQ26" i="1"/>
  <c r="AS26"/>
  <c r="N25" i="3" l="1"/>
  <c r="AB25" s="1"/>
  <c r="Z25"/>
  <c r="AK25" s="1"/>
  <c r="AO27" i="1"/>
  <c r="AS27"/>
  <c r="AD29" i="5"/>
  <c r="F23" i="63"/>
  <c r="AQ27" i="1"/>
  <c r="Z24" i="3"/>
  <c r="AK24" s="1"/>
  <c r="N24"/>
  <c r="AT26" i="1"/>
  <c r="AU26" s="1"/>
  <c r="I23" i="81" s="1"/>
  <c r="AE25" i="3" l="1"/>
  <c r="AF25" s="1"/>
  <c r="AG25" s="1"/>
  <c r="AT27" i="1"/>
  <c r="AU27" s="1"/>
  <c r="I24" i="81" s="1"/>
  <c r="AO28" i="1"/>
  <c r="AD30" i="5"/>
  <c r="AQ28" i="1"/>
  <c r="F24" i="63"/>
  <c r="AE24" i="3"/>
  <c r="AF24" s="1"/>
  <c r="AG24" s="1"/>
  <c r="AS28" i="1"/>
  <c r="K26" i="3"/>
  <c r="Z26" s="1"/>
  <c r="AK26" s="1"/>
  <c r="Q26"/>
  <c r="AD31" i="5" l="1"/>
  <c r="AO29" i="1"/>
  <c r="K27" i="3"/>
  <c r="Z27" s="1"/>
  <c r="AK27" s="1"/>
  <c r="Q27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B27" s="1"/>
  <c r="AS30" i="1"/>
  <c r="AO30"/>
  <c r="AE26" i="3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E27" i="3"/>
  <c r="AF27" s="1"/>
  <c r="AG27" s="1"/>
  <c r="F27" i="63"/>
  <c r="Z28" i="3"/>
  <c r="AK28" s="1"/>
  <c r="N28"/>
  <c r="AQ32" i="1" l="1"/>
  <c r="AD34" i="5"/>
  <c r="AO32" i="1"/>
  <c r="AE28" i="3"/>
  <c r="AF28" s="1"/>
  <c r="AG28" s="1"/>
  <c r="F28" i="63"/>
  <c r="K30" i="3"/>
  <c r="Q30"/>
  <c r="AS32" i="1"/>
  <c r="Z29" i="3"/>
  <c r="AK29" s="1"/>
  <c r="N29"/>
  <c r="AB29" s="1"/>
  <c r="AT31" i="1"/>
  <c r="AS33" l="1"/>
  <c r="AQ33"/>
  <c r="AE29" i="3"/>
  <c r="AF29" s="1"/>
  <c r="AG29" s="1"/>
  <c r="F29" i="63"/>
  <c r="Z30" i="3"/>
  <c r="AK30" s="1"/>
  <c r="N30"/>
  <c r="AB30" s="1"/>
  <c r="AD35" i="5"/>
  <c r="AT32" i="1"/>
  <c r="AU31"/>
  <c r="I28" i="81" s="1"/>
  <c r="AO33" i="1"/>
  <c r="Q31" i="3"/>
  <c r="K31"/>
  <c r="AO34" i="1" l="1"/>
  <c r="Q32" i="3"/>
  <c r="K32"/>
  <c r="K35" s="1"/>
  <c r="U34" s="1"/>
  <c r="AS34" i="1"/>
  <c r="N31" i="3"/>
  <c r="AB31" s="1"/>
  <c r="Z31"/>
  <c r="AK31" s="1"/>
  <c r="AE30"/>
  <c r="AF30" s="1"/>
  <c r="AG30" s="1"/>
  <c r="F30" i="63"/>
  <c r="AQ34" i="1"/>
  <c r="AU32"/>
  <c r="I29" i="81" s="1"/>
  <c r="AT33" i="1"/>
  <c r="AT34" l="1"/>
  <c r="AU35" s="1"/>
  <c r="I32" i="81" s="1"/>
  <c r="AE31" i="3"/>
  <c r="AF31" s="1"/>
  <c r="AG31" s="1"/>
  <c r="Z32"/>
  <c r="Z34" s="1"/>
  <c r="N32"/>
  <c r="AB32" s="1"/>
  <c r="AU33" i="1"/>
  <c r="I30" i="81" s="1"/>
  <c r="AK32" i="3" l="1"/>
  <c r="B18" i="77"/>
  <c r="W33" i="76" s="1"/>
  <c r="AU34" i="1"/>
  <c r="I31" i="81" s="1"/>
  <c r="AE32" i="3"/>
  <c r="AF32" s="1"/>
  <c r="AG32" s="1"/>
  <c r="X33" i="76" l="1"/>
  <c r="Y33" s="1"/>
  <c r="B19" i="77"/>
  <c r="E18"/>
  <c r="AU5" i="1"/>
  <c r="AU36" l="1"/>
  <c r="AU38" s="1"/>
  <c r="I2" i="81"/>
  <c r="F2" i="63" l="1"/>
  <c r="M3" i="3" l="1"/>
  <c r="AA3" s="1"/>
  <c r="AC3" s="1"/>
  <c r="AH3" s="1"/>
  <c r="P6" i="5" l="1"/>
  <c r="N6"/>
  <c r="M4" i="3"/>
  <c r="AA4" s="1"/>
  <c r="AC4" s="1"/>
  <c r="AH4" s="1"/>
  <c r="C6" i="5"/>
  <c r="G2" i="63"/>
  <c r="I6" i="5" l="1"/>
  <c r="Q6"/>
  <c r="M5" i="3"/>
  <c r="AA5" s="1"/>
  <c r="AC5" s="1"/>
  <c r="AH5" s="1"/>
  <c r="P7" i="5"/>
  <c r="C7"/>
  <c r="N7"/>
  <c r="D6"/>
  <c r="E6"/>
  <c r="G3" i="63"/>
  <c r="M2" i="81" l="1"/>
  <c r="M6" i="3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s="1"/>
  <c r="Q9" i="5" l="1"/>
  <c r="M8" i="3"/>
  <c r="E9" i="5"/>
  <c r="D9"/>
  <c r="I9"/>
  <c r="G6" i="63"/>
  <c r="P10" i="5"/>
  <c r="C10"/>
  <c r="J8"/>
  <c r="L4" i="81" s="1"/>
  <c r="K4"/>
  <c r="N10" i="5"/>
  <c r="M5" i="81" l="1"/>
  <c r="Q10" i="5"/>
  <c r="M6" i="81" s="1"/>
  <c r="N11" i="5"/>
  <c r="E10"/>
  <c r="I10"/>
  <c r="D10"/>
  <c r="G7" i="63"/>
  <c r="C11" i="5"/>
  <c r="J9"/>
  <c r="L5" i="81" s="1"/>
  <c r="K5"/>
  <c r="M9" i="3"/>
  <c r="AA9" s="1"/>
  <c r="AC9" s="1"/>
  <c r="AH9" s="1"/>
  <c r="P11" i="5"/>
  <c r="M10" i="3" l="1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M8" i="81" s="1"/>
  <c r="P13" i="5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Q13" i="5" l="1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I33"/>
  <c r="E33"/>
  <c r="E38" s="1"/>
  <c r="G30" i="63"/>
  <c r="I30" s="1"/>
  <c r="D33" i="5"/>
  <c r="N34"/>
  <c r="P34"/>
  <c r="K28" i="81"/>
  <c r="J32" i="5"/>
  <c r="L28" i="81" s="1"/>
  <c r="Q33" i="5"/>
  <c r="C35" l="1"/>
  <c r="C37" s="1"/>
  <c r="P35"/>
  <c r="E34"/>
  <c r="D34"/>
  <c r="I34"/>
  <c r="M29" i="81"/>
  <c r="N35" i="5"/>
  <c r="J33"/>
  <c r="L29" i="81" s="1"/>
  <c r="K29"/>
  <c r="Q34" i="5"/>
  <c r="M30" i="81" s="1"/>
  <c r="C38" i="5" l="1"/>
  <c r="E35"/>
  <c r="I35"/>
  <c r="I37" s="1"/>
  <c r="D35"/>
  <c r="D37" s="1"/>
  <c r="K30" i="81"/>
  <c r="J34" i="5"/>
  <c r="L30" i="81" s="1"/>
  <c r="Q35" i="5"/>
  <c r="Q37" s="1"/>
  <c r="AJ39" l="1"/>
  <c r="AM39" s="1"/>
  <c r="D39"/>
  <c r="M31" i="81"/>
  <c r="H39" i="5"/>
  <c r="B6" i="77"/>
  <c r="G39" i="5"/>
  <c r="I38"/>
  <c r="K31" i="81"/>
  <c r="J35" i="5"/>
  <c r="L31" i="81" s="1"/>
  <c r="O38" i="5" l="1"/>
  <c r="K39"/>
  <c r="D6" i="77"/>
  <c r="E6" s="1"/>
  <c r="G6"/>
  <c r="AC28" i="76"/>
  <c r="AC27"/>
  <c r="F6" i="77" l="1"/>
  <c r="AC29" i="76"/>
  <c r="AC33" l="1"/>
  <c r="AB33" s="1"/>
  <c r="O34"/>
  <c r="O29"/>
  <c r="P29" s="1"/>
  <c r="R29" s="1"/>
  <c r="T29" s="1"/>
  <c r="F27" i="81" s="1"/>
  <c r="O12" i="76"/>
  <c r="P12" s="1"/>
  <c r="R12" s="1"/>
  <c r="T12" s="1"/>
  <c r="F10" i="81" s="1"/>
  <c r="O26" i="76"/>
  <c r="P26" s="1"/>
  <c r="R26" s="1"/>
  <c r="T26" s="1"/>
  <c r="F24" i="81" s="1"/>
  <c r="O4" i="76"/>
  <c r="P4" s="1"/>
  <c r="R4" s="1"/>
  <c r="T4" s="1"/>
  <c r="F2" i="81" s="1"/>
  <c r="O18" i="76"/>
  <c r="P18" s="1"/>
  <c r="R18" s="1"/>
  <c r="T18" s="1"/>
  <c r="F16" i="81" s="1"/>
  <c r="O8" i="76"/>
  <c r="P8" s="1"/>
  <c r="R8" s="1"/>
  <c r="T8" s="1"/>
  <c r="F6" i="81" s="1"/>
  <c r="O10" i="76"/>
  <c r="P10" s="1"/>
  <c r="R10" s="1"/>
  <c r="T10" s="1"/>
  <c r="F8" i="81" s="1"/>
  <c r="O22" i="76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T14" s="1"/>
  <c r="F12" i="81" s="1"/>
  <c r="O32" i="76"/>
  <c r="P32" s="1"/>
  <c r="R32" s="1"/>
  <c r="T32" s="1"/>
  <c r="F30" i="81" s="1"/>
  <c r="O33" i="76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T9" s="1"/>
  <c r="F7" i="81" s="1"/>
  <c r="O13" i="76"/>
  <c r="P13" s="1"/>
  <c r="R13" s="1"/>
  <c r="T13" s="1"/>
  <c r="F11" i="81" s="1"/>
  <c r="O31" i="76"/>
  <c r="P31" s="1"/>
  <c r="R31" s="1"/>
  <c r="T31" s="1"/>
  <c r="F29" i="81" s="1"/>
  <c r="O6" i="76"/>
  <c r="P6" s="1"/>
  <c r="R6" s="1"/>
  <c r="T6" s="1"/>
  <c r="F4" i="81" s="1"/>
  <c r="O5" i="76"/>
  <c r="P5" s="1"/>
  <c r="R5" s="1"/>
  <c r="T5" s="1"/>
  <c r="F3" i="81" s="1"/>
  <c r="O19" i="76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T11" s="1"/>
  <c r="F9" i="81" s="1"/>
  <c r="O28" i="76"/>
  <c r="P28" s="1"/>
  <c r="R28" s="1"/>
  <c r="T28" s="1"/>
  <c r="F26" i="81" s="1"/>
  <c r="O7" i="76"/>
  <c r="P7" s="1"/>
  <c r="R7" s="1"/>
  <c r="T7" s="1"/>
  <c r="F5" i="81" s="1"/>
  <c r="O20" i="76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AD35" i="76"/>
  <c r="O35" l="1"/>
  <c r="P34"/>
  <c r="R34" s="1"/>
  <c r="P33"/>
  <c r="R33" s="1"/>
  <c r="T33" s="1"/>
  <c r="F31" i="81" s="1"/>
  <c r="AB36" i="76"/>
  <c r="AB38" s="1"/>
  <c r="D10" i="77"/>
  <c r="E10" s="1"/>
  <c r="G10" l="1"/>
  <c r="G12" s="1"/>
  <c r="I14" s="1"/>
  <c r="E12"/>
  <c r="F10"/>
  <c r="F12" s="1"/>
  <c r="H14" l="1"/>
  <c r="AX5" i="1"/>
  <c r="AX6" s="1"/>
  <c r="J3" i="81" l="1"/>
  <c r="AX7" i="1"/>
  <c r="J2" i="81"/>
  <c r="AS7" i="5"/>
  <c r="AY6"/>
  <c r="J4" i="81" l="1"/>
  <c r="AX8" i="1"/>
  <c r="AY7" i="5"/>
  <c r="BB7" s="1"/>
  <c r="BE7" s="1"/>
  <c r="AS8"/>
  <c r="J5" i="81" l="1"/>
  <c r="AX9" i="1"/>
  <c r="I3" i="63"/>
  <c r="BF7" i="5"/>
  <c r="BG7" s="1"/>
  <c r="G7" i="65" s="1"/>
  <c r="AS9" i="5"/>
  <c r="AY8"/>
  <c r="BB8" s="1"/>
  <c r="BE8" s="1"/>
  <c r="J6" i="81" l="1"/>
  <c r="AX10" i="1"/>
  <c r="AY9" i="5"/>
  <c r="BB9" s="1"/>
  <c r="BE9" s="1"/>
  <c r="AS10"/>
  <c r="I4" i="63"/>
  <c r="BF8" i="5"/>
  <c r="BG8" s="1"/>
  <c r="G8" i="65" s="1"/>
  <c r="J7" i="81" l="1"/>
  <c r="AX11" i="1"/>
  <c r="I5" i="63"/>
  <c r="BF9" i="5"/>
  <c r="BG9" s="1"/>
  <c r="G9" i="65" s="1"/>
  <c r="AY10" i="5"/>
  <c r="BB10" s="1"/>
  <c r="BE10" s="1"/>
  <c r="AS11"/>
  <c r="AX12" i="1" l="1"/>
  <c r="J8" i="81"/>
  <c r="I6" i="63"/>
  <c r="BF10" i="5"/>
  <c r="BG10" s="1"/>
  <c r="G10" i="65" s="1"/>
  <c r="AY11" i="5"/>
  <c r="BB11" s="1"/>
  <c r="BE11" s="1"/>
  <c r="AS12"/>
  <c r="J9" i="81" l="1"/>
  <c r="AX13" i="1"/>
  <c r="I7" i="63"/>
  <c r="BF11" i="5"/>
  <c r="BG11" s="1"/>
  <c r="G11" i="65" s="1"/>
  <c r="AY12" i="5"/>
  <c r="BB12" s="1"/>
  <c r="BE12" s="1"/>
  <c r="AS13"/>
  <c r="AX14" i="1" l="1"/>
  <c r="J10" i="81"/>
  <c r="AS14" i="5"/>
  <c r="AY13"/>
  <c r="BB13" s="1"/>
  <c r="BE13" s="1"/>
  <c r="I8" i="63"/>
  <c r="BF12" i="5"/>
  <c r="BG12" s="1"/>
  <c r="G12" i="65" s="1"/>
  <c r="AX15" i="1" l="1"/>
  <c r="J11" i="81"/>
  <c r="AS15" i="5"/>
  <c r="AY14"/>
  <c r="BB14" s="1"/>
  <c r="BE14" s="1"/>
  <c r="I9" i="63"/>
  <c r="BF13" i="5"/>
  <c r="BG13" s="1"/>
  <c r="G13" i="65" s="1"/>
  <c r="J12" i="81" l="1"/>
  <c r="AX16" i="1"/>
  <c r="AY15" i="5"/>
  <c r="BB15" s="1"/>
  <c r="BE15" s="1"/>
  <c r="AS16"/>
  <c r="I10" i="63"/>
  <c r="BF14" i="5"/>
  <c r="BG14" s="1"/>
  <c r="G14" i="65" s="1"/>
  <c r="AX17" i="1" l="1"/>
  <c r="J13" i="81"/>
  <c r="I11" i="63"/>
  <c r="BF15" i="5"/>
  <c r="BG15" s="1"/>
  <c r="G15" i="65" s="1"/>
  <c r="AS17" i="5"/>
  <c r="AY16"/>
  <c r="BB16" s="1"/>
  <c r="BE16" s="1"/>
  <c r="J14" i="81" l="1"/>
  <c r="AX18" i="1"/>
  <c r="AS18" i="5"/>
  <c r="AY17"/>
  <c r="BB17" s="1"/>
  <c r="BE17" s="1"/>
  <c r="I12" i="63"/>
  <c r="BF16" i="5"/>
  <c r="BG16" s="1"/>
  <c r="G16" i="65" s="1"/>
  <c r="J15" i="81" l="1"/>
  <c r="AX19" i="1"/>
  <c r="I13" i="63"/>
  <c r="BF17" i="5"/>
  <c r="BG17" s="1"/>
  <c r="G17" i="65" s="1"/>
  <c r="AY18" i="5"/>
  <c r="BB18" s="1"/>
  <c r="BE18" s="1"/>
  <c r="AS19"/>
  <c r="J16" i="81" l="1"/>
  <c r="AX20" i="1"/>
  <c r="AS20" i="5"/>
  <c r="AY19"/>
  <c r="BB19" s="1"/>
  <c r="BE19" s="1"/>
  <c r="I14" i="63"/>
  <c r="BF18" i="5"/>
  <c r="BG18" s="1"/>
  <c r="G18" i="65" s="1"/>
  <c r="AX21" i="1" l="1"/>
  <c r="J17" i="81"/>
  <c r="AY20" i="5"/>
  <c r="BB20" s="1"/>
  <c r="BE20" s="1"/>
  <c r="AS21"/>
  <c r="I15" i="63"/>
  <c r="BF19" i="5"/>
  <c r="BG19" s="1"/>
  <c r="G19" i="65" s="1"/>
  <c r="J18" i="81" l="1"/>
  <c r="AX22" i="1"/>
  <c r="I16" i="63"/>
  <c r="BF20" i="5"/>
  <c r="BG20" s="1"/>
  <c r="G20" i="65" s="1"/>
  <c r="AY21" i="5"/>
  <c r="BB21" s="1"/>
  <c r="BE21" s="1"/>
  <c r="AS22"/>
  <c r="J19" i="81" l="1"/>
  <c r="AX23" i="1"/>
  <c r="I17" i="63"/>
  <c r="BF21" i="5"/>
  <c r="BG21" s="1"/>
  <c r="G21" i="65" s="1"/>
  <c r="AY22" i="5"/>
  <c r="BB22" s="1"/>
  <c r="BE22" s="1"/>
  <c r="AS23"/>
  <c r="AX24" i="1" l="1"/>
  <c r="J20" i="81"/>
  <c r="I18" i="63"/>
  <c r="BF22" i="5"/>
  <c r="BG22" s="1"/>
  <c r="G22" i="65" s="1"/>
  <c r="AY23" i="5"/>
  <c r="BB23" s="1"/>
  <c r="BE23" s="1"/>
  <c r="AS24"/>
  <c r="AX25" i="1" l="1"/>
  <c r="J21" i="81"/>
  <c r="I19" i="63"/>
  <c r="BF23" i="5"/>
  <c r="BG23" s="1"/>
  <c r="G23" i="65" s="1"/>
  <c r="AS25" i="5"/>
  <c r="AY24"/>
  <c r="BB24" s="1"/>
  <c r="BE24" s="1"/>
  <c r="J22" i="81" l="1"/>
  <c r="AX26" i="1"/>
  <c r="AY25" i="5"/>
  <c r="BB25" s="1"/>
  <c r="BE25" s="1"/>
  <c r="AS26"/>
  <c r="AY26" s="1"/>
  <c r="I20" i="63"/>
  <c r="BF24" i="5"/>
  <c r="BG24" s="1"/>
  <c r="G24" i="65" s="1"/>
  <c r="J23" i="81" l="1"/>
  <c r="AX27" i="1"/>
  <c r="BB26" i="5"/>
  <c r="BE26" s="1"/>
  <c r="I21" i="63"/>
  <c r="BF25" i="5"/>
  <c r="BG25" s="1"/>
  <c r="G25" i="65" s="1"/>
  <c r="AS27" i="5"/>
  <c r="AY27" s="1"/>
  <c r="AX28" i="1" l="1"/>
  <c r="J24" i="81"/>
  <c r="I22" i="63"/>
  <c r="BF26" i="5"/>
  <c r="BG26" s="1"/>
  <c r="G26" i="65" s="1"/>
  <c r="AS28" i="5"/>
  <c r="AY28" s="1"/>
  <c r="BB27"/>
  <c r="BE27" s="1"/>
  <c r="AX29" i="1" l="1"/>
  <c r="J25" i="81"/>
  <c r="BB28" i="5"/>
  <c r="BE28" s="1"/>
  <c r="AS29"/>
  <c r="AY29" s="1"/>
  <c r="I23" i="63"/>
  <c r="BF27" i="5"/>
  <c r="BG27" s="1"/>
  <c r="G27" i="65" s="1"/>
  <c r="AX30" i="1" l="1"/>
  <c r="J26" i="81"/>
  <c r="I24" i="63"/>
  <c r="BF28" i="5"/>
  <c r="BG28" s="1"/>
  <c r="G28" i="65" s="1"/>
  <c r="AS30" i="5"/>
  <c r="AY30" s="1"/>
  <c r="BB29"/>
  <c r="BE29" s="1"/>
  <c r="J27" i="81" l="1"/>
  <c r="AX31" i="1"/>
  <c r="BB30" i="5"/>
  <c r="BE30" s="1"/>
  <c r="AS31"/>
  <c r="AY31" s="1"/>
  <c r="I25" i="63"/>
  <c r="BF29" i="5"/>
  <c r="BG29" s="1"/>
  <c r="G29" i="65" s="1"/>
  <c r="AX32" i="1" l="1"/>
  <c r="J28" i="81"/>
  <c r="I26" i="63"/>
  <c r="BF30" i="5"/>
  <c r="BG30" s="1"/>
  <c r="G30" i="65" s="1"/>
  <c r="AS32" i="5"/>
  <c r="AY32" s="1"/>
  <c r="BB31"/>
  <c r="BE31" s="1"/>
  <c r="AX33" i="1" l="1"/>
  <c r="J29" i="81"/>
  <c r="BB32" i="5"/>
  <c r="BE32" s="1"/>
  <c r="AS33"/>
  <c r="AY33" s="1"/>
  <c r="I27" i="63"/>
  <c r="BF31" i="5"/>
  <c r="BG31" s="1"/>
  <c r="G31" i="65" s="1"/>
  <c r="J30" i="81" l="1"/>
  <c r="AX34" i="1"/>
  <c r="I28" i="63"/>
  <c r="BF32" i="5"/>
  <c r="BG32" s="1"/>
  <c r="G32" i="65" s="1"/>
  <c r="AS34" i="5"/>
  <c r="AY34" s="1"/>
  <c r="BB33"/>
  <c r="BE33" s="1"/>
  <c r="J31" i="81" l="1"/>
  <c r="AX35" i="1"/>
  <c r="J32" i="81" s="1"/>
  <c r="AS35" i="5"/>
  <c r="AY35" s="1"/>
  <c r="BB35" s="1"/>
  <c r="BE35" s="1"/>
  <c r="BB34"/>
  <c r="BE34" s="1"/>
  <c r="BF34" s="1"/>
  <c r="BG34" s="1"/>
  <c r="BF33"/>
  <c r="BG33" s="1"/>
  <c r="G33" i="65" s="1"/>
  <c r="I29" i="63"/>
  <c r="BF35" i="5" l="1"/>
  <c r="BG35" s="1"/>
  <c r="AB6" i="3" l="1"/>
  <c r="AA6" l="1"/>
  <c r="AC6" s="1"/>
  <c r="AH6" s="1"/>
  <c r="AB7" l="1"/>
  <c r="AA7"/>
  <c r="AC7" s="1"/>
  <c r="AH7" s="1"/>
  <c r="AB8" l="1"/>
  <c r="U8"/>
  <c r="AA8" l="1"/>
  <c r="AC8" s="1"/>
  <c r="AH8" s="1"/>
  <c r="AB17"/>
  <c r="U17"/>
  <c r="AB24"/>
  <c r="U24"/>
  <c r="AA24" l="1"/>
  <c r="AC24" s="1"/>
  <c r="AH24" s="1"/>
  <c r="AA17"/>
  <c r="AC17" s="1"/>
  <c r="AH17" s="1"/>
  <c r="AB28"/>
  <c r="U28"/>
  <c r="AA28" l="1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H10" i="81"/>
  <c r="H1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H32" i="81" s="1"/>
  <c r="D18" i="77"/>
  <c r="F18" s="1"/>
  <c r="AY5" i="5" l="1"/>
  <c r="BB6" s="1"/>
  <c r="BE6" s="1"/>
  <c r="BB5" l="1"/>
  <c r="BF6"/>
  <c r="BG6" s="1"/>
  <c r="G6" i="65" s="1"/>
  <c r="I2" i="63"/>
  <c r="BE5" i="5" l="1"/>
  <c r="BG5" l="1"/>
  <c r="G5" i="65" s="1"/>
  <c r="BF5" i="5"/>
</calcChain>
</file>

<file path=xl/comments1.xml><?xml version="1.0" encoding="utf-8"?>
<comments xmlns="http://schemas.openxmlformats.org/spreadsheetml/2006/main">
  <authors>
    <author>amjad.abouhassan</author>
    <author>ahmad.ghazalah</author>
  </authors>
  <commentList>
    <comment ref="R16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EDL reading was taken at 3:00 Am /MDB at 12:00 AM
</t>
        </r>
      </text>
    </comment>
    <comment ref="R19" authorId="1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EDL reading was taken at 8:30AM</t>
        </r>
      </text>
    </comment>
    <comment ref="R23" authorId="1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EDL reading was taken at 9:00am</t>
        </r>
      </text>
    </comment>
    <comment ref="R24" authorId="1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EDL was taken at 3:00am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B4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This record was taken in 1/6/2021 at 10:00am since the EDL was off all the night.</t>
        </r>
      </text>
    </comment>
    <comment ref="A8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Utility records were taken at 3:00pm</t>
        </r>
      </text>
    </comment>
  </commentList>
</comments>
</file>

<file path=xl/comments3.xml><?xml version="1.0" encoding="utf-8"?>
<comments xmlns="http://schemas.openxmlformats.org/spreadsheetml/2006/main">
  <authors>
    <author>ahmad.ghazalah</author>
  </authors>
  <commentList>
    <comment ref="AX14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transfer the water to half the tank for cleaning</t>
        </r>
      </text>
    </comment>
    <comment ref="AX15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transfer the water to half the tank for cleaning</t>
        </r>
      </text>
    </comment>
  </commentList>
</comments>
</file>

<file path=xl/comments4.xml><?xml version="1.0" encoding="utf-8"?>
<comments xmlns="http://schemas.openxmlformats.org/spreadsheetml/2006/main">
  <authors>
    <author>amjad.abouhassan</author>
  </authors>
  <commentList>
    <comment ref="C27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5.xml><?xml version="1.0" encoding="utf-8"?>
<comments xmlns="http://schemas.openxmlformats.org/spreadsheetml/2006/main">
  <authors>
    <author>ahmad.ghazalah</author>
  </authors>
  <commentList>
    <comment ref="A7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No EDL</t>
        </r>
      </text>
    </comment>
    <comment ref="A8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No EDL</t>
        </r>
      </text>
    </comment>
  </commentList>
</comments>
</file>

<file path=xl/comments6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7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<sst xmlns="http://schemas.openxmlformats.org/spreadsheetml/2006/main" count="660" uniqueCount="421">
  <si>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</si>
  <si>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</si>
  <si>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</si>
  <si>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</si>
  <si>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</si>
  <si>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</si>
  <si>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</si>
  <si>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</si>
  <si>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</si>
  <si>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</si>
  <si>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</si>
  <si>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</si>
  <si>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</si>
  <si>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</si>
  <si>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</si>
  <si>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</si>
  <si>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</si>
  <si>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</si>
  <si>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</si>
  <si>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</si>
  <si>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</si>
  <si>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</si>
  <si>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</si>
  <si>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</si>
  <si>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</si>
  <si>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</si>
  <si>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</si>
  <si>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</si>
  <si>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</si>
  <si>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</si>
  <si>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</si>
  <si>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</si>
  <si>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</si>
  <si>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</si>
  <si>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</si>
  <si>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</si>
  <si>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</si>
  <si>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</si>
  <si>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</si>
  <si>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</si>
  <si>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</si>
  <si>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</si>
  <si>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</si>
  <si>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</si>
  <si>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</si>
  <si>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</si>
  <si>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</si>
  <si>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</si>
  <si>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</si>
  <si>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</si>
  <si>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</si>
  <si>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</si>
  <si>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</si>
  <si>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</si>
  <si>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</si>
  <si>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</si>
  <si>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</si>
  <si>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</si>
  <si>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</si>
  <si>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</si>
  <si>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</si>
  <si>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</si>
  <si>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</si>
  <si>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</si>
  <si>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</si>
  <si>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</si>
  <si>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</si>
  <si>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</si>
  <si>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</si>
  <si>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</si>
  <si>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</si>
  <si>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</si>
  <si>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</si>
  <si>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</si>
  <si>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</si>
  <si>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</si>
  <si>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</si>
  <si>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</si>
  <si>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</si>
  <si>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</si>
  <si>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</si>
  <si>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</si>
  <si>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</si>
  <si>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</si>
  <si>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</si>
  <si>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</si>
  <si>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</si>
  <si>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</si>
  <si>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</si>
  <si>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</si>
  <si>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</si>
  <si>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</si>
  <si>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</si>
  <si>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</si>
  <si>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</si>
  <si>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</si>
  <si>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</si>
  <si>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</si>
  <si>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</si>
  <si>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</si>
  <si>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</si>
  <si>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</si>
  <si>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</si>
  <si>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</si>
  <si>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</si>
  <si>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</si>
  <si>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</si>
  <si>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</si>
  <si>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</si>
  <si>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</si>
  <si>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</si>
  <si>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</si>
  <si>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</si>
  <si>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</si>
  <si>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</si>
  <si>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</si>
  <si>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</si>
  <si>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</si>
  <si>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</si>
  <si>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</si>
  <si>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</si>
  <si>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</si>
  <si>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</si>
  <si>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</si>
  <si>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</si>
  <si>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</si>
  <si>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</si>
  <si>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</si>
  <si>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</si>
  <si>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</si>
  <si>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</si>
  <si>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</si>
  <si>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</si>
  <si>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</si>
  <si>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</si>
  <si>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</si>
  <si>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</si>
  <si>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</si>
  <si>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</si>
  <si>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</si>
  <si>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</si>
  <si>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</si>
  <si>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</si>
  <si>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</si>
  <si>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</si>
  <si>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</si>
  <si>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</si>
  <si>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</si>
  <si>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</si>
  <si>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</si>
  <si>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</si>
  <si>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</si>
  <si>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</si>
  <si>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</si>
  <si>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</si>
  <si>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</si>
  <si>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</si>
  <si>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</si>
  <si>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</si>
  <si>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</si>
  <si>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</si>
  <si>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</si>
  <si>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</si>
  <si>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</si>
  <si>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</si>
  <si>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</si>
  <si>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</si>
  <si>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</si>
  <si>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</si>
  <si>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</si>
  <si>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</si>
  <si>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</si>
  <si>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</si>
  <si>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</si>
  <si>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</si>
  <si>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</si>
  <si>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</si>
  <si>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</si>
  <si>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</si>
  <si>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</si>
  <si>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</si>
  <si>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</si>
  <si>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</si>
  <si>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</si>
  <si>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</si>
  <si>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</si>
  <si>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</si>
  <si>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</si>
  <si>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</si>
  <si>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</si>
  <si>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</si>
  <si>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</si>
  <si>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</si>
  <si>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</si>
  <si>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</si>
  <si>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</si>
  <si>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</si>
  <si>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</si>
  <si>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</si>
  <si>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</si>
  <si>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</si>
  <si>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</si>
  <si>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</si>
  <si>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</si>
  <si>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</si>
  <si>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</si>
  <si>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</si>
  <si>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</si>
  <si>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</si>
  <si>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</si>
  <si>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</si>
  <si>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</si>
  <si>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</si>
  <si>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</si>
  <si>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</si>
  <si>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</si>
  <si>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</si>
  <si>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</si>
  <si>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</si>
  <si>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</si>
  <si>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</si>
  <si>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</si>
  <si>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</si>
  <si>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</si>
  <si>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</si>
  <si>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</si>
  <si>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</si>
  <si>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</si>
  <si>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</si>
  <si>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</si>
  <si>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</si>
  <si>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</si>
  <si>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</si>
  <si>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</si>
  <si>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</si>
  <si>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</si>
  <si>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</si>
  <si>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</si>
  <si>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</si>
  <si>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</si>
  <si>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</si>
  <si>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</si>
  <si>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</si>
  <si>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</si>
  <si>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</si>
  <si>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</si>
  <si>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</si>
  <si>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</si>
  <si>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</si>
  <si>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</si>
  <si>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</si>
  <si>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</si>
  <si>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</si>
  <si>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</si>
  <si>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</si>
  <si>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</si>
  <si>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</si>
  <si>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</si>
  <si>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</si>
  <si>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</si>
  <si>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</si>
  <si>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</si>
  <si>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</si>
  <si>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</si>
  <si>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</si>
  <si>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</si>
  <si>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</si>
  <si>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</si>
  <si>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</si>
  <si>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</si>
  <si>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</si>
  <si>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</si>
  <si>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</si>
  <si>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</si>
  <si>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</si>
  <si>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</si>
  <si>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</si>
  <si>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</si>
  <si>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</si>
  <si>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</si>
  <si>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</si>
  <si>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</si>
  <si>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</si>
  <si>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</si>
  <si>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</si>
  <si>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</si>
  <si>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</si>
  <si>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</si>
  <si>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</si>
  <si>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</si>
  <si>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</si>
  <si>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</si>
  <si>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</si>
  <si>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</si>
  <si>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</si>
  <si>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</si>
  <si>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</si>
  <si>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</si>
  <si>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</si>
  <si>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</si>
  <si>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</si>
  <si>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</si>
  <si>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</si>
  <si>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</si>
  <si>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</si>
  <si>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</si>
  <si>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</si>
  <si>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</si>
  <si>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</si>
  <si>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</si>
  <si>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</si>
  <si>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</si>
  <si>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</si>
  <si>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</si>
  <si>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</si>
  <si>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</si>
  <si>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</si>
  <si>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</si>
  <si>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</si>
  <si>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</si>
  <si>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</si>
  <si>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</si>
  <si>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</si>
  <si>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</si>
  <si>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</si>
  <si>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</si>
  <si>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</si>
  <si>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</si>
  <si>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</si>
  <si>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</si>
  <si>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</si>
  <si>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</si>
  <si>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</si>
  <si>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</si>
  <si>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</si>
  <si>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</si>
  <si>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</si>
  <si>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</si>
  <si>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</si>
  <si>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</si>
  <si>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</si>
  <si>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</si>
  <si>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</si>
  <si>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</si>
  <si>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</si>
  <si>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</si>
  <si>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</si>
  <si>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</si>
  <si>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</si>
  <si>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</si>
  <si>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</si>
  <si>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</si>
  <si>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</si>
  <si>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</si>
  <si>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</si>
  <si>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</si>
  <si>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</si>
  <si>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</si>
  <si>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</si>
  <si>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</si>
  <si>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</si>
  <si>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</si>
  <si>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</si>
  <si>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</si>
  <si>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</si>
  <si>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</si>
  <si>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</si>
  <si>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</si>
  <si>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</si>
  <si>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</si>
  <si>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</si>
  <si>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</si>
  <si>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</si>
  <si>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</si>
  <si>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</si>
  <si>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</si>
  <si>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</si>
  <si>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</si>
  <si>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</si>
  <si>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</si>
  <si>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</si>
  <si>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</si>
  <si>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</si>
  <si>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</si>
  <si>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</si>
  <si>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</si>
  <si>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</si>
  <si>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</si>
  <si>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</si>
  <si>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</si>
  <si>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</si>
  <si>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</si>
  <si>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</si>
  <si>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</si>
  <si>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</si>
  <si>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</si>
  <si>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</si>
  <si>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</si>
  <si>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</si>
  <si>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</si>
  <si>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</si>
  <si>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</si>
  <si>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</si>
  <si>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</si>
  <si>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</si>
  <si>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</si>
  <si>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</si>
  <si>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</si>
  <si>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</si>
  <si>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</si>
  <si>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</si>
  <si>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</si>
  <si>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</si>
  <si>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</si>
  <si>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</si>
  <si>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</si>
  <si>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 xml:space="preserve">Normal </t>
  </si>
  <si>
    <t xml:space="preserve">Emergency </t>
  </si>
  <si>
    <t xml:space="preserve">ATS 4 till power meter is for MDB 3 is replaced </t>
  </si>
  <si>
    <t xml:space="preserve">Difference </t>
  </si>
  <si>
    <t>6/31/2021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</si>
</sst>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70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10" fontId="0" fillId="0" borderId="43" xfId="4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10" fontId="0" fillId="0" borderId="0" xfId="4" applyNumberFormat="1" applyFont="1"/>
    <xf numFmtId="10" fontId="0" fillId="0" borderId="0" xfId="4" applyNumberFormat="1" applyFont="1" applyBorder="1"/>
    <xf numFmtId="0" fontId="0" fillId="0" borderId="1" xfId="0" applyBorder="1" applyAlignment="1">
      <alignment horizontal="center" vertical="center"/>
    </xf>
    <xf numFmtId="0" fontId="0" fillId="2" borderId="0" xfId="0" applyFont="1" applyFill="1" applyBorder="1" applyAlignment="1">
      <alignment wrapText="1"/>
    </xf>
    <xf numFmtId="0" fontId="0" fillId="2" borderId="0" xfId="0" applyFont="1" applyFill="1" applyBorder="1"/>
    <xf numFmtId="14" fontId="0" fillId="0" borderId="75" xfId="0" applyNumberFormat="1" applyBorder="1" applyAlignment="1">
      <alignment horizontal="left"/>
    </xf>
    <xf numFmtId="0" fontId="0" fillId="0" borderId="77" xfId="0" applyBorder="1" applyAlignment="1">
      <alignment horizontal="left"/>
    </xf>
    <xf numFmtId="0" fontId="0" fillId="0" borderId="78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43" fontId="0" fillId="0" borderId="43" xfId="0" applyNumberFormat="1" applyBorder="1" applyAlignment="1">
      <alignment horizontal="center"/>
    </xf>
    <xf numFmtId="43" fontId="0" fillId="24" borderId="43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14" fontId="0" fillId="27" borderId="1" xfId="0" applyNumberFormat="1" applyFill="1" applyBorder="1" applyAlignment="1">
      <alignment horizontal="center"/>
    </xf>
    <xf numFmtId="0" fontId="0" fillId="2" borderId="76" xfId="0" applyFill="1" applyBorder="1"/>
    <xf numFmtId="0" fontId="0" fillId="0" borderId="0" xfId="0" applyNumberFormat="1"/>
    <xf numFmtId="1" fontId="0" fillId="24" borderId="43" xfId="0" applyNumberFormat="1" applyFill="1" applyBorder="1" applyAlignment="1">
      <alignment horizontal="left" indent="1"/>
    </xf>
    <xf numFmtId="14" fontId="0" fillId="0" borderId="0" xfId="0" applyNumberForma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 vertical="center"/>
    </xf>
    <xf numFmtId="2" fontId="23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8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3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8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14" fontId="0" fillId="24" borderId="0" xfId="0" applyNumberFormat="1" applyFill="1" applyBorder="1" applyAlignment="1">
      <alignment horizontal="center"/>
    </xf>
    <xf numFmtId="0" fontId="0" fillId="24" borderId="0" xfId="0" applyFill="1" applyBorder="1" applyAlignment="1">
      <alignment horizontal="center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0" fontId="21" fillId="24" borderId="0" xfId="0" applyNumberFormat="1" applyFont="1" applyFill="1" applyBorder="1" applyAlignment="1">
      <alignment vertical="top" wrapText="1"/>
    </xf>
    <xf numFmtId="4" fontId="21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43" fontId="0" fillId="24" borderId="0" xfId="0" applyNumberFormat="1" applyFill="1" applyBorder="1"/>
    <xf numFmtId="43" fontId="23" fillId="24" borderId="0" xfId="0" applyNumberFormat="1" applyFont="1" applyFill="1" applyBorder="1"/>
    <xf numFmtId="0" fontId="0" fillId="24" borderId="0" xfId="0" applyFill="1" applyBorder="1"/>
    <xf numFmtId="0" fontId="0" fillId="24" borderId="0" xfId="0" applyFill="1"/>
    <xf numFmtId="2" fontId="0" fillId="0" borderId="0" xfId="4" applyNumberFormat="1" applyFont="1"/>
    <xf numFmtId="1" fontId="0" fillId="0" borderId="0" xfId="4" applyNumberFormat="1" applyFont="1"/>
    <xf numFmtId="0" fontId="0" fillId="0" borderId="1" xfId="0" applyBorder="1" applyAlignment="1">
      <alignment horizontal="center" vertical="center"/>
    </xf>
    <xf numFmtId="0" fontId="0" fillId="2" borderId="73" xfId="0" applyFont="1" applyFill="1" applyBorder="1" applyAlignment="1">
      <alignment horizontal="center"/>
    </xf>
    <xf numFmtId="0" fontId="0" fillId="2" borderId="74" xfId="0" applyFont="1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  <xf numFmtId="1" fontId="0" fillId="30" borderId="7" xfId="0" applyNumberFormat="1" applyFill="1" applyBorder="1" applyAlignment="1">
      <alignment horizontal="left" vertical="center"/>
    </xf>
    <xf numFmtId="1" fontId="0" fillId="2" borderId="7" xfId="0" applyNumberFormat="1" applyFill="1" applyBorder="1" applyAlignment="1">
      <alignment horizontal="left" vertical="center"/>
    </xf>
    <xf numFmtId="1" fontId="23" fillId="2" borderId="7" xfId="0" applyNumberFormat="1" applyFont="1" applyFill="1" applyBorder="1" applyAlignment="1">
      <alignment horizontal="left"/>
    </xf>
    <xf numFmtId="173" fontId="0" fillId="30" borderId="7" xfId="0" applyNumberFormat="1" applyFill="1" applyBorder="1" applyAlignment="1">
      <alignment horizontal="left" vertical="center"/>
    </xf>
    <xf numFmtId="0" fontId="0" fillId="0" borderId="15" xfId="0" applyBorder="1" applyAlignment="1">
      <alignment horizontal="center" vertical="center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17085.799999999814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11907</c:v>
                </c:pt>
                <c:pt idx="5">
                  <c:v>4047</c:v>
                </c:pt>
                <c:pt idx="6">
                  <c:v>15086</c:v>
                </c:pt>
                <c:pt idx="7">
                  <c:v>15446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08923520"/>
        <c:axId val="109883776"/>
      </c:lineChart>
      <c:catAx>
        <c:axId val="108923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883776"/>
        <c:crosses val="autoZero"/>
        <c:auto val="1"/>
        <c:lblAlgn val="ctr"/>
        <c:lblOffset val="100"/>
      </c:catAx>
      <c:valAx>
        <c:axId val="1098837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923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392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619</c:v>
                </c:pt>
                <c:pt idx="7">
                  <c:v>190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09900160"/>
        <c:axId val="109901696"/>
      </c:lineChart>
      <c:catAx>
        <c:axId val="109900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901696"/>
        <c:crosses val="autoZero"/>
        <c:auto val="1"/>
        <c:lblAlgn val="ctr"/>
        <c:lblOffset val="100"/>
      </c:catAx>
      <c:valAx>
        <c:axId val="109901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900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6599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09991808"/>
        <c:axId val="109993344"/>
      </c:lineChart>
      <c:catAx>
        <c:axId val="109991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993344"/>
        <c:crosses val="autoZero"/>
        <c:auto val="1"/>
        <c:lblAlgn val="ctr"/>
        <c:lblOffset val="100"/>
      </c:catAx>
      <c:valAx>
        <c:axId val="10999334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991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1999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10013824"/>
        <c:axId val="110032000"/>
      </c:lineChart>
      <c:catAx>
        <c:axId val="110013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032000"/>
        <c:crosses val="autoZero"/>
        <c:auto val="1"/>
        <c:lblAlgn val="ctr"/>
        <c:lblOffset val="100"/>
      </c:catAx>
      <c:valAx>
        <c:axId val="1100320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013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3237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256.81818181818181</c:v>
                </c:pt>
                <c:pt idx="4">
                  <c:v>264.375</c:v>
                </c:pt>
                <c:pt idx="5">
                  <c:v>241.71428571428572</c:v>
                </c:pt>
                <c:pt idx="6">
                  <c:v>239.85714285714286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10077056"/>
        <c:axId val="110078592"/>
      </c:lineChart>
      <c:catAx>
        <c:axId val="110077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078592"/>
        <c:crosses val="autoZero"/>
        <c:auto val="1"/>
        <c:lblAlgn val="ctr"/>
        <c:lblOffset val="100"/>
      </c:catAx>
      <c:valAx>
        <c:axId val="11007859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077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6111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10353408"/>
        <c:axId val="110113536"/>
      </c:lineChart>
      <c:catAx>
        <c:axId val="110353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113536"/>
        <c:crosses val="autoZero"/>
        <c:auto val="1"/>
        <c:lblAlgn val="ctr"/>
        <c:lblOffset val="100"/>
      </c:catAx>
      <c:valAx>
        <c:axId val="110113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353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10146304"/>
        <c:axId val="110147840"/>
      </c:lineChart>
      <c:catAx>
        <c:axId val="110146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147840"/>
        <c:crosses val="autoZero"/>
        <c:auto val="1"/>
        <c:lblAlgn val="ctr"/>
        <c:lblOffset val="100"/>
      </c:catAx>
      <c:valAx>
        <c:axId val="1101478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146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10573824"/>
        <c:axId val="110583808"/>
      </c:lineChart>
      <c:catAx>
        <c:axId val="110573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583808"/>
        <c:crosses val="autoZero"/>
        <c:auto val="1"/>
        <c:lblAlgn val="ctr"/>
        <c:lblOffset val="100"/>
      </c:catAx>
      <c:valAx>
        <c:axId val="1105838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573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28.5</c:v>
                </c:pt>
                <c:pt idx="5">
                  <c:v>28.5</c:v>
                </c:pt>
                <c:pt idx="6">
                  <c:v>27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10620672"/>
        <c:axId val="110622208"/>
      </c:lineChart>
      <c:catAx>
        <c:axId val="110620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622208"/>
        <c:crosses val="autoZero"/>
        <c:auto val="1"/>
        <c:lblAlgn val="ctr"/>
        <c:lblOffset val="100"/>
      </c:catAx>
      <c:valAx>
        <c:axId val="1106222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620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0169"/>
          <c:w val="0.12724033151774919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10515712"/>
        <c:axId val="110517248"/>
      </c:lineChart>
      <c:catAx>
        <c:axId val="110515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517248"/>
        <c:crosses val="autoZero"/>
        <c:auto val="1"/>
        <c:lblAlgn val="ctr"/>
        <c:lblOffset val="100"/>
      </c:catAx>
      <c:valAx>
        <c:axId val="110517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515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</c:v>
                </c:pt>
                <c:pt idx="4">
                  <c:v>6</c:v>
                </c:pt>
                <c:pt idx="5">
                  <c:v>23</c:v>
                </c:pt>
                <c:pt idx="6">
                  <c:v>22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10652416"/>
        <c:axId val="110678784"/>
      </c:lineChart>
      <c:catAx>
        <c:axId val="110652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678784"/>
        <c:crosses val="autoZero"/>
        <c:auto val="1"/>
        <c:lblAlgn val="ctr"/>
        <c:lblOffset val="100"/>
      </c:catAx>
      <c:valAx>
        <c:axId val="11067878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652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392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619</c:v>
                </c:pt>
                <c:pt idx="7">
                  <c:v>190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09712512"/>
        <c:axId val="109714048"/>
      </c:lineChart>
      <c:catAx>
        <c:axId val="109712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714048"/>
        <c:crosses val="autoZero"/>
        <c:auto val="1"/>
        <c:lblAlgn val="ctr"/>
        <c:lblOffset val="100"/>
      </c:catAx>
      <c:valAx>
        <c:axId val="1097140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712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1882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203.40000000002328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117</c:v>
                </c:pt>
                <c:pt idx="5">
                  <c:v>52</c:v>
                </c:pt>
                <c:pt idx="6">
                  <c:v>164</c:v>
                </c:pt>
                <c:pt idx="7">
                  <c:v>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11102976"/>
        <c:axId val="111104768"/>
      </c:lineChart>
      <c:catAx>
        <c:axId val="111102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104768"/>
        <c:crosses val="autoZero"/>
        <c:auto val="1"/>
        <c:lblAlgn val="ctr"/>
        <c:lblOffset val="100"/>
      </c:catAx>
      <c:valAx>
        <c:axId val="1111047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102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0169"/>
          <c:w val="0.13541688538936381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11047424"/>
        <c:axId val="111048960"/>
      </c:lineChart>
      <c:catAx>
        <c:axId val="111047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048960"/>
        <c:crosses val="autoZero"/>
        <c:auto val="1"/>
        <c:lblAlgn val="ctr"/>
        <c:lblOffset val="100"/>
      </c:catAx>
      <c:valAx>
        <c:axId val="1110489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047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0169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17085.799999999814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11907</c:v>
                </c:pt>
                <c:pt idx="5">
                  <c:v>4047</c:v>
                </c:pt>
                <c:pt idx="6">
                  <c:v>15086</c:v>
                </c:pt>
                <c:pt idx="7">
                  <c:v>15446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11073920"/>
        <c:axId val="111280512"/>
      </c:lineChart>
      <c:catAx>
        <c:axId val="111073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280512"/>
        <c:crosses val="autoZero"/>
        <c:auto val="1"/>
        <c:lblAlgn val="ctr"/>
        <c:lblOffset val="100"/>
      </c:catAx>
      <c:valAx>
        <c:axId val="1112805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073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392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619</c:v>
                </c:pt>
                <c:pt idx="7">
                  <c:v>190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11321472"/>
        <c:axId val="111323008"/>
      </c:lineChart>
      <c:catAx>
        <c:axId val="111321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323008"/>
        <c:crosses val="autoZero"/>
        <c:auto val="1"/>
        <c:lblAlgn val="ctr"/>
        <c:lblOffset val="100"/>
      </c:catAx>
      <c:valAx>
        <c:axId val="1113230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321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0169"/>
          <c:w val="0.13541688538936381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</c:v>
                </c:pt>
                <c:pt idx="4">
                  <c:v>6</c:v>
                </c:pt>
                <c:pt idx="5">
                  <c:v>23</c:v>
                </c:pt>
                <c:pt idx="6">
                  <c:v>22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11343488"/>
        <c:axId val="111345024"/>
      </c:lineChart>
      <c:catAx>
        <c:axId val="111343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345024"/>
        <c:crosses val="autoZero"/>
        <c:auto val="1"/>
        <c:lblAlgn val="ctr"/>
        <c:lblOffset val="100"/>
      </c:catAx>
      <c:valAx>
        <c:axId val="11134502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343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4885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0</c:v>
                </c:pt>
                <c:pt idx="1">
                  <c:v>-9.4516129032199387</c:v>
                </c:pt>
                <c:pt idx="2">
                  <c:v>0</c:v>
                </c:pt>
                <c:pt idx="3">
                  <c:v>-1223.5161290322721</c:v>
                </c:pt>
                <c:pt idx="4">
                  <c:v>-2076.7419354838567</c:v>
                </c:pt>
                <c:pt idx="5">
                  <c:v>-3886.5161290322649</c:v>
                </c:pt>
                <c:pt idx="6">
                  <c:v>-5143.5161290322576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11377792"/>
        <c:axId val="111383680"/>
      </c:lineChart>
      <c:catAx>
        <c:axId val="111377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383680"/>
        <c:crosses val="autoZero"/>
        <c:auto val="1"/>
        <c:lblAlgn val="ctr"/>
        <c:lblOffset val="100"/>
      </c:catAx>
      <c:valAx>
        <c:axId val="1113836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377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11404544"/>
        <c:axId val="111406080"/>
      </c:lineChart>
      <c:catAx>
        <c:axId val="111404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406080"/>
        <c:crosses val="autoZero"/>
        <c:auto val="1"/>
        <c:lblAlgn val="ctr"/>
        <c:lblOffset val="100"/>
      </c:catAx>
      <c:valAx>
        <c:axId val="1114060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404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6425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11442944"/>
        <c:axId val="111457024"/>
      </c:lineChart>
      <c:catAx>
        <c:axId val="111442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457024"/>
        <c:crosses val="autoZero"/>
        <c:auto val="1"/>
        <c:lblAlgn val="ctr"/>
        <c:lblOffset val="100"/>
      </c:catAx>
      <c:valAx>
        <c:axId val="11145702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442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0712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11555328"/>
        <c:axId val="111556864"/>
      </c:lineChart>
      <c:catAx>
        <c:axId val="111555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556864"/>
        <c:crosses val="autoZero"/>
        <c:auto val="1"/>
        <c:lblAlgn val="ctr"/>
        <c:lblOffset val="100"/>
      </c:catAx>
      <c:valAx>
        <c:axId val="1115568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555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11593728"/>
        <c:axId val="111595520"/>
      </c:lineChart>
      <c:catAx>
        <c:axId val="111593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595520"/>
        <c:crosses val="autoZero"/>
        <c:auto val="1"/>
        <c:lblAlgn val="ctr"/>
        <c:lblOffset val="100"/>
      </c:catAx>
      <c:valAx>
        <c:axId val="1115955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593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2195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11632384"/>
        <c:axId val="111633920"/>
      </c:lineChart>
      <c:catAx>
        <c:axId val="111632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633920"/>
        <c:crosses val="autoZero"/>
        <c:auto val="1"/>
        <c:lblAlgn val="ctr"/>
        <c:lblOffset val="100"/>
      </c:catAx>
      <c:valAx>
        <c:axId val="1116339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632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0169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28.5</c:v>
                </c:pt>
                <c:pt idx="5">
                  <c:v>28.5</c:v>
                </c:pt>
                <c:pt idx="6">
                  <c:v>27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11810048"/>
        <c:axId val="111811584"/>
      </c:lineChart>
      <c:catAx>
        <c:axId val="111810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811584"/>
        <c:crosses val="autoZero"/>
        <c:auto val="1"/>
        <c:lblAlgn val="ctr"/>
        <c:lblOffset val="100"/>
      </c:catAx>
      <c:valAx>
        <c:axId val="1118115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810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3237"/>
          <c:w val="0.12343118198093674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11849856"/>
        <c:axId val="111851392"/>
      </c:lineChart>
      <c:catAx>
        <c:axId val="11184985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851392"/>
        <c:crosses val="autoZero"/>
        <c:auto val="1"/>
        <c:lblAlgn val="ctr"/>
        <c:lblOffset val="100"/>
      </c:catAx>
      <c:valAx>
        <c:axId val="11185139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849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8619"/>
          <c:w val="0.15690398532823027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256.81818181818181</c:v>
                </c:pt>
                <c:pt idx="4">
                  <c:v>264.375</c:v>
                </c:pt>
                <c:pt idx="5">
                  <c:v>241.71428571428572</c:v>
                </c:pt>
                <c:pt idx="6">
                  <c:v>239.85714285714286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11683072"/>
        <c:axId val="111684608"/>
      </c:lineChart>
      <c:catAx>
        <c:axId val="111683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684608"/>
        <c:crosses val="autoZero"/>
        <c:auto val="1"/>
        <c:lblAlgn val="ctr"/>
        <c:lblOffset val="100"/>
      </c:catAx>
      <c:valAx>
        <c:axId val="11168460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683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2077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28.5</c:v>
                </c:pt>
                <c:pt idx="5">
                  <c:v>28.5</c:v>
                </c:pt>
                <c:pt idx="6">
                  <c:v>27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11906176"/>
        <c:axId val="111916160"/>
      </c:lineChart>
      <c:catAx>
        <c:axId val="111906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916160"/>
        <c:crosses val="autoZero"/>
        <c:auto val="1"/>
        <c:lblAlgn val="ctr"/>
        <c:lblOffset val="100"/>
      </c:catAx>
      <c:valAx>
        <c:axId val="1119161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906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5966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11233664"/>
        <c:axId val="111235456"/>
      </c:lineChart>
      <c:catAx>
        <c:axId val="11123366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235456"/>
        <c:crosses val="autoZero"/>
        <c:auto val="1"/>
        <c:lblAlgn val="ctr"/>
        <c:lblOffset val="100"/>
      </c:catAx>
      <c:valAx>
        <c:axId val="11123545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233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8619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35</xdr:row>
      <xdr:rowOff>46505</xdr:rowOff>
    </xdr:from>
    <xdr:to>
      <xdr:col>21</xdr:col>
      <xdr:colOff>289111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NE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une%202021/01.06.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l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ly%20202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  <cell r="D33">
            <v>32911138</v>
          </cell>
          <cell r="E33">
            <v>3721</v>
          </cell>
          <cell r="F33">
            <v>4052232</v>
          </cell>
          <cell r="G33">
            <v>732.79999999981374</v>
          </cell>
          <cell r="H33">
            <v>17915194</v>
          </cell>
          <cell r="I33">
            <v>1092</v>
          </cell>
          <cell r="J33">
            <v>29262634</v>
          </cell>
          <cell r="K33">
            <v>8912</v>
          </cell>
          <cell r="L33">
            <v>24306358</v>
          </cell>
          <cell r="M33">
            <v>2628</v>
          </cell>
          <cell r="N33">
            <v>17085.799999999814</v>
          </cell>
          <cell r="O33">
            <v>0</v>
          </cell>
          <cell r="P33">
            <v>17599.473000000002</v>
          </cell>
          <cell r="Q33">
            <v>16832.000000002154</v>
          </cell>
          <cell r="R33">
            <v>253.79999999766005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32816</v>
          </cell>
          <cell r="X33">
            <v>22</v>
          </cell>
          <cell r="Y33">
            <v>830547</v>
          </cell>
          <cell r="Z33">
            <v>5871</v>
          </cell>
          <cell r="AA33">
            <v>36188</v>
          </cell>
          <cell r="AB33">
            <v>0</v>
          </cell>
          <cell r="AC33">
            <v>1015441</v>
          </cell>
          <cell r="AD33">
            <v>0</v>
          </cell>
          <cell r="AE33">
            <v>22</v>
          </cell>
          <cell r="AF33">
            <v>5871</v>
          </cell>
          <cell r="AG33">
            <v>266.86363636363637</v>
          </cell>
          <cell r="AI33">
            <v>-1073644.2000000023</v>
          </cell>
          <cell r="AK33">
            <v>479641</v>
          </cell>
          <cell r="AL33">
            <v>437905</v>
          </cell>
        </row>
      </sheetData>
      <sheetData sheetId="3">
        <row r="34">
          <cell r="B34">
            <v>109</v>
          </cell>
          <cell r="C34">
            <v>116</v>
          </cell>
          <cell r="D34">
            <v>19</v>
          </cell>
          <cell r="E34">
            <v>159.22000000000003</v>
          </cell>
          <cell r="F34">
            <v>1855</v>
          </cell>
          <cell r="G34">
            <v>1</v>
          </cell>
          <cell r="H34">
            <v>14460</v>
          </cell>
          <cell r="I34">
            <v>73</v>
          </cell>
          <cell r="J34">
            <v>73</v>
          </cell>
          <cell r="K34">
            <v>2343</v>
          </cell>
          <cell r="L34">
            <v>0</v>
          </cell>
          <cell r="M34">
            <v>172912</v>
          </cell>
          <cell r="N34">
            <v>70</v>
          </cell>
          <cell r="O34">
            <v>1869</v>
          </cell>
          <cell r="P34">
            <v>2111</v>
          </cell>
          <cell r="Q34">
            <v>177340</v>
          </cell>
          <cell r="R34">
            <v>0</v>
          </cell>
          <cell r="S34">
            <v>0</v>
          </cell>
          <cell r="T34">
            <v>0</v>
          </cell>
          <cell r="U34">
            <v>1</v>
          </cell>
          <cell r="V34">
            <v>143</v>
          </cell>
          <cell r="X34">
            <v>2470</v>
          </cell>
          <cell r="Y34">
            <v>0</v>
          </cell>
          <cell r="Z34">
            <v>139101.4</v>
          </cell>
          <cell r="AA34">
            <v>0</v>
          </cell>
          <cell r="AB34">
            <v>0</v>
          </cell>
          <cell r="AC34">
            <v>1940</v>
          </cell>
          <cell r="AD34">
            <v>0</v>
          </cell>
          <cell r="AE34">
            <v>365916.4</v>
          </cell>
          <cell r="AF34">
            <v>60.400000000023283</v>
          </cell>
          <cell r="AG34">
            <v>0</v>
          </cell>
          <cell r="AH34">
            <v>60.400000000023283</v>
          </cell>
          <cell r="AI34">
            <v>203.40000000002328</v>
          </cell>
          <cell r="AJ34">
            <v>203.40000000002328</v>
          </cell>
          <cell r="AK34">
            <v>0</v>
          </cell>
          <cell r="AL34">
            <v>1</v>
          </cell>
          <cell r="AM34">
            <v>0</v>
          </cell>
          <cell r="AN34">
            <v>65</v>
          </cell>
          <cell r="AO34">
            <v>1950</v>
          </cell>
          <cell r="AP34">
            <v>55</v>
          </cell>
          <cell r="AQ34">
            <v>1650.0000000000002</v>
          </cell>
          <cell r="AR34">
            <v>61</v>
          </cell>
          <cell r="AS34">
            <v>1830</v>
          </cell>
          <cell r="AT34">
            <v>5430</v>
          </cell>
          <cell r="AU34">
            <v>0</v>
          </cell>
          <cell r="AX34">
            <v>0.8</v>
          </cell>
        </row>
      </sheetData>
      <sheetData sheetId="4">
        <row r="35">
          <cell r="B35">
            <v>109443</v>
          </cell>
          <cell r="C35">
            <v>0</v>
          </cell>
          <cell r="D35">
            <v>0</v>
          </cell>
          <cell r="E35">
            <v>250</v>
          </cell>
          <cell r="G35">
            <v>622322</v>
          </cell>
          <cell r="H35">
            <v>418</v>
          </cell>
          <cell r="I35">
            <v>418</v>
          </cell>
          <cell r="J35">
            <v>0.59808612440191389</v>
          </cell>
          <cell r="K35">
            <v>6796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T35">
            <v>5172</v>
          </cell>
          <cell r="U35">
            <v>0</v>
          </cell>
          <cell r="V35">
            <v>475</v>
          </cell>
          <cell r="W35">
            <v>0</v>
          </cell>
          <cell r="X35">
            <v>152830</v>
          </cell>
          <cell r="Y35">
            <v>78</v>
          </cell>
          <cell r="Z35">
            <v>98991</v>
          </cell>
          <cell r="AA35">
            <v>0</v>
          </cell>
          <cell r="AB35">
            <v>261</v>
          </cell>
          <cell r="AC35">
            <v>731</v>
          </cell>
          <cell r="AD35">
            <v>0</v>
          </cell>
          <cell r="AE35">
            <v>230.2</v>
          </cell>
          <cell r="AF35">
            <v>0</v>
          </cell>
          <cell r="AG35">
            <v>2210.36</v>
          </cell>
          <cell r="AH35">
            <v>0</v>
          </cell>
          <cell r="AI35">
            <v>0</v>
          </cell>
          <cell r="AJ35">
            <v>0</v>
          </cell>
          <cell r="AK35">
            <v>78</v>
          </cell>
          <cell r="AL35">
            <v>0</v>
          </cell>
          <cell r="AM35">
            <v>0</v>
          </cell>
          <cell r="AN35">
            <v>0</v>
          </cell>
          <cell r="AP35">
            <v>0</v>
          </cell>
          <cell r="AS35">
            <v>0.9</v>
          </cell>
          <cell r="AT35">
            <v>193</v>
          </cell>
          <cell r="AU35">
            <v>1.1000000000000001</v>
          </cell>
          <cell r="AV35">
            <v>70</v>
          </cell>
          <cell r="AW35">
            <v>2.9</v>
          </cell>
          <cell r="AX35">
            <v>102</v>
          </cell>
          <cell r="AY35">
            <v>173.70000000000002</v>
          </cell>
          <cell r="AZ35">
            <v>77</v>
          </cell>
          <cell r="BA35">
            <v>295.8</v>
          </cell>
          <cell r="BB35">
            <v>126.00000000000001</v>
          </cell>
          <cell r="BC35">
            <v>-6.6000000000000085</v>
          </cell>
          <cell r="BD35">
            <v>58.000000000000028</v>
          </cell>
          <cell r="BE35">
            <v>177.40000000000003</v>
          </cell>
          <cell r="BF35">
            <v>240.59999999999997</v>
          </cell>
          <cell r="BG35">
            <v>177.40000000000003</v>
          </cell>
        </row>
      </sheetData>
      <sheetData sheetId="5">
        <row r="32">
          <cell r="B32">
            <v>10421</v>
          </cell>
          <cell r="C32">
            <v>16</v>
          </cell>
          <cell r="D32">
            <v>459151</v>
          </cell>
          <cell r="E32">
            <v>1547.5999999999767</v>
          </cell>
          <cell r="F32">
            <v>96.724999999998545</v>
          </cell>
          <cell r="H32">
            <v>10492</v>
          </cell>
          <cell r="I32" t="str">
            <v>ok</v>
          </cell>
          <cell r="J32">
            <v>10698</v>
          </cell>
          <cell r="K32">
            <v>0</v>
          </cell>
          <cell r="L32">
            <v>357691</v>
          </cell>
          <cell r="M32">
            <v>0</v>
          </cell>
          <cell r="N32">
            <v>0</v>
          </cell>
          <cell r="P32">
            <v>10873</v>
          </cell>
          <cell r="Q32" t="str">
            <v>ok</v>
          </cell>
          <cell r="R32">
            <v>12534</v>
          </cell>
          <cell r="S32">
            <v>6</v>
          </cell>
          <cell r="T32">
            <v>57735</v>
          </cell>
          <cell r="U32">
            <v>1500</v>
          </cell>
          <cell r="V32">
            <v>250</v>
          </cell>
          <cell r="X32">
            <v>12559</v>
          </cell>
          <cell r="Y32" t="str">
            <v>ok</v>
          </cell>
          <cell r="Z32">
            <v>22</v>
          </cell>
          <cell r="AA32">
            <v>3047.5999999999767</v>
          </cell>
          <cell r="AB32">
            <v>346.72499999999854</v>
          </cell>
          <cell r="AC32">
            <v>138.52727272727168</v>
          </cell>
          <cell r="AD32">
            <v>16832.000000002154</v>
          </cell>
          <cell r="AE32">
            <v>765.09090909100701</v>
          </cell>
          <cell r="AF32">
            <v>0.47818181818187938</v>
          </cell>
          <cell r="AG32">
            <v>153.01818181820141</v>
          </cell>
          <cell r="AH32">
            <v>-14.490909090929733</v>
          </cell>
          <cell r="AI32">
            <v>4332.2869198317785</v>
          </cell>
          <cell r="AJ32">
            <v>0.25738396624472576</v>
          </cell>
          <cell r="AK32">
            <v>196.92213271962629</v>
          </cell>
        </row>
      </sheetData>
      <sheetData sheetId="6">
        <row r="35">
          <cell r="B35">
            <v>109</v>
          </cell>
          <cell r="C35">
            <v>2345.2580645161288</v>
          </cell>
          <cell r="D35">
            <v>109</v>
          </cell>
          <cell r="E35">
            <v>2345.2580645161288</v>
          </cell>
          <cell r="F35">
            <v>109</v>
          </cell>
          <cell r="G35">
            <v>2345.2580645161288</v>
          </cell>
          <cell r="H35">
            <v>109</v>
          </cell>
          <cell r="I35">
            <v>2345.2580645161288</v>
          </cell>
          <cell r="J35">
            <v>109</v>
          </cell>
          <cell r="K35">
            <v>2345.2580645161288</v>
          </cell>
          <cell r="L35">
            <v>109</v>
          </cell>
          <cell r="M35">
            <v>2345.2580645161288</v>
          </cell>
          <cell r="N35">
            <v>109</v>
          </cell>
          <cell r="O35">
            <v>2345.2580645161288</v>
          </cell>
          <cell r="P35">
            <v>109</v>
          </cell>
          <cell r="Q35">
            <v>2345.2580645161288</v>
          </cell>
          <cell r="R35">
            <v>109</v>
          </cell>
          <cell r="S35">
            <v>2345.2580645161288</v>
          </cell>
          <cell r="T35">
            <v>109</v>
          </cell>
          <cell r="U35">
            <v>2345.2580645161288</v>
          </cell>
          <cell r="V35">
            <v>109</v>
          </cell>
          <cell r="W35">
            <v>2345.2580645161288</v>
          </cell>
          <cell r="X35">
            <v>0.35161290322580641</v>
          </cell>
          <cell r="Y35">
            <v>25797.838709677417</v>
          </cell>
          <cell r="Z35">
            <v>116</v>
          </cell>
          <cell r="AA35">
            <v>1160</v>
          </cell>
          <cell r="AB35">
            <v>116</v>
          </cell>
          <cell r="AC35">
            <v>1160</v>
          </cell>
          <cell r="AD35">
            <v>116</v>
          </cell>
          <cell r="AE35">
            <v>1160</v>
          </cell>
          <cell r="AF35">
            <v>116</v>
          </cell>
          <cell r="AG35">
            <v>1160</v>
          </cell>
          <cell r="AH35">
            <v>116</v>
          </cell>
          <cell r="AI35">
            <v>1160</v>
          </cell>
          <cell r="AJ35">
            <v>116</v>
          </cell>
          <cell r="AK35">
            <v>1160</v>
          </cell>
          <cell r="AL35">
            <v>116</v>
          </cell>
          <cell r="AM35">
            <v>1160</v>
          </cell>
          <cell r="AN35">
            <v>0.41428571428571431</v>
          </cell>
          <cell r="AO35">
            <v>8120</v>
          </cell>
          <cell r="AQ35">
            <v>0.36482562880152108</v>
          </cell>
          <cell r="AR35">
            <v>33917.838709677417</v>
          </cell>
          <cell r="AS35">
            <v>-5471.8548387096744</v>
          </cell>
          <cell r="AV35">
            <v>1.1599999999999999</v>
          </cell>
          <cell r="AW35">
            <v>-203.40000000002328</v>
          </cell>
          <cell r="AX35">
            <v>-5268.4548387096511</v>
          </cell>
          <cell r="AY35">
            <v>-5471.8548387096744</v>
          </cell>
          <cell r="AZ35">
            <v>0</v>
          </cell>
          <cell r="BA35">
            <v>0</v>
          </cell>
          <cell r="BB35">
            <v>0</v>
          </cell>
        </row>
      </sheetData>
      <sheetData sheetId="7">
        <row r="26">
          <cell r="V26">
            <v>386167</v>
          </cell>
          <cell r="W26">
            <v>392065</v>
          </cell>
          <cell r="Y26">
            <v>80</v>
          </cell>
          <cell r="Z26">
            <v>1</v>
          </cell>
          <cell r="AA26">
            <v>5898</v>
          </cell>
          <cell r="AB26">
            <v>471840</v>
          </cell>
          <cell r="AC26">
            <v>1033333</v>
          </cell>
          <cell r="AD26">
            <v>0.36628990187554339</v>
          </cell>
        </row>
        <row r="27">
          <cell r="V27">
            <v>515542</v>
          </cell>
          <cell r="W27">
            <v>524114</v>
          </cell>
          <cell r="Y27">
            <v>112</v>
          </cell>
          <cell r="Z27">
            <v>1</v>
          </cell>
          <cell r="AA27">
            <v>8572</v>
          </cell>
          <cell r="AB27">
            <v>960064</v>
          </cell>
          <cell r="AC27">
            <v>6200000</v>
          </cell>
          <cell r="AD27">
            <v>0.5323562290398709</v>
          </cell>
        </row>
        <row r="28">
          <cell r="V28">
            <v>156087</v>
          </cell>
          <cell r="W28">
            <v>157717</v>
          </cell>
          <cell r="Y28">
            <v>320</v>
          </cell>
          <cell r="Z28">
            <v>1</v>
          </cell>
          <cell r="AA28">
            <v>1630</v>
          </cell>
          <cell r="AB28">
            <v>521600</v>
          </cell>
          <cell r="AC28">
            <v>1000</v>
          </cell>
          <cell r="AD28">
            <v>0.10122966091168799</v>
          </cell>
          <cell r="AE28">
            <v>26080</v>
          </cell>
          <cell r="AF28">
            <v>115497.14285714286</v>
          </cell>
        </row>
        <row r="29">
          <cell r="AA29">
            <v>16100</v>
          </cell>
          <cell r="AC29">
            <v>7234333</v>
          </cell>
        </row>
        <row r="30">
          <cell r="W30">
            <v>0</v>
          </cell>
          <cell r="AB30">
            <v>1953504</v>
          </cell>
        </row>
        <row r="33">
          <cell r="B33">
            <v>1073898</v>
          </cell>
          <cell r="C33">
            <v>392</v>
          </cell>
          <cell r="D33">
            <v>390</v>
          </cell>
          <cell r="E33">
            <v>1073896</v>
          </cell>
          <cell r="F33">
            <v>157717</v>
          </cell>
          <cell r="G33">
            <v>0</v>
          </cell>
          <cell r="H33">
            <v>524114</v>
          </cell>
          <cell r="I33">
            <v>361</v>
          </cell>
          <cell r="J33">
            <v>392065</v>
          </cell>
          <cell r="K33">
            <v>29</v>
          </cell>
          <cell r="L33">
            <v>0</v>
          </cell>
          <cell r="M33">
            <v>26.820563847429518</v>
          </cell>
          <cell r="N33">
            <v>1.5389718076285241</v>
          </cell>
          <cell r="O33">
            <v>159.96313985627418</v>
          </cell>
          <cell r="P33">
            <v>188.32267551133222</v>
          </cell>
          <cell r="Q33">
            <v>5623.699222119787</v>
          </cell>
          <cell r="R33">
            <v>5812.0218976311189</v>
          </cell>
          <cell r="S33">
            <v>17085.799999999814</v>
          </cell>
          <cell r="T33">
            <v>0.34016679919179565</v>
          </cell>
          <cell r="W33">
            <v>573</v>
          </cell>
          <cell r="X33">
            <v>20.464285714285715</v>
          </cell>
          <cell r="Y33">
            <v>20.464285714285715</v>
          </cell>
          <cell r="AB33">
            <v>9187837</v>
          </cell>
          <cell r="AC33">
            <v>7234333</v>
          </cell>
        </row>
        <row r="34">
          <cell r="AB34">
            <v>0</v>
          </cell>
          <cell r="AC34">
            <v>0</v>
          </cell>
        </row>
        <row r="36">
          <cell r="AB36">
            <v>6094.7509121061357</v>
          </cell>
        </row>
      </sheetData>
      <sheetData sheetId="8"/>
      <sheetData sheetId="9">
        <row r="35">
          <cell r="D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</row>
      </sheetData>
      <sheetData sheetId="10"/>
      <sheetData sheetId="11"/>
      <sheetData sheetId="12"/>
      <sheetData sheetId="13">
        <row r="35">
          <cell r="A35">
            <v>44377</v>
          </cell>
          <cell r="B35">
            <v>1.5</v>
          </cell>
          <cell r="C35">
            <v>7.8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6796</v>
          </cell>
        </row>
      </sheetData>
      <sheetData sheetId="14">
        <row r="10">
          <cell r="V10">
            <v>27</v>
          </cell>
          <cell r="W10">
            <v>21</v>
          </cell>
        </row>
        <row r="11">
          <cell r="V11">
            <v>26</v>
          </cell>
          <cell r="W11">
            <v>22</v>
          </cell>
        </row>
        <row r="12">
          <cell r="V12">
            <v>26</v>
          </cell>
          <cell r="W12">
            <v>23</v>
          </cell>
        </row>
        <row r="13">
          <cell r="V13">
            <v>27</v>
          </cell>
          <cell r="W13">
            <v>23</v>
          </cell>
        </row>
        <row r="14">
          <cell r="V14">
            <v>26</v>
          </cell>
          <cell r="W14">
            <v>20</v>
          </cell>
        </row>
        <row r="15">
          <cell r="V15">
            <v>26</v>
          </cell>
          <cell r="W15">
            <v>22</v>
          </cell>
        </row>
        <row r="16">
          <cell r="V16">
            <v>27</v>
          </cell>
          <cell r="W16">
            <v>23</v>
          </cell>
        </row>
        <row r="17">
          <cell r="V17">
            <v>27</v>
          </cell>
          <cell r="W17">
            <v>23</v>
          </cell>
        </row>
        <row r="18">
          <cell r="V18">
            <v>27</v>
          </cell>
          <cell r="W18">
            <v>22</v>
          </cell>
        </row>
        <row r="19">
          <cell r="V19">
            <v>27</v>
          </cell>
          <cell r="W19">
            <v>23</v>
          </cell>
        </row>
        <row r="20">
          <cell r="V20">
            <v>27</v>
          </cell>
          <cell r="W20">
            <v>25</v>
          </cell>
        </row>
        <row r="21">
          <cell r="V21">
            <v>27</v>
          </cell>
          <cell r="W21">
            <v>22</v>
          </cell>
        </row>
        <row r="22">
          <cell r="V22">
            <v>26</v>
          </cell>
          <cell r="W22">
            <v>21</v>
          </cell>
        </row>
        <row r="23">
          <cell r="V23">
            <v>26</v>
          </cell>
          <cell r="W23">
            <v>20</v>
          </cell>
        </row>
        <row r="24">
          <cell r="V24">
            <v>27</v>
          </cell>
          <cell r="W24">
            <v>22</v>
          </cell>
        </row>
        <row r="25">
          <cell r="V25">
            <v>27</v>
          </cell>
          <cell r="W25">
            <v>23</v>
          </cell>
        </row>
        <row r="26">
          <cell r="V26">
            <v>26</v>
          </cell>
          <cell r="W26">
            <v>23</v>
          </cell>
        </row>
        <row r="27">
          <cell r="V27">
            <v>27</v>
          </cell>
          <cell r="W27">
            <v>23</v>
          </cell>
        </row>
        <row r="28">
          <cell r="V28">
            <v>28</v>
          </cell>
          <cell r="W28">
            <v>25</v>
          </cell>
        </row>
        <row r="29">
          <cell r="V29">
            <v>27</v>
          </cell>
          <cell r="W29">
            <v>24</v>
          </cell>
        </row>
        <row r="30">
          <cell r="V30">
            <v>27</v>
          </cell>
          <cell r="W30">
            <v>24</v>
          </cell>
        </row>
        <row r="31">
          <cell r="V31">
            <v>26</v>
          </cell>
          <cell r="W31">
            <v>22</v>
          </cell>
        </row>
        <row r="32">
          <cell r="V32">
            <v>28</v>
          </cell>
          <cell r="W32">
            <v>26</v>
          </cell>
        </row>
        <row r="33">
          <cell r="V33">
            <v>28</v>
          </cell>
          <cell r="W33">
            <v>25</v>
          </cell>
        </row>
        <row r="34">
          <cell r="V34">
            <v>29</v>
          </cell>
          <cell r="W34">
            <v>27</v>
          </cell>
        </row>
        <row r="35">
          <cell r="V35">
            <v>30</v>
          </cell>
          <cell r="W35">
            <v>28</v>
          </cell>
        </row>
        <row r="36">
          <cell r="V36">
            <v>30</v>
          </cell>
          <cell r="W36">
            <v>28</v>
          </cell>
        </row>
        <row r="37">
          <cell r="V37">
            <v>31</v>
          </cell>
          <cell r="W37">
            <v>28</v>
          </cell>
        </row>
        <row r="38">
          <cell r="V38">
            <v>30</v>
          </cell>
          <cell r="W38">
            <v>28</v>
          </cell>
        </row>
        <row r="39">
          <cell r="V39">
            <v>0</v>
          </cell>
          <cell r="W39">
            <v>0</v>
          </cell>
        </row>
        <row r="43">
          <cell r="V43">
            <v>-18.3</v>
          </cell>
          <cell r="W43">
            <v>208.79999999999993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>
        <row r="35">
          <cell r="B35">
            <v>207</v>
          </cell>
        </row>
      </sheetData>
      <sheetData sheetId="4">
        <row r="36">
          <cell r="B36">
            <v>109443</v>
          </cell>
        </row>
      </sheetData>
      <sheetData sheetId="5">
        <row r="33">
          <cell r="B33">
            <v>10123</v>
          </cell>
        </row>
      </sheetData>
      <sheetData sheetId="6">
        <row r="36">
          <cell r="B36">
            <v>207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</row>
      </sheetData>
      <sheetData sheetId="7">
        <row r="26">
          <cell r="V26">
            <v>365756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B36">
            <v>1.5</v>
          </cell>
        </row>
      </sheetData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>
        <row r="6">
          <cell r="C6">
            <v>672</v>
          </cell>
        </row>
      </sheetData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  <row r="15">
          <cell r="C15">
            <v>8200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0</v>
          </cell>
        </row>
        <row r="15">
          <cell r="B15">
            <v>275.69999999999987</v>
          </cell>
        </row>
        <row r="16">
          <cell r="B16">
            <v>26.274193548387096</v>
          </cell>
        </row>
        <row r="17">
          <cell r="B17">
            <v>0.16777096774193551</v>
          </cell>
        </row>
        <row r="18">
          <cell r="B18">
            <v>563</v>
          </cell>
        </row>
        <row r="19">
          <cell r="B19">
            <v>18.161290322580644</v>
          </cell>
        </row>
      </sheetData>
      <sheetData sheetId="16" refreshError="1"/>
      <sheetData sheetId="17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7.xml"/><Relationship Id="rId4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opLeftCell="A3" workbookViewId="0">
      <selection activeCell="O32" sqref="O32"/>
    </sheetView>
  </sheetViews>
  <sheetFormatPr defaultColWidth="11.5703125" defaultRowHeight="15"/>
  <cols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90" bestFit="1" customWidth="1"/>
    <col min="13" max="13" width="12.28515625" style="290" customWidth="1"/>
    <col min="14" max="14" width="12.28515625" style="489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0" t="s">
        <v>353</v>
      </c>
      <c r="F1" s="270" t="s">
        <v>354</v>
      </c>
      <c r="G1" s="270" t="s">
        <v>355</v>
      </c>
      <c r="H1" s="270" t="s">
        <v>356</v>
      </c>
      <c r="I1" s="270" t="s">
        <v>357</v>
      </c>
      <c r="J1" s="270" t="s">
        <v>358</v>
      </c>
      <c r="K1" s="270" t="s">
        <v>359</v>
      </c>
      <c r="L1" s="302" t="s">
        <v>360</v>
      </c>
      <c r="M1" s="486" t="s">
        <v>401</v>
      </c>
      <c r="N1" s="487" t="s">
        <v>402</v>
      </c>
      <c r="O1" s="270" t="s">
        <v>344</v>
      </c>
    </row>
    <row r="2" spans="1:15">
      <c r="A2" t="s">
        <v>345</v>
      </c>
      <c r="B2">
        <v>1</v>
      </c>
      <c r="C2">
        <v>7</v>
      </c>
      <c r="D2">
        <v>2021</v>
      </c>
      <c r="E2" s="203">
        <f>ELEC!N4</f>
        <v>0</v>
      </c>
      <c r="F2" s="326">
        <f>SUM('EDl log'!T4)</f>
        <v>0</v>
      </c>
      <c r="G2" s="203">
        <f>-tanks!AW6</f>
        <v>0</v>
      </c>
      <c r="H2" s="326">
        <f>SUM(tanks!AV6)</f>
        <v>1.1599999999999999</v>
      </c>
      <c r="I2" s="10">
        <f>('B5'!AU5)*0.51</f>
        <v>0</v>
      </c>
      <c r="J2" s="306">
        <f>'B5'!AX5/0.51</f>
        <v>1.5686274509803921</v>
      </c>
      <c r="K2" s="203">
        <f>WATER!I6</f>
        <v>0</v>
      </c>
      <c r="L2" s="327">
        <f>SUM(WATER!J6)</f>
        <v>0</v>
      </c>
      <c r="M2" s="327">
        <f>WATER!Q6</f>
        <v>0</v>
      </c>
      <c r="N2" s="488">
        <v>0.6</v>
      </c>
      <c r="O2" s="10">
        <f>ELEC!B4</f>
        <v>0</v>
      </c>
    </row>
    <row r="3" spans="1:15">
      <c r="A3" t="s">
        <v>345</v>
      </c>
      <c r="B3">
        <f>B2+1</f>
        <v>2</v>
      </c>
      <c r="C3">
        <v>7</v>
      </c>
      <c r="D3">
        <v>2021</v>
      </c>
      <c r="E3" s="203">
        <f>ELEC!N5</f>
        <v>0</v>
      </c>
      <c r="F3" s="326">
        <f>SUM('EDl log'!T5)</f>
        <v>0</v>
      </c>
      <c r="G3" s="203">
        <f>-tanks!AW7</f>
        <v>0</v>
      </c>
      <c r="H3" s="326">
        <f>SUM(tanks!AV7)</f>
        <v>1.1200000000000001</v>
      </c>
      <c r="I3" s="10">
        <f>('B5'!AU6)*0.51</f>
        <v>0</v>
      </c>
      <c r="J3" s="306">
        <f>'B5'!AX6/0.51</f>
        <v>1.5686274509803921</v>
      </c>
      <c r="K3" s="203">
        <f>WATER!I7</f>
        <v>0</v>
      </c>
      <c r="L3" s="327">
        <f>SUM(WATER!J7)</f>
        <v>0</v>
      </c>
      <c r="M3" s="327">
        <f>WATER!Q7</f>
        <v>0</v>
      </c>
      <c r="N3" s="488">
        <v>0.6</v>
      </c>
      <c r="O3" s="10">
        <f>ELEC!B5</f>
        <v>0</v>
      </c>
    </row>
    <row r="4" spans="1:15">
      <c r="A4" t="s">
        <v>345</v>
      </c>
      <c r="B4">
        <f t="shared" ref="B4:B32" si="0">B3+1</f>
        <v>3</v>
      </c>
      <c r="C4">
        <v>7</v>
      </c>
      <c r="D4">
        <v>2021</v>
      </c>
      <c r="E4" s="203">
        <f>ELEC!N6</f>
        <v>0</v>
      </c>
      <c r="F4" s="326">
        <f>SUM('EDl log'!T6)</f>
        <v>0</v>
      </c>
      <c r="G4" s="203">
        <f>-tanks!AW8</f>
        <v>0</v>
      </c>
      <c r="H4" s="326">
        <f>SUM(tanks!AV8)</f>
        <v>1.1200000000000001</v>
      </c>
      <c r="I4" s="10">
        <f>('B5'!AU7)*0.51</f>
        <v>0</v>
      </c>
      <c r="J4" s="306">
        <f>'B5'!AX7/0.51</f>
        <v>1.5686274509803921</v>
      </c>
      <c r="K4" s="203">
        <f>WATER!I8</f>
        <v>0</v>
      </c>
      <c r="L4" s="327">
        <f>SUM(WATER!J8)</f>
        <v>0</v>
      </c>
      <c r="M4" s="327">
        <f>WATER!Q8</f>
        <v>0</v>
      </c>
      <c r="N4" s="488">
        <v>0.6</v>
      </c>
      <c r="O4" s="10">
        <f>ELEC!B6</f>
        <v>0</v>
      </c>
    </row>
    <row r="5" spans="1:15">
      <c r="A5" t="s">
        <v>345</v>
      </c>
      <c r="B5">
        <f t="shared" si="0"/>
        <v>4</v>
      </c>
      <c r="C5">
        <v>7</v>
      </c>
      <c r="D5">
        <v>2021</v>
      </c>
      <c r="E5" s="203">
        <f>ELEC!N7</f>
        <v>11907</v>
      </c>
      <c r="F5" s="326">
        <f>SUM('EDl log'!T7)</f>
        <v>0.14960794056000909</v>
      </c>
      <c r="G5" s="203">
        <f>-tanks!AW9</f>
        <v>117</v>
      </c>
      <c r="H5" s="326">
        <f>SUM(tanks!AV9)</f>
        <v>1.1200000000000001</v>
      </c>
      <c r="I5" s="10">
        <f>('B5'!AU8)*0.51</f>
        <v>0</v>
      </c>
      <c r="J5" s="306">
        <f>'B5'!AX8/0.51</f>
        <v>1.5686274509803921</v>
      </c>
      <c r="K5" s="203">
        <f>WATER!I9</f>
        <v>0</v>
      </c>
      <c r="L5" s="327">
        <f>SUM(WATER!J9)</f>
        <v>0</v>
      </c>
      <c r="M5" s="327">
        <f>WATER!Q9</f>
        <v>0</v>
      </c>
      <c r="N5" s="488">
        <v>0.6</v>
      </c>
      <c r="O5" s="10">
        <f>ELEC!B7</f>
        <v>0</v>
      </c>
    </row>
    <row r="6" spans="1:15">
      <c r="A6" t="s">
        <v>345</v>
      </c>
      <c r="B6">
        <f t="shared" si="0"/>
        <v>5</v>
      </c>
      <c r="C6">
        <v>7</v>
      </c>
      <c r="D6">
        <v>2021</v>
      </c>
      <c r="E6" s="203">
        <f>ELEC!N8</f>
        <v>4047</v>
      </c>
      <c r="F6" s="326">
        <f>SUM('EDl log'!T8)</f>
        <v>0.77370241752702196</v>
      </c>
      <c r="G6" s="203">
        <f>-tanks!AW10</f>
        <v>52</v>
      </c>
      <c r="H6" s="326">
        <f>SUM(tanks!AV10)</f>
        <v>1.1200000000000001</v>
      </c>
      <c r="I6" s="10">
        <f>('B5'!AU9)*0.51</f>
        <v>0</v>
      </c>
      <c r="J6" s="306">
        <f>'B5'!AX9/0.51</f>
        <v>1.5686274509803921</v>
      </c>
      <c r="K6" s="203">
        <f>WATER!I10</f>
        <v>0</v>
      </c>
      <c r="L6" s="327">
        <f>SUM(WATER!J10)</f>
        <v>0</v>
      </c>
      <c r="M6" s="327">
        <f>WATER!Q10</f>
        <v>0</v>
      </c>
      <c r="N6" s="488">
        <v>0.6</v>
      </c>
      <c r="O6" s="10">
        <f>ELEC!B8</f>
        <v>0</v>
      </c>
    </row>
    <row r="7" spans="1:15">
      <c r="A7" t="s">
        <v>345</v>
      </c>
      <c r="B7">
        <f t="shared" si="0"/>
        <v>6</v>
      </c>
      <c r="C7">
        <v>7</v>
      </c>
      <c r="D7">
        <v>2021</v>
      </c>
      <c r="E7" s="203">
        <f>ELEC!N9</f>
        <v>15086</v>
      </c>
      <c r="F7" s="326">
        <f>SUM('EDl log'!T9)</f>
        <v>0.37576870543582791</v>
      </c>
      <c r="G7" s="203">
        <f>-tanks!AW11</f>
        <v>164</v>
      </c>
      <c r="H7" s="326">
        <f>SUM(tanks!AV11)</f>
        <v>1.82</v>
      </c>
      <c r="I7" s="10">
        <f>('B5'!AU10)*0.51</f>
        <v>0</v>
      </c>
      <c r="J7" s="306">
        <f>'B5'!AX10/0.51</f>
        <v>1.5686274509803921</v>
      </c>
      <c r="K7" s="203">
        <f>WATER!I11</f>
        <v>179</v>
      </c>
      <c r="L7" s="327">
        <f>SUM(WATER!J11)</f>
        <v>1.3515948819607138</v>
      </c>
      <c r="M7" s="327">
        <f>WATER!Q11</f>
        <v>0</v>
      </c>
      <c r="N7" s="488">
        <v>0.6</v>
      </c>
      <c r="O7" s="10">
        <f>ELEC!B9</f>
        <v>0</v>
      </c>
    </row>
    <row r="8" spans="1:15">
      <c r="A8" t="s">
        <v>345</v>
      </c>
      <c r="B8">
        <f t="shared" si="0"/>
        <v>7</v>
      </c>
      <c r="C8">
        <v>7</v>
      </c>
      <c r="D8">
        <v>2021</v>
      </c>
      <c r="E8" s="203">
        <f>ELEC!N10</f>
        <v>15446</v>
      </c>
      <c r="F8" s="326">
        <f>SUM('EDl log'!T10)</f>
        <v>0.49612547498099607</v>
      </c>
      <c r="G8" s="203">
        <f>-tanks!AW12</f>
        <v>45</v>
      </c>
      <c r="H8" s="326">
        <f>SUM(tanks!AV12)</f>
        <v>1.82</v>
      </c>
      <c r="I8" s="10">
        <f>('B5'!AU11)*0.51</f>
        <v>0</v>
      </c>
      <c r="J8" s="306">
        <f>'B5'!AX11/0.51</f>
        <v>1.5686274509803921</v>
      </c>
      <c r="K8" s="203">
        <f>WATER!I12</f>
        <v>0</v>
      </c>
      <c r="L8" s="327">
        <f>SUM(WATER!J12)</f>
        <v>0</v>
      </c>
      <c r="M8" s="327">
        <f>WATER!Q12</f>
        <v>0</v>
      </c>
      <c r="N8" s="488">
        <v>0.6</v>
      </c>
      <c r="O8" s="10">
        <f>ELEC!B10</f>
        <v>0</v>
      </c>
    </row>
    <row r="9" spans="1:15">
      <c r="A9" t="s">
        <v>345</v>
      </c>
      <c r="B9">
        <f t="shared" si="0"/>
        <v>8</v>
      </c>
      <c r="C9">
        <v>7</v>
      </c>
      <c r="D9">
        <v>2021</v>
      </c>
      <c r="E9" s="203">
        <f>ELEC!N11</f>
        <v>0</v>
      </c>
      <c r="F9" s="326">
        <f>SUM('EDl log'!T11)</f>
        <v>0</v>
      </c>
      <c r="G9" s="203">
        <f>-tanks!AW13</f>
        <v>0</v>
      </c>
      <c r="H9" s="326">
        <f>SUM(tanks!AV13)</f>
        <v>1.82</v>
      </c>
      <c r="I9" s="10">
        <f>('B5'!AU12)*0.51</f>
        <v>0</v>
      </c>
      <c r="J9" s="306">
        <f>'B5'!AX12/0.51</f>
        <v>1.5686274509803921</v>
      </c>
      <c r="K9" s="203">
        <f>WATER!I13</f>
        <v>0</v>
      </c>
      <c r="L9" s="327">
        <f>SUM(WATER!J13)</f>
        <v>0</v>
      </c>
      <c r="M9" s="327">
        <f>WATER!Q13</f>
        <v>0</v>
      </c>
      <c r="N9" s="488">
        <v>0.6</v>
      </c>
      <c r="O9" s="10">
        <f>ELEC!B11</f>
        <v>0</v>
      </c>
    </row>
    <row r="10" spans="1:15">
      <c r="A10" t="s">
        <v>345</v>
      </c>
      <c r="B10">
        <f t="shared" si="0"/>
        <v>9</v>
      </c>
      <c r="C10">
        <v>7</v>
      </c>
      <c r="D10">
        <v>2021</v>
      </c>
      <c r="E10" s="203">
        <f>ELEC!N12</f>
        <v>0</v>
      </c>
      <c r="F10" s="326">
        <f>SUM('EDl log'!T12)</f>
        <v>0</v>
      </c>
      <c r="G10" s="203">
        <f>-tanks!AW14</f>
        <v>0</v>
      </c>
      <c r="H10" s="326">
        <f>SUM(tanks!AV14)</f>
        <v>1.82</v>
      </c>
      <c r="I10" s="10">
        <f>('B5'!AU13)*0.51</f>
        <v>0</v>
      </c>
      <c r="J10" s="306">
        <f>'B5'!AX13/0.51</f>
        <v>1.5686274509803921</v>
      </c>
      <c r="K10" s="203">
        <f>WATER!I14</f>
        <v>0</v>
      </c>
      <c r="L10" s="327">
        <f>SUM(WATER!J14)</f>
        <v>0</v>
      </c>
      <c r="M10" s="327">
        <f>WATER!Q14</f>
        <v>0</v>
      </c>
      <c r="N10" s="488">
        <v>0.6</v>
      </c>
      <c r="O10" s="10">
        <f>ELEC!B12</f>
        <v>0</v>
      </c>
    </row>
    <row r="11" spans="1:15">
      <c r="A11" t="s">
        <v>345</v>
      </c>
      <c r="B11">
        <f t="shared" si="0"/>
        <v>10</v>
      </c>
      <c r="C11">
        <v>7</v>
      </c>
      <c r="D11">
        <v>2021</v>
      </c>
      <c r="E11" s="203">
        <f>ELEC!N13</f>
        <v>0</v>
      </c>
      <c r="F11" s="326">
        <f>SUM('EDl log'!T13)</f>
        <v>0</v>
      </c>
      <c r="G11" s="203">
        <f>-tanks!AW15</f>
        <v>0</v>
      </c>
      <c r="H11" s="326">
        <f>SUM(tanks!AV15)</f>
        <v>1.82</v>
      </c>
      <c r="I11" s="10">
        <f>('B5'!AU14)*0.51</f>
        <v>0</v>
      </c>
      <c r="J11" s="306">
        <f>'B5'!AX14/0.51</f>
        <v>1.5686274509803921</v>
      </c>
      <c r="K11" s="203">
        <f>WATER!I15</f>
        <v>0</v>
      </c>
      <c r="L11" s="327">
        <f>SUM(WATER!J15)</f>
        <v>0</v>
      </c>
      <c r="M11" s="327">
        <f>WATER!Q15</f>
        <v>0</v>
      </c>
      <c r="N11" s="488">
        <v>0.6</v>
      </c>
      <c r="O11" s="10">
        <f>ELEC!B13</f>
        <v>0</v>
      </c>
    </row>
    <row r="12" spans="1:15">
      <c r="A12" t="s">
        <v>345</v>
      </c>
      <c r="B12">
        <f t="shared" si="0"/>
        <v>11</v>
      </c>
      <c r="C12">
        <v>7</v>
      </c>
      <c r="D12">
        <v>2021</v>
      </c>
      <c r="E12" s="203">
        <f>ELEC!N14</f>
        <v>0</v>
      </c>
      <c r="F12" s="326">
        <f>SUM('EDl log'!T14)</f>
        <v>0</v>
      </c>
      <c r="G12" s="203">
        <f>-tanks!AW16</f>
        <v>0</v>
      </c>
      <c r="H12" s="326">
        <f>SUM(tanks!AV16)</f>
        <v>1.82</v>
      </c>
      <c r="I12" s="10">
        <f>('B5'!AU15)*0.51</f>
        <v>0</v>
      </c>
      <c r="J12" s="306">
        <f>'B5'!AX15/0.51</f>
        <v>1.5686274509803921</v>
      </c>
      <c r="K12" s="203">
        <f>WATER!I16</f>
        <v>0</v>
      </c>
      <c r="L12" s="327">
        <f>SUM(WATER!J16)</f>
        <v>0</v>
      </c>
      <c r="M12" s="327">
        <f>WATER!Q16</f>
        <v>0</v>
      </c>
      <c r="N12" s="488">
        <v>0.6</v>
      </c>
      <c r="O12" s="10">
        <f>ELEC!B14</f>
        <v>0</v>
      </c>
    </row>
    <row r="13" spans="1:15">
      <c r="A13" t="s">
        <v>345</v>
      </c>
      <c r="B13">
        <f t="shared" si="0"/>
        <v>12</v>
      </c>
      <c r="C13">
        <v>7</v>
      </c>
      <c r="D13">
        <v>2021</v>
      </c>
      <c r="E13" s="203">
        <f>ELEC!N15</f>
        <v>0</v>
      </c>
      <c r="F13" s="326">
        <f>SUM('EDl log'!T15)</f>
        <v>0</v>
      </c>
      <c r="G13" s="203">
        <f>-tanks!AW17</f>
        <v>0</v>
      </c>
      <c r="H13" s="326">
        <f>SUM(tanks!AV17)</f>
        <v>1.82</v>
      </c>
      <c r="I13" s="10">
        <f>('B5'!AU16)*0.51</f>
        <v>0</v>
      </c>
      <c r="J13" s="306">
        <f>'B5'!AX16/0.51</f>
        <v>1.5686274509803921</v>
      </c>
      <c r="K13" s="203">
        <f>WATER!I17</f>
        <v>0</v>
      </c>
      <c r="L13" s="327">
        <f>SUM(WATER!J17)</f>
        <v>0</v>
      </c>
      <c r="M13" s="327">
        <f>WATER!Q17</f>
        <v>0</v>
      </c>
      <c r="N13" s="488">
        <v>0.6</v>
      </c>
      <c r="O13" s="10">
        <f>ELEC!B15</f>
        <v>0</v>
      </c>
    </row>
    <row r="14" spans="1:15">
      <c r="A14" t="s">
        <v>345</v>
      </c>
      <c r="B14">
        <f t="shared" si="0"/>
        <v>13</v>
      </c>
      <c r="C14">
        <v>7</v>
      </c>
      <c r="D14">
        <v>2021</v>
      </c>
      <c r="E14" s="203">
        <f>ELEC!N16</f>
        <v>0</v>
      </c>
      <c r="F14" s="326">
        <f>SUM('EDl log'!T16)</f>
        <v>0</v>
      </c>
      <c r="G14" s="203">
        <f>-tanks!AW18</f>
        <v>0</v>
      </c>
      <c r="H14" s="326">
        <f>SUM(tanks!AV18)</f>
        <v>1.82</v>
      </c>
      <c r="I14" s="10">
        <f>('B5'!AU17)*0.51</f>
        <v>0</v>
      </c>
      <c r="J14" s="306">
        <f>'B5'!AX17/0.51</f>
        <v>1.5686274509803921</v>
      </c>
      <c r="K14" s="203">
        <f>WATER!I18</f>
        <v>0</v>
      </c>
      <c r="L14" s="327">
        <f>SUM(WATER!J18)</f>
        <v>0</v>
      </c>
      <c r="M14" s="327">
        <f>WATER!Q18</f>
        <v>0</v>
      </c>
      <c r="N14" s="488">
        <v>0.6</v>
      </c>
      <c r="O14" s="10">
        <f>ELEC!B16</f>
        <v>0</v>
      </c>
    </row>
    <row r="15" spans="1:15">
      <c r="A15" t="s">
        <v>345</v>
      </c>
      <c r="B15">
        <f t="shared" si="0"/>
        <v>14</v>
      </c>
      <c r="C15">
        <v>7</v>
      </c>
      <c r="D15">
        <v>2021</v>
      </c>
      <c r="E15" s="203">
        <f>ELEC!N17</f>
        <v>0</v>
      </c>
      <c r="F15" s="326">
        <f>SUM('EDl log'!T17)</f>
        <v>0</v>
      </c>
      <c r="G15" s="203">
        <f>-tanks!AW19</f>
        <v>0</v>
      </c>
      <c r="H15" s="326">
        <f>SUM(tanks!AV19)</f>
        <v>1.82</v>
      </c>
      <c r="I15" s="10">
        <f>('B5'!AU18)*0.51</f>
        <v>0</v>
      </c>
      <c r="J15" s="306">
        <f>'B5'!AX18/0.51</f>
        <v>1.5686274509803921</v>
      </c>
      <c r="K15" s="203">
        <f>WATER!I19</f>
        <v>0</v>
      </c>
      <c r="L15" s="327">
        <f>SUM(WATER!J19)</f>
        <v>0</v>
      </c>
      <c r="M15" s="327">
        <f>WATER!Q19</f>
        <v>0</v>
      </c>
      <c r="N15" s="488">
        <v>0.6</v>
      </c>
      <c r="O15" s="10">
        <f>ELEC!B17</f>
        <v>0</v>
      </c>
    </row>
    <row r="16" spans="1:15">
      <c r="A16" t="s">
        <v>345</v>
      </c>
      <c r="B16">
        <f t="shared" si="0"/>
        <v>15</v>
      </c>
      <c r="C16">
        <v>7</v>
      </c>
      <c r="D16">
        <v>2021</v>
      </c>
      <c r="E16" s="203">
        <f>ELEC!N18</f>
        <v>0</v>
      </c>
      <c r="F16" s="326">
        <f>SUM('EDl log'!T18)</f>
        <v>0</v>
      </c>
      <c r="G16" s="203">
        <f>-tanks!AW20</f>
        <v>0</v>
      </c>
      <c r="H16" s="326">
        <f>SUM(tanks!AV20)</f>
        <v>1.82</v>
      </c>
      <c r="I16" s="10">
        <f>('B5'!AU19)*0.51</f>
        <v>0</v>
      </c>
      <c r="J16" s="306">
        <f>'B5'!AX19/0.51</f>
        <v>1.5686274509803921</v>
      </c>
      <c r="K16" s="203">
        <f>WATER!I20</f>
        <v>0</v>
      </c>
      <c r="L16" s="327">
        <f>SUM(WATER!J20)</f>
        <v>0</v>
      </c>
      <c r="M16" s="327">
        <f>WATER!Q20</f>
        <v>0</v>
      </c>
      <c r="N16" s="488">
        <v>0.6</v>
      </c>
      <c r="O16" s="10">
        <f>ELEC!B18</f>
        <v>0</v>
      </c>
    </row>
    <row r="17" spans="1:15">
      <c r="A17" t="s">
        <v>345</v>
      </c>
      <c r="B17">
        <f t="shared" si="0"/>
        <v>16</v>
      </c>
      <c r="C17">
        <v>7</v>
      </c>
      <c r="D17">
        <v>2021</v>
      </c>
      <c r="E17" s="203">
        <f>ELEC!N19</f>
        <v>0</v>
      </c>
      <c r="F17" s="326">
        <f>SUM('EDl log'!T19)</f>
        <v>0</v>
      </c>
      <c r="G17" s="203">
        <f>-tanks!AW21</f>
        <v>0</v>
      </c>
      <c r="H17" s="326">
        <f>SUM(tanks!AV21)</f>
        <v>1.82</v>
      </c>
      <c r="I17" s="10">
        <f>('B5'!AU20)*0.51</f>
        <v>0</v>
      </c>
      <c r="J17" s="306">
        <f>'B5'!AX20/0.51</f>
        <v>1.5686274509803921</v>
      </c>
      <c r="K17" s="203">
        <f>WATER!I21</f>
        <v>0</v>
      </c>
      <c r="L17" s="327">
        <f>SUM(WATER!J21)</f>
        <v>0</v>
      </c>
      <c r="M17" s="327">
        <f>WATER!Q21</f>
        <v>0</v>
      </c>
      <c r="N17" s="488">
        <v>0.6</v>
      </c>
      <c r="O17" s="10">
        <f>ELEC!B19</f>
        <v>0</v>
      </c>
    </row>
    <row r="18" spans="1:15">
      <c r="A18" t="s">
        <v>345</v>
      </c>
      <c r="B18">
        <f t="shared" si="0"/>
        <v>17</v>
      </c>
      <c r="C18">
        <v>7</v>
      </c>
      <c r="D18">
        <v>2021</v>
      </c>
      <c r="E18" s="203">
        <f>ELEC!N20</f>
        <v>0</v>
      </c>
      <c r="F18" s="326">
        <f>SUM('EDl log'!T20)</f>
        <v>0</v>
      </c>
      <c r="G18" s="203">
        <f>-tanks!AW22</f>
        <v>0</v>
      </c>
      <c r="H18" s="326">
        <f>SUM(tanks!AV22)</f>
        <v>1.82</v>
      </c>
      <c r="I18" s="10">
        <f>('B5'!AU21)*0.51</f>
        <v>0</v>
      </c>
      <c r="J18" s="306">
        <f>'B5'!AX21/0.51</f>
        <v>1.5686274509803921</v>
      </c>
      <c r="K18" s="203">
        <f>WATER!I22</f>
        <v>0</v>
      </c>
      <c r="L18" s="327">
        <f>SUM(WATER!J22)</f>
        <v>0</v>
      </c>
      <c r="M18" s="327">
        <f>WATER!Q22</f>
        <v>0</v>
      </c>
      <c r="N18" s="488">
        <v>0.6</v>
      </c>
      <c r="O18" s="10">
        <f>ELEC!B20</f>
        <v>0</v>
      </c>
    </row>
    <row r="19" spans="1:15">
      <c r="A19" t="s">
        <v>345</v>
      </c>
      <c r="B19">
        <f t="shared" si="0"/>
        <v>18</v>
      </c>
      <c r="C19">
        <v>7</v>
      </c>
      <c r="D19">
        <v>2021</v>
      </c>
      <c r="E19" s="203">
        <f>ELEC!N21</f>
        <v>0</v>
      </c>
      <c r="F19" s="326">
        <f>SUM('EDl log'!T21)</f>
        <v>0</v>
      </c>
      <c r="G19" s="203">
        <f>-tanks!AW23</f>
        <v>0</v>
      </c>
      <c r="H19" s="326">
        <f>SUM(tanks!AV23)</f>
        <v>1.82</v>
      </c>
      <c r="I19" s="10">
        <f>('B5'!AU22)*0.51</f>
        <v>0</v>
      </c>
      <c r="J19" s="306">
        <f>'B5'!AX22/0.51</f>
        <v>1.5686274509803921</v>
      </c>
      <c r="K19" s="203">
        <f>WATER!I23</f>
        <v>0</v>
      </c>
      <c r="L19" s="327">
        <f>SUM(WATER!J23)</f>
        <v>0</v>
      </c>
      <c r="M19" s="327">
        <f>WATER!Q23</f>
        <v>0</v>
      </c>
      <c r="N19" s="488">
        <v>0.6</v>
      </c>
      <c r="O19" s="10">
        <f>ELEC!B21</f>
        <v>0</v>
      </c>
    </row>
    <row r="20" spans="1:15">
      <c r="A20" t="s">
        <v>345</v>
      </c>
      <c r="B20">
        <f t="shared" si="0"/>
        <v>19</v>
      </c>
      <c r="C20">
        <v>7</v>
      </c>
      <c r="D20">
        <v>2021</v>
      </c>
      <c r="E20" s="203">
        <f>ELEC!N22</f>
        <v>0</v>
      </c>
      <c r="F20" s="326">
        <f>SUM('EDl log'!T22)</f>
        <v>0</v>
      </c>
      <c r="G20" s="203">
        <f>-tanks!AW24</f>
        <v>0</v>
      </c>
      <c r="H20" s="326">
        <f>SUM(tanks!AV24)</f>
        <v>1.82</v>
      </c>
      <c r="I20" s="10">
        <f>('B5'!AU23)*0.51</f>
        <v>0</v>
      </c>
      <c r="J20" s="306">
        <f>'B5'!AX23/0.51</f>
        <v>1.5686274509803921</v>
      </c>
      <c r="K20" s="203">
        <f>WATER!I24</f>
        <v>0</v>
      </c>
      <c r="L20" s="327">
        <f>SUM(WATER!J24)</f>
        <v>0</v>
      </c>
      <c r="M20" s="327">
        <f>WATER!Q24</f>
        <v>0</v>
      </c>
      <c r="N20" s="488">
        <v>0.6</v>
      </c>
      <c r="O20" s="10">
        <f>ELEC!B22</f>
        <v>0</v>
      </c>
    </row>
    <row r="21" spans="1:15">
      <c r="A21" t="s">
        <v>345</v>
      </c>
      <c r="B21">
        <f t="shared" si="0"/>
        <v>20</v>
      </c>
      <c r="C21">
        <v>7</v>
      </c>
      <c r="D21">
        <v>2021</v>
      </c>
      <c r="E21" s="203">
        <f>ELEC!N23</f>
        <v>0</v>
      </c>
      <c r="F21" s="326">
        <f>SUM('EDl log'!T23)</f>
        <v>0</v>
      </c>
      <c r="G21" s="203">
        <f>-tanks!AW25</f>
        <v>0</v>
      </c>
      <c r="H21" s="326">
        <f>SUM(tanks!AV25)</f>
        <v>1.82</v>
      </c>
      <c r="I21" s="10">
        <f>('B5'!AU24)*0.51</f>
        <v>0</v>
      </c>
      <c r="J21" s="306">
        <f>'B5'!AX24/0.51</f>
        <v>1.5686274509803921</v>
      </c>
      <c r="K21" s="203">
        <f>WATER!I25</f>
        <v>0</v>
      </c>
      <c r="L21" s="327">
        <f>SUM(WATER!J25)</f>
        <v>0</v>
      </c>
      <c r="M21" s="327">
        <f>WATER!Q25</f>
        <v>0</v>
      </c>
      <c r="N21" s="488">
        <v>0.6</v>
      </c>
      <c r="O21" s="10">
        <f>ELEC!B23</f>
        <v>0</v>
      </c>
    </row>
    <row r="22" spans="1:15">
      <c r="A22" t="s">
        <v>345</v>
      </c>
      <c r="B22">
        <f t="shared" si="0"/>
        <v>21</v>
      </c>
      <c r="C22">
        <v>7</v>
      </c>
      <c r="D22">
        <v>2021</v>
      </c>
      <c r="E22" s="203">
        <f>ELEC!N24</f>
        <v>0</v>
      </c>
      <c r="F22" s="326">
        <f>SUM('EDl log'!T24)</f>
        <v>0</v>
      </c>
      <c r="G22" s="203">
        <f>-tanks!AW26</f>
        <v>0</v>
      </c>
      <c r="H22" s="326">
        <f>SUM(tanks!AV26)</f>
        <v>1.82</v>
      </c>
      <c r="I22" s="10">
        <f>('B5'!AU25)*0.51</f>
        <v>0</v>
      </c>
      <c r="J22" s="306">
        <f>'B5'!AX25/0.51</f>
        <v>1.5686274509803921</v>
      </c>
      <c r="K22" s="203">
        <f>WATER!I26</f>
        <v>0</v>
      </c>
      <c r="L22" s="327">
        <f>SUM(WATER!J26)</f>
        <v>0</v>
      </c>
      <c r="M22" s="327">
        <f>WATER!Q26</f>
        <v>0</v>
      </c>
      <c r="N22" s="488">
        <v>0.6</v>
      </c>
      <c r="O22" s="10">
        <f>ELEC!B24</f>
        <v>0</v>
      </c>
    </row>
    <row r="23" spans="1:15">
      <c r="A23" t="s">
        <v>345</v>
      </c>
      <c r="B23">
        <f t="shared" si="0"/>
        <v>22</v>
      </c>
      <c r="C23">
        <v>7</v>
      </c>
      <c r="D23">
        <v>2021</v>
      </c>
      <c r="E23" s="203">
        <f>ELEC!N25</f>
        <v>0</v>
      </c>
      <c r="F23" s="326">
        <f>SUM('EDl log'!T25)</f>
        <v>0</v>
      </c>
      <c r="G23" s="203">
        <f>-tanks!AW27</f>
        <v>0</v>
      </c>
      <c r="H23" s="326">
        <f>SUM(tanks!AV27)</f>
        <v>1.82</v>
      </c>
      <c r="I23" s="10">
        <f>('B5'!AU26)*0.51</f>
        <v>0</v>
      </c>
      <c r="J23" s="306">
        <f>'B5'!AX26/0.51</f>
        <v>1.5686274509803921</v>
      </c>
      <c r="K23" s="203">
        <f>WATER!I27</f>
        <v>0</v>
      </c>
      <c r="L23" s="327">
        <f>SUM(WATER!J27)</f>
        <v>0</v>
      </c>
      <c r="M23" s="327">
        <f>WATER!Q27</f>
        <v>0</v>
      </c>
      <c r="N23" s="488">
        <v>0.6</v>
      </c>
      <c r="O23" s="10">
        <f>ELEC!B25</f>
        <v>0</v>
      </c>
    </row>
    <row r="24" spans="1:15">
      <c r="A24" t="s">
        <v>345</v>
      </c>
      <c r="B24">
        <f t="shared" si="0"/>
        <v>23</v>
      </c>
      <c r="C24">
        <v>7</v>
      </c>
      <c r="D24">
        <v>2021</v>
      </c>
      <c r="E24" s="203">
        <f>ELEC!N26</f>
        <v>0</v>
      </c>
      <c r="F24" s="326">
        <f>SUM('EDl log'!T26)</f>
        <v>0</v>
      </c>
      <c r="G24" s="203">
        <f>-tanks!AW28</f>
        <v>0</v>
      </c>
      <c r="H24" s="326">
        <f>SUM(tanks!AV28)</f>
        <v>1.82</v>
      </c>
      <c r="I24" s="10">
        <f>('B5'!AU27)*0.51</f>
        <v>0</v>
      </c>
      <c r="J24" s="306">
        <f>'B5'!AX27/0.51</f>
        <v>1.5686274509803921</v>
      </c>
      <c r="K24" s="203">
        <f>WATER!I28</f>
        <v>0</v>
      </c>
      <c r="L24" s="327">
        <f>SUM(WATER!J28)</f>
        <v>0</v>
      </c>
      <c r="M24" s="327">
        <f>WATER!Q28</f>
        <v>0</v>
      </c>
      <c r="N24" s="488">
        <v>0.6</v>
      </c>
      <c r="O24" s="10">
        <f>ELEC!B26</f>
        <v>0</v>
      </c>
    </row>
    <row r="25" spans="1:15">
      <c r="A25" t="s">
        <v>345</v>
      </c>
      <c r="B25">
        <f t="shared" si="0"/>
        <v>24</v>
      </c>
      <c r="C25">
        <v>7</v>
      </c>
      <c r="D25">
        <v>2021</v>
      </c>
      <c r="E25" s="203">
        <f>ELEC!N27</f>
        <v>0</v>
      </c>
      <c r="F25" s="326">
        <f>SUM('EDl log'!T27)</f>
        <v>0</v>
      </c>
      <c r="G25" s="203">
        <f>-tanks!AW29</f>
        <v>0</v>
      </c>
      <c r="H25" s="326">
        <f>SUM(tanks!AV29)</f>
        <v>1.82</v>
      </c>
      <c r="I25" s="10">
        <f>('B5'!AU28)*0.51</f>
        <v>0</v>
      </c>
      <c r="J25" s="306">
        <f>'B5'!AX28/0.51</f>
        <v>1.5686274509803921</v>
      </c>
      <c r="K25" s="203">
        <f>WATER!I29</f>
        <v>0</v>
      </c>
      <c r="L25" s="327">
        <f>SUM(WATER!J29)</f>
        <v>0</v>
      </c>
      <c r="M25" s="327">
        <f>WATER!Q29</f>
        <v>0</v>
      </c>
      <c r="N25" s="488">
        <v>0.6</v>
      </c>
      <c r="O25" s="10">
        <f>ELEC!B27</f>
        <v>0</v>
      </c>
    </row>
    <row r="26" spans="1:15">
      <c r="A26" t="s">
        <v>345</v>
      </c>
      <c r="B26">
        <f>B25+1</f>
        <v>25</v>
      </c>
      <c r="C26">
        <v>7</v>
      </c>
      <c r="D26">
        <v>2021</v>
      </c>
      <c r="E26" s="203">
        <f>ELEC!N28</f>
        <v>0</v>
      </c>
      <c r="F26" s="326">
        <f>SUM('EDl log'!T28)</f>
        <v>0</v>
      </c>
      <c r="G26" s="203">
        <f>-tanks!AW30</f>
        <v>0</v>
      </c>
      <c r="H26" s="326">
        <f>SUM(tanks!AV30)</f>
        <v>1.82</v>
      </c>
      <c r="I26" s="10">
        <f>('B5'!AU29)*0.51</f>
        <v>0</v>
      </c>
      <c r="J26" s="306">
        <f>'B5'!AX29/0.51</f>
        <v>1.5686274509803921</v>
      </c>
      <c r="K26" s="203">
        <f>WATER!I30</f>
        <v>0</v>
      </c>
      <c r="L26" s="327">
        <f>SUM(WATER!J30)</f>
        <v>0</v>
      </c>
      <c r="M26" s="327">
        <f>WATER!Q30</f>
        <v>0</v>
      </c>
      <c r="N26" s="488">
        <v>0.6</v>
      </c>
      <c r="O26" s="10">
        <f>ELEC!B28</f>
        <v>0</v>
      </c>
    </row>
    <row r="27" spans="1:15">
      <c r="A27" t="s">
        <v>345</v>
      </c>
      <c r="B27">
        <f t="shared" si="0"/>
        <v>26</v>
      </c>
      <c r="C27">
        <v>7</v>
      </c>
      <c r="D27">
        <v>2021</v>
      </c>
      <c r="E27" s="203">
        <f>ELEC!N29</f>
        <v>0</v>
      </c>
      <c r="F27" s="326">
        <f>SUM('EDl log'!T29)</f>
        <v>0</v>
      </c>
      <c r="G27" s="203">
        <f>-tanks!AW31</f>
        <v>0</v>
      </c>
      <c r="H27" s="326">
        <f>SUM(tanks!AV31)</f>
        <v>1.82</v>
      </c>
      <c r="I27" s="10">
        <f>('B5'!AU30)*0.51</f>
        <v>0</v>
      </c>
      <c r="J27" s="306">
        <f>'B5'!AX30/0.51</f>
        <v>1.5686274509803921</v>
      </c>
      <c r="K27" s="203">
        <f>WATER!I31</f>
        <v>0</v>
      </c>
      <c r="L27" s="327">
        <f>SUM(WATER!J31)</f>
        <v>0</v>
      </c>
      <c r="M27" s="327">
        <f>WATER!Q31</f>
        <v>0</v>
      </c>
      <c r="N27" s="488">
        <v>0.6</v>
      </c>
      <c r="O27" s="10">
        <f>ELEC!B29</f>
        <v>0</v>
      </c>
    </row>
    <row r="28" spans="1:15">
      <c r="A28" t="s">
        <v>345</v>
      </c>
      <c r="B28">
        <f t="shared" si="0"/>
        <v>27</v>
      </c>
      <c r="C28">
        <v>7</v>
      </c>
      <c r="D28">
        <v>2021</v>
      </c>
      <c r="E28" s="203">
        <f>ELEC!N30</f>
        <v>0</v>
      </c>
      <c r="F28" s="326">
        <f>SUM('EDl log'!T30)</f>
        <v>0</v>
      </c>
      <c r="G28" s="203">
        <f>-tanks!AW32</f>
        <v>0</v>
      </c>
      <c r="H28" s="326">
        <f>SUM(tanks!AV32)</f>
        <v>1.82</v>
      </c>
      <c r="I28" s="10">
        <f>('B5'!AU31)*0.51</f>
        <v>0</v>
      </c>
      <c r="J28" s="306">
        <f>'B5'!AX31/0.51</f>
        <v>1.5686274509803921</v>
      </c>
      <c r="K28" s="203">
        <f>WATER!I32</f>
        <v>0</v>
      </c>
      <c r="L28" s="327">
        <f>SUM(WATER!J32)</f>
        <v>0</v>
      </c>
      <c r="M28" s="327">
        <f>WATER!Q32</f>
        <v>0</v>
      </c>
      <c r="N28" s="488">
        <v>0.6</v>
      </c>
      <c r="O28" s="10">
        <f>ELEC!B30</f>
        <v>0</v>
      </c>
    </row>
    <row r="29" spans="1:15">
      <c r="A29" t="s">
        <v>345</v>
      </c>
      <c r="B29">
        <f t="shared" si="0"/>
        <v>28</v>
      </c>
      <c r="C29">
        <v>7</v>
      </c>
      <c r="D29">
        <v>2021</v>
      </c>
      <c r="E29" s="203">
        <f>ELEC!N31</f>
        <v>0</v>
      </c>
      <c r="F29" s="326">
        <f>SUM('EDl log'!T31)</f>
        <v>0</v>
      </c>
      <c r="G29" s="203">
        <f>-tanks!AW33</f>
        <v>0</v>
      </c>
      <c r="H29" s="326">
        <f>SUM(tanks!AV33)</f>
        <v>1.82</v>
      </c>
      <c r="I29" s="10">
        <f>('B5'!AU32)*0.51</f>
        <v>0</v>
      </c>
      <c r="J29" s="306">
        <f>'B5'!AX32/0.51</f>
        <v>1.5686274509803921</v>
      </c>
      <c r="K29" s="203">
        <f>WATER!I33</f>
        <v>0</v>
      </c>
      <c r="L29" s="327">
        <f>SUM(WATER!J33)</f>
        <v>0</v>
      </c>
      <c r="M29" s="327">
        <f>WATER!Q33</f>
        <v>0</v>
      </c>
      <c r="N29" s="488">
        <v>0.6</v>
      </c>
      <c r="O29" s="10">
        <f>ELEC!B31</f>
        <v>0</v>
      </c>
    </row>
    <row r="30" spans="1:15">
      <c r="A30" t="s">
        <v>345</v>
      </c>
      <c r="B30">
        <f t="shared" si="0"/>
        <v>29</v>
      </c>
      <c r="C30">
        <v>7</v>
      </c>
      <c r="D30">
        <v>2021</v>
      </c>
      <c r="E30" s="203">
        <f>ELEC!N32</f>
        <v>0</v>
      </c>
      <c r="F30" s="326">
        <f>SUM('EDl log'!T32)</f>
        <v>0</v>
      </c>
      <c r="G30" s="203">
        <f>-tanks!AW34</f>
        <v>0</v>
      </c>
      <c r="H30" s="326">
        <f>SUM(tanks!AV34)</f>
        <v>1.82</v>
      </c>
      <c r="I30" s="10">
        <f>('B5'!AU33)*0.51</f>
        <v>0</v>
      </c>
      <c r="J30" s="306">
        <f>'B5'!AX33/0.51</f>
        <v>1.5686274509803921</v>
      </c>
      <c r="K30" s="203">
        <f>WATER!I34</f>
        <v>0</v>
      </c>
      <c r="L30" s="327">
        <f>SUM(WATER!J34)</f>
        <v>0</v>
      </c>
      <c r="M30" s="327">
        <f>WATER!Q34</f>
        <v>0</v>
      </c>
      <c r="N30" s="488">
        <v>0.6</v>
      </c>
      <c r="O30" s="10">
        <f>ELEC!B32</f>
        <v>0</v>
      </c>
    </row>
    <row r="31" spans="1:15">
      <c r="A31" t="s">
        <v>345</v>
      </c>
      <c r="B31">
        <f t="shared" si="0"/>
        <v>30</v>
      </c>
      <c r="C31">
        <v>7</v>
      </c>
      <c r="D31">
        <v>2021</v>
      </c>
      <c r="E31" s="203">
        <f>ELEC!N33</f>
        <v>0</v>
      </c>
      <c r="F31" s="326">
        <f>SUM('EDl log'!T33)</f>
        <v>0</v>
      </c>
      <c r="G31" s="203">
        <f>-tanks!AW35</f>
        <v>0</v>
      </c>
      <c r="H31" s="326">
        <f>SUM(tanks!AV35)</f>
        <v>1.82</v>
      </c>
      <c r="I31" s="10">
        <f>('B5'!AU34)*0.51</f>
        <v>0</v>
      </c>
      <c r="J31" s="306">
        <f>'B5'!AX34/0.51</f>
        <v>1.5686274509803921</v>
      </c>
      <c r="K31" s="203">
        <f>WATER!I35</f>
        <v>0</v>
      </c>
      <c r="L31" s="327">
        <f>SUM(WATER!J35)</f>
        <v>0</v>
      </c>
      <c r="M31" s="327">
        <f>WATER!Q35</f>
        <v>0</v>
      </c>
      <c r="N31" s="488">
        <v>0.6</v>
      </c>
      <c r="O31" s="10">
        <f>ELEC!B33</f>
        <v>0</v>
      </c>
    </row>
    <row r="32" spans="1:15">
      <c r="A32" t="s">
        <v>345</v>
      </c>
      <c r="B32">
        <f t="shared" si="0"/>
        <v>31</v>
      </c>
      <c r="C32">
        <v>7</v>
      </c>
      <c r="D32">
        <v>2021</v>
      </c>
      <c r="E32" s="203">
        <f>ELEC!N34</f>
        <v>0</v>
      </c>
      <c r="F32" s="326">
        <f>SUM('EDl log'!T34)</f>
        <v>0</v>
      </c>
      <c r="G32" s="203">
        <f>-tanks!AW36</f>
        <v>0</v>
      </c>
      <c r="H32" s="326">
        <f>SUM(tanks!AV36)</f>
        <v>1.82</v>
      </c>
      <c r="I32" s="10">
        <f>('B5'!AU35)*0.51</f>
        <v>0</v>
      </c>
      <c r="J32" s="306">
        <f>'B5'!AX35/0.51</f>
        <v>1.5686274509803921</v>
      </c>
      <c r="K32" s="203">
        <f>WATER!I36</f>
        <v>0</v>
      </c>
      <c r="L32" s="327">
        <f>SUM(WATER!J36)</f>
        <v>0</v>
      </c>
      <c r="M32" s="327">
        <f>WATER!Q36</f>
        <v>0</v>
      </c>
      <c r="N32" s="488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workbookViewId="0">
      <selection activeCell="A7" sqref="A7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0" t="s">
        <v>344</v>
      </c>
    </row>
    <row r="2" spans="1:13">
      <c r="A2" t="s">
        <v>345</v>
      </c>
      <c r="B2">
        <v>1</v>
      </c>
      <c r="C2">
        <v>7</v>
      </c>
      <c r="D2">
        <v>2021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345</v>
      </c>
      <c r="B3">
        <f>B2+1</f>
        <v>2</v>
      </c>
      <c r="C3">
        <v>7</v>
      </c>
      <c r="D3">
        <v>2021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345</v>
      </c>
      <c r="B4">
        <f t="shared" ref="B4:B31" si="0">B3+1</f>
        <v>3</v>
      </c>
      <c r="C4">
        <v>7</v>
      </c>
      <c r="D4">
        <v>2021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345</v>
      </c>
      <c r="B5">
        <f t="shared" si="0"/>
        <v>4</v>
      </c>
      <c r="C5">
        <v>7</v>
      </c>
      <c r="D5">
        <v>2021</v>
      </c>
      <c r="E5" s="203">
        <f>ELEC!M7</f>
        <v>1862</v>
      </c>
      <c r="F5" s="203">
        <f>ELEC!K7</f>
        <v>5568</v>
      </c>
      <c r="G5" s="203">
        <f>ELEC!I7</f>
        <v>814</v>
      </c>
      <c r="H5" s="203">
        <f>ELEC!E7</f>
        <v>2988</v>
      </c>
      <c r="I5" s="203">
        <f>ELEC!G7</f>
        <v>675</v>
      </c>
      <c r="J5" s="203">
        <f>WATER!Y9</f>
        <v>19</v>
      </c>
      <c r="K5" s="203">
        <f>WATER!AJ9</f>
        <v>0</v>
      </c>
      <c r="L5" s="10">
        <f>ELEC!B7</f>
        <v>0</v>
      </c>
      <c r="M5" s="10"/>
    </row>
    <row r="6" spans="1:13">
      <c r="A6" t="s">
        <v>345</v>
      </c>
      <c r="B6">
        <f t="shared" si="0"/>
        <v>5</v>
      </c>
      <c r="C6">
        <v>7</v>
      </c>
      <c r="D6">
        <v>2021</v>
      </c>
      <c r="E6" s="203">
        <f>ELEC!M8</f>
        <v>662</v>
      </c>
      <c r="F6" s="203">
        <f>ELEC!K8</f>
        <v>2048</v>
      </c>
      <c r="G6" s="203">
        <f>ELEC!I8</f>
        <v>222</v>
      </c>
      <c r="H6" s="203">
        <f>ELEC!E8</f>
        <v>927</v>
      </c>
      <c r="I6" s="203">
        <f>ELEC!G8</f>
        <v>188</v>
      </c>
      <c r="J6" s="203">
        <f>WATER!Y10</f>
        <v>0</v>
      </c>
      <c r="K6" s="203">
        <f>WATER!AJ10</f>
        <v>138</v>
      </c>
      <c r="L6" s="10">
        <f>ELEC!B8</f>
        <v>0</v>
      </c>
      <c r="M6" s="10"/>
    </row>
    <row r="7" spans="1:13">
      <c r="A7" t="s">
        <v>345</v>
      </c>
      <c r="B7">
        <f t="shared" si="0"/>
        <v>6</v>
      </c>
      <c r="C7">
        <v>7</v>
      </c>
      <c r="D7">
        <v>2021</v>
      </c>
      <c r="E7" s="203">
        <f>ELEC!M9</f>
        <v>2456</v>
      </c>
      <c r="F7" s="203">
        <f>ELEC!K9</f>
        <v>4524</v>
      </c>
      <c r="G7" s="203">
        <f>ELEC!I9</f>
        <v>924</v>
      </c>
      <c r="H7" s="203">
        <f>ELEC!E9</f>
        <v>6462</v>
      </c>
      <c r="I7" s="203">
        <f>ELEC!G9</f>
        <v>720</v>
      </c>
      <c r="J7" s="203">
        <f>WATER!Y11</f>
        <v>59</v>
      </c>
      <c r="K7" s="203">
        <f>WATER!AJ11</f>
        <v>0</v>
      </c>
      <c r="L7" s="10">
        <f>ELEC!B9</f>
        <v>0</v>
      </c>
      <c r="M7" s="10"/>
    </row>
    <row r="8" spans="1:13">
      <c r="A8" t="s">
        <v>345</v>
      </c>
      <c r="B8">
        <f t="shared" si="0"/>
        <v>7</v>
      </c>
      <c r="C8">
        <v>7</v>
      </c>
      <c r="D8">
        <v>2021</v>
      </c>
      <c r="E8" s="203">
        <f>ELEC!M10</f>
        <v>2388</v>
      </c>
      <c r="F8" s="203">
        <f>ELEC!K10</f>
        <v>4108</v>
      </c>
      <c r="G8" s="203">
        <f>ELEC!I10</f>
        <v>996</v>
      </c>
      <c r="H8" s="203">
        <f>ELEC!E10</f>
        <v>7259</v>
      </c>
      <c r="I8" s="203">
        <f>ELEC!G10</f>
        <v>695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345</v>
      </c>
      <c r="B9">
        <f t="shared" si="0"/>
        <v>8</v>
      </c>
      <c r="C9">
        <v>7</v>
      </c>
      <c r="D9">
        <v>2021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345</v>
      </c>
      <c r="B10">
        <f t="shared" si="0"/>
        <v>9</v>
      </c>
      <c r="C10">
        <v>7</v>
      </c>
      <c r="D10">
        <v>2021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345</v>
      </c>
      <c r="B11">
        <f t="shared" si="0"/>
        <v>10</v>
      </c>
      <c r="C11">
        <v>7</v>
      </c>
      <c r="D11">
        <v>2021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345</v>
      </c>
      <c r="B12">
        <f t="shared" si="0"/>
        <v>11</v>
      </c>
      <c r="C12">
        <v>7</v>
      </c>
      <c r="D12">
        <v>2021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345</v>
      </c>
      <c r="B13">
        <f t="shared" si="0"/>
        <v>12</v>
      </c>
      <c r="C13">
        <v>7</v>
      </c>
      <c r="D13">
        <v>2021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345</v>
      </c>
      <c r="B14">
        <f t="shared" si="0"/>
        <v>13</v>
      </c>
      <c r="C14">
        <v>7</v>
      </c>
      <c r="D14">
        <v>2021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345</v>
      </c>
      <c r="B15">
        <f t="shared" si="0"/>
        <v>14</v>
      </c>
      <c r="C15">
        <v>7</v>
      </c>
      <c r="D15">
        <v>2021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345</v>
      </c>
      <c r="B16">
        <f t="shared" si="0"/>
        <v>15</v>
      </c>
      <c r="C16">
        <v>7</v>
      </c>
      <c r="D16">
        <v>2021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345</v>
      </c>
      <c r="B17">
        <f t="shared" si="0"/>
        <v>16</v>
      </c>
      <c r="C17">
        <v>7</v>
      </c>
      <c r="D17">
        <v>2021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345</v>
      </c>
      <c r="B18">
        <f t="shared" si="0"/>
        <v>17</v>
      </c>
      <c r="C18">
        <v>7</v>
      </c>
      <c r="D18">
        <v>2021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345</v>
      </c>
      <c r="B19">
        <f t="shared" si="0"/>
        <v>18</v>
      </c>
      <c r="C19">
        <v>7</v>
      </c>
      <c r="D19">
        <v>2021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345</v>
      </c>
      <c r="B20">
        <f t="shared" si="0"/>
        <v>19</v>
      </c>
      <c r="C20">
        <v>7</v>
      </c>
      <c r="D20">
        <v>2021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345</v>
      </c>
      <c r="B21">
        <f t="shared" si="0"/>
        <v>20</v>
      </c>
      <c r="C21">
        <v>7</v>
      </c>
      <c r="D21">
        <v>2021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345</v>
      </c>
      <c r="B22">
        <f t="shared" si="0"/>
        <v>21</v>
      </c>
      <c r="C22">
        <v>7</v>
      </c>
      <c r="D22">
        <v>2021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345</v>
      </c>
      <c r="B23">
        <f t="shared" si="0"/>
        <v>22</v>
      </c>
      <c r="C23">
        <v>7</v>
      </c>
      <c r="D23">
        <v>2021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345</v>
      </c>
      <c r="B24">
        <f t="shared" si="0"/>
        <v>23</v>
      </c>
      <c r="C24">
        <v>7</v>
      </c>
      <c r="D24">
        <v>2021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345</v>
      </c>
      <c r="B25">
        <f t="shared" si="0"/>
        <v>24</v>
      </c>
      <c r="C25">
        <v>7</v>
      </c>
      <c r="D25">
        <v>2021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345</v>
      </c>
      <c r="B26">
        <f>B25+1</f>
        <v>25</v>
      </c>
      <c r="C26">
        <v>7</v>
      </c>
      <c r="D26">
        <v>2021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345</v>
      </c>
      <c r="B27">
        <f t="shared" si="0"/>
        <v>26</v>
      </c>
      <c r="C27">
        <v>7</v>
      </c>
      <c r="D27">
        <v>2021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345</v>
      </c>
      <c r="B28">
        <f t="shared" si="0"/>
        <v>27</v>
      </c>
      <c r="C28">
        <v>7</v>
      </c>
      <c r="D28">
        <v>2021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345</v>
      </c>
      <c r="B29">
        <f t="shared" si="0"/>
        <v>28</v>
      </c>
      <c r="C29">
        <v>7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345</v>
      </c>
      <c r="B30">
        <f t="shared" si="0"/>
        <v>29</v>
      </c>
      <c r="C30">
        <v>7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345</v>
      </c>
      <c r="B31">
        <f t="shared" si="0"/>
        <v>30</v>
      </c>
      <c r="C31">
        <v>7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345</v>
      </c>
      <c r="B32">
        <v>31</v>
      </c>
      <c r="C32">
        <v>7</v>
      </c>
      <c r="D32">
        <v>2021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383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35"/>
  <sheetViews>
    <sheetView zoomScale="90" zoomScaleNormal="90" zoomScaleSheetLayoutView="100" workbookViewId="0">
      <pane ySplit="2" topLeftCell="A3" activePane="bottomLeft" state="frozen"/>
      <selection activeCell="C1" sqref="C1"/>
      <selection pane="bottomLeft" activeCell="AM10" sqref="AM10"/>
    </sheetView>
  </sheetViews>
  <sheetFormatPr defaultColWidth="9.28515625" defaultRowHeight="15"/>
  <cols>
    <col min="1" max="1" width="7.7109375" style="460" bestFit="1" customWidth="1"/>
    <col min="2" max="2" width="10.28515625" style="468" bestFit="1" customWidth="1"/>
    <col min="3" max="3" width="11.5703125" style="460" customWidth="1"/>
    <col min="4" max="4" width="18" style="469" bestFit="1" customWidth="1"/>
    <col min="5" max="5" width="14.42578125" style="469" bestFit="1" customWidth="1"/>
    <col min="6" max="6" width="15.28515625" style="469" bestFit="1" customWidth="1"/>
    <col min="7" max="7" width="12.5703125" style="469" bestFit="1" customWidth="1"/>
    <col min="8" max="8" width="18" style="469" bestFit="1" customWidth="1"/>
    <col min="9" max="9" width="13" style="469" bestFit="1" customWidth="1"/>
    <col min="10" max="10" width="18" style="469" bestFit="1" customWidth="1"/>
    <col min="11" max="11" width="11.7109375" style="469" customWidth="1"/>
    <col min="12" max="12" width="18" style="469" bestFit="1" customWidth="1"/>
    <col min="13" max="13" width="12.5703125" style="469" bestFit="1" customWidth="1"/>
    <col min="14" max="14" width="15.42578125" style="460" bestFit="1" customWidth="1"/>
    <col min="15" max="15" width="13.28515625" style="470" bestFit="1" customWidth="1"/>
    <col min="16" max="16" width="14.28515625" style="460" bestFit="1" customWidth="1"/>
    <col min="17" max="17" width="13.7109375" style="460" bestFit="1" customWidth="1"/>
    <col min="18" max="18" width="12.42578125" style="460" bestFit="1" customWidth="1"/>
    <col min="19" max="21" width="11.5703125" style="460" bestFit="1" customWidth="1"/>
    <col min="22" max="22" width="13.28515625" style="460" bestFit="1" customWidth="1"/>
    <col min="23" max="25" width="11.5703125" style="460" bestFit="1" customWidth="1"/>
    <col min="26" max="26" width="13.28515625" style="460" bestFit="1" customWidth="1"/>
    <col min="27" max="29" width="11.5703125" style="460" bestFit="1" customWidth="1"/>
    <col min="30" max="30" width="13.28515625" style="460" bestFit="1" customWidth="1"/>
    <col min="31" max="32" width="11.5703125" style="460" bestFit="1" customWidth="1"/>
    <col min="33" max="33" width="15.7109375" style="460" customWidth="1"/>
    <col min="34" max="34" width="9.28515625" style="460"/>
    <col min="35" max="35" width="9.7109375" style="460" bestFit="1" customWidth="1"/>
    <col min="36" max="36" width="10.42578125" style="460" bestFit="1" customWidth="1"/>
    <col min="37" max="37" width="12.42578125" style="460" customWidth="1"/>
    <col min="38" max="38" width="11.42578125" style="460" customWidth="1"/>
    <col min="39" max="39" width="9.28515625" style="460"/>
    <col min="40" max="40" width="10.7109375" style="460" bestFit="1" customWidth="1"/>
    <col min="41" max="16384" width="9.28515625" style="460"/>
  </cols>
  <sheetData>
    <row r="1" spans="1:40">
      <c r="AK1" s="658" t="s">
        <v>418</v>
      </c>
      <c r="AL1" s="658"/>
      <c r="AM1" s="658"/>
      <c r="AN1" s="659"/>
    </row>
    <row r="2" spans="1:40" s="445" customFormat="1" ht="18.75" customHeight="1">
      <c r="A2" s="445" t="s">
        <v>19</v>
      </c>
      <c r="B2" s="446" t="s">
        <v>155</v>
      </c>
      <c r="C2" s="447"/>
      <c r="D2" s="448" t="s">
        <v>20</v>
      </c>
      <c r="E2" s="448" t="s">
        <v>21</v>
      </c>
      <c r="F2" s="448" t="s">
        <v>22</v>
      </c>
      <c r="G2" s="448" t="s">
        <v>23</v>
      </c>
      <c r="H2" s="448" t="s">
        <v>24</v>
      </c>
      <c r="I2" s="448" t="s">
        <v>25</v>
      </c>
      <c r="J2" s="448" t="s">
        <v>26</v>
      </c>
      <c r="K2" s="448" t="s">
        <v>27</v>
      </c>
      <c r="L2" s="448" t="s">
        <v>28</v>
      </c>
      <c r="M2" s="448" t="s">
        <v>29</v>
      </c>
      <c r="N2" s="449" t="s">
        <v>30</v>
      </c>
      <c r="O2" s="450" t="s">
        <v>156</v>
      </c>
      <c r="P2" s="451" t="s">
        <v>326</v>
      </c>
      <c r="Q2" s="449" t="s">
        <v>31</v>
      </c>
      <c r="R2" s="449" t="s">
        <v>32</v>
      </c>
      <c r="S2" s="449" t="s">
        <v>361</v>
      </c>
      <c r="T2" s="449" t="s">
        <v>33</v>
      </c>
      <c r="U2" s="449" t="s">
        <v>34</v>
      </c>
      <c r="V2" s="449" t="s">
        <v>35</v>
      </c>
      <c r="W2" s="449" t="s">
        <v>36</v>
      </c>
      <c r="X2" s="449" t="s">
        <v>33</v>
      </c>
      <c r="Y2" s="449" t="s">
        <v>37</v>
      </c>
      <c r="Z2" s="449" t="s">
        <v>38</v>
      </c>
      <c r="AA2" s="449" t="s">
        <v>39</v>
      </c>
      <c r="AB2" s="449" t="s">
        <v>33</v>
      </c>
      <c r="AC2" s="449" t="s">
        <v>77</v>
      </c>
      <c r="AD2" s="449" t="s">
        <v>40</v>
      </c>
      <c r="AE2" s="449" t="s">
        <v>41</v>
      </c>
      <c r="AF2" s="449" t="s">
        <v>42</v>
      </c>
      <c r="AG2" s="445" t="s">
        <v>132</v>
      </c>
      <c r="AK2" s="594" t="s">
        <v>417</v>
      </c>
      <c r="AL2" s="595" t="s">
        <v>416</v>
      </c>
      <c r="AM2" s="595" t="s">
        <v>391</v>
      </c>
      <c r="AN2" s="611" t="s">
        <v>419</v>
      </c>
    </row>
    <row r="3" spans="1:40">
      <c r="A3" s="452">
        <f>[1]ELEC!$A$33</f>
        <v>0</v>
      </c>
      <c r="B3" s="446">
        <f>[1]ELEC!$B$33</f>
        <v>0</v>
      </c>
      <c r="C3" s="453">
        <v>44377</v>
      </c>
      <c r="D3" s="440">
        <f>[1]ELEC!D33</f>
        <v>32911138</v>
      </c>
      <c r="E3" s="440">
        <f>[1]ELEC!E33</f>
        <v>3721</v>
      </c>
      <c r="F3" s="440">
        <f>[1]ELEC!F33</f>
        <v>4052232</v>
      </c>
      <c r="G3" s="440">
        <f>[1]ELEC!G33</f>
        <v>732.79999999981374</v>
      </c>
      <c r="H3" s="440">
        <f>[1]ELEC!H33</f>
        <v>17915194</v>
      </c>
      <c r="I3" s="440">
        <f>[1]ELEC!I33</f>
        <v>1092</v>
      </c>
      <c r="J3" s="440">
        <f>[1]ELEC!J33</f>
        <v>29262634</v>
      </c>
      <c r="K3" s="440">
        <f>[1]ELEC!K33</f>
        <v>8912</v>
      </c>
      <c r="L3" s="440">
        <f>[1]ELEC!L33</f>
        <v>24306358</v>
      </c>
      <c r="M3" s="440">
        <f>[1]ELEC!M33</f>
        <v>2628</v>
      </c>
      <c r="N3" s="440">
        <f>[1]ELEC!N33</f>
        <v>17085.799999999814</v>
      </c>
      <c r="O3" s="440">
        <f>[1]ELEC!O33</f>
        <v>0</v>
      </c>
      <c r="P3" s="440">
        <f>[1]ELEC!P33</f>
        <v>17599.473000000002</v>
      </c>
      <c r="Q3" s="440">
        <f>[1]ELEC!Q33</f>
        <v>16832.000000002154</v>
      </c>
      <c r="R3" s="440">
        <f>[1]ELEC!R33</f>
        <v>253.79999999766005</v>
      </c>
      <c r="S3" s="440">
        <f>[1]ELEC!S33</f>
        <v>10175</v>
      </c>
      <c r="T3" s="440">
        <f>[1]ELEC!T33</f>
        <v>0</v>
      </c>
      <c r="U3" s="440">
        <f>[1]ELEC!U33</f>
        <v>429166</v>
      </c>
      <c r="V3" s="440">
        <f>[1]ELEC!V33</f>
        <v>0</v>
      </c>
      <c r="W3" s="440">
        <f>[1]ELEC!W33</f>
        <v>32816</v>
      </c>
      <c r="X3" s="440">
        <f>[1]ELEC!X33</f>
        <v>22</v>
      </c>
      <c r="Y3" s="440">
        <f>[1]ELEC!Y33</f>
        <v>830547</v>
      </c>
      <c r="Z3" s="440">
        <f>[1]ELEC!Z33</f>
        <v>5871</v>
      </c>
      <c r="AA3" s="440">
        <f>[1]ELEC!AA33</f>
        <v>36188</v>
      </c>
      <c r="AB3" s="440">
        <f>[1]ELEC!AB33</f>
        <v>0</v>
      </c>
      <c r="AC3" s="440">
        <f>[1]ELEC!AC33</f>
        <v>1015441</v>
      </c>
      <c r="AD3" s="440">
        <f>[1]ELEC!AD33</f>
        <v>0</v>
      </c>
      <c r="AE3" s="440">
        <f>[1]ELEC!AE33</f>
        <v>22</v>
      </c>
      <c r="AF3" s="440">
        <f>[1]ELEC!AF33</f>
        <v>5871</v>
      </c>
      <c r="AG3" s="440">
        <f>[1]ELEC!AG33</f>
        <v>266.86363636363637</v>
      </c>
      <c r="AI3" s="460">
        <f>[1]ELEC!$AI$33</f>
        <v>-1073644.2000000023</v>
      </c>
      <c r="AJ3" s="614">
        <v>44377</v>
      </c>
      <c r="AK3" s="616">
        <f>[1]ELEC!AK33</f>
        <v>479641</v>
      </c>
      <c r="AL3" s="616">
        <f>[1]ELEC!AL33</f>
        <v>437905</v>
      </c>
      <c r="AM3" s="617">
        <f>AK3+AL3</f>
        <v>917546</v>
      </c>
      <c r="AN3" s="617">
        <v>4709</v>
      </c>
    </row>
    <row r="4" spans="1:40">
      <c r="A4" s="452">
        <f>'General information '!F6</f>
        <v>0</v>
      </c>
      <c r="B4" s="446">
        <f>SUM(230*A4)</f>
        <v>0</v>
      </c>
      <c r="C4" s="453">
        <v>44378</v>
      </c>
      <c r="D4" s="440">
        <f>D3</f>
        <v>32911138</v>
      </c>
      <c r="E4" s="441">
        <f>AN4</f>
        <v>0</v>
      </c>
      <c r="F4" s="767">
        <f>F3</f>
        <v>4052232</v>
      </c>
      <c r="G4" s="442">
        <f>F4-F3</f>
        <v>0</v>
      </c>
      <c r="H4" s="440">
        <f>H3</f>
        <v>17915194</v>
      </c>
      <c r="I4" s="442">
        <f>H4-H3</f>
        <v>0</v>
      </c>
      <c r="J4" s="440">
        <f>J3</f>
        <v>29262634</v>
      </c>
      <c r="K4" s="442">
        <f>J4-J3</f>
        <v>0</v>
      </c>
      <c r="L4" s="440">
        <f>L3</f>
        <v>24306358</v>
      </c>
      <c r="M4" s="442">
        <f>L4-L3</f>
        <v>0</v>
      </c>
      <c r="N4" s="443">
        <f>M4+K4+I4+G4+E4</f>
        <v>0</v>
      </c>
      <c r="O4" s="454">
        <f t="shared" ref="O4:O10" si="0">IF(B4&gt;0,N4/B4,0)</f>
        <v>0</v>
      </c>
      <c r="P4" s="641">
        <f>P3</f>
        <v>17599.473000000002</v>
      </c>
      <c r="Q4" s="462">
        <f t="shared" ref="Q4:Q13" si="1">(P4-P3)*1000</f>
        <v>0</v>
      </c>
      <c r="R4" s="618">
        <f>+N4-Q4</f>
        <v>0</v>
      </c>
      <c r="S4" s="440">
        <f>S3</f>
        <v>10175</v>
      </c>
      <c r="T4" s="456">
        <f t="shared" ref="T4:T31" si="2">S4-S3</f>
        <v>0</v>
      </c>
      <c r="U4" s="440">
        <f>U3</f>
        <v>429166</v>
      </c>
      <c r="V4" s="455">
        <f>U4-U3</f>
        <v>0</v>
      </c>
      <c r="W4" s="440">
        <f>W3</f>
        <v>32816</v>
      </c>
      <c r="X4" s="455">
        <f t="shared" ref="X4:X9" si="3">W4-W3</f>
        <v>0</v>
      </c>
      <c r="Y4" s="440">
        <f>Y3</f>
        <v>830547</v>
      </c>
      <c r="Z4" s="455">
        <f>Y4-Y3</f>
        <v>0</v>
      </c>
      <c r="AA4" s="440">
        <f>AA3</f>
        <v>36188</v>
      </c>
      <c r="AB4" s="455">
        <f>AA4-AA3</f>
        <v>0</v>
      </c>
      <c r="AC4" s="440">
        <f>AC3</f>
        <v>1015441</v>
      </c>
      <c r="AD4" s="457">
        <f>AC4-AC3</f>
        <v>0</v>
      </c>
      <c r="AE4" s="458">
        <f>AB4+X4+T4</f>
        <v>0</v>
      </c>
      <c r="AF4" s="467">
        <f t="shared" ref="AF4:AF31" si="4">V4+Z4+AD4</f>
        <v>0</v>
      </c>
      <c r="AG4" s="459">
        <f t="shared" ref="AG4:AG10" si="5">IF(AE4&gt;0,AF4/AE4,0)</f>
        <v>0</v>
      </c>
      <c r="AI4" s="460">
        <f>R4-'EDl log'!B4</f>
        <v>-1073898</v>
      </c>
      <c r="AJ4" s="596">
        <v>44378</v>
      </c>
      <c r="AK4" s="460">
        <f>AK3</f>
        <v>479641</v>
      </c>
      <c r="AL4" s="617">
        <f>AL3</f>
        <v>437905</v>
      </c>
      <c r="AM4" s="617">
        <f>AK4+AL4</f>
        <v>917546</v>
      </c>
      <c r="AN4" s="617">
        <f>AM4-AM3</f>
        <v>0</v>
      </c>
    </row>
    <row r="5" spans="1:40">
      <c r="A5" s="452">
        <f>'General information '!F7</f>
        <v>0</v>
      </c>
      <c r="B5" s="446">
        <f t="shared" ref="B5:B31" si="6">SUM(230*A5)</f>
        <v>0</v>
      </c>
      <c r="C5" s="453">
        <v>44379</v>
      </c>
      <c r="D5" s="440">
        <f t="shared" ref="D5:D34" si="7">D4</f>
        <v>32911138</v>
      </c>
      <c r="E5" s="441">
        <f>AN5</f>
        <v>0</v>
      </c>
      <c r="F5" s="767">
        <f t="shared" ref="F5:F34" si="8">F4</f>
        <v>4052232</v>
      </c>
      <c r="G5" s="308">
        <f>F5-F4</f>
        <v>0</v>
      </c>
      <c r="H5" s="440">
        <f t="shared" ref="H5:H34" si="9">H4</f>
        <v>17915194</v>
      </c>
      <c r="I5" s="308">
        <f>H5-H4</f>
        <v>0</v>
      </c>
      <c r="J5" s="440">
        <f t="shared" ref="J5:J34" si="10">J4</f>
        <v>29262634</v>
      </c>
      <c r="K5" s="308">
        <f>J5-J4</f>
        <v>0</v>
      </c>
      <c r="L5" s="440">
        <f t="shared" ref="L5:L34" si="11">L4</f>
        <v>24306358</v>
      </c>
      <c r="M5" s="308">
        <f>L5-L4</f>
        <v>0</v>
      </c>
      <c r="N5" s="307">
        <f>M5+K5+I5+G5+E5</f>
        <v>0</v>
      </c>
      <c r="O5" s="461">
        <f t="shared" si="0"/>
        <v>0</v>
      </c>
      <c r="P5" s="641">
        <f t="shared" ref="P5:P34" si="12">P4</f>
        <v>17599.473000000002</v>
      </c>
      <c r="Q5" s="462">
        <f t="shared" si="1"/>
        <v>0</v>
      </c>
      <c r="R5" s="444">
        <f>N5-Q5</f>
        <v>0</v>
      </c>
      <c r="S5" s="440">
        <f t="shared" ref="S5:S34" si="13">S4</f>
        <v>10175</v>
      </c>
      <c r="T5" s="463">
        <f t="shared" si="2"/>
        <v>0</v>
      </c>
      <c r="U5" s="440">
        <f t="shared" ref="U5:U34" si="14">U4</f>
        <v>429166</v>
      </c>
      <c r="V5" s="444">
        <f>U5-U4</f>
        <v>0</v>
      </c>
      <c r="W5" s="440">
        <f t="shared" ref="W5:W34" si="15">W4</f>
        <v>32816</v>
      </c>
      <c r="X5" s="444">
        <f t="shared" si="3"/>
        <v>0</v>
      </c>
      <c r="Y5" s="440">
        <f t="shared" ref="Y5:Y34" si="16">Y4</f>
        <v>830547</v>
      </c>
      <c r="Z5" s="444">
        <f>Y5-Y4</f>
        <v>0</v>
      </c>
      <c r="AA5" s="440">
        <f t="shared" ref="AA5:AA34" si="17">AA4</f>
        <v>36188</v>
      </c>
      <c r="AB5" s="464">
        <f>AA5-AA4</f>
        <v>0</v>
      </c>
      <c r="AC5" s="440">
        <f t="shared" ref="AC5:AC34" si="18">AC4</f>
        <v>1015441</v>
      </c>
      <c r="AD5" s="465">
        <f>AC5-AC4</f>
        <v>0</v>
      </c>
      <c r="AE5" s="466">
        <f t="shared" ref="AE5:AE31" si="19">AB5+X5+T5</f>
        <v>0</v>
      </c>
      <c r="AF5" s="467">
        <f t="shared" si="4"/>
        <v>0</v>
      </c>
      <c r="AG5" s="459">
        <f t="shared" si="5"/>
        <v>0</v>
      </c>
      <c r="AI5" s="460">
        <f>R5-'EDl log'!B5</f>
        <v>-1073898</v>
      </c>
      <c r="AJ5" s="596">
        <v>44379</v>
      </c>
      <c r="AK5" s="460">
        <f t="shared" ref="AK5:AK33" si="20">AK4</f>
        <v>479641</v>
      </c>
      <c r="AL5" s="617">
        <f t="shared" ref="AL5:AL33" si="21">AL4</f>
        <v>437905</v>
      </c>
      <c r="AM5" s="617">
        <f t="shared" ref="AM5:AM33" si="22">AK5+AL5</f>
        <v>917546</v>
      </c>
      <c r="AN5" s="617">
        <f>AM5-AM4</f>
        <v>0</v>
      </c>
    </row>
    <row r="6" spans="1:40">
      <c r="A6" s="452">
        <f>'General information '!F8</f>
        <v>0</v>
      </c>
      <c r="B6" s="446">
        <f>SUM(230*A6)</f>
        <v>0</v>
      </c>
      <c r="C6" s="453">
        <v>44380</v>
      </c>
      <c r="D6" s="440">
        <f t="shared" si="7"/>
        <v>32911138</v>
      </c>
      <c r="E6" s="441">
        <f t="shared" ref="E6:E33" si="23">AN6</f>
        <v>0</v>
      </c>
      <c r="F6" s="767">
        <f t="shared" si="8"/>
        <v>4052232</v>
      </c>
      <c r="G6" s="308">
        <f t="shared" ref="G6:G33" si="24">F6-F5</f>
        <v>0</v>
      </c>
      <c r="H6" s="440">
        <f t="shared" si="9"/>
        <v>17915194</v>
      </c>
      <c r="I6" s="308">
        <f t="shared" ref="I6:I33" si="25">H6-H5</f>
        <v>0</v>
      </c>
      <c r="J6" s="440">
        <f t="shared" si="10"/>
        <v>29262634</v>
      </c>
      <c r="K6" s="308">
        <f t="shared" ref="K6:K33" si="26">J6-J5</f>
        <v>0</v>
      </c>
      <c r="L6" s="440">
        <f t="shared" si="11"/>
        <v>24306358</v>
      </c>
      <c r="M6" s="308">
        <f t="shared" ref="M6:M33" si="27">L6-L5</f>
        <v>0</v>
      </c>
      <c r="N6" s="307">
        <f t="shared" ref="N6:N33" si="28">M6+K6+I6+G6+E6</f>
        <v>0</v>
      </c>
      <c r="O6" s="461">
        <f t="shared" si="0"/>
        <v>0</v>
      </c>
      <c r="P6" s="641">
        <f t="shared" si="12"/>
        <v>17599.473000000002</v>
      </c>
      <c r="Q6" s="462">
        <f>(P6-P5)*1000</f>
        <v>0</v>
      </c>
      <c r="R6" s="444">
        <f>N6-Q6</f>
        <v>0</v>
      </c>
      <c r="S6" s="440">
        <f t="shared" si="13"/>
        <v>10175</v>
      </c>
      <c r="T6" s="463">
        <f t="shared" si="2"/>
        <v>0</v>
      </c>
      <c r="U6" s="440">
        <f t="shared" si="14"/>
        <v>429166</v>
      </c>
      <c r="V6" s="444">
        <f t="shared" ref="V6:V31" si="29">U6-U5</f>
        <v>0</v>
      </c>
      <c r="W6" s="440">
        <f t="shared" si="15"/>
        <v>32816</v>
      </c>
      <c r="X6" s="444">
        <f t="shared" si="3"/>
        <v>0</v>
      </c>
      <c r="Y6" s="440">
        <f t="shared" si="16"/>
        <v>830547</v>
      </c>
      <c r="Z6" s="444">
        <f>Y6-Y5</f>
        <v>0</v>
      </c>
      <c r="AA6" s="440">
        <f t="shared" si="17"/>
        <v>36188</v>
      </c>
      <c r="AB6" s="444">
        <f t="shared" ref="AB6:AB31" si="30">AA6-AA5</f>
        <v>0</v>
      </c>
      <c r="AC6" s="440">
        <f t="shared" si="18"/>
        <v>1015441</v>
      </c>
      <c r="AD6" s="444">
        <f t="shared" ref="AD6:AD17" si="31">AC6-AC5</f>
        <v>0</v>
      </c>
      <c r="AE6" s="466">
        <f t="shared" si="19"/>
        <v>0</v>
      </c>
      <c r="AF6" s="467">
        <f t="shared" si="4"/>
        <v>0</v>
      </c>
      <c r="AG6" s="459">
        <f t="shared" si="5"/>
        <v>0</v>
      </c>
      <c r="AI6" s="460">
        <f>R6-'EDl log'!B6</f>
        <v>-1073898</v>
      </c>
      <c r="AJ6" s="596">
        <v>44380</v>
      </c>
      <c r="AK6" s="460">
        <f t="shared" si="20"/>
        <v>479641</v>
      </c>
      <c r="AL6" s="617">
        <f t="shared" si="21"/>
        <v>437905</v>
      </c>
      <c r="AM6" s="617">
        <f t="shared" si="22"/>
        <v>917546</v>
      </c>
      <c r="AN6" s="617">
        <f t="shared" ref="AN6:AN33" si="32">AM6-AM5</f>
        <v>0</v>
      </c>
    </row>
    <row r="7" spans="1:40">
      <c r="A7" s="452">
        <f>'General information '!F9</f>
        <v>0</v>
      </c>
      <c r="B7" s="446">
        <f t="shared" si="6"/>
        <v>0</v>
      </c>
      <c r="C7" s="453">
        <v>44381</v>
      </c>
      <c r="D7" s="440">
        <f t="shared" si="7"/>
        <v>32911138</v>
      </c>
      <c r="E7" s="441">
        <f t="shared" si="23"/>
        <v>2988</v>
      </c>
      <c r="F7" s="767">
        <v>4052907</v>
      </c>
      <c r="G7" s="308">
        <f t="shared" si="24"/>
        <v>675</v>
      </c>
      <c r="H7" s="440">
        <v>17916008</v>
      </c>
      <c r="I7" s="308">
        <f t="shared" si="25"/>
        <v>814</v>
      </c>
      <c r="J7" s="440">
        <v>29268202</v>
      </c>
      <c r="K7" s="308">
        <f t="shared" si="26"/>
        <v>5568</v>
      </c>
      <c r="L7" s="440">
        <v>24308220</v>
      </c>
      <c r="M7" s="308">
        <f t="shared" si="27"/>
        <v>1862</v>
      </c>
      <c r="N7" s="307">
        <f t="shared" si="28"/>
        <v>11907</v>
      </c>
      <c r="O7" s="461">
        <f t="shared" si="0"/>
        <v>0</v>
      </c>
      <c r="P7" s="641">
        <v>17605.258000000002</v>
      </c>
      <c r="Q7" s="444">
        <f t="shared" si="1"/>
        <v>5784.9999999998545</v>
      </c>
      <c r="R7" s="444">
        <f t="shared" ref="R7:R13" si="33">N7-Q7</f>
        <v>6122.0000000001455</v>
      </c>
      <c r="S7" s="440">
        <f t="shared" si="13"/>
        <v>10175</v>
      </c>
      <c r="T7" s="463">
        <f t="shared" si="2"/>
        <v>0</v>
      </c>
      <c r="U7" s="440">
        <f t="shared" si="14"/>
        <v>429166</v>
      </c>
      <c r="V7" s="444">
        <f t="shared" si="29"/>
        <v>0</v>
      </c>
      <c r="W7" s="440">
        <v>32827</v>
      </c>
      <c r="X7" s="444">
        <f t="shared" si="3"/>
        <v>11</v>
      </c>
      <c r="Y7" s="440">
        <v>833372</v>
      </c>
      <c r="Z7" s="444">
        <f t="shared" ref="Z7:Z31" si="34">Y7-Y6</f>
        <v>2825</v>
      </c>
      <c r="AA7" s="440">
        <f t="shared" si="17"/>
        <v>36188</v>
      </c>
      <c r="AB7" s="444">
        <f t="shared" si="30"/>
        <v>0</v>
      </c>
      <c r="AC7" s="440">
        <f t="shared" si="18"/>
        <v>1015441</v>
      </c>
      <c r="AD7" s="444">
        <f t="shared" si="31"/>
        <v>0</v>
      </c>
      <c r="AE7" s="466">
        <f t="shared" si="19"/>
        <v>11</v>
      </c>
      <c r="AF7" s="467">
        <f t="shared" si="4"/>
        <v>2825</v>
      </c>
      <c r="AG7" s="459">
        <f t="shared" si="5"/>
        <v>256.81818181818181</v>
      </c>
      <c r="AI7" s="460">
        <f>R7-'EDl log'!B7</f>
        <v>-1067775.9999999998</v>
      </c>
      <c r="AJ7" s="596">
        <v>44381</v>
      </c>
      <c r="AK7" s="460">
        <v>482457</v>
      </c>
      <c r="AL7" s="617">
        <v>438077</v>
      </c>
      <c r="AM7" s="617">
        <f t="shared" si="22"/>
        <v>920534</v>
      </c>
      <c r="AN7" s="617">
        <f t="shared" si="32"/>
        <v>2988</v>
      </c>
    </row>
    <row r="8" spans="1:40">
      <c r="A8" s="452">
        <f>'General information '!F10</f>
        <v>0</v>
      </c>
      <c r="B8" s="446">
        <f t="shared" si="6"/>
        <v>0</v>
      </c>
      <c r="C8" s="453">
        <v>44382</v>
      </c>
      <c r="D8" s="440">
        <f t="shared" si="7"/>
        <v>32911138</v>
      </c>
      <c r="E8" s="441">
        <f t="shared" si="23"/>
        <v>927</v>
      </c>
      <c r="F8" s="767">
        <v>4053095</v>
      </c>
      <c r="G8" s="308">
        <f t="shared" si="24"/>
        <v>188</v>
      </c>
      <c r="H8" s="440">
        <v>17916230</v>
      </c>
      <c r="I8" s="308">
        <f t="shared" si="25"/>
        <v>222</v>
      </c>
      <c r="J8" s="440">
        <v>29270250</v>
      </c>
      <c r="K8" s="308">
        <f t="shared" si="26"/>
        <v>2048</v>
      </c>
      <c r="L8" s="440">
        <v>24308882</v>
      </c>
      <c r="M8" s="308">
        <f t="shared" si="27"/>
        <v>662</v>
      </c>
      <c r="N8" s="307">
        <f t="shared" si="28"/>
        <v>4047</v>
      </c>
      <c r="O8" s="461">
        <f t="shared" si="0"/>
        <v>0</v>
      </c>
      <c r="P8" s="641">
        <v>17615.04</v>
      </c>
      <c r="Q8" s="444">
        <f t="shared" si="1"/>
        <v>9781.9999999992433</v>
      </c>
      <c r="R8" s="444">
        <f t="shared" si="33"/>
        <v>-5734.9999999992433</v>
      </c>
      <c r="S8" s="440">
        <f t="shared" si="13"/>
        <v>10175</v>
      </c>
      <c r="T8" s="463">
        <f t="shared" si="2"/>
        <v>0</v>
      </c>
      <c r="U8" s="440">
        <f t="shared" si="14"/>
        <v>429166</v>
      </c>
      <c r="V8" s="444">
        <f t="shared" si="29"/>
        <v>0</v>
      </c>
      <c r="W8" s="440">
        <v>32835</v>
      </c>
      <c r="X8" s="444">
        <f t="shared" si="3"/>
        <v>8</v>
      </c>
      <c r="Y8" s="440">
        <v>835487</v>
      </c>
      <c r="Z8" s="444">
        <f t="shared" si="34"/>
        <v>2115</v>
      </c>
      <c r="AA8" s="440">
        <f t="shared" si="17"/>
        <v>36188</v>
      </c>
      <c r="AB8" s="444">
        <f t="shared" si="30"/>
        <v>0</v>
      </c>
      <c r="AC8" s="440">
        <f t="shared" si="18"/>
        <v>1015441</v>
      </c>
      <c r="AD8" s="444">
        <f t="shared" si="31"/>
        <v>0</v>
      </c>
      <c r="AE8" s="466">
        <f t="shared" si="19"/>
        <v>8</v>
      </c>
      <c r="AF8" s="467">
        <f t="shared" si="4"/>
        <v>2115</v>
      </c>
      <c r="AG8" s="459">
        <f t="shared" si="5"/>
        <v>264.375</v>
      </c>
      <c r="AI8" s="460">
        <f>R8-'EDl log'!B8</f>
        <v>-1079632.9999999993</v>
      </c>
      <c r="AJ8" s="596">
        <v>44382</v>
      </c>
      <c r="AK8" s="460">
        <v>483384</v>
      </c>
      <c r="AL8" s="617">
        <f t="shared" si="21"/>
        <v>438077</v>
      </c>
      <c r="AM8" s="617">
        <f t="shared" si="22"/>
        <v>921461</v>
      </c>
      <c r="AN8" s="617">
        <f t="shared" si="32"/>
        <v>927</v>
      </c>
    </row>
    <row r="9" spans="1:40">
      <c r="A9" s="452">
        <f>'General information '!F11</f>
        <v>0</v>
      </c>
      <c r="B9" s="446">
        <f t="shared" si="6"/>
        <v>0</v>
      </c>
      <c r="C9" s="453">
        <v>44383</v>
      </c>
      <c r="D9" s="440">
        <f t="shared" si="7"/>
        <v>32911138</v>
      </c>
      <c r="E9" s="441">
        <f t="shared" si="23"/>
        <v>6462</v>
      </c>
      <c r="F9" s="767">
        <v>4053815</v>
      </c>
      <c r="G9" s="308">
        <f t="shared" si="24"/>
        <v>720</v>
      </c>
      <c r="H9" s="440">
        <v>17917154</v>
      </c>
      <c r="I9" s="308">
        <f t="shared" si="25"/>
        <v>924</v>
      </c>
      <c r="J9" s="440">
        <v>29274774</v>
      </c>
      <c r="K9" s="308">
        <f t="shared" si="26"/>
        <v>4524</v>
      </c>
      <c r="L9" s="440">
        <v>24311338</v>
      </c>
      <c r="M9" s="308">
        <f t="shared" si="27"/>
        <v>2456</v>
      </c>
      <c r="N9" s="307">
        <f t="shared" si="28"/>
        <v>15086</v>
      </c>
      <c r="O9" s="461">
        <f t="shared" si="0"/>
        <v>0</v>
      </c>
      <c r="P9" s="641">
        <v>17630.012999999999</v>
      </c>
      <c r="Q9" s="444">
        <f t="shared" si="1"/>
        <v>14972.999999998137</v>
      </c>
      <c r="R9" s="444">
        <f t="shared" si="33"/>
        <v>113.00000000186265</v>
      </c>
      <c r="S9" s="440">
        <f t="shared" si="13"/>
        <v>10175</v>
      </c>
      <c r="T9" s="463">
        <f t="shared" si="2"/>
        <v>0</v>
      </c>
      <c r="U9" s="440">
        <f t="shared" si="14"/>
        <v>429166</v>
      </c>
      <c r="V9" s="444">
        <f t="shared" si="29"/>
        <v>0</v>
      </c>
      <c r="W9" s="440">
        <v>32845</v>
      </c>
      <c r="X9" s="444">
        <f t="shared" si="3"/>
        <v>10</v>
      </c>
      <c r="Y9" s="440">
        <v>837704</v>
      </c>
      <c r="Z9" s="444">
        <f t="shared" si="34"/>
        <v>2217</v>
      </c>
      <c r="AA9" s="440">
        <v>36199</v>
      </c>
      <c r="AB9" s="444">
        <f t="shared" si="30"/>
        <v>11</v>
      </c>
      <c r="AC9" s="440">
        <v>1018300</v>
      </c>
      <c r="AD9" s="444">
        <f t="shared" si="31"/>
        <v>2859</v>
      </c>
      <c r="AE9" s="466">
        <f t="shared" si="19"/>
        <v>21</v>
      </c>
      <c r="AF9" s="467">
        <f t="shared" si="4"/>
        <v>5076</v>
      </c>
      <c r="AG9" s="459">
        <f t="shared" si="5"/>
        <v>241.71428571428572</v>
      </c>
      <c r="AI9" s="460">
        <f>R9-'EDl log'!B9</f>
        <v>-1074403.9999999981</v>
      </c>
      <c r="AJ9" s="596">
        <v>44383</v>
      </c>
      <c r="AK9" s="460">
        <v>489710</v>
      </c>
      <c r="AL9" s="617">
        <v>438213</v>
      </c>
      <c r="AM9" s="617">
        <f t="shared" si="22"/>
        <v>927923</v>
      </c>
      <c r="AN9" s="617">
        <f t="shared" si="32"/>
        <v>6462</v>
      </c>
    </row>
    <row r="10" spans="1:40">
      <c r="A10" s="452">
        <f>'General information '!F12</f>
        <v>0</v>
      </c>
      <c r="B10" s="446">
        <f t="shared" si="6"/>
        <v>0</v>
      </c>
      <c r="C10" s="453">
        <v>44384</v>
      </c>
      <c r="D10" s="440">
        <f t="shared" si="7"/>
        <v>32911138</v>
      </c>
      <c r="E10" s="441">
        <f t="shared" si="23"/>
        <v>7259</v>
      </c>
      <c r="F10" s="765">
        <v>4054510</v>
      </c>
      <c r="G10" s="308">
        <f t="shared" si="24"/>
        <v>695</v>
      </c>
      <c r="H10" s="766">
        <v>17918150</v>
      </c>
      <c r="I10" s="308">
        <f t="shared" si="25"/>
        <v>996</v>
      </c>
      <c r="J10" s="765">
        <v>29278882</v>
      </c>
      <c r="K10" s="308">
        <f t="shared" si="26"/>
        <v>4108</v>
      </c>
      <c r="L10" s="766">
        <v>24313726</v>
      </c>
      <c r="M10" s="308">
        <f t="shared" si="27"/>
        <v>2388</v>
      </c>
      <c r="N10" s="307">
        <f t="shared" si="28"/>
        <v>15446</v>
      </c>
      <c r="O10" s="461">
        <f t="shared" si="0"/>
        <v>0</v>
      </c>
      <c r="P10" s="768">
        <v>17645.381000000001</v>
      </c>
      <c r="Q10" s="444">
        <f t="shared" si="1"/>
        <v>15368.000000002212</v>
      </c>
      <c r="R10" s="444">
        <f t="shared" si="33"/>
        <v>77.999999997788109</v>
      </c>
      <c r="S10" s="440">
        <f t="shared" si="13"/>
        <v>10175</v>
      </c>
      <c r="T10" s="463">
        <f t="shared" si="2"/>
        <v>0</v>
      </c>
      <c r="U10" s="440">
        <f t="shared" si="14"/>
        <v>429166</v>
      </c>
      <c r="V10" s="444">
        <f t="shared" si="29"/>
        <v>0</v>
      </c>
      <c r="W10" s="766">
        <v>32851</v>
      </c>
      <c r="X10" s="444">
        <f t="shared" ref="X10:X31" si="35">W10-W9</f>
        <v>6</v>
      </c>
      <c r="Y10" s="765">
        <v>839184</v>
      </c>
      <c r="Z10" s="444">
        <f t="shared" si="34"/>
        <v>1480</v>
      </c>
      <c r="AA10" s="766">
        <v>36214</v>
      </c>
      <c r="AB10" s="444">
        <f t="shared" si="30"/>
        <v>15</v>
      </c>
      <c r="AC10" s="440">
        <v>1021857</v>
      </c>
      <c r="AD10" s="444">
        <f t="shared" si="31"/>
        <v>3557</v>
      </c>
      <c r="AE10" s="466">
        <f t="shared" si="19"/>
        <v>21</v>
      </c>
      <c r="AF10" s="467">
        <f t="shared" si="4"/>
        <v>5037</v>
      </c>
      <c r="AG10" s="459">
        <f t="shared" si="5"/>
        <v>239.85714285714286</v>
      </c>
      <c r="AI10" s="460">
        <f>R10-'EDl log'!B10</f>
        <v>-1074629.0000000023</v>
      </c>
      <c r="AJ10" s="596">
        <v>44384</v>
      </c>
      <c r="AK10" s="460">
        <v>496891</v>
      </c>
      <c r="AL10" s="617">
        <v>438291</v>
      </c>
      <c r="AM10" s="617">
        <f t="shared" si="22"/>
        <v>935182</v>
      </c>
      <c r="AN10" s="617">
        <f t="shared" si="32"/>
        <v>7259</v>
      </c>
    </row>
    <row r="11" spans="1:40">
      <c r="A11" s="452">
        <f>'General information '!F13</f>
        <v>0</v>
      </c>
      <c r="B11" s="446">
        <f t="shared" si="6"/>
        <v>0</v>
      </c>
      <c r="C11" s="453">
        <v>44385</v>
      </c>
      <c r="D11" s="440">
        <f t="shared" si="7"/>
        <v>32911138</v>
      </c>
      <c r="E11" s="441">
        <f t="shared" si="23"/>
        <v>0</v>
      </c>
      <c r="F11" s="767">
        <f t="shared" si="8"/>
        <v>4054510</v>
      </c>
      <c r="G11" s="308">
        <f t="shared" si="24"/>
        <v>0</v>
      </c>
      <c r="H11" s="440">
        <f t="shared" si="9"/>
        <v>17918150</v>
      </c>
      <c r="I11" s="308">
        <f t="shared" si="25"/>
        <v>0</v>
      </c>
      <c r="J11" s="440">
        <f t="shared" si="10"/>
        <v>29278882</v>
      </c>
      <c r="K11" s="308">
        <f t="shared" si="26"/>
        <v>0</v>
      </c>
      <c r="L11" s="440">
        <f t="shared" si="11"/>
        <v>24313726</v>
      </c>
      <c r="M11" s="308">
        <f t="shared" si="27"/>
        <v>0</v>
      </c>
      <c r="N11" s="307">
        <f t="shared" si="28"/>
        <v>0</v>
      </c>
      <c r="O11" s="461">
        <f t="shared" ref="O11:O31" si="36">IF(B11&gt;0,N11/B11,0)</f>
        <v>0</v>
      </c>
      <c r="P11" s="641">
        <f t="shared" si="12"/>
        <v>17645.381000000001</v>
      </c>
      <c r="Q11" s="444">
        <f t="shared" si="1"/>
        <v>0</v>
      </c>
      <c r="R11" s="444">
        <f t="shared" si="33"/>
        <v>0</v>
      </c>
      <c r="S11" s="440">
        <f t="shared" si="13"/>
        <v>10175</v>
      </c>
      <c r="T11" s="463">
        <f t="shared" si="2"/>
        <v>0</v>
      </c>
      <c r="U11" s="440">
        <f t="shared" si="14"/>
        <v>429166</v>
      </c>
      <c r="V11" s="444">
        <f t="shared" si="29"/>
        <v>0</v>
      </c>
      <c r="W11" s="440">
        <f t="shared" si="15"/>
        <v>32851</v>
      </c>
      <c r="X11" s="444">
        <f t="shared" si="35"/>
        <v>0</v>
      </c>
      <c r="Y11" s="440">
        <f t="shared" si="16"/>
        <v>839184</v>
      </c>
      <c r="Z11" s="444">
        <f t="shared" si="34"/>
        <v>0</v>
      </c>
      <c r="AA11" s="440">
        <f t="shared" si="17"/>
        <v>36214</v>
      </c>
      <c r="AB11" s="444">
        <f t="shared" si="30"/>
        <v>0</v>
      </c>
      <c r="AC11" s="440">
        <f t="shared" si="18"/>
        <v>1021857</v>
      </c>
      <c r="AD11" s="444">
        <f t="shared" si="31"/>
        <v>0</v>
      </c>
      <c r="AE11" s="466">
        <f t="shared" si="19"/>
        <v>0</v>
      </c>
      <c r="AF11" s="467">
        <f t="shared" si="4"/>
        <v>0</v>
      </c>
      <c r="AG11" s="459">
        <f t="shared" ref="AG11:AG31" si="37">IF(AE11&gt;0,AF11/AE11,0)</f>
        <v>0</v>
      </c>
      <c r="AI11" s="460">
        <f>R11-'EDl log'!B11</f>
        <v>-1074707</v>
      </c>
      <c r="AJ11" s="596">
        <v>44385</v>
      </c>
      <c r="AK11" s="460">
        <f t="shared" si="20"/>
        <v>496891</v>
      </c>
      <c r="AL11" s="617">
        <f t="shared" si="21"/>
        <v>438291</v>
      </c>
      <c r="AM11" s="617">
        <f t="shared" si="22"/>
        <v>935182</v>
      </c>
      <c r="AN11" s="617">
        <f t="shared" si="32"/>
        <v>0</v>
      </c>
    </row>
    <row r="12" spans="1:40">
      <c r="A12" s="452">
        <f>'General information '!F14</f>
        <v>0</v>
      </c>
      <c r="B12" s="446">
        <f>SUM(230*A12)</f>
        <v>0</v>
      </c>
      <c r="C12" s="453">
        <v>44386</v>
      </c>
      <c r="D12" s="440">
        <f t="shared" si="7"/>
        <v>32911138</v>
      </c>
      <c r="E12" s="441">
        <f t="shared" si="23"/>
        <v>0</v>
      </c>
      <c r="F12" s="767">
        <f t="shared" si="8"/>
        <v>4054510</v>
      </c>
      <c r="G12" s="308">
        <f t="shared" si="24"/>
        <v>0</v>
      </c>
      <c r="H12" s="440">
        <f t="shared" si="9"/>
        <v>17918150</v>
      </c>
      <c r="I12" s="308">
        <f t="shared" si="25"/>
        <v>0</v>
      </c>
      <c r="J12" s="440">
        <f t="shared" si="10"/>
        <v>29278882</v>
      </c>
      <c r="K12" s="308">
        <f t="shared" si="26"/>
        <v>0</v>
      </c>
      <c r="L12" s="440">
        <f t="shared" si="11"/>
        <v>24313726</v>
      </c>
      <c r="M12" s="308">
        <f t="shared" si="27"/>
        <v>0</v>
      </c>
      <c r="N12" s="307">
        <f>M12+K12+I12+G12+E12</f>
        <v>0</v>
      </c>
      <c r="O12" s="461">
        <f t="shared" si="36"/>
        <v>0</v>
      </c>
      <c r="P12" s="641">
        <f t="shared" si="12"/>
        <v>17645.381000000001</v>
      </c>
      <c r="Q12" s="444">
        <f t="shared" si="1"/>
        <v>0</v>
      </c>
      <c r="R12" s="444">
        <f t="shared" si="33"/>
        <v>0</v>
      </c>
      <c r="S12" s="440">
        <f t="shared" si="13"/>
        <v>10175</v>
      </c>
      <c r="T12" s="463">
        <f t="shared" si="2"/>
        <v>0</v>
      </c>
      <c r="U12" s="440">
        <f t="shared" si="14"/>
        <v>429166</v>
      </c>
      <c r="V12" s="444">
        <f t="shared" si="29"/>
        <v>0</v>
      </c>
      <c r="W12" s="440">
        <f t="shared" si="15"/>
        <v>32851</v>
      </c>
      <c r="X12" s="444">
        <f t="shared" si="35"/>
        <v>0</v>
      </c>
      <c r="Y12" s="440">
        <f t="shared" si="16"/>
        <v>839184</v>
      </c>
      <c r="Z12" s="444">
        <f t="shared" si="34"/>
        <v>0</v>
      </c>
      <c r="AA12" s="440">
        <f t="shared" si="17"/>
        <v>36214</v>
      </c>
      <c r="AB12" s="444">
        <f t="shared" si="30"/>
        <v>0</v>
      </c>
      <c r="AC12" s="440">
        <f t="shared" si="18"/>
        <v>1021857</v>
      </c>
      <c r="AD12" s="444">
        <f t="shared" si="31"/>
        <v>0</v>
      </c>
      <c r="AE12" s="466">
        <f t="shared" si="19"/>
        <v>0</v>
      </c>
      <c r="AF12" s="467">
        <f t="shared" si="4"/>
        <v>0</v>
      </c>
      <c r="AG12" s="459">
        <f t="shared" si="37"/>
        <v>0</v>
      </c>
      <c r="AI12" s="460">
        <f>R12-'EDl log'!B12</f>
        <v>-1074707</v>
      </c>
      <c r="AJ12" s="596">
        <v>44386</v>
      </c>
      <c r="AK12" s="460">
        <f t="shared" si="20"/>
        <v>496891</v>
      </c>
      <c r="AL12" s="617">
        <f t="shared" si="21"/>
        <v>438291</v>
      </c>
      <c r="AM12" s="617">
        <f t="shared" si="22"/>
        <v>935182</v>
      </c>
      <c r="AN12" s="617">
        <f t="shared" si="32"/>
        <v>0</v>
      </c>
    </row>
    <row r="13" spans="1:40">
      <c r="A13" s="452">
        <f>'General information '!F15</f>
        <v>0</v>
      </c>
      <c r="B13" s="446">
        <f t="shared" si="6"/>
        <v>0</v>
      </c>
      <c r="C13" s="453">
        <v>44387</v>
      </c>
      <c r="D13" s="440">
        <f t="shared" si="7"/>
        <v>32911138</v>
      </c>
      <c r="E13" s="441">
        <f t="shared" si="23"/>
        <v>0</v>
      </c>
      <c r="F13" s="767">
        <f t="shared" si="8"/>
        <v>4054510</v>
      </c>
      <c r="G13" s="308">
        <f t="shared" si="24"/>
        <v>0</v>
      </c>
      <c r="H13" s="440">
        <f t="shared" si="9"/>
        <v>17918150</v>
      </c>
      <c r="I13" s="308">
        <f t="shared" si="25"/>
        <v>0</v>
      </c>
      <c r="J13" s="440">
        <f t="shared" si="10"/>
        <v>29278882</v>
      </c>
      <c r="K13" s="308">
        <f t="shared" si="26"/>
        <v>0</v>
      </c>
      <c r="L13" s="440">
        <f t="shared" si="11"/>
        <v>24313726</v>
      </c>
      <c r="M13" s="308">
        <f t="shared" si="27"/>
        <v>0</v>
      </c>
      <c r="N13" s="307">
        <f>M13+K13+I13+G13+E13</f>
        <v>0</v>
      </c>
      <c r="O13" s="461">
        <f t="shared" si="36"/>
        <v>0</v>
      </c>
      <c r="P13" s="641">
        <f t="shared" si="12"/>
        <v>17645.381000000001</v>
      </c>
      <c r="Q13" s="444">
        <f t="shared" si="1"/>
        <v>0</v>
      </c>
      <c r="R13" s="444">
        <f t="shared" si="33"/>
        <v>0</v>
      </c>
      <c r="S13" s="440">
        <f t="shared" si="13"/>
        <v>10175</v>
      </c>
      <c r="T13" s="463">
        <f t="shared" si="2"/>
        <v>0</v>
      </c>
      <c r="U13" s="440">
        <f t="shared" si="14"/>
        <v>429166</v>
      </c>
      <c r="V13" s="444">
        <f t="shared" si="29"/>
        <v>0</v>
      </c>
      <c r="W13" s="440">
        <f t="shared" si="15"/>
        <v>32851</v>
      </c>
      <c r="X13" s="444">
        <f t="shared" si="35"/>
        <v>0</v>
      </c>
      <c r="Y13" s="440">
        <f t="shared" si="16"/>
        <v>839184</v>
      </c>
      <c r="Z13" s="444">
        <f t="shared" si="34"/>
        <v>0</v>
      </c>
      <c r="AA13" s="440">
        <f t="shared" si="17"/>
        <v>36214</v>
      </c>
      <c r="AB13" s="444">
        <f t="shared" si="30"/>
        <v>0</v>
      </c>
      <c r="AC13" s="440">
        <f t="shared" si="18"/>
        <v>1021857</v>
      </c>
      <c r="AD13" s="444">
        <f t="shared" si="31"/>
        <v>0</v>
      </c>
      <c r="AE13" s="466">
        <f t="shared" si="19"/>
        <v>0</v>
      </c>
      <c r="AF13" s="467">
        <f t="shared" si="4"/>
        <v>0</v>
      </c>
      <c r="AG13" s="459">
        <f t="shared" si="37"/>
        <v>0</v>
      </c>
      <c r="AI13" s="460">
        <f>R13-'EDl log'!B13</f>
        <v>-1074707</v>
      </c>
      <c r="AJ13" s="596">
        <v>44387</v>
      </c>
      <c r="AK13" s="460">
        <f t="shared" si="20"/>
        <v>496891</v>
      </c>
      <c r="AL13" s="617">
        <f t="shared" si="21"/>
        <v>438291</v>
      </c>
      <c r="AM13" s="617">
        <f t="shared" si="22"/>
        <v>935182</v>
      </c>
      <c r="AN13" s="617">
        <f t="shared" si="32"/>
        <v>0</v>
      </c>
    </row>
    <row r="14" spans="1:40">
      <c r="A14" s="452">
        <f>'General information '!F16</f>
        <v>0</v>
      </c>
      <c r="B14" s="446">
        <f t="shared" si="6"/>
        <v>0</v>
      </c>
      <c r="C14" s="453">
        <v>44388</v>
      </c>
      <c r="D14" s="440">
        <f t="shared" si="7"/>
        <v>32911138</v>
      </c>
      <c r="E14" s="441">
        <f t="shared" si="23"/>
        <v>0</v>
      </c>
      <c r="F14" s="767">
        <f t="shared" si="8"/>
        <v>4054510</v>
      </c>
      <c r="G14" s="308">
        <f t="shared" si="24"/>
        <v>0</v>
      </c>
      <c r="H14" s="440">
        <f t="shared" si="9"/>
        <v>17918150</v>
      </c>
      <c r="I14" s="308">
        <f t="shared" si="25"/>
        <v>0</v>
      </c>
      <c r="J14" s="440">
        <f t="shared" si="10"/>
        <v>29278882</v>
      </c>
      <c r="K14" s="308">
        <f t="shared" si="26"/>
        <v>0</v>
      </c>
      <c r="L14" s="440">
        <f t="shared" si="11"/>
        <v>24313726</v>
      </c>
      <c r="M14" s="308">
        <f t="shared" si="27"/>
        <v>0</v>
      </c>
      <c r="N14" s="307">
        <f t="shared" si="28"/>
        <v>0</v>
      </c>
      <c r="O14" s="461">
        <f t="shared" si="36"/>
        <v>0</v>
      </c>
      <c r="P14" s="641">
        <f t="shared" si="12"/>
        <v>17645.381000000001</v>
      </c>
      <c r="Q14" s="444">
        <f>(P14-P13)*1000</f>
        <v>0</v>
      </c>
      <c r="R14" s="444">
        <f>N14-Q14</f>
        <v>0</v>
      </c>
      <c r="S14" s="440">
        <f t="shared" si="13"/>
        <v>10175</v>
      </c>
      <c r="T14" s="463">
        <f t="shared" si="2"/>
        <v>0</v>
      </c>
      <c r="U14" s="440">
        <f t="shared" si="14"/>
        <v>429166</v>
      </c>
      <c r="V14" s="444">
        <f t="shared" si="29"/>
        <v>0</v>
      </c>
      <c r="W14" s="440">
        <f t="shared" si="15"/>
        <v>32851</v>
      </c>
      <c r="X14" s="444">
        <f t="shared" si="35"/>
        <v>0</v>
      </c>
      <c r="Y14" s="440">
        <f t="shared" si="16"/>
        <v>839184</v>
      </c>
      <c r="Z14" s="444">
        <f t="shared" si="34"/>
        <v>0</v>
      </c>
      <c r="AA14" s="440">
        <f t="shared" si="17"/>
        <v>36214</v>
      </c>
      <c r="AB14" s="444">
        <f t="shared" si="30"/>
        <v>0</v>
      </c>
      <c r="AC14" s="440">
        <f t="shared" si="18"/>
        <v>1021857</v>
      </c>
      <c r="AD14" s="444">
        <f t="shared" si="31"/>
        <v>0</v>
      </c>
      <c r="AE14" s="466">
        <f t="shared" si="19"/>
        <v>0</v>
      </c>
      <c r="AF14" s="467">
        <f t="shared" si="4"/>
        <v>0</v>
      </c>
      <c r="AG14" s="459">
        <f t="shared" si="37"/>
        <v>0</v>
      </c>
      <c r="AI14" s="460">
        <f>R14-'EDl log'!B14</f>
        <v>-1074707</v>
      </c>
      <c r="AJ14" s="596">
        <v>44388</v>
      </c>
      <c r="AK14" s="460">
        <f t="shared" si="20"/>
        <v>496891</v>
      </c>
      <c r="AL14" s="617">
        <f t="shared" si="21"/>
        <v>438291</v>
      </c>
      <c r="AM14" s="617">
        <f t="shared" si="22"/>
        <v>935182</v>
      </c>
      <c r="AN14" s="617">
        <f t="shared" si="32"/>
        <v>0</v>
      </c>
    </row>
    <row r="15" spans="1:40">
      <c r="A15" s="452">
        <f>'General information '!F17</f>
        <v>0</v>
      </c>
      <c r="B15" s="446">
        <f t="shared" si="6"/>
        <v>0</v>
      </c>
      <c r="C15" s="453">
        <v>44389</v>
      </c>
      <c r="D15" s="440">
        <f t="shared" si="7"/>
        <v>32911138</v>
      </c>
      <c r="E15" s="441">
        <f t="shared" si="23"/>
        <v>0</v>
      </c>
      <c r="F15" s="767">
        <f t="shared" si="8"/>
        <v>4054510</v>
      </c>
      <c r="G15" s="308">
        <f t="shared" si="24"/>
        <v>0</v>
      </c>
      <c r="H15" s="440">
        <f t="shared" si="9"/>
        <v>17918150</v>
      </c>
      <c r="I15" s="308">
        <f t="shared" si="25"/>
        <v>0</v>
      </c>
      <c r="J15" s="440">
        <f t="shared" si="10"/>
        <v>29278882</v>
      </c>
      <c r="K15" s="308">
        <f t="shared" si="26"/>
        <v>0</v>
      </c>
      <c r="L15" s="440">
        <f t="shared" si="11"/>
        <v>24313726</v>
      </c>
      <c r="M15" s="308">
        <f t="shared" si="27"/>
        <v>0</v>
      </c>
      <c r="N15" s="307">
        <f t="shared" si="28"/>
        <v>0</v>
      </c>
      <c r="O15" s="461">
        <f t="shared" si="36"/>
        <v>0</v>
      </c>
      <c r="P15" s="641">
        <f t="shared" si="12"/>
        <v>17645.381000000001</v>
      </c>
      <c r="Q15" s="444">
        <f t="shared" ref="Q15:Q31" si="38">(P15-P14)*1000</f>
        <v>0</v>
      </c>
      <c r="R15" s="444">
        <f t="shared" ref="R15:R31" si="39">N15-Q15</f>
        <v>0</v>
      </c>
      <c r="S15" s="440">
        <f t="shared" si="13"/>
        <v>10175</v>
      </c>
      <c r="T15" s="463">
        <f t="shared" si="2"/>
        <v>0</v>
      </c>
      <c r="U15" s="440">
        <f t="shared" si="14"/>
        <v>429166</v>
      </c>
      <c r="V15" s="444">
        <f t="shared" si="29"/>
        <v>0</v>
      </c>
      <c r="W15" s="440">
        <f t="shared" si="15"/>
        <v>32851</v>
      </c>
      <c r="X15" s="444">
        <f t="shared" si="35"/>
        <v>0</v>
      </c>
      <c r="Y15" s="440">
        <f t="shared" si="16"/>
        <v>839184</v>
      </c>
      <c r="Z15" s="444">
        <f t="shared" si="34"/>
        <v>0</v>
      </c>
      <c r="AA15" s="440">
        <f t="shared" si="17"/>
        <v>36214</v>
      </c>
      <c r="AB15" s="444">
        <f t="shared" si="30"/>
        <v>0</v>
      </c>
      <c r="AC15" s="440">
        <f t="shared" si="18"/>
        <v>1021857</v>
      </c>
      <c r="AD15" s="444">
        <f t="shared" si="31"/>
        <v>0</v>
      </c>
      <c r="AE15" s="466">
        <f t="shared" si="19"/>
        <v>0</v>
      </c>
      <c r="AF15" s="467">
        <f t="shared" si="4"/>
        <v>0</v>
      </c>
      <c r="AG15" s="459">
        <f t="shared" si="37"/>
        <v>0</v>
      </c>
      <c r="AI15" s="460">
        <f>R15-'EDl log'!B15</f>
        <v>-1074707</v>
      </c>
      <c r="AJ15" s="596">
        <v>44389</v>
      </c>
      <c r="AK15" s="460">
        <f t="shared" si="20"/>
        <v>496891</v>
      </c>
      <c r="AL15" s="617">
        <f t="shared" si="21"/>
        <v>438291</v>
      </c>
      <c r="AM15" s="617">
        <f t="shared" si="22"/>
        <v>935182</v>
      </c>
      <c r="AN15" s="617">
        <f t="shared" si="32"/>
        <v>0</v>
      </c>
    </row>
    <row r="16" spans="1:40">
      <c r="A16" s="452">
        <f>'General information '!F18</f>
        <v>0</v>
      </c>
      <c r="B16" s="446">
        <f t="shared" si="6"/>
        <v>0</v>
      </c>
      <c r="C16" s="453">
        <v>44390</v>
      </c>
      <c r="D16" s="440">
        <f t="shared" si="7"/>
        <v>32911138</v>
      </c>
      <c r="E16" s="441">
        <f t="shared" si="23"/>
        <v>0</v>
      </c>
      <c r="F16" s="767">
        <f t="shared" si="8"/>
        <v>4054510</v>
      </c>
      <c r="G16" s="308">
        <f t="shared" si="24"/>
        <v>0</v>
      </c>
      <c r="H16" s="440">
        <f t="shared" si="9"/>
        <v>17918150</v>
      </c>
      <c r="I16" s="308">
        <f t="shared" si="25"/>
        <v>0</v>
      </c>
      <c r="J16" s="440">
        <f t="shared" si="10"/>
        <v>29278882</v>
      </c>
      <c r="K16" s="308">
        <f t="shared" si="26"/>
        <v>0</v>
      </c>
      <c r="L16" s="440">
        <f t="shared" si="11"/>
        <v>24313726</v>
      </c>
      <c r="M16" s="308">
        <f t="shared" si="27"/>
        <v>0</v>
      </c>
      <c r="N16" s="307">
        <f t="shared" si="28"/>
        <v>0</v>
      </c>
      <c r="O16" s="461">
        <f t="shared" si="36"/>
        <v>0</v>
      </c>
      <c r="P16" s="641">
        <f t="shared" si="12"/>
        <v>17645.381000000001</v>
      </c>
      <c r="Q16" s="444">
        <f>(P16-P15)*1000</f>
        <v>0</v>
      </c>
      <c r="R16" s="444">
        <f t="shared" si="39"/>
        <v>0</v>
      </c>
      <c r="S16" s="440">
        <f t="shared" si="13"/>
        <v>10175</v>
      </c>
      <c r="T16" s="463">
        <f t="shared" si="2"/>
        <v>0</v>
      </c>
      <c r="U16" s="440">
        <f t="shared" si="14"/>
        <v>429166</v>
      </c>
      <c r="V16" s="444">
        <f t="shared" si="29"/>
        <v>0</v>
      </c>
      <c r="W16" s="440">
        <f t="shared" si="15"/>
        <v>32851</v>
      </c>
      <c r="X16" s="444">
        <f t="shared" si="35"/>
        <v>0</v>
      </c>
      <c r="Y16" s="440">
        <f t="shared" si="16"/>
        <v>839184</v>
      </c>
      <c r="Z16" s="444">
        <f t="shared" si="34"/>
        <v>0</v>
      </c>
      <c r="AA16" s="440">
        <f t="shared" si="17"/>
        <v>36214</v>
      </c>
      <c r="AB16" s="444">
        <f t="shared" si="30"/>
        <v>0</v>
      </c>
      <c r="AC16" s="440">
        <f t="shared" si="18"/>
        <v>1021857</v>
      </c>
      <c r="AD16" s="444">
        <f t="shared" si="31"/>
        <v>0</v>
      </c>
      <c r="AE16" s="466">
        <f t="shared" si="19"/>
        <v>0</v>
      </c>
      <c r="AF16" s="467">
        <f t="shared" si="4"/>
        <v>0</v>
      </c>
      <c r="AG16" s="459">
        <f t="shared" si="37"/>
        <v>0</v>
      </c>
      <c r="AI16" s="460">
        <f>R16-'EDl log'!B16</f>
        <v>-1074707</v>
      </c>
      <c r="AJ16" s="596">
        <v>44390</v>
      </c>
      <c r="AK16" s="460">
        <f t="shared" si="20"/>
        <v>496891</v>
      </c>
      <c r="AL16" s="617">
        <f t="shared" si="21"/>
        <v>438291</v>
      </c>
      <c r="AM16" s="617">
        <f t="shared" si="22"/>
        <v>935182</v>
      </c>
      <c r="AN16" s="617">
        <f t="shared" si="32"/>
        <v>0</v>
      </c>
    </row>
    <row r="17" spans="1:40">
      <c r="A17" s="452">
        <f>'General information '!F19</f>
        <v>0</v>
      </c>
      <c r="B17" s="446">
        <f t="shared" si="6"/>
        <v>0</v>
      </c>
      <c r="C17" s="453">
        <v>44391</v>
      </c>
      <c r="D17" s="440">
        <f t="shared" si="7"/>
        <v>32911138</v>
      </c>
      <c r="E17" s="441">
        <f t="shared" si="23"/>
        <v>0</v>
      </c>
      <c r="F17" s="767">
        <f t="shared" si="8"/>
        <v>4054510</v>
      </c>
      <c r="G17" s="308">
        <f t="shared" si="24"/>
        <v>0</v>
      </c>
      <c r="H17" s="440">
        <f t="shared" si="9"/>
        <v>17918150</v>
      </c>
      <c r="I17" s="308">
        <f t="shared" si="25"/>
        <v>0</v>
      </c>
      <c r="J17" s="440">
        <f t="shared" si="10"/>
        <v>29278882</v>
      </c>
      <c r="K17" s="308">
        <f t="shared" si="26"/>
        <v>0</v>
      </c>
      <c r="L17" s="440">
        <f t="shared" si="11"/>
        <v>24313726</v>
      </c>
      <c r="M17" s="308">
        <f t="shared" si="27"/>
        <v>0</v>
      </c>
      <c r="N17" s="307">
        <f t="shared" si="28"/>
        <v>0</v>
      </c>
      <c r="O17" s="461">
        <f t="shared" si="36"/>
        <v>0</v>
      </c>
      <c r="P17" s="641">
        <f t="shared" si="12"/>
        <v>17645.381000000001</v>
      </c>
      <c r="Q17" s="444">
        <f t="shared" si="38"/>
        <v>0</v>
      </c>
      <c r="R17" s="444">
        <f t="shared" si="39"/>
        <v>0</v>
      </c>
      <c r="S17" s="440">
        <f t="shared" si="13"/>
        <v>10175</v>
      </c>
      <c r="T17" s="463">
        <f t="shared" si="2"/>
        <v>0</v>
      </c>
      <c r="U17" s="440">
        <f t="shared" si="14"/>
        <v>429166</v>
      </c>
      <c r="V17" s="444">
        <f t="shared" si="29"/>
        <v>0</v>
      </c>
      <c r="W17" s="440">
        <f t="shared" si="15"/>
        <v>32851</v>
      </c>
      <c r="X17" s="444">
        <f>W17-W16</f>
        <v>0</v>
      </c>
      <c r="Y17" s="440">
        <f t="shared" si="16"/>
        <v>839184</v>
      </c>
      <c r="Z17" s="444">
        <f>Y17-Y16</f>
        <v>0</v>
      </c>
      <c r="AA17" s="440">
        <f t="shared" si="17"/>
        <v>36214</v>
      </c>
      <c r="AB17" s="444">
        <f>AA17-AA16</f>
        <v>0</v>
      </c>
      <c r="AC17" s="440">
        <f t="shared" si="18"/>
        <v>1021857</v>
      </c>
      <c r="AD17" s="444">
        <f t="shared" si="31"/>
        <v>0</v>
      </c>
      <c r="AE17" s="466">
        <f t="shared" si="19"/>
        <v>0</v>
      </c>
      <c r="AF17" s="467">
        <f t="shared" si="4"/>
        <v>0</v>
      </c>
      <c r="AG17" s="459">
        <f t="shared" si="37"/>
        <v>0</v>
      </c>
      <c r="AI17" s="460">
        <f>R17-'EDl log'!B17</f>
        <v>-1074707</v>
      </c>
      <c r="AJ17" s="596">
        <v>44391</v>
      </c>
      <c r="AK17" s="460">
        <f t="shared" si="20"/>
        <v>496891</v>
      </c>
      <c r="AL17" s="617">
        <f t="shared" si="21"/>
        <v>438291</v>
      </c>
      <c r="AM17" s="617">
        <f t="shared" si="22"/>
        <v>935182</v>
      </c>
      <c r="AN17" s="617">
        <f t="shared" si="32"/>
        <v>0</v>
      </c>
    </row>
    <row r="18" spans="1:40">
      <c r="A18" s="452">
        <f>'General information '!F20</f>
        <v>0</v>
      </c>
      <c r="B18" s="446">
        <f t="shared" si="6"/>
        <v>0</v>
      </c>
      <c r="C18" s="453">
        <v>44392</v>
      </c>
      <c r="D18" s="440">
        <f t="shared" si="7"/>
        <v>32911138</v>
      </c>
      <c r="E18" s="441">
        <f t="shared" si="23"/>
        <v>0</v>
      </c>
      <c r="F18" s="767">
        <f t="shared" si="8"/>
        <v>4054510</v>
      </c>
      <c r="G18" s="308">
        <f t="shared" si="24"/>
        <v>0</v>
      </c>
      <c r="H18" s="440">
        <f t="shared" si="9"/>
        <v>17918150</v>
      </c>
      <c r="I18" s="308">
        <f t="shared" si="25"/>
        <v>0</v>
      </c>
      <c r="J18" s="440">
        <f t="shared" si="10"/>
        <v>29278882</v>
      </c>
      <c r="K18" s="308">
        <f t="shared" si="26"/>
        <v>0</v>
      </c>
      <c r="L18" s="440">
        <f t="shared" si="11"/>
        <v>24313726</v>
      </c>
      <c r="M18" s="308">
        <f t="shared" si="27"/>
        <v>0</v>
      </c>
      <c r="N18" s="307">
        <f t="shared" si="28"/>
        <v>0</v>
      </c>
      <c r="O18" s="461">
        <f t="shared" si="36"/>
        <v>0</v>
      </c>
      <c r="P18" s="641">
        <f t="shared" si="12"/>
        <v>17645.381000000001</v>
      </c>
      <c r="Q18" s="444">
        <f t="shared" si="38"/>
        <v>0</v>
      </c>
      <c r="R18" s="444">
        <f t="shared" si="39"/>
        <v>0</v>
      </c>
      <c r="S18" s="440">
        <f t="shared" si="13"/>
        <v>10175</v>
      </c>
      <c r="T18" s="463">
        <f t="shared" si="2"/>
        <v>0</v>
      </c>
      <c r="U18" s="440">
        <f t="shared" si="14"/>
        <v>429166</v>
      </c>
      <c r="V18" s="444">
        <f t="shared" si="29"/>
        <v>0</v>
      </c>
      <c r="W18" s="440">
        <f t="shared" si="15"/>
        <v>32851</v>
      </c>
      <c r="X18" s="444">
        <f t="shared" si="35"/>
        <v>0</v>
      </c>
      <c r="Y18" s="440">
        <f t="shared" si="16"/>
        <v>839184</v>
      </c>
      <c r="Z18" s="444">
        <f t="shared" si="34"/>
        <v>0</v>
      </c>
      <c r="AA18" s="440">
        <f t="shared" si="17"/>
        <v>36214</v>
      </c>
      <c r="AB18" s="444">
        <f t="shared" si="30"/>
        <v>0</v>
      </c>
      <c r="AC18" s="440">
        <f t="shared" si="18"/>
        <v>1021857</v>
      </c>
      <c r="AD18" s="444">
        <f t="shared" ref="AD18:AD31" si="40">AC18-AC17</f>
        <v>0</v>
      </c>
      <c r="AE18" s="466">
        <f t="shared" si="19"/>
        <v>0</v>
      </c>
      <c r="AF18" s="467">
        <f t="shared" si="4"/>
        <v>0</v>
      </c>
      <c r="AG18" s="459">
        <f t="shared" si="37"/>
        <v>0</v>
      </c>
      <c r="AI18" s="460">
        <f>R18-'EDl log'!B18</f>
        <v>-1074707</v>
      </c>
      <c r="AJ18" s="596">
        <v>44392</v>
      </c>
      <c r="AK18" s="460">
        <f t="shared" si="20"/>
        <v>496891</v>
      </c>
      <c r="AL18" s="617">
        <f t="shared" si="21"/>
        <v>438291</v>
      </c>
      <c r="AM18" s="617">
        <f t="shared" si="22"/>
        <v>935182</v>
      </c>
      <c r="AN18" s="617">
        <f t="shared" si="32"/>
        <v>0</v>
      </c>
    </row>
    <row r="19" spans="1:40">
      <c r="A19" s="452">
        <f>'General information '!F21</f>
        <v>0</v>
      </c>
      <c r="B19" s="446">
        <f t="shared" si="6"/>
        <v>0</v>
      </c>
      <c r="C19" s="453">
        <v>44393</v>
      </c>
      <c r="D19" s="440">
        <f t="shared" si="7"/>
        <v>32911138</v>
      </c>
      <c r="E19" s="441">
        <f t="shared" si="23"/>
        <v>0</v>
      </c>
      <c r="F19" s="767">
        <f t="shared" si="8"/>
        <v>4054510</v>
      </c>
      <c r="G19" s="308">
        <f t="shared" si="24"/>
        <v>0</v>
      </c>
      <c r="H19" s="440">
        <f t="shared" si="9"/>
        <v>17918150</v>
      </c>
      <c r="I19" s="308">
        <f t="shared" si="25"/>
        <v>0</v>
      </c>
      <c r="J19" s="440">
        <f t="shared" si="10"/>
        <v>29278882</v>
      </c>
      <c r="K19" s="308">
        <f t="shared" si="26"/>
        <v>0</v>
      </c>
      <c r="L19" s="440">
        <f t="shared" si="11"/>
        <v>24313726</v>
      </c>
      <c r="M19" s="308">
        <f t="shared" si="27"/>
        <v>0</v>
      </c>
      <c r="N19" s="307">
        <f t="shared" si="28"/>
        <v>0</v>
      </c>
      <c r="O19" s="461">
        <f t="shared" si="36"/>
        <v>0</v>
      </c>
      <c r="P19" s="641">
        <f t="shared" si="12"/>
        <v>17645.381000000001</v>
      </c>
      <c r="Q19" s="444">
        <f t="shared" si="38"/>
        <v>0</v>
      </c>
      <c r="R19" s="444">
        <f t="shared" si="39"/>
        <v>0</v>
      </c>
      <c r="S19" s="440">
        <f t="shared" si="13"/>
        <v>10175</v>
      </c>
      <c r="T19" s="463">
        <f t="shared" si="2"/>
        <v>0</v>
      </c>
      <c r="U19" s="440">
        <f t="shared" si="14"/>
        <v>429166</v>
      </c>
      <c r="V19" s="444">
        <f t="shared" si="29"/>
        <v>0</v>
      </c>
      <c r="W19" s="440">
        <f t="shared" si="15"/>
        <v>32851</v>
      </c>
      <c r="X19" s="444">
        <f t="shared" si="35"/>
        <v>0</v>
      </c>
      <c r="Y19" s="440">
        <f t="shared" si="16"/>
        <v>839184</v>
      </c>
      <c r="Z19" s="444">
        <f t="shared" si="34"/>
        <v>0</v>
      </c>
      <c r="AA19" s="440">
        <f t="shared" si="17"/>
        <v>36214</v>
      </c>
      <c r="AB19" s="444">
        <f t="shared" si="30"/>
        <v>0</v>
      </c>
      <c r="AC19" s="440">
        <f t="shared" si="18"/>
        <v>1021857</v>
      </c>
      <c r="AD19" s="444">
        <f t="shared" si="40"/>
        <v>0</v>
      </c>
      <c r="AE19" s="466">
        <f t="shared" si="19"/>
        <v>0</v>
      </c>
      <c r="AF19" s="467">
        <f t="shared" si="4"/>
        <v>0</v>
      </c>
      <c r="AG19" s="459">
        <f t="shared" si="37"/>
        <v>0</v>
      </c>
      <c r="AI19" s="460">
        <f>R19-'EDl log'!B19</f>
        <v>-1074707</v>
      </c>
      <c r="AJ19" s="596">
        <v>44393</v>
      </c>
      <c r="AK19" s="460">
        <f t="shared" si="20"/>
        <v>496891</v>
      </c>
      <c r="AL19" s="617">
        <f t="shared" si="21"/>
        <v>438291</v>
      </c>
      <c r="AM19" s="617">
        <f t="shared" si="22"/>
        <v>935182</v>
      </c>
      <c r="AN19" s="617">
        <f t="shared" si="32"/>
        <v>0</v>
      </c>
    </row>
    <row r="20" spans="1:40">
      <c r="A20" s="452">
        <f>'General information '!F22</f>
        <v>0</v>
      </c>
      <c r="B20" s="446">
        <f t="shared" si="6"/>
        <v>0</v>
      </c>
      <c r="C20" s="453">
        <v>44394</v>
      </c>
      <c r="D20" s="440">
        <f t="shared" si="7"/>
        <v>32911138</v>
      </c>
      <c r="E20" s="441">
        <f t="shared" si="23"/>
        <v>0</v>
      </c>
      <c r="F20" s="767">
        <f t="shared" si="8"/>
        <v>4054510</v>
      </c>
      <c r="G20" s="308">
        <f t="shared" si="24"/>
        <v>0</v>
      </c>
      <c r="H20" s="440">
        <f t="shared" si="9"/>
        <v>17918150</v>
      </c>
      <c r="I20" s="308">
        <f t="shared" si="25"/>
        <v>0</v>
      </c>
      <c r="J20" s="440">
        <f t="shared" si="10"/>
        <v>29278882</v>
      </c>
      <c r="K20" s="308">
        <f t="shared" si="26"/>
        <v>0</v>
      </c>
      <c r="L20" s="440">
        <f t="shared" si="11"/>
        <v>24313726</v>
      </c>
      <c r="M20" s="308">
        <f t="shared" si="27"/>
        <v>0</v>
      </c>
      <c r="N20" s="307">
        <f t="shared" si="28"/>
        <v>0</v>
      </c>
      <c r="O20" s="461">
        <f t="shared" si="36"/>
        <v>0</v>
      </c>
      <c r="P20" s="641">
        <f t="shared" si="12"/>
        <v>17645.381000000001</v>
      </c>
      <c r="Q20" s="444">
        <f t="shared" si="38"/>
        <v>0</v>
      </c>
      <c r="R20" s="444">
        <f t="shared" si="39"/>
        <v>0</v>
      </c>
      <c r="S20" s="440">
        <f t="shared" si="13"/>
        <v>10175</v>
      </c>
      <c r="T20" s="463">
        <f t="shared" si="2"/>
        <v>0</v>
      </c>
      <c r="U20" s="440">
        <f t="shared" si="14"/>
        <v>429166</v>
      </c>
      <c r="V20" s="444">
        <f t="shared" si="29"/>
        <v>0</v>
      </c>
      <c r="W20" s="440">
        <f t="shared" si="15"/>
        <v>32851</v>
      </c>
      <c r="X20" s="444">
        <f t="shared" si="35"/>
        <v>0</v>
      </c>
      <c r="Y20" s="440">
        <f t="shared" si="16"/>
        <v>839184</v>
      </c>
      <c r="Z20" s="444">
        <f t="shared" si="34"/>
        <v>0</v>
      </c>
      <c r="AA20" s="440">
        <f t="shared" si="17"/>
        <v>36214</v>
      </c>
      <c r="AB20" s="444">
        <f t="shared" si="30"/>
        <v>0</v>
      </c>
      <c r="AC20" s="440">
        <f t="shared" si="18"/>
        <v>1021857</v>
      </c>
      <c r="AD20" s="444">
        <f t="shared" si="40"/>
        <v>0</v>
      </c>
      <c r="AE20" s="466">
        <f t="shared" si="19"/>
        <v>0</v>
      </c>
      <c r="AF20" s="467">
        <f t="shared" si="4"/>
        <v>0</v>
      </c>
      <c r="AG20" s="459">
        <f t="shared" si="37"/>
        <v>0</v>
      </c>
      <c r="AI20" s="460">
        <f>R20-'EDl log'!B20</f>
        <v>-1074707</v>
      </c>
      <c r="AJ20" s="596">
        <v>44394</v>
      </c>
      <c r="AK20" s="460">
        <f t="shared" si="20"/>
        <v>496891</v>
      </c>
      <c r="AL20" s="617">
        <f t="shared" si="21"/>
        <v>438291</v>
      </c>
      <c r="AM20" s="617">
        <f t="shared" si="22"/>
        <v>935182</v>
      </c>
      <c r="AN20" s="617">
        <f t="shared" si="32"/>
        <v>0</v>
      </c>
    </row>
    <row r="21" spans="1:40">
      <c r="A21" s="452">
        <f>'General information '!F23</f>
        <v>0</v>
      </c>
      <c r="B21" s="446">
        <f t="shared" si="6"/>
        <v>0</v>
      </c>
      <c r="C21" s="453">
        <v>44395</v>
      </c>
      <c r="D21" s="440">
        <f t="shared" si="7"/>
        <v>32911138</v>
      </c>
      <c r="E21" s="441">
        <f t="shared" si="23"/>
        <v>0</v>
      </c>
      <c r="F21" s="767">
        <f t="shared" si="8"/>
        <v>4054510</v>
      </c>
      <c r="G21" s="308">
        <f t="shared" si="24"/>
        <v>0</v>
      </c>
      <c r="H21" s="440">
        <f t="shared" si="9"/>
        <v>17918150</v>
      </c>
      <c r="I21" s="308">
        <f t="shared" si="25"/>
        <v>0</v>
      </c>
      <c r="J21" s="440">
        <f t="shared" si="10"/>
        <v>29278882</v>
      </c>
      <c r="K21" s="308">
        <f t="shared" si="26"/>
        <v>0</v>
      </c>
      <c r="L21" s="440">
        <f t="shared" si="11"/>
        <v>24313726</v>
      </c>
      <c r="M21" s="308">
        <f t="shared" si="27"/>
        <v>0</v>
      </c>
      <c r="N21" s="307">
        <f t="shared" si="28"/>
        <v>0</v>
      </c>
      <c r="O21" s="461">
        <f t="shared" si="36"/>
        <v>0</v>
      </c>
      <c r="P21" s="641">
        <f t="shared" si="12"/>
        <v>17645.381000000001</v>
      </c>
      <c r="Q21" s="444">
        <f>(P21-P20)*1000</f>
        <v>0</v>
      </c>
      <c r="R21" s="444">
        <f t="shared" si="39"/>
        <v>0</v>
      </c>
      <c r="S21" s="440">
        <f t="shared" si="13"/>
        <v>10175</v>
      </c>
      <c r="T21" s="463">
        <f t="shared" si="2"/>
        <v>0</v>
      </c>
      <c r="U21" s="440">
        <f t="shared" si="14"/>
        <v>429166</v>
      </c>
      <c r="V21" s="444">
        <f t="shared" si="29"/>
        <v>0</v>
      </c>
      <c r="W21" s="440">
        <f t="shared" si="15"/>
        <v>32851</v>
      </c>
      <c r="X21" s="444">
        <f t="shared" si="35"/>
        <v>0</v>
      </c>
      <c r="Y21" s="440">
        <f t="shared" si="16"/>
        <v>839184</v>
      </c>
      <c r="Z21" s="444">
        <f t="shared" si="34"/>
        <v>0</v>
      </c>
      <c r="AA21" s="440">
        <f t="shared" si="17"/>
        <v>36214</v>
      </c>
      <c r="AB21" s="444">
        <f t="shared" si="30"/>
        <v>0</v>
      </c>
      <c r="AC21" s="440">
        <f t="shared" si="18"/>
        <v>1021857</v>
      </c>
      <c r="AD21" s="444">
        <f t="shared" si="40"/>
        <v>0</v>
      </c>
      <c r="AE21" s="466">
        <f t="shared" si="19"/>
        <v>0</v>
      </c>
      <c r="AF21" s="467">
        <f t="shared" si="4"/>
        <v>0</v>
      </c>
      <c r="AG21" s="459">
        <f t="shared" si="37"/>
        <v>0</v>
      </c>
      <c r="AI21" s="460">
        <f>R21-'EDl log'!B21</f>
        <v>-1074707</v>
      </c>
      <c r="AJ21" s="596">
        <v>44395</v>
      </c>
      <c r="AK21" s="460">
        <f t="shared" si="20"/>
        <v>496891</v>
      </c>
      <c r="AL21" s="617">
        <f t="shared" si="21"/>
        <v>438291</v>
      </c>
      <c r="AM21" s="617">
        <f t="shared" si="22"/>
        <v>935182</v>
      </c>
      <c r="AN21" s="617">
        <f t="shared" si="32"/>
        <v>0</v>
      </c>
    </row>
    <row r="22" spans="1:40">
      <c r="A22" s="452">
        <f>'General information '!F24</f>
        <v>0</v>
      </c>
      <c r="B22" s="446">
        <f t="shared" si="6"/>
        <v>0</v>
      </c>
      <c r="C22" s="453">
        <v>44396</v>
      </c>
      <c r="D22" s="440">
        <f t="shared" si="7"/>
        <v>32911138</v>
      </c>
      <c r="E22" s="441">
        <f t="shared" si="23"/>
        <v>0</v>
      </c>
      <c r="F22" s="767">
        <f t="shared" si="8"/>
        <v>4054510</v>
      </c>
      <c r="G22" s="308">
        <f t="shared" si="24"/>
        <v>0</v>
      </c>
      <c r="H22" s="440">
        <f t="shared" si="9"/>
        <v>17918150</v>
      </c>
      <c r="I22" s="308">
        <f t="shared" si="25"/>
        <v>0</v>
      </c>
      <c r="J22" s="440">
        <f t="shared" si="10"/>
        <v>29278882</v>
      </c>
      <c r="K22" s="308">
        <f t="shared" si="26"/>
        <v>0</v>
      </c>
      <c r="L22" s="440">
        <f t="shared" si="11"/>
        <v>24313726</v>
      </c>
      <c r="M22" s="308">
        <f t="shared" si="27"/>
        <v>0</v>
      </c>
      <c r="N22" s="307">
        <f t="shared" si="28"/>
        <v>0</v>
      </c>
      <c r="O22" s="461">
        <f t="shared" si="36"/>
        <v>0</v>
      </c>
      <c r="P22" s="641">
        <f t="shared" si="12"/>
        <v>17645.381000000001</v>
      </c>
      <c r="Q22" s="444">
        <f t="shared" si="38"/>
        <v>0</v>
      </c>
      <c r="R22" s="444">
        <f t="shared" si="39"/>
        <v>0</v>
      </c>
      <c r="S22" s="440">
        <f t="shared" si="13"/>
        <v>10175</v>
      </c>
      <c r="T22" s="463">
        <f t="shared" si="2"/>
        <v>0</v>
      </c>
      <c r="U22" s="440">
        <f t="shared" si="14"/>
        <v>429166</v>
      </c>
      <c r="V22" s="444">
        <f t="shared" si="29"/>
        <v>0</v>
      </c>
      <c r="W22" s="440">
        <f t="shared" si="15"/>
        <v>32851</v>
      </c>
      <c r="X22" s="444">
        <f t="shared" si="35"/>
        <v>0</v>
      </c>
      <c r="Y22" s="440">
        <f t="shared" si="16"/>
        <v>839184</v>
      </c>
      <c r="Z22" s="444">
        <f t="shared" si="34"/>
        <v>0</v>
      </c>
      <c r="AA22" s="440">
        <f t="shared" si="17"/>
        <v>36214</v>
      </c>
      <c r="AB22" s="444">
        <f t="shared" si="30"/>
        <v>0</v>
      </c>
      <c r="AC22" s="440">
        <f t="shared" si="18"/>
        <v>1021857</v>
      </c>
      <c r="AD22" s="444">
        <f t="shared" si="40"/>
        <v>0</v>
      </c>
      <c r="AE22" s="466">
        <f t="shared" si="19"/>
        <v>0</v>
      </c>
      <c r="AF22" s="467">
        <f t="shared" si="4"/>
        <v>0</v>
      </c>
      <c r="AG22" s="459">
        <f t="shared" si="37"/>
        <v>0</v>
      </c>
      <c r="AI22" s="460">
        <f>R22-'EDl log'!B22</f>
        <v>-1074707</v>
      </c>
      <c r="AJ22" s="596">
        <v>44396</v>
      </c>
      <c r="AK22" s="460">
        <f t="shared" si="20"/>
        <v>496891</v>
      </c>
      <c r="AL22" s="617">
        <f t="shared" si="21"/>
        <v>438291</v>
      </c>
      <c r="AM22" s="617">
        <f t="shared" si="22"/>
        <v>935182</v>
      </c>
      <c r="AN22" s="617">
        <f t="shared" si="32"/>
        <v>0</v>
      </c>
    </row>
    <row r="23" spans="1:40">
      <c r="A23" s="452">
        <f>'General information '!F25</f>
        <v>0</v>
      </c>
      <c r="B23" s="446">
        <f t="shared" si="6"/>
        <v>0</v>
      </c>
      <c r="C23" s="453">
        <v>44397</v>
      </c>
      <c r="D23" s="440">
        <f t="shared" si="7"/>
        <v>32911138</v>
      </c>
      <c r="E23" s="441">
        <f t="shared" si="23"/>
        <v>0</v>
      </c>
      <c r="F23" s="767">
        <f t="shared" si="8"/>
        <v>4054510</v>
      </c>
      <c r="G23" s="308">
        <f t="shared" si="24"/>
        <v>0</v>
      </c>
      <c r="H23" s="440">
        <f t="shared" si="9"/>
        <v>17918150</v>
      </c>
      <c r="I23" s="308">
        <f t="shared" si="25"/>
        <v>0</v>
      </c>
      <c r="J23" s="440">
        <f t="shared" si="10"/>
        <v>29278882</v>
      </c>
      <c r="K23" s="308">
        <f t="shared" si="26"/>
        <v>0</v>
      </c>
      <c r="L23" s="440">
        <f t="shared" si="11"/>
        <v>24313726</v>
      </c>
      <c r="M23" s="308">
        <f t="shared" si="27"/>
        <v>0</v>
      </c>
      <c r="N23" s="307">
        <f t="shared" si="28"/>
        <v>0</v>
      </c>
      <c r="O23" s="461">
        <f t="shared" si="36"/>
        <v>0</v>
      </c>
      <c r="P23" s="641">
        <f t="shared" si="12"/>
        <v>17645.381000000001</v>
      </c>
      <c r="Q23" s="444">
        <f t="shared" si="38"/>
        <v>0</v>
      </c>
      <c r="R23" s="444">
        <f t="shared" si="39"/>
        <v>0</v>
      </c>
      <c r="S23" s="440">
        <f t="shared" si="13"/>
        <v>10175</v>
      </c>
      <c r="T23" s="463">
        <f t="shared" si="2"/>
        <v>0</v>
      </c>
      <c r="U23" s="440">
        <f t="shared" si="14"/>
        <v>429166</v>
      </c>
      <c r="V23" s="444">
        <f t="shared" si="29"/>
        <v>0</v>
      </c>
      <c r="W23" s="440">
        <f t="shared" si="15"/>
        <v>32851</v>
      </c>
      <c r="X23" s="444">
        <f t="shared" si="35"/>
        <v>0</v>
      </c>
      <c r="Y23" s="440">
        <f t="shared" si="16"/>
        <v>839184</v>
      </c>
      <c r="Z23" s="444">
        <f t="shared" si="34"/>
        <v>0</v>
      </c>
      <c r="AA23" s="440">
        <f t="shared" si="17"/>
        <v>36214</v>
      </c>
      <c r="AB23" s="444">
        <f t="shared" si="30"/>
        <v>0</v>
      </c>
      <c r="AC23" s="440">
        <f t="shared" si="18"/>
        <v>1021857</v>
      </c>
      <c r="AD23" s="444">
        <f t="shared" si="40"/>
        <v>0</v>
      </c>
      <c r="AE23" s="466">
        <f t="shared" si="19"/>
        <v>0</v>
      </c>
      <c r="AF23" s="467">
        <f t="shared" si="4"/>
        <v>0</v>
      </c>
      <c r="AG23" s="459">
        <f t="shared" si="37"/>
        <v>0</v>
      </c>
      <c r="AI23" s="460">
        <f>R23-'EDl log'!B23</f>
        <v>-1074707</v>
      </c>
      <c r="AJ23" s="596">
        <v>44397</v>
      </c>
      <c r="AK23" s="460">
        <f t="shared" si="20"/>
        <v>496891</v>
      </c>
      <c r="AL23" s="617">
        <f t="shared" si="21"/>
        <v>438291</v>
      </c>
      <c r="AM23" s="617">
        <f t="shared" si="22"/>
        <v>935182</v>
      </c>
      <c r="AN23" s="617">
        <f t="shared" si="32"/>
        <v>0</v>
      </c>
    </row>
    <row r="24" spans="1:40">
      <c r="A24" s="452">
        <f>'General information '!F26</f>
        <v>0</v>
      </c>
      <c r="B24" s="446">
        <f t="shared" si="6"/>
        <v>0</v>
      </c>
      <c r="C24" s="453">
        <v>44398</v>
      </c>
      <c r="D24" s="440">
        <f t="shared" si="7"/>
        <v>32911138</v>
      </c>
      <c r="E24" s="441">
        <f t="shared" si="23"/>
        <v>0</v>
      </c>
      <c r="F24" s="767">
        <f t="shared" si="8"/>
        <v>4054510</v>
      </c>
      <c r="G24" s="308">
        <f t="shared" si="24"/>
        <v>0</v>
      </c>
      <c r="H24" s="440">
        <f t="shared" si="9"/>
        <v>17918150</v>
      </c>
      <c r="I24" s="433">
        <f t="shared" si="25"/>
        <v>0</v>
      </c>
      <c r="J24" s="440">
        <f t="shared" si="10"/>
        <v>29278882</v>
      </c>
      <c r="K24" s="308">
        <f t="shared" si="26"/>
        <v>0</v>
      </c>
      <c r="L24" s="440">
        <f t="shared" si="11"/>
        <v>24313726</v>
      </c>
      <c r="M24" s="308">
        <f t="shared" si="27"/>
        <v>0</v>
      </c>
      <c r="N24" s="307">
        <f t="shared" si="28"/>
        <v>0</v>
      </c>
      <c r="O24" s="461">
        <f t="shared" si="36"/>
        <v>0</v>
      </c>
      <c r="P24" s="641">
        <f t="shared" si="12"/>
        <v>17645.381000000001</v>
      </c>
      <c r="Q24" s="444">
        <f t="shared" si="38"/>
        <v>0</v>
      </c>
      <c r="R24" s="444">
        <f t="shared" si="39"/>
        <v>0</v>
      </c>
      <c r="S24" s="440">
        <f t="shared" si="13"/>
        <v>10175</v>
      </c>
      <c r="T24" s="463">
        <f t="shared" si="2"/>
        <v>0</v>
      </c>
      <c r="U24" s="440">
        <f t="shared" si="14"/>
        <v>429166</v>
      </c>
      <c r="V24" s="444">
        <f t="shared" si="29"/>
        <v>0</v>
      </c>
      <c r="W24" s="440">
        <f t="shared" si="15"/>
        <v>32851</v>
      </c>
      <c r="X24" s="444">
        <f t="shared" si="35"/>
        <v>0</v>
      </c>
      <c r="Y24" s="440">
        <f t="shared" si="16"/>
        <v>839184</v>
      </c>
      <c r="Z24" s="444">
        <f t="shared" si="34"/>
        <v>0</v>
      </c>
      <c r="AA24" s="440">
        <f t="shared" si="17"/>
        <v>36214</v>
      </c>
      <c r="AB24" s="444">
        <f t="shared" si="30"/>
        <v>0</v>
      </c>
      <c r="AC24" s="440">
        <f t="shared" si="18"/>
        <v>1021857</v>
      </c>
      <c r="AD24" s="444">
        <f t="shared" si="40"/>
        <v>0</v>
      </c>
      <c r="AE24" s="466">
        <f t="shared" si="19"/>
        <v>0</v>
      </c>
      <c r="AF24" s="467">
        <f t="shared" si="4"/>
        <v>0</v>
      </c>
      <c r="AG24" s="459">
        <f t="shared" si="37"/>
        <v>0</v>
      </c>
      <c r="AI24" s="460">
        <f>R24-'EDl log'!B24</f>
        <v>-1074707</v>
      </c>
      <c r="AJ24" s="596">
        <v>44398</v>
      </c>
      <c r="AK24" s="460">
        <f t="shared" si="20"/>
        <v>496891</v>
      </c>
      <c r="AL24" s="617">
        <f t="shared" si="21"/>
        <v>438291</v>
      </c>
      <c r="AM24" s="617">
        <f t="shared" si="22"/>
        <v>935182</v>
      </c>
      <c r="AN24" s="617">
        <f t="shared" si="32"/>
        <v>0</v>
      </c>
    </row>
    <row r="25" spans="1:40">
      <c r="A25" s="452">
        <f>'General information '!F27</f>
        <v>0</v>
      </c>
      <c r="B25" s="446">
        <f t="shared" si="6"/>
        <v>0</v>
      </c>
      <c r="C25" s="453">
        <v>44399</v>
      </c>
      <c r="D25" s="440">
        <f t="shared" si="7"/>
        <v>32911138</v>
      </c>
      <c r="E25" s="441">
        <f t="shared" si="23"/>
        <v>0</v>
      </c>
      <c r="F25" s="767">
        <f t="shared" si="8"/>
        <v>4054510</v>
      </c>
      <c r="G25" s="308">
        <f t="shared" si="24"/>
        <v>0</v>
      </c>
      <c r="H25" s="440">
        <f t="shared" si="9"/>
        <v>17918150</v>
      </c>
      <c r="I25" s="308">
        <f t="shared" si="25"/>
        <v>0</v>
      </c>
      <c r="J25" s="440">
        <f t="shared" si="10"/>
        <v>29278882</v>
      </c>
      <c r="K25" s="308">
        <f t="shared" si="26"/>
        <v>0</v>
      </c>
      <c r="L25" s="440">
        <f t="shared" si="11"/>
        <v>24313726</v>
      </c>
      <c r="M25" s="308">
        <f t="shared" si="27"/>
        <v>0</v>
      </c>
      <c r="N25" s="307">
        <f t="shared" si="28"/>
        <v>0</v>
      </c>
      <c r="O25" s="461">
        <f t="shared" si="36"/>
        <v>0</v>
      </c>
      <c r="P25" s="641">
        <f t="shared" si="12"/>
        <v>17645.381000000001</v>
      </c>
      <c r="Q25" s="444">
        <f t="shared" si="38"/>
        <v>0</v>
      </c>
      <c r="R25" s="444">
        <f t="shared" si="39"/>
        <v>0</v>
      </c>
      <c r="S25" s="440">
        <f t="shared" si="13"/>
        <v>10175</v>
      </c>
      <c r="T25" s="463">
        <f t="shared" si="2"/>
        <v>0</v>
      </c>
      <c r="U25" s="440">
        <f t="shared" si="14"/>
        <v>429166</v>
      </c>
      <c r="V25" s="444">
        <f t="shared" si="29"/>
        <v>0</v>
      </c>
      <c r="W25" s="440">
        <f t="shared" si="15"/>
        <v>32851</v>
      </c>
      <c r="X25" s="444">
        <f t="shared" si="35"/>
        <v>0</v>
      </c>
      <c r="Y25" s="440">
        <f t="shared" si="16"/>
        <v>839184</v>
      </c>
      <c r="Z25" s="444">
        <f t="shared" si="34"/>
        <v>0</v>
      </c>
      <c r="AA25" s="440">
        <f t="shared" si="17"/>
        <v>36214</v>
      </c>
      <c r="AB25" s="444">
        <f t="shared" si="30"/>
        <v>0</v>
      </c>
      <c r="AC25" s="440">
        <f t="shared" si="18"/>
        <v>1021857</v>
      </c>
      <c r="AD25" s="444">
        <f t="shared" si="40"/>
        <v>0</v>
      </c>
      <c r="AE25" s="466">
        <f t="shared" si="19"/>
        <v>0</v>
      </c>
      <c r="AF25" s="467">
        <f t="shared" si="4"/>
        <v>0</v>
      </c>
      <c r="AG25" s="459">
        <f t="shared" si="37"/>
        <v>0</v>
      </c>
      <c r="AI25" s="460">
        <f>R25-'EDl log'!B25</f>
        <v>-1074707</v>
      </c>
      <c r="AJ25" s="596">
        <v>44399</v>
      </c>
      <c r="AK25" s="460">
        <f t="shared" si="20"/>
        <v>496891</v>
      </c>
      <c r="AL25" s="617">
        <f t="shared" si="21"/>
        <v>438291</v>
      </c>
      <c r="AM25" s="617">
        <f t="shared" si="22"/>
        <v>935182</v>
      </c>
      <c r="AN25" s="617">
        <f t="shared" si="32"/>
        <v>0</v>
      </c>
    </row>
    <row r="26" spans="1:40">
      <c r="A26" s="452">
        <f>'General information '!F28</f>
        <v>0</v>
      </c>
      <c r="B26" s="446">
        <f t="shared" si="6"/>
        <v>0</v>
      </c>
      <c r="C26" s="453">
        <v>44400</v>
      </c>
      <c r="D26" s="440">
        <f t="shared" si="7"/>
        <v>32911138</v>
      </c>
      <c r="E26" s="441">
        <f t="shared" si="23"/>
        <v>0</v>
      </c>
      <c r="F26" s="767">
        <f t="shared" si="8"/>
        <v>4054510</v>
      </c>
      <c r="G26" s="308">
        <f t="shared" si="24"/>
        <v>0</v>
      </c>
      <c r="H26" s="440">
        <f t="shared" si="9"/>
        <v>17918150</v>
      </c>
      <c r="I26" s="308">
        <f t="shared" si="25"/>
        <v>0</v>
      </c>
      <c r="J26" s="440">
        <f t="shared" si="10"/>
        <v>29278882</v>
      </c>
      <c r="K26" s="308">
        <f t="shared" si="26"/>
        <v>0</v>
      </c>
      <c r="L26" s="440">
        <f t="shared" si="11"/>
        <v>24313726</v>
      </c>
      <c r="M26" s="308">
        <f t="shared" si="27"/>
        <v>0</v>
      </c>
      <c r="N26" s="307">
        <f t="shared" si="28"/>
        <v>0</v>
      </c>
      <c r="O26" s="461">
        <f t="shared" si="36"/>
        <v>0</v>
      </c>
      <c r="P26" s="641">
        <f t="shared" si="12"/>
        <v>17645.381000000001</v>
      </c>
      <c r="Q26" s="444">
        <f t="shared" si="38"/>
        <v>0</v>
      </c>
      <c r="R26" s="444">
        <f t="shared" si="39"/>
        <v>0</v>
      </c>
      <c r="S26" s="440">
        <f t="shared" si="13"/>
        <v>10175</v>
      </c>
      <c r="T26" s="463">
        <f t="shared" si="2"/>
        <v>0</v>
      </c>
      <c r="U26" s="440">
        <f t="shared" si="14"/>
        <v>429166</v>
      </c>
      <c r="V26" s="444">
        <f t="shared" si="29"/>
        <v>0</v>
      </c>
      <c r="W26" s="440">
        <f t="shared" si="15"/>
        <v>32851</v>
      </c>
      <c r="X26" s="444">
        <f t="shared" si="35"/>
        <v>0</v>
      </c>
      <c r="Y26" s="440">
        <f t="shared" si="16"/>
        <v>839184</v>
      </c>
      <c r="Z26" s="444">
        <f t="shared" si="34"/>
        <v>0</v>
      </c>
      <c r="AA26" s="440">
        <f t="shared" si="17"/>
        <v>36214</v>
      </c>
      <c r="AB26" s="444">
        <f t="shared" si="30"/>
        <v>0</v>
      </c>
      <c r="AC26" s="440">
        <f t="shared" si="18"/>
        <v>1021857</v>
      </c>
      <c r="AD26" s="444">
        <f t="shared" si="40"/>
        <v>0</v>
      </c>
      <c r="AE26" s="466">
        <f t="shared" si="19"/>
        <v>0</v>
      </c>
      <c r="AF26" s="467">
        <f t="shared" si="4"/>
        <v>0</v>
      </c>
      <c r="AG26" s="459">
        <f t="shared" si="37"/>
        <v>0</v>
      </c>
      <c r="AI26" s="460">
        <f>R26-'EDl log'!B26</f>
        <v>-1074707</v>
      </c>
      <c r="AJ26" s="596">
        <v>44400</v>
      </c>
      <c r="AK26" s="460">
        <f t="shared" si="20"/>
        <v>496891</v>
      </c>
      <c r="AL26" s="617">
        <f t="shared" si="21"/>
        <v>438291</v>
      </c>
      <c r="AM26" s="617">
        <f t="shared" si="22"/>
        <v>935182</v>
      </c>
      <c r="AN26" s="617">
        <f t="shared" si="32"/>
        <v>0</v>
      </c>
    </row>
    <row r="27" spans="1:40">
      <c r="A27" s="452">
        <f>'General information '!F29</f>
        <v>0</v>
      </c>
      <c r="B27" s="446">
        <f t="shared" si="6"/>
        <v>0</v>
      </c>
      <c r="C27" s="453">
        <v>44401</v>
      </c>
      <c r="D27" s="440">
        <f t="shared" si="7"/>
        <v>32911138</v>
      </c>
      <c r="E27" s="441">
        <f t="shared" si="23"/>
        <v>0</v>
      </c>
      <c r="F27" s="767">
        <f t="shared" si="8"/>
        <v>4054510</v>
      </c>
      <c r="G27" s="308">
        <f t="shared" si="24"/>
        <v>0</v>
      </c>
      <c r="H27" s="440">
        <f t="shared" si="9"/>
        <v>17918150</v>
      </c>
      <c r="I27" s="308">
        <f t="shared" si="25"/>
        <v>0</v>
      </c>
      <c r="J27" s="440">
        <f t="shared" si="10"/>
        <v>29278882</v>
      </c>
      <c r="K27" s="308">
        <f t="shared" si="26"/>
        <v>0</v>
      </c>
      <c r="L27" s="440">
        <f t="shared" si="11"/>
        <v>24313726</v>
      </c>
      <c r="M27" s="308">
        <f t="shared" si="27"/>
        <v>0</v>
      </c>
      <c r="N27" s="307">
        <f t="shared" si="28"/>
        <v>0</v>
      </c>
      <c r="O27" s="461">
        <f t="shared" si="36"/>
        <v>0</v>
      </c>
      <c r="P27" s="641">
        <f t="shared" si="12"/>
        <v>17645.381000000001</v>
      </c>
      <c r="Q27" s="444">
        <f t="shared" si="38"/>
        <v>0</v>
      </c>
      <c r="R27" s="444">
        <f t="shared" si="39"/>
        <v>0</v>
      </c>
      <c r="S27" s="440">
        <f t="shared" si="13"/>
        <v>10175</v>
      </c>
      <c r="T27" s="463">
        <f t="shared" si="2"/>
        <v>0</v>
      </c>
      <c r="U27" s="440">
        <f t="shared" si="14"/>
        <v>429166</v>
      </c>
      <c r="V27" s="444">
        <f t="shared" si="29"/>
        <v>0</v>
      </c>
      <c r="W27" s="440">
        <f t="shared" si="15"/>
        <v>32851</v>
      </c>
      <c r="X27" s="444">
        <f t="shared" si="35"/>
        <v>0</v>
      </c>
      <c r="Y27" s="440">
        <f t="shared" si="16"/>
        <v>839184</v>
      </c>
      <c r="Z27" s="444">
        <f t="shared" si="34"/>
        <v>0</v>
      </c>
      <c r="AA27" s="440">
        <f t="shared" si="17"/>
        <v>36214</v>
      </c>
      <c r="AB27" s="444">
        <f t="shared" si="30"/>
        <v>0</v>
      </c>
      <c r="AC27" s="440">
        <f t="shared" si="18"/>
        <v>1021857</v>
      </c>
      <c r="AD27" s="444">
        <f t="shared" si="40"/>
        <v>0</v>
      </c>
      <c r="AE27" s="466">
        <f t="shared" si="19"/>
        <v>0</v>
      </c>
      <c r="AF27" s="467">
        <f t="shared" si="4"/>
        <v>0</v>
      </c>
      <c r="AG27" s="459">
        <f t="shared" si="37"/>
        <v>0</v>
      </c>
      <c r="AI27" s="460">
        <f>R27-'EDl log'!B27</f>
        <v>-1074707</v>
      </c>
      <c r="AJ27" s="596">
        <v>44401</v>
      </c>
      <c r="AK27" s="460">
        <f t="shared" si="20"/>
        <v>496891</v>
      </c>
      <c r="AL27" s="617">
        <f t="shared" si="21"/>
        <v>438291</v>
      </c>
      <c r="AM27" s="617">
        <f t="shared" si="22"/>
        <v>935182</v>
      </c>
      <c r="AN27" s="617">
        <f t="shared" si="32"/>
        <v>0</v>
      </c>
    </row>
    <row r="28" spans="1:40">
      <c r="A28" s="452">
        <f>'General information '!F30</f>
        <v>0</v>
      </c>
      <c r="B28" s="446">
        <f t="shared" si="6"/>
        <v>0</v>
      </c>
      <c r="C28" s="453">
        <v>44402</v>
      </c>
      <c r="D28" s="440">
        <f t="shared" si="7"/>
        <v>32911138</v>
      </c>
      <c r="E28" s="441">
        <f t="shared" si="23"/>
        <v>0</v>
      </c>
      <c r="F28" s="767">
        <f t="shared" si="8"/>
        <v>4054510</v>
      </c>
      <c r="G28" s="308">
        <f>F28-F27</f>
        <v>0</v>
      </c>
      <c r="H28" s="440">
        <f t="shared" si="9"/>
        <v>17918150</v>
      </c>
      <c r="I28" s="308">
        <f t="shared" si="25"/>
        <v>0</v>
      </c>
      <c r="J28" s="440">
        <f t="shared" si="10"/>
        <v>29278882</v>
      </c>
      <c r="K28" s="308">
        <f t="shared" si="26"/>
        <v>0</v>
      </c>
      <c r="L28" s="440">
        <f t="shared" si="11"/>
        <v>24313726</v>
      </c>
      <c r="M28" s="308">
        <f t="shared" si="27"/>
        <v>0</v>
      </c>
      <c r="N28" s="307">
        <f t="shared" si="28"/>
        <v>0</v>
      </c>
      <c r="O28" s="461">
        <f t="shared" si="36"/>
        <v>0</v>
      </c>
      <c r="P28" s="641">
        <f t="shared" si="12"/>
        <v>17645.381000000001</v>
      </c>
      <c r="Q28" s="444">
        <f t="shared" si="38"/>
        <v>0</v>
      </c>
      <c r="R28" s="444">
        <f t="shared" si="39"/>
        <v>0</v>
      </c>
      <c r="S28" s="440">
        <f t="shared" si="13"/>
        <v>10175</v>
      </c>
      <c r="T28" s="463">
        <f t="shared" si="2"/>
        <v>0</v>
      </c>
      <c r="U28" s="440">
        <f t="shared" si="14"/>
        <v>429166</v>
      </c>
      <c r="V28" s="444">
        <f t="shared" si="29"/>
        <v>0</v>
      </c>
      <c r="W28" s="440">
        <f t="shared" si="15"/>
        <v>32851</v>
      </c>
      <c r="X28" s="444">
        <f t="shared" si="35"/>
        <v>0</v>
      </c>
      <c r="Y28" s="440">
        <f t="shared" si="16"/>
        <v>839184</v>
      </c>
      <c r="Z28" s="444">
        <f t="shared" si="34"/>
        <v>0</v>
      </c>
      <c r="AA28" s="440">
        <f t="shared" si="17"/>
        <v>36214</v>
      </c>
      <c r="AB28" s="444">
        <f t="shared" si="30"/>
        <v>0</v>
      </c>
      <c r="AC28" s="440">
        <f t="shared" si="18"/>
        <v>1021857</v>
      </c>
      <c r="AD28" s="444">
        <f t="shared" si="40"/>
        <v>0</v>
      </c>
      <c r="AE28" s="466">
        <f t="shared" si="19"/>
        <v>0</v>
      </c>
      <c r="AF28" s="467">
        <f t="shared" si="4"/>
        <v>0</v>
      </c>
      <c r="AG28" s="459">
        <f t="shared" si="37"/>
        <v>0</v>
      </c>
      <c r="AI28" s="460">
        <f>R28-'EDl log'!B28</f>
        <v>-1074707</v>
      </c>
      <c r="AJ28" s="596">
        <v>44402</v>
      </c>
      <c r="AK28" s="460">
        <f t="shared" si="20"/>
        <v>496891</v>
      </c>
      <c r="AL28" s="617">
        <f t="shared" si="21"/>
        <v>438291</v>
      </c>
      <c r="AM28" s="617">
        <f t="shared" si="22"/>
        <v>935182</v>
      </c>
      <c r="AN28" s="617">
        <f t="shared" si="32"/>
        <v>0</v>
      </c>
    </row>
    <row r="29" spans="1:40">
      <c r="A29" s="452">
        <f>'General information '!F31</f>
        <v>0</v>
      </c>
      <c r="B29" s="446">
        <f t="shared" si="6"/>
        <v>0</v>
      </c>
      <c r="C29" s="453">
        <v>44403</v>
      </c>
      <c r="D29" s="440">
        <f t="shared" si="7"/>
        <v>32911138</v>
      </c>
      <c r="E29" s="441">
        <f t="shared" si="23"/>
        <v>0</v>
      </c>
      <c r="F29" s="767">
        <f t="shared" si="8"/>
        <v>4054510</v>
      </c>
      <c r="G29" s="308">
        <f t="shared" si="24"/>
        <v>0</v>
      </c>
      <c r="H29" s="440">
        <f t="shared" si="9"/>
        <v>17918150</v>
      </c>
      <c r="I29" s="308">
        <f t="shared" si="25"/>
        <v>0</v>
      </c>
      <c r="J29" s="440">
        <f t="shared" si="10"/>
        <v>29278882</v>
      </c>
      <c r="K29" s="308">
        <f t="shared" si="26"/>
        <v>0</v>
      </c>
      <c r="L29" s="440">
        <f t="shared" si="11"/>
        <v>24313726</v>
      </c>
      <c r="M29" s="308">
        <f t="shared" si="27"/>
        <v>0</v>
      </c>
      <c r="N29" s="307">
        <f t="shared" si="28"/>
        <v>0</v>
      </c>
      <c r="O29" s="461">
        <f t="shared" si="36"/>
        <v>0</v>
      </c>
      <c r="P29" s="641">
        <f t="shared" si="12"/>
        <v>17645.381000000001</v>
      </c>
      <c r="Q29" s="444">
        <f t="shared" si="38"/>
        <v>0</v>
      </c>
      <c r="R29" s="444">
        <f t="shared" si="39"/>
        <v>0</v>
      </c>
      <c r="S29" s="440">
        <f t="shared" si="13"/>
        <v>10175</v>
      </c>
      <c r="T29" s="463">
        <f t="shared" si="2"/>
        <v>0</v>
      </c>
      <c r="U29" s="440">
        <f t="shared" si="14"/>
        <v>429166</v>
      </c>
      <c r="V29" s="444">
        <f t="shared" si="29"/>
        <v>0</v>
      </c>
      <c r="W29" s="440">
        <f t="shared" si="15"/>
        <v>32851</v>
      </c>
      <c r="X29" s="444">
        <f t="shared" si="35"/>
        <v>0</v>
      </c>
      <c r="Y29" s="440">
        <f t="shared" si="16"/>
        <v>839184</v>
      </c>
      <c r="Z29" s="444">
        <f t="shared" si="34"/>
        <v>0</v>
      </c>
      <c r="AA29" s="440">
        <f t="shared" si="17"/>
        <v>36214</v>
      </c>
      <c r="AB29" s="444">
        <f t="shared" si="30"/>
        <v>0</v>
      </c>
      <c r="AC29" s="440">
        <f t="shared" si="18"/>
        <v>1021857</v>
      </c>
      <c r="AD29" s="444">
        <f t="shared" si="40"/>
        <v>0</v>
      </c>
      <c r="AE29" s="466">
        <f t="shared" si="19"/>
        <v>0</v>
      </c>
      <c r="AF29" s="467">
        <f t="shared" si="4"/>
        <v>0</v>
      </c>
      <c r="AG29" s="459">
        <f t="shared" si="37"/>
        <v>0</v>
      </c>
      <c r="AI29" s="460">
        <f>R29-'EDl log'!B29</f>
        <v>-1074707</v>
      </c>
      <c r="AJ29" s="596">
        <v>44403</v>
      </c>
      <c r="AK29" s="460">
        <f t="shared" si="20"/>
        <v>496891</v>
      </c>
      <c r="AL29" s="617">
        <f t="shared" si="21"/>
        <v>438291</v>
      </c>
      <c r="AM29" s="617">
        <f t="shared" si="22"/>
        <v>935182</v>
      </c>
      <c r="AN29" s="617">
        <f t="shared" si="32"/>
        <v>0</v>
      </c>
    </row>
    <row r="30" spans="1:40">
      <c r="A30" s="452">
        <f>'General information '!F32</f>
        <v>0</v>
      </c>
      <c r="B30" s="446">
        <f>SUM(230*A30)</f>
        <v>0</v>
      </c>
      <c r="C30" s="453">
        <v>44404</v>
      </c>
      <c r="D30" s="440">
        <f t="shared" si="7"/>
        <v>32911138</v>
      </c>
      <c r="E30" s="441">
        <f t="shared" si="23"/>
        <v>0</v>
      </c>
      <c r="F30" s="767">
        <f t="shared" si="8"/>
        <v>4054510</v>
      </c>
      <c r="G30" s="308">
        <f t="shared" si="24"/>
        <v>0</v>
      </c>
      <c r="H30" s="440">
        <f t="shared" si="9"/>
        <v>17918150</v>
      </c>
      <c r="I30" s="308">
        <f t="shared" si="25"/>
        <v>0</v>
      </c>
      <c r="J30" s="440">
        <f t="shared" si="10"/>
        <v>29278882</v>
      </c>
      <c r="K30" s="308">
        <f t="shared" si="26"/>
        <v>0</v>
      </c>
      <c r="L30" s="440">
        <f t="shared" si="11"/>
        <v>24313726</v>
      </c>
      <c r="M30" s="308">
        <f t="shared" si="27"/>
        <v>0</v>
      </c>
      <c r="N30" s="307">
        <f t="shared" si="28"/>
        <v>0</v>
      </c>
      <c r="O30" s="461">
        <f t="shared" si="36"/>
        <v>0</v>
      </c>
      <c r="P30" s="641">
        <f t="shared" si="12"/>
        <v>17645.381000000001</v>
      </c>
      <c r="Q30" s="444">
        <f t="shared" si="38"/>
        <v>0</v>
      </c>
      <c r="R30" s="444">
        <f t="shared" si="39"/>
        <v>0</v>
      </c>
      <c r="S30" s="440">
        <f t="shared" si="13"/>
        <v>10175</v>
      </c>
      <c r="T30" s="463">
        <f t="shared" si="2"/>
        <v>0</v>
      </c>
      <c r="U30" s="440">
        <f t="shared" si="14"/>
        <v>429166</v>
      </c>
      <c r="V30" s="444">
        <f t="shared" si="29"/>
        <v>0</v>
      </c>
      <c r="W30" s="440">
        <f t="shared" si="15"/>
        <v>32851</v>
      </c>
      <c r="X30" s="444">
        <f t="shared" si="35"/>
        <v>0</v>
      </c>
      <c r="Y30" s="440">
        <f t="shared" si="16"/>
        <v>839184</v>
      </c>
      <c r="Z30" s="444">
        <f t="shared" si="34"/>
        <v>0</v>
      </c>
      <c r="AA30" s="440">
        <f t="shared" si="17"/>
        <v>36214</v>
      </c>
      <c r="AB30" s="444">
        <f t="shared" si="30"/>
        <v>0</v>
      </c>
      <c r="AC30" s="440">
        <f t="shared" si="18"/>
        <v>1021857</v>
      </c>
      <c r="AD30" s="444">
        <f t="shared" si="40"/>
        <v>0</v>
      </c>
      <c r="AE30" s="466">
        <f t="shared" si="19"/>
        <v>0</v>
      </c>
      <c r="AF30" s="467">
        <f t="shared" si="4"/>
        <v>0</v>
      </c>
      <c r="AG30" s="459">
        <f t="shared" si="37"/>
        <v>0</v>
      </c>
      <c r="AI30" s="460">
        <f>R30-'EDl log'!B30</f>
        <v>-1074707</v>
      </c>
      <c r="AJ30" s="596">
        <v>44404</v>
      </c>
      <c r="AK30" s="460">
        <f t="shared" si="20"/>
        <v>496891</v>
      </c>
      <c r="AL30" s="617">
        <f t="shared" si="21"/>
        <v>438291</v>
      </c>
      <c r="AM30" s="617">
        <f t="shared" si="22"/>
        <v>935182</v>
      </c>
      <c r="AN30" s="617">
        <f t="shared" si="32"/>
        <v>0</v>
      </c>
    </row>
    <row r="31" spans="1:40">
      <c r="A31" s="452">
        <f>'General information '!F33</f>
        <v>0</v>
      </c>
      <c r="B31" s="446">
        <f t="shared" si="6"/>
        <v>0</v>
      </c>
      <c r="C31" s="453">
        <v>44405</v>
      </c>
      <c r="D31" s="440">
        <f t="shared" si="7"/>
        <v>32911138</v>
      </c>
      <c r="E31" s="441">
        <f t="shared" si="23"/>
        <v>0</v>
      </c>
      <c r="F31" s="767">
        <f t="shared" si="8"/>
        <v>4054510</v>
      </c>
      <c r="G31" s="308">
        <f t="shared" si="24"/>
        <v>0</v>
      </c>
      <c r="H31" s="440">
        <f t="shared" si="9"/>
        <v>17918150</v>
      </c>
      <c r="I31" s="308">
        <f t="shared" si="25"/>
        <v>0</v>
      </c>
      <c r="J31" s="440">
        <f t="shared" si="10"/>
        <v>29278882</v>
      </c>
      <c r="K31" s="308">
        <f t="shared" si="26"/>
        <v>0</v>
      </c>
      <c r="L31" s="440">
        <f t="shared" si="11"/>
        <v>24313726</v>
      </c>
      <c r="M31" s="308">
        <f t="shared" si="27"/>
        <v>0</v>
      </c>
      <c r="N31" s="307">
        <f t="shared" si="28"/>
        <v>0</v>
      </c>
      <c r="O31" s="461">
        <f t="shared" si="36"/>
        <v>0</v>
      </c>
      <c r="P31" s="641">
        <f t="shared" si="12"/>
        <v>17645.381000000001</v>
      </c>
      <c r="Q31" s="444">
        <f t="shared" si="38"/>
        <v>0</v>
      </c>
      <c r="R31" s="444">
        <f t="shared" si="39"/>
        <v>0</v>
      </c>
      <c r="S31" s="440">
        <f t="shared" si="13"/>
        <v>10175</v>
      </c>
      <c r="T31" s="463">
        <f t="shared" si="2"/>
        <v>0</v>
      </c>
      <c r="U31" s="440">
        <f t="shared" si="14"/>
        <v>429166</v>
      </c>
      <c r="V31" s="444">
        <f t="shared" si="29"/>
        <v>0</v>
      </c>
      <c r="W31" s="440">
        <f t="shared" si="15"/>
        <v>32851</v>
      </c>
      <c r="X31" s="464">
        <f t="shared" si="35"/>
        <v>0</v>
      </c>
      <c r="Y31" s="440">
        <f t="shared" si="16"/>
        <v>839184</v>
      </c>
      <c r="Z31" s="444">
        <f t="shared" si="34"/>
        <v>0</v>
      </c>
      <c r="AA31" s="440">
        <f t="shared" si="17"/>
        <v>36214</v>
      </c>
      <c r="AB31" s="444">
        <f t="shared" si="30"/>
        <v>0</v>
      </c>
      <c r="AC31" s="440">
        <f t="shared" si="18"/>
        <v>1021857</v>
      </c>
      <c r="AD31" s="444">
        <f t="shared" si="40"/>
        <v>0</v>
      </c>
      <c r="AE31" s="466">
        <f t="shared" si="19"/>
        <v>0</v>
      </c>
      <c r="AF31" s="467">
        <f t="shared" si="4"/>
        <v>0</v>
      </c>
      <c r="AG31" s="459">
        <f t="shared" si="37"/>
        <v>0</v>
      </c>
      <c r="AI31" s="460">
        <f>R31-'EDl log'!B31</f>
        <v>-1074707</v>
      </c>
      <c r="AJ31" s="596">
        <v>44405</v>
      </c>
      <c r="AK31" s="460">
        <f t="shared" si="20"/>
        <v>496891</v>
      </c>
      <c r="AL31" s="617">
        <f t="shared" si="21"/>
        <v>438291</v>
      </c>
      <c r="AM31" s="617">
        <f t="shared" si="22"/>
        <v>935182</v>
      </c>
      <c r="AN31" s="617">
        <f t="shared" si="32"/>
        <v>0</v>
      </c>
    </row>
    <row r="32" spans="1:40">
      <c r="A32" s="452">
        <f>'General information '!F34</f>
        <v>0</v>
      </c>
      <c r="B32" s="446">
        <f>SUM(230*A32)</f>
        <v>0</v>
      </c>
      <c r="C32" s="453">
        <v>44406</v>
      </c>
      <c r="D32" s="440">
        <f t="shared" si="7"/>
        <v>32911138</v>
      </c>
      <c r="E32" s="441">
        <f t="shared" si="23"/>
        <v>0</v>
      </c>
      <c r="F32" s="767">
        <f t="shared" si="8"/>
        <v>4054510</v>
      </c>
      <c r="G32" s="308">
        <f t="shared" si="24"/>
        <v>0</v>
      </c>
      <c r="H32" s="440">
        <f t="shared" si="9"/>
        <v>17918150</v>
      </c>
      <c r="I32" s="308">
        <f t="shared" si="25"/>
        <v>0</v>
      </c>
      <c r="J32" s="440">
        <f t="shared" si="10"/>
        <v>29278882</v>
      </c>
      <c r="K32" s="308">
        <f t="shared" si="26"/>
        <v>0</v>
      </c>
      <c r="L32" s="440">
        <f t="shared" si="11"/>
        <v>24313726</v>
      </c>
      <c r="M32" s="308">
        <f t="shared" si="27"/>
        <v>0</v>
      </c>
      <c r="N32" s="307">
        <f t="shared" si="28"/>
        <v>0</v>
      </c>
      <c r="O32" s="461">
        <f>IF(B32&gt;0,N32/B32,0)</f>
        <v>0</v>
      </c>
      <c r="P32" s="641">
        <f t="shared" si="12"/>
        <v>17645.381000000001</v>
      </c>
      <c r="Q32" s="444">
        <f>(P32-P31)*1000</f>
        <v>0</v>
      </c>
      <c r="R32" s="444">
        <f>N32-Q32</f>
        <v>0</v>
      </c>
      <c r="S32" s="440">
        <f t="shared" si="13"/>
        <v>10175</v>
      </c>
      <c r="T32" s="463">
        <f>S32-S31</f>
        <v>0</v>
      </c>
      <c r="U32" s="440">
        <f t="shared" si="14"/>
        <v>429166</v>
      </c>
      <c r="V32" s="444">
        <f>U32-U31</f>
        <v>0</v>
      </c>
      <c r="W32" s="440">
        <f t="shared" si="15"/>
        <v>32851</v>
      </c>
      <c r="X32" s="464">
        <f>W32-W31</f>
        <v>0</v>
      </c>
      <c r="Y32" s="440">
        <f t="shared" si="16"/>
        <v>839184</v>
      </c>
      <c r="Z32" s="444">
        <f>Y32-Y31</f>
        <v>0</v>
      </c>
      <c r="AA32" s="440">
        <f t="shared" si="17"/>
        <v>36214</v>
      </c>
      <c r="AB32" s="444">
        <f>AA32-AA31</f>
        <v>0</v>
      </c>
      <c r="AC32" s="440">
        <f t="shared" si="18"/>
        <v>1021857</v>
      </c>
      <c r="AD32" s="444">
        <f>AC32-AC31</f>
        <v>0</v>
      </c>
      <c r="AE32" s="466">
        <f>AB32+X32+T32</f>
        <v>0</v>
      </c>
      <c r="AF32" s="467">
        <f>V32+Z32+AD32</f>
        <v>0</v>
      </c>
      <c r="AG32" s="459">
        <f>IF(AE32&gt;0,AF32/AE32,0)</f>
        <v>0</v>
      </c>
      <c r="AI32" s="460">
        <f>R32-'EDl log'!B32</f>
        <v>-1074707</v>
      </c>
      <c r="AJ32" s="596">
        <v>44406</v>
      </c>
      <c r="AK32" s="460">
        <f t="shared" si="20"/>
        <v>496891</v>
      </c>
      <c r="AL32" s="617">
        <f t="shared" si="21"/>
        <v>438291</v>
      </c>
      <c r="AM32" s="617">
        <f t="shared" si="22"/>
        <v>935182</v>
      </c>
      <c r="AN32" s="617">
        <f t="shared" si="32"/>
        <v>0</v>
      </c>
    </row>
    <row r="33" spans="1:40">
      <c r="A33" s="452">
        <f>'General information '!F35</f>
        <v>0</v>
      </c>
      <c r="B33" s="446">
        <f>SUM(230*A33)</f>
        <v>0</v>
      </c>
      <c r="C33" s="453">
        <v>44407</v>
      </c>
      <c r="D33" s="440">
        <f t="shared" si="7"/>
        <v>32911138</v>
      </c>
      <c r="E33" s="441">
        <f t="shared" si="23"/>
        <v>0</v>
      </c>
      <c r="F33" s="767">
        <f t="shared" si="8"/>
        <v>4054510</v>
      </c>
      <c r="G33" s="308">
        <f t="shared" si="24"/>
        <v>0</v>
      </c>
      <c r="H33" s="440">
        <f t="shared" si="9"/>
        <v>17918150</v>
      </c>
      <c r="I33" s="308">
        <f t="shared" si="25"/>
        <v>0</v>
      </c>
      <c r="J33" s="440">
        <f t="shared" si="10"/>
        <v>29278882</v>
      </c>
      <c r="K33" s="308">
        <f t="shared" si="26"/>
        <v>0</v>
      </c>
      <c r="L33" s="440">
        <f t="shared" si="11"/>
        <v>24313726</v>
      </c>
      <c r="M33" s="308">
        <f t="shared" si="27"/>
        <v>0</v>
      </c>
      <c r="N33" s="307">
        <f t="shared" si="28"/>
        <v>0</v>
      </c>
      <c r="O33" s="461">
        <f>IF(B33&gt;0,N33/B33,0)</f>
        <v>0</v>
      </c>
      <c r="P33" s="641">
        <f t="shared" si="12"/>
        <v>17645.381000000001</v>
      </c>
      <c r="Q33" s="444">
        <f>(P33-P32)*1000</f>
        <v>0</v>
      </c>
      <c r="R33" s="444">
        <f>N33-Q33</f>
        <v>0</v>
      </c>
      <c r="S33" s="440">
        <f t="shared" si="13"/>
        <v>10175</v>
      </c>
      <c r="T33" s="463">
        <f>S33-S32</f>
        <v>0</v>
      </c>
      <c r="U33" s="440">
        <f t="shared" si="14"/>
        <v>429166</v>
      </c>
      <c r="V33" s="444">
        <f>U33-U32</f>
        <v>0</v>
      </c>
      <c r="W33" s="440">
        <f t="shared" si="15"/>
        <v>32851</v>
      </c>
      <c r="X33" s="464">
        <f>W33-W32</f>
        <v>0</v>
      </c>
      <c r="Y33" s="440">
        <f t="shared" si="16"/>
        <v>839184</v>
      </c>
      <c r="Z33" s="444">
        <f>Y33-Y32</f>
        <v>0</v>
      </c>
      <c r="AA33" s="440">
        <f t="shared" si="17"/>
        <v>36214</v>
      </c>
      <c r="AB33" s="444">
        <f>AA33-AA32</f>
        <v>0</v>
      </c>
      <c r="AC33" s="440">
        <f t="shared" si="18"/>
        <v>1021857</v>
      </c>
      <c r="AD33" s="444">
        <f>AC33-AC32</f>
        <v>0</v>
      </c>
      <c r="AE33" s="466">
        <f>AB33+X33+T33</f>
        <v>0</v>
      </c>
      <c r="AF33" s="467">
        <f>V33+Z33+AD33</f>
        <v>0</v>
      </c>
      <c r="AG33" s="459">
        <f>IF(AE33&gt;0,AF33/AE33,0)</f>
        <v>0</v>
      </c>
      <c r="AI33" s="460">
        <f>R33-'EDl log'!B33</f>
        <v>-1074707</v>
      </c>
      <c r="AJ33" s="596">
        <v>44407</v>
      </c>
      <c r="AK33" s="460">
        <f t="shared" si="20"/>
        <v>496891</v>
      </c>
      <c r="AL33" s="617">
        <f t="shared" si="21"/>
        <v>438291</v>
      </c>
      <c r="AM33" s="617">
        <f t="shared" si="22"/>
        <v>935182</v>
      </c>
      <c r="AN33" s="617">
        <f t="shared" si="32"/>
        <v>0</v>
      </c>
    </row>
    <row r="34" spans="1:40">
      <c r="A34" s="452">
        <f>'General information '!F36</f>
        <v>0</v>
      </c>
      <c r="B34" s="446">
        <f>SUM(230*A34)</f>
        <v>0</v>
      </c>
      <c r="C34" s="453">
        <v>44408</v>
      </c>
      <c r="D34" s="440">
        <f t="shared" si="7"/>
        <v>32911138</v>
      </c>
      <c r="E34" s="441">
        <f t="shared" ref="E34" si="41">AN34</f>
        <v>0</v>
      </c>
      <c r="F34" s="767">
        <f t="shared" si="8"/>
        <v>4054510</v>
      </c>
      <c r="G34" s="308">
        <f t="shared" ref="G34" si="42">F34-F33</f>
        <v>0</v>
      </c>
      <c r="H34" s="440">
        <f t="shared" si="9"/>
        <v>17918150</v>
      </c>
      <c r="I34" s="308">
        <f t="shared" ref="I34" si="43">H34-H33</f>
        <v>0</v>
      </c>
      <c r="J34" s="440">
        <f t="shared" si="10"/>
        <v>29278882</v>
      </c>
      <c r="K34" s="308">
        <f t="shared" ref="K34" si="44">J34-J33</f>
        <v>0</v>
      </c>
      <c r="L34" s="440">
        <f t="shared" si="11"/>
        <v>24313726</v>
      </c>
      <c r="M34" s="308">
        <f t="shared" ref="M34" si="45">L34-L33</f>
        <v>0</v>
      </c>
      <c r="N34" s="307">
        <f t="shared" ref="N34" si="46">M34+K34+I34+G34+E34</f>
        <v>0</v>
      </c>
      <c r="O34" s="461">
        <f>IF(B34&gt;0,N34/B34,0)</f>
        <v>0</v>
      </c>
      <c r="P34" s="641">
        <f t="shared" si="12"/>
        <v>17645.381000000001</v>
      </c>
      <c r="Q34" s="444">
        <f>(P34-P33)*1000</f>
        <v>0</v>
      </c>
      <c r="R34" s="444">
        <f>N34-Q34</f>
        <v>0</v>
      </c>
      <c r="S34" s="440">
        <f t="shared" si="13"/>
        <v>10175</v>
      </c>
      <c r="T34" s="463">
        <f>S34-S33</f>
        <v>0</v>
      </c>
      <c r="U34" s="440">
        <f t="shared" si="14"/>
        <v>429166</v>
      </c>
      <c r="V34" s="444">
        <f>U34-U33</f>
        <v>0</v>
      </c>
      <c r="W34" s="440">
        <f t="shared" si="15"/>
        <v>32851</v>
      </c>
      <c r="X34" s="464">
        <f>W34-W33</f>
        <v>0</v>
      </c>
      <c r="Y34" s="440">
        <f t="shared" si="16"/>
        <v>839184</v>
      </c>
      <c r="Z34" s="444">
        <f>Y34-Y33</f>
        <v>0</v>
      </c>
      <c r="AA34" s="440">
        <f t="shared" si="17"/>
        <v>36214</v>
      </c>
      <c r="AB34" s="444">
        <f>AA34-AA33</f>
        <v>0</v>
      </c>
      <c r="AC34" s="440">
        <f t="shared" si="18"/>
        <v>1021857</v>
      </c>
      <c r="AD34" s="444">
        <f>AC34-AC33</f>
        <v>0</v>
      </c>
      <c r="AE34" s="466">
        <f>AB34+X34+T34</f>
        <v>0</v>
      </c>
      <c r="AF34" s="467">
        <f>V34+Z34+AD34</f>
        <v>0</v>
      </c>
      <c r="AG34" s="459">
        <f>IF(AE34&gt;0,AF34/AE34,0)</f>
        <v>0</v>
      </c>
      <c r="AK34" s="597"/>
      <c r="AL34" s="598"/>
      <c r="AM34" s="598"/>
      <c r="AN34" s="598"/>
    </row>
    <row r="35" spans="1:40" s="640" customFormat="1">
      <c r="A35" s="629"/>
      <c r="B35" s="630"/>
      <c r="C35" s="631"/>
      <c r="D35" s="632"/>
      <c r="E35" s="633"/>
      <c r="F35" s="632"/>
      <c r="G35" s="634"/>
      <c r="H35" s="632"/>
      <c r="I35" s="634"/>
      <c r="J35" s="632"/>
      <c r="K35" s="634"/>
      <c r="L35" s="632"/>
      <c r="M35" s="634"/>
      <c r="N35" s="635"/>
      <c r="O35" s="636"/>
      <c r="P35" s="637"/>
      <c r="Q35" s="628"/>
      <c r="R35" s="628"/>
      <c r="S35" s="632"/>
      <c r="T35" s="638"/>
      <c r="U35" s="632"/>
      <c r="V35" s="628"/>
      <c r="W35" s="632"/>
      <c r="X35" s="628"/>
      <c r="Y35" s="632"/>
      <c r="Z35" s="628"/>
      <c r="AA35" s="632"/>
      <c r="AB35" s="628"/>
      <c r="AC35" s="632"/>
      <c r="AD35" s="628"/>
      <c r="AE35" s="628"/>
      <c r="AF35" s="628"/>
      <c r="AG35" s="639"/>
      <c r="AK35" s="628"/>
      <c r="AL35" s="628"/>
      <c r="AM35" s="628"/>
      <c r="AN35" s="628"/>
    </row>
  </sheetData>
  <mergeCells count="1">
    <mergeCell ref="AK1:AN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Z1" zoomScale="90" zoomScaleNormal="90" workbookViewId="0">
      <pane ySplit="1" topLeftCell="A2" activePane="bottomLeft" state="frozen"/>
      <selection activeCell="K1" sqref="K1"/>
      <selection pane="bottomLeft" activeCell="AM11" sqref="AM11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17" customWidth="1"/>
    <col min="38" max="38" width="11.28515625" style="317" bestFit="1" customWidth="1"/>
    <col min="39" max="39" width="11.42578125" style="317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309"/>
    <col min="51" max="16384" width="9.28515625" style="42"/>
  </cols>
  <sheetData>
    <row r="1" spans="1:52" ht="30.75" thickBot="1">
      <c r="F1" s="668" t="s">
        <v>2</v>
      </c>
      <c r="G1" s="669"/>
      <c r="H1" s="669"/>
      <c r="I1" s="670"/>
      <c r="J1" s="279">
        <f>J36</f>
        <v>51.666666666666664</v>
      </c>
      <c r="K1" s="671" t="s">
        <v>4</v>
      </c>
      <c r="L1" s="672"/>
      <c r="M1" s="672"/>
      <c r="N1" s="672"/>
      <c r="O1" s="673"/>
      <c r="P1" s="662" t="s">
        <v>6</v>
      </c>
      <c r="Q1" s="663"/>
      <c r="R1" s="663"/>
      <c r="S1" s="663"/>
      <c r="T1" s="664"/>
      <c r="U1" s="393"/>
      <c r="V1" s="27" t="s">
        <v>104</v>
      </c>
      <c r="W1" s="394"/>
      <c r="X1" s="662" t="s">
        <v>8</v>
      </c>
      <c r="Y1" s="663"/>
      <c r="Z1" s="663"/>
      <c r="AA1" s="663"/>
      <c r="AB1" s="663"/>
      <c r="AC1" s="665" t="s">
        <v>10</v>
      </c>
      <c r="AD1" s="666"/>
      <c r="AE1" s="666"/>
      <c r="AF1" s="667"/>
      <c r="AG1" s="207"/>
      <c r="AH1" s="85" t="s">
        <v>105</v>
      </c>
      <c r="AI1" s="310" t="s">
        <v>128</v>
      </c>
      <c r="AJ1" s="310"/>
      <c r="AK1" s="310"/>
      <c r="AL1" s="310" t="s">
        <v>133</v>
      </c>
      <c r="AM1" s="310" t="s">
        <v>134</v>
      </c>
      <c r="AN1" s="312" t="s">
        <v>12</v>
      </c>
      <c r="AO1" s="312" t="s">
        <v>13</v>
      </c>
      <c r="AP1" s="312" t="s">
        <v>14</v>
      </c>
      <c r="AQ1" s="312" t="s">
        <v>15</v>
      </c>
      <c r="AR1" s="312" t="s">
        <v>16</v>
      </c>
      <c r="AS1" s="312" t="s">
        <v>17</v>
      </c>
      <c r="AT1" s="312"/>
      <c r="AU1" s="313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60"/>
      <c r="R2" s="661"/>
      <c r="S2" s="52" t="s">
        <v>7</v>
      </c>
      <c r="T2" s="53"/>
      <c r="U2" s="397" t="s">
        <v>381</v>
      </c>
      <c r="V2" s="54" t="s">
        <v>103</v>
      </c>
      <c r="W2" s="395"/>
      <c r="X2" s="55" t="s">
        <v>8</v>
      </c>
      <c r="Y2" s="46" t="s">
        <v>9</v>
      </c>
      <c r="Z2" s="386" t="s">
        <v>377</v>
      </c>
      <c r="AA2" s="387" t="s">
        <v>378</v>
      </c>
      <c r="AB2" s="278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1" t="s">
        <v>103</v>
      </c>
      <c r="AJ2" s="389"/>
      <c r="AK2" s="389"/>
      <c r="AL2" s="389"/>
      <c r="AM2" s="389"/>
      <c r="AN2" s="388"/>
      <c r="AO2" s="388"/>
      <c r="AP2" s="388"/>
      <c r="AQ2" s="388"/>
      <c r="AR2" s="388"/>
      <c r="AS2" s="388"/>
      <c r="AT2" s="388"/>
      <c r="AU2" s="388"/>
      <c r="AV2" s="267"/>
      <c r="AW2" s="267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97"/>
      <c r="V3" s="59"/>
      <c r="W3" s="395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4"/>
      <c r="AJ3" s="315"/>
      <c r="AK3" s="315"/>
      <c r="AL3" s="315"/>
      <c r="AM3" s="315"/>
    </row>
    <row r="4" spans="1:52" s="335" customFormat="1">
      <c r="A4" s="63">
        <f>ELEC!C3</f>
        <v>44377</v>
      </c>
      <c r="B4" s="391">
        <f>[1]B5!B34</f>
        <v>109</v>
      </c>
      <c r="C4" s="391">
        <f>[1]B5!C34</f>
        <v>116</v>
      </c>
      <c r="D4" s="391">
        <f>[1]B5!D34</f>
        <v>19</v>
      </c>
      <c r="E4" s="391">
        <f>[1]B5!E34</f>
        <v>159.22000000000003</v>
      </c>
      <c r="F4" s="391">
        <f>[1]B5!F34</f>
        <v>1855</v>
      </c>
      <c r="G4" s="391">
        <f>[1]B5!G34</f>
        <v>1</v>
      </c>
      <c r="H4" s="391">
        <f>[1]B5!H34</f>
        <v>14460</v>
      </c>
      <c r="I4" s="391">
        <f>[1]B5!I34</f>
        <v>73</v>
      </c>
      <c r="J4" s="391">
        <f>[1]B5!J34</f>
        <v>73</v>
      </c>
      <c r="K4" s="391">
        <f>[1]B5!K34</f>
        <v>2343</v>
      </c>
      <c r="L4" s="391">
        <f>[1]B5!L34</f>
        <v>0</v>
      </c>
      <c r="M4" s="391">
        <f>[1]B5!M34</f>
        <v>172912</v>
      </c>
      <c r="N4" s="391">
        <f>[1]B5!N34</f>
        <v>70</v>
      </c>
      <c r="O4" s="391">
        <f>[1]B5!O34</f>
        <v>1869</v>
      </c>
      <c r="P4" s="391">
        <f>[1]B5!P34</f>
        <v>2111</v>
      </c>
      <c r="Q4" s="391">
        <f>[1]B5!Q34</f>
        <v>177340</v>
      </c>
      <c r="R4" s="391">
        <f>[1]B5!R34</f>
        <v>0</v>
      </c>
      <c r="S4" s="391">
        <f>[1]B5!S34</f>
        <v>0</v>
      </c>
      <c r="T4" s="391">
        <f>[1]B5!T34</f>
        <v>0</v>
      </c>
      <c r="U4" s="391">
        <f>[1]B5!U34</f>
        <v>1</v>
      </c>
      <c r="V4" s="391">
        <f>[1]B5!V34</f>
        <v>143</v>
      </c>
      <c r="W4" s="391">
        <f>[1]B5!W34</f>
        <v>0</v>
      </c>
      <c r="X4" s="391">
        <f>[1]B5!X34</f>
        <v>2470</v>
      </c>
      <c r="Y4" s="391">
        <f>[1]B5!Y34</f>
        <v>0</v>
      </c>
      <c r="Z4" s="391">
        <f>[1]B5!Z34</f>
        <v>139101.4</v>
      </c>
      <c r="AA4" s="391">
        <f>[1]B5!AA34</f>
        <v>0</v>
      </c>
      <c r="AB4" s="391">
        <f>[1]B5!AB34</f>
        <v>0</v>
      </c>
      <c r="AC4" s="391">
        <f>[1]B5!AC34</f>
        <v>1940</v>
      </c>
      <c r="AD4" s="391">
        <f>[1]B5!AD34</f>
        <v>0</v>
      </c>
      <c r="AE4" s="391">
        <f>[1]B5!AE34</f>
        <v>365916.4</v>
      </c>
      <c r="AF4" s="391">
        <f>[1]B5!AF34</f>
        <v>60.400000000023283</v>
      </c>
      <c r="AG4" s="391">
        <f>[1]B5!AG34</f>
        <v>0</v>
      </c>
      <c r="AH4" s="391">
        <f>[1]B5!AH34</f>
        <v>60.400000000023283</v>
      </c>
      <c r="AI4" s="391">
        <f>[1]B5!AI34</f>
        <v>203.40000000002328</v>
      </c>
      <c r="AJ4" s="391">
        <f>[1]B5!AJ34</f>
        <v>203.40000000002328</v>
      </c>
      <c r="AK4" s="391">
        <f>[1]B5!AK34</f>
        <v>0</v>
      </c>
      <c r="AL4" s="391">
        <f>[1]B5!AL34</f>
        <v>1</v>
      </c>
      <c r="AM4" s="391">
        <f>[1]B5!AM34</f>
        <v>0</v>
      </c>
      <c r="AN4" s="391">
        <f>[1]B5!AN34</f>
        <v>65</v>
      </c>
      <c r="AO4" s="391">
        <f>[1]B5!AO34</f>
        <v>1950</v>
      </c>
      <c r="AP4" s="391">
        <f>[1]B5!AP34</f>
        <v>55</v>
      </c>
      <c r="AQ4" s="391">
        <f>[1]B5!AQ34</f>
        <v>1650.0000000000002</v>
      </c>
      <c r="AR4" s="391">
        <f>[1]B5!AR34</f>
        <v>61</v>
      </c>
      <c r="AS4" s="391">
        <f>[1]B5!AS34</f>
        <v>1830</v>
      </c>
      <c r="AT4" s="391">
        <f>[1]B5!AT34</f>
        <v>5430</v>
      </c>
      <c r="AU4" s="391">
        <f>[1]B5!AU34</f>
        <v>0</v>
      </c>
      <c r="AV4" s="391">
        <f>[1]B5!AV34</f>
        <v>0</v>
      </c>
      <c r="AW4" s="391">
        <f>[1]B5!AW34</f>
        <v>0</v>
      </c>
      <c r="AX4" s="391">
        <f>[1]B5!AX34</f>
        <v>0.8</v>
      </c>
    </row>
    <row r="5" spans="1:52">
      <c r="A5" s="63">
        <f>ELEC!C4</f>
        <v>44378</v>
      </c>
      <c r="B5" s="573">
        <f>B4</f>
        <v>109</v>
      </c>
      <c r="C5" s="573">
        <f>C4</f>
        <v>116</v>
      </c>
      <c r="D5" s="45">
        <f>C4-C5</f>
        <v>0</v>
      </c>
      <c r="E5" s="45">
        <f>D5*8.38</f>
        <v>0</v>
      </c>
      <c r="F5" s="573">
        <f>F4</f>
        <v>1855</v>
      </c>
      <c r="G5" s="52">
        <f t="shared" ref="G5:G32" si="0">F5-F4</f>
        <v>0</v>
      </c>
      <c r="H5" s="573">
        <f>H4</f>
        <v>14460</v>
      </c>
      <c r="I5" s="392">
        <f t="shared" ref="I5:I32" si="1">SUM(H5-H4)</f>
        <v>0</v>
      </c>
      <c r="J5" s="66">
        <v>1</v>
      </c>
      <c r="K5" s="573">
        <f>K4</f>
        <v>2343</v>
      </c>
      <c r="L5" s="52">
        <f>K5-K4</f>
        <v>0</v>
      </c>
      <c r="M5" s="573">
        <f>M4</f>
        <v>172912</v>
      </c>
      <c r="N5" s="392">
        <f t="shared" ref="N5:N32" si="2">M5-M4</f>
        <v>0</v>
      </c>
      <c r="O5" s="64">
        <f t="shared" ref="O5:Q17" si="3">O4</f>
        <v>1869</v>
      </c>
      <c r="P5" s="573">
        <f>P4</f>
        <v>2111</v>
      </c>
      <c r="Q5" s="573">
        <f>Q4</f>
        <v>177340</v>
      </c>
      <c r="R5" s="391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98">
        <f>SUM(G5+L5+S5)</f>
        <v>0</v>
      </c>
      <c r="V5" s="62">
        <f>R5+N5+I5:I5</f>
        <v>0</v>
      </c>
      <c r="W5" s="396" t="e">
        <f>SUM(V5/U5)</f>
        <v>#DIV/0!</v>
      </c>
      <c r="X5" s="573">
        <f>X4</f>
        <v>2470</v>
      </c>
      <c r="Y5" s="52">
        <f>X5-X4</f>
        <v>0</v>
      </c>
      <c r="Z5" s="573">
        <f>Z4</f>
        <v>139101.4</v>
      </c>
      <c r="AA5" s="65">
        <f t="shared" ref="AA5:AA32" si="6">Z5-Z4</f>
        <v>0</v>
      </c>
      <c r="AB5" s="281">
        <f>SUM(Y5*$AB$2)</f>
        <v>0</v>
      </c>
      <c r="AC5" s="573">
        <f>AC4</f>
        <v>1940</v>
      </c>
      <c r="AD5" s="45">
        <f t="shared" ref="AD5:AD32" si="7">AC5-AC4</f>
        <v>0</v>
      </c>
      <c r="AE5" s="573">
        <f>AE4</f>
        <v>365916.4</v>
      </c>
      <c r="AF5" s="303">
        <f>AE5-AE4</f>
        <v>0</v>
      </c>
      <c r="AG5" s="209">
        <f>IF(AD5&gt;0,AF5/AD5,0)</f>
        <v>0</v>
      </c>
      <c r="AH5" s="62">
        <f>AF5+AA5</f>
        <v>0</v>
      </c>
      <c r="AI5" s="314">
        <f>SUM(AH5+V5)</f>
        <v>0</v>
      </c>
      <c r="AJ5" s="314">
        <f>-tanks!AW6</f>
        <v>0</v>
      </c>
      <c r="AK5" s="314">
        <f>SUM(AJ5-AI5)</f>
        <v>0</v>
      </c>
      <c r="AL5" s="314">
        <f t="shared" ref="AL5:AL32" si="8">S5+L5+G5</f>
        <v>0</v>
      </c>
      <c r="AM5" s="314">
        <f>Y5+AD5</f>
        <v>0</v>
      </c>
      <c r="AN5" s="573">
        <f t="shared" ref="AN5:AN33" si="9">AN4</f>
        <v>65</v>
      </c>
      <c r="AO5" s="316">
        <f>(AN5/100)*3000</f>
        <v>1950</v>
      </c>
      <c r="AP5" s="573">
        <f t="shared" ref="AP5:AP33" si="10">AP4</f>
        <v>55</v>
      </c>
      <c r="AQ5" s="316">
        <f>(AP5/100)*3000</f>
        <v>1650.0000000000002</v>
      </c>
      <c r="AR5" s="573">
        <f t="shared" ref="AR5:AR35" si="11">AR4</f>
        <v>61</v>
      </c>
      <c r="AS5" s="316">
        <f>(AR5/100)*3000</f>
        <v>1830</v>
      </c>
      <c r="AT5" s="316">
        <f>SUM(AO5+AQ5+AS5)</f>
        <v>5430</v>
      </c>
      <c r="AU5" s="316">
        <f>AT4-AT5+AV5</f>
        <v>0</v>
      </c>
      <c r="AV5" s="267"/>
      <c r="AW5" s="267"/>
      <c r="AX5" s="309">
        <f>IF(AV5&gt;0,AW5,AX4)</f>
        <v>0.8</v>
      </c>
    </row>
    <row r="6" spans="1:52">
      <c r="A6" s="63">
        <f>ELEC!C5</f>
        <v>44379</v>
      </c>
      <c r="B6" s="573">
        <v>160</v>
      </c>
      <c r="C6" s="573">
        <v>110</v>
      </c>
      <c r="D6" s="45">
        <f>C5-C6</f>
        <v>6</v>
      </c>
      <c r="E6" s="45">
        <f t="shared" ref="E6:E32" si="12">D6*8.38</f>
        <v>50.28</v>
      </c>
      <c r="F6" s="573">
        <f t="shared" ref="F6:F34" si="13">F5</f>
        <v>1855</v>
      </c>
      <c r="G6" s="52">
        <f t="shared" si="0"/>
        <v>0</v>
      </c>
      <c r="H6" s="573">
        <f t="shared" ref="H6:H34" si="14">H5</f>
        <v>14460</v>
      </c>
      <c r="I6" s="392">
        <f t="shared" si="1"/>
        <v>0</v>
      </c>
      <c r="J6" s="66">
        <f t="shared" ref="J6:J32" si="15">IF(G6&gt;0,I6/G6,0)</f>
        <v>0</v>
      </c>
      <c r="K6" s="573">
        <f t="shared" ref="K6:K34" si="16">K5</f>
        <v>2343</v>
      </c>
      <c r="L6" s="52">
        <f t="shared" ref="L6:L32" si="17">K6-K5</f>
        <v>0</v>
      </c>
      <c r="M6" s="573">
        <f t="shared" ref="M6:M34" si="18">M5</f>
        <v>172912</v>
      </c>
      <c r="N6" s="392">
        <f t="shared" si="2"/>
        <v>0</v>
      </c>
      <c r="O6" s="64">
        <f t="shared" si="3"/>
        <v>1869</v>
      </c>
      <c r="P6" s="573">
        <f t="shared" si="3"/>
        <v>2111</v>
      </c>
      <c r="Q6" s="573">
        <f t="shared" si="3"/>
        <v>177340</v>
      </c>
      <c r="R6" s="391">
        <f t="shared" si="4"/>
        <v>0</v>
      </c>
      <c r="S6" s="52">
        <f t="shared" si="5"/>
        <v>0</v>
      </c>
      <c r="T6" s="67">
        <f>SUM(S6*$T$2)</f>
        <v>0</v>
      </c>
      <c r="U6" s="398">
        <f t="shared" ref="U6:U32" si="19">SUM(G6+L6+S6)</f>
        <v>0</v>
      </c>
      <c r="V6" s="62">
        <f t="shared" ref="V6:V32" si="20">R6+N6+I6:I6</f>
        <v>0</v>
      </c>
      <c r="W6" s="396" t="e">
        <f t="shared" ref="W6:W16" si="21">SUM(V6/U6)</f>
        <v>#DIV/0!</v>
      </c>
      <c r="X6" s="573">
        <f t="shared" ref="X6:X34" si="22">X5</f>
        <v>2470</v>
      </c>
      <c r="Y6" s="52">
        <f t="shared" ref="Y6:Y32" si="23">X6-X5</f>
        <v>0</v>
      </c>
      <c r="Z6" s="573">
        <f t="shared" ref="Z6:Z34" si="24">Z5</f>
        <v>139101.4</v>
      </c>
      <c r="AA6" s="65">
        <f t="shared" si="6"/>
        <v>0</v>
      </c>
      <c r="AB6" s="281">
        <f>SUM(Y6*$AB$2)</f>
        <v>0</v>
      </c>
      <c r="AC6" s="573">
        <f t="shared" ref="AC6:AC34" si="25">AC5</f>
        <v>1940</v>
      </c>
      <c r="AD6" s="45">
        <f t="shared" si="7"/>
        <v>0</v>
      </c>
      <c r="AE6" s="573">
        <f t="shared" ref="AE6:AE34" si="26">AE5</f>
        <v>365916.4</v>
      </c>
      <c r="AF6" s="303">
        <f t="shared" ref="AF6:AF32" si="27">AE6-AE5</f>
        <v>0</v>
      </c>
      <c r="AG6" s="209">
        <f>IF(AD6&gt;0,AF6/AD6,0)</f>
        <v>0</v>
      </c>
      <c r="AH6" s="62">
        <f>AF6+AA6</f>
        <v>0</v>
      </c>
      <c r="AI6" s="314">
        <f t="shared" ref="AI6:AI32" si="28">SUM(AH6+V6)</f>
        <v>0</v>
      </c>
      <c r="AJ6" s="314">
        <f>-tanks!AW7</f>
        <v>0</v>
      </c>
      <c r="AK6" s="314">
        <f t="shared" ref="AK6:AK32" si="29">SUM(AJ6-AI6)</f>
        <v>0</v>
      </c>
      <c r="AL6" s="314">
        <f t="shared" si="8"/>
        <v>0</v>
      </c>
      <c r="AM6" s="314">
        <f t="shared" ref="AM6:AM32" si="30">Y6+AD6</f>
        <v>0</v>
      </c>
      <c r="AN6" s="573">
        <f t="shared" si="9"/>
        <v>65</v>
      </c>
      <c r="AO6" s="316">
        <f t="shared" ref="AO6:AO26" si="31">(AN6/100)*3000</f>
        <v>1950</v>
      </c>
      <c r="AP6" s="573">
        <f t="shared" si="10"/>
        <v>55</v>
      </c>
      <c r="AQ6" s="316">
        <f t="shared" ref="AQ6:AQ24" si="32">(AP6/100)*3000</f>
        <v>1650.0000000000002</v>
      </c>
      <c r="AR6" s="573">
        <f t="shared" si="11"/>
        <v>61</v>
      </c>
      <c r="AS6" s="316">
        <f>(AR6/100)*3000</f>
        <v>1830</v>
      </c>
      <c r="AT6" s="316">
        <f>SUM(AO6+AQ6+AS6)</f>
        <v>5430</v>
      </c>
      <c r="AU6" s="316">
        <f>AT5-AT6+AV6</f>
        <v>0</v>
      </c>
      <c r="AV6" s="267"/>
      <c r="AW6" s="267"/>
      <c r="AX6" s="309">
        <f t="shared" ref="AX6:AX34" si="33">IF(AV6&gt;0,AW6,AX5)</f>
        <v>0.8</v>
      </c>
    </row>
    <row r="7" spans="1:52">
      <c r="A7" s="63">
        <f>ELEC!C6</f>
        <v>44380</v>
      </c>
      <c r="B7" s="573">
        <f t="shared" ref="B7:B34" si="34">B6</f>
        <v>160</v>
      </c>
      <c r="C7" s="573">
        <f t="shared" ref="C7:C34" si="35">C6</f>
        <v>110</v>
      </c>
      <c r="D7" s="45">
        <f t="shared" ref="D7:D19" si="36">C6-C7</f>
        <v>0</v>
      </c>
      <c r="E7" s="45">
        <f t="shared" si="12"/>
        <v>0</v>
      </c>
      <c r="F7" s="573">
        <f t="shared" si="13"/>
        <v>1855</v>
      </c>
      <c r="G7" s="52">
        <f t="shared" si="0"/>
        <v>0</v>
      </c>
      <c r="H7" s="573">
        <f t="shared" si="14"/>
        <v>14460</v>
      </c>
      <c r="I7" s="392">
        <f t="shared" si="1"/>
        <v>0</v>
      </c>
      <c r="J7" s="66">
        <f t="shared" si="15"/>
        <v>0</v>
      </c>
      <c r="K7" s="573">
        <f t="shared" si="16"/>
        <v>2343</v>
      </c>
      <c r="L7" s="52">
        <f t="shared" si="17"/>
        <v>0</v>
      </c>
      <c r="M7" s="573">
        <f t="shared" si="18"/>
        <v>172912</v>
      </c>
      <c r="N7" s="392">
        <f t="shared" si="2"/>
        <v>0</v>
      </c>
      <c r="O7" s="64">
        <f t="shared" si="3"/>
        <v>1869</v>
      </c>
      <c r="P7" s="573">
        <f t="shared" si="3"/>
        <v>2111</v>
      </c>
      <c r="Q7" s="573">
        <f t="shared" si="3"/>
        <v>177340</v>
      </c>
      <c r="R7" s="391">
        <f t="shared" si="4"/>
        <v>0</v>
      </c>
      <c r="S7" s="52">
        <f t="shared" si="5"/>
        <v>0</v>
      </c>
      <c r="T7" s="67">
        <f t="shared" ref="T7:T32" si="37">SUM(S7*$T$2)</f>
        <v>0</v>
      </c>
      <c r="U7" s="398">
        <f t="shared" si="19"/>
        <v>0</v>
      </c>
      <c r="V7" s="62">
        <f t="shared" si="20"/>
        <v>0</v>
      </c>
      <c r="W7" s="396" t="e">
        <f t="shared" si="21"/>
        <v>#DIV/0!</v>
      </c>
      <c r="X7" s="573">
        <f t="shared" si="22"/>
        <v>2470</v>
      </c>
      <c r="Y7" s="52">
        <f t="shared" si="23"/>
        <v>0</v>
      </c>
      <c r="Z7" s="573">
        <f t="shared" si="24"/>
        <v>139101.4</v>
      </c>
      <c r="AA7" s="65">
        <f t="shared" si="6"/>
        <v>0</v>
      </c>
      <c r="AB7" s="281">
        <f t="shared" ref="AB7:AB17" si="38">SUM(Y7*$AB$2)</f>
        <v>0</v>
      </c>
      <c r="AC7" s="573">
        <f t="shared" si="25"/>
        <v>1940</v>
      </c>
      <c r="AD7" s="45">
        <f t="shared" si="7"/>
        <v>0</v>
      </c>
      <c r="AE7" s="573">
        <f t="shared" si="26"/>
        <v>365916.4</v>
      </c>
      <c r="AF7" s="303">
        <f t="shared" si="27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14">
        <f t="shared" si="28"/>
        <v>0</v>
      </c>
      <c r="AJ7" s="314">
        <f>-tanks!AW8</f>
        <v>0</v>
      </c>
      <c r="AK7" s="314">
        <f t="shared" si="29"/>
        <v>0</v>
      </c>
      <c r="AL7" s="314">
        <f t="shared" si="8"/>
        <v>0</v>
      </c>
      <c r="AM7" s="314">
        <f t="shared" si="30"/>
        <v>0</v>
      </c>
      <c r="AN7" s="573">
        <f t="shared" si="9"/>
        <v>65</v>
      </c>
      <c r="AO7" s="316">
        <f t="shared" si="31"/>
        <v>1950</v>
      </c>
      <c r="AP7" s="573">
        <f t="shared" si="10"/>
        <v>55</v>
      </c>
      <c r="AQ7" s="316">
        <f t="shared" si="32"/>
        <v>1650.0000000000002</v>
      </c>
      <c r="AR7" s="573">
        <f t="shared" si="11"/>
        <v>61</v>
      </c>
      <c r="AS7" s="316">
        <f t="shared" ref="AS7:AS32" si="41">(AR7/100)*3000</f>
        <v>1830</v>
      </c>
      <c r="AT7" s="316">
        <f t="shared" ref="AT7:AT23" si="42">SUM(AO7+AQ7+AS7)</f>
        <v>5430</v>
      </c>
      <c r="AU7" s="316">
        <f t="shared" ref="AU7:AU32" si="43">AT6-AT7+AV7</f>
        <v>0</v>
      </c>
      <c r="AV7" s="267"/>
      <c r="AW7" s="267"/>
      <c r="AX7" s="309">
        <f t="shared" si="33"/>
        <v>0.8</v>
      </c>
      <c r="AZ7" s="42" t="s">
        <v>412</v>
      </c>
    </row>
    <row r="8" spans="1:52">
      <c r="A8" s="63">
        <f>ELEC!C7</f>
        <v>44381</v>
      </c>
      <c r="B8" s="573">
        <v>143</v>
      </c>
      <c r="C8" s="573">
        <v>150</v>
      </c>
      <c r="D8" s="45">
        <f t="shared" si="36"/>
        <v>-40</v>
      </c>
      <c r="E8" s="45">
        <f t="shared" si="12"/>
        <v>-335.20000000000005</v>
      </c>
      <c r="F8" s="573">
        <f t="shared" si="13"/>
        <v>1855</v>
      </c>
      <c r="G8" s="52">
        <f t="shared" si="0"/>
        <v>0</v>
      </c>
      <c r="H8" s="573">
        <v>14528</v>
      </c>
      <c r="I8" s="392">
        <f t="shared" si="1"/>
        <v>68</v>
      </c>
      <c r="J8" s="66">
        <f t="shared" si="15"/>
        <v>0</v>
      </c>
      <c r="K8" s="573">
        <v>2344</v>
      </c>
      <c r="L8" s="52">
        <f t="shared" si="17"/>
        <v>1</v>
      </c>
      <c r="M8" s="573">
        <v>172961</v>
      </c>
      <c r="N8" s="392">
        <f t="shared" si="2"/>
        <v>49</v>
      </c>
      <c r="O8" s="64">
        <f t="shared" si="3"/>
        <v>1869</v>
      </c>
      <c r="P8" s="573">
        <f t="shared" si="3"/>
        <v>2111</v>
      </c>
      <c r="Q8" s="573">
        <f t="shared" si="3"/>
        <v>177340</v>
      </c>
      <c r="R8" s="391">
        <f t="shared" si="4"/>
        <v>0</v>
      </c>
      <c r="S8" s="52">
        <f t="shared" si="5"/>
        <v>0</v>
      </c>
      <c r="T8" s="67">
        <f t="shared" si="37"/>
        <v>0</v>
      </c>
      <c r="U8" s="398">
        <f t="shared" si="19"/>
        <v>1</v>
      </c>
      <c r="V8" s="62">
        <f t="shared" si="20"/>
        <v>117</v>
      </c>
      <c r="W8" s="396">
        <f t="shared" si="21"/>
        <v>117</v>
      </c>
      <c r="X8" s="573">
        <f t="shared" si="22"/>
        <v>2470</v>
      </c>
      <c r="Y8" s="52">
        <f t="shared" si="23"/>
        <v>0</v>
      </c>
      <c r="Z8" s="573">
        <f t="shared" si="24"/>
        <v>139101.4</v>
      </c>
      <c r="AA8" s="65">
        <f t="shared" si="6"/>
        <v>0</v>
      </c>
      <c r="AB8" s="281">
        <f t="shared" si="38"/>
        <v>0</v>
      </c>
      <c r="AC8" s="573">
        <f t="shared" si="25"/>
        <v>1940</v>
      </c>
      <c r="AD8" s="45">
        <f t="shared" si="7"/>
        <v>0</v>
      </c>
      <c r="AE8" s="573">
        <f t="shared" si="26"/>
        <v>365916.4</v>
      </c>
      <c r="AF8" s="303">
        <f t="shared" si="27"/>
        <v>0</v>
      </c>
      <c r="AG8" s="209">
        <f t="shared" si="39"/>
        <v>0</v>
      </c>
      <c r="AH8" s="62">
        <f t="shared" si="40"/>
        <v>0</v>
      </c>
      <c r="AI8" s="314">
        <f t="shared" si="28"/>
        <v>117</v>
      </c>
      <c r="AJ8" s="314">
        <f>-tanks!AW9</f>
        <v>117</v>
      </c>
      <c r="AK8" s="314">
        <f t="shared" si="29"/>
        <v>0</v>
      </c>
      <c r="AL8" s="314">
        <f t="shared" si="8"/>
        <v>1</v>
      </c>
      <c r="AM8" s="314">
        <f t="shared" si="30"/>
        <v>0</v>
      </c>
      <c r="AN8" s="573">
        <f t="shared" si="9"/>
        <v>65</v>
      </c>
      <c r="AO8" s="316">
        <f t="shared" si="31"/>
        <v>1950</v>
      </c>
      <c r="AP8" s="573">
        <f t="shared" si="10"/>
        <v>55</v>
      </c>
      <c r="AQ8" s="316">
        <f t="shared" si="32"/>
        <v>1650.0000000000002</v>
      </c>
      <c r="AR8" s="573">
        <f t="shared" si="11"/>
        <v>61</v>
      </c>
      <c r="AS8" s="316">
        <f t="shared" si="41"/>
        <v>1830</v>
      </c>
      <c r="AT8" s="316">
        <f t="shared" si="42"/>
        <v>5430</v>
      </c>
      <c r="AU8" s="316">
        <f t="shared" si="43"/>
        <v>0</v>
      </c>
      <c r="AV8" s="267"/>
      <c r="AW8" s="267"/>
      <c r="AX8" s="309">
        <f t="shared" si="33"/>
        <v>0.8</v>
      </c>
    </row>
    <row r="9" spans="1:52" ht="15.75" customHeight="1">
      <c r="A9" s="63">
        <f>ELEC!C8</f>
        <v>44382</v>
      </c>
      <c r="B9" s="573">
        <v>136</v>
      </c>
      <c r="C9" s="573">
        <v>144</v>
      </c>
      <c r="D9" s="45">
        <f t="shared" si="36"/>
        <v>6</v>
      </c>
      <c r="E9" s="45">
        <f t="shared" si="12"/>
        <v>50.28</v>
      </c>
      <c r="F9" s="573">
        <v>1856</v>
      </c>
      <c r="G9" s="52">
        <f t="shared" si="0"/>
        <v>1</v>
      </c>
      <c r="H9" s="573">
        <v>14580</v>
      </c>
      <c r="I9" s="392">
        <f t="shared" si="1"/>
        <v>52</v>
      </c>
      <c r="J9" s="66">
        <f t="shared" si="15"/>
        <v>52</v>
      </c>
      <c r="K9" s="573">
        <f t="shared" si="16"/>
        <v>2344</v>
      </c>
      <c r="L9" s="52">
        <f t="shared" si="17"/>
        <v>0</v>
      </c>
      <c r="M9" s="573">
        <f t="shared" si="18"/>
        <v>172961</v>
      </c>
      <c r="N9" s="392">
        <f t="shared" si="2"/>
        <v>0</v>
      </c>
      <c r="O9" s="64">
        <f t="shared" si="3"/>
        <v>1869</v>
      </c>
      <c r="P9" s="573">
        <f t="shared" si="3"/>
        <v>2111</v>
      </c>
      <c r="Q9" s="573">
        <f t="shared" si="3"/>
        <v>177340</v>
      </c>
      <c r="R9" s="391">
        <f t="shared" si="4"/>
        <v>0</v>
      </c>
      <c r="S9" s="52">
        <f t="shared" si="5"/>
        <v>0</v>
      </c>
      <c r="T9" s="67">
        <f t="shared" si="37"/>
        <v>0</v>
      </c>
      <c r="U9" s="398">
        <f t="shared" si="19"/>
        <v>1</v>
      </c>
      <c r="V9" s="62">
        <f t="shared" si="20"/>
        <v>52</v>
      </c>
      <c r="W9" s="396">
        <f t="shared" si="21"/>
        <v>52</v>
      </c>
      <c r="X9" s="573">
        <f t="shared" si="22"/>
        <v>2470</v>
      </c>
      <c r="Y9" s="52">
        <f t="shared" si="23"/>
        <v>0</v>
      </c>
      <c r="Z9" s="573">
        <f t="shared" si="24"/>
        <v>139101.4</v>
      </c>
      <c r="AA9" s="65">
        <f t="shared" si="6"/>
        <v>0</v>
      </c>
      <c r="AB9" s="281">
        <f t="shared" si="38"/>
        <v>0</v>
      </c>
      <c r="AC9" s="573">
        <f t="shared" si="25"/>
        <v>1940</v>
      </c>
      <c r="AD9" s="45">
        <f t="shared" si="7"/>
        <v>0</v>
      </c>
      <c r="AE9" s="573">
        <f t="shared" si="26"/>
        <v>365916.4</v>
      </c>
      <c r="AF9" s="303">
        <f t="shared" si="27"/>
        <v>0</v>
      </c>
      <c r="AG9" s="209">
        <f t="shared" si="39"/>
        <v>0</v>
      </c>
      <c r="AH9" s="62">
        <f t="shared" si="40"/>
        <v>0</v>
      </c>
      <c r="AI9" s="314">
        <f t="shared" si="28"/>
        <v>52</v>
      </c>
      <c r="AJ9" s="314">
        <f>-tanks!AW10</f>
        <v>52</v>
      </c>
      <c r="AK9" s="314">
        <f t="shared" si="29"/>
        <v>0</v>
      </c>
      <c r="AL9" s="314">
        <f t="shared" si="8"/>
        <v>1</v>
      </c>
      <c r="AM9" s="314">
        <f t="shared" si="30"/>
        <v>0</v>
      </c>
      <c r="AN9" s="573">
        <f t="shared" si="9"/>
        <v>65</v>
      </c>
      <c r="AO9" s="316">
        <f t="shared" si="31"/>
        <v>1950</v>
      </c>
      <c r="AP9" s="573">
        <f t="shared" si="10"/>
        <v>55</v>
      </c>
      <c r="AQ9" s="316">
        <f t="shared" si="32"/>
        <v>1650.0000000000002</v>
      </c>
      <c r="AR9" s="573">
        <f t="shared" si="11"/>
        <v>61</v>
      </c>
      <c r="AS9" s="316">
        <f>(AR9/100)*3000</f>
        <v>1830</v>
      </c>
      <c r="AT9" s="316">
        <f t="shared" si="42"/>
        <v>5430</v>
      </c>
      <c r="AU9" s="316">
        <f t="shared" si="43"/>
        <v>0</v>
      </c>
      <c r="AV9" s="267"/>
      <c r="AW9" s="267"/>
      <c r="AX9" s="309">
        <f t="shared" si="33"/>
        <v>0.8</v>
      </c>
    </row>
    <row r="10" spans="1:52">
      <c r="A10" s="63">
        <f>ELEC!C9</f>
        <v>44383</v>
      </c>
      <c r="B10" s="573">
        <v>150</v>
      </c>
      <c r="C10" s="573">
        <v>157</v>
      </c>
      <c r="D10" s="45">
        <f t="shared" si="36"/>
        <v>-13</v>
      </c>
      <c r="E10" s="45">
        <f t="shared" si="12"/>
        <v>-108.94000000000001</v>
      </c>
      <c r="F10" s="573">
        <v>1857</v>
      </c>
      <c r="G10" s="52">
        <f t="shared" si="0"/>
        <v>1</v>
      </c>
      <c r="H10" s="573">
        <v>14682</v>
      </c>
      <c r="I10" s="392">
        <f t="shared" si="1"/>
        <v>102</v>
      </c>
      <c r="J10" s="66">
        <f t="shared" si="15"/>
        <v>102</v>
      </c>
      <c r="K10" s="573">
        <v>2345</v>
      </c>
      <c r="L10" s="52">
        <f t="shared" si="17"/>
        <v>1</v>
      </c>
      <c r="M10" s="573">
        <v>173005</v>
      </c>
      <c r="N10" s="392">
        <f t="shared" si="2"/>
        <v>44</v>
      </c>
      <c r="O10" s="64">
        <f t="shared" si="3"/>
        <v>1869</v>
      </c>
      <c r="P10" s="573">
        <f t="shared" si="3"/>
        <v>2111</v>
      </c>
      <c r="Q10" s="573">
        <v>177358</v>
      </c>
      <c r="R10" s="391">
        <f t="shared" si="4"/>
        <v>18</v>
      </c>
      <c r="S10" s="52">
        <f t="shared" si="5"/>
        <v>0</v>
      </c>
      <c r="T10" s="67">
        <f t="shared" si="37"/>
        <v>0</v>
      </c>
      <c r="U10" s="398">
        <f t="shared" si="19"/>
        <v>2</v>
      </c>
      <c r="V10" s="62">
        <f t="shared" si="20"/>
        <v>164</v>
      </c>
      <c r="W10" s="396">
        <f t="shared" si="21"/>
        <v>82</v>
      </c>
      <c r="X10" s="573">
        <f t="shared" si="22"/>
        <v>2470</v>
      </c>
      <c r="Y10" s="52">
        <f t="shared" si="23"/>
        <v>0</v>
      </c>
      <c r="Z10" s="573">
        <f t="shared" si="24"/>
        <v>139101.4</v>
      </c>
      <c r="AA10" s="65">
        <f t="shared" si="6"/>
        <v>0</v>
      </c>
      <c r="AB10" s="281">
        <f t="shared" si="38"/>
        <v>0</v>
      </c>
      <c r="AC10" s="573">
        <f t="shared" si="25"/>
        <v>1940</v>
      </c>
      <c r="AD10" s="45">
        <f t="shared" si="7"/>
        <v>0</v>
      </c>
      <c r="AE10" s="573">
        <f t="shared" si="26"/>
        <v>365916.4</v>
      </c>
      <c r="AF10" s="303">
        <f t="shared" si="27"/>
        <v>0</v>
      </c>
      <c r="AG10" s="209">
        <f t="shared" si="39"/>
        <v>0</v>
      </c>
      <c r="AH10" s="62">
        <f t="shared" si="40"/>
        <v>0</v>
      </c>
      <c r="AI10" s="314">
        <f>SUM(AH10+V10)</f>
        <v>164</v>
      </c>
      <c r="AJ10" s="314">
        <f>-tanks!AW11</f>
        <v>164</v>
      </c>
      <c r="AK10" s="314">
        <f t="shared" si="29"/>
        <v>0</v>
      </c>
      <c r="AL10" s="314">
        <f t="shared" si="8"/>
        <v>2</v>
      </c>
      <c r="AM10" s="314">
        <f t="shared" si="30"/>
        <v>0</v>
      </c>
      <c r="AN10" s="573">
        <f t="shared" si="9"/>
        <v>65</v>
      </c>
      <c r="AO10" s="316">
        <f t="shared" si="31"/>
        <v>1950</v>
      </c>
      <c r="AP10" s="573">
        <f t="shared" si="10"/>
        <v>55</v>
      </c>
      <c r="AQ10" s="316">
        <f t="shared" si="32"/>
        <v>1650.0000000000002</v>
      </c>
      <c r="AR10" s="573">
        <f t="shared" si="11"/>
        <v>61</v>
      </c>
      <c r="AS10" s="316">
        <f t="shared" si="41"/>
        <v>1830</v>
      </c>
      <c r="AT10" s="316">
        <f t="shared" si="42"/>
        <v>5430</v>
      </c>
      <c r="AU10" s="316">
        <f t="shared" si="43"/>
        <v>0</v>
      </c>
      <c r="AV10" s="267"/>
      <c r="AW10" s="267"/>
      <c r="AX10" s="309">
        <f t="shared" si="33"/>
        <v>0.8</v>
      </c>
    </row>
    <row r="11" spans="1:52">
      <c r="A11" s="63">
        <f>ELEC!C10</f>
        <v>44384</v>
      </c>
      <c r="B11" s="573">
        <v>133</v>
      </c>
      <c r="C11" s="573">
        <v>141</v>
      </c>
      <c r="D11" s="45">
        <f t="shared" si="36"/>
        <v>16</v>
      </c>
      <c r="E11" s="45">
        <f t="shared" si="12"/>
        <v>134.08000000000001</v>
      </c>
      <c r="F11" s="573">
        <f t="shared" si="13"/>
        <v>1857</v>
      </c>
      <c r="G11" s="52">
        <f t="shared" si="0"/>
        <v>0</v>
      </c>
      <c r="H11" s="573">
        <f t="shared" si="14"/>
        <v>14682</v>
      </c>
      <c r="I11" s="392">
        <f t="shared" si="1"/>
        <v>0</v>
      </c>
      <c r="J11" s="66">
        <f t="shared" si="15"/>
        <v>0</v>
      </c>
      <c r="K11" s="573">
        <f t="shared" si="16"/>
        <v>2345</v>
      </c>
      <c r="L11" s="52">
        <f t="shared" si="17"/>
        <v>0</v>
      </c>
      <c r="M11" s="573">
        <f t="shared" si="18"/>
        <v>173005</v>
      </c>
      <c r="N11" s="392">
        <f t="shared" si="2"/>
        <v>0</v>
      </c>
      <c r="O11" s="64">
        <f t="shared" si="3"/>
        <v>1869</v>
      </c>
      <c r="P11" s="573">
        <f t="shared" si="3"/>
        <v>2111</v>
      </c>
      <c r="Q11" s="573">
        <v>177403</v>
      </c>
      <c r="R11" s="391">
        <f t="shared" ref="R11:R32" si="44">Q11-Q10</f>
        <v>45</v>
      </c>
      <c r="S11" s="52">
        <f t="shared" si="5"/>
        <v>0</v>
      </c>
      <c r="T11" s="67">
        <f t="shared" si="37"/>
        <v>0</v>
      </c>
      <c r="U11" s="398">
        <f t="shared" si="19"/>
        <v>0</v>
      </c>
      <c r="V11" s="62">
        <f t="shared" si="20"/>
        <v>45</v>
      </c>
      <c r="W11" s="396" t="e">
        <f t="shared" si="21"/>
        <v>#DIV/0!</v>
      </c>
      <c r="X11" s="573">
        <f t="shared" si="22"/>
        <v>2470</v>
      </c>
      <c r="Y11" s="52">
        <f t="shared" si="23"/>
        <v>0</v>
      </c>
      <c r="Z11" s="573">
        <f t="shared" si="24"/>
        <v>139101.4</v>
      </c>
      <c r="AA11" s="65">
        <f t="shared" si="6"/>
        <v>0</v>
      </c>
      <c r="AB11" s="281">
        <f t="shared" si="38"/>
        <v>0</v>
      </c>
      <c r="AC11" s="573">
        <f t="shared" si="25"/>
        <v>1940</v>
      </c>
      <c r="AD11" s="45">
        <f t="shared" si="7"/>
        <v>0</v>
      </c>
      <c r="AE11" s="573">
        <f t="shared" si="26"/>
        <v>365916.4</v>
      </c>
      <c r="AF11" s="303">
        <f t="shared" si="27"/>
        <v>0</v>
      </c>
      <c r="AG11" s="209">
        <f t="shared" si="39"/>
        <v>0</v>
      </c>
      <c r="AH11" s="62">
        <f>AF11+AA11</f>
        <v>0</v>
      </c>
      <c r="AI11" s="314">
        <f>SUM(AH11+V11)</f>
        <v>45</v>
      </c>
      <c r="AJ11" s="314">
        <f>-tanks!AW12</f>
        <v>45</v>
      </c>
      <c r="AK11" s="314">
        <f t="shared" si="29"/>
        <v>0</v>
      </c>
      <c r="AL11" s="314">
        <f t="shared" si="8"/>
        <v>0</v>
      </c>
      <c r="AM11" s="314">
        <f t="shared" si="30"/>
        <v>0</v>
      </c>
      <c r="AN11" s="573">
        <f t="shared" si="9"/>
        <v>65</v>
      </c>
      <c r="AO11" s="316">
        <f t="shared" si="31"/>
        <v>1950</v>
      </c>
      <c r="AP11" s="573">
        <f t="shared" si="10"/>
        <v>55</v>
      </c>
      <c r="AQ11" s="316">
        <f t="shared" si="32"/>
        <v>1650.0000000000002</v>
      </c>
      <c r="AR11" s="573">
        <f t="shared" si="11"/>
        <v>61</v>
      </c>
      <c r="AS11" s="316">
        <f t="shared" si="41"/>
        <v>1830</v>
      </c>
      <c r="AT11" s="316">
        <f t="shared" si="42"/>
        <v>5430</v>
      </c>
      <c r="AU11" s="316">
        <f t="shared" si="43"/>
        <v>0</v>
      </c>
      <c r="AV11" s="267"/>
      <c r="AW11" s="267"/>
      <c r="AX11" s="309">
        <f t="shared" si="33"/>
        <v>0.8</v>
      </c>
    </row>
    <row r="12" spans="1:52">
      <c r="A12" s="63">
        <f>ELEC!C11</f>
        <v>44385</v>
      </c>
      <c r="B12" s="573">
        <f t="shared" si="34"/>
        <v>133</v>
      </c>
      <c r="C12" s="573">
        <f t="shared" si="35"/>
        <v>141</v>
      </c>
      <c r="D12" s="45">
        <f t="shared" si="36"/>
        <v>0</v>
      </c>
      <c r="E12" s="45">
        <f t="shared" si="12"/>
        <v>0</v>
      </c>
      <c r="F12" s="573">
        <f t="shared" si="13"/>
        <v>1857</v>
      </c>
      <c r="G12" s="52">
        <f t="shared" si="0"/>
        <v>0</v>
      </c>
      <c r="H12" s="573">
        <f t="shared" si="14"/>
        <v>14682</v>
      </c>
      <c r="I12" s="392">
        <f t="shared" si="1"/>
        <v>0</v>
      </c>
      <c r="J12" s="66">
        <f t="shared" si="15"/>
        <v>0</v>
      </c>
      <c r="K12" s="573">
        <f t="shared" si="16"/>
        <v>2345</v>
      </c>
      <c r="L12" s="52">
        <f t="shared" si="17"/>
        <v>0</v>
      </c>
      <c r="M12" s="573">
        <f t="shared" si="18"/>
        <v>173005</v>
      </c>
      <c r="N12" s="392">
        <f t="shared" si="2"/>
        <v>0</v>
      </c>
      <c r="O12" s="64">
        <f t="shared" si="3"/>
        <v>1869</v>
      </c>
      <c r="P12" s="573">
        <f t="shared" si="3"/>
        <v>2111</v>
      </c>
      <c r="Q12" s="573">
        <f t="shared" si="3"/>
        <v>177403</v>
      </c>
      <c r="R12" s="391">
        <f t="shared" si="44"/>
        <v>0</v>
      </c>
      <c r="S12" s="52">
        <f t="shared" si="5"/>
        <v>0</v>
      </c>
      <c r="T12" s="67">
        <f t="shared" si="37"/>
        <v>0</v>
      </c>
      <c r="U12" s="398">
        <f t="shared" si="19"/>
        <v>0</v>
      </c>
      <c r="V12" s="62">
        <f t="shared" si="20"/>
        <v>0</v>
      </c>
      <c r="W12" s="396" t="e">
        <f t="shared" si="21"/>
        <v>#DIV/0!</v>
      </c>
      <c r="X12" s="573">
        <f t="shared" si="22"/>
        <v>2470</v>
      </c>
      <c r="Y12" s="52">
        <f t="shared" si="23"/>
        <v>0</v>
      </c>
      <c r="Z12" s="573">
        <f t="shared" si="24"/>
        <v>139101.4</v>
      </c>
      <c r="AA12" s="65">
        <f t="shared" si="6"/>
        <v>0</v>
      </c>
      <c r="AB12" s="281">
        <f t="shared" si="38"/>
        <v>0</v>
      </c>
      <c r="AC12" s="573">
        <f t="shared" si="25"/>
        <v>1940</v>
      </c>
      <c r="AD12" s="45">
        <f t="shared" si="7"/>
        <v>0</v>
      </c>
      <c r="AE12" s="573">
        <f t="shared" si="26"/>
        <v>365916.4</v>
      </c>
      <c r="AF12" s="303">
        <f t="shared" si="27"/>
        <v>0</v>
      </c>
      <c r="AG12" s="209">
        <f t="shared" si="39"/>
        <v>0</v>
      </c>
      <c r="AH12" s="62">
        <f t="shared" si="40"/>
        <v>0</v>
      </c>
      <c r="AI12" s="314">
        <f t="shared" si="28"/>
        <v>0</v>
      </c>
      <c r="AJ12" s="314">
        <f>-tanks!AW13</f>
        <v>0</v>
      </c>
      <c r="AK12" s="314">
        <f t="shared" si="29"/>
        <v>0</v>
      </c>
      <c r="AL12" s="314">
        <f t="shared" si="8"/>
        <v>0</v>
      </c>
      <c r="AM12" s="314">
        <f t="shared" si="30"/>
        <v>0</v>
      </c>
      <c r="AN12" s="573">
        <f t="shared" si="9"/>
        <v>65</v>
      </c>
      <c r="AO12" s="316">
        <f t="shared" si="31"/>
        <v>1950</v>
      </c>
      <c r="AP12" s="573">
        <f t="shared" si="10"/>
        <v>55</v>
      </c>
      <c r="AQ12" s="316">
        <f t="shared" si="32"/>
        <v>1650.0000000000002</v>
      </c>
      <c r="AR12" s="573">
        <f t="shared" si="11"/>
        <v>61</v>
      </c>
      <c r="AS12" s="316">
        <f t="shared" si="41"/>
        <v>1830</v>
      </c>
      <c r="AT12" s="316">
        <f t="shared" si="42"/>
        <v>5430</v>
      </c>
      <c r="AU12" s="316">
        <f t="shared" si="43"/>
        <v>0</v>
      </c>
      <c r="AV12" s="267"/>
      <c r="AW12" s="267"/>
      <c r="AX12" s="309">
        <f t="shared" si="33"/>
        <v>0.8</v>
      </c>
    </row>
    <row r="13" spans="1:52">
      <c r="A13" s="63">
        <f>ELEC!C12</f>
        <v>44386</v>
      </c>
      <c r="B13" s="573">
        <f t="shared" si="34"/>
        <v>133</v>
      </c>
      <c r="C13" s="573">
        <f t="shared" si="35"/>
        <v>141</v>
      </c>
      <c r="D13" s="45">
        <f t="shared" si="36"/>
        <v>0</v>
      </c>
      <c r="E13" s="45">
        <f t="shared" si="12"/>
        <v>0</v>
      </c>
      <c r="F13" s="573">
        <f t="shared" si="13"/>
        <v>1857</v>
      </c>
      <c r="G13" s="52">
        <f t="shared" si="0"/>
        <v>0</v>
      </c>
      <c r="H13" s="573">
        <f t="shared" si="14"/>
        <v>14682</v>
      </c>
      <c r="I13" s="392">
        <f t="shared" si="1"/>
        <v>0</v>
      </c>
      <c r="J13" s="66">
        <f t="shared" si="15"/>
        <v>0</v>
      </c>
      <c r="K13" s="573">
        <f t="shared" si="16"/>
        <v>2345</v>
      </c>
      <c r="L13" s="52">
        <f t="shared" si="17"/>
        <v>0</v>
      </c>
      <c r="M13" s="573">
        <f t="shared" si="18"/>
        <v>173005</v>
      </c>
      <c r="N13" s="392">
        <f t="shared" si="2"/>
        <v>0</v>
      </c>
      <c r="O13" s="64">
        <f t="shared" si="3"/>
        <v>1869</v>
      </c>
      <c r="P13" s="573">
        <f t="shared" si="3"/>
        <v>2111</v>
      </c>
      <c r="Q13" s="573">
        <f t="shared" si="3"/>
        <v>177403</v>
      </c>
      <c r="R13" s="391">
        <f t="shared" si="44"/>
        <v>0</v>
      </c>
      <c r="S13" s="52">
        <f t="shared" si="5"/>
        <v>0</v>
      </c>
      <c r="T13" s="67">
        <f t="shared" si="37"/>
        <v>0</v>
      </c>
      <c r="U13" s="398">
        <f t="shared" si="19"/>
        <v>0</v>
      </c>
      <c r="V13" s="62">
        <f>R13+N13+I13:I13</f>
        <v>0</v>
      </c>
      <c r="W13" s="396" t="e">
        <f t="shared" si="21"/>
        <v>#DIV/0!</v>
      </c>
      <c r="X13" s="573">
        <f t="shared" si="22"/>
        <v>2470</v>
      </c>
      <c r="Y13" s="52">
        <f t="shared" si="23"/>
        <v>0</v>
      </c>
      <c r="Z13" s="573">
        <f t="shared" si="24"/>
        <v>139101.4</v>
      </c>
      <c r="AA13" s="281">
        <f t="shared" si="6"/>
        <v>0</v>
      </c>
      <c r="AB13" s="281">
        <f t="shared" si="38"/>
        <v>0</v>
      </c>
      <c r="AC13" s="573">
        <f t="shared" si="25"/>
        <v>1940</v>
      </c>
      <c r="AD13" s="45">
        <f t="shared" si="7"/>
        <v>0</v>
      </c>
      <c r="AE13" s="573">
        <f t="shared" si="26"/>
        <v>365916.4</v>
      </c>
      <c r="AF13" s="303">
        <f t="shared" si="27"/>
        <v>0</v>
      </c>
      <c r="AG13" s="209">
        <f t="shared" si="39"/>
        <v>0</v>
      </c>
      <c r="AH13" s="62">
        <f t="shared" si="40"/>
        <v>0</v>
      </c>
      <c r="AI13" s="314">
        <f t="shared" si="28"/>
        <v>0</v>
      </c>
      <c r="AJ13" s="314">
        <f>-tanks!AW14</f>
        <v>0</v>
      </c>
      <c r="AK13" s="314">
        <f t="shared" si="29"/>
        <v>0</v>
      </c>
      <c r="AL13" s="314">
        <f t="shared" si="8"/>
        <v>0</v>
      </c>
      <c r="AM13" s="314">
        <f t="shared" si="30"/>
        <v>0</v>
      </c>
      <c r="AN13" s="573">
        <f t="shared" si="9"/>
        <v>65</v>
      </c>
      <c r="AO13" s="316">
        <f t="shared" si="31"/>
        <v>1950</v>
      </c>
      <c r="AP13" s="573">
        <f t="shared" si="10"/>
        <v>55</v>
      </c>
      <c r="AQ13" s="316">
        <f t="shared" si="32"/>
        <v>1650.0000000000002</v>
      </c>
      <c r="AR13" s="573">
        <f t="shared" si="11"/>
        <v>61</v>
      </c>
      <c r="AS13" s="316">
        <f t="shared" si="41"/>
        <v>1830</v>
      </c>
      <c r="AT13" s="316">
        <f t="shared" si="42"/>
        <v>5430</v>
      </c>
      <c r="AU13" s="316">
        <f t="shared" si="43"/>
        <v>0</v>
      </c>
      <c r="AV13" s="267"/>
      <c r="AW13" s="267"/>
      <c r="AX13" s="309">
        <f t="shared" si="33"/>
        <v>0.8</v>
      </c>
    </row>
    <row r="14" spans="1:52">
      <c r="A14" s="63">
        <f>ELEC!C13</f>
        <v>44387</v>
      </c>
      <c r="B14" s="573">
        <f t="shared" si="34"/>
        <v>133</v>
      </c>
      <c r="C14" s="573">
        <f t="shared" si="35"/>
        <v>141</v>
      </c>
      <c r="D14" s="45">
        <f t="shared" si="36"/>
        <v>0</v>
      </c>
      <c r="E14" s="45">
        <f t="shared" si="12"/>
        <v>0</v>
      </c>
      <c r="F14" s="573">
        <f t="shared" si="13"/>
        <v>1857</v>
      </c>
      <c r="G14" s="52">
        <f t="shared" si="0"/>
        <v>0</v>
      </c>
      <c r="H14" s="573">
        <f t="shared" si="14"/>
        <v>14682</v>
      </c>
      <c r="I14" s="392">
        <f t="shared" si="1"/>
        <v>0</v>
      </c>
      <c r="J14" s="66">
        <f t="shared" si="15"/>
        <v>0</v>
      </c>
      <c r="K14" s="573">
        <f t="shared" si="16"/>
        <v>2345</v>
      </c>
      <c r="L14" s="52">
        <f t="shared" si="17"/>
        <v>0</v>
      </c>
      <c r="M14" s="573">
        <f t="shared" si="18"/>
        <v>173005</v>
      </c>
      <c r="N14" s="392">
        <f t="shared" si="2"/>
        <v>0</v>
      </c>
      <c r="O14" s="64">
        <f t="shared" si="3"/>
        <v>1869</v>
      </c>
      <c r="P14" s="573">
        <f t="shared" si="3"/>
        <v>2111</v>
      </c>
      <c r="Q14" s="573">
        <f t="shared" si="3"/>
        <v>177403</v>
      </c>
      <c r="R14" s="391">
        <f t="shared" si="44"/>
        <v>0</v>
      </c>
      <c r="S14" s="52">
        <f t="shared" si="5"/>
        <v>0</v>
      </c>
      <c r="T14" s="67">
        <f t="shared" si="37"/>
        <v>0</v>
      </c>
      <c r="U14" s="398">
        <f t="shared" si="19"/>
        <v>0</v>
      </c>
      <c r="V14" s="62">
        <f t="shared" si="20"/>
        <v>0</v>
      </c>
      <c r="W14" s="396" t="e">
        <f t="shared" si="21"/>
        <v>#DIV/0!</v>
      </c>
      <c r="X14" s="573">
        <f t="shared" si="22"/>
        <v>2470</v>
      </c>
      <c r="Y14" s="52">
        <f t="shared" si="23"/>
        <v>0</v>
      </c>
      <c r="Z14" s="573">
        <f t="shared" si="24"/>
        <v>139101.4</v>
      </c>
      <c r="AA14" s="65">
        <f t="shared" si="6"/>
        <v>0</v>
      </c>
      <c r="AB14" s="281">
        <f t="shared" si="38"/>
        <v>0</v>
      </c>
      <c r="AC14" s="573">
        <f t="shared" si="25"/>
        <v>1940</v>
      </c>
      <c r="AD14" s="45">
        <f t="shared" si="7"/>
        <v>0</v>
      </c>
      <c r="AE14" s="573">
        <f t="shared" si="26"/>
        <v>365916.4</v>
      </c>
      <c r="AF14" s="303">
        <f>AE14-AE13</f>
        <v>0</v>
      </c>
      <c r="AG14" s="209">
        <f t="shared" si="39"/>
        <v>0</v>
      </c>
      <c r="AH14" s="62">
        <f>AF14+AA14</f>
        <v>0</v>
      </c>
      <c r="AI14" s="314">
        <f>SUM(AH14+V14)</f>
        <v>0</v>
      </c>
      <c r="AJ14" s="314">
        <f>-tanks!AW15</f>
        <v>0</v>
      </c>
      <c r="AK14" s="314">
        <f t="shared" si="29"/>
        <v>0</v>
      </c>
      <c r="AL14" s="314">
        <f t="shared" si="8"/>
        <v>0</v>
      </c>
      <c r="AM14" s="314">
        <f t="shared" si="30"/>
        <v>0</v>
      </c>
      <c r="AN14" s="573">
        <f t="shared" si="9"/>
        <v>65</v>
      </c>
      <c r="AO14" s="316">
        <f t="shared" si="31"/>
        <v>1950</v>
      </c>
      <c r="AP14" s="573">
        <f t="shared" si="10"/>
        <v>55</v>
      </c>
      <c r="AQ14" s="316">
        <f t="shared" si="32"/>
        <v>1650.0000000000002</v>
      </c>
      <c r="AR14" s="573">
        <f t="shared" si="11"/>
        <v>61</v>
      </c>
      <c r="AS14" s="316">
        <f t="shared" si="41"/>
        <v>1830</v>
      </c>
      <c r="AT14" s="316">
        <f t="shared" si="42"/>
        <v>5430</v>
      </c>
      <c r="AU14" s="316">
        <f t="shared" si="43"/>
        <v>0</v>
      </c>
      <c r="AV14" s="267"/>
      <c r="AW14" s="267"/>
      <c r="AX14" s="309">
        <f t="shared" si="33"/>
        <v>0.8</v>
      </c>
    </row>
    <row r="15" spans="1:52" ht="15" customHeight="1">
      <c r="A15" s="63">
        <f>ELEC!C14</f>
        <v>44388</v>
      </c>
      <c r="B15" s="573">
        <f t="shared" si="34"/>
        <v>133</v>
      </c>
      <c r="C15" s="573">
        <f t="shared" si="35"/>
        <v>141</v>
      </c>
      <c r="D15" s="45">
        <f t="shared" si="36"/>
        <v>0</v>
      </c>
      <c r="E15" s="45">
        <f t="shared" si="12"/>
        <v>0</v>
      </c>
      <c r="F15" s="573">
        <f t="shared" si="13"/>
        <v>1857</v>
      </c>
      <c r="G15" s="52">
        <f t="shared" si="0"/>
        <v>0</v>
      </c>
      <c r="H15" s="573">
        <f t="shared" si="14"/>
        <v>14682</v>
      </c>
      <c r="I15" s="392">
        <f t="shared" si="1"/>
        <v>0</v>
      </c>
      <c r="J15" s="66">
        <f t="shared" si="15"/>
        <v>0</v>
      </c>
      <c r="K15" s="573">
        <f t="shared" si="16"/>
        <v>2345</v>
      </c>
      <c r="L15" s="52">
        <f t="shared" si="17"/>
        <v>0</v>
      </c>
      <c r="M15" s="573">
        <f t="shared" si="18"/>
        <v>173005</v>
      </c>
      <c r="N15" s="392">
        <f t="shared" si="2"/>
        <v>0</v>
      </c>
      <c r="O15" s="64">
        <f t="shared" si="3"/>
        <v>1869</v>
      </c>
      <c r="P15" s="573">
        <f t="shared" si="3"/>
        <v>2111</v>
      </c>
      <c r="Q15" s="573">
        <f t="shared" si="3"/>
        <v>177403</v>
      </c>
      <c r="R15" s="391">
        <f t="shared" si="44"/>
        <v>0</v>
      </c>
      <c r="S15" s="52">
        <f t="shared" si="5"/>
        <v>0</v>
      </c>
      <c r="T15" s="67">
        <f t="shared" si="37"/>
        <v>0</v>
      </c>
      <c r="U15" s="398">
        <f t="shared" si="19"/>
        <v>0</v>
      </c>
      <c r="V15" s="62">
        <f t="shared" si="20"/>
        <v>0</v>
      </c>
      <c r="W15" s="396" t="e">
        <f t="shared" si="21"/>
        <v>#DIV/0!</v>
      </c>
      <c r="X15" s="573">
        <f t="shared" si="22"/>
        <v>2470</v>
      </c>
      <c r="Y15" s="52">
        <f t="shared" si="23"/>
        <v>0</v>
      </c>
      <c r="Z15" s="573">
        <f t="shared" si="24"/>
        <v>139101.4</v>
      </c>
      <c r="AA15" s="65">
        <f t="shared" si="6"/>
        <v>0</v>
      </c>
      <c r="AB15" s="281">
        <f t="shared" si="38"/>
        <v>0</v>
      </c>
      <c r="AC15" s="573">
        <f t="shared" si="25"/>
        <v>1940</v>
      </c>
      <c r="AD15" s="45">
        <f t="shared" si="7"/>
        <v>0</v>
      </c>
      <c r="AE15" s="573">
        <f t="shared" si="26"/>
        <v>365916.4</v>
      </c>
      <c r="AF15" s="303">
        <f t="shared" si="27"/>
        <v>0</v>
      </c>
      <c r="AG15" s="209">
        <f t="shared" si="39"/>
        <v>0</v>
      </c>
      <c r="AH15" s="62">
        <f t="shared" si="40"/>
        <v>0</v>
      </c>
      <c r="AI15" s="314">
        <f t="shared" si="28"/>
        <v>0</v>
      </c>
      <c r="AJ15" s="314">
        <f>-tanks!AW16</f>
        <v>0</v>
      </c>
      <c r="AK15" s="314">
        <f t="shared" si="29"/>
        <v>0</v>
      </c>
      <c r="AL15" s="314">
        <f t="shared" si="8"/>
        <v>0</v>
      </c>
      <c r="AM15" s="314">
        <f t="shared" si="30"/>
        <v>0</v>
      </c>
      <c r="AN15" s="573">
        <f t="shared" si="9"/>
        <v>65</v>
      </c>
      <c r="AO15" s="316">
        <f t="shared" si="31"/>
        <v>1950</v>
      </c>
      <c r="AP15" s="573">
        <f t="shared" si="10"/>
        <v>55</v>
      </c>
      <c r="AQ15" s="316">
        <f t="shared" si="32"/>
        <v>1650.0000000000002</v>
      </c>
      <c r="AR15" s="573">
        <f t="shared" si="11"/>
        <v>61</v>
      </c>
      <c r="AS15" s="316">
        <f t="shared" si="41"/>
        <v>1830</v>
      </c>
      <c r="AT15" s="316">
        <f t="shared" si="42"/>
        <v>5430</v>
      </c>
      <c r="AU15" s="316">
        <f t="shared" si="43"/>
        <v>0</v>
      </c>
      <c r="AV15" s="267"/>
      <c r="AW15" s="267"/>
      <c r="AX15" s="309">
        <f t="shared" si="33"/>
        <v>0.8</v>
      </c>
    </row>
    <row r="16" spans="1:52">
      <c r="A16" s="63">
        <f>ELEC!C15</f>
        <v>44389</v>
      </c>
      <c r="B16" s="573">
        <f t="shared" si="34"/>
        <v>133</v>
      </c>
      <c r="C16" s="573">
        <f t="shared" si="35"/>
        <v>141</v>
      </c>
      <c r="D16" s="45">
        <f t="shared" si="36"/>
        <v>0</v>
      </c>
      <c r="E16" s="45">
        <f t="shared" si="12"/>
        <v>0</v>
      </c>
      <c r="F16" s="573">
        <f t="shared" si="13"/>
        <v>1857</v>
      </c>
      <c r="G16" s="52">
        <f t="shared" si="0"/>
        <v>0</v>
      </c>
      <c r="H16" s="573">
        <f t="shared" si="14"/>
        <v>14682</v>
      </c>
      <c r="I16" s="392">
        <f t="shared" si="1"/>
        <v>0</v>
      </c>
      <c r="J16" s="66">
        <f t="shared" si="15"/>
        <v>0</v>
      </c>
      <c r="K16" s="573">
        <f t="shared" si="16"/>
        <v>2345</v>
      </c>
      <c r="L16" s="52">
        <f t="shared" si="17"/>
        <v>0</v>
      </c>
      <c r="M16" s="573">
        <f t="shared" si="18"/>
        <v>173005</v>
      </c>
      <c r="N16" s="392">
        <f t="shared" si="2"/>
        <v>0</v>
      </c>
      <c r="O16" s="64">
        <f t="shared" si="3"/>
        <v>1869</v>
      </c>
      <c r="P16" s="573">
        <f t="shared" si="3"/>
        <v>2111</v>
      </c>
      <c r="Q16" s="573">
        <f t="shared" si="3"/>
        <v>177403</v>
      </c>
      <c r="R16" s="391">
        <f t="shared" si="44"/>
        <v>0</v>
      </c>
      <c r="S16" s="52">
        <f t="shared" si="5"/>
        <v>0</v>
      </c>
      <c r="T16" s="67">
        <f t="shared" si="37"/>
        <v>0</v>
      </c>
      <c r="U16" s="398">
        <f t="shared" si="19"/>
        <v>0</v>
      </c>
      <c r="V16" s="62">
        <f t="shared" si="20"/>
        <v>0</v>
      </c>
      <c r="W16" s="396" t="e">
        <f t="shared" si="21"/>
        <v>#DIV/0!</v>
      </c>
      <c r="X16" s="573">
        <f t="shared" si="22"/>
        <v>2470</v>
      </c>
      <c r="Y16" s="52">
        <f t="shared" si="23"/>
        <v>0</v>
      </c>
      <c r="Z16" s="573">
        <f t="shared" si="24"/>
        <v>139101.4</v>
      </c>
      <c r="AA16" s="65">
        <f t="shared" si="6"/>
        <v>0</v>
      </c>
      <c r="AB16" s="281">
        <f t="shared" si="38"/>
        <v>0</v>
      </c>
      <c r="AC16" s="573">
        <f t="shared" si="25"/>
        <v>1940</v>
      </c>
      <c r="AD16" s="45">
        <f t="shared" si="7"/>
        <v>0</v>
      </c>
      <c r="AE16" s="573">
        <f t="shared" si="26"/>
        <v>365916.4</v>
      </c>
      <c r="AF16" s="303">
        <f t="shared" si="27"/>
        <v>0</v>
      </c>
      <c r="AG16" s="209">
        <f t="shared" si="39"/>
        <v>0</v>
      </c>
      <c r="AH16" s="62">
        <f t="shared" si="40"/>
        <v>0</v>
      </c>
      <c r="AI16" s="314">
        <f t="shared" si="28"/>
        <v>0</v>
      </c>
      <c r="AJ16" s="314">
        <f>-tanks!AW17</f>
        <v>0</v>
      </c>
      <c r="AK16" s="314">
        <f t="shared" si="29"/>
        <v>0</v>
      </c>
      <c r="AL16" s="314">
        <f t="shared" si="8"/>
        <v>0</v>
      </c>
      <c r="AM16" s="314">
        <f t="shared" si="30"/>
        <v>0</v>
      </c>
      <c r="AN16" s="573">
        <f t="shared" si="9"/>
        <v>65</v>
      </c>
      <c r="AO16" s="316">
        <f t="shared" si="31"/>
        <v>1950</v>
      </c>
      <c r="AP16" s="573">
        <f t="shared" si="10"/>
        <v>55</v>
      </c>
      <c r="AQ16" s="316">
        <f t="shared" si="32"/>
        <v>1650.0000000000002</v>
      </c>
      <c r="AR16" s="573">
        <f t="shared" si="11"/>
        <v>61</v>
      </c>
      <c r="AS16" s="316">
        <f t="shared" si="41"/>
        <v>1830</v>
      </c>
      <c r="AT16" s="316">
        <f t="shared" si="42"/>
        <v>5430</v>
      </c>
      <c r="AU16" s="316">
        <f t="shared" si="43"/>
        <v>0</v>
      </c>
      <c r="AV16" s="267"/>
      <c r="AW16" s="267"/>
      <c r="AX16" s="309">
        <f t="shared" si="33"/>
        <v>0.8</v>
      </c>
    </row>
    <row r="17" spans="1:50">
      <c r="A17" s="63">
        <f>ELEC!C16</f>
        <v>44390</v>
      </c>
      <c r="B17" s="573">
        <f t="shared" si="34"/>
        <v>133</v>
      </c>
      <c r="C17" s="573">
        <f t="shared" si="35"/>
        <v>141</v>
      </c>
      <c r="D17" s="45">
        <f t="shared" si="36"/>
        <v>0</v>
      </c>
      <c r="E17" s="45">
        <f t="shared" si="12"/>
        <v>0</v>
      </c>
      <c r="F17" s="573">
        <f t="shared" si="13"/>
        <v>1857</v>
      </c>
      <c r="G17" s="52">
        <f t="shared" si="0"/>
        <v>0</v>
      </c>
      <c r="H17" s="573">
        <f t="shared" si="14"/>
        <v>14682</v>
      </c>
      <c r="I17" s="392">
        <f t="shared" si="1"/>
        <v>0</v>
      </c>
      <c r="J17" s="66">
        <f t="shared" si="15"/>
        <v>0</v>
      </c>
      <c r="K17" s="573">
        <f t="shared" si="16"/>
        <v>2345</v>
      </c>
      <c r="L17" s="52">
        <f t="shared" si="17"/>
        <v>0</v>
      </c>
      <c r="M17" s="573">
        <f t="shared" si="18"/>
        <v>173005</v>
      </c>
      <c r="N17" s="392">
        <f t="shared" si="2"/>
        <v>0</v>
      </c>
      <c r="O17" s="64">
        <f t="shared" si="3"/>
        <v>1869</v>
      </c>
      <c r="P17" s="573">
        <f t="shared" si="3"/>
        <v>2111</v>
      </c>
      <c r="Q17" s="573">
        <f t="shared" si="3"/>
        <v>177403</v>
      </c>
      <c r="R17" s="391">
        <f t="shared" si="44"/>
        <v>0</v>
      </c>
      <c r="S17" s="52">
        <f t="shared" si="5"/>
        <v>0</v>
      </c>
      <c r="T17" s="67">
        <f t="shared" si="37"/>
        <v>0</v>
      </c>
      <c r="U17" s="398">
        <f t="shared" si="19"/>
        <v>0</v>
      </c>
      <c r="V17" s="62">
        <f t="shared" si="20"/>
        <v>0</v>
      </c>
      <c r="W17" s="396"/>
      <c r="X17" s="573">
        <f t="shared" si="22"/>
        <v>2470</v>
      </c>
      <c r="Y17" s="52">
        <f t="shared" si="23"/>
        <v>0</v>
      </c>
      <c r="Z17" s="573">
        <f t="shared" si="24"/>
        <v>139101.4</v>
      </c>
      <c r="AA17" s="65">
        <f t="shared" si="6"/>
        <v>0</v>
      </c>
      <c r="AB17" s="281">
        <f t="shared" si="38"/>
        <v>0</v>
      </c>
      <c r="AC17" s="573">
        <f t="shared" si="25"/>
        <v>1940</v>
      </c>
      <c r="AD17" s="45">
        <f t="shared" si="7"/>
        <v>0</v>
      </c>
      <c r="AE17" s="573">
        <f t="shared" si="26"/>
        <v>365916.4</v>
      </c>
      <c r="AF17" s="303">
        <f t="shared" si="27"/>
        <v>0</v>
      </c>
      <c r="AG17" s="209">
        <f t="shared" si="39"/>
        <v>0</v>
      </c>
      <c r="AH17" s="62">
        <f t="shared" si="40"/>
        <v>0</v>
      </c>
      <c r="AI17" s="314">
        <f t="shared" si="28"/>
        <v>0</v>
      </c>
      <c r="AJ17" s="314">
        <f>-tanks!AW18</f>
        <v>0</v>
      </c>
      <c r="AK17" s="314">
        <f t="shared" si="29"/>
        <v>0</v>
      </c>
      <c r="AL17" s="314">
        <f t="shared" si="8"/>
        <v>0</v>
      </c>
      <c r="AM17" s="314">
        <f t="shared" si="30"/>
        <v>0</v>
      </c>
      <c r="AN17" s="573">
        <f t="shared" si="9"/>
        <v>65</v>
      </c>
      <c r="AO17" s="316">
        <f t="shared" si="31"/>
        <v>1950</v>
      </c>
      <c r="AP17" s="573">
        <f t="shared" si="10"/>
        <v>55</v>
      </c>
      <c r="AQ17" s="316">
        <f t="shared" si="32"/>
        <v>1650.0000000000002</v>
      </c>
      <c r="AR17" s="573">
        <f t="shared" si="11"/>
        <v>61</v>
      </c>
      <c r="AS17" s="316">
        <f t="shared" si="41"/>
        <v>1830</v>
      </c>
      <c r="AT17" s="316">
        <f t="shared" si="42"/>
        <v>5430</v>
      </c>
      <c r="AU17" s="316">
        <f t="shared" si="43"/>
        <v>0</v>
      </c>
      <c r="AV17" s="267"/>
      <c r="AW17" s="267"/>
      <c r="AX17" s="309">
        <f t="shared" si="33"/>
        <v>0.8</v>
      </c>
    </row>
    <row r="18" spans="1:50">
      <c r="A18" s="63">
        <f>ELEC!C17</f>
        <v>44391</v>
      </c>
      <c r="B18" s="573">
        <f t="shared" si="34"/>
        <v>133</v>
      </c>
      <c r="C18" s="573">
        <f t="shared" si="35"/>
        <v>141</v>
      </c>
      <c r="D18" s="45">
        <f t="shared" si="36"/>
        <v>0</v>
      </c>
      <c r="E18" s="45">
        <f t="shared" si="12"/>
        <v>0</v>
      </c>
      <c r="F18" s="573">
        <f t="shared" si="13"/>
        <v>1857</v>
      </c>
      <c r="G18" s="52">
        <f t="shared" si="0"/>
        <v>0</v>
      </c>
      <c r="H18" s="573">
        <f t="shared" si="14"/>
        <v>14682</v>
      </c>
      <c r="I18" s="392">
        <f t="shared" si="1"/>
        <v>0</v>
      </c>
      <c r="J18" s="66">
        <f t="shared" si="15"/>
        <v>0</v>
      </c>
      <c r="K18" s="573">
        <f t="shared" si="16"/>
        <v>2345</v>
      </c>
      <c r="L18" s="52">
        <f t="shared" si="17"/>
        <v>0</v>
      </c>
      <c r="M18" s="573">
        <f t="shared" si="18"/>
        <v>173005</v>
      </c>
      <c r="N18" s="392">
        <f t="shared" si="2"/>
        <v>0</v>
      </c>
      <c r="O18" s="64">
        <v>1869</v>
      </c>
      <c r="P18" s="573">
        <f t="shared" ref="P18:P34" si="45">P17</f>
        <v>2111</v>
      </c>
      <c r="Q18" s="573">
        <f t="shared" ref="Q18:Q34" si="46">Q17</f>
        <v>177403</v>
      </c>
      <c r="R18" s="391">
        <f t="shared" si="44"/>
        <v>0</v>
      </c>
      <c r="S18" s="52">
        <f t="shared" si="5"/>
        <v>0</v>
      </c>
      <c r="T18" s="67">
        <f t="shared" si="37"/>
        <v>0</v>
      </c>
      <c r="U18" s="398">
        <f t="shared" si="19"/>
        <v>0</v>
      </c>
      <c r="V18" s="62">
        <f t="shared" si="20"/>
        <v>0</v>
      </c>
      <c r="W18" s="396"/>
      <c r="X18" s="573">
        <f t="shared" si="22"/>
        <v>2470</v>
      </c>
      <c r="Y18" s="52">
        <f t="shared" si="23"/>
        <v>0</v>
      </c>
      <c r="Z18" s="573">
        <f t="shared" si="24"/>
        <v>139101.4</v>
      </c>
      <c r="AA18" s="65">
        <f t="shared" si="6"/>
        <v>0</v>
      </c>
      <c r="AB18" s="281">
        <f t="shared" ref="AB18:AB23" si="47">SUM(Y18*$AB$2)</f>
        <v>0</v>
      </c>
      <c r="AC18" s="573">
        <f t="shared" si="25"/>
        <v>1940</v>
      </c>
      <c r="AD18" s="45">
        <f t="shared" si="7"/>
        <v>0</v>
      </c>
      <c r="AE18" s="573">
        <f t="shared" si="26"/>
        <v>365916.4</v>
      </c>
      <c r="AF18" s="303">
        <f t="shared" si="27"/>
        <v>0</v>
      </c>
      <c r="AG18" s="209">
        <f t="shared" si="39"/>
        <v>0</v>
      </c>
      <c r="AH18" s="62">
        <f t="shared" si="40"/>
        <v>0</v>
      </c>
      <c r="AI18" s="314">
        <f t="shared" si="28"/>
        <v>0</v>
      </c>
      <c r="AJ18" s="314">
        <f>-tanks!AW19</f>
        <v>0</v>
      </c>
      <c r="AK18" s="314">
        <f t="shared" si="29"/>
        <v>0</v>
      </c>
      <c r="AL18" s="314">
        <f t="shared" si="8"/>
        <v>0</v>
      </c>
      <c r="AM18" s="314">
        <f t="shared" si="30"/>
        <v>0</v>
      </c>
      <c r="AN18" s="573">
        <f t="shared" si="9"/>
        <v>65</v>
      </c>
      <c r="AO18" s="316">
        <f t="shared" si="31"/>
        <v>1950</v>
      </c>
      <c r="AP18" s="573">
        <f t="shared" si="10"/>
        <v>55</v>
      </c>
      <c r="AQ18" s="316">
        <f t="shared" si="32"/>
        <v>1650.0000000000002</v>
      </c>
      <c r="AR18" s="573">
        <f t="shared" si="11"/>
        <v>61</v>
      </c>
      <c r="AS18" s="316">
        <f t="shared" si="41"/>
        <v>1830</v>
      </c>
      <c r="AT18" s="316">
        <f t="shared" si="42"/>
        <v>5430</v>
      </c>
      <c r="AU18" s="316">
        <f t="shared" si="43"/>
        <v>0</v>
      </c>
      <c r="AV18" s="267"/>
      <c r="AW18" s="267"/>
      <c r="AX18" s="309">
        <f t="shared" si="33"/>
        <v>0.8</v>
      </c>
    </row>
    <row r="19" spans="1:50">
      <c r="A19" s="63">
        <f>ELEC!C18</f>
        <v>44392</v>
      </c>
      <c r="B19" s="573">
        <f t="shared" si="34"/>
        <v>133</v>
      </c>
      <c r="C19" s="573">
        <f t="shared" si="35"/>
        <v>141</v>
      </c>
      <c r="D19" s="45">
        <f t="shared" si="36"/>
        <v>0</v>
      </c>
      <c r="E19" s="45">
        <f t="shared" si="12"/>
        <v>0</v>
      </c>
      <c r="F19" s="573">
        <f t="shared" si="13"/>
        <v>1857</v>
      </c>
      <c r="G19" s="52">
        <f t="shared" si="0"/>
        <v>0</v>
      </c>
      <c r="H19" s="573">
        <f t="shared" si="14"/>
        <v>14682</v>
      </c>
      <c r="I19" s="392">
        <f t="shared" si="1"/>
        <v>0</v>
      </c>
      <c r="J19" s="66">
        <f t="shared" si="15"/>
        <v>0</v>
      </c>
      <c r="K19" s="573">
        <f t="shared" si="16"/>
        <v>2345</v>
      </c>
      <c r="L19" s="52">
        <f t="shared" si="17"/>
        <v>0</v>
      </c>
      <c r="M19" s="573">
        <f t="shared" si="18"/>
        <v>173005</v>
      </c>
      <c r="N19" s="392">
        <f t="shared" si="2"/>
        <v>0</v>
      </c>
      <c r="O19" s="64">
        <f t="shared" ref="O19:O35" si="48">O18</f>
        <v>1869</v>
      </c>
      <c r="P19" s="573">
        <f t="shared" si="45"/>
        <v>2111</v>
      </c>
      <c r="Q19" s="573">
        <f t="shared" si="46"/>
        <v>177403</v>
      </c>
      <c r="R19" s="391">
        <f t="shared" si="44"/>
        <v>0</v>
      </c>
      <c r="S19" s="52">
        <f t="shared" si="5"/>
        <v>0</v>
      </c>
      <c r="T19" s="67">
        <f t="shared" si="37"/>
        <v>0</v>
      </c>
      <c r="U19" s="398">
        <f t="shared" si="19"/>
        <v>0</v>
      </c>
      <c r="V19" s="62">
        <f t="shared" si="20"/>
        <v>0</v>
      </c>
      <c r="W19" s="396"/>
      <c r="X19" s="573">
        <f t="shared" si="22"/>
        <v>2470</v>
      </c>
      <c r="Y19" s="52">
        <f t="shared" si="23"/>
        <v>0</v>
      </c>
      <c r="Z19" s="573">
        <f t="shared" si="24"/>
        <v>139101.4</v>
      </c>
      <c r="AA19" s="65">
        <f t="shared" si="6"/>
        <v>0</v>
      </c>
      <c r="AB19" s="281">
        <f t="shared" si="47"/>
        <v>0</v>
      </c>
      <c r="AC19" s="573">
        <f t="shared" si="25"/>
        <v>1940</v>
      </c>
      <c r="AD19" s="45">
        <f t="shared" si="7"/>
        <v>0</v>
      </c>
      <c r="AE19" s="573">
        <f t="shared" si="26"/>
        <v>365916.4</v>
      </c>
      <c r="AF19" s="303">
        <f t="shared" si="27"/>
        <v>0</v>
      </c>
      <c r="AG19" s="209">
        <f t="shared" si="39"/>
        <v>0</v>
      </c>
      <c r="AH19" s="62">
        <f t="shared" si="40"/>
        <v>0</v>
      </c>
      <c r="AI19" s="314">
        <f t="shared" si="28"/>
        <v>0</v>
      </c>
      <c r="AJ19" s="314">
        <f>-tanks!AW20</f>
        <v>0</v>
      </c>
      <c r="AK19" s="314">
        <f t="shared" si="29"/>
        <v>0</v>
      </c>
      <c r="AL19" s="314">
        <f t="shared" si="8"/>
        <v>0</v>
      </c>
      <c r="AM19" s="314">
        <f t="shared" si="30"/>
        <v>0</v>
      </c>
      <c r="AN19" s="573">
        <f t="shared" si="9"/>
        <v>65</v>
      </c>
      <c r="AO19" s="316">
        <f t="shared" si="31"/>
        <v>1950</v>
      </c>
      <c r="AP19" s="573">
        <f t="shared" si="10"/>
        <v>55</v>
      </c>
      <c r="AQ19" s="316">
        <f t="shared" si="32"/>
        <v>1650.0000000000002</v>
      </c>
      <c r="AR19" s="573">
        <f t="shared" si="11"/>
        <v>61</v>
      </c>
      <c r="AS19" s="316">
        <f t="shared" si="41"/>
        <v>1830</v>
      </c>
      <c r="AT19" s="316">
        <f t="shared" si="42"/>
        <v>5430</v>
      </c>
      <c r="AU19" s="316">
        <f t="shared" si="43"/>
        <v>0</v>
      </c>
      <c r="AV19" s="267"/>
      <c r="AW19" s="267"/>
      <c r="AX19" s="309">
        <f t="shared" si="33"/>
        <v>0.8</v>
      </c>
    </row>
    <row r="20" spans="1:50">
      <c r="A20" s="63">
        <f>ELEC!C19</f>
        <v>44393</v>
      </c>
      <c r="B20" s="573">
        <f t="shared" si="34"/>
        <v>133</v>
      </c>
      <c r="C20" s="573">
        <f t="shared" si="35"/>
        <v>141</v>
      </c>
      <c r="D20" s="45">
        <f>C19-C20</f>
        <v>0</v>
      </c>
      <c r="E20" s="45">
        <f t="shared" si="12"/>
        <v>0</v>
      </c>
      <c r="F20" s="573">
        <f t="shared" si="13"/>
        <v>1857</v>
      </c>
      <c r="G20" s="52">
        <f t="shared" si="0"/>
        <v>0</v>
      </c>
      <c r="H20" s="573">
        <f t="shared" si="14"/>
        <v>14682</v>
      </c>
      <c r="I20" s="392">
        <f t="shared" si="1"/>
        <v>0</v>
      </c>
      <c r="J20" s="66">
        <f t="shared" si="15"/>
        <v>0</v>
      </c>
      <c r="K20" s="573">
        <f t="shared" si="16"/>
        <v>2345</v>
      </c>
      <c r="L20" s="52">
        <f t="shared" si="17"/>
        <v>0</v>
      </c>
      <c r="M20" s="573">
        <f t="shared" si="18"/>
        <v>173005</v>
      </c>
      <c r="N20" s="392">
        <f t="shared" si="2"/>
        <v>0</v>
      </c>
      <c r="O20" s="64">
        <f t="shared" si="48"/>
        <v>1869</v>
      </c>
      <c r="P20" s="573">
        <f t="shared" si="45"/>
        <v>2111</v>
      </c>
      <c r="Q20" s="573">
        <f t="shared" si="46"/>
        <v>177403</v>
      </c>
      <c r="R20" s="391">
        <f t="shared" si="44"/>
        <v>0</v>
      </c>
      <c r="S20" s="52">
        <f t="shared" si="5"/>
        <v>0</v>
      </c>
      <c r="T20" s="67">
        <f t="shared" si="37"/>
        <v>0</v>
      </c>
      <c r="U20" s="398">
        <f t="shared" si="19"/>
        <v>0</v>
      </c>
      <c r="V20" s="62">
        <f t="shared" si="20"/>
        <v>0</v>
      </c>
      <c r="W20" s="396"/>
      <c r="X20" s="573">
        <f t="shared" si="22"/>
        <v>2470</v>
      </c>
      <c r="Y20" s="52">
        <f t="shared" si="23"/>
        <v>0</v>
      </c>
      <c r="Z20" s="573">
        <f t="shared" si="24"/>
        <v>139101.4</v>
      </c>
      <c r="AA20" s="65">
        <f t="shared" si="6"/>
        <v>0</v>
      </c>
      <c r="AB20" s="281">
        <f t="shared" si="47"/>
        <v>0</v>
      </c>
      <c r="AC20" s="573">
        <f t="shared" si="25"/>
        <v>1940</v>
      </c>
      <c r="AD20" s="45">
        <f t="shared" si="7"/>
        <v>0</v>
      </c>
      <c r="AE20" s="573">
        <f t="shared" si="26"/>
        <v>365916.4</v>
      </c>
      <c r="AF20" s="303">
        <f t="shared" si="27"/>
        <v>0</v>
      </c>
      <c r="AG20" s="209">
        <f t="shared" si="39"/>
        <v>0</v>
      </c>
      <c r="AH20" s="62">
        <f t="shared" si="40"/>
        <v>0</v>
      </c>
      <c r="AI20" s="314">
        <f t="shared" si="28"/>
        <v>0</v>
      </c>
      <c r="AJ20" s="314">
        <f>-tanks!AW21</f>
        <v>0</v>
      </c>
      <c r="AK20" s="314">
        <f t="shared" si="29"/>
        <v>0</v>
      </c>
      <c r="AL20" s="314">
        <f t="shared" si="8"/>
        <v>0</v>
      </c>
      <c r="AM20" s="314">
        <f t="shared" si="30"/>
        <v>0</v>
      </c>
      <c r="AN20" s="573">
        <f t="shared" si="9"/>
        <v>65</v>
      </c>
      <c r="AO20" s="316">
        <f t="shared" si="31"/>
        <v>1950</v>
      </c>
      <c r="AP20" s="573">
        <f t="shared" si="10"/>
        <v>55</v>
      </c>
      <c r="AQ20" s="316">
        <f t="shared" si="32"/>
        <v>1650.0000000000002</v>
      </c>
      <c r="AR20" s="573">
        <f t="shared" si="11"/>
        <v>61</v>
      </c>
      <c r="AS20" s="316">
        <f t="shared" si="41"/>
        <v>1830</v>
      </c>
      <c r="AT20" s="316">
        <f t="shared" si="42"/>
        <v>5430</v>
      </c>
      <c r="AU20" s="316">
        <f t="shared" si="43"/>
        <v>0</v>
      </c>
      <c r="AV20" s="267"/>
      <c r="AW20" s="267"/>
      <c r="AX20" s="309">
        <f t="shared" si="33"/>
        <v>0.8</v>
      </c>
    </row>
    <row r="21" spans="1:50">
      <c r="A21" s="63">
        <f>ELEC!C20</f>
        <v>44394</v>
      </c>
      <c r="B21" s="573">
        <f t="shared" si="34"/>
        <v>133</v>
      </c>
      <c r="C21" s="573">
        <f t="shared" si="35"/>
        <v>141</v>
      </c>
      <c r="D21" s="45">
        <f t="shared" ref="D21:D32" si="49">C20-C21</f>
        <v>0</v>
      </c>
      <c r="E21" s="45">
        <f t="shared" si="12"/>
        <v>0</v>
      </c>
      <c r="F21" s="573">
        <f t="shared" si="13"/>
        <v>1857</v>
      </c>
      <c r="G21" s="52">
        <f t="shared" si="0"/>
        <v>0</v>
      </c>
      <c r="H21" s="573">
        <f t="shared" si="14"/>
        <v>14682</v>
      </c>
      <c r="I21" s="392">
        <f t="shared" si="1"/>
        <v>0</v>
      </c>
      <c r="J21" s="66">
        <f t="shared" si="15"/>
        <v>0</v>
      </c>
      <c r="K21" s="573">
        <f t="shared" si="16"/>
        <v>2345</v>
      </c>
      <c r="L21" s="52">
        <f t="shared" si="17"/>
        <v>0</v>
      </c>
      <c r="M21" s="573">
        <f t="shared" si="18"/>
        <v>173005</v>
      </c>
      <c r="N21" s="392">
        <f t="shared" si="2"/>
        <v>0</v>
      </c>
      <c r="O21" s="64">
        <f t="shared" si="48"/>
        <v>1869</v>
      </c>
      <c r="P21" s="573">
        <f t="shared" si="45"/>
        <v>2111</v>
      </c>
      <c r="Q21" s="573">
        <f t="shared" si="46"/>
        <v>177403</v>
      </c>
      <c r="R21" s="391">
        <f t="shared" si="44"/>
        <v>0</v>
      </c>
      <c r="S21" s="52">
        <f t="shared" si="5"/>
        <v>0</v>
      </c>
      <c r="T21" s="67">
        <f t="shared" si="37"/>
        <v>0</v>
      </c>
      <c r="U21" s="398">
        <f t="shared" si="19"/>
        <v>0</v>
      </c>
      <c r="V21" s="62">
        <f t="shared" si="20"/>
        <v>0</v>
      </c>
      <c r="W21" s="396"/>
      <c r="X21" s="573">
        <f t="shared" si="22"/>
        <v>2470</v>
      </c>
      <c r="Y21" s="52">
        <f t="shared" si="23"/>
        <v>0</v>
      </c>
      <c r="Z21" s="573">
        <f t="shared" si="24"/>
        <v>139101.4</v>
      </c>
      <c r="AA21" s="65">
        <f t="shared" si="6"/>
        <v>0</v>
      </c>
      <c r="AB21" s="281">
        <f t="shared" si="47"/>
        <v>0</v>
      </c>
      <c r="AC21" s="573">
        <f t="shared" si="25"/>
        <v>1940</v>
      </c>
      <c r="AD21" s="45">
        <f t="shared" si="7"/>
        <v>0</v>
      </c>
      <c r="AE21" s="573">
        <f t="shared" si="26"/>
        <v>365916.4</v>
      </c>
      <c r="AF21" s="303">
        <f t="shared" si="27"/>
        <v>0</v>
      </c>
      <c r="AG21" s="209">
        <f t="shared" si="39"/>
        <v>0</v>
      </c>
      <c r="AH21" s="62">
        <f t="shared" si="40"/>
        <v>0</v>
      </c>
      <c r="AI21" s="314">
        <f t="shared" si="28"/>
        <v>0</v>
      </c>
      <c r="AJ21" s="314">
        <f>-tanks!AW22</f>
        <v>0</v>
      </c>
      <c r="AK21" s="314">
        <f t="shared" si="29"/>
        <v>0</v>
      </c>
      <c r="AL21" s="314">
        <f t="shared" si="8"/>
        <v>0</v>
      </c>
      <c r="AM21" s="314">
        <f t="shared" si="30"/>
        <v>0</v>
      </c>
      <c r="AN21" s="573">
        <f t="shared" si="9"/>
        <v>65</v>
      </c>
      <c r="AO21" s="316">
        <f t="shared" si="31"/>
        <v>1950</v>
      </c>
      <c r="AP21" s="573">
        <f t="shared" si="10"/>
        <v>55</v>
      </c>
      <c r="AQ21" s="316">
        <f t="shared" si="32"/>
        <v>1650.0000000000002</v>
      </c>
      <c r="AR21" s="573">
        <f t="shared" si="11"/>
        <v>61</v>
      </c>
      <c r="AS21" s="316">
        <f t="shared" si="41"/>
        <v>1830</v>
      </c>
      <c r="AT21" s="316">
        <f t="shared" si="42"/>
        <v>5430</v>
      </c>
      <c r="AU21" s="316">
        <f t="shared" si="43"/>
        <v>0</v>
      </c>
      <c r="AV21" s="267"/>
      <c r="AW21" s="267"/>
      <c r="AX21" s="309">
        <f t="shared" si="33"/>
        <v>0.8</v>
      </c>
    </row>
    <row r="22" spans="1:50" ht="16.5" customHeight="1">
      <c r="A22" s="63">
        <f>ELEC!C21</f>
        <v>44395</v>
      </c>
      <c r="B22" s="573">
        <f t="shared" si="34"/>
        <v>133</v>
      </c>
      <c r="C22" s="573">
        <f t="shared" si="35"/>
        <v>141</v>
      </c>
      <c r="D22" s="45">
        <f t="shared" si="49"/>
        <v>0</v>
      </c>
      <c r="E22" s="45">
        <f t="shared" si="12"/>
        <v>0</v>
      </c>
      <c r="F22" s="573">
        <f t="shared" si="13"/>
        <v>1857</v>
      </c>
      <c r="G22" s="52">
        <f t="shared" si="0"/>
        <v>0</v>
      </c>
      <c r="H22" s="573">
        <f t="shared" si="14"/>
        <v>14682</v>
      </c>
      <c r="I22" s="392">
        <f t="shared" si="1"/>
        <v>0</v>
      </c>
      <c r="J22" s="66">
        <f t="shared" si="15"/>
        <v>0</v>
      </c>
      <c r="K22" s="573">
        <f t="shared" si="16"/>
        <v>2345</v>
      </c>
      <c r="L22" s="52">
        <f t="shared" si="17"/>
        <v>0</v>
      </c>
      <c r="M22" s="573">
        <f t="shared" si="18"/>
        <v>173005</v>
      </c>
      <c r="N22" s="392">
        <f t="shared" si="2"/>
        <v>0</v>
      </c>
      <c r="O22" s="64">
        <f t="shared" si="48"/>
        <v>1869</v>
      </c>
      <c r="P22" s="573">
        <f t="shared" si="45"/>
        <v>2111</v>
      </c>
      <c r="Q22" s="573">
        <f t="shared" si="46"/>
        <v>177403</v>
      </c>
      <c r="R22" s="391">
        <f t="shared" si="44"/>
        <v>0</v>
      </c>
      <c r="S22" s="52">
        <f t="shared" si="5"/>
        <v>0</v>
      </c>
      <c r="T22" s="67">
        <f t="shared" si="37"/>
        <v>0</v>
      </c>
      <c r="U22" s="398">
        <f t="shared" si="19"/>
        <v>0</v>
      </c>
      <c r="V22" s="62">
        <f t="shared" si="20"/>
        <v>0</v>
      </c>
      <c r="W22" s="396"/>
      <c r="X22" s="573">
        <f t="shared" si="22"/>
        <v>2470</v>
      </c>
      <c r="Y22" s="52">
        <f t="shared" si="23"/>
        <v>0</v>
      </c>
      <c r="Z22" s="573">
        <f t="shared" si="24"/>
        <v>139101.4</v>
      </c>
      <c r="AA22" s="65">
        <f t="shared" si="6"/>
        <v>0</v>
      </c>
      <c r="AB22" s="281">
        <f t="shared" si="47"/>
        <v>0</v>
      </c>
      <c r="AC22" s="573">
        <f t="shared" si="25"/>
        <v>1940</v>
      </c>
      <c r="AD22" s="45">
        <f t="shared" si="7"/>
        <v>0</v>
      </c>
      <c r="AE22" s="573">
        <f t="shared" si="26"/>
        <v>365916.4</v>
      </c>
      <c r="AF22" s="303">
        <f t="shared" si="27"/>
        <v>0</v>
      </c>
      <c r="AG22" s="209">
        <f t="shared" si="39"/>
        <v>0</v>
      </c>
      <c r="AH22" s="62">
        <f t="shared" si="40"/>
        <v>0</v>
      </c>
      <c r="AI22" s="314">
        <f t="shared" si="28"/>
        <v>0</v>
      </c>
      <c r="AJ22" s="314">
        <f>-tanks!AW23</f>
        <v>0</v>
      </c>
      <c r="AK22" s="314">
        <f t="shared" si="29"/>
        <v>0</v>
      </c>
      <c r="AL22" s="314">
        <f t="shared" si="8"/>
        <v>0</v>
      </c>
      <c r="AM22" s="314">
        <f t="shared" si="30"/>
        <v>0</v>
      </c>
      <c r="AN22" s="573">
        <f t="shared" si="9"/>
        <v>65</v>
      </c>
      <c r="AO22" s="316">
        <f t="shared" si="31"/>
        <v>1950</v>
      </c>
      <c r="AP22" s="573">
        <f t="shared" si="10"/>
        <v>55</v>
      </c>
      <c r="AQ22" s="316">
        <f t="shared" si="32"/>
        <v>1650.0000000000002</v>
      </c>
      <c r="AR22" s="573">
        <f t="shared" si="11"/>
        <v>61</v>
      </c>
      <c r="AS22" s="316">
        <f t="shared" si="41"/>
        <v>1830</v>
      </c>
      <c r="AT22" s="316">
        <f t="shared" si="42"/>
        <v>5430</v>
      </c>
      <c r="AU22" s="316">
        <f t="shared" si="43"/>
        <v>0</v>
      </c>
      <c r="AV22" s="267"/>
      <c r="AW22" s="267"/>
      <c r="AX22" s="309">
        <f t="shared" si="33"/>
        <v>0.8</v>
      </c>
    </row>
    <row r="23" spans="1:50">
      <c r="A23" s="63">
        <f>ELEC!C22</f>
        <v>44396</v>
      </c>
      <c r="B23" s="573">
        <f t="shared" si="34"/>
        <v>133</v>
      </c>
      <c r="C23" s="573">
        <f t="shared" si="35"/>
        <v>141</v>
      </c>
      <c r="D23" s="45">
        <f t="shared" si="49"/>
        <v>0</v>
      </c>
      <c r="E23" s="45">
        <f t="shared" si="12"/>
        <v>0</v>
      </c>
      <c r="F23" s="573">
        <f t="shared" si="13"/>
        <v>1857</v>
      </c>
      <c r="G23" s="52">
        <f t="shared" si="0"/>
        <v>0</v>
      </c>
      <c r="H23" s="573">
        <f t="shared" si="14"/>
        <v>14682</v>
      </c>
      <c r="I23" s="392">
        <f t="shared" si="1"/>
        <v>0</v>
      </c>
      <c r="J23" s="66">
        <f t="shared" si="15"/>
        <v>0</v>
      </c>
      <c r="K23" s="573">
        <f t="shared" si="16"/>
        <v>2345</v>
      </c>
      <c r="L23" s="52">
        <f t="shared" si="17"/>
        <v>0</v>
      </c>
      <c r="M23" s="573">
        <f t="shared" si="18"/>
        <v>173005</v>
      </c>
      <c r="N23" s="392">
        <f t="shared" si="2"/>
        <v>0</v>
      </c>
      <c r="O23" s="64">
        <f t="shared" si="48"/>
        <v>1869</v>
      </c>
      <c r="P23" s="573">
        <f t="shared" si="45"/>
        <v>2111</v>
      </c>
      <c r="Q23" s="573">
        <f t="shared" si="46"/>
        <v>177403</v>
      </c>
      <c r="R23" s="391">
        <f t="shared" si="44"/>
        <v>0</v>
      </c>
      <c r="S23" s="52">
        <f t="shared" si="5"/>
        <v>0</v>
      </c>
      <c r="T23" s="67">
        <f t="shared" si="37"/>
        <v>0</v>
      </c>
      <c r="U23" s="398">
        <f t="shared" si="19"/>
        <v>0</v>
      </c>
      <c r="V23" s="62">
        <f t="shared" si="20"/>
        <v>0</v>
      </c>
      <c r="W23" s="396"/>
      <c r="X23" s="573">
        <f t="shared" si="22"/>
        <v>2470</v>
      </c>
      <c r="Y23" s="52">
        <f t="shared" si="23"/>
        <v>0</v>
      </c>
      <c r="Z23" s="573">
        <f t="shared" si="24"/>
        <v>139101.4</v>
      </c>
      <c r="AA23" s="65">
        <f t="shared" si="6"/>
        <v>0</v>
      </c>
      <c r="AB23" s="281">
        <f t="shared" si="47"/>
        <v>0</v>
      </c>
      <c r="AC23" s="573">
        <f t="shared" si="25"/>
        <v>1940</v>
      </c>
      <c r="AD23" s="45">
        <f t="shared" si="7"/>
        <v>0</v>
      </c>
      <c r="AE23" s="573">
        <f t="shared" si="26"/>
        <v>365916.4</v>
      </c>
      <c r="AF23" s="303">
        <f t="shared" si="27"/>
        <v>0</v>
      </c>
      <c r="AG23" s="209">
        <f t="shared" si="39"/>
        <v>0</v>
      </c>
      <c r="AH23" s="62">
        <f t="shared" si="40"/>
        <v>0</v>
      </c>
      <c r="AI23" s="314">
        <f>SUM(AH23+V23)</f>
        <v>0</v>
      </c>
      <c r="AJ23" s="314">
        <f>-tanks!AW24</f>
        <v>0</v>
      </c>
      <c r="AK23" s="314">
        <f>SUM(AJ23-AI23)</f>
        <v>0</v>
      </c>
      <c r="AL23" s="314">
        <f>S23+L23+G23</f>
        <v>0</v>
      </c>
      <c r="AM23" s="314">
        <f>Y23+AD23</f>
        <v>0</v>
      </c>
      <c r="AN23" s="573">
        <f t="shared" si="9"/>
        <v>65</v>
      </c>
      <c r="AO23" s="316">
        <f t="shared" si="31"/>
        <v>1950</v>
      </c>
      <c r="AP23" s="573">
        <f t="shared" si="10"/>
        <v>55</v>
      </c>
      <c r="AQ23" s="316">
        <f t="shared" si="32"/>
        <v>1650.0000000000002</v>
      </c>
      <c r="AR23" s="573">
        <f t="shared" si="11"/>
        <v>61</v>
      </c>
      <c r="AS23" s="316">
        <f t="shared" si="41"/>
        <v>1830</v>
      </c>
      <c r="AT23" s="316">
        <f t="shared" si="42"/>
        <v>5430</v>
      </c>
      <c r="AU23" s="316">
        <f t="shared" si="43"/>
        <v>0</v>
      </c>
      <c r="AV23" s="267"/>
      <c r="AW23" s="267"/>
      <c r="AX23" s="309">
        <f t="shared" si="33"/>
        <v>0.8</v>
      </c>
    </row>
    <row r="24" spans="1:50">
      <c r="A24" s="63">
        <f>ELEC!C23</f>
        <v>44397</v>
      </c>
      <c r="B24" s="573">
        <f t="shared" si="34"/>
        <v>133</v>
      </c>
      <c r="C24" s="573">
        <f t="shared" si="35"/>
        <v>141</v>
      </c>
      <c r="D24" s="45">
        <f t="shared" si="49"/>
        <v>0</v>
      </c>
      <c r="E24" s="45">
        <f t="shared" si="12"/>
        <v>0</v>
      </c>
      <c r="F24" s="573">
        <f t="shared" si="13"/>
        <v>1857</v>
      </c>
      <c r="G24" s="52">
        <f t="shared" si="0"/>
        <v>0</v>
      </c>
      <c r="H24" s="573">
        <f t="shared" si="14"/>
        <v>14682</v>
      </c>
      <c r="I24" s="392">
        <f t="shared" si="1"/>
        <v>0</v>
      </c>
      <c r="J24" s="66">
        <f t="shared" si="15"/>
        <v>0</v>
      </c>
      <c r="K24" s="573">
        <f t="shared" si="16"/>
        <v>2345</v>
      </c>
      <c r="L24" s="52">
        <f t="shared" si="17"/>
        <v>0</v>
      </c>
      <c r="M24" s="573">
        <f t="shared" si="18"/>
        <v>173005</v>
      </c>
      <c r="N24" s="392">
        <f t="shared" si="2"/>
        <v>0</v>
      </c>
      <c r="O24" s="64">
        <f t="shared" si="48"/>
        <v>1869</v>
      </c>
      <c r="P24" s="573">
        <f t="shared" si="45"/>
        <v>2111</v>
      </c>
      <c r="Q24" s="573">
        <f t="shared" si="46"/>
        <v>177403</v>
      </c>
      <c r="R24" s="391">
        <f t="shared" si="44"/>
        <v>0</v>
      </c>
      <c r="S24" s="52">
        <f t="shared" si="5"/>
        <v>0</v>
      </c>
      <c r="T24" s="67">
        <f t="shared" si="37"/>
        <v>0</v>
      </c>
      <c r="U24" s="398">
        <f t="shared" si="19"/>
        <v>0</v>
      </c>
      <c r="V24" s="62">
        <f t="shared" si="20"/>
        <v>0</v>
      </c>
      <c r="W24" s="396"/>
      <c r="X24" s="573">
        <f t="shared" si="22"/>
        <v>2470</v>
      </c>
      <c r="Y24" s="52">
        <f t="shared" si="23"/>
        <v>0</v>
      </c>
      <c r="Z24" s="573">
        <f t="shared" si="24"/>
        <v>139101.4</v>
      </c>
      <c r="AA24" s="65">
        <f t="shared" si="6"/>
        <v>0</v>
      </c>
      <c r="AB24" s="281">
        <f t="shared" ref="AB24:AB32" si="50">SUM(Y24*$AB$2)</f>
        <v>0</v>
      </c>
      <c r="AC24" s="573">
        <f t="shared" si="25"/>
        <v>1940</v>
      </c>
      <c r="AD24" s="45">
        <f t="shared" si="7"/>
        <v>0</v>
      </c>
      <c r="AE24" s="573">
        <f t="shared" si="26"/>
        <v>365916.4</v>
      </c>
      <c r="AF24" s="303">
        <f t="shared" si="27"/>
        <v>0</v>
      </c>
      <c r="AG24" s="209">
        <f t="shared" si="39"/>
        <v>0</v>
      </c>
      <c r="AH24" s="62">
        <f t="shared" si="40"/>
        <v>0</v>
      </c>
      <c r="AI24" s="314">
        <f t="shared" si="28"/>
        <v>0</v>
      </c>
      <c r="AJ24" s="314">
        <f>-tanks!AW25</f>
        <v>0</v>
      </c>
      <c r="AK24" s="314">
        <f t="shared" si="29"/>
        <v>0</v>
      </c>
      <c r="AL24" s="314">
        <f t="shared" si="8"/>
        <v>0</v>
      </c>
      <c r="AM24" s="314">
        <f t="shared" si="30"/>
        <v>0</v>
      </c>
      <c r="AN24" s="573">
        <f t="shared" si="9"/>
        <v>65</v>
      </c>
      <c r="AO24" s="316">
        <f t="shared" si="31"/>
        <v>1950</v>
      </c>
      <c r="AP24" s="573">
        <f t="shared" si="10"/>
        <v>55</v>
      </c>
      <c r="AQ24" s="316">
        <f t="shared" si="32"/>
        <v>1650.0000000000002</v>
      </c>
      <c r="AR24" s="573">
        <f t="shared" si="11"/>
        <v>61</v>
      </c>
      <c r="AS24" s="316">
        <f t="shared" si="41"/>
        <v>1830</v>
      </c>
      <c r="AT24" s="316">
        <f t="shared" ref="AT24:AT32" si="51">SUM(AO24+AQ24+AS24)</f>
        <v>5430</v>
      </c>
      <c r="AU24" s="316">
        <f t="shared" si="43"/>
        <v>0</v>
      </c>
      <c r="AV24" s="267"/>
      <c r="AW24" s="267"/>
      <c r="AX24" s="309">
        <f t="shared" si="33"/>
        <v>0.8</v>
      </c>
    </row>
    <row r="25" spans="1:50" ht="13.5" customHeight="1">
      <c r="A25" s="63">
        <f>ELEC!C24</f>
        <v>44398</v>
      </c>
      <c r="B25" s="573">
        <f t="shared" si="34"/>
        <v>133</v>
      </c>
      <c r="C25" s="573">
        <f t="shared" si="35"/>
        <v>141</v>
      </c>
      <c r="D25" s="45">
        <f t="shared" si="49"/>
        <v>0</v>
      </c>
      <c r="E25" s="45">
        <f t="shared" si="12"/>
        <v>0</v>
      </c>
      <c r="F25" s="573">
        <f t="shared" si="13"/>
        <v>1857</v>
      </c>
      <c r="G25" s="52">
        <f t="shared" si="0"/>
        <v>0</v>
      </c>
      <c r="H25" s="573">
        <f t="shared" si="14"/>
        <v>14682</v>
      </c>
      <c r="I25" s="392">
        <f t="shared" si="1"/>
        <v>0</v>
      </c>
      <c r="J25" s="66">
        <f t="shared" si="15"/>
        <v>0</v>
      </c>
      <c r="K25" s="573">
        <f t="shared" si="16"/>
        <v>2345</v>
      </c>
      <c r="L25" s="52">
        <f t="shared" si="17"/>
        <v>0</v>
      </c>
      <c r="M25" s="573">
        <f t="shared" si="18"/>
        <v>173005</v>
      </c>
      <c r="N25" s="392">
        <f t="shared" si="2"/>
        <v>0</v>
      </c>
      <c r="O25" s="64">
        <f t="shared" si="48"/>
        <v>1869</v>
      </c>
      <c r="P25" s="573">
        <f t="shared" si="45"/>
        <v>2111</v>
      </c>
      <c r="Q25" s="573">
        <f t="shared" si="46"/>
        <v>177403</v>
      </c>
      <c r="R25" s="391">
        <f t="shared" si="44"/>
        <v>0</v>
      </c>
      <c r="S25" s="52">
        <f t="shared" si="5"/>
        <v>0</v>
      </c>
      <c r="T25" s="67">
        <f t="shared" si="37"/>
        <v>0</v>
      </c>
      <c r="U25" s="398">
        <f t="shared" si="19"/>
        <v>0</v>
      </c>
      <c r="V25" s="62">
        <f t="shared" si="20"/>
        <v>0</v>
      </c>
      <c r="W25" s="396"/>
      <c r="X25" s="573">
        <f t="shared" si="22"/>
        <v>2470</v>
      </c>
      <c r="Y25" s="52">
        <f t="shared" si="23"/>
        <v>0</v>
      </c>
      <c r="Z25" s="573">
        <f t="shared" si="24"/>
        <v>139101.4</v>
      </c>
      <c r="AA25" s="65">
        <f t="shared" si="6"/>
        <v>0</v>
      </c>
      <c r="AB25" s="281">
        <f t="shared" si="50"/>
        <v>0</v>
      </c>
      <c r="AC25" s="573">
        <f t="shared" si="25"/>
        <v>1940</v>
      </c>
      <c r="AD25" s="45">
        <f t="shared" si="7"/>
        <v>0</v>
      </c>
      <c r="AE25" s="573">
        <f t="shared" si="26"/>
        <v>365916.4</v>
      </c>
      <c r="AF25" s="303">
        <f t="shared" si="27"/>
        <v>0</v>
      </c>
      <c r="AG25" s="209">
        <f t="shared" si="39"/>
        <v>0</v>
      </c>
      <c r="AH25" s="62">
        <f t="shared" si="40"/>
        <v>0</v>
      </c>
      <c r="AI25" s="314">
        <f t="shared" si="28"/>
        <v>0</v>
      </c>
      <c r="AJ25" s="314">
        <f>-tanks!AW26</f>
        <v>0</v>
      </c>
      <c r="AK25" s="314">
        <f t="shared" si="29"/>
        <v>0</v>
      </c>
      <c r="AL25" s="314">
        <f t="shared" si="8"/>
        <v>0</v>
      </c>
      <c r="AM25" s="314">
        <f t="shared" si="30"/>
        <v>0</v>
      </c>
      <c r="AN25" s="573">
        <f t="shared" si="9"/>
        <v>65</v>
      </c>
      <c r="AO25" s="316">
        <f t="shared" si="31"/>
        <v>1950</v>
      </c>
      <c r="AP25" s="573">
        <f t="shared" si="10"/>
        <v>55</v>
      </c>
      <c r="AQ25" s="316">
        <f t="shared" ref="AQ25:AQ32" si="52">(AP25/100)*3000</f>
        <v>1650.0000000000002</v>
      </c>
      <c r="AR25" s="573">
        <f t="shared" si="11"/>
        <v>61</v>
      </c>
      <c r="AS25" s="316">
        <f t="shared" si="41"/>
        <v>1830</v>
      </c>
      <c r="AT25" s="316">
        <f t="shared" si="51"/>
        <v>5430</v>
      </c>
      <c r="AU25" s="316">
        <f t="shared" si="43"/>
        <v>0</v>
      </c>
      <c r="AV25" s="267"/>
      <c r="AW25" s="267"/>
      <c r="AX25" s="309">
        <f t="shared" si="33"/>
        <v>0.8</v>
      </c>
    </row>
    <row r="26" spans="1:50" ht="14.25" customHeight="1">
      <c r="A26" s="63">
        <f>ELEC!C25</f>
        <v>44399</v>
      </c>
      <c r="B26" s="573">
        <f t="shared" si="34"/>
        <v>133</v>
      </c>
      <c r="C26" s="573">
        <f t="shared" si="35"/>
        <v>141</v>
      </c>
      <c r="D26" s="45">
        <f t="shared" si="49"/>
        <v>0</v>
      </c>
      <c r="E26" s="45">
        <f t="shared" si="12"/>
        <v>0</v>
      </c>
      <c r="F26" s="573">
        <f t="shared" si="13"/>
        <v>1857</v>
      </c>
      <c r="G26" s="52">
        <f t="shared" si="0"/>
        <v>0</v>
      </c>
      <c r="H26" s="573">
        <f t="shared" si="14"/>
        <v>14682</v>
      </c>
      <c r="I26" s="392">
        <f t="shared" si="1"/>
        <v>0</v>
      </c>
      <c r="J26" s="66">
        <f t="shared" si="15"/>
        <v>0</v>
      </c>
      <c r="K26" s="573">
        <f t="shared" si="16"/>
        <v>2345</v>
      </c>
      <c r="L26" s="52">
        <f t="shared" si="17"/>
        <v>0</v>
      </c>
      <c r="M26" s="573">
        <f t="shared" si="18"/>
        <v>173005</v>
      </c>
      <c r="N26" s="392">
        <f t="shared" si="2"/>
        <v>0</v>
      </c>
      <c r="O26" s="64">
        <f t="shared" si="48"/>
        <v>1869</v>
      </c>
      <c r="P26" s="573">
        <f t="shared" si="45"/>
        <v>2111</v>
      </c>
      <c r="Q26" s="573">
        <f t="shared" si="46"/>
        <v>177403</v>
      </c>
      <c r="R26" s="391">
        <f t="shared" si="44"/>
        <v>0</v>
      </c>
      <c r="S26" s="52">
        <f t="shared" si="5"/>
        <v>0</v>
      </c>
      <c r="T26" s="67">
        <f t="shared" si="37"/>
        <v>0</v>
      </c>
      <c r="U26" s="398">
        <f t="shared" si="19"/>
        <v>0</v>
      </c>
      <c r="V26" s="62">
        <f t="shared" si="20"/>
        <v>0</v>
      </c>
      <c r="W26" s="396"/>
      <c r="X26" s="573">
        <f t="shared" si="22"/>
        <v>2470</v>
      </c>
      <c r="Y26" s="52">
        <f t="shared" si="23"/>
        <v>0</v>
      </c>
      <c r="Z26" s="573">
        <f t="shared" si="24"/>
        <v>139101.4</v>
      </c>
      <c r="AA26" s="65">
        <f t="shared" si="6"/>
        <v>0</v>
      </c>
      <c r="AB26" s="281">
        <f t="shared" si="50"/>
        <v>0</v>
      </c>
      <c r="AC26" s="573">
        <f t="shared" si="25"/>
        <v>1940</v>
      </c>
      <c r="AD26" s="45">
        <f t="shared" si="7"/>
        <v>0</v>
      </c>
      <c r="AE26" s="573">
        <f t="shared" si="26"/>
        <v>365916.4</v>
      </c>
      <c r="AF26" s="303">
        <f t="shared" si="27"/>
        <v>0</v>
      </c>
      <c r="AG26" s="209">
        <f t="shared" si="39"/>
        <v>0</v>
      </c>
      <c r="AH26" s="62">
        <f t="shared" si="40"/>
        <v>0</v>
      </c>
      <c r="AI26" s="314">
        <f t="shared" si="28"/>
        <v>0</v>
      </c>
      <c r="AJ26" s="314">
        <f>-tanks!AW27</f>
        <v>0</v>
      </c>
      <c r="AK26" s="314">
        <f t="shared" si="29"/>
        <v>0</v>
      </c>
      <c r="AL26" s="314">
        <f t="shared" si="8"/>
        <v>0</v>
      </c>
      <c r="AM26" s="314">
        <f t="shared" si="30"/>
        <v>0</v>
      </c>
      <c r="AN26" s="573">
        <f t="shared" si="9"/>
        <v>65</v>
      </c>
      <c r="AO26" s="316">
        <f t="shared" si="31"/>
        <v>1950</v>
      </c>
      <c r="AP26" s="573">
        <f t="shared" si="10"/>
        <v>55</v>
      </c>
      <c r="AQ26" s="316">
        <f t="shared" si="52"/>
        <v>1650.0000000000002</v>
      </c>
      <c r="AR26" s="573">
        <f t="shared" si="11"/>
        <v>61</v>
      </c>
      <c r="AS26" s="316">
        <f t="shared" si="41"/>
        <v>1830</v>
      </c>
      <c r="AT26" s="316">
        <f t="shared" si="51"/>
        <v>5430</v>
      </c>
      <c r="AU26" s="316">
        <f t="shared" si="43"/>
        <v>0</v>
      </c>
      <c r="AV26" s="267"/>
      <c r="AW26" s="267"/>
      <c r="AX26" s="309">
        <f t="shared" si="33"/>
        <v>0.8</v>
      </c>
    </row>
    <row r="27" spans="1:50">
      <c r="A27" s="63">
        <f>ELEC!C26</f>
        <v>44400</v>
      </c>
      <c r="B27" s="573">
        <f t="shared" si="34"/>
        <v>133</v>
      </c>
      <c r="C27" s="573">
        <f t="shared" si="35"/>
        <v>141</v>
      </c>
      <c r="D27" s="45">
        <f t="shared" si="49"/>
        <v>0</v>
      </c>
      <c r="E27" s="45">
        <f t="shared" si="12"/>
        <v>0</v>
      </c>
      <c r="F27" s="573">
        <f t="shared" si="13"/>
        <v>1857</v>
      </c>
      <c r="G27" s="52">
        <f t="shared" si="0"/>
        <v>0</v>
      </c>
      <c r="H27" s="573">
        <f t="shared" si="14"/>
        <v>14682</v>
      </c>
      <c r="I27" s="392">
        <f t="shared" si="1"/>
        <v>0</v>
      </c>
      <c r="J27" s="66">
        <f t="shared" si="15"/>
        <v>0</v>
      </c>
      <c r="K27" s="573">
        <f t="shared" si="16"/>
        <v>2345</v>
      </c>
      <c r="L27" s="52">
        <f t="shared" si="17"/>
        <v>0</v>
      </c>
      <c r="M27" s="573">
        <f t="shared" si="18"/>
        <v>173005</v>
      </c>
      <c r="N27" s="392">
        <f t="shared" si="2"/>
        <v>0</v>
      </c>
      <c r="O27" s="64">
        <f t="shared" si="48"/>
        <v>1869</v>
      </c>
      <c r="P27" s="573">
        <f t="shared" si="45"/>
        <v>2111</v>
      </c>
      <c r="Q27" s="573">
        <f t="shared" si="46"/>
        <v>177403</v>
      </c>
      <c r="R27" s="391">
        <f t="shared" si="44"/>
        <v>0</v>
      </c>
      <c r="S27" s="52">
        <f t="shared" si="5"/>
        <v>0</v>
      </c>
      <c r="T27" s="67">
        <f t="shared" si="37"/>
        <v>0</v>
      </c>
      <c r="U27" s="398">
        <f t="shared" si="19"/>
        <v>0</v>
      </c>
      <c r="V27" s="62">
        <f t="shared" si="20"/>
        <v>0</v>
      </c>
      <c r="W27" s="396"/>
      <c r="X27" s="573">
        <f t="shared" si="22"/>
        <v>2470</v>
      </c>
      <c r="Y27" s="52">
        <f t="shared" si="23"/>
        <v>0</v>
      </c>
      <c r="Z27" s="573">
        <f t="shared" si="24"/>
        <v>139101.4</v>
      </c>
      <c r="AA27" s="65">
        <f t="shared" si="6"/>
        <v>0</v>
      </c>
      <c r="AB27" s="281">
        <f t="shared" si="50"/>
        <v>0</v>
      </c>
      <c r="AC27" s="573">
        <f t="shared" si="25"/>
        <v>1940</v>
      </c>
      <c r="AD27" s="45">
        <f t="shared" si="7"/>
        <v>0</v>
      </c>
      <c r="AE27" s="573">
        <f t="shared" si="26"/>
        <v>365916.4</v>
      </c>
      <c r="AF27" s="303">
        <f t="shared" si="27"/>
        <v>0</v>
      </c>
      <c r="AG27" s="209">
        <f t="shared" si="39"/>
        <v>0</v>
      </c>
      <c r="AH27" s="62">
        <f t="shared" si="40"/>
        <v>0</v>
      </c>
      <c r="AI27" s="314">
        <f t="shared" si="28"/>
        <v>0</v>
      </c>
      <c r="AJ27" s="314">
        <f>-tanks!AW28</f>
        <v>0</v>
      </c>
      <c r="AK27" s="314">
        <f t="shared" si="29"/>
        <v>0</v>
      </c>
      <c r="AL27" s="314">
        <f t="shared" si="8"/>
        <v>0</v>
      </c>
      <c r="AM27" s="314">
        <f t="shared" si="30"/>
        <v>0</v>
      </c>
      <c r="AN27" s="573">
        <f t="shared" si="9"/>
        <v>65</v>
      </c>
      <c r="AO27" s="316">
        <f t="shared" ref="AO27:AO34" si="53">(AN27/100)*3000</f>
        <v>1950</v>
      </c>
      <c r="AP27" s="573">
        <f t="shared" si="10"/>
        <v>55</v>
      </c>
      <c r="AQ27" s="316">
        <f t="shared" si="52"/>
        <v>1650.0000000000002</v>
      </c>
      <c r="AR27" s="573">
        <f t="shared" si="11"/>
        <v>61</v>
      </c>
      <c r="AS27" s="316">
        <f t="shared" si="41"/>
        <v>1830</v>
      </c>
      <c r="AT27" s="316">
        <f t="shared" si="51"/>
        <v>5430</v>
      </c>
      <c r="AU27" s="316">
        <f t="shared" si="43"/>
        <v>0</v>
      </c>
      <c r="AV27" s="267"/>
      <c r="AW27" s="492"/>
      <c r="AX27" s="309">
        <f t="shared" si="33"/>
        <v>0.8</v>
      </c>
    </row>
    <row r="28" spans="1:50">
      <c r="A28" s="63">
        <f>ELEC!C27</f>
        <v>44401</v>
      </c>
      <c r="B28" s="573">
        <f t="shared" si="34"/>
        <v>133</v>
      </c>
      <c r="C28" s="573">
        <f t="shared" si="35"/>
        <v>141</v>
      </c>
      <c r="D28" s="45">
        <f t="shared" si="49"/>
        <v>0</v>
      </c>
      <c r="E28" s="45">
        <f t="shared" si="12"/>
        <v>0</v>
      </c>
      <c r="F28" s="573">
        <f t="shared" si="13"/>
        <v>1857</v>
      </c>
      <c r="G28" s="52">
        <f t="shared" si="0"/>
        <v>0</v>
      </c>
      <c r="H28" s="573">
        <f t="shared" si="14"/>
        <v>14682</v>
      </c>
      <c r="I28" s="392">
        <f t="shared" si="1"/>
        <v>0</v>
      </c>
      <c r="J28" s="66">
        <f t="shared" si="15"/>
        <v>0</v>
      </c>
      <c r="K28" s="573">
        <f t="shared" si="16"/>
        <v>2345</v>
      </c>
      <c r="L28" s="52">
        <f t="shared" si="17"/>
        <v>0</v>
      </c>
      <c r="M28" s="573">
        <f t="shared" si="18"/>
        <v>173005</v>
      </c>
      <c r="N28" s="392">
        <f t="shared" si="2"/>
        <v>0</v>
      </c>
      <c r="O28" s="64">
        <f t="shared" si="48"/>
        <v>1869</v>
      </c>
      <c r="P28" s="573">
        <f t="shared" si="45"/>
        <v>2111</v>
      </c>
      <c r="Q28" s="573">
        <f t="shared" si="46"/>
        <v>177403</v>
      </c>
      <c r="R28" s="391">
        <f t="shared" si="44"/>
        <v>0</v>
      </c>
      <c r="S28" s="52">
        <f t="shared" si="5"/>
        <v>0</v>
      </c>
      <c r="T28" s="67">
        <f t="shared" si="37"/>
        <v>0</v>
      </c>
      <c r="U28" s="398">
        <f t="shared" si="19"/>
        <v>0</v>
      </c>
      <c r="V28" s="62">
        <f t="shared" si="20"/>
        <v>0</v>
      </c>
      <c r="W28" s="396"/>
      <c r="X28" s="573">
        <f t="shared" si="22"/>
        <v>2470</v>
      </c>
      <c r="Y28" s="52">
        <f t="shared" si="23"/>
        <v>0</v>
      </c>
      <c r="Z28" s="573">
        <f t="shared" si="24"/>
        <v>139101.4</v>
      </c>
      <c r="AA28" s="65">
        <f t="shared" si="6"/>
        <v>0</v>
      </c>
      <c r="AB28" s="281">
        <f t="shared" si="50"/>
        <v>0</v>
      </c>
      <c r="AC28" s="573">
        <f t="shared" si="25"/>
        <v>1940</v>
      </c>
      <c r="AD28" s="45">
        <f t="shared" si="7"/>
        <v>0</v>
      </c>
      <c r="AE28" s="573">
        <f t="shared" si="26"/>
        <v>365916.4</v>
      </c>
      <c r="AF28" s="303">
        <f t="shared" si="27"/>
        <v>0</v>
      </c>
      <c r="AG28" s="209">
        <f t="shared" si="39"/>
        <v>0</v>
      </c>
      <c r="AH28" s="62">
        <f t="shared" si="40"/>
        <v>0</v>
      </c>
      <c r="AI28" s="314">
        <f t="shared" si="28"/>
        <v>0</v>
      </c>
      <c r="AJ28" s="314">
        <f>-tanks!AW29</f>
        <v>0</v>
      </c>
      <c r="AK28" s="314">
        <f t="shared" si="29"/>
        <v>0</v>
      </c>
      <c r="AL28" s="314">
        <f t="shared" si="8"/>
        <v>0</v>
      </c>
      <c r="AM28" s="314">
        <f t="shared" si="30"/>
        <v>0</v>
      </c>
      <c r="AN28" s="573">
        <f t="shared" si="9"/>
        <v>65</v>
      </c>
      <c r="AO28" s="316">
        <f t="shared" si="53"/>
        <v>1950</v>
      </c>
      <c r="AP28" s="573">
        <f t="shared" si="10"/>
        <v>55</v>
      </c>
      <c r="AQ28" s="316">
        <f t="shared" si="52"/>
        <v>1650.0000000000002</v>
      </c>
      <c r="AR28" s="573">
        <f t="shared" si="11"/>
        <v>61</v>
      </c>
      <c r="AS28" s="316">
        <f t="shared" si="41"/>
        <v>1830</v>
      </c>
      <c r="AT28" s="316">
        <f t="shared" si="51"/>
        <v>5430</v>
      </c>
      <c r="AU28" s="316">
        <f t="shared" si="43"/>
        <v>0</v>
      </c>
      <c r="AV28" s="267"/>
      <c r="AW28" s="267"/>
      <c r="AX28" s="309">
        <f t="shared" si="33"/>
        <v>0.8</v>
      </c>
    </row>
    <row r="29" spans="1:50">
      <c r="A29" s="63">
        <f>ELEC!C28</f>
        <v>44402</v>
      </c>
      <c r="B29" s="573">
        <f t="shared" si="34"/>
        <v>133</v>
      </c>
      <c r="C29" s="573">
        <f t="shared" si="35"/>
        <v>141</v>
      </c>
      <c r="D29" s="45">
        <f t="shared" si="49"/>
        <v>0</v>
      </c>
      <c r="E29" s="45">
        <f t="shared" si="12"/>
        <v>0</v>
      </c>
      <c r="F29" s="573">
        <f t="shared" si="13"/>
        <v>1857</v>
      </c>
      <c r="G29" s="52">
        <f t="shared" si="0"/>
        <v>0</v>
      </c>
      <c r="H29" s="573">
        <f t="shared" si="14"/>
        <v>14682</v>
      </c>
      <c r="I29" s="392">
        <f t="shared" si="1"/>
        <v>0</v>
      </c>
      <c r="J29" s="66">
        <f t="shared" si="15"/>
        <v>0</v>
      </c>
      <c r="K29" s="573">
        <f t="shared" si="16"/>
        <v>2345</v>
      </c>
      <c r="L29" s="52">
        <f t="shared" si="17"/>
        <v>0</v>
      </c>
      <c r="M29" s="573">
        <f t="shared" si="18"/>
        <v>173005</v>
      </c>
      <c r="N29" s="392">
        <f t="shared" si="2"/>
        <v>0</v>
      </c>
      <c r="O29" s="64">
        <f t="shared" si="48"/>
        <v>1869</v>
      </c>
      <c r="P29" s="573">
        <f t="shared" si="45"/>
        <v>2111</v>
      </c>
      <c r="Q29" s="573">
        <f t="shared" si="46"/>
        <v>177403</v>
      </c>
      <c r="R29" s="391">
        <f t="shared" si="44"/>
        <v>0</v>
      </c>
      <c r="S29" s="52">
        <f t="shared" si="5"/>
        <v>0</v>
      </c>
      <c r="T29" s="67">
        <f t="shared" si="37"/>
        <v>0</v>
      </c>
      <c r="U29" s="398">
        <f t="shared" si="19"/>
        <v>0</v>
      </c>
      <c r="V29" s="62">
        <f t="shared" si="20"/>
        <v>0</v>
      </c>
      <c r="W29" s="396"/>
      <c r="X29" s="573">
        <f t="shared" si="22"/>
        <v>2470</v>
      </c>
      <c r="Y29" s="52">
        <f t="shared" si="23"/>
        <v>0</v>
      </c>
      <c r="Z29" s="573">
        <f t="shared" si="24"/>
        <v>139101.4</v>
      </c>
      <c r="AA29" s="65">
        <f t="shared" si="6"/>
        <v>0</v>
      </c>
      <c r="AB29" s="281">
        <f t="shared" si="50"/>
        <v>0</v>
      </c>
      <c r="AC29" s="573">
        <f t="shared" si="25"/>
        <v>1940</v>
      </c>
      <c r="AD29" s="45">
        <f t="shared" si="7"/>
        <v>0</v>
      </c>
      <c r="AE29" s="573">
        <f t="shared" si="26"/>
        <v>365916.4</v>
      </c>
      <c r="AF29" s="303">
        <f t="shared" si="27"/>
        <v>0</v>
      </c>
      <c r="AG29" s="209">
        <f t="shared" si="39"/>
        <v>0</v>
      </c>
      <c r="AH29" s="62">
        <f t="shared" si="40"/>
        <v>0</v>
      </c>
      <c r="AI29" s="314">
        <f t="shared" si="28"/>
        <v>0</v>
      </c>
      <c r="AJ29" s="314">
        <f>-tanks!AW30</f>
        <v>0</v>
      </c>
      <c r="AK29" s="314">
        <f t="shared" si="29"/>
        <v>0</v>
      </c>
      <c r="AL29" s="314">
        <f t="shared" si="8"/>
        <v>0</v>
      </c>
      <c r="AM29" s="314">
        <f t="shared" si="30"/>
        <v>0</v>
      </c>
      <c r="AN29" s="573">
        <f t="shared" si="9"/>
        <v>65</v>
      </c>
      <c r="AO29" s="316">
        <f t="shared" si="53"/>
        <v>1950</v>
      </c>
      <c r="AP29" s="573">
        <f t="shared" si="10"/>
        <v>55</v>
      </c>
      <c r="AQ29" s="316">
        <f t="shared" si="52"/>
        <v>1650.0000000000002</v>
      </c>
      <c r="AR29" s="573">
        <f t="shared" si="11"/>
        <v>61</v>
      </c>
      <c r="AS29" s="316">
        <f t="shared" si="41"/>
        <v>1830</v>
      </c>
      <c r="AT29" s="316">
        <f>SUM(AO29+AQ29+AS29)</f>
        <v>5430</v>
      </c>
      <c r="AU29" s="316">
        <f>AT28-AT29+AV29</f>
        <v>0</v>
      </c>
      <c r="AV29" s="267"/>
      <c r="AW29" s="267"/>
      <c r="AX29" s="309">
        <f t="shared" si="33"/>
        <v>0.8</v>
      </c>
    </row>
    <row r="30" spans="1:50">
      <c r="A30" s="63">
        <f>ELEC!C29</f>
        <v>44403</v>
      </c>
      <c r="B30" s="573">
        <f t="shared" si="34"/>
        <v>133</v>
      </c>
      <c r="C30" s="573">
        <f t="shared" si="35"/>
        <v>141</v>
      </c>
      <c r="D30" s="45">
        <f t="shared" si="49"/>
        <v>0</v>
      </c>
      <c r="E30" s="45">
        <f t="shared" si="12"/>
        <v>0</v>
      </c>
      <c r="F30" s="573">
        <f t="shared" si="13"/>
        <v>1857</v>
      </c>
      <c r="G30" s="52">
        <f t="shared" si="0"/>
        <v>0</v>
      </c>
      <c r="H30" s="573">
        <f t="shared" si="14"/>
        <v>14682</v>
      </c>
      <c r="I30" s="392">
        <f t="shared" si="1"/>
        <v>0</v>
      </c>
      <c r="J30" s="66">
        <f t="shared" si="15"/>
        <v>0</v>
      </c>
      <c r="K30" s="573">
        <f t="shared" si="16"/>
        <v>2345</v>
      </c>
      <c r="L30" s="52">
        <f t="shared" si="17"/>
        <v>0</v>
      </c>
      <c r="M30" s="573">
        <f t="shared" si="18"/>
        <v>173005</v>
      </c>
      <c r="N30" s="392">
        <f t="shared" si="2"/>
        <v>0</v>
      </c>
      <c r="O30" s="64">
        <f t="shared" si="48"/>
        <v>1869</v>
      </c>
      <c r="P30" s="573">
        <f t="shared" si="45"/>
        <v>2111</v>
      </c>
      <c r="Q30" s="573">
        <f t="shared" si="46"/>
        <v>177403</v>
      </c>
      <c r="R30" s="391">
        <f t="shared" si="44"/>
        <v>0</v>
      </c>
      <c r="S30" s="52">
        <f t="shared" si="5"/>
        <v>0</v>
      </c>
      <c r="T30" s="67">
        <f t="shared" si="37"/>
        <v>0</v>
      </c>
      <c r="U30" s="398">
        <f t="shared" si="19"/>
        <v>0</v>
      </c>
      <c r="V30" s="62">
        <f t="shared" si="20"/>
        <v>0</v>
      </c>
      <c r="W30" s="396"/>
      <c r="X30" s="573">
        <f t="shared" si="22"/>
        <v>2470</v>
      </c>
      <c r="Y30" s="52">
        <f t="shared" si="23"/>
        <v>0</v>
      </c>
      <c r="Z30" s="573">
        <f t="shared" si="24"/>
        <v>139101.4</v>
      </c>
      <c r="AA30" s="65">
        <f t="shared" si="6"/>
        <v>0</v>
      </c>
      <c r="AB30" s="281">
        <f t="shared" si="50"/>
        <v>0</v>
      </c>
      <c r="AC30" s="573">
        <f t="shared" si="25"/>
        <v>1940</v>
      </c>
      <c r="AD30" s="45">
        <f t="shared" si="7"/>
        <v>0</v>
      </c>
      <c r="AE30" s="573">
        <f t="shared" si="26"/>
        <v>365916.4</v>
      </c>
      <c r="AF30" s="303">
        <f t="shared" si="27"/>
        <v>0</v>
      </c>
      <c r="AG30" s="209">
        <f t="shared" si="39"/>
        <v>0</v>
      </c>
      <c r="AH30" s="62">
        <f t="shared" si="40"/>
        <v>0</v>
      </c>
      <c r="AI30" s="314">
        <f t="shared" si="28"/>
        <v>0</v>
      </c>
      <c r="AJ30" s="314">
        <f>-tanks!AW31</f>
        <v>0</v>
      </c>
      <c r="AK30" s="314">
        <f t="shared" si="29"/>
        <v>0</v>
      </c>
      <c r="AL30" s="314">
        <f t="shared" si="8"/>
        <v>0</v>
      </c>
      <c r="AM30" s="314">
        <f t="shared" si="30"/>
        <v>0</v>
      </c>
      <c r="AN30" s="573">
        <f t="shared" si="9"/>
        <v>65</v>
      </c>
      <c r="AO30" s="316">
        <f t="shared" si="53"/>
        <v>1950</v>
      </c>
      <c r="AP30" s="573">
        <f t="shared" si="10"/>
        <v>55</v>
      </c>
      <c r="AQ30" s="316">
        <f t="shared" si="52"/>
        <v>1650.0000000000002</v>
      </c>
      <c r="AR30" s="573">
        <f t="shared" si="11"/>
        <v>61</v>
      </c>
      <c r="AS30" s="316">
        <f t="shared" si="41"/>
        <v>1830</v>
      </c>
      <c r="AT30" s="316">
        <f t="shared" si="51"/>
        <v>5430</v>
      </c>
      <c r="AU30" s="316">
        <f t="shared" si="43"/>
        <v>0</v>
      </c>
      <c r="AV30" s="267"/>
      <c r="AW30" s="267"/>
      <c r="AX30" s="309">
        <f t="shared" si="33"/>
        <v>0.8</v>
      </c>
    </row>
    <row r="31" spans="1:50">
      <c r="A31" s="63">
        <f>ELEC!C30</f>
        <v>44404</v>
      </c>
      <c r="B31" s="573">
        <f t="shared" si="34"/>
        <v>133</v>
      </c>
      <c r="C31" s="573">
        <f t="shared" si="35"/>
        <v>141</v>
      </c>
      <c r="D31" s="45">
        <f t="shared" si="49"/>
        <v>0</v>
      </c>
      <c r="E31" s="45">
        <f t="shared" si="12"/>
        <v>0</v>
      </c>
      <c r="F31" s="573">
        <f t="shared" si="13"/>
        <v>1857</v>
      </c>
      <c r="G31" s="52">
        <f t="shared" si="0"/>
        <v>0</v>
      </c>
      <c r="H31" s="573">
        <f t="shared" si="14"/>
        <v>14682</v>
      </c>
      <c r="I31" s="392">
        <f t="shared" si="1"/>
        <v>0</v>
      </c>
      <c r="J31" s="66">
        <f t="shared" si="15"/>
        <v>0</v>
      </c>
      <c r="K31" s="573">
        <f t="shared" si="16"/>
        <v>2345</v>
      </c>
      <c r="L31" s="52">
        <f t="shared" si="17"/>
        <v>0</v>
      </c>
      <c r="M31" s="573">
        <f t="shared" si="18"/>
        <v>173005</v>
      </c>
      <c r="N31" s="392">
        <f t="shared" si="2"/>
        <v>0</v>
      </c>
      <c r="O31" s="64">
        <f t="shared" si="48"/>
        <v>1869</v>
      </c>
      <c r="P31" s="573">
        <f t="shared" si="45"/>
        <v>2111</v>
      </c>
      <c r="Q31" s="573">
        <f t="shared" si="46"/>
        <v>177403</v>
      </c>
      <c r="R31" s="391">
        <f t="shared" si="44"/>
        <v>0</v>
      </c>
      <c r="S31" s="52">
        <f t="shared" si="5"/>
        <v>0</v>
      </c>
      <c r="T31" s="67">
        <f t="shared" si="37"/>
        <v>0</v>
      </c>
      <c r="U31" s="398">
        <f t="shared" si="19"/>
        <v>0</v>
      </c>
      <c r="V31" s="62">
        <f t="shared" si="20"/>
        <v>0</v>
      </c>
      <c r="W31" s="396"/>
      <c r="X31" s="573">
        <f t="shared" si="22"/>
        <v>2470</v>
      </c>
      <c r="Y31" s="52">
        <f t="shared" si="23"/>
        <v>0</v>
      </c>
      <c r="Z31" s="573">
        <f t="shared" si="24"/>
        <v>139101.4</v>
      </c>
      <c r="AA31" s="65">
        <f t="shared" si="6"/>
        <v>0</v>
      </c>
      <c r="AB31" s="281">
        <f t="shared" si="50"/>
        <v>0</v>
      </c>
      <c r="AC31" s="573">
        <f t="shared" si="25"/>
        <v>1940</v>
      </c>
      <c r="AD31" s="267">
        <f t="shared" si="7"/>
        <v>0</v>
      </c>
      <c r="AE31" s="573">
        <f t="shared" si="26"/>
        <v>365916.4</v>
      </c>
      <c r="AF31" s="303">
        <f t="shared" si="27"/>
        <v>0</v>
      </c>
      <c r="AG31" s="209">
        <f t="shared" si="39"/>
        <v>0</v>
      </c>
      <c r="AH31" s="62">
        <f t="shared" si="40"/>
        <v>0</v>
      </c>
      <c r="AI31" s="314">
        <f t="shared" si="28"/>
        <v>0</v>
      </c>
      <c r="AJ31" s="314">
        <f>-tanks!AW32</f>
        <v>0</v>
      </c>
      <c r="AK31" s="314">
        <f t="shared" si="29"/>
        <v>0</v>
      </c>
      <c r="AL31" s="314">
        <f t="shared" si="8"/>
        <v>0</v>
      </c>
      <c r="AM31" s="314">
        <f t="shared" si="30"/>
        <v>0</v>
      </c>
      <c r="AN31" s="573">
        <f t="shared" si="9"/>
        <v>65</v>
      </c>
      <c r="AO31" s="316">
        <f t="shared" si="53"/>
        <v>1950</v>
      </c>
      <c r="AP31" s="573">
        <f t="shared" si="10"/>
        <v>55</v>
      </c>
      <c r="AQ31" s="316">
        <f t="shared" si="52"/>
        <v>1650.0000000000002</v>
      </c>
      <c r="AR31" s="573">
        <f t="shared" si="11"/>
        <v>61</v>
      </c>
      <c r="AS31" s="316">
        <f t="shared" si="41"/>
        <v>1830</v>
      </c>
      <c r="AT31" s="316">
        <f t="shared" si="51"/>
        <v>5430</v>
      </c>
      <c r="AU31" s="316">
        <f t="shared" si="43"/>
        <v>0</v>
      </c>
      <c r="AV31" s="267"/>
      <c r="AW31" s="267"/>
      <c r="AX31" s="309">
        <f t="shared" si="33"/>
        <v>0.8</v>
      </c>
    </row>
    <row r="32" spans="1:50">
      <c r="A32" s="63">
        <f>ELEC!C31</f>
        <v>44405</v>
      </c>
      <c r="B32" s="573">
        <f t="shared" si="34"/>
        <v>133</v>
      </c>
      <c r="C32" s="573">
        <f t="shared" si="35"/>
        <v>141</v>
      </c>
      <c r="D32" s="45">
        <f t="shared" si="49"/>
        <v>0</v>
      </c>
      <c r="E32" s="45">
        <f t="shared" si="12"/>
        <v>0</v>
      </c>
      <c r="F32" s="573">
        <f t="shared" si="13"/>
        <v>1857</v>
      </c>
      <c r="G32" s="52">
        <f t="shared" si="0"/>
        <v>0</v>
      </c>
      <c r="H32" s="573">
        <f t="shared" si="14"/>
        <v>14682</v>
      </c>
      <c r="I32" s="392">
        <f t="shared" si="1"/>
        <v>0</v>
      </c>
      <c r="J32" s="66">
        <f t="shared" si="15"/>
        <v>0</v>
      </c>
      <c r="K32" s="573">
        <f t="shared" si="16"/>
        <v>2345</v>
      </c>
      <c r="L32" s="52">
        <f t="shared" si="17"/>
        <v>0</v>
      </c>
      <c r="M32" s="573">
        <f t="shared" si="18"/>
        <v>173005</v>
      </c>
      <c r="N32" s="392">
        <f t="shared" si="2"/>
        <v>0</v>
      </c>
      <c r="O32" s="64">
        <f t="shared" si="48"/>
        <v>1869</v>
      </c>
      <c r="P32" s="573">
        <f t="shared" si="45"/>
        <v>2111</v>
      </c>
      <c r="Q32" s="573">
        <f t="shared" si="46"/>
        <v>177403</v>
      </c>
      <c r="R32" s="391">
        <f t="shared" si="44"/>
        <v>0</v>
      </c>
      <c r="S32" s="52">
        <f t="shared" si="5"/>
        <v>0</v>
      </c>
      <c r="T32" s="67">
        <f t="shared" si="37"/>
        <v>0</v>
      </c>
      <c r="U32" s="398">
        <f t="shared" si="19"/>
        <v>0</v>
      </c>
      <c r="V32" s="62">
        <f t="shared" si="20"/>
        <v>0</v>
      </c>
      <c r="W32" s="396"/>
      <c r="X32" s="573">
        <f t="shared" si="22"/>
        <v>2470</v>
      </c>
      <c r="Y32" s="52">
        <f t="shared" si="23"/>
        <v>0</v>
      </c>
      <c r="Z32" s="573">
        <f t="shared" si="24"/>
        <v>139101.4</v>
      </c>
      <c r="AA32" s="65">
        <f t="shared" si="6"/>
        <v>0</v>
      </c>
      <c r="AB32" s="281">
        <f t="shared" si="50"/>
        <v>0</v>
      </c>
      <c r="AC32" s="573">
        <f t="shared" si="25"/>
        <v>1940</v>
      </c>
      <c r="AD32" s="267">
        <f t="shared" si="7"/>
        <v>0</v>
      </c>
      <c r="AE32" s="573">
        <f t="shared" si="26"/>
        <v>365916.4</v>
      </c>
      <c r="AF32" s="303">
        <f t="shared" si="27"/>
        <v>0</v>
      </c>
      <c r="AG32" s="209">
        <f t="shared" si="39"/>
        <v>0</v>
      </c>
      <c r="AH32" s="62">
        <f t="shared" si="40"/>
        <v>0</v>
      </c>
      <c r="AI32" s="314">
        <f t="shared" si="28"/>
        <v>0</v>
      </c>
      <c r="AJ32" s="314">
        <f>-tanks!AW33</f>
        <v>0</v>
      </c>
      <c r="AK32" s="314">
        <f t="shared" si="29"/>
        <v>0</v>
      </c>
      <c r="AL32" s="314">
        <f t="shared" si="8"/>
        <v>0</v>
      </c>
      <c r="AM32" s="314">
        <f t="shared" si="30"/>
        <v>0</v>
      </c>
      <c r="AN32" s="573">
        <f t="shared" si="9"/>
        <v>65</v>
      </c>
      <c r="AO32" s="316">
        <f t="shared" si="53"/>
        <v>1950</v>
      </c>
      <c r="AP32" s="573">
        <f t="shared" si="10"/>
        <v>55</v>
      </c>
      <c r="AQ32" s="316">
        <f t="shared" si="52"/>
        <v>1650.0000000000002</v>
      </c>
      <c r="AR32" s="573">
        <f t="shared" si="11"/>
        <v>61</v>
      </c>
      <c r="AS32" s="316">
        <f t="shared" si="41"/>
        <v>1830</v>
      </c>
      <c r="AT32" s="316">
        <f t="shared" si="51"/>
        <v>5430</v>
      </c>
      <c r="AU32" s="316">
        <f t="shared" si="43"/>
        <v>0</v>
      </c>
      <c r="AV32" s="267"/>
      <c r="AW32" s="267"/>
      <c r="AX32" s="309">
        <f t="shared" si="33"/>
        <v>0.8</v>
      </c>
    </row>
    <row r="33" spans="1:50">
      <c r="A33" s="63">
        <f>ELEC!C32</f>
        <v>44406</v>
      </c>
      <c r="B33" s="573">
        <f t="shared" si="34"/>
        <v>133</v>
      </c>
      <c r="C33" s="573">
        <f t="shared" si="35"/>
        <v>141</v>
      </c>
      <c r="D33" s="45">
        <f>C32-C33</f>
        <v>0</v>
      </c>
      <c r="E33" s="45">
        <f>D33*8.38</f>
        <v>0</v>
      </c>
      <c r="F33" s="573">
        <f t="shared" si="13"/>
        <v>1857</v>
      </c>
      <c r="G33" s="52">
        <f>F33-F32</f>
        <v>0</v>
      </c>
      <c r="H33" s="573">
        <f t="shared" si="14"/>
        <v>14682</v>
      </c>
      <c r="I33" s="392">
        <f>SUM(H33-H32)</f>
        <v>0</v>
      </c>
      <c r="J33" s="66">
        <f>IF(G33&gt;0,I33/G33,0)</f>
        <v>0</v>
      </c>
      <c r="K33" s="573">
        <f t="shared" si="16"/>
        <v>2345</v>
      </c>
      <c r="L33" s="52">
        <f>K33-K32</f>
        <v>0</v>
      </c>
      <c r="M33" s="573">
        <f t="shared" si="18"/>
        <v>173005</v>
      </c>
      <c r="N33" s="392">
        <f>M33-M32</f>
        <v>0</v>
      </c>
      <c r="O33" s="64">
        <f t="shared" si="48"/>
        <v>1869</v>
      </c>
      <c r="P33" s="573">
        <f t="shared" si="45"/>
        <v>2111</v>
      </c>
      <c r="Q33" s="573">
        <f t="shared" si="46"/>
        <v>177403</v>
      </c>
      <c r="R33" s="391">
        <f>Q33-Q32</f>
        <v>0</v>
      </c>
      <c r="S33" s="52">
        <f>SUM(P33-P32)</f>
        <v>0</v>
      </c>
      <c r="T33" s="67">
        <f>SUM(S33*$T$2)</f>
        <v>0</v>
      </c>
      <c r="U33" s="398">
        <f>SUM(G33+L33+S33)</f>
        <v>0</v>
      </c>
      <c r="V33" s="62">
        <f>R33+N33+I33:I33</f>
        <v>0</v>
      </c>
      <c r="W33" s="396"/>
      <c r="X33" s="573">
        <f t="shared" si="22"/>
        <v>2470</v>
      </c>
      <c r="Y33" s="52">
        <f>X33-X32</f>
        <v>0</v>
      </c>
      <c r="Z33" s="573">
        <f t="shared" si="24"/>
        <v>139101.4</v>
      </c>
      <c r="AA33" s="65">
        <f>Z33-Z32</f>
        <v>0</v>
      </c>
      <c r="AB33" s="281">
        <f>SUM(Y33*$AB$2)</f>
        <v>0</v>
      </c>
      <c r="AC33" s="573">
        <f t="shared" si="25"/>
        <v>1940</v>
      </c>
      <c r="AD33" s="267">
        <f>AC33-AC32</f>
        <v>0</v>
      </c>
      <c r="AE33" s="573">
        <f t="shared" si="26"/>
        <v>365916.4</v>
      </c>
      <c r="AF33" s="303">
        <f>AE33-AE32</f>
        <v>0</v>
      </c>
      <c r="AG33" s="209">
        <f>IF(AD33&gt;0,AF33/AD33,0)</f>
        <v>0</v>
      </c>
      <c r="AH33" s="62">
        <f>AF33+AA33</f>
        <v>0</v>
      </c>
      <c r="AI33" s="314">
        <f>SUM(AH33+V33)</f>
        <v>0</v>
      </c>
      <c r="AJ33" s="314">
        <f>-tanks!AW34</f>
        <v>0</v>
      </c>
      <c r="AK33" s="314">
        <f>SUM(AJ33-AI33)</f>
        <v>0</v>
      </c>
      <c r="AL33" s="314">
        <f>S33+L33+G33</f>
        <v>0</v>
      </c>
      <c r="AM33" s="314">
        <f>Y33+AD33</f>
        <v>0</v>
      </c>
      <c r="AN33" s="573">
        <f t="shared" si="9"/>
        <v>65</v>
      </c>
      <c r="AO33" s="316">
        <f t="shared" si="53"/>
        <v>1950</v>
      </c>
      <c r="AP33" s="573">
        <f t="shared" si="10"/>
        <v>55</v>
      </c>
      <c r="AQ33" s="316">
        <f>(AP33/100)*3000</f>
        <v>1650.0000000000002</v>
      </c>
      <c r="AR33" s="573">
        <f t="shared" si="11"/>
        <v>61</v>
      </c>
      <c r="AS33" s="316">
        <f>(AR33/100)*3000</f>
        <v>1830</v>
      </c>
      <c r="AT33" s="316">
        <f>SUM(AO33+AQ33+AS33)</f>
        <v>5430</v>
      </c>
      <c r="AU33" s="316">
        <f>AT32-AT33+AV33</f>
        <v>0</v>
      </c>
      <c r="AV33" s="267"/>
      <c r="AW33" s="267"/>
      <c r="AX33" s="309">
        <f t="shared" si="33"/>
        <v>0.8</v>
      </c>
    </row>
    <row r="34" spans="1:50">
      <c r="A34" s="63">
        <f>ELEC!C33</f>
        <v>44407</v>
      </c>
      <c r="B34" s="573">
        <f t="shared" si="34"/>
        <v>133</v>
      </c>
      <c r="C34" s="573">
        <f t="shared" si="35"/>
        <v>141</v>
      </c>
      <c r="D34" s="45">
        <f>C33-C34</f>
        <v>0</v>
      </c>
      <c r="E34" s="45">
        <f>D34*8.38</f>
        <v>0</v>
      </c>
      <c r="F34" s="573">
        <f t="shared" si="13"/>
        <v>1857</v>
      </c>
      <c r="G34" s="52">
        <f>F34-F33</f>
        <v>0</v>
      </c>
      <c r="H34" s="573">
        <f t="shared" si="14"/>
        <v>14682</v>
      </c>
      <c r="I34" s="392">
        <f>SUM(H34-H33)</f>
        <v>0</v>
      </c>
      <c r="J34" s="66">
        <f>IF(G34&gt;0,I34/G34,0)</f>
        <v>0</v>
      </c>
      <c r="K34" s="573">
        <f t="shared" si="16"/>
        <v>2345</v>
      </c>
      <c r="L34" s="52">
        <f>K34-K33</f>
        <v>0</v>
      </c>
      <c r="M34" s="573">
        <f t="shared" si="18"/>
        <v>173005</v>
      </c>
      <c r="N34" s="392">
        <f>M34-M33</f>
        <v>0</v>
      </c>
      <c r="O34" s="64">
        <f t="shared" si="48"/>
        <v>1869</v>
      </c>
      <c r="P34" s="573">
        <f t="shared" si="45"/>
        <v>2111</v>
      </c>
      <c r="Q34" s="573">
        <f t="shared" si="46"/>
        <v>177403</v>
      </c>
      <c r="R34" s="391">
        <f>Q34-Q33</f>
        <v>0</v>
      </c>
      <c r="S34" s="52">
        <f>SUM(P34-P33)</f>
        <v>0</v>
      </c>
      <c r="T34" s="67">
        <f>SUM(S34*$T$2)</f>
        <v>0</v>
      </c>
      <c r="U34" s="398">
        <f>SUM(G34+L34+S34)</f>
        <v>0</v>
      </c>
      <c r="V34" s="62">
        <f>R34+N34+I34:I34</f>
        <v>0</v>
      </c>
      <c r="W34" s="396"/>
      <c r="X34" s="573">
        <f t="shared" si="22"/>
        <v>2470</v>
      </c>
      <c r="Y34" s="52">
        <f>X34-X33</f>
        <v>0</v>
      </c>
      <c r="Z34" s="573">
        <f t="shared" si="24"/>
        <v>139101.4</v>
      </c>
      <c r="AA34" s="65">
        <f>Z34-Z33</f>
        <v>0</v>
      </c>
      <c r="AB34" s="281">
        <f>SUM(Y34*$AB$2)</f>
        <v>0</v>
      </c>
      <c r="AC34" s="573">
        <f t="shared" si="25"/>
        <v>1940</v>
      </c>
      <c r="AD34" s="267">
        <f>AC34-AC33</f>
        <v>0</v>
      </c>
      <c r="AE34" s="573">
        <f t="shared" si="26"/>
        <v>365916.4</v>
      </c>
      <c r="AF34" s="303">
        <f>AE34-AE33</f>
        <v>0</v>
      </c>
      <c r="AG34" s="209">
        <f>IF(AD34&gt;0,AF34/AD34,0)</f>
        <v>0</v>
      </c>
      <c r="AH34" s="62">
        <f>AF34+AA34</f>
        <v>0</v>
      </c>
      <c r="AI34" s="314">
        <f>SUM(AH34+V34)</f>
        <v>0</v>
      </c>
      <c r="AJ34" s="314">
        <f>-tanks!AW35</f>
        <v>0</v>
      </c>
      <c r="AK34" s="314">
        <f>SUM(AJ34-AI34)</f>
        <v>0</v>
      </c>
      <c r="AL34" s="314">
        <f>S34+L34+G34</f>
        <v>0</v>
      </c>
      <c r="AM34" s="314">
        <f>Y34+AD34</f>
        <v>0</v>
      </c>
      <c r="AN34" s="573">
        <f t="shared" ref="AN34:AP35" si="54">AN33</f>
        <v>65</v>
      </c>
      <c r="AO34" s="316">
        <f t="shared" si="53"/>
        <v>1950</v>
      </c>
      <c r="AP34" s="573">
        <f t="shared" si="54"/>
        <v>55</v>
      </c>
      <c r="AQ34" s="316">
        <f>(AP34/100)*3000</f>
        <v>1650.0000000000002</v>
      </c>
      <c r="AR34" s="573">
        <f t="shared" si="11"/>
        <v>61</v>
      </c>
      <c r="AS34" s="316">
        <f>(AR34/100)*3000</f>
        <v>1830</v>
      </c>
      <c r="AT34" s="316">
        <f>SUM(AO34+AQ34+AS34)</f>
        <v>5430</v>
      </c>
      <c r="AU34" s="316">
        <f>AT33-AT34+AV34</f>
        <v>0</v>
      </c>
      <c r="AV34" s="267"/>
      <c r="AW34" s="267"/>
      <c r="AX34" s="309">
        <f t="shared" si="33"/>
        <v>0.8</v>
      </c>
    </row>
    <row r="35" spans="1:50">
      <c r="A35" s="63">
        <f>ELEC!C34</f>
        <v>44408</v>
      </c>
      <c r="B35" s="573">
        <f t="shared" ref="B35" si="55">B34</f>
        <v>133</v>
      </c>
      <c r="C35" s="573">
        <f t="shared" ref="C35" si="56">C34</f>
        <v>141</v>
      </c>
      <c r="D35" s="45">
        <f>C34-C35</f>
        <v>0</v>
      </c>
      <c r="E35" s="45">
        <f>D35*8.38</f>
        <v>0</v>
      </c>
      <c r="F35" s="573">
        <f t="shared" ref="F35" si="57">F34</f>
        <v>1857</v>
      </c>
      <c r="G35" s="52">
        <f>F35-F34</f>
        <v>0</v>
      </c>
      <c r="H35" s="573">
        <f t="shared" ref="H35" si="58">H34</f>
        <v>14682</v>
      </c>
      <c r="I35" s="392">
        <f>SUM(H35-H34)</f>
        <v>0</v>
      </c>
      <c r="J35" s="66">
        <f>IF(G35&gt;0,I35/G35,0)</f>
        <v>0</v>
      </c>
      <c r="K35" s="573">
        <f t="shared" ref="K35" si="59">K34</f>
        <v>2345</v>
      </c>
      <c r="L35" s="52">
        <f>K35-K34</f>
        <v>0</v>
      </c>
      <c r="M35" s="573">
        <f t="shared" ref="M35" si="60">M34</f>
        <v>173005</v>
      </c>
      <c r="N35" s="392">
        <f>M35-M34</f>
        <v>0</v>
      </c>
      <c r="O35" s="64">
        <f t="shared" si="48"/>
        <v>1869</v>
      </c>
      <c r="P35" s="573">
        <f t="shared" ref="P35" si="61">P34</f>
        <v>2111</v>
      </c>
      <c r="Q35" s="573">
        <f t="shared" ref="Q35" si="62">Q34</f>
        <v>177403</v>
      </c>
      <c r="R35" s="391">
        <f>Q35-Q34</f>
        <v>0</v>
      </c>
      <c r="S35" s="52">
        <f>SUM(P35-P34)</f>
        <v>0</v>
      </c>
      <c r="T35" s="67">
        <f>SUM(S35*$T$2)</f>
        <v>0</v>
      </c>
      <c r="U35" s="398">
        <f>SUM(G35+L35+S35)</f>
        <v>0</v>
      </c>
      <c r="V35" s="62">
        <f>R35+N35+I35:I35</f>
        <v>0</v>
      </c>
      <c r="W35" s="396"/>
      <c r="X35" s="573">
        <f t="shared" ref="X35" si="63">X34</f>
        <v>2470</v>
      </c>
      <c r="Y35" s="52">
        <f>X35-X34</f>
        <v>0</v>
      </c>
      <c r="Z35" s="573">
        <f t="shared" ref="Z35" si="64">Z34</f>
        <v>139101.4</v>
      </c>
      <c r="AA35" s="65">
        <f>Z35-Z34</f>
        <v>0</v>
      </c>
      <c r="AB35" s="281">
        <f>SUM(Y35*$AB$2)</f>
        <v>0</v>
      </c>
      <c r="AC35" s="573">
        <f t="shared" ref="AC35" si="65">AC34</f>
        <v>1940</v>
      </c>
      <c r="AD35" s="267">
        <f>AC35-AC34</f>
        <v>0</v>
      </c>
      <c r="AE35" s="573">
        <f t="shared" ref="AE35" si="66">AE34</f>
        <v>365916.4</v>
      </c>
      <c r="AF35" s="303">
        <f>AE35-AE34</f>
        <v>0</v>
      </c>
      <c r="AG35" s="209">
        <f>IF(AD35&gt;0,AF35/AD35,0)</f>
        <v>0</v>
      </c>
      <c r="AH35" s="62">
        <f>AF35+AA35</f>
        <v>0</v>
      </c>
      <c r="AI35" s="314">
        <f>SUM(AH35+V35)</f>
        <v>0</v>
      </c>
      <c r="AJ35" s="314">
        <f>-tanks!AW36</f>
        <v>0</v>
      </c>
      <c r="AK35" s="314">
        <f>SUM(AJ35-AI35)</f>
        <v>0</v>
      </c>
      <c r="AL35" s="314">
        <f>S35+L35+G35</f>
        <v>0</v>
      </c>
      <c r="AM35" s="314">
        <f>Y35+AD35</f>
        <v>0</v>
      </c>
      <c r="AN35" s="573">
        <f t="shared" si="54"/>
        <v>65</v>
      </c>
      <c r="AO35" s="316">
        <f t="shared" ref="AO35" si="67">(AN35/100)*3000</f>
        <v>1950</v>
      </c>
      <c r="AP35" s="573">
        <f t="shared" si="54"/>
        <v>55</v>
      </c>
      <c r="AQ35" s="316">
        <f>(AP35/100)*3000</f>
        <v>1650.0000000000002</v>
      </c>
      <c r="AR35" s="573">
        <f t="shared" si="11"/>
        <v>61</v>
      </c>
      <c r="AS35" s="316">
        <f>(AR35/100)*3000</f>
        <v>1830</v>
      </c>
      <c r="AT35" s="316">
        <f>SUM(AO35+AQ35+AS35)</f>
        <v>5430</v>
      </c>
      <c r="AU35" s="316">
        <f>AT34-AT35+AV35</f>
        <v>0</v>
      </c>
      <c r="AV35" s="267"/>
      <c r="AW35" s="267"/>
      <c r="AX35" s="309">
        <f t="shared" ref="AX35" si="68">IF(AV35&gt;0,AW35,AX34)</f>
        <v>0.8</v>
      </c>
    </row>
    <row r="36" spans="1:50">
      <c r="J36" s="280">
        <f>SUM(J5:J32)/(COUNT(J5:J32)-COUNTIF(J5:J32,0))</f>
        <v>51.666666666666664</v>
      </c>
      <c r="V36" s="62">
        <f>SUM(V5:V34)</f>
        <v>378</v>
      </c>
      <c r="AE36" s="71" t="s">
        <v>383</v>
      </c>
      <c r="AG36" s="340"/>
      <c r="AH36" s="62">
        <f>SUM(AH5:AH35)</f>
        <v>0</v>
      </c>
      <c r="AL36" s="62">
        <f>SUM(AL5:AL35)</f>
        <v>4</v>
      </c>
      <c r="AM36" s="62">
        <f>SUM(AM5:AM35)</f>
        <v>0</v>
      </c>
      <c r="AP36" s="309"/>
      <c r="AQ36" s="309"/>
      <c r="AR36" s="309" t="s">
        <v>224</v>
      </c>
      <c r="AS36" s="309">
        <f>COUNT(AW5:AW35)</f>
        <v>0</v>
      </c>
      <c r="AT36" s="309"/>
      <c r="AU36" s="309">
        <f>SUM(AU5:AU35)</f>
        <v>0</v>
      </c>
      <c r="AV36" s="71">
        <f>SUM(AV5:AV35)</f>
        <v>0</v>
      </c>
      <c r="AW36" s="309" t="e">
        <f>SUM(AW5:AW35)/AS36</f>
        <v>#DIV/0!</v>
      </c>
    </row>
    <row r="37" spans="1:50">
      <c r="AH37" s="62">
        <f>AF37+AA37</f>
        <v>0</v>
      </c>
      <c r="AI37" s="317">
        <f>SUM(AI5:AI35)</f>
        <v>378</v>
      </c>
      <c r="AP37" s="309"/>
      <c r="AQ37" s="309"/>
      <c r="AR37" s="309"/>
      <c r="AS37" s="309"/>
      <c r="AT37" s="309"/>
      <c r="AU37" s="309"/>
      <c r="AV37" s="309"/>
      <c r="AW37" s="309"/>
    </row>
    <row r="38" spans="1:50">
      <c r="AH38" s="62">
        <f>AF38+AA38</f>
        <v>0</v>
      </c>
      <c r="AP38" s="309"/>
      <c r="AQ38" s="309"/>
      <c r="AR38" s="309"/>
      <c r="AS38" s="309"/>
      <c r="AT38" s="309"/>
      <c r="AU38" s="309">
        <f>AU36*0.51</f>
        <v>0</v>
      </c>
      <c r="AV38" s="309">
        <f>AV36/0.51</f>
        <v>0</v>
      </c>
      <c r="AW38" s="309" t="e">
        <f>SUM(AW5:AW32)/AS36</f>
        <v>#DIV/0!</v>
      </c>
    </row>
    <row r="39" spans="1:50">
      <c r="AP39" s="309"/>
      <c r="AQ39" s="309"/>
      <c r="AR39" s="309"/>
      <c r="AS39" s="309"/>
      <c r="AT39" s="309"/>
      <c r="AU39" s="309"/>
      <c r="AV39" s="309">
        <f>AV36*0.51</f>
        <v>0</v>
      </c>
      <c r="AW39" s="309"/>
    </row>
    <row r="40" spans="1:50">
      <c r="AP40" s="309"/>
      <c r="AQ40" s="309"/>
      <c r="AR40" s="309"/>
      <c r="AS40" s="309"/>
      <c r="AT40" s="309"/>
      <c r="AU40" s="309"/>
      <c r="AV40" s="309"/>
      <c r="AW40" s="309"/>
    </row>
    <row r="41" spans="1:50">
      <c r="P41" s="69"/>
      <c r="Q41" s="69"/>
      <c r="R41" s="69"/>
      <c r="AP41" s="309"/>
      <c r="AQ41" s="309"/>
      <c r="AR41" s="309"/>
      <c r="AS41" s="309"/>
      <c r="AT41" s="309"/>
      <c r="AU41" s="309"/>
      <c r="AV41" s="309"/>
      <c r="AW41" s="309"/>
    </row>
    <row r="43" spans="1:50">
      <c r="AG43" s="353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2" stopIfTrue="1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zoomScale="90" zoomScaleNormal="90" workbookViewId="0">
      <pane ySplit="3" topLeftCell="A6" activePane="bottomLeft" state="frozen"/>
      <selection pane="bottomLeft" activeCell="AX13" sqref="AX13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28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28" customWidth="1"/>
    <col min="11" max="11" width="13.5703125" style="1" customWidth="1"/>
    <col min="12" max="12" width="13.28515625" style="1" customWidth="1"/>
    <col min="13" max="13" width="10.7109375" style="483" customWidth="1"/>
    <col min="14" max="14" width="10.7109375" style="485" customWidth="1"/>
    <col min="15" max="15" width="11.28515625" style="483" customWidth="1"/>
    <col min="16" max="16" width="11.28515625" style="485" customWidth="1"/>
    <col min="17" max="17" width="17.28515625" style="483" customWidth="1"/>
    <col min="18" max="19" width="10.7109375" style="483" customWidth="1"/>
    <col min="20" max="20" width="13.28515625" style="402" customWidth="1"/>
    <col min="21" max="21" width="8.7109375" style="405" customWidth="1"/>
    <col min="22" max="22" width="13.28515625" style="318" customWidth="1"/>
    <col min="23" max="23" width="9.7109375" style="318" bestFit="1" customWidth="1"/>
    <col min="24" max="27" width="9.7109375" style="318" customWidth="1"/>
    <col min="28" max="28" width="14.42578125" style="318" customWidth="1"/>
    <col min="29" max="32" width="9.7109375" style="318" customWidth="1"/>
    <col min="33" max="33" width="11.28515625" style="318" customWidth="1"/>
    <col min="34" max="36" width="9.7109375" style="318" customWidth="1"/>
    <col min="37" max="37" width="7.42578125" style="318" customWidth="1"/>
    <col min="38" max="39" width="8.7109375" style="318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55" customFormat="1" ht="15.75" thickBot="1">
      <c r="B1" s="356"/>
      <c r="C1" s="356"/>
      <c r="D1" s="412">
        <f>SUM(G21:G33)</f>
        <v>8092513</v>
      </c>
      <c r="E1" s="357"/>
      <c r="F1" s="357"/>
      <c r="G1" s="356"/>
      <c r="H1" s="356"/>
      <c r="I1" s="356"/>
      <c r="J1" s="357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6"/>
      <c r="V1" s="358"/>
      <c r="W1" s="358"/>
      <c r="X1" s="358"/>
      <c r="Y1" s="358"/>
      <c r="Z1" s="358"/>
      <c r="AA1" s="358"/>
      <c r="AB1" s="358"/>
      <c r="AC1" s="358"/>
      <c r="AD1" s="358"/>
      <c r="AE1" s="358"/>
      <c r="AF1" s="358"/>
      <c r="AG1" s="358"/>
      <c r="AH1" s="358"/>
      <c r="AI1" s="358"/>
      <c r="AJ1" s="358"/>
      <c r="AK1" s="358"/>
      <c r="AL1" s="358"/>
      <c r="AM1" s="358"/>
      <c r="AN1" s="356"/>
      <c r="AR1" s="359" t="s">
        <v>92</v>
      </c>
      <c r="AS1" s="360"/>
      <c r="AT1" s="360" t="s">
        <v>60</v>
      </c>
      <c r="AU1" s="360"/>
      <c r="AV1" s="361" t="s">
        <v>61</v>
      </c>
    </row>
    <row r="2" spans="1:65" s="355" customFormat="1" ht="15.75" customHeight="1" thickBot="1">
      <c r="B2" s="356"/>
      <c r="C2" s="356"/>
      <c r="D2" s="356"/>
      <c r="E2" s="357"/>
      <c r="F2" s="357"/>
      <c r="G2" s="356"/>
      <c r="H2" s="356"/>
      <c r="I2" s="356"/>
      <c r="J2" s="357"/>
      <c r="K2" s="356"/>
      <c r="L2" s="356"/>
      <c r="M2" s="356"/>
      <c r="N2" s="356"/>
      <c r="O2" s="356"/>
      <c r="P2" s="356"/>
      <c r="Q2" s="356"/>
      <c r="R2" s="356"/>
      <c r="S2" s="356"/>
      <c r="T2" s="356"/>
      <c r="U2" s="356"/>
      <c r="V2" s="358"/>
      <c r="W2" s="358"/>
      <c r="X2" s="358"/>
      <c r="Y2" s="358"/>
      <c r="Z2" s="358"/>
      <c r="AA2" s="358"/>
      <c r="AB2" s="358"/>
      <c r="AC2" s="358"/>
      <c r="AD2" s="358"/>
      <c r="AE2" s="358"/>
      <c r="AF2" s="358"/>
      <c r="AG2" s="358"/>
      <c r="AH2" s="358"/>
      <c r="AI2" s="358"/>
      <c r="AJ2" s="358"/>
      <c r="AK2" s="358"/>
      <c r="AL2" s="358"/>
      <c r="AM2" s="358"/>
      <c r="AN2" s="356"/>
      <c r="AR2" s="677" t="s">
        <v>95</v>
      </c>
      <c r="AS2" s="678"/>
      <c r="AT2" s="678"/>
      <c r="AU2" s="678"/>
      <c r="AV2" s="679"/>
      <c r="AW2" s="677" t="s">
        <v>96</v>
      </c>
      <c r="AX2" s="678"/>
      <c r="AY2" s="679"/>
      <c r="AZ2" s="677" t="s">
        <v>98</v>
      </c>
      <c r="BA2" s="678"/>
      <c r="BB2" s="679"/>
      <c r="BC2" s="362"/>
      <c r="BE2" s="363"/>
    </row>
    <row r="3" spans="1:65" s="355" customFormat="1" ht="48" customHeight="1" thickBot="1">
      <c r="A3" s="364" t="s">
        <v>51</v>
      </c>
      <c r="B3" s="365" t="s">
        <v>52</v>
      </c>
      <c r="C3" s="365" t="s">
        <v>53</v>
      </c>
      <c r="D3" s="365" t="s">
        <v>54</v>
      </c>
      <c r="E3" s="366"/>
      <c r="F3" s="367" t="s">
        <v>80</v>
      </c>
      <c r="G3" s="365" t="s">
        <v>55</v>
      </c>
      <c r="H3" s="365" t="s">
        <v>56</v>
      </c>
      <c r="I3" s="365" t="s">
        <v>100</v>
      </c>
      <c r="J3" s="366"/>
      <c r="K3" s="365" t="s">
        <v>392</v>
      </c>
      <c r="L3" s="368" t="s">
        <v>327</v>
      </c>
      <c r="M3" s="501" t="s">
        <v>399</v>
      </c>
      <c r="N3" s="502"/>
      <c r="O3" s="503" t="s">
        <v>400</v>
      </c>
      <c r="P3" s="503"/>
      <c r="Q3" s="503" t="s">
        <v>396</v>
      </c>
      <c r="R3" s="503" t="s">
        <v>398</v>
      </c>
      <c r="S3" s="503" t="s">
        <v>397</v>
      </c>
      <c r="T3" s="365" t="s">
        <v>380</v>
      </c>
      <c r="U3" s="365" t="s">
        <v>382</v>
      </c>
      <c r="V3" s="369" t="s">
        <v>331</v>
      </c>
      <c r="W3" s="370" t="s">
        <v>332</v>
      </c>
      <c r="X3" s="369" t="s">
        <v>335</v>
      </c>
      <c r="Y3" s="370" t="s">
        <v>336</v>
      </c>
      <c r="Z3" s="371" t="s">
        <v>337</v>
      </c>
      <c r="AA3" s="372" t="s">
        <v>395</v>
      </c>
      <c r="AB3" s="436" t="s">
        <v>394</v>
      </c>
      <c r="AC3" s="434" t="s">
        <v>393</v>
      </c>
      <c r="AD3" s="434"/>
      <c r="AE3" s="373" t="s">
        <v>403</v>
      </c>
      <c r="AF3" s="373" t="s">
        <v>404</v>
      </c>
      <c r="AG3" s="373" t="s">
        <v>405</v>
      </c>
      <c r="AH3" s="373" t="s">
        <v>406</v>
      </c>
      <c r="AI3" s="372" t="s">
        <v>407</v>
      </c>
      <c r="AJ3" s="372" t="s">
        <v>338</v>
      </c>
      <c r="AK3" s="373" t="s">
        <v>340</v>
      </c>
      <c r="AL3" s="373" t="s">
        <v>339</v>
      </c>
      <c r="AM3" s="374" t="s">
        <v>125</v>
      </c>
      <c r="AN3" s="674" t="s">
        <v>126</v>
      </c>
      <c r="AO3" s="675"/>
      <c r="AP3" s="676"/>
      <c r="AR3" s="375" t="s">
        <v>51</v>
      </c>
      <c r="AS3" s="376"/>
      <c r="AT3" s="375" t="s">
        <v>94</v>
      </c>
      <c r="AU3" s="376"/>
      <c r="AV3" s="377" t="s">
        <v>57</v>
      </c>
      <c r="AW3" s="378"/>
      <c r="AX3" s="376" t="s">
        <v>59</v>
      </c>
      <c r="AY3" s="379" t="s">
        <v>93</v>
      </c>
      <c r="AZ3" s="377" t="s">
        <v>57</v>
      </c>
      <c r="BA3" s="380" t="s">
        <v>59</v>
      </c>
      <c r="BB3" s="381" t="s">
        <v>57</v>
      </c>
      <c r="BC3" s="381" t="s">
        <v>58</v>
      </c>
      <c r="BD3" s="382" t="s">
        <v>59</v>
      </c>
      <c r="BE3" s="383" t="s">
        <v>99</v>
      </c>
      <c r="BF3" s="382" t="s">
        <v>97</v>
      </c>
      <c r="BG3" s="384"/>
      <c r="BI3" s="385"/>
      <c r="BJ3" s="385"/>
      <c r="BK3" s="385"/>
      <c r="BL3" s="385"/>
      <c r="BM3" s="385"/>
    </row>
    <row r="4" spans="1:65" ht="16.5" thickBot="1">
      <c r="A4" s="87"/>
      <c r="B4" s="5"/>
      <c r="C4" s="5"/>
      <c r="D4" s="264"/>
      <c r="E4" s="329">
        <v>1.66</v>
      </c>
      <c r="F4" s="329"/>
      <c r="G4" s="5"/>
      <c r="H4" s="5"/>
      <c r="I4" s="5"/>
      <c r="J4" s="330"/>
      <c r="K4" s="5"/>
      <c r="L4" s="83"/>
      <c r="M4" s="504"/>
      <c r="N4" s="504"/>
      <c r="O4" s="504"/>
      <c r="P4" s="504"/>
      <c r="Q4" s="504"/>
      <c r="R4" s="504"/>
      <c r="S4" s="504"/>
      <c r="T4" s="83"/>
      <c r="U4" s="83"/>
      <c r="V4" s="319"/>
      <c r="W4" s="320"/>
      <c r="X4" s="319"/>
      <c r="Y4" s="320"/>
      <c r="Z4" s="321"/>
      <c r="AA4" s="435"/>
      <c r="AB4" s="437"/>
      <c r="AC4" s="435"/>
      <c r="AD4" s="435"/>
      <c r="AE4" s="435"/>
      <c r="AF4" s="435"/>
      <c r="AG4" s="435"/>
      <c r="AH4" s="435"/>
      <c r="AI4" s="435"/>
      <c r="AJ4" s="322"/>
      <c r="AK4" s="323"/>
      <c r="AL4" s="323"/>
      <c r="AM4" s="324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 t="s">
        <v>420</v>
      </c>
      <c r="B5" s="406">
        <f>[1]WATER!B35</f>
        <v>109443</v>
      </c>
      <c r="C5" s="406">
        <f>[1]WATER!C35</f>
        <v>0</v>
      </c>
      <c r="D5" s="406">
        <f>[1]WATER!D35</f>
        <v>0</v>
      </c>
      <c r="E5" s="406">
        <f>[1]WATER!E35</f>
        <v>250</v>
      </c>
      <c r="F5" s="406">
        <f>[1]WATER!F35</f>
        <v>0</v>
      </c>
      <c r="G5" s="406">
        <f>[1]WATER!G35</f>
        <v>622322</v>
      </c>
      <c r="H5" s="406">
        <f>[1]WATER!H35</f>
        <v>418</v>
      </c>
      <c r="I5" s="406">
        <f>[1]WATER!I35</f>
        <v>418</v>
      </c>
      <c r="J5" s="406">
        <f>[1]WATER!J35</f>
        <v>0.59808612440191389</v>
      </c>
      <c r="K5" s="406">
        <f>[1]WATER!K35</f>
        <v>6796</v>
      </c>
      <c r="L5" s="406">
        <f>[1]WATER!L35</f>
        <v>0</v>
      </c>
      <c r="M5" s="406">
        <f>[1]WATER!M35</f>
        <v>457.44</v>
      </c>
      <c r="N5" s="406">
        <f>[1]WATER!N35</f>
        <v>0</v>
      </c>
      <c r="O5" s="406">
        <f>[1]WATER!O35</f>
        <v>529.52</v>
      </c>
      <c r="P5" s="406">
        <f>[1]WATER!P35</f>
        <v>0</v>
      </c>
      <c r="Q5" s="406">
        <f>[1]WATER!Q35</f>
        <v>0</v>
      </c>
      <c r="R5" s="406">
        <f>[1]WATER!R35</f>
        <v>0</v>
      </c>
      <c r="S5" s="406">
        <f>[1]WATER!S35</f>
        <v>0</v>
      </c>
      <c r="T5" s="406">
        <f>[1]WATER!T35</f>
        <v>5172</v>
      </c>
      <c r="U5" s="406">
        <f>[1]WATER!U35</f>
        <v>0</v>
      </c>
      <c r="V5" s="406">
        <f>[1]WATER!V35</f>
        <v>475</v>
      </c>
      <c r="W5" s="406">
        <f>[1]WATER!W35</f>
        <v>0</v>
      </c>
      <c r="X5" s="406">
        <f>[1]WATER!X35</f>
        <v>152830</v>
      </c>
      <c r="Y5" s="406">
        <f>[1]WATER!Y35</f>
        <v>78</v>
      </c>
      <c r="Z5" s="406">
        <f>[1]WATER!Z35</f>
        <v>98991</v>
      </c>
      <c r="AA5" s="406">
        <f>[1]WATER!AA35</f>
        <v>0</v>
      </c>
      <c r="AB5" s="406">
        <f>[1]WATER!AB35</f>
        <v>261</v>
      </c>
      <c r="AC5" s="406">
        <f>[1]WATER!AC35</f>
        <v>731</v>
      </c>
      <c r="AD5" s="406">
        <f>[1]WATER!AD35</f>
        <v>0</v>
      </c>
      <c r="AE5" s="406">
        <f>[1]WATER!AE35</f>
        <v>230.2</v>
      </c>
      <c r="AF5" s="406">
        <f>[1]WATER!AF35</f>
        <v>0</v>
      </c>
      <c r="AG5" s="406">
        <f>[1]WATER!AG35</f>
        <v>2210.36</v>
      </c>
      <c r="AH5" s="406">
        <f>[1]WATER!AH35</f>
        <v>0</v>
      </c>
      <c r="AI5" s="406">
        <f>[1]WATER!AI35</f>
        <v>0</v>
      </c>
      <c r="AJ5" s="406">
        <f>[1]WATER!AJ35</f>
        <v>0</v>
      </c>
      <c r="AK5" s="406">
        <f>[1]WATER!AK35</f>
        <v>78</v>
      </c>
      <c r="AL5" s="406">
        <f>[1]WATER!AL35</f>
        <v>0</v>
      </c>
      <c r="AM5" s="406">
        <f>[1]WATER!AM35</f>
        <v>0</v>
      </c>
      <c r="AN5" s="406">
        <f>[1]WATER!AN35</f>
        <v>0</v>
      </c>
      <c r="AO5" s="406">
        <f>[1]WATER!AO35</f>
        <v>0</v>
      </c>
      <c r="AP5" s="406">
        <f>[1]WATER!AP35</f>
        <v>0</v>
      </c>
      <c r="AR5" s="610">
        <v>44377</v>
      </c>
      <c r="AS5" s="406">
        <f>[1]WATER!AS35</f>
        <v>0.9</v>
      </c>
      <c r="AT5" s="406">
        <f>[1]WATER!AT35</f>
        <v>193</v>
      </c>
      <c r="AU5" s="406">
        <f>[1]WATER!AU35</f>
        <v>1.1000000000000001</v>
      </c>
      <c r="AV5" s="406">
        <f>[1]WATER!AV35</f>
        <v>70</v>
      </c>
      <c r="AW5" s="406">
        <f>[1]WATER!AW35</f>
        <v>2.9</v>
      </c>
      <c r="AX5" s="406">
        <f>[1]WATER!AX35</f>
        <v>102</v>
      </c>
      <c r="AY5" s="406">
        <f>[1]WATER!AY35</f>
        <v>173.70000000000002</v>
      </c>
      <c r="AZ5" s="406">
        <f>[1]WATER!AZ35</f>
        <v>77</v>
      </c>
      <c r="BA5" s="406">
        <f>[1]WATER!BA35</f>
        <v>295.8</v>
      </c>
      <c r="BB5" s="406">
        <f>[1]WATER!BB35</f>
        <v>126.00000000000001</v>
      </c>
      <c r="BC5" s="406">
        <f>[1]WATER!BC35</f>
        <v>-6.6000000000000085</v>
      </c>
      <c r="BD5" s="406">
        <f>[1]WATER!BD35</f>
        <v>58.000000000000028</v>
      </c>
      <c r="BE5" s="406">
        <f>[1]WATER!BE35</f>
        <v>177.40000000000003</v>
      </c>
      <c r="BF5" s="406">
        <f>[1]WATER!BF35</f>
        <v>240.59999999999997</v>
      </c>
      <c r="BG5" s="406">
        <f>[1]WATER!BG35</f>
        <v>177.40000000000003</v>
      </c>
    </row>
    <row r="6" spans="1:65" ht="15.75" thickBot="1">
      <c r="A6" s="6">
        <f>ELEC!C4</f>
        <v>44378</v>
      </c>
      <c r="B6" s="5">
        <f>B5</f>
        <v>109443</v>
      </c>
      <c r="C6" s="5">
        <f>B6-B5</f>
        <v>0</v>
      </c>
      <c r="D6" s="415">
        <f>C6/27</f>
        <v>0</v>
      </c>
      <c r="E6" s="329">
        <f>SUM((C6*$E$4)+(7500/'EDl log'!$A$37))</f>
        <v>241.93548387096774</v>
      </c>
      <c r="F6" s="414"/>
      <c r="G6" s="5">
        <f>G5</f>
        <v>622322</v>
      </c>
      <c r="H6" s="5">
        <f>G6-G5</f>
        <v>0</v>
      </c>
      <c r="I6" s="5">
        <f>C6+H6</f>
        <v>0</v>
      </c>
      <c r="J6" s="330">
        <f t="shared" ref="J6:J33" si="0">IF(I6&gt;0,E6/I6,0)</f>
        <v>0</v>
      </c>
      <c r="K6" s="5">
        <f>'Swimming Pool quality check '!H6</f>
        <v>6796</v>
      </c>
      <c r="L6" s="83">
        <v>0</v>
      </c>
      <c r="M6" s="406">
        <f>M5</f>
        <v>457.44</v>
      </c>
      <c r="N6" s="504">
        <f t="shared" ref="N6:N13" si="1">SUM(M6-M5)</f>
        <v>0</v>
      </c>
      <c r="O6" s="406">
        <f>O5</f>
        <v>529.52</v>
      </c>
      <c r="P6" s="504">
        <f t="shared" ref="P6:P13" si="2">SUM(O6-O5)</f>
        <v>0</v>
      </c>
      <c r="Q6" s="505">
        <f>P6+N6</f>
        <v>0</v>
      </c>
      <c r="R6" s="504"/>
      <c r="S6" s="504"/>
      <c r="T6" s="5">
        <f>T5</f>
        <v>5172</v>
      </c>
      <c r="U6" s="5">
        <f t="shared" ref="U6:U33" si="3">SUM(T6-T5)</f>
        <v>0</v>
      </c>
      <c r="V6" s="5">
        <f>V5</f>
        <v>475</v>
      </c>
      <c r="W6" s="320">
        <f>+V6-V5</f>
        <v>0</v>
      </c>
      <c r="X6" s="5">
        <f>X5</f>
        <v>152830</v>
      </c>
      <c r="Y6" s="320">
        <f>SUM(X6-X5)</f>
        <v>0</v>
      </c>
      <c r="Z6" s="5">
        <f>Z5</f>
        <v>98991</v>
      </c>
      <c r="AA6" s="83">
        <f>Z6-Z5</f>
        <v>0</v>
      </c>
      <c r="AB6" s="5">
        <f>AB5</f>
        <v>261</v>
      </c>
      <c r="AC6" s="5">
        <f>AC5</f>
        <v>731</v>
      </c>
      <c r="AD6" s="83">
        <v>0</v>
      </c>
      <c r="AE6" s="5">
        <f>AE5</f>
        <v>230.2</v>
      </c>
      <c r="AF6" s="83">
        <f>AE6-AE5</f>
        <v>0</v>
      </c>
      <c r="AG6" s="5">
        <f>AG5</f>
        <v>2210.36</v>
      </c>
      <c r="AH6" s="83">
        <f>AG6-AG5</f>
        <v>0</v>
      </c>
      <c r="AI6" s="83">
        <f>AF6+AH6</f>
        <v>0</v>
      </c>
      <c r="AJ6" s="322">
        <f>+Z6-Z5</f>
        <v>0</v>
      </c>
      <c r="AK6" s="323">
        <f>SUM(Y6-L6)</f>
        <v>0</v>
      </c>
      <c r="AL6" s="323">
        <f>SUM(AJ6-W6)</f>
        <v>0</v>
      </c>
      <c r="AM6" s="323">
        <f>'General information '!D6</f>
        <v>0</v>
      </c>
      <c r="AN6" s="84">
        <f>'General information '!H6</f>
        <v>0</v>
      </c>
      <c r="AO6" s="84"/>
      <c r="AP6" s="84">
        <f>'General information '!J6</f>
        <v>0</v>
      </c>
      <c r="AQ6" s="81"/>
      <c r="AR6" s="274">
        <f>A6</f>
        <v>44378</v>
      </c>
      <c r="AS6" s="420">
        <f t="shared" ref="AS6:AT21" si="4">AS5</f>
        <v>0.9</v>
      </c>
      <c r="AT6" s="201">
        <f>AT5</f>
        <v>193</v>
      </c>
      <c r="AU6" s="421">
        <f>AU5</f>
        <v>1.1000000000000001</v>
      </c>
      <c r="AV6" s="201">
        <f>AV5</f>
        <v>70</v>
      </c>
      <c r="AW6" s="5">
        <v>2.9</v>
      </c>
      <c r="AX6" s="201">
        <f>AX5</f>
        <v>102</v>
      </c>
      <c r="AY6" s="422">
        <f t="shared" ref="AY6:AY35" si="5">AS6*AT6</f>
        <v>173.70000000000002</v>
      </c>
      <c r="AZ6" s="422">
        <f>AU6*AV6</f>
        <v>77</v>
      </c>
      <c r="BA6" s="422">
        <f>AW6*AX6</f>
        <v>295.8</v>
      </c>
      <c r="BB6" s="21">
        <f>AY6-AY5</f>
        <v>0</v>
      </c>
      <c r="BC6" s="21">
        <f>AZ6-AZ5</f>
        <v>0</v>
      </c>
      <c r="BD6" s="21">
        <f>BA6-BA5</f>
        <v>0</v>
      </c>
      <c r="BE6" s="24">
        <f>SUM(BB6:BD6)</f>
        <v>0</v>
      </c>
      <c r="BF6" s="96">
        <f t="shared" ref="BF6:BF33" si="6">SUM(I6-BE6)</f>
        <v>0</v>
      </c>
      <c r="BG6" s="82">
        <f t="shared" ref="BG6:BG33" si="7">SUM(I6-BF6)</f>
        <v>0</v>
      </c>
      <c r="BI6" s="17"/>
      <c r="BJ6" s="17"/>
      <c r="BK6" s="17"/>
      <c r="BL6" s="17"/>
      <c r="BM6" s="17"/>
    </row>
    <row r="7" spans="1:65" ht="15.75" thickBot="1">
      <c r="A7" s="6">
        <f>ELEC!C5</f>
        <v>44379</v>
      </c>
      <c r="B7" s="5">
        <f t="shared" ref="B7:B36" si="8">B6</f>
        <v>109443</v>
      </c>
      <c r="C7" s="5">
        <f t="shared" ref="C7:C33" si="9">B7-B6</f>
        <v>0</v>
      </c>
      <c r="D7" s="415">
        <f t="shared" ref="D7:D33" si="10">C7/27</f>
        <v>0</v>
      </c>
      <c r="E7" s="329">
        <f>SUM((C7*$E$4)+(7500/'EDl log'!$A$37))</f>
        <v>241.93548387096774</v>
      </c>
      <c r="F7" s="414"/>
      <c r="G7" s="5">
        <f t="shared" ref="G7:G36" si="11">G6</f>
        <v>622322</v>
      </c>
      <c r="H7" s="5">
        <f t="shared" ref="H7:H33" si="12">G7-G6</f>
        <v>0</v>
      </c>
      <c r="I7" s="5">
        <f t="shared" ref="I7:I33" si="13">C7+H7</f>
        <v>0</v>
      </c>
      <c r="J7" s="330">
        <f t="shared" si="0"/>
        <v>0</v>
      </c>
      <c r="K7" s="5">
        <f>'Swimming Pool quality check '!H7</f>
        <v>6796</v>
      </c>
      <c r="L7" s="83">
        <f>K7-K6</f>
        <v>0</v>
      </c>
      <c r="M7" s="406">
        <f t="shared" ref="M7:M36" si="14">M6</f>
        <v>457.44</v>
      </c>
      <c r="N7" s="504">
        <f t="shared" si="1"/>
        <v>0</v>
      </c>
      <c r="O7" s="406">
        <f t="shared" ref="O7:O36" si="15">O6</f>
        <v>529.52</v>
      </c>
      <c r="P7" s="504">
        <f t="shared" si="2"/>
        <v>0</v>
      </c>
      <c r="Q7" s="505">
        <f>P7+N7</f>
        <v>0</v>
      </c>
      <c r="R7" s="504"/>
      <c r="S7" s="504"/>
      <c r="T7" s="5">
        <f t="shared" ref="T7:T36" si="16">T6</f>
        <v>5172</v>
      </c>
      <c r="U7" s="5">
        <f t="shared" si="3"/>
        <v>0</v>
      </c>
      <c r="V7" s="5">
        <f t="shared" ref="V7:V36" si="17">V6</f>
        <v>475</v>
      </c>
      <c r="W7" s="320">
        <f t="shared" ref="W7:W33" si="18">+V7-V6</f>
        <v>0</v>
      </c>
      <c r="X7" s="5">
        <f t="shared" ref="X7:X36" si="19">X6</f>
        <v>152830</v>
      </c>
      <c r="Y7" s="320">
        <f>SUM(X7-X6)</f>
        <v>0</v>
      </c>
      <c r="Z7" s="5">
        <f t="shared" ref="Z7:Z36" si="20">Z6</f>
        <v>98991</v>
      </c>
      <c r="AA7" s="83">
        <f t="shared" ref="AA7:AA33" si="21">Z7-Z6</f>
        <v>0</v>
      </c>
      <c r="AB7" s="5">
        <f t="shared" ref="AB7:AB36" si="22">AB6</f>
        <v>261</v>
      </c>
      <c r="AC7" s="5">
        <f t="shared" ref="AC7:AC36" si="23">AC6</f>
        <v>731</v>
      </c>
      <c r="AD7" s="83">
        <f>AC7-AC6</f>
        <v>0</v>
      </c>
      <c r="AE7" s="5">
        <f t="shared" ref="AE7:AE36" si="24">AE6</f>
        <v>230.2</v>
      </c>
      <c r="AF7" s="83">
        <f t="shared" ref="AF7:AF32" si="25">AE7-AE6</f>
        <v>0</v>
      </c>
      <c r="AG7" s="5">
        <f t="shared" ref="AG7:AG36" si="26">AG6</f>
        <v>2210.36</v>
      </c>
      <c r="AH7" s="83">
        <f t="shared" ref="AH7:AH33" si="27">AG7-AG6</f>
        <v>0</v>
      </c>
      <c r="AI7" s="83">
        <f t="shared" ref="AI7:AI33" si="28">AF7+AH7</f>
        <v>0</v>
      </c>
      <c r="AJ7" s="322">
        <f t="shared" ref="AJ7:AJ33" si="29">+Z7-Z6</f>
        <v>0</v>
      </c>
      <c r="AK7" s="323">
        <f>SUM(Y7-L7)</f>
        <v>0</v>
      </c>
      <c r="AL7" s="323">
        <f t="shared" ref="AL7:AL33" si="30">SUM(AJ7-W7)</f>
        <v>0</v>
      </c>
      <c r="AM7" s="323">
        <f>'General information '!D7</f>
        <v>0</v>
      </c>
      <c r="AN7" s="84">
        <f>'General information '!H7</f>
        <v>0</v>
      </c>
      <c r="AO7" s="84"/>
      <c r="AP7" s="84">
        <f>'General information '!J7</f>
        <v>0</v>
      </c>
      <c r="AQ7" s="81"/>
      <c r="AR7" s="274">
        <f t="shared" ref="AR7:AR33" si="31">A7</f>
        <v>44379</v>
      </c>
      <c r="AS7" s="420">
        <f t="shared" si="4"/>
        <v>0.9</v>
      </c>
      <c r="AT7" s="201">
        <f t="shared" si="4"/>
        <v>193</v>
      </c>
      <c r="AU7" s="421">
        <f>AU6</f>
        <v>1.1000000000000001</v>
      </c>
      <c r="AV7" s="201">
        <f t="shared" ref="AV7:AV35" si="32">AV6</f>
        <v>70</v>
      </c>
      <c r="AW7" s="5">
        <v>2.9</v>
      </c>
      <c r="AX7" s="201">
        <f t="shared" ref="AX7:AX35" si="33">AX6</f>
        <v>102</v>
      </c>
      <c r="AY7" s="422">
        <f t="shared" si="5"/>
        <v>173.70000000000002</v>
      </c>
      <c r="AZ7" s="422">
        <f t="shared" ref="AZ7:AZ33" si="34">AU7*AV7</f>
        <v>77</v>
      </c>
      <c r="BA7" s="422">
        <f t="shared" ref="BA7:BA33" si="35">AW7*AX7</f>
        <v>295.8</v>
      </c>
      <c r="BB7" s="21">
        <f t="shared" ref="BB7:BD33" si="36">AY7-AY6</f>
        <v>0</v>
      </c>
      <c r="BC7" s="21">
        <f t="shared" ref="BC7:BD21" si="37">AZ7-AZ6</f>
        <v>0</v>
      </c>
      <c r="BD7" s="21">
        <f t="shared" si="37"/>
        <v>0</v>
      </c>
      <c r="BE7" s="24">
        <f t="shared" ref="BE7:BE33" si="38">SUM(BB7:BD7)</f>
        <v>0</v>
      </c>
      <c r="BF7" s="96">
        <f t="shared" si="6"/>
        <v>0</v>
      </c>
      <c r="BG7" s="82">
        <f t="shared" si="7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44380</v>
      </c>
      <c r="B8" s="5">
        <f t="shared" si="8"/>
        <v>109443</v>
      </c>
      <c r="C8" s="5">
        <f>B8-B7</f>
        <v>0</v>
      </c>
      <c r="D8" s="415">
        <f t="shared" si="10"/>
        <v>0</v>
      </c>
      <c r="E8" s="329">
        <f>SUM((C8*$E$4)+(7500/'EDl log'!$A$37))</f>
        <v>241.93548387096774</v>
      </c>
      <c r="F8" s="414"/>
      <c r="G8" s="5">
        <f t="shared" si="11"/>
        <v>622322</v>
      </c>
      <c r="H8" s="5">
        <f t="shared" si="12"/>
        <v>0</v>
      </c>
      <c r="I8" s="5">
        <f t="shared" si="13"/>
        <v>0</v>
      </c>
      <c r="J8" s="330">
        <f t="shared" si="0"/>
        <v>0</v>
      </c>
      <c r="K8" s="5">
        <f>'Swimming Pool quality check '!H8</f>
        <v>6796</v>
      </c>
      <c r="L8" s="83">
        <f>K8-K7</f>
        <v>0</v>
      </c>
      <c r="M8" s="406">
        <f t="shared" si="14"/>
        <v>457.44</v>
      </c>
      <c r="N8" s="504">
        <f t="shared" si="1"/>
        <v>0</v>
      </c>
      <c r="O8" s="406">
        <f t="shared" si="15"/>
        <v>529.52</v>
      </c>
      <c r="P8" s="504">
        <f t="shared" si="2"/>
        <v>0</v>
      </c>
      <c r="Q8" s="505">
        <f>P8+N8</f>
        <v>0</v>
      </c>
      <c r="R8" s="504"/>
      <c r="S8" s="504"/>
      <c r="T8" s="5">
        <f t="shared" si="16"/>
        <v>5172</v>
      </c>
      <c r="U8" s="5">
        <f t="shared" si="3"/>
        <v>0</v>
      </c>
      <c r="V8" s="5">
        <f t="shared" si="17"/>
        <v>475</v>
      </c>
      <c r="W8" s="320">
        <f t="shared" si="18"/>
        <v>0</v>
      </c>
      <c r="X8" s="5">
        <f t="shared" si="19"/>
        <v>152830</v>
      </c>
      <c r="Y8" s="320">
        <f>SUM(X8-X7)</f>
        <v>0</v>
      </c>
      <c r="Z8" s="5">
        <f t="shared" si="20"/>
        <v>98991</v>
      </c>
      <c r="AA8" s="83">
        <f t="shared" si="21"/>
        <v>0</v>
      </c>
      <c r="AB8" s="5">
        <f t="shared" si="22"/>
        <v>261</v>
      </c>
      <c r="AC8" s="5">
        <f t="shared" si="23"/>
        <v>731</v>
      </c>
      <c r="AD8" s="83">
        <f t="shared" ref="AD8:AD33" si="39">AC8-AC7</f>
        <v>0</v>
      </c>
      <c r="AE8" s="5">
        <f t="shared" si="24"/>
        <v>230.2</v>
      </c>
      <c r="AF8" s="83">
        <f t="shared" si="25"/>
        <v>0</v>
      </c>
      <c r="AG8" s="5">
        <f t="shared" si="26"/>
        <v>2210.36</v>
      </c>
      <c r="AH8" s="83">
        <f t="shared" si="27"/>
        <v>0</v>
      </c>
      <c r="AI8" s="83">
        <f t="shared" si="28"/>
        <v>0</v>
      </c>
      <c r="AJ8" s="322">
        <f t="shared" si="29"/>
        <v>0</v>
      </c>
      <c r="AK8" s="323">
        <f t="shared" ref="AK8:AK33" si="40">SUM(Y8-L8)</f>
        <v>0</v>
      </c>
      <c r="AL8" s="323">
        <f t="shared" si="30"/>
        <v>0</v>
      </c>
      <c r="AM8" s="323">
        <f>'General information '!D8</f>
        <v>0</v>
      </c>
      <c r="AN8" s="84">
        <f>'General information '!H8</f>
        <v>0</v>
      </c>
      <c r="AO8" s="84"/>
      <c r="AP8" s="84">
        <f>'General information '!J8</f>
        <v>0</v>
      </c>
      <c r="AQ8" s="81"/>
      <c r="AR8" s="274">
        <f t="shared" si="31"/>
        <v>44380</v>
      </c>
      <c r="AS8" s="420">
        <f t="shared" si="4"/>
        <v>0.9</v>
      </c>
      <c r="AT8" s="201">
        <f t="shared" si="4"/>
        <v>193</v>
      </c>
      <c r="AU8" s="421">
        <v>1.1000000000000001</v>
      </c>
      <c r="AV8" s="201">
        <f t="shared" si="32"/>
        <v>70</v>
      </c>
      <c r="AW8" s="5">
        <v>2.9</v>
      </c>
      <c r="AX8" s="201">
        <f t="shared" si="33"/>
        <v>102</v>
      </c>
      <c r="AY8" s="422">
        <f t="shared" si="5"/>
        <v>173.70000000000002</v>
      </c>
      <c r="AZ8" s="422">
        <f t="shared" si="34"/>
        <v>77</v>
      </c>
      <c r="BA8" s="422">
        <f t="shared" si="35"/>
        <v>295.8</v>
      </c>
      <c r="BB8" s="21">
        <f t="shared" si="36"/>
        <v>0</v>
      </c>
      <c r="BC8" s="21">
        <f t="shared" si="37"/>
        <v>0</v>
      </c>
      <c r="BD8" s="21">
        <f t="shared" si="37"/>
        <v>0</v>
      </c>
      <c r="BE8" s="24">
        <f t="shared" si="38"/>
        <v>0</v>
      </c>
      <c r="BF8" s="96">
        <f t="shared" si="6"/>
        <v>0</v>
      </c>
      <c r="BG8" s="82">
        <f t="shared" si="7"/>
        <v>0</v>
      </c>
      <c r="BI8" s="86"/>
      <c r="BJ8" s="17"/>
      <c r="BK8" s="17"/>
    </row>
    <row r="9" spans="1:65" ht="15.75" thickBot="1">
      <c r="A9" s="6">
        <f>ELEC!C7</f>
        <v>44381</v>
      </c>
      <c r="B9" s="5">
        <f t="shared" si="8"/>
        <v>109443</v>
      </c>
      <c r="C9" s="5">
        <f t="shared" si="9"/>
        <v>0</v>
      </c>
      <c r="D9" s="415">
        <f t="shared" si="10"/>
        <v>0</v>
      </c>
      <c r="E9" s="329">
        <f>SUM((C9*$E$4)+(7500/'EDl log'!$A$37))</f>
        <v>241.93548387096774</v>
      </c>
      <c r="F9" s="414"/>
      <c r="G9" s="5">
        <f t="shared" si="11"/>
        <v>622322</v>
      </c>
      <c r="H9" s="5">
        <f t="shared" si="12"/>
        <v>0</v>
      </c>
      <c r="I9" s="5">
        <f t="shared" si="13"/>
        <v>0</v>
      </c>
      <c r="J9" s="330">
        <f t="shared" si="0"/>
        <v>0</v>
      </c>
      <c r="K9" s="5">
        <f>'Swimming Pool quality check '!H9</f>
        <v>6796</v>
      </c>
      <c r="L9" s="83">
        <f t="shared" ref="L9:L33" si="41">K9-K8</f>
        <v>0</v>
      </c>
      <c r="M9" s="406">
        <f t="shared" si="14"/>
        <v>457.44</v>
      </c>
      <c r="N9" s="504">
        <f t="shared" si="1"/>
        <v>0</v>
      </c>
      <c r="O9" s="406">
        <f t="shared" si="15"/>
        <v>529.52</v>
      </c>
      <c r="P9" s="504">
        <f t="shared" si="2"/>
        <v>0</v>
      </c>
      <c r="Q9" s="505">
        <f>P9+N9</f>
        <v>0</v>
      </c>
      <c r="R9" s="504"/>
      <c r="S9" s="504"/>
      <c r="T9" s="5">
        <v>5174</v>
      </c>
      <c r="U9" s="5">
        <f t="shared" si="3"/>
        <v>2</v>
      </c>
      <c r="V9" s="5">
        <f t="shared" si="17"/>
        <v>475</v>
      </c>
      <c r="W9" s="320">
        <f t="shared" si="18"/>
        <v>0</v>
      </c>
      <c r="X9" s="5">
        <v>152849</v>
      </c>
      <c r="Y9" s="320">
        <f t="shared" ref="Y9:Y33" si="42">SUM(X9-X8)</f>
        <v>19</v>
      </c>
      <c r="Z9" s="5">
        <f t="shared" si="20"/>
        <v>98991</v>
      </c>
      <c r="AA9" s="83">
        <f t="shared" si="21"/>
        <v>0</v>
      </c>
      <c r="AB9" s="5">
        <f t="shared" si="22"/>
        <v>261</v>
      </c>
      <c r="AC9" s="5">
        <f t="shared" si="23"/>
        <v>731</v>
      </c>
      <c r="AD9" s="83">
        <f t="shared" si="39"/>
        <v>0</v>
      </c>
      <c r="AE9" s="5">
        <f t="shared" si="24"/>
        <v>230.2</v>
      </c>
      <c r="AF9" s="83">
        <f t="shared" si="25"/>
        <v>0</v>
      </c>
      <c r="AG9" s="5">
        <f t="shared" si="26"/>
        <v>2210.36</v>
      </c>
      <c r="AH9" s="83">
        <f t="shared" si="27"/>
        <v>0</v>
      </c>
      <c r="AI9" s="83">
        <f t="shared" si="28"/>
        <v>0</v>
      </c>
      <c r="AJ9" s="322">
        <f t="shared" si="29"/>
        <v>0</v>
      </c>
      <c r="AK9" s="323">
        <f t="shared" si="40"/>
        <v>19</v>
      </c>
      <c r="AL9" s="323">
        <f t="shared" si="30"/>
        <v>0</v>
      </c>
      <c r="AM9" s="323">
        <f>'General information '!D9</f>
        <v>0</v>
      </c>
      <c r="AN9" s="84">
        <f>'General information '!H9</f>
        <v>0</v>
      </c>
      <c r="AO9" s="84"/>
      <c r="AP9" s="84">
        <f>'General information '!J9</f>
        <v>0</v>
      </c>
      <c r="AQ9" s="81"/>
      <c r="AR9" s="274">
        <f t="shared" si="31"/>
        <v>44381</v>
      </c>
      <c r="AS9" s="420">
        <f t="shared" si="4"/>
        <v>0.9</v>
      </c>
      <c r="AT9" s="201">
        <v>183</v>
      </c>
      <c r="AU9" s="421">
        <f t="shared" ref="AU9:AU33" si="43">AU8</f>
        <v>1.1000000000000001</v>
      </c>
      <c r="AV9" s="201">
        <v>66</v>
      </c>
      <c r="AW9" s="5">
        <v>2.9</v>
      </c>
      <c r="AX9" s="201">
        <v>74</v>
      </c>
      <c r="AY9" s="422">
        <f t="shared" si="5"/>
        <v>164.70000000000002</v>
      </c>
      <c r="AZ9" s="422">
        <f t="shared" si="34"/>
        <v>72.600000000000009</v>
      </c>
      <c r="BA9" s="422">
        <f t="shared" si="35"/>
        <v>214.6</v>
      </c>
      <c r="BB9" s="21">
        <f t="shared" si="36"/>
        <v>-9</v>
      </c>
      <c r="BC9" s="21">
        <f t="shared" si="37"/>
        <v>-4.3999999999999915</v>
      </c>
      <c r="BD9" s="21">
        <f t="shared" si="37"/>
        <v>-81.200000000000017</v>
      </c>
      <c r="BE9" s="24">
        <f t="shared" si="38"/>
        <v>-94.600000000000009</v>
      </c>
      <c r="BF9" s="341">
        <f t="shared" si="6"/>
        <v>94.600000000000009</v>
      </c>
      <c r="BG9" s="82">
        <f t="shared" si="7"/>
        <v>-94.600000000000009</v>
      </c>
    </row>
    <row r="10" spans="1:65" ht="15.75" thickBot="1">
      <c r="A10" s="6">
        <f>ELEC!C8</f>
        <v>44382</v>
      </c>
      <c r="B10" s="5">
        <f t="shared" si="8"/>
        <v>109443</v>
      </c>
      <c r="C10" s="5">
        <f t="shared" si="9"/>
        <v>0</v>
      </c>
      <c r="D10" s="415">
        <f t="shared" si="10"/>
        <v>0</v>
      </c>
      <c r="E10" s="329">
        <f>SUM((C10*$E$4)+(7500/'EDl log'!$A$37))</f>
        <v>241.93548387096774</v>
      </c>
      <c r="F10" s="414"/>
      <c r="G10" s="5">
        <f t="shared" si="11"/>
        <v>622322</v>
      </c>
      <c r="H10" s="5">
        <f t="shared" si="12"/>
        <v>0</v>
      </c>
      <c r="I10" s="5">
        <f t="shared" si="13"/>
        <v>0</v>
      </c>
      <c r="J10" s="330">
        <f t="shared" si="0"/>
        <v>0</v>
      </c>
      <c r="K10" s="5">
        <f>'Swimming Pool quality check '!H10</f>
        <v>6799</v>
      </c>
      <c r="L10" s="83">
        <f>K10-K9</f>
        <v>3</v>
      </c>
      <c r="M10" s="406">
        <f t="shared" si="14"/>
        <v>457.44</v>
      </c>
      <c r="N10" s="504">
        <f t="shared" si="1"/>
        <v>0</v>
      </c>
      <c r="O10" s="406">
        <f t="shared" si="15"/>
        <v>529.52</v>
      </c>
      <c r="P10" s="504">
        <f t="shared" si="2"/>
        <v>0</v>
      </c>
      <c r="Q10" s="505">
        <f>P10+N10</f>
        <v>0</v>
      </c>
      <c r="R10" s="504"/>
      <c r="S10" s="504"/>
      <c r="T10" s="5">
        <v>5174</v>
      </c>
      <c r="U10" s="5">
        <f t="shared" si="3"/>
        <v>0</v>
      </c>
      <c r="V10" s="5">
        <f t="shared" si="17"/>
        <v>475</v>
      </c>
      <c r="W10" s="320">
        <f t="shared" si="18"/>
        <v>0</v>
      </c>
      <c r="X10" s="5">
        <f t="shared" si="19"/>
        <v>152849</v>
      </c>
      <c r="Y10" s="320">
        <f t="shared" si="42"/>
        <v>0</v>
      </c>
      <c r="Z10" s="5">
        <v>99129</v>
      </c>
      <c r="AA10" s="83">
        <f t="shared" si="21"/>
        <v>138</v>
      </c>
      <c r="AB10" s="5">
        <f t="shared" si="22"/>
        <v>261</v>
      </c>
      <c r="AC10" s="5">
        <f t="shared" si="23"/>
        <v>731</v>
      </c>
      <c r="AD10" s="83">
        <f t="shared" si="39"/>
        <v>0</v>
      </c>
      <c r="AE10" s="5">
        <v>230.66</v>
      </c>
      <c r="AF10" s="83">
        <f t="shared" si="25"/>
        <v>0.46000000000000796</v>
      </c>
      <c r="AG10" s="5">
        <v>2210.4</v>
      </c>
      <c r="AH10" s="83">
        <f t="shared" si="27"/>
        <v>3.999999999996362E-2</v>
      </c>
      <c r="AI10" s="83">
        <f t="shared" si="28"/>
        <v>0.49999999999997158</v>
      </c>
      <c r="AJ10" s="322">
        <f t="shared" si="29"/>
        <v>138</v>
      </c>
      <c r="AK10" s="323">
        <f t="shared" si="40"/>
        <v>-3</v>
      </c>
      <c r="AL10" s="323">
        <f t="shared" si="30"/>
        <v>138</v>
      </c>
      <c r="AM10" s="323">
        <f>'General information '!D10</f>
        <v>28.5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4">
        <f t="shared" si="31"/>
        <v>44382</v>
      </c>
      <c r="AS10" s="420">
        <f t="shared" si="4"/>
        <v>0.9</v>
      </c>
      <c r="AT10" s="201">
        <v>43</v>
      </c>
      <c r="AU10" s="421">
        <f t="shared" si="43"/>
        <v>1.1000000000000001</v>
      </c>
      <c r="AV10" s="201">
        <v>163</v>
      </c>
      <c r="AW10" s="5">
        <v>2.9</v>
      </c>
      <c r="AX10" s="201">
        <v>92</v>
      </c>
      <c r="AY10" s="422">
        <f t="shared" si="5"/>
        <v>38.700000000000003</v>
      </c>
      <c r="AZ10" s="422">
        <f t="shared" si="34"/>
        <v>179.3</v>
      </c>
      <c r="BA10" s="422">
        <f t="shared" si="35"/>
        <v>266.8</v>
      </c>
      <c r="BB10" s="21">
        <f t="shared" si="36"/>
        <v>-126.00000000000001</v>
      </c>
      <c r="BC10" s="21">
        <f t="shared" si="37"/>
        <v>106.7</v>
      </c>
      <c r="BD10" s="21">
        <f t="shared" si="37"/>
        <v>52.200000000000017</v>
      </c>
      <c r="BE10" s="24">
        <f t="shared" si="38"/>
        <v>32.900000000000006</v>
      </c>
      <c r="BF10" s="96">
        <f t="shared" si="6"/>
        <v>-32.900000000000006</v>
      </c>
      <c r="BG10" s="82">
        <f t="shared" si="7"/>
        <v>32.900000000000006</v>
      </c>
    </row>
    <row r="11" spans="1:65" ht="15.75" thickBot="1">
      <c r="A11" s="6">
        <f>ELEC!C9</f>
        <v>44383</v>
      </c>
      <c r="B11" s="5">
        <f t="shared" si="8"/>
        <v>109443</v>
      </c>
      <c r="C11" s="5">
        <f t="shared" si="9"/>
        <v>0</v>
      </c>
      <c r="D11" s="415">
        <f t="shared" si="10"/>
        <v>0</v>
      </c>
      <c r="E11" s="329">
        <f>SUM((C11*$E$4)+(7500/'EDl log'!$A$37))</f>
        <v>241.93548387096774</v>
      </c>
      <c r="F11" s="414"/>
      <c r="G11" s="5">
        <v>622501</v>
      </c>
      <c r="H11" s="5">
        <f t="shared" si="12"/>
        <v>179</v>
      </c>
      <c r="I11" s="5">
        <f t="shared" si="13"/>
        <v>179</v>
      </c>
      <c r="J11" s="330">
        <f t="shared" si="0"/>
        <v>1.3515948819607138</v>
      </c>
      <c r="K11" s="5">
        <f>'Swimming Pool quality check '!H11</f>
        <v>6802</v>
      </c>
      <c r="L11" s="83">
        <f t="shared" si="41"/>
        <v>3</v>
      </c>
      <c r="M11" s="406">
        <f t="shared" si="14"/>
        <v>457.44</v>
      </c>
      <c r="N11" s="504">
        <f t="shared" si="1"/>
        <v>0</v>
      </c>
      <c r="O11" s="406">
        <f t="shared" si="15"/>
        <v>529.52</v>
      </c>
      <c r="P11" s="504">
        <f t="shared" si="2"/>
        <v>0</v>
      </c>
      <c r="Q11" s="504">
        <f>SUM(P11+N11)</f>
        <v>0</v>
      </c>
      <c r="R11" s="504"/>
      <c r="S11" s="504"/>
      <c r="T11" s="5">
        <f t="shared" si="16"/>
        <v>5174</v>
      </c>
      <c r="U11" s="5">
        <f t="shared" si="3"/>
        <v>0</v>
      </c>
      <c r="V11" s="5">
        <f t="shared" si="17"/>
        <v>475</v>
      </c>
      <c r="W11" s="320">
        <f t="shared" si="18"/>
        <v>0</v>
      </c>
      <c r="X11" s="5">
        <v>152908</v>
      </c>
      <c r="Y11" s="320">
        <f t="shared" si="42"/>
        <v>59</v>
      </c>
      <c r="Z11" s="5">
        <f t="shared" si="20"/>
        <v>99129</v>
      </c>
      <c r="AA11" s="83">
        <f t="shared" si="21"/>
        <v>0</v>
      </c>
      <c r="AB11" s="5">
        <f t="shared" si="22"/>
        <v>261</v>
      </c>
      <c r="AC11" s="5">
        <f t="shared" si="23"/>
        <v>731</v>
      </c>
      <c r="AD11" s="83">
        <f t="shared" si="39"/>
        <v>0</v>
      </c>
      <c r="AE11" s="5">
        <f t="shared" si="24"/>
        <v>230.66</v>
      </c>
      <c r="AF11" s="83">
        <f t="shared" si="25"/>
        <v>0</v>
      </c>
      <c r="AG11" s="5">
        <f t="shared" si="26"/>
        <v>2210.4</v>
      </c>
      <c r="AH11" s="83">
        <f t="shared" si="27"/>
        <v>0</v>
      </c>
      <c r="AI11" s="83">
        <f t="shared" si="28"/>
        <v>0</v>
      </c>
      <c r="AJ11" s="322">
        <f t="shared" si="29"/>
        <v>0</v>
      </c>
      <c r="AK11" s="323">
        <f t="shared" si="40"/>
        <v>56</v>
      </c>
      <c r="AL11" s="323">
        <f t="shared" si="30"/>
        <v>0</v>
      </c>
      <c r="AM11" s="323">
        <f>'General information '!D11</f>
        <v>28.5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4">
        <f t="shared" si="31"/>
        <v>44383</v>
      </c>
      <c r="AS11" s="420">
        <f t="shared" si="4"/>
        <v>0.9</v>
      </c>
      <c r="AT11" s="201">
        <v>93</v>
      </c>
      <c r="AU11" s="421">
        <f t="shared" si="43"/>
        <v>1.1000000000000001</v>
      </c>
      <c r="AV11" s="201">
        <v>160</v>
      </c>
      <c r="AW11" s="5">
        <v>2.9</v>
      </c>
      <c r="AX11" s="201">
        <v>99</v>
      </c>
      <c r="AY11" s="422">
        <f t="shared" si="5"/>
        <v>83.7</v>
      </c>
      <c r="AZ11" s="422">
        <f t="shared" si="34"/>
        <v>176</v>
      </c>
      <c r="BA11" s="422">
        <f t="shared" si="35"/>
        <v>287.09999999999997</v>
      </c>
      <c r="BB11" s="21">
        <f t="shared" si="36"/>
        <v>45</v>
      </c>
      <c r="BC11" s="21">
        <f t="shared" si="37"/>
        <v>-3.3000000000000114</v>
      </c>
      <c r="BD11" s="21">
        <f t="shared" si="37"/>
        <v>20.299999999999955</v>
      </c>
      <c r="BE11" s="24">
        <f t="shared" si="38"/>
        <v>61.999999999999943</v>
      </c>
      <c r="BF11" s="96">
        <f t="shared" si="6"/>
        <v>117.00000000000006</v>
      </c>
      <c r="BG11" s="82">
        <f t="shared" si="7"/>
        <v>61.999999999999943</v>
      </c>
    </row>
    <row r="12" spans="1:65" ht="15.75" thickBot="1">
      <c r="A12" s="6">
        <f>ELEC!C10</f>
        <v>44384</v>
      </c>
      <c r="B12" s="5">
        <f t="shared" si="8"/>
        <v>109443</v>
      </c>
      <c r="C12" s="5">
        <f>B12-B11</f>
        <v>0</v>
      </c>
      <c r="D12" s="415">
        <f t="shared" si="10"/>
        <v>0</v>
      </c>
      <c r="E12" s="329">
        <f>SUM((C12*$E$4)+(7500/'EDl log'!$A$37))</f>
        <v>241.93548387096774</v>
      </c>
      <c r="F12" s="414"/>
      <c r="G12" s="5">
        <f t="shared" si="11"/>
        <v>622501</v>
      </c>
      <c r="H12" s="5">
        <f t="shared" si="12"/>
        <v>0</v>
      </c>
      <c r="I12" s="5">
        <f t="shared" si="13"/>
        <v>0</v>
      </c>
      <c r="J12" s="330">
        <f t="shared" si="0"/>
        <v>0</v>
      </c>
      <c r="K12" s="5">
        <f>'Swimming Pool quality check '!H12</f>
        <v>6802</v>
      </c>
      <c r="L12" s="83">
        <f t="shared" si="41"/>
        <v>0</v>
      </c>
      <c r="M12" s="406">
        <f t="shared" si="14"/>
        <v>457.44</v>
      </c>
      <c r="N12" s="504">
        <f t="shared" si="1"/>
        <v>0</v>
      </c>
      <c r="O12" s="406">
        <f t="shared" si="15"/>
        <v>529.52</v>
      </c>
      <c r="P12" s="504">
        <f t="shared" si="2"/>
        <v>0</v>
      </c>
      <c r="Q12" s="504">
        <f>SUM(P12+N12)</f>
        <v>0</v>
      </c>
      <c r="R12" s="504"/>
      <c r="S12" s="504"/>
      <c r="T12" s="5">
        <f t="shared" si="16"/>
        <v>5174</v>
      </c>
      <c r="U12" s="5">
        <f t="shared" si="3"/>
        <v>0</v>
      </c>
      <c r="V12" s="5">
        <f t="shared" si="17"/>
        <v>475</v>
      </c>
      <c r="W12" s="320">
        <f t="shared" si="18"/>
        <v>0</v>
      </c>
      <c r="X12" s="5">
        <f t="shared" si="19"/>
        <v>152908</v>
      </c>
      <c r="Y12" s="320">
        <f t="shared" si="42"/>
        <v>0</v>
      </c>
      <c r="Z12" s="5">
        <f t="shared" si="20"/>
        <v>99129</v>
      </c>
      <c r="AA12" s="83">
        <f t="shared" si="21"/>
        <v>0</v>
      </c>
      <c r="AB12" s="5">
        <f t="shared" si="22"/>
        <v>261</v>
      </c>
      <c r="AC12" s="5">
        <f t="shared" si="23"/>
        <v>731</v>
      </c>
      <c r="AD12" s="83">
        <f t="shared" si="39"/>
        <v>0</v>
      </c>
      <c r="AE12" s="5">
        <f t="shared" si="24"/>
        <v>230.66</v>
      </c>
      <c r="AF12" s="83">
        <f t="shared" si="25"/>
        <v>0</v>
      </c>
      <c r="AG12" s="5">
        <f t="shared" si="26"/>
        <v>2210.4</v>
      </c>
      <c r="AH12" s="83">
        <f t="shared" si="27"/>
        <v>0</v>
      </c>
      <c r="AI12" s="83">
        <f t="shared" si="28"/>
        <v>0</v>
      </c>
      <c r="AJ12" s="322">
        <f t="shared" si="29"/>
        <v>0</v>
      </c>
      <c r="AK12" s="323">
        <f t="shared" si="40"/>
        <v>0</v>
      </c>
      <c r="AL12" s="323">
        <f t="shared" si="30"/>
        <v>0</v>
      </c>
      <c r="AM12" s="323">
        <f>'General information '!D12</f>
        <v>27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4">
        <f t="shared" si="31"/>
        <v>44384</v>
      </c>
      <c r="AS12" s="420">
        <f t="shared" si="4"/>
        <v>0.9</v>
      </c>
      <c r="AT12" s="201">
        <f t="shared" si="4"/>
        <v>93</v>
      </c>
      <c r="AU12" s="421">
        <f t="shared" si="43"/>
        <v>1.1000000000000001</v>
      </c>
      <c r="AV12" s="201">
        <v>162</v>
      </c>
      <c r="AW12" s="5">
        <v>2.9</v>
      </c>
      <c r="AX12" s="201">
        <v>93</v>
      </c>
      <c r="AY12" s="422">
        <f t="shared" si="5"/>
        <v>83.7</v>
      </c>
      <c r="AZ12" s="422">
        <f t="shared" si="34"/>
        <v>178.20000000000002</v>
      </c>
      <c r="BA12" s="422">
        <f t="shared" si="35"/>
        <v>269.7</v>
      </c>
      <c r="BB12" s="21">
        <f t="shared" si="36"/>
        <v>0</v>
      </c>
      <c r="BC12" s="21">
        <f t="shared" si="37"/>
        <v>2.2000000000000171</v>
      </c>
      <c r="BD12" s="21">
        <f t="shared" si="37"/>
        <v>-17.399999999999977</v>
      </c>
      <c r="BE12" s="24">
        <f t="shared" si="38"/>
        <v>-15.19999999999996</v>
      </c>
      <c r="BF12" s="96">
        <f t="shared" si="6"/>
        <v>15.19999999999996</v>
      </c>
      <c r="BG12" s="82">
        <f t="shared" si="7"/>
        <v>-15.19999999999996</v>
      </c>
    </row>
    <row r="13" spans="1:65" ht="15.75" thickBot="1">
      <c r="A13" s="6">
        <f>ELEC!C11</f>
        <v>44385</v>
      </c>
      <c r="B13" s="5">
        <f t="shared" si="8"/>
        <v>109443</v>
      </c>
      <c r="C13" s="5">
        <f t="shared" si="9"/>
        <v>0</v>
      </c>
      <c r="D13" s="415">
        <f t="shared" si="10"/>
        <v>0</v>
      </c>
      <c r="E13" s="329">
        <f>SUM((C13*$E$4)+(7500/'EDl log'!$A$37))</f>
        <v>241.93548387096774</v>
      </c>
      <c r="F13" s="414"/>
      <c r="G13" s="5">
        <f t="shared" si="11"/>
        <v>622501</v>
      </c>
      <c r="H13" s="5">
        <f t="shared" si="12"/>
        <v>0</v>
      </c>
      <c r="I13" s="5">
        <f t="shared" si="13"/>
        <v>0</v>
      </c>
      <c r="J13" s="330">
        <f t="shared" si="0"/>
        <v>0</v>
      </c>
      <c r="K13" s="5">
        <f>'Swimming Pool quality check '!H13</f>
        <v>6802</v>
      </c>
      <c r="L13" s="83">
        <f t="shared" si="41"/>
        <v>0</v>
      </c>
      <c r="M13" s="406">
        <f t="shared" si="14"/>
        <v>457.44</v>
      </c>
      <c r="N13" s="504">
        <f t="shared" si="1"/>
        <v>0</v>
      </c>
      <c r="O13" s="406">
        <f t="shared" si="15"/>
        <v>529.52</v>
      </c>
      <c r="P13" s="504">
        <f t="shared" si="2"/>
        <v>0</v>
      </c>
      <c r="Q13" s="504">
        <f>SUM(P13+N13)</f>
        <v>0</v>
      </c>
      <c r="R13" s="504"/>
      <c r="S13" s="504"/>
      <c r="T13" s="5">
        <f t="shared" si="16"/>
        <v>5174</v>
      </c>
      <c r="U13" s="5">
        <f t="shared" si="3"/>
        <v>0</v>
      </c>
      <c r="V13" s="5">
        <f t="shared" si="17"/>
        <v>475</v>
      </c>
      <c r="W13" s="320">
        <f t="shared" si="18"/>
        <v>0</v>
      </c>
      <c r="X13" s="5">
        <f t="shared" si="19"/>
        <v>152908</v>
      </c>
      <c r="Y13" s="320">
        <f t="shared" si="42"/>
        <v>0</v>
      </c>
      <c r="Z13" s="5">
        <f t="shared" si="20"/>
        <v>99129</v>
      </c>
      <c r="AA13" s="83">
        <f t="shared" si="21"/>
        <v>0</v>
      </c>
      <c r="AB13" s="5">
        <f t="shared" si="22"/>
        <v>261</v>
      </c>
      <c r="AC13" s="5">
        <f t="shared" si="23"/>
        <v>731</v>
      </c>
      <c r="AD13" s="83">
        <f t="shared" si="39"/>
        <v>0</v>
      </c>
      <c r="AE13" s="5">
        <f t="shared" si="24"/>
        <v>230.66</v>
      </c>
      <c r="AF13" s="83">
        <f t="shared" si="25"/>
        <v>0</v>
      </c>
      <c r="AG13" s="5">
        <f t="shared" si="26"/>
        <v>2210.4</v>
      </c>
      <c r="AH13" s="83">
        <f t="shared" si="27"/>
        <v>0</v>
      </c>
      <c r="AI13" s="83">
        <f t="shared" si="28"/>
        <v>0</v>
      </c>
      <c r="AJ13" s="322">
        <f t="shared" si="29"/>
        <v>0</v>
      </c>
      <c r="AK13" s="323">
        <f t="shared" si="40"/>
        <v>0</v>
      </c>
      <c r="AL13" s="323">
        <f t="shared" si="30"/>
        <v>0</v>
      </c>
      <c r="AM13" s="323">
        <f>'General information '!D13</f>
        <v>0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4">
        <f t="shared" si="31"/>
        <v>44385</v>
      </c>
      <c r="AS13" s="420">
        <f t="shared" si="4"/>
        <v>0.9</v>
      </c>
      <c r="AT13" s="201">
        <f t="shared" si="4"/>
        <v>93</v>
      </c>
      <c r="AU13" s="421">
        <f t="shared" si="43"/>
        <v>1.1000000000000001</v>
      </c>
      <c r="AV13" s="201">
        <f t="shared" si="32"/>
        <v>162</v>
      </c>
      <c r="AW13" s="5">
        <v>2.9</v>
      </c>
      <c r="AX13" s="201">
        <f t="shared" si="33"/>
        <v>93</v>
      </c>
      <c r="AY13" s="422">
        <f t="shared" si="5"/>
        <v>83.7</v>
      </c>
      <c r="AZ13" s="422">
        <f t="shared" si="34"/>
        <v>178.20000000000002</v>
      </c>
      <c r="BA13" s="422">
        <f t="shared" si="35"/>
        <v>269.7</v>
      </c>
      <c r="BB13" s="21">
        <f t="shared" si="36"/>
        <v>0</v>
      </c>
      <c r="BC13" s="21">
        <f t="shared" si="37"/>
        <v>0</v>
      </c>
      <c r="BD13" s="21">
        <f t="shared" si="37"/>
        <v>0</v>
      </c>
      <c r="BE13" s="24">
        <f t="shared" si="38"/>
        <v>0</v>
      </c>
      <c r="BF13" s="96">
        <f t="shared" si="6"/>
        <v>0</v>
      </c>
      <c r="BG13" s="82">
        <f t="shared" si="7"/>
        <v>0</v>
      </c>
    </row>
    <row r="14" spans="1:65" ht="15.75" thickBot="1">
      <c r="A14" s="6">
        <f>ELEC!C12</f>
        <v>44386</v>
      </c>
      <c r="B14" s="5">
        <f t="shared" si="8"/>
        <v>109443</v>
      </c>
      <c r="C14" s="5">
        <f t="shared" si="9"/>
        <v>0</v>
      </c>
      <c r="D14" s="415">
        <f t="shared" si="10"/>
        <v>0</v>
      </c>
      <c r="E14" s="329">
        <f>SUM((C14*$E$4)+(7500/'EDl log'!$A$37))</f>
        <v>241.93548387096774</v>
      </c>
      <c r="F14" s="414"/>
      <c r="G14" s="5">
        <f t="shared" si="11"/>
        <v>622501</v>
      </c>
      <c r="H14" s="5">
        <f t="shared" si="12"/>
        <v>0</v>
      </c>
      <c r="I14" s="5">
        <f t="shared" si="13"/>
        <v>0</v>
      </c>
      <c r="J14" s="330">
        <f t="shared" si="0"/>
        <v>0</v>
      </c>
      <c r="K14" s="5">
        <f>'Swimming Pool quality check '!H14</f>
        <v>6802</v>
      </c>
      <c r="L14" s="83">
        <f t="shared" si="41"/>
        <v>0</v>
      </c>
      <c r="M14" s="406">
        <f t="shared" si="14"/>
        <v>457.44</v>
      </c>
      <c r="N14" s="504">
        <f t="shared" ref="N14:N33" si="44">SUM(M14-M13)</f>
        <v>0</v>
      </c>
      <c r="O14" s="406">
        <f t="shared" si="15"/>
        <v>529.52</v>
      </c>
      <c r="P14" s="504">
        <f t="shared" ref="P14:P33" si="45">SUM(O14-O13)</f>
        <v>0</v>
      </c>
      <c r="Q14" s="504">
        <f t="shared" ref="Q14:Q33" si="46">SUM(P14+N14)</f>
        <v>0</v>
      </c>
      <c r="R14" s="504"/>
      <c r="S14" s="504"/>
      <c r="T14" s="5">
        <f t="shared" si="16"/>
        <v>5174</v>
      </c>
      <c r="U14" s="5">
        <f t="shared" si="3"/>
        <v>0</v>
      </c>
      <c r="V14" s="5">
        <f t="shared" si="17"/>
        <v>475</v>
      </c>
      <c r="W14" s="320">
        <f t="shared" si="18"/>
        <v>0</v>
      </c>
      <c r="X14" s="5">
        <f t="shared" si="19"/>
        <v>152908</v>
      </c>
      <c r="Y14" s="320">
        <f t="shared" si="42"/>
        <v>0</v>
      </c>
      <c r="Z14" s="5">
        <f t="shared" si="20"/>
        <v>99129</v>
      </c>
      <c r="AA14" s="83">
        <f t="shared" si="21"/>
        <v>0</v>
      </c>
      <c r="AB14" s="5">
        <f t="shared" si="22"/>
        <v>261</v>
      </c>
      <c r="AC14" s="5">
        <f t="shared" si="23"/>
        <v>731</v>
      </c>
      <c r="AD14" s="83">
        <f t="shared" si="39"/>
        <v>0</v>
      </c>
      <c r="AE14" s="5">
        <f t="shared" si="24"/>
        <v>230.66</v>
      </c>
      <c r="AF14" s="83">
        <f t="shared" si="25"/>
        <v>0</v>
      </c>
      <c r="AG14" s="5">
        <f t="shared" si="26"/>
        <v>2210.4</v>
      </c>
      <c r="AH14" s="83">
        <f t="shared" si="27"/>
        <v>0</v>
      </c>
      <c r="AI14" s="83">
        <f t="shared" si="28"/>
        <v>0</v>
      </c>
      <c r="AJ14" s="322">
        <f t="shared" si="29"/>
        <v>0</v>
      </c>
      <c r="AK14" s="323">
        <f t="shared" si="40"/>
        <v>0</v>
      </c>
      <c r="AL14" s="323">
        <f t="shared" si="30"/>
        <v>0</v>
      </c>
      <c r="AM14" s="323">
        <f>'General information '!D14</f>
        <v>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4">
        <f t="shared" si="31"/>
        <v>44386</v>
      </c>
      <c r="AS14" s="420">
        <f t="shared" si="4"/>
        <v>0.9</v>
      </c>
      <c r="AT14" s="201">
        <f t="shared" si="4"/>
        <v>93</v>
      </c>
      <c r="AU14" s="421">
        <f t="shared" si="43"/>
        <v>1.1000000000000001</v>
      </c>
      <c r="AV14" s="201">
        <f t="shared" si="32"/>
        <v>162</v>
      </c>
      <c r="AW14" s="5">
        <v>2.9</v>
      </c>
      <c r="AX14" s="201">
        <f t="shared" si="33"/>
        <v>93</v>
      </c>
      <c r="AY14" s="422">
        <f t="shared" si="5"/>
        <v>83.7</v>
      </c>
      <c r="AZ14" s="422">
        <f t="shared" si="34"/>
        <v>178.20000000000002</v>
      </c>
      <c r="BA14" s="422">
        <f t="shared" si="35"/>
        <v>269.7</v>
      </c>
      <c r="BB14" s="21">
        <f t="shared" si="36"/>
        <v>0</v>
      </c>
      <c r="BC14" s="21">
        <f t="shared" si="37"/>
        <v>0</v>
      </c>
      <c r="BD14" s="21">
        <f t="shared" si="37"/>
        <v>0</v>
      </c>
      <c r="BE14" s="24">
        <f t="shared" si="38"/>
        <v>0</v>
      </c>
      <c r="BF14" s="96">
        <f t="shared" si="6"/>
        <v>0</v>
      </c>
      <c r="BG14" s="82">
        <f t="shared" si="7"/>
        <v>0</v>
      </c>
    </row>
    <row r="15" spans="1:65" ht="16.5" customHeight="1" thickBot="1">
      <c r="A15" s="6">
        <f>ELEC!C13</f>
        <v>44387</v>
      </c>
      <c r="B15" s="5">
        <f t="shared" si="8"/>
        <v>109443</v>
      </c>
      <c r="C15" s="5">
        <f t="shared" si="9"/>
        <v>0</v>
      </c>
      <c r="D15" s="415">
        <f t="shared" si="10"/>
        <v>0</v>
      </c>
      <c r="E15" s="329">
        <f>SUM((C15*$E$4)+(7500/'EDl log'!$A$37))</f>
        <v>241.93548387096774</v>
      </c>
      <c r="F15" s="414"/>
      <c r="G15" s="5">
        <f t="shared" si="11"/>
        <v>622501</v>
      </c>
      <c r="H15" s="5">
        <f t="shared" si="12"/>
        <v>0</v>
      </c>
      <c r="I15" s="5">
        <f t="shared" si="13"/>
        <v>0</v>
      </c>
      <c r="J15" s="330">
        <f t="shared" si="0"/>
        <v>0</v>
      </c>
      <c r="K15" s="5">
        <f>'Swimming Pool quality check '!H15</f>
        <v>6802</v>
      </c>
      <c r="L15" s="83">
        <f t="shared" si="41"/>
        <v>0</v>
      </c>
      <c r="M15" s="406">
        <f t="shared" si="14"/>
        <v>457.44</v>
      </c>
      <c r="N15" s="504">
        <f t="shared" si="44"/>
        <v>0</v>
      </c>
      <c r="O15" s="406">
        <f t="shared" si="15"/>
        <v>529.52</v>
      </c>
      <c r="P15" s="504">
        <f t="shared" si="45"/>
        <v>0</v>
      </c>
      <c r="Q15" s="504">
        <f t="shared" si="46"/>
        <v>0</v>
      </c>
      <c r="R15" s="504"/>
      <c r="S15" s="504"/>
      <c r="T15" s="5">
        <f t="shared" si="16"/>
        <v>5174</v>
      </c>
      <c r="U15" s="5">
        <f t="shared" si="3"/>
        <v>0</v>
      </c>
      <c r="V15" s="5">
        <f t="shared" si="17"/>
        <v>475</v>
      </c>
      <c r="W15" s="320">
        <f t="shared" si="18"/>
        <v>0</v>
      </c>
      <c r="X15" s="5">
        <f t="shared" si="19"/>
        <v>152908</v>
      </c>
      <c r="Y15" s="320">
        <f t="shared" si="42"/>
        <v>0</v>
      </c>
      <c r="Z15" s="5">
        <f t="shared" si="20"/>
        <v>99129</v>
      </c>
      <c r="AA15" s="83">
        <f t="shared" si="21"/>
        <v>0</v>
      </c>
      <c r="AB15" s="5">
        <f t="shared" si="22"/>
        <v>261</v>
      </c>
      <c r="AC15" s="5">
        <f t="shared" si="23"/>
        <v>731</v>
      </c>
      <c r="AD15" s="83">
        <f t="shared" si="39"/>
        <v>0</v>
      </c>
      <c r="AE15" s="5">
        <f t="shared" si="24"/>
        <v>230.66</v>
      </c>
      <c r="AF15" s="83">
        <f t="shared" si="25"/>
        <v>0</v>
      </c>
      <c r="AG15" s="5">
        <f t="shared" si="26"/>
        <v>2210.4</v>
      </c>
      <c r="AH15" s="83">
        <f t="shared" si="27"/>
        <v>0</v>
      </c>
      <c r="AI15" s="83">
        <f t="shared" si="28"/>
        <v>0</v>
      </c>
      <c r="AJ15" s="322">
        <f t="shared" si="29"/>
        <v>0</v>
      </c>
      <c r="AK15" s="323">
        <f t="shared" si="40"/>
        <v>0</v>
      </c>
      <c r="AL15" s="323">
        <f t="shared" si="30"/>
        <v>0</v>
      </c>
      <c r="AM15" s="323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4">
        <f t="shared" si="31"/>
        <v>44387</v>
      </c>
      <c r="AS15" s="420">
        <f t="shared" si="4"/>
        <v>0.9</v>
      </c>
      <c r="AT15" s="201">
        <f t="shared" si="4"/>
        <v>93</v>
      </c>
      <c r="AU15" s="421">
        <f t="shared" si="43"/>
        <v>1.1000000000000001</v>
      </c>
      <c r="AV15" s="201">
        <f t="shared" si="32"/>
        <v>162</v>
      </c>
      <c r="AW15" s="5">
        <v>2.9</v>
      </c>
      <c r="AX15" s="201">
        <f t="shared" si="33"/>
        <v>93</v>
      </c>
      <c r="AY15" s="422">
        <f t="shared" si="5"/>
        <v>83.7</v>
      </c>
      <c r="AZ15" s="422">
        <f t="shared" si="34"/>
        <v>178.20000000000002</v>
      </c>
      <c r="BA15" s="422">
        <f t="shared" si="35"/>
        <v>269.7</v>
      </c>
      <c r="BB15" s="21">
        <f t="shared" si="36"/>
        <v>0</v>
      </c>
      <c r="BC15" s="21">
        <f t="shared" si="37"/>
        <v>0</v>
      </c>
      <c r="BD15" s="21">
        <f t="shared" si="37"/>
        <v>0</v>
      </c>
      <c r="BE15" s="24">
        <f t="shared" si="38"/>
        <v>0</v>
      </c>
      <c r="BF15" s="96">
        <f t="shared" si="6"/>
        <v>0</v>
      </c>
      <c r="BG15" s="82">
        <f t="shared" si="7"/>
        <v>0</v>
      </c>
    </row>
    <row r="16" spans="1:65" ht="15.75" thickBot="1">
      <c r="A16" s="6">
        <f>ELEC!C14</f>
        <v>44388</v>
      </c>
      <c r="B16" s="5">
        <f t="shared" si="8"/>
        <v>109443</v>
      </c>
      <c r="C16" s="5">
        <f t="shared" si="9"/>
        <v>0</v>
      </c>
      <c r="D16" s="415">
        <f t="shared" si="10"/>
        <v>0</v>
      </c>
      <c r="E16" s="329">
        <f>SUM((C16*$E$4)+(7500/'EDl log'!$A$37))</f>
        <v>241.93548387096774</v>
      </c>
      <c r="F16" s="414"/>
      <c r="G16" s="5">
        <f t="shared" si="11"/>
        <v>622501</v>
      </c>
      <c r="H16" s="5">
        <f t="shared" si="12"/>
        <v>0</v>
      </c>
      <c r="I16" s="5">
        <f t="shared" si="13"/>
        <v>0</v>
      </c>
      <c r="J16" s="330">
        <f t="shared" si="0"/>
        <v>0</v>
      </c>
      <c r="K16" s="5">
        <f>'Swimming Pool quality check '!H16</f>
        <v>6802</v>
      </c>
      <c r="L16" s="271">
        <f t="shared" si="41"/>
        <v>0</v>
      </c>
      <c r="M16" s="406">
        <f t="shared" si="14"/>
        <v>457.44</v>
      </c>
      <c r="N16" s="504">
        <f t="shared" si="44"/>
        <v>0</v>
      </c>
      <c r="O16" s="406">
        <f t="shared" si="15"/>
        <v>529.52</v>
      </c>
      <c r="P16" s="504">
        <f t="shared" si="45"/>
        <v>0</v>
      </c>
      <c r="Q16" s="504">
        <f t="shared" si="46"/>
        <v>0</v>
      </c>
      <c r="R16" s="506"/>
      <c r="S16" s="506"/>
      <c r="T16" s="5">
        <f t="shared" si="16"/>
        <v>5174</v>
      </c>
      <c r="U16" s="5">
        <f t="shared" si="3"/>
        <v>0</v>
      </c>
      <c r="V16" s="5">
        <f t="shared" si="17"/>
        <v>475</v>
      </c>
      <c r="W16" s="320">
        <f t="shared" si="18"/>
        <v>0</v>
      </c>
      <c r="X16" s="5">
        <f t="shared" si="19"/>
        <v>152908</v>
      </c>
      <c r="Y16" s="320">
        <f t="shared" si="42"/>
        <v>0</v>
      </c>
      <c r="Z16" s="5">
        <f t="shared" si="20"/>
        <v>99129</v>
      </c>
      <c r="AA16" s="83">
        <f t="shared" si="21"/>
        <v>0</v>
      </c>
      <c r="AB16" s="5">
        <f t="shared" si="22"/>
        <v>261</v>
      </c>
      <c r="AC16" s="5">
        <f t="shared" si="23"/>
        <v>731</v>
      </c>
      <c r="AD16" s="83">
        <f t="shared" si="39"/>
        <v>0</v>
      </c>
      <c r="AE16" s="5">
        <f t="shared" si="24"/>
        <v>230.66</v>
      </c>
      <c r="AF16" s="83">
        <f t="shared" si="25"/>
        <v>0</v>
      </c>
      <c r="AG16" s="5">
        <f t="shared" si="26"/>
        <v>2210.4</v>
      </c>
      <c r="AH16" s="83">
        <f t="shared" si="27"/>
        <v>0</v>
      </c>
      <c r="AI16" s="83">
        <f t="shared" si="28"/>
        <v>0</v>
      </c>
      <c r="AJ16" s="322">
        <f t="shared" si="29"/>
        <v>0</v>
      </c>
      <c r="AK16" s="323">
        <f t="shared" si="40"/>
        <v>0</v>
      </c>
      <c r="AL16" s="323">
        <f t="shared" si="30"/>
        <v>0</v>
      </c>
      <c r="AM16" s="323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4">
        <f t="shared" si="31"/>
        <v>44388</v>
      </c>
      <c r="AS16" s="420">
        <f t="shared" si="4"/>
        <v>0.9</v>
      </c>
      <c r="AT16" s="201">
        <f t="shared" si="4"/>
        <v>93</v>
      </c>
      <c r="AU16" s="421">
        <f t="shared" si="43"/>
        <v>1.1000000000000001</v>
      </c>
      <c r="AV16" s="201">
        <f t="shared" si="32"/>
        <v>162</v>
      </c>
      <c r="AW16" s="5">
        <v>2.9</v>
      </c>
      <c r="AX16" s="201">
        <f t="shared" si="33"/>
        <v>93</v>
      </c>
      <c r="AY16" s="422">
        <f t="shared" si="5"/>
        <v>83.7</v>
      </c>
      <c r="AZ16" s="422">
        <f t="shared" si="34"/>
        <v>178.20000000000002</v>
      </c>
      <c r="BA16" s="422">
        <f t="shared" si="35"/>
        <v>269.7</v>
      </c>
      <c r="BB16" s="21">
        <f t="shared" si="36"/>
        <v>0</v>
      </c>
      <c r="BC16" s="21">
        <f t="shared" si="37"/>
        <v>0</v>
      </c>
      <c r="BD16" s="21">
        <f t="shared" si="37"/>
        <v>0</v>
      </c>
      <c r="BE16" s="24">
        <f t="shared" si="38"/>
        <v>0</v>
      </c>
      <c r="BF16" s="96">
        <f t="shared" si="6"/>
        <v>0</v>
      </c>
      <c r="BG16" s="82">
        <f t="shared" si="7"/>
        <v>0</v>
      </c>
    </row>
    <row r="17" spans="1:61" ht="15.75" thickBot="1">
      <c r="A17" s="6">
        <f>ELEC!C15</f>
        <v>44389</v>
      </c>
      <c r="B17" s="5">
        <f t="shared" si="8"/>
        <v>109443</v>
      </c>
      <c r="C17" s="5">
        <f t="shared" si="9"/>
        <v>0</v>
      </c>
      <c r="D17" s="415">
        <f t="shared" si="10"/>
        <v>0</v>
      </c>
      <c r="E17" s="329">
        <f>SUM((C17*$E$4)+(7500/'EDl log'!$A$37))</f>
        <v>241.93548387096774</v>
      </c>
      <c r="F17" s="414"/>
      <c r="G17" s="5">
        <f t="shared" si="11"/>
        <v>622501</v>
      </c>
      <c r="H17" s="5">
        <f t="shared" si="12"/>
        <v>0</v>
      </c>
      <c r="I17" s="5">
        <f t="shared" si="13"/>
        <v>0</v>
      </c>
      <c r="J17" s="330">
        <f t="shared" si="0"/>
        <v>0</v>
      </c>
      <c r="K17" s="5">
        <f>'Swimming Pool quality check '!H17</f>
        <v>6802</v>
      </c>
      <c r="L17" s="83">
        <f t="shared" si="41"/>
        <v>0</v>
      </c>
      <c r="M17" s="406">
        <f t="shared" si="14"/>
        <v>457.44</v>
      </c>
      <c r="N17" s="504">
        <f t="shared" si="44"/>
        <v>0</v>
      </c>
      <c r="O17" s="406">
        <f t="shared" si="15"/>
        <v>529.52</v>
      </c>
      <c r="P17" s="504">
        <f t="shared" si="45"/>
        <v>0</v>
      </c>
      <c r="Q17" s="504">
        <f t="shared" si="46"/>
        <v>0</v>
      </c>
      <c r="R17" s="504"/>
      <c r="S17" s="504"/>
      <c r="T17" s="5">
        <f t="shared" si="16"/>
        <v>5174</v>
      </c>
      <c r="U17" s="5">
        <f t="shared" si="3"/>
        <v>0</v>
      </c>
      <c r="V17" s="5">
        <f t="shared" si="17"/>
        <v>475</v>
      </c>
      <c r="W17" s="320">
        <f t="shared" si="18"/>
        <v>0</v>
      </c>
      <c r="X17" s="5">
        <f t="shared" si="19"/>
        <v>152908</v>
      </c>
      <c r="Y17" s="320">
        <f t="shared" si="42"/>
        <v>0</v>
      </c>
      <c r="Z17" s="5">
        <f t="shared" si="20"/>
        <v>99129</v>
      </c>
      <c r="AA17" s="83">
        <f t="shared" si="21"/>
        <v>0</v>
      </c>
      <c r="AB17" s="5">
        <f t="shared" si="22"/>
        <v>261</v>
      </c>
      <c r="AC17" s="5">
        <f t="shared" si="23"/>
        <v>731</v>
      </c>
      <c r="AD17" s="83">
        <f t="shared" si="39"/>
        <v>0</v>
      </c>
      <c r="AE17" s="5">
        <f t="shared" si="24"/>
        <v>230.66</v>
      </c>
      <c r="AF17" s="83">
        <f t="shared" si="25"/>
        <v>0</v>
      </c>
      <c r="AG17" s="5">
        <f t="shared" si="26"/>
        <v>2210.4</v>
      </c>
      <c r="AH17" s="83">
        <f t="shared" si="27"/>
        <v>0</v>
      </c>
      <c r="AI17" s="83">
        <f t="shared" si="28"/>
        <v>0</v>
      </c>
      <c r="AJ17" s="322">
        <f t="shared" si="29"/>
        <v>0</v>
      </c>
      <c r="AK17" s="323">
        <f>SUM(Y17-L17)</f>
        <v>0</v>
      </c>
      <c r="AL17" s="323">
        <f t="shared" si="30"/>
        <v>0</v>
      </c>
      <c r="AM17" s="323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4">
        <f t="shared" si="31"/>
        <v>44389</v>
      </c>
      <c r="AS17" s="420">
        <f t="shared" si="4"/>
        <v>0.9</v>
      </c>
      <c r="AT17" s="201">
        <f t="shared" si="4"/>
        <v>93</v>
      </c>
      <c r="AU17" s="421">
        <f t="shared" si="43"/>
        <v>1.1000000000000001</v>
      </c>
      <c r="AV17" s="201">
        <f t="shared" si="32"/>
        <v>162</v>
      </c>
      <c r="AW17" s="5">
        <v>2.9</v>
      </c>
      <c r="AX17" s="201">
        <f t="shared" si="33"/>
        <v>93</v>
      </c>
      <c r="AY17" s="422">
        <f t="shared" si="5"/>
        <v>83.7</v>
      </c>
      <c r="AZ17" s="422">
        <f t="shared" si="34"/>
        <v>178.20000000000002</v>
      </c>
      <c r="BA17" s="422">
        <f t="shared" si="35"/>
        <v>269.7</v>
      </c>
      <c r="BB17" s="21">
        <f t="shared" si="36"/>
        <v>0</v>
      </c>
      <c r="BC17" s="21">
        <f t="shared" si="37"/>
        <v>0</v>
      </c>
      <c r="BD17" s="21">
        <f t="shared" si="37"/>
        <v>0</v>
      </c>
      <c r="BE17" s="24">
        <f t="shared" si="38"/>
        <v>0</v>
      </c>
      <c r="BF17" s="96">
        <f t="shared" si="6"/>
        <v>0</v>
      </c>
      <c r="BG17" s="82">
        <f t="shared" si="7"/>
        <v>0</v>
      </c>
    </row>
    <row r="18" spans="1:61" ht="15.75" thickBot="1">
      <c r="A18" s="6">
        <f>ELEC!C16</f>
        <v>44390</v>
      </c>
      <c r="B18" s="5">
        <f t="shared" si="8"/>
        <v>109443</v>
      </c>
      <c r="C18" s="5">
        <f t="shared" si="9"/>
        <v>0</v>
      </c>
      <c r="D18" s="415">
        <f t="shared" si="10"/>
        <v>0</v>
      </c>
      <c r="E18" s="329">
        <f>SUM((C18*$E$4)+(7500/'EDl log'!$A$37))</f>
        <v>241.93548387096774</v>
      </c>
      <c r="F18" s="414"/>
      <c r="G18" s="5">
        <f t="shared" si="11"/>
        <v>622501</v>
      </c>
      <c r="H18" s="5">
        <f t="shared" si="12"/>
        <v>0</v>
      </c>
      <c r="I18" s="5">
        <f t="shared" si="13"/>
        <v>0</v>
      </c>
      <c r="J18" s="330">
        <f t="shared" si="0"/>
        <v>0</v>
      </c>
      <c r="K18" s="5">
        <f>'Swimming Pool quality check '!H18</f>
        <v>6802</v>
      </c>
      <c r="L18" s="83">
        <f t="shared" si="41"/>
        <v>0</v>
      </c>
      <c r="M18" s="406">
        <f t="shared" si="14"/>
        <v>457.44</v>
      </c>
      <c r="N18" s="504">
        <f t="shared" si="44"/>
        <v>0</v>
      </c>
      <c r="O18" s="406">
        <f t="shared" si="15"/>
        <v>529.52</v>
      </c>
      <c r="P18" s="504">
        <f t="shared" si="45"/>
        <v>0</v>
      </c>
      <c r="Q18" s="504">
        <f t="shared" si="46"/>
        <v>0</v>
      </c>
      <c r="R18" s="504"/>
      <c r="S18" s="504"/>
      <c r="T18" s="5">
        <f t="shared" si="16"/>
        <v>5174</v>
      </c>
      <c r="U18" s="5">
        <f t="shared" si="3"/>
        <v>0</v>
      </c>
      <c r="V18" s="5">
        <f t="shared" si="17"/>
        <v>475</v>
      </c>
      <c r="W18" s="320">
        <f t="shared" si="18"/>
        <v>0</v>
      </c>
      <c r="X18" s="5">
        <f t="shared" si="19"/>
        <v>152908</v>
      </c>
      <c r="Y18" s="320">
        <f t="shared" si="42"/>
        <v>0</v>
      </c>
      <c r="Z18" s="5">
        <f t="shared" si="20"/>
        <v>99129</v>
      </c>
      <c r="AA18" s="83">
        <f t="shared" si="21"/>
        <v>0</v>
      </c>
      <c r="AB18" s="5">
        <f t="shared" si="22"/>
        <v>261</v>
      </c>
      <c r="AC18" s="5">
        <f t="shared" si="23"/>
        <v>731</v>
      </c>
      <c r="AD18" s="83">
        <f t="shared" si="39"/>
        <v>0</v>
      </c>
      <c r="AE18" s="5">
        <f t="shared" si="24"/>
        <v>230.66</v>
      </c>
      <c r="AF18" s="83">
        <f t="shared" si="25"/>
        <v>0</v>
      </c>
      <c r="AG18" s="5">
        <f t="shared" si="26"/>
        <v>2210.4</v>
      </c>
      <c r="AH18" s="83">
        <f t="shared" si="27"/>
        <v>0</v>
      </c>
      <c r="AI18" s="83">
        <f t="shared" si="28"/>
        <v>0</v>
      </c>
      <c r="AJ18" s="322">
        <f t="shared" si="29"/>
        <v>0</v>
      </c>
      <c r="AK18" s="323">
        <f>SUM(Y18-L18)</f>
        <v>0</v>
      </c>
      <c r="AL18" s="323">
        <f t="shared" si="30"/>
        <v>0</v>
      </c>
      <c r="AM18" s="323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4">
        <f t="shared" si="31"/>
        <v>44390</v>
      </c>
      <c r="AS18" s="420">
        <f t="shared" si="4"/>
        <v>0.9</v>
      </c>
      <c r="AT18" s="201">
        <f t="shared" si="4"/>
        <v>93</v>
      </c>
      <c r="AU18" s="421">
        <f t="shared" si="43"/>
        <v>1.1000000000000001</v>
      </c>
      <c r="AV18" s="201">
        <f t="shared" si="32"/>
        <v>162</v>
      </c>
      <c r="AW18" s="5">
        <v>2.9</v>
      </c>
      <c r="AX18" s="201">
        <f t="shared" si="33"/>
        <v>93</v>
      </c>
      <c r="AY18" s="422">
        <f t="shared" si="5"/>
        <v>83.7</v>
      </c>
      <c r="AZ18" s="422">
        <f t="shared" si="34"/>
        <v>178.20000000000002</v>
      </c>
      <c r="BA18" s="422">
        <f t="shared" si="35"/>
        <v>269.7</v>
      </c>
      <c r="BB18" s="21">
        <f t="shared" si="36"/>
        <v>0</v>
      </c>
      <c r="BC18" s="21">
        <f t="shared" si="37"/>
        <v>0</v>
      </c>
      <c r="BD18" s="21">
        <f t="shared" si="37"/>
        <v>0</v>
      </c>
      <c r="BE18" s="24">
        <f t="shared" si="38"/>
        <v>0</v>
      </c>
      <c r="BF18" s="96">
        <f t="shared" si="6"/>
        <v>0</v>
      </c>
      <c r="BG18" s="82">
        <f t="shared" si="7"/>
        <v>0</v>
      </c>
    </row>
    <row r="19" spans="1:61" ht="15.75" thickBot="1">
      <c r="A19" s="6">
        <f>ELEC!C17</f>
        <v>44391</v>
      </c>
      <c r="B19" s="5">
        <f t="shared" si="8"/>
        <v>109443</v>
      </c>
      <c r="C19" s="5">
        <f t="shared" si="9"/>
        <v>0</v>
      </c>
      <c r="D19" s="415">
        <f t="shared" si="10"/>
        <v>0</v>
      </c>
      <c r="E19" s="329">
        <f>SUM((C19*$E$4)+(7500/'EDl log'!$A$37))</f>
        <v>241.93548387096774</v>
      </c>
      <c r="F19" s="414"/>
      <c r="G19" s="5">
        <f t="shared" si="11"/>
        <v>622501</v>
      </c>
      <c r="H19" s="5">
        <f t="shared" si="12"/>
        <v>0</v>
      </c>
      <c r="I19" s="5">
        <f t="shared" si="13"/>
        <v>0</v>
      </c>
      <c r="J19" s="330">
        <f t="shared" si="0"/>
        <v>0</v>
      </c>
      <c r="K19" s="5">
        <f>'Swimming Pool quality check '!H19</f>
        <v>6802</v>
      </c>
      <c r="L19" s="83">
        <f t="shared" si="41"/>
        <v>0</v>
      </c>
      <c r="M19" s="406">
        <f t="shared" si="14"/>
        <v>457.44</v>
      </c>
      <c r="N19" s="504">
        <f t="shared" si="44"/>
        <v>0</v>
      </c>
      <c r="O19" s="406">
        <f t="shared" si="15"/>
        <v>529.52</v>
      </c>
      <c r="P19" s="504">
        <f t="shared" si="45"/>
        <v>0</v>
      </c>
      <c r="Q19" s="504">
        <f t="shared" si="46"/>
        <v>0</v>
      </c>
      <c r="R19" s="504"/>
      <c r="S19" s="504"/>
      <c r="T19" s="5">
        <f t="shared" si="16"/>
        <v>5174</v>
      </c>
      <c r="U19" s="5">
        <f t="shared" si="3"/>
        <v>0</v>
      </c>
      <c r="V19" s="5">
        <f t="shared" si="17"/>
        <v>475</v>
      </c>
      <c r="W19" s="320">
        <f t="shared" si="18"/>
        <v>0</v>
      </c>
      <c r="X19" s="5">
        <f t="shared" si="19"/>
        <v>152908</v>
      </c>
      <c r="Y19" s="320">
        <f t="shared" si="42"/>
        <v>0</v>
      </c>
      <c r="Z19" s="5">
        <f t="shared" si="20"/>
        <v>99129</v>
      </c>
      <c r="AA19" s="83">
        <f t="shared" si="21"/>
        <v>0</v>
      </c>
      <c r="AB19" s="5">
        <f t="shared" si="22"/>
        <v>261</v>
      </c>
      <c r="AC19" s="5">
        <f t="shared" si="23"/>
        <v>731</v>
      </c>
      <c r="AD19" s="83">
        <f t="shared" si="39"/>
        <v>0</v>
      </c>
      <c r="AE19" s="5">
        <f t="shared" si="24"/>
        <v>230.66</v>
      </c>
      <c r="AF19" s="83">
        <f t="shared" si="25"/>
        <v>0</v>
      </c>
      <c r="AG19" s="5">
        <f t="shared" si="26"/>
        <v>2210.4</v>
      </c>
      <c r="AH19" s="83">
        <f t="shared" si="27"/>
        <v>0</v>
      </c>
      <c r="AI19" s="83">
        <f t="shared" si="28"/>
        <v>0</v>
      </c>
      <c r="AJ19" s="322">
        <f t="shared" si="29"/>
        <v>0</v>
      </c>
      <c r="AK19" s="323">
        <f t="shared" si="40"/>
        <v>0</v>
      </c>
      <c r="AL19" s="323">
        <f t="shared" si="30"/>
        <v>0</v>
      </c>
      <c r="AM19" s="323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4">
        <f t="shared" si="31"/>
        <v>44391</v>
      </c>
      <c r="AS19" s="420">
        <f t="shared" si="4"/>
        <v>0.9</v>
      </c>
      <c r="AT19" s="201">
        <f t="shared" si="4"/>
        <v>93</v>
      </c>
      <c r="AU19" s="421">
        <f t="shared" si="43"/>
        <v>1.1000000000000001</v>
      </c>
      <c r="AV19" s="201">
        <f t="shared" si="32"/>
        <v>162</v>
      </c>
      <c r="AW19" s="5">
        <v>2.9</v>
      </c>
      <c r="AX19" s="201">
        <f t="shared" si="33"/>
        <v>93</v>
      </c>
      <c r="AY19" s="422">
        <f>AS19*AT19</f>
        <v>83.7</v>
      </c>
      <c r="AZ19" s="422">
        <f>AU19*AV19</f>
        <v>178.20000000000002</v>
      </c>
      <c r="BA19" s="422">
        <f>AW19*AX19</f>
        <v>269.7</v>
      </c>
      <c r="BB19" s="21">
        <f t="shared" ref="BB19:BD20" si="47">AY19-AY18</f>
        <v>0</v>
      </c>
      <c r="BC19" s="21">
        <f t="shared" si="47"/>
        <v>0</v>
      </c>
      <c r="BD19" s="21">
        <f t="shared" si="47"/>
        <v>0</v>
      </c>
      <c r="BE19" s="24">
        <f>SUM(BB19:BD19)</f>
        <v>0</v>
      </c>
      <c r="BF19" s="96">
        <f t="shared" si="6"/>
        <v>0</v>
      </c>
      <c r="BG19" s="82">
        <f t="shared" si="7"/>
        <v>0</v>
      </c>
    </row>
    <row r="20" spans="1:61" ht="15.75" thickBot="1">
      <c r="A20" s="6">
        <f>ELEC!C18</f>
        <v>44392</v>
      </c>
      <c r="B20" s="5">
        <f t="shared" si="8"/>
        <v>109443</v>
      </c>
      <c r="C20" s="5">
        <f t="shared" si="9"/>
        <v>0</v>
      </c>
      <c r="D20" s="415">
        <f t="shared" si="10"/>
        <v>0</v>
      </c>
      <c r="E20" s="329">
        <f>SUM((C20*$E$4)+(7500/'EDl log'!$A$37))</f>
        <v>241.93548387096774</v>
      </c>
      <c r="F20" s="414"/>
      <c r="G20" s="5">
        <f t="shared" si="11"/>
        <v>622501</v>
      </c>
      <c r="H20" s="5">
        <f t="shared" si="12"/>
        <v>0</v>
      </c>
      <c r="I20" s="5">
        <f t="shared" si="13"/>
        <v>0</v>
      </c>
      <c r="J20" s="330">
        <f t="shared" si="0"/>
        <v>0</v>
      </c>
      <c r="K20" s="5">
        <f>'Swimming Pool quality check '!H20</f>
        <v>6802</v>
      </c>
      <c r="L20" s="83">
        <f t="shared" si="41"/>
        <v>0</v>
      </c>
      <c r="M20" s="406">
        <f t="shared" si="14"/>
        <v>457.44</v>
      </c>
      <c r="N20" s="504">
        <f t="shared" si="44"/>
        <v>0</v>
      </c>
      <c r="O20" s="406">
        <f t="shared" si="15"/>
        <v>529.52</v>
      </c>
      <c r="P20" s="504">
        <f t="shared" si="45"/>
        <v>0</v>
      </c>
      <c r="Q20" s="504">
        <f t="shared" si="46"/>
        <v>0</v>
      </c>
      <c r="R20" s="504"/>
      <c r="S20" s="504"/>
      <c r="T20" s="5">
        <f t="shared" si="16"/>
        <v>5174</v>
      </c>
      <c r="U20" s="5">
        <f t="shared" si="3"/>
        <v>0</v>
      </c>
      <c r="V20" s="5">
        <f t="shared" si="17"/>
        <v>475</v>
      </c>
      <c r="W20" s="320">
        <f t="shared" si="18"/>
        <v>0</v>
      </c>
      <c r="X20" s="5">
        <f t="shared" si="19"/>
        <v>152908</v>
      </c>
      <c r="Y20" s="320">
        <f t="shared" si="42"/>
        <v>0</v>
      </c>
      <c r="Z20" s="5">
        <f t="shared" si="20"/>
        <v>99129</v>
      </c>
      <c r="AA20" s="83">
        <f t="shared" si="21"/>
        <v>0</v>
      </c>
      <c r="AB20" s="5">
        <f t="shared" si="22"/>
        <v>261</v>
      </c>
      <c r="AC20" s="5">
        <f t="shared" si="23"/>
        <v>731</v>
      </c>
      <c r="AD20" s="83">
        <f t="shared" si="39"/>
        <v>0</v>
      </c>
      <c r="AE20" s="5">
        <f t="shared" si="24"/>
        <v>230.66</v>
      </c>
      <c r="AF20" s="83">
        <f t="shared" si="25"/>
        <v>0</v>
      </c>
      <c r="AG20" s="5">
        <f t="shared" si="26"/>
        <v>2210.4</v>
      </c>
      <c r="AH20" s="83">
        <f t="shared" si="27"/>
        <v>0</v>
      </c>
      <c r="AI20" s="83">
        <f t="shared" si="28"/>
        <v>0</v>
      </c>
      <c r="AJ20" s="322">
        <f t="shared" si="29"/>
        <v>0</v>
      </c>
      <c r="AK20" s="323">
        <f t="shared" si="40"/>
        <v>0</v>
      </c>
      <c r="AL20" s="323">
        <f t="shared" si="30"/>
        <v>0</v>
      </c>
      <c r="AM20" s="323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4">
        <f t="shared" si="31"/>
        <v>44392</v>
      </c>
      <c r="AS20" s="420">
        <f t="shared" si="4"/>
        <v>0.9</v>
      </c>
      <c r="AT20" s="201">
        <f t="shared" si="4"/>
        <v>93</v>
      </c>
      <c r="AU20" s="421">
        <f t="shared" si="43"/>
        <v>1.1000000000000001</v>
      </c>
      <c r="AV20" s="201">
        <f t="shared" si="32"/>
        <v>162</v>
      </c>
      <c r="AW20" s="5">
        <v>2.9</v>
      </c>
      <c r="AX20" s="201">
        <f t="shared" si="33"/>
        <v>93</v>
      </c>
      <c r="AY20" s="422">
        <f>AS20*AT20</f>
        <v>83.7</v>
      </c>
      <c r="AZ20" s="422">
        <f>AU20*AV20</f>
        <v>178.20000000000002</v>
      </c>
      <c r="BA20" s="422">
        <f>AW20*AX20</f>
        <v>269.7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6"/>
        <v>0</v>
      </c>
      <c r="BG20" s="82">
        <f t="shared" si="7"/>
        <v>0</v>
      </c>
    </row>
    <row r="21" spans="1:61" ht="15.75" thickBot="1">
      <c r="A21" s="6">
        <f>ELEC!C19</f>
        <v>44393</v>
      </c>
      <c r="B21" s="5">
        <f t="shared" si="8"/>
        <v>109443</v>
      </c>
      <c r="C21" s="5">
        <f t="shared" si="9"/>
        <v>0</v>
      </c>
      <c r="D21" s="415">
        <f t="shared" si="10"/>
        <v>0</v>
      </c>
      <c r="E21" s="329">
        <f>SUM((C21*$E$4)+(7500/'EDl log'!$A$37))</f>
        <v>241.93548387096774</v>
      </c>
      <c r="F21" s="323"/>
      <c r="G21" s="5">
        <f t="shared" si="11"/>
        <v>622501</v>
      </c>
      <c r="H21" s="5">
        <f t="shared" si="12"/>
        <v>0</v>
      </c>
      <c r="I21" s="5">
        <f t="shared" si="13"/>
        <v>0</v>
      </c>
      <c r="J21" s="330">
        <f t="shared" si="0"/>
        <v>0</v>
      </c>
      <c r="K21" s="5">
        <f>'Swimming Pool quality check '!H21</f>
        <v>6802</v>
      </c>
      <c r="L21" s="83">
        <f t="shared" si="41"/>
        <v>0</v>
      </c>
      <c r="M21" s="406">
        <f t="shared" si="14"/>
        <v>457.44</v>
      </c>
      <c r="N21" s="504">
        <f t="shared" si="44"/>
        <v>0</v>
      </c>
      <c r="O21" s="406">
        <f t="shared" si="15"/>
        <v>529.52</v>
      </c>
      <c r="P21" s="504">
        <f t="shared" si="45"/>
        <v>0</v>
      </c>
      <c r="Q21" s="504">
        <f t="shared" si="46"/>
        <v>0</v>
      </c>
      <c r="R21" s="504"/>
      <c r="S21" s="504"/>
      <c r="T21" s="5">
        <f t="shared" si="16"/>
        <v>5174</v>
      </c>
      <c r="U21" s="5">
        <f t="shared" si="3"/>
        <v>0</v>
      </c>
      <c r="V21" s="5">
        <f t="shared" si="17"/>
        <v>475</v>
      </c>
      <c r="W21" s="320">
        <f t="shared" si="18"/>
        <v>0</v>
      </c>
      <c r="X21" s="5">
        <f t="shared" si="19"/>
        <v>152908</v>
      </c>
      <c r="Y21" s="320">
        <f>SUM(X21-X20)</f>
        <v>0</v>
      </c>
      <c r="Z21" s="5">
        <f t="shared" si="20"/>
        <v>99129</v>
      </c>
      <c r="AA21" s="83">
        <f t="shared" si="21"/>
        <v>0</v>
      </c>
      <c r="AB21" s="5">
        <f t="shared" si="22"/>
        <v>261</v>
      </c>
      <c r="AC21" s="5">
        <f t="shared" si="23"/>
        <v>731</v>
      </c>
      <c r="AD21" s="83">
        <f t="shared" si="39"/>
        <v>0</v>
      </c>
      <c r="AE21" s="5">
        <f t="shared" si="24"/>
        <v>230.66</v>
      </c>
      <c r="AF21" s="83">
        <f t="shared" si="25"/>
        <v>0</v>
      </c>
      <c r="AG21" s="5">
        <f t="shared" si="26"/>
        <v>2210.4</v>
      </c>
      <c r="AH21" s="83">
        <f t="shared" si="27"/>
        <v>0</v>
      </c>
      <c r="AI21" s="83">
        <f t="shared" si="28"/>
        <v>0</v>
      </c>
      <c r="AJ21" s="322">
        <f t="shared" si="29"/>
        <v>0</v>
      </c>
      <c r="AK21" s="323">
        <f>SUM(Y21-L21)</f>
        <v>0</v>
      </c>
      <c r="AL21" s="323">
        <f t="shared" si="30"/>
        <v>0</v>
      </c>
      <c r="AM21" s="323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4">
        <f t="shared" si="31"/>
        <v>44393</v>
      </c>
      <c r="AS21" s="420">
        <f t="shared" si="4"/>
        <v>0.9</v>
      </c>
      <c r="AT21" s="201">
        <f t="shared" si="4"/>
        <v>93</v>
      </c>
      <c r="AU21" s="421">
        <f t="shared" si="43"/>
        <v>1.1000000000000001</v>
      </c>
      <c r="AV21" s="201">
        <f t="shared" si="32"/>
        <v>162</v>
      </c>
      <c r="AW21" s="5">
        <v>2.9</v>
      </c>
      <c r="AX21" s="201">
        <f t="shared" si="33"/>
        <v>93</v>
      </c>
      <c r="AY21" s="422">
        <f>AS21*AT21</f>
        <v>83.7</v>
      </c>
      <c r="AZ21" s="422">
        <f>AU21*AV21</f>
        <v>178.20000000000002</v>
      </c>
      <c r="BA21" s="422">
        <f>AW21*AX21</f>
        <v>269.7</v>
      </c>
      <c r="BB21" s="21">
        <f t="shared" si="36"/>
        <v>0</v>
      </c>
      <c r="BC21" s="21">
        <f t="shared" si="37"/>
        <v>0</v>
      </c>
      <c r="BD21" s="21">
        <f t="shared" si="37"/>
        <v>0</v>
      </c>
      <c r="BE21" s="24">
        <f t="shared" si="38"/>
        <v>0</v>
      </c>
      <c r="BF21" s="96">
        <f t="shared" si="6"/>
        <v>0</v>
      </c>
      <c r="BG21" s="82">
        <f t="shared" si="7"/>
        <v>0</v>
      </c>
    </row>
    <row r="22" spans="1:61" ht="15.75" thickBot="1">
      <c r="A22" s="6">
        <f>ELEC!C20</f>
        <v>44394</v>
      </c>
      <c r="B22" s="5">
        <f t="shared" si="8"/>
        <v>109443</v>
      </c>
      <c r="C22" s="5">
        <f t="shared" si="9"/>
        <v>0</v>
      </c>
      <c r="D22" s="415">
        <f t="shared" si="10"/>
        <v>0</v>
      </c>
      <c r="E22" s="329">
        <f>SUM((C22*$E$4)+(7500/'EDl log'!$A$37))</f>
        <v>241.93548387096774</v>
      </c>
      <c r="F22" s="323"/>
      <c r="G22" s="5">
        <f t="shared" si="11"/>
        <v>622501</v>
      </c>
      <c r="H22" s="5">
        <f t="shared" si="12"/>
        <v>0</v>
      </c>
      <c r="I22" s="5">
        <f t="shared" si="13"/>
        <v>0</v>
      </c>
      <c r="J22" s="330">
        <f t="shared" si="0"/>
        <v>0</v>
      </c>
      <c r="K22" s="5">
        <f>'Swimming Pool quality check '!H22</f>
        <v>6802</v>
      </c>
      <c r="L22" s="83">
        <f t="shared" si="41"/>
        <v>0</v>
      </c>
      <c r="M22" s="406">
        <f t="shared" si="14"/>
        <v>457.44</v>
      </c>
      <c r="N22" s="504">
        <f t="shared" si="44"/>
        <v>0</v>
      </c>
      <c r="O22" s="406">
        <f t="shared" si="15"/>
        <v>529.52</v>
      </c>
      <c r="P22" s="504">
        <f t="shared" si="45"/>
        <v>0</v>
      </c>
      <c r="Q22" s="504">
        <f t="shared" si="46"/>
        <v>0</v>
      </c>
      <c r="R22" s="504"/>
      <c r="S22" s="504"/>
      <c r="T22" s="5">
        <f t="shared" si="16"/>
        <v>5174</v>
      </c>
      <c r="U22" s="5">
        <f t="shared" si="3"/>
        <v>0</v>
      </c>
      <c r="V22" s="5">
        <f t="shared" si="17"/>
        <v>475</v>
      </c>
      <c r="W22" s="320">
        <f t="shared" si="18"/>
        <v>0</v>
      </c>
      <c r="X22" s="5">
        <f t="shared" si="19"/>
        <v>152908</v>
      </c>
      <c r="Y22" s="320">
        <f t="shared" si="42"/>
        <v>0</v>
      </c>
      <c r="Z22" s="5">
        <f t="shared" si="20"/>
        <v>99129</v>
      </c>
      <c r="AA22" s="83">
        <f t="shared" si="21"/>
        <v>0</v>
      </c>
      <c r="AB22" s="5">
        <f t="shared" si="22"/>
        <v>261</v>
      </c>
      <c r="AC22" s="5">
        <f t="shared" si="23"/>
        <v>731</v>
      </c>
      <c r="AD22" s="83">
        <f t="shared" si="39"/>
        <v>0</v>
      </c>
      <c r="AE22" s="5">
        <f t="shared" si="24"/>
        <v>230.66</v>
      </c>
      <c r="AF22" s="83">
        <f t="shared" si="25"/>
        <v>0</v>
      </c>
      <c r="AG22" s="5">
        <f t="shared" si="26"/>
        <v>2210.4</v>
      </c>
      <c r="AH22" s="83">
        <f t="shared" si="27"/>
        <v>0</v>
      </c>
      <c r="AI22" s="83">
        <f t="shared" si="28"/>
        <v>0</v>
      </c>
      <c r="AJ22" s="322">
        <f t="shared" si="29"/>
        <v>0</v>
      </c>
      <c r="AK22" s="323">
        <f t="shared" si="40"/>
        <v>0</v>
      </c>
      <c r="AL22" s="323">
        <f t="shared" si="30"/>
        <v>0</v>
      </c>
      <c r="AM22" s="323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4">
        <f t="shared" si="31"/>
        <v>44394</v>
      </c>
      <c r="AS22" s="420">
        <f t="shared" ref="AS22:AT33" si="48">AS21</f>
        <v>0.9</v>
      </c>
      <c r="AT22" s="201">
        <f t="shared" si="48"/>
        <v>93</v>
      </c>
      <c r="AU22" s="421">
        <f t="shared" si="43"/>
        <v>1.1000000000000001</v>
      </c>
      <c r="AV22" s="201">
        <f t="shared" si="32"/>
        <v>162</v>
      </c>
      <c r="AW22" s="5">
        <v>2.9</v>
      </c>
      <c r="AX22" s="201">
        <f t="shared" si="33"/>
        <v>93</v>
      </c>
      <c r="AY22" s="422">
        <f t="shared" si="5"/>
        <v>83.7</v>
      </c>
      <c r="AZ22" s="422">
        <f t="shared" si="34"/>
        <v>178.20000000000002</v>
      </c>
      <c r="BA22" s="422">
        <f t="shared" si="35"/>
        <v>269.7</v>
      </c>
      <c r="BB22" s="21">
        <f>AY22-AY21</f>
        <v>0</v>
      </c>
      <c r="BC22" s="21">
        <f t="shared" si="36"/>
        <v>0</v>
      </c>
      <c r="BD22" s="21">
        <f t="shared" si="36"/>
        <v>0</v>
      </c>
      <c r="BE22" s="24">
        <f t="shared" si="38"/>
        <v>0</v>
      </c>
      <c r="BF22" s="96">
        <f t="shared" si="6"/>
        <v>0</v>
      </c>
      <c r="BG22" s="82">
        <f t="shared" si="7"/>
        <v>0</v>
      </c>
    </row>
    <row r="23" spans="1:61" ht="15.75" thickBot="1">
      <c r="A23" s="6">
        <f>ELEC!C21</f>
        <v>44395</v>
      </c>
      <c r="B23" s="5">
        <f t="shared" si="8"/>
        <v>109443</v>
      </c>
      <c r="C23" s="5">
        <f t="shared" si="9"/>
        <v>0</v>
      </c>
      <c r="D23" s="415">
        <f t="shared" si="10"/>
        <v>0</v>
      </c>
      <c r="E23" s="329">
        <f>SUM((C23*$E$4)+(7500/'EDl log'!$A$37))</f>
        <v>241.93548387096774</v>
      </c>
      <c r="F23" s="323"/>
      <c r="G23" s="5">
        <f t="shared" si="11"/>
        <v>622501</v>
      </c>
      <c r="H23" s="5">
        <f t="shared" si="12"/>
        <v>0</v>
      </c>
      <c r="I23" s="5">
        <f t="shared" si="13"/>
        <v>0</v>
      </c>
      <c r="J23" s="330">
        <f t="shared" si="0"/>
        <v>0</v>
      </c>
      <c r="K23" s="5">
        <f>'Swimming Pool quality check '!H23</f>
        <v>6802</v>
      </c>
      <c r="L23" s="271">
        <f t="shared" si="41"/>
        <v>0</v>
      </c>
      <c r="M23" s="406">
        <f t="shared" si="14"/>
        <v>457.44</v>
      </c>
      <c r="N23" s="504">
        <f t="shared" si="44"/>
        <v>0</v>
      </c>
      <c r="O23" s="406">
        <f t="shared" si="15"/>
        <v>529.52</v>
      </c>
      <c r="P23" s="504">
        <f t="shared" si="45"/>
        <v>0</v>
      </c>
      <c r="Q23" s="504">
        <f t="shared" si="46"/>
        <v>0</v>
      </c>
      <c r="R23" s="506"/>
      <c r="S23" s="506"/>
      <c r="T23" s="5">
        <f t="shared" si="16"/>
        <v>5174</v>
      </c>
      <c r="U23" s="5">
        <f t="shared" si="3"/>
        <v>0</v>
      </c>
      <c r="V23" s="5">
        <f t="shared" si="17"/>
        <v>475</v>
      </c>
      <c r="W23" s="320">
        <f t="shared" si="18"/>
        <v>0</v>
      </c>
      <c r="X23" s="5">
        <f t="shared" si="19"/>
        <v>152908</v>
      </c>
      <c r="Y23" s="320">
        <f t="shared" si="42"/>
        <v>0</v>
      </c>
      <c r="Z23" s="5">
        <f t="shared" si="20"/>
        <v>99129</v>
      </c>
      <c r="AA23" s="83">
        <f t="shared" si="21"/>
        <v>0</v>
      </c>
      <c r="AB23" s="5">
        <f t="shared" si="22"/>
        <v>261</v>
      </c>
      <c r="AC23" s="5">
        <f t="shared" si="23"/>
        <v>731</v>
      </c>
      <c r="AD23" s="83">
        <f t="shared" si="39"/>
        <v>0</v>
      </c>
      <c r="AE23" s="5">
        <f t="shared" si="24"/>
        <v>230.66</v>
      </c>
      <c r="AF23" s="83">
        <f t="shared" si="25"/>
        <v>0</v>
      </c>
      <c r="AG23" s="5">
        <f t="shared" si="26"/>
        <v>2210.4</v>
      </c>
      <c r="AH23" s="83">
        <f t="shared" si="27"/>
        <v>0</v>
      </c>
      <c r="AI23" s="83">
        <f t="shared" si="28"/>
        <v>0</v>
      </c>
      <c r="AJ23" s="322">
        <f t="shared" si="29"/>
        <v>0</v>
      </c>
      <c r="AK23" s="323">
        <f t="shared" si="40"/>
        <v>0</v>
      </c>
      <c r="AL23" s="323">
        <f t="shared" si="30"/>
        <v>0</v>
      </c>
      <c r="AM23" s="323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4">
        <f t="shared" si="31"/>
        <v>44395</v>
      </c>
      <c r="AS23" s="420">
        <f t="shared" si="48"/>
        <v>0.9</v>
      </c>
      <c r="AT23" s="201">
        <f t="shared" si="48"/>
        <v>93</v>
      </c>
      <c r="AU23" s="421">
        <f t="shared" si="43"/>
        <v>1.1000000000000001</v>
      </c>
      <c r="AV23" s="201">
        <f t="shared" si="32"/>
        <v>162</v>
      </c>
      <c r="AW23" s="5">
        <v>2.9</v>
      </c>
      <c r="AX23" s="201">
        <f t="shared" si="33"/>
        <v>93</v>
      </c>
      <c r="AY23" s="422">
        <f t="shared" si="5"/>
        <v>83.7</v>
      </c>
      <c r="AZ23" s="422">
        <f t="shared" si="34"/>
        <v>178.20000000000002</v>
      </c>
      <c r="BA23" s="422">
        <f t="shared" si="35"/>
        <v>269.7</v>
      </c>
      <c r="BB23" s="21">
        <f t="shared" si="36"/>
        <v>0</v>
      </c>
      <c r="BC23" s="21">
        <f t="shared" si="36"/>
        <v>0</v>
      </c>
      <c r="BD23" s="21">
        <f t="shared" si="36"/>
        <v>0</v>
      </c>
      <c r="BE23" s="24">
        <f t="shared" si="38"/>
        <v>0</v>
      </c>
      <c r="BF23" s="96">
        <f t="shared" si="6"/>
        <v>0</v>
      </c>
      <c r="BG23" s="82">
        <f t="shared" si="7"/>
        <v>0</v>
      </c>
    </row>
    <row r="24" spans="1:61" ht="15.75" thickBot="1">
      <c r="A24" s="6">
        <f>ELEC!C22</f>
        <v>44396</v>
      </c>
      <c r="B24" s="5">
        <f t="shared" si="8"/>
        <v>109443</v>
      </c>
      <c r="C24" s="5">
        <f t="shared" si="9"/>
        <v>0</v>
      </c>
      <c r="D24" s="415">
        <f t="shared" si="10"/>
        <v>0</v>
      </c>
      <c r="E24" s="329">
        <f>SUM((C24*$E$4)+(7500/'EDl log'!$A$37))</f>
        <v>241.93548387096774</v>
      </c>
      <c r="F24" s="323"/>
      <c r="G24" s="5">
        <f t="shared" si="11"/>
        <v>622501</v>
      </c>
      <c r="H24" s="5">
        <f t="shared" si="12"/>
        <v>0</v>
      </c>
      <c r="I24" s="5">
        <f t="shared" si="13"/>
        <v>0</v>
      </c>
      <c r="J24" s="330">
        <f t="shared" si="0"/>
        <v>0</v>
      </c>
      <c r="K24" s="5">
        <f>'Swimming Pool quality check '!H24</f>
        <v>6802</v>
      </c>
      <c r="L24" s="271">
        <f t="shared" si="41"/>
        <v>0</v>
      </c>
      <c r="M24" s="406">
        <f t="shared" si="14"/>
        <v>457.44</v>
      </c>
      <c r="N24" s="504">
        <f t="shared" si="44"/>
        <v>0</v>
      </c>
      <c r="O24" s="406">
        <f t="shared" si="15"/>
        <v>529.52</v>
      </c>
      <c r="P24" s="504">
        <f t="shared" si="45"/>
        <v>0</v>
      </c>
      <c r="Q24" s="504">
        <f t="shared" si="46"/>
        <v>0</v>
      </c>
      <c r="R24" s="506"/>
      <c r="S24" s="506"/>
      <c r="T24" s="5">
        <f t="shared" si="16"/>
        <v>5174</v>
      </c>
      <c r="U24" s="5">
        <f t="shared" si="3"/>
        <v>0</v>
      </c>
      <c r="V24" s="5">
        <f t="shared" si="17"/>
        <v>475</v>
      </c>
      <c r="W24" s="320">
        <f t="shared" si="18"/>
        <v>0</v>
      </c>
      <c r="X24" s="5">
        <f t="shared" si="19"/>
        <v>152908</v>
      </c>
      <c r="Y24" s="320">
        <f t="shared" si="42"/>
        <v>0</v>
      </c>
      <c r="Z24" s="5">
        <f t="shared" si="20"/>
        <v>99129</v>
      </c>
      <c r="AA24" s="83">
        <f t="shared" si="21"/>
        <v>0</v>
      </c>
      <c r="AB24" s="5">
        <f t="shared" si="22"/>
        <v>261</v>
      </c>
      <c r="AC24" s="5">
        <f t="shared" si="23"/>
        <v>731</v>
      </c>
      <c r="AD24" s="83">
        <f t="shared" si="39"/>
        <v>0</v>
      </c>
      <c r="AE24" s="5">
        <f t="shared" si="24"/>
        <v>230.66</v>
      </c>
      <c r="AF24" s="83">
        <f t="shared" si="25"/>
        <v>0</v>
      </c>
      <c r="AG24" s="5">
        <f t="shared" si="26"/>
        <v>2210.4</v>
      </c>
      <c r="AH24" s="83">
        <f t="shared" si="27"/>
        <v>0</v>
      </c>
      <c r="AI24" s="83">
        <f t="shared" si="28"/>
        <v>0</v>
      </c>
      <c r="AJ24" s="322">
        <f t="shared" si="29"/>
        <v>0</v>
      </c>
      <c r="AK24" s="323">
        <f t="shared" si="40"/>
        <v>0</v>
      </c>
      <c r="AL24" s="323">
        <f t="shared" si="30"/>
        <v>0</v>
      </c>
      <c r="AM24" s="323">
        <f>'General information '!D24</f>
        <v>0</v>
      </c>
      <c r="AN24" s="84">
        <f>'[2]General information '!H24</f>
        <v>0</v>
      </c>
      <c r="AO24" s="84"/>
      <c r="AP24" s="84">
        <f>'[2]General information '!J24</f>
        <v>0</v>
      </c>
      <c r="AR24" s="274">
        <f t="shared" si="31"/>
        <v>44396</v>
      </c>
      <c r="AS24" s="420">
        <f t="shared" si="48"/>
        <v>0.9</v>
      </c>
      <c r="AT24" s="201">
        <f t="shared" si="48"/>
        <v>93</v>
      </c>
      <c r="AU24" s="421">
        <f t="shared" si="43"/>
        <v>1.1000000000000001</v>
      </c>
      <c r="AV24" s="201">
        <f t="shared" si="32"/>
        <v>162</v>
      </c>
      <c r="AW24" s="5">
        <v>2.9</v>
      </c>
      <c r="AX24" s="201">
        <f t="shared" si="33"/>
        <v>93</v>
      </c>
      <c r="AY24" s="422">
        <f t="shared" si="5"/>
        <v>83.7</v>
      </c>
      <c r="AZ24" s="422">
        <f t="shared" si="34"/>
        <v>178.20000000000002</v>
      </c>
      <c r="BA24" s="422">
        <f t="shared" si="35"/>
        <v>269.7</v>
      </c>
      <c r="BB24" s="21">
        <f t="shared" si="36"/>
        <v>0</v>
      </c>
      <c r="BC24" s="21">
        <f t="shared" si="36"/>
        <v>0</v>
      </c>
      <c r="BD24" s="21">
        <f t="shared" si="36"/>
        <v>0</v>
      </c>
      <c r="BE24" s="24">
        <f t="shared" si="38"/>
        <v>0</v>
      </c>
      <c r="BF24" s="96">
        <f t="shared" si="6"/>
        <v>0</v>
      </c>
      <c r="BG24" s="82">
        <f t="shared" si="7"/>
        <v>0</v>
      </c>
      <c r="BI24" s="82"/>
    </row>
    <row r="25" spans="1:61" ht="15.75" thickBot="1">
      <c r="A25" s="6">
        <f>ELEC!C23</f>
        <v>44397</v>
      </c>
      <c r="B25" s="5">
        <f t="shared" si="8"/>
        <v>109443</v>
      </c>
      <c r="C25" s="5">
        <f t="shared" si="9"/>
        <v>0</v>
      </c>
      <c r="D25" s="415">
        <f t="shared" si="10"/>
        <v>0</v>
      </c>
      <c r="E25" s="329">
        <f>SUM((C25*$E$4)+(7500/'EDl log'!$A$37))</f>
        <v>241.93548387096774</v>
      </c>
      <c r="F25" s="323"/>
      <c r="G25" s="5">
        <f t="shared" si="11"/>
        <v>622501</v>
      </c>
      <c r="H25" s="5">
        <f t="shared" si="12"/>
        <v>0</v>
      </c>
      <c r="I25" s="5">
        <f t="shared" si="13"/>
        <v>0</v>
      </c>
      <c r="J25" s="330">
        <f t="shared" si="0"/>
        <v>0</v>
      </c>
      <c r="K25" s="5">
        <f>'Swimming Pool quality check '!H25</f>
        <v>6802</v>
      </c>
      <c r="L25" s="271">
        <f t="shared" si="41"/>
        <v>0</v>
      </c>
      <c r="M25" s="406">
        <f t="shared" si="14"/>
        <v>457.44</v>
      </c>
      <c r="N25" s="504">
        <f t="shared" si="44"/>
        <v>0</v>
      </c>
      <c r="O25" s="406">
        <f t="shared" si="15"/>
        <v>529.52</v>
      </c>
      <c r="P25" s="504">
        <f t="shared" si="45"/>
        <v>0</v>
      </c>
      <c r="Q25" s="504">
        <f t="shared" si="46"/>
        <v>0</v>
      </c>
      <c r="R25" s="506"/>
      <c r="S25" s="506"/>
      <c r="T25" s="5">
        <f t="shared" si="16"/>
        <v>5174</v>
      </c>
      <c r="U25" s="5">
        <f t="shared" si="3"/>
        <v>0</v>
      </c>
      <c r="V25" s="5">
        <f t="shared" si="17"/>
        <v>475</v>
      </c>
      <c r="W25" s="320">
        <f t="shared" si="18"/>
        <v>0</v>
      </c>
      <c r="X25" s="5">
        <f t="shared" si="19"/>
        <v>152908</v>
      </c>
      <c r="Y25" s="320">
        <f t="shared" si="42"/>
        <v>0</v>
      </c>
      <c r="Z25" s="5">
        <f t="shared" si="20"/>
        <v>99129</v>
      </c>
      <c r="AA25" s="83">
        <f t="shared" si="21"/>
        <v>0</v>
      </c>
      <c r="AB25" s="5">
        <f t="shared" si="22"/>
        <v>261</v>
      </c>
      <c r="AC25" s="5">
        <f t="shared" si="23"/>
        <v>731</v>
      </c>
      <c r="AD25" s="83">
        <f t="shared" si="39"/>
        <v>0</v>
      </c>
      <c r="AE25" s="5">
        <f t="shared" si="24"/>
        <v>230.66</v>
      </c>
      <c r="AF25" s="83">
        <f t="shared" si="25"/>
        <v>0</v>
      </c>
      <c r="AG25" s="5">
        <f t="shared" si="26"/>
        <v>2210.4</v>
      </c>
      <c r="AH25" s="83">
        <f t="shared" si="27"/>
        <v>0</v>
      </c>
      <c r="AI25" s="83">
        <f t="shared" si="28"/>
        <v>0</v>
      </c>
      <c r="AJ25" s="322">
        <f t="shared" si="29"/>
        <v>0</v>
      </c>
      <c r="AK25" s="323">
        <f t="shared" si="40"/>
        <v>0</v>
      </c>
      <c r="AL25" s="323">
        <f t="shared" si="30"/>
        <v>0</v>
      </c>
      <c r="AM25" s="323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4">
        <f t="shared" si="31"/>
        <v>44397</v>
      </c>
      <c r="AS25" s="420">
        <f t="shared" si="48"/>
        <v>0.9</v>
      </c>
      <c r="AT25" s="201">
        <f t="shared" si="48"/>
        <v>93</v>
      </c>
      <c r="AU25" s="421">
        <f t="shared" si="43"/>
        <v>1.1000000000000001</v>
      </c>
      <c r="AV25" s="201">
        <f t="shared" si="32"/>
        <v>162</v>
      </c>
      <c r="AW25" s="5">
        <v>2.9</v>
      </c>
      <c r="AX25" s="201">
        <f t="shared" si="33"/>
        <v>93</v>
      </c>
      <c r="AY25" s="422">
        <f t="shared" si="5"/>
        <v>83.7</v>
      </c>
      <c r="AZ25" s="422">
        <f t="shared" si="34"/>
        <v>178.20000000000002</v>
      </c>
      <c r="BA25" s="422">
        <f t="shared" si="35"/>
        <v>269.7</v>
      </c>
      <c r="BB25" s="21">
        <f t="shared" si="36"/>
        <v>0</v>
      </c>
      <c r="BC25" s="21">
        <f t="shared" si="36"/>
        <v>0</v>
      </c>
      <c r="BD25" s="21">
        <f t="shared" si="36"/>
        <v>0</v>
      </c>
      <c r="BE25" s="24">
        <f t="shared" si="38"/>
        <v>0</v>
      </c>
      <c r="BF25" s="96">
        <f t="shared" si="6"/>
        <v>0</v>
      </c>
      <c r="BG25" s="82">
        <f t="shared" si="7"/>
        <v>0</v>
      </c>
    </row>
    <row r="26" spans="1:61" ht="15.75" thickBot="1">
      <c r="A26" s="6">
        <f>ELEC!C24</f>
        <v>44398</v>
      </c>
      <c r="B26" s="5">
        <f t="shared" si="8"/>
        <v>109443</v>
      </c>
      <c r="C26" s="5">
        <f t="shared" si="9"/>
        <v>0</v>
      </c>
      <c r="D26" s="415">
        <f t="shared" si="10"/>
        <v>0</v>
      </c>
      <c r="E26" s="329">
        <f>SUM((C26*$E$4)+(7500/'EDl log'!$A$37))</f>
        <v>241.93548387096774</v>
      </c>
      <c r="F26" s="323"/>
      <c r="G26" s="5">
        <f t="shared" si="11"/>
        <v>622501</v>
      </c>
      <c r="H26" s="5">
        <f>G26-G25</f>
        <v>0</v>
      </c>
      <c r="I26" s="5">
        <f t="shared" si="13"/>
        <v>0</v>
      </c>
      <c r="J26" s="330">
        <f t="shared" si="0"/>
        <v>0</v>
      </c>
      <c r="K26" s="5">
        <f>'Swimming Pool quality check '!H26</f>
        <v>6802</v>
      </c>
      <c r="L26" s="271">
        <f t="shared" si="41"/>
        <v>0</v>
      </c>
      <c r="M26" s="406">
        <f t="shared" si="14"/>
        <v>457.44</v>
      </c>
      <c r="N26" s="504">
        <f t="shared" si="44"/>
        <v>0</v>
      </c>
      <c r="O26" s="406">
        <f t="shared" si="15"/>
        <v>529.52</v>
      </c>
      <c r="P26" s="504">
        <f t="shared" si="45"/>
        <v>0</v>
      </c>
      <c r="Q26" s="504">
        <f t="shared" si="46"/>
        <v>0</v>
      </c>
      <c r="R26" s="506"/>
      <c r="S26" s="506"/>
      <c r="T26" s="5">
        <f t="shared" si="16"/>
        <v>5174</v>
      </c>
      <c r="U26" s="5">
        <f t="shared" si="3"/>
        <v>0</v>
      </c>
      <c r="V26" s="5">
        <f t="shared" si="17"/>
        <v>475</v>
      </c>
      <c r="W26" s="320">
        <f t="shared" si="18"/>
        <v>0</v>
      </c>
      <c r="X26" s="5">
        <f t="shared" si="19"/>
        <v>152908</v>
      </c>
      <c r="Y26" s="320">
        <f t="shared" si="42"/>
        <v>0</v>
      </c>
      <c r="Z26" s="5">
        <f t="shared" si="20"/>
        <v>99129</v>
      </c>
      <c r="AA26" s="83">
        <f t="shared" si="21"/>
        <v>0</v>
      </c>
      <c r="AB26" s="5">
        <f t="shared" si="22"/>
        <v>261</v>
      </c>
      <c r="AC26" s="5">
        <f t="shared" si="23"/>
        <v>731</v>
      </c>
      <c r="AD26" s="83">
        <f t="shared" si="39"/>
        <v>0</v>
      </c>
      <c r="AE26" s="5">
        <f t="shared" si="24"/>
        <v>230.66</v>
      </c>
      <c r="AF26" s="83">
        <f t="shared" si="25"/>
        <v>0</v>
      </c>
      <c r="AG26" s="5">
        <f t="shared" si="26"/>
        <v>2210.4</v>
      </c>
      <c r="AH26" s="83">
        <f t="shared" si="27"/>
        <v>0</v>
      </c>
      <c r="AI26" s="83">
        <f t="shared" si="28"/>
        <v>0</v>
      </c>
      <c r="AJ26" s="322">
        <f t="shared" si="29"/>
        <v>0</v>
      </c>
      <c r="AK26" s="323">
        <f>SUM(Y26-L26)</f>
        <v>0</v>
      </c>
      <c r="AL26" s="323">
        <f>SUM(AJ26-W26)</f>
        <v>0</v>
      </c>
      <c r="AM26" s="323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4">
        <f t="shared" si="31"/>
        <v>44398</v>
      </c>
      <c r="AS26" s="420">
        <f t="shared" si="48"/>
        <v>0.9</v>
      </c>
      <c r="AT26" s="201">
        <f t="shared" si="48"/>
        <v>93</v>
      </c>
      <c r="AU26" s="421">
        <f t="shared" si="43"/>
        <v>1.1000000000000001</v>
      </c>
      <c r="AV26" s="201">
        <f t="shared" si="32"/>
        <v>162</v>
      </c>
      <c r="AW26" s="5">
        <v>2.9</v>
      </c>
      <c r="AX26" s="201">
        <f t="shared" si="33"/>
        <v>93</v>
      </c>
      <c r="AY26" s="422">
        <f t="shared" si="5"/>
        <v>83.7</v>
      </c>
      <c r="AZ26" s="422">
        <f t="shared" si="34"/>
        <v>178.20000000000002</v>
      </c>
      <c r="BA26" s="422">
        <f t="shared" si="35"/>
        <v>269.7</v>
      </c>
      <c r="BB26" s="21">
        <f>AY26-AY25</f>
        <v>0</v>
      </c>
      <c r="BC26" s="21">
        <f t="shared" si="36"/>
        <v>0</v>
      </c>
      <c r="BD26" s="21">
        <f t="shared" si="36"/>
        <v>0</v>
      </c>
      <c r="BE26" s="24">
        <f t="shared" si="38"/>
        <v>0</v>
      </c>
      <c r="BF26" s="96">
        <f t="shared" si="6"/>
        <v>0</v>
      </c>
      <c r="BG26" s="82">
        <f t="shared" si="7"/>
        <v>0</v>
      </c>
    </row>
    <row r="27" spans="1:61" ht="15.75" thickBot="1">
      <c r="A27" s="6">
        <f>ELEC!C25</f>
        <v>44399</v>
      </c>
      <c r="B27" s="5">
        <f t="shared" si="8"/>
        <v>109443</v>
      </c>
      <c r="C27" s="5">
        <f t="shared" si="9"/>
        <v>0</v>
      </c>
      <c r="D27" s="415">
        <f t="shared" si="10"/>
        <v>0</v>
      </c>
      <c r="E27" s="329">
        <f>SUM((C27*$E$4)+(7500/'EDl log'!$A$37))</f>
        <v>241.93548387096774</v>
      </c>
      <c r="F27" s="323"/>
      <c r="G27" s="5">
        <f t="shared" si="11"/>
        <v>622501</v>
      </c>
      <c r="H27" s="5">
        <f t="shared" si="12"/>
        <v>0</v>
      </c>
      <c r="I27" s="5">
        <f t="shared" si="13"/>
        <v>0</v>
      </c>
      <c r="J27" s="330">
        <f t="shared" si="0"/>
        <v>0</v>
      </c>
      <c r="K27" s="5">
        <f>'Swimming Pool quality check '!H27</f>
        <v>6802</v>
      </c>
      <c r="L27" s="271">
        <f t="shared" si="41"/>
        <v>0</v>
      </c>
      <c r="M27" s="406">
        <f t="shared" si="14"/>
        <v>457.44</v>
      </c>
      <c r="N27" s="504">
        <f t="shared" si="44"/>
        <v>0</v>
      </c>
      <c r="O27" s="406">
        <f t="shared" si="15"/>
        <v>529.52</v>
      </c>
      <c r="P27" s="504">
        <f t="shared" si="45"/>
        <v>0</v>
      </c>
      <c r="Q27" s="504">
        <f t="shared" si="46"/>
        <v>0</v>
      </c>
      <c r="R27" s="506"/>
      <c r="S27" s="506"/>
      <c r="T27" s="5">
        <f t="shared" si="16"/>
        <v>5174</v>
      </c>
      <c r="U27" s="5">
        <f t="shared" si="3"/>
        <v>0</v>
      </c>
      <c r="V27" s="5">
        <f t="shared" si="17"/>
        <v>475</v>
      </c>
      <c r="W27" s="320">
        <f t="shared" si="18"/>
        <v>0</v>
      </c>
      <c r="X27" s="5">
        <f t="shared" si="19"/>
        <v>152908</v>
      </c>
      <c r="Y27" s="320">
        <f>SUM(X27-X26)</f>
        <v>0</v>
      </c>
      <c r="Z27" s="5">
        <f t="shared" si="20"/>
        <v>99129</v>
      </c>
      <c r="AA27" s="83">
        <f t="shared" si="21"/>
        <v>0</v>
      </c>
      <c r="AB27" s="5">
        <f t="shared" si="22"/>
        <v>261</v>
      </c>
      <c r="AC27" s="5">
        <f t="shared" si="23"/>
        <v>731</v>
      </c>
      <c r="AD27" s="83">
        <f t="shared" si="39"/>
        <v>0</v>
      </c>
      <c r="AE27" s="5">
        <f t="shared" si="24"/>
        <v>230.66</v>
      </c>
      <c r="AF27" s="83">
        <f t="shared" si="25"/>
        <v>0</v>
      </c>
      <c r="AG27" s="5">
        <f t="shared" si="26"/>
        <v>2210.4</v>
      </c>
      <c r="AH27" s="83">
        <f t="shared" si="27"/>
        <v>0</v>
      </c>
      <c r="AI27" s="83">
        <f t="shared" si="28"/>
        <v>0</v>
      </c>
      <c r="AJ27" s="322">
        <f t="shared" si="29"/>
        <v>0</v>
      </c>
      <c r="AK27" s="323">
        <f t="shared" si="40"/>
        <v>0</v>
      </c>
      <c r="AL27" s="323">
        <f t="shared" si="30"/>
        <v>0</v>
      </c>
      <c r="AM27" s="323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4">
        <f t="shared" si="31"/>
        <v>44399</v>
      </c>
      <c r="AS27" s="420">
        <f t="shared" si="48"/>
        <v>0.9</v>
      </c>
      <c r="AT27" s="201">
        <f t="shared" si="48"/>
        <v>93</v>
      </c>
      <c r="AU27" s="421">
        <f t="shared" si="43"/>
        <v>1.1000000000000001</v>
      </c>
      <c r="AV27" s="201">
        <f t="shared" si="32"/>
        <v>162</v>
      </c>
      <c r="AW27" s="5">
        <v>2.9</v>
      </c>
      <c r="AX27" s="201">
        <f t="shared" si="33"/>
        <v>93</v>
      </c>
      <c r="AY27" s="422">
        <f t="shared" si="5"/>
        <v>83.7</v>
      </c>
      <c r="AZ27" s="422">
        <f t="shared" si="34"/>
        <v>178.20000000000002</v>
      </c>
      <c r="BA27" s="422">
        <f t="shared" si="35"/>
        <v>269.7</v>
      </c>
      <c r="BB27" s="21">
        <f t="shared" si="36"/>
        <v>0</v>
      </c>
      <c r="BC27" s="21">
        <f t="shared" si="36"/>
        <v>0</v>
      </c>
      <c r="BD27" s="21">
        <f t="shared" si="36"/>
        <v>0</v>
      </c>
      <c r="BE27" s="24">
        <f t="shared" si="38"/>
        <v>0</v>
      </c>
      <c r="BF27" s="96">
        <f t="shared" si="6"/>
        <v>0</v>
      </c>
      <c r="BG27" s="82">
        <f t="shared" si="7"/>
        <v>0</v>
      </c>
    </row>
    <row r="28" spans="1:61" ht="15.75" thickBot="1">
      <c r="A28" s="6">
        <f>ELEC!C26</f>
        <v>44400</v>
      </c>
      <c r="B28" s="5">
        <f t="shared" si="8"/>
        <v>109443</v>
      </c>
      <c r="C28" s="5">
        <f t="shared" si="9"/>
        <v>0</v>
      </c>
      <c r="D28" s="415">
        <f t="shared" si="10"/>
        <v>0</v>
      </c>
      <c r="E28" s="329">
        <f>SUM((C28*$E$4)+(7500/'EDl log'!$A$37))</f>
        <v>241.93548387096774</v>
      </c>
      <c r="F28" s="323"/>
      <c r="G28" s="5">
        <f t="shared" si="11"/>
        <v>622501</v>
      </c>
      <c r="H28" s="5">
        <f t="shared" si="12"/>
        <v>0</v>
      </c>
      <c r="I28" s="5">
        <f t="shared" si="13"/>
        <v>0</v>
      </c>
      <c r="J28" s="330">
        <f t="shared" si="0"/>
        <v>0</v>
      </c>
      <c r="K28" s="5">
        <f>'Swimming Pool quality check '!H28</f>
        <v>6802</v>
      </c>
      <c r="L28" s="271">
        <f t="shared" si="41"/>
        <v>0</v>
      </c>
      <c r="M28" s="406">
        <f t="shared" si="14"/>
        <v>457.44</v>
      </c>
      <c r="N28" s="504">
        <f t="shared" si="44"/>
        <v>0</v>
      </c>
      <c r="O28" s="406">
        <f t="shared" si="15"/>
        <v>529.52</v>
      </c>
      <c r="P28" s="504">
        <f t="shared" si="45"/>
        <v>0</v>
      </c>
      <c r="Q28" s="504">
        <f t="shared" si="46"/>
        <v>0</v>
      </c>
      <c r="R28" s="506"/>
      <c r="S28" s="506"/>
      <c r="T28" s="5">
        <f t="shared" si="16"/>
        <v>5174</v>
      </c>
      <c r="U28" s="5">
        <f t="shared" si="3"/>
        <v>0</v>
      </c>
      <c r="V28" s="5">
        <f t="shared" si="17"/>
        <v>475</v>
      </c>
      <c r="W28" s="320">
        <f t="shared" si="18"/>
        <v>0</v>
      </c>
      <c r="X28" s="5">
        <f t="shared" si="19"/>
        <v>152908</v>
      </c>
      <c r="Y28" s="320">
        <f t="shared" si="42"/>
        <v>0</v>
      </c>
      <c r="Z28" s="5">
        <f t="shared" si="20"/>
        <v>99129</v>
      </c>
      <c r="AA28" s="83">
        <f t="shared" si="21"/>
        <v>0</v>
      </c>
      <c r="AB28" s="5">
        <f t="shared" si="22"/>
        <v>261</v>
      </c>
      <c r="AC28" s="5">
        <f t="shared" si="23"/>
        <v>731</v>
      </c>
      <c r="AD28" s="83">
        <f t="shared" si="39"/>
        <v>0</v>
      </c>
      <c r="AE28" s="5">
        <f t="shared" si="24"/>
        <v>230.66</v>
      </c>
      <c r="AF28" s="83">
        <f t="shared" si="25"/>
        <v>0</v>
      </c>
      <c r="AG28" s="5">
        <f t="shared" si="26"/>
        <v>2210.4</v>
      </c>
      <c r="AH28" s="83">
        <f t="shared" si="27"/>
        <v>0</v>
      </c>
      <c r="AI28" s="83">
        <f t="shared" si="28"/>
        <v>0</v>
      </c>
      <c r="AJ28" s="322">
        <f t="shared" si="29"/>
        <v>0</v>
      </c>
      <c r="AK28" s="323">
        <f t="shared" si="40"/>
        <v>0</v>
      </c>
      <c r="AL28" s="323">
        <f t="shared" si="30"/>
        <v>0</v>
      </c>
      <c r="AM28" s="323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4">
        <f t="shared" si="31"/>
        <v>44400</v>
      </c>
      <c r="AS28" s="420">
        <f t="shared" si="48"/>
        <v>0.9</v>
      </c>
      <c r="AT28" s="201">
        <f t="shared" si="48"/>
        <v>93</v>
      </c>
      <c r="AU28" s="421">
        <f t="shared" si="43"/>
        <v>1.1000000000000001</v>
      </c>
      <c r="AV28" s="201">
        <f t="shared" si="32"/>
        <v>162</v>
      </c>
      <c r="AW28" s="5">
        <v>2.9</v>
      </c>
      <c r="AX28" s="201">
        <f t="shared" si="33"/>
        <v>93</v>
      </c>
      <c r="AY28" s="422">
        <f t="shared" si="5"/>
        <v>83.7</v>
      </c>
      <c r="AZ28" s="422">
        <f t="shared" si="34"/>
        <v>178.20000000000002</v>
      </c>
      <c r="BA28" s="422">
        <f t="shared" si="35"/>
        <v>269.7</v>
      </c>
      <c r="BB28" s="21">
        <f t="shared" si="36"/>
        <v>0</v>
      </c>
      <c r="BC28" s="21">
        <f t="shared" si="36"/>
        <v>0</v>
      </c>
      <c r="BD28" s="21">
        <f t="shared" si="36"/>
        <v>0</v>
      </c>
      <c r="BE28" s="24">
        <f t="shared" si="38"/>
        <v>0</v>
      </c>
      <c r="BF28" s="96">
        <f t="shared" si="6"/>
        <v>0</v>
      </c>
      <c r="BG28" s="82">
        <f t="shared" si="7"/>
        <v>0</v>
      </c>
    </row>
    <row r="29" spans="1:61" ht="15.75" thickBot="1">
      <c r="A29" s="6">
        <f>ELEC!C27</f>
        <v>44401</v>
      </c>
      <c r="B29" s="5">
        <f t="shared" si="8"/>
        <v>109443</v>
      </c>
      <c r="C29" s="5">
        <f t="shared" si="9"/>
        <v>0</v>
      </c>
      <c r="D29" s="415">
        <f t="shared" si="10"/>
        <v>0</v>
      </c>
      <c r="E29" s="329">
        <f>SUM((C29*$E$4)+(7500/'EDl log'!$A$37))</f>
        <v>241.93548387096774</v>
      </c>
      <c r="F29" s="323"/>
      <c r="G29" s="5">
        <f t="shared" si="11"/>
        <v>622501</v>
      </c>
      <c r="H29" s="5">
        <f t="shared" si="12"/>
        <v>0</v>
      </c>
      <c r="I29" s="5">
        <f t="shared" si="13"/>
        <v>0</v>
      </c>
      <c r="J29" s="330">
        <f t="shared" si="0"/>
        <v>0</v>
      </c>
      <c r="K29" s="5">
        <f>'Swimming Pool quality check '!H29</f>
        <v>6802</v>
      </c>
      <c r="L29" s="271">
        <f t="shared" si="41"/>
        <v>0</v>
      </c>
      <c r="M29" s="406">
        <f t="shared" si="14"/>
        <v>457.44</v>
      </c>
      <c r="N29" s="504">
        <f t="shared" si="44"/>
        <v>0</v>
      </c>
      <c r="O29" s="406">
        <f t="shared" si="15"/>
        <v>529.52</v>
      </c>
      <c r="P29" s="504">
        <f t="shared" si="45"/>
        <v>0</v>
      </c>
      <c r="Q29" s="504">
        <f t="shared" si="46"/>
        <v>0</v>
      </c>
      <c r="R29" s="506"/>
      <c r="S29" s="506"/>
      <c r="T29" s="5">
        <f t="shared" si="16"/>
        <v>5174</v>
      </c>
      <c r="U29" s="5">
        <f t="shared" si="3"/>
        <v>0</v>
      </c>
      <c r="V29" s="5">
        <f t="shared" si="17"/>
        <v>475</v>
      </c>
      <c r="W29" s="320">
        <f t="shared" si="18"/>
        <v>0</v>
      </c>
      <c r="X29" s="5">
        <f t="shared" si="19"/>
        <v>152908</v>
      </c>
      <c r="Y29" s="320">
        <f t="shared" si="42"/>
        <v>0</v>
      </c>
      <c r="Z29" s="5">
        <f t="shared" si="20"/>
        <v>99129</v>
      </c>
      <c r="AA29" s="83">
        <f t="shared" si="21"/>
        <v>0</v>
      </c>
      <c r="AB29" s="5">
        <f t="shared" si="22"/>
        <v>261</v>
      </c>
      <c r="AC29" s="5">
        <f t="shared" si="23"/>
        <v>731</v>
      </c>
      <c r="AD29" s="83">
        <f t="shared" si="39"/>
        <v>0</v>
      </c>
      <c r="AE29" s="5">
        <f t="shared" si="24"/>
        <v>230.66</v>
      </c>
      <c r="AF29" s="83">
        <f t="shared" si="25"/>
        <v>0</v>
      </c>
      <c r="AG29" s="5">
        <f t="shared" si="26"/>
        <v>2210.4</v>
      </c>
      <c r="AH29" s="83">
        <f t="shared" si="27"/>
        <v>0</v>
      </c>
      <c r="AI29" s="83">
        <f t="shared" si="28"/>
        <v>0</v>
      </c>
      <c r="AJ29" s="322">
        <f t="shared" si="29"/>
        <v>0</v>
      </c>
      <c r="AK29" s="323">
        <f t="shared" si="40"/>
        <v>0</v>
      </c>
      <c r="AL29" s="323">
        <f t="shared" si="30"/>
        <v>0</v>
      </c>
      <c r="AM29" s="323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4">
        <f t="shared" si="31"/>
        <v>44401</v>
      </c>
      <c r="AS29" s="420">
        <f t="shared" si="48"/>
        <v>0.9</v>
      </c>
      <c r="AT29" s="201">
        <f t="shared" si="48"/>
        <v>93</v>
      </c>
      <c r="AU29" s="421">
        <f t="shared" si="43"/>
        <v>1.1000000000000001</v>
      </c>
      <c r="AV29" s="201">
        <f t="shared" si="32"/>
        <v>162</v>
      </c>
      <c r="AW29" s="5">
        <v>2.9</v>
      </c>
      <c r="AX29" s="201">
        <f t="shared" si="33"/>
        <v>93</v>
      </c>
      <c r="AY29" s="422">
        <f t="shared" si="5"/>
        <v>83.7</v>
      </c>
      <c r="AZ29" s="422">
        <f t="shared" si="34"/>
        <v>178.20000000000002</v>
      </c>
      <c r="BA29" s="422">
        <f t="shared" si="35"/>
        <v>269.7</v>
      </c>
      <c r="BB29" s="21">
        <f t="shared" si="36"/>
        <v>0</v>
      </c>
      <c r="BC29" s="21">
        <f t="shared" si="36"/>
        <v>0</v>
      </c>
      <c r="BD29" s="21">
        <f t="shared" si="36"/>
        <v>0</v>
      </c>
      <c r="BE29" s="24">
        <f t="shared" si="38"/>
        <v>0</v>
      </c>
      <c r="BF29" s="96">
        <f t="shared" si="6"/>
        <v>0</v>
      </c>
      <c r="BG29" s="82">
        <f t="shared" si="7"/>
        <v>0</v>
      </c>
    </row>
    <row r="30" spans="1:61" ht="15.75" thickBot="1">
      <c r="A30" s="6">
        <f>ELEC!C28</f>
        <v>44402</v>
      </c>
      <c r="B30" s="5">
        <f t="shared" si="8"/>
        <v>109443</v>
      </c>
      <c r="C30" s="5">
        <f t="shared" si="9"/>
        <v>0</v>
      </c>
      <c r="D30" s="415">
        <f t="shared" si="10"/>
        <v>0</v>
      </c>
      <c r="E30" s="329">
        <f>SUM((C30*$E$4)+(7500/'EDl log'!$A$37))</f>
        <v>241.93548387096774</v>
      </c>
      <c r="F30" s="323"/>
      <c r="G30" s="5">
        <f t="shared" si="11"/>
        <v>622501</v>
      </c>
      <c r="H30" s="5">
        <f t="shared" si="12"/>
        <v>0</v>
      </c>
      <c r="I30" s="5">
        <f t="shared" si="13"/>
        <v>0</v>
      </c>
      <c r="J30" s="330">
        <f t="shared" si="0"/>
        <v>0</v>
      </c>
      <c r="K30" s="5">
        <f>'Swimming Pool quality check '!H30</f>
        <v>6802</v>
      </c>
      <c r="L30" s="271">
        <f t="shared" si="41"/>
        <v>0</v>
      </c>
      <c r="M30" s="406">
        <f t="shared" si="14"/>
        <v>457.44</v>
      </c>
      <c r="N30" s="504">
        <f t="shared" si="44"/>
        <v>0</v>
      </c>
      <c r="O30" s="406">
        <f t="shared" si="15"/>
        <v>529.52</v>
      </c>
      <c r="P30" s="504">
        <f t="shared" si="45"/>
        <v>0</v>
      </c>
      <c r="Q30" s="504">
        <f t="shared" si="46"/>
        <v>0</v>
      </c>
      <c r="R30" s="506"/>
      <c r="S30" s="506"/>
      <c r="T30" s="5">
        <f t="shared" si="16"/>
        <v>5174</v>
      </c>
      <c r="U30" s="5">
        <f t="shared" si="3"/>
        <v>0</v>
      </c>
      <c r="V30" s="5">
        <f t="shared" si="17"/>
        <v>475</v>
      </c>
      <c r="W30" s="320">
        <f t="shared" si="18"/>
        <v>0</v>
      </c>
      <c r="X30" s="5">
        <f t="shared" si="19"/>
        <v>152908</v>
      </c>
      <c r="Y30" s="320">
        <f t="shared" si="42"/>
        <v>0</v>
      </c>
      <c r="Z30" s="5">
        <f t="shared" si="20"/>
        <v>99129</v>
      </c>
      <c r="AA30" s="83">
        <f t="shared" si="21"/>
        <v>0</v>
      </c>
      <c r="AB30" s="5">
        <f t="shared" si="22"/>
        <v>261</v>
      </c>
      <c r="AC30" s="5">
        <f t="shared" si="23"/>
        <v>731</v>
      </c>
      <c r="AD30" s="83">
        <f t="shared" si="39"/>
        <v>0</v>
      </c>
      <c r="AE30" s="5">
        <f t="shared" si="24"/>
        <v>230.66</v>
      </c>
      <c r="AF30" s="83">
        <f t="shared" si="25"/>
        <v>0</v>
      </c>
      <c r="AG30" s="5">
        <f t="shared" si="26"/>
        <v>2210.4</v>
      </c>
      <c r="AH30" s="83">
        <f t="shared" si="27"/>
        <v>0</v>
      </c>
      <c r="AI30" s="83">
        <f t="shared" si="28"/>
        <v>0</v>
      </c>
      <c r="AJ30" s="322">
        <f t="shared" si="29"/>
        <v>0</v>
      </c>
      <c r="AK30" s="323">
        <f t="shared" si="40"/>
        <v>0</v>
      </c>
      <c r="AL30" s="323">
        <f t="shared" si="30"/>
        <v>0</v>
      </c>
      <c r="AM30" s="323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4">
        <f t="shared" si="31"/>
        <v>44402</v>
      </c>
      <c r="AS30" s="420">
        <f t="shared" si="48"/>
        <v>0.9</v>
      </c>
      <c r="AT30" s="201">
        <f t="shared" si="48"/>
        <v>93</v>
      </c>
      <c r="AU30" s="421">
        <f t="shared" si="43"/>
        <v>1.1000000000000001</v>
      </c>
      <c r="AV30" s="201">
        <f t="shared" si="32"/>
        <v>162</v>
      </c>
      <c r="AW30" s="5">
        <v>2.9</v>
      </c>
      <c r="AX30" s="201">
        <f t="shared" si="33"/>
        <v>93</v>
      </c>
      <c r="AY30" s="422">
        <f t="shared" si="5"/>
        <v>83.7</v>
      </c>
      <c r="AZ30" s="422">
        <f t="shared" si="34"/>
        <v>178.20000000000002</v>
      </c>
      <c r="BA30" s="422">
        <f t="shared" si="35"/>
        <v>269.7</v>
      </c>
      <c r="BB30" s="21">
        <f t="shared" si="36"/>
        <v>0</v>
      </c>
      <c r="BC30" s="21">
        <f t="shared" si="36"/>
        <v>0</v>
      </c>
      <c r="BD30" s="21">
        <f t="shared" si="36"/>
        <v>0</v>
      </c>
      <c r="BE30" s="24">
        <f t="shared" si="38"/>
        <v>0</v>
      </c>
      <c r="BF30" s="96">
        <f t="shared" si="6"/>
        <v>0</v>
      </c>
      <c r="BG30" s="82">
        <f t="shared" si="7"/>
        <v>0</v>
      </c>
    </row>
    <row r="31" spans="1:61" ht="15.75" thickBot="1">
      <c r="A31" s="6">
        <f>ELEC!C29</f>
        <v>44403</v>
      </c>
      <c r="B31" s="5">
        <f t="shared" si="8"/>
        <v>109443</v>
      </c>
      <c r="C31" s="5">
        <f t="shared" si="9"/>
        <v>0</v>
      </c>
      <c r="D31" s="415">
        <f t="shared" si="10"/>
        <v>0</v>
      </c>
      <c r="E31" s="329">
        <f>SUM((C31*$E$4)+(7500/'EDl log'!$A$37))</f>
        <v>241.93548387096774</v>
      </c>
      <c r="F31" s="323"/>
      <c r="G31" s="5">
        <f t="shared" si="11"/>
        <v>622501</v>
      </c>
      <c r="H31" s="5">
        <f t="shared" si="12"/>
        <v>0</v>
      </c>
      <c r="I31" s="5">
        <f t="shared" si="13"/>
        <v>0</v>
      </c>
      <c r="J31" s="330">
        <f t="shared" si="0"/>
        <v>0</v>
      </c>
      <c r="K31" s="5">
        <f>'Swimming Pool quality check '!H31</f>
        <v>6802</v>
      </c>
      <c r="L31" s="271">
        <f t="shared" si="41"/>
        <v>0</v>
      </c>
      <c r="M31" s="406">
        <f t="shared" si="14"/>
        <v>457.44</v>
      </c>
      <c r="N31" s="504">
        <f t="shared" si="44"/>
        <v>0</v>
      </c>
      <c r="O31" s="406">
        <f t="shared" si="15"/>
        <v>529.52</v>
      </c>
      <c r="P31" s="504">
        <f t="shared" si="45"/>
        <v>0</v>
      </c>
      <c r="Q31" s="504">
        <f t="shared" si="46"/>
        <v>0</v>
      </c>
      <c r="R31" s="506"/>
      <c r="S31" s="506"/>
      <c r="T31" s="5">
        <f t="shared" si="16"/>
        <v>5174</v>
      </c>
      <c r="U31" s="5">
        <f t="shared" si="3"/>
        <v>0</v>
      </c>
      <c r="V31" s="5">
        <f t="shared" si="17"/>
        <v>475</v>
      </c>
      <c r="W31" s="320">
        <f t="shared" si="18"/>
        <v>0</v>
      </c>
      <c r="X31" s="5">
        <f t="shared" si="19"/>
        <v>152908</v>
      </c>
      <c r="Y31" s="320">
        <f t="shared" si="42"/>
        <v>0</v>
      </c>
      <c r="Z31" s="5">
        <f t="shared" si="20"/>
        <v>99129</v>
      </c>
      <c r="AA31" s="83">
        <f t="shared" si="21"/>
        <v>0</v>
      </c>
      <c r="AB31" s="5">
        <f t="shared" si="22"/>
        <v>261</v>
      </c>
      <c r="AC31" s="5">
        <f t="shared" si="23"/>
        <v>731</v>
      </c>
      <c r="AD31" s="83">
        <f t="shared" si="39"/>
        <v>0</v>
      </c>
      <c r="AE31" s="5">
        <f t="shared" si="24"/>
        <v>230.66</v>
      </c>
      <c r="AF31" s="83">
        <f t="shared" si="25"/>
        <v>0</v>
      </c>
      <c r="AG31" s="5">
        <f t="shared" si="26"/>
        <v>2210.4</v>
      </c>
      <c r="AH31" s="83">
        <f>AG31-AG30</f>
        <v>0</v>
      </c>
      <c r="AI31" s="83">
        <f>AF31+AH31</f>
        <v>0</v>
      </c>
      <c r="AJ31" s="322">
        <f t="shared" si="29"/>
        <v>0</v>
      </c>
      <c r="AK31" s="323">
        <f t="shared" si="40"/>
        <v>0</v>
      </c>
      <c r="AL31" s="323">
        <f t="shared" si="30"/>
        <v>0</v>
      </c>
      <c r="AM31" s="323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4">
        <f t="shared" si="31"/>
        <v>44403</v>
      </c>
      <c r="AS31" s="420">
        <f t="shared" si="48"/>
        <v>0.9</v>
      </c>
      <c r="AT31" s="201">
        <f t="shared" si="48"/>
        <v>93</v>
      </c>
      <c r="AU31" s="421">
        <f t="shared" si="43"/>
        <v>1.1000000000000001</v>
      </c>
      <c r="AV31" s="201">
        <f t="shared" si="32"/>
        <v>162</v>
      </c>
      <c r="AW31" s="5">
        <v>2.9</v>
      </c>
      <c r="AX31" s="201">
        <f t="shared" si="33"/>
        <v>93</v>
      </c>
      <c r="AY31" s="422">
        <f t="shared" si="5"/>
        <v>83.7</v>
      </c>
      <c r="AZ31" s="422">
        <f>AU31*AV31</f>
        <v>178.20000000000002</v>
      </c>
      <c r="BA31" s="422">
        <f t="shared" si="35"/>
        <v>269.7</v>
      </c>
      <c r="BB31" s="21">
        <f t="shared" si="36"/>
        <v>0</v>
      </c>
      <c r="BC31" s="21">
        <f t="shared" si="36"/>
        <v>0</v>
      </c>
      <c r="BD31" s="21">
        <f t="shared" si="36"/>
        <v>0</v>
      </c>
      <c r="BE31" s="24">
        <f t="shared" si="38"/>
        <v>0</v>
      </c>
      <c r="BF31" s="96">
        <f t="shared" si="6"/>
        <v>0</v>
      </c>
      <c r="BG31" s="82">
        <f t="shared" si="7"/>
        <v>0</v>
      </c>
    </row>
    <row r="32" spans="1:61" ht="15.75" thickBot="1">
      <c r="A32" s="6">
        <f>ELEC!C30</f>
        <v>44404</v>
      </c>
      <c r="B32" s="5">
        <f t="shared" si="8"/>
        <v>109443</v>
      </c>
      <c r="C32" s="5">
        <f t="shared" si="9"/>
        <v>0</v>
      </c>
      <c r="D32" s="415">
        <f t="shared" si="10"/>
        <v>0</v>
      </c>
      <c r="E32" s="329">
        <f>SUM((C32*$E$4)+(7500/'EDl log'!$A$37))</f>
        <v>241.93548387096774</v>
      </c>
      <c r="F32" s="323"/>
      <c r="G32" s="5">
        <f t="shared" si="11"/>
        <v>622501</v>
      </c>
      <c r="H32" s="5">
        <f t="shared" si="12"/>
        <v>0</v>
      </c>
      <c r="I32" s="5">
        <f t="shared" si="13"/>
        <v>0</v>
      </c>
      <c r="J32" s="330">
        <f t="shared" si="0"/>
        <v>0</v>
      </c>
      <c r="K32" s="5">
        <f>'Swimming Pool quality check '!H32</f>
        <v>6802</v>
      </c>
      <c r="L32" s="271">
        <f t="shared" si="41"/>
        <v>0</v>
      </c>
      <c r="M32" s="406">
        <f t="shared" si="14"/>
        <v>457.44</v>
      </c>
      <c r="N32" s="504">
        <f t="shared" si="44"/>
        <v>0</v>
      </c>
      <c r="O32" s="406">
        <f t="shared" si="15"/>
        <v>529.52</v>
      </c>
      <c r="P32" s="504">
        <f t="shared" si="45"/>
        <v>0</v>
      </c>
      <c r="Q32" s="504">
        <f t="shared" si="46"/>
        <v>0</v>
      </c>
      <c r="R32" s="506"/>
      <c r="S32" s="506"/>
      <c r="T32" s="5">
        <f t="shared" si="16"/>
        <v>5174</v>
      </c>
      <c r="U32" s="5">
        <f t="shared" si="3"/>
        <v>0</v>
      </c>
      <c r="V32" s="5">
        <f t="shared" si="17"/>
        <v>475</v>
      </c>
      <c r="W32" s="320">
        <f t="shared" si="18"/>
        <v>0</v>
      </c>
      <c r="X32" s="5">
        <f t="shared" si="19"/>
        <v>152908</v>
      </c>
      <c r="Y32" s="320">
        <f t="shared" si="42"/>
        <v>0</v>
      </c>
      <c r="Z32" s="5">
        <f t="shared" si="20"/>
        <v>99129</v>
      </c>
      <c r="AA32" s="83">
        <f t="shared" si="21"/>
        <v>0</v>
      </c>
      <c r="AB32" s="5">
        <f t="shared" si="22"/>
        <v>261</v>
      </c>
      <c r="AC32" s="5">
        <f t="shared" si="23"/>
        <v>731</v>
      </c>
      <c r="AD32" s="83">
        <f t="shared" si="39"/>
        <v>0</v>
      </c>
      <c r="AE32" s="5">
        <f t="shared" si="24"/>
        <v>230.66</v>
      </c>
      <c r="AF32" s="83">
        <f t="shared" si="25"/>
        <v>0</v>
      </c>
      <c r="AG32" s="5">
        <f t="shared" si="26"/>
        <v>2210.4</v>
      </c>
      <c r="AH32" s="83">
        <f t="shared" si="27"/>
        <v>0</v>
      </c>
      <c r="AI32" s="83">
        <f t="shared" si="28"/>
        <v>0</v>
      </c>
      <c r="AJ32" s="322">
        <f t="shared" si="29"/>
        <v>0</v>
      </c>
      <c r="AK32" s="323">
        <f t="shared" si="40"/>
        <v>0</v>
      </c>
      <c r="AL32" s="323">
        <f t="shared" si="30"/>
        <v>0</v>
      </c>
      <c r="AM32" s="323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4">
        <f t="shared" si="31"/>
        <v>44404</v>
      </c>
      <c r="AS32" s="420">
        <f t="shared" si="48"/>
        <v>0.9</v>
      </c>
      <c r="AT32" s="201">
        <f t="shared" si="48"/>
        <v>93</v>
      </c>
      <c r="AU32" s="421">
        <f t="shared" si="43"/>
        <v>1.1000000000000001</v>
      </c>
      <c r="AV32" s="201">
        <f t="shared" si="32"/>
        <v>162</v>
      </c>
      <c r="AW32" s="5">
        <v>2.9</v>
      </c>
      <c r="AX32" s="201">
        <f t="shared" si="33"/>
        <v>93</v>
      </c>
      <c r="AY32" s="422">
        <f t="shared" si="5"/>
        <v>83.7</v>
      </c>
      <c r="AZ32" s="422">
        <f t="shared" si="34"/>
        <v>178.20000000000002</v>
      </c>
      <c r="BA32" s="422">
        <f t="shared" si="35"/>
        <v>269.7</v>
      </c>
      <c r="BB32" s="21">
        <f t="shared" si="36"/>
        <v>0</v>
      </c>
      <c r="BC32" s="21">
        <f t="shared" si="36"/>
        <v>0</v>
      </c>
      <c r="BD32" s="21">
        <f t="shared" si="36"/>
        <v>0</v>
      </c>
      <c r="BE32" s="24">
        <f t="shared" si="38"/>
        <v>0</v>
      </c>
      <c r="BF32" s="96">
        <f t="shared" si="6"/>
        <v>0</v>
      </c>
      <c r="BG32" s="82">
        <f t="shared" si="7"/>
        <v>0</v>
      </c>
    </row>
    <row r="33" spans="1:59" ht="15.75" thickBot="1">
      <c r="A33" s="6">
        <f>ELEC!C31</f>
        <v>44405</v>
      </c>
      <c r="B33" s="5">
        <f t="shared" si="8"/>
        <v>109443</v>
      </c>
      <c r="C33" s="5">
        <f t="shared" si="9"/>
        <v>0</v>
      </c>
      <c r="D33" s="415">
        <f t="shared" si="10"/>
        <v>0</v>
      </c>
      <c r="E33" s="329">
        <f>SUM((C33*$E$4)+(7500/'EDl log'!$A$37))</f>
        <v>241.93548387096774</v>
      </c>
      <c r="F33" s="323"/>
      <c r="G33" s="5">
        <f t="shared" si="11"/>
        <v>622501</v>
      </c>
      <c r="H33" s="5">
        <f t="shared" si="12"/>
        <v>0</v>
      </c>
      <c r="I33" s="5">
        <f t="shared" si="13"/>
        <v>0</v>
      </c>
      <c r="J33" s="330">
        <f t="shared" si="0"/>
        <v>0</v>
      </c>
      <c r="K33" s="5">
        <f>'Swimming Pool quality check '!H33</f>
        <v>6802</v>
      </c>
      <c r="L33" s="271">
        <f t="shared" si="41"/>
        <v>0</v>
      </c>
      <c r="M33" s="406">
        <f t="shared" si="14"/>
        <v>457.44</v>
      </c>
      <c r="N33" s="504">
        <f t="shared" si="44"/>
        <v>0</v>
      </c>
      <c r="O33" s="406">
        <f t="shared" si="15"/>
        <v>529.52</v>
      </c>
      <c r="P33" s="504">
        <f t="shared" si="45"/>
        <v>0</v>
      </c>
      <c r="Q33" s="504">
        <f t="shared" si="46"/>
        <v>0</v>
      </c>
      <c r="R33" s="506"/>
      <c r="S33" s="506"/>
      <c r="T33" s="5">
        <f t="shared" si="16"/>
        <v>5174</v>
      </c>
      <c r="U33" s="5">
        <f t="shared" si="3"/>
        <v>0</v>
      </c>
      <c r="V33" s="5">
        <f t="shared" si="17"/>
        <v>475</v>
      </c>
      <c r="W33" s="320">
        <f t="shared" si="18"/>
        <v>0</v>
      </c>
      <c r="X33" s="5">
        <f t="shared" si="19"/>
        <v>152908</v>
      </c>
      <c r="Y33" s="320">
        <f t="shared" si="42"/>
        <v>0</v>
      </c>
      <c r="Z33" s="5">
        <f t="shared" si="20"/>
        <v>99129</v>
      </c>
      <c r="AA33" s="83">
        <f t="shared" si="21"/>
        <v>0</v>
      </c>
      <c r="AB33" s="5">
        <f t="shared" si="22"/>
        <v>261</v>
      </c>
      <c r="AC33" s="5">
        <f t="shared" si="23"/>
        <v>731</v>
      </c>
      <c r="AD33" s="83">
        <f t="shared" si="39"/>
        <v>0</v>
      </c>
      <c r="AE33" s="5">
        <f t="shared" si="24"/>
        <v>230.66</v>
      </c>
      <c r="AF33" s="83">
        <f>AE33-AE32</f>
        <v>0</v>
      </c>
      <c r="AG33" s="5">
        <f t="shared" si="26"/>
        <v>2210.4</v>
      </c>
      <c r="AH33" s="83">
        <f t="shared" si="27"/>
        <v>0</v>
      </c>
      <c r="AI33" s="83">
        <f t="shared" si="28"/>
        <v>0</v>
      </c>
      <c r="AJ33" s="322">
        <f t="shared" si="29"/>
        <v>0</v>
      </c>
      <c r="AK33" s="323">
        <f t="shared" si="40"/>
        <v>0</v>
      </c>
      <c r="AL33" s="323">
        <f t="shared" si="30"/>
        <v>0</v>
      </c>
      <c r="AM33" s="323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4">
        <f t="shared" si="31"/>
        <v>44405</v>
      </c>
      <c r="AS33" s="420">
        <f t="shared" si="48"/>
        <v>0.9</v>
      </c>
      <c r="AT33" s="201">
        <f t="shared" si="48"/>
        <v>93</v>
      </c>
      <c r="AU33" s="421">
        <f t="shared" si="43"/>
        <v>1.1000000000000001</v>
      </c>
      <c r="AV33" s="201">
        <f t="shared" si="32"/>
        <v>162</v>
      </c>
      <c r="AW33" s="5">
        <v>2.9</v>
      </c>
      <c r="AX33" s="201">
        <f t="shared" si="33"/>
        <v>93</v>
      </c>
      <c r="AY33" s="422">
        <f t="shared" si="5"/>
        <v>83.7</v>
      </c>
      <c r="AZ33" s="422">
        <f t="shared" si="34"/>
        <v>178.20000000000002</v>
      </c>
      <c r="BA33" s="422">
        <f t="shared" si="35"/>
        <v>269.7</v>
      </c>
      <c r="BB33" s="21">
        <f t="shared" si="36"/>
        <v>0</v>
      </c>
      <c r="BC33" s="21">
        <f t="shared" si="36"/>
        <v>0</v>
      </c>
      <c r="BD33" s="21">
        <f t="shared" si="36"/>
        <v>0</v>
      </c>
      <c r="BE33" s="24">
        <f t="shared" si="38"/>
        <v>0</v>
      </c>
      <c r="BF33" s="96">
        <f t="shared" si="6"/>
        <v>0</v>
      </c>
      <c r="BG33" s="82">
        <f t="shared" si="7"/>
        <v>0</v>
      </c>
    </row>
    <row r="34" spans="1:59" ht="15.75" thickBot="1">
      <c r="A34" s="6">
        <f>ELEC!C32</f>
        <v>44406</v>
      </c>
      <c r="B34" s="5">
        <f t="shared" si="8"/>
        <v>109443</v>
      </c>
      <c r="C34" s="5">
        <f>B34-B33</f>
        <v>0</v>
      </c>
      <c r="D34" s="415">
        <f>C34/27</f>
        <v>0</v>
      </c>
      <c r="E34" s="329">
        <f>SUM((C34*$E$4)+(7500/'EDl log'!$A$37))</f>
        <v>241.93548387096774</v>
      </c>
      <c r="F34" s="323"/>
      <c r="G34" s="5">
        <f t="shared" si="11"/>
        <v>622501</v>
      </c>
      <c r="H34" s="5">
        <f>G34-G33</f>
        <v>0</v>
      </c>
      <c r="I34" s="5">
        <f>C34+H34</f>
        <v>0</v>
      </c>
      <c r="J34" s="330">
        <f>IF(I34&gt;0,E34/I34,0)</f>
        <v>0</v>
      </c>
      <c r="K34" s="5">
        <f>'Swimming Pool quality check '!H34</f>
        <v>6802</v>
      </c>
      <c r="L34" s="271">
        <f>K34-K33</f>
        <v>0</v>
      </c>
      <c r="M34" s="406">
        <f t="shared" si="14"/>
        <v>457.44</v>
      </c>
      <c r="N34" s="504">
        <f>SUM(M34-M33)</f>
        <v>0</v>
      </c>
      <c r="O34" s="406">
        <f t="shared" si="15"/>
        <v>529.52</v>
      </c>
      <c r="P34" s="504">
        <f>SUM(O34-O33)</f>
        <v>0</v>
      </c>
      <c r="Q34" s="504">
        <f>SUM(P34+N34)</f>
        <v>0</v>
      </c>
      <c r="R34" s="506"/>
      <c r="S34" s="506"/>
      <c r="T34" s="5">
        <f t="shared" si="16"/>
        <v>5174</v>
      </c>
      <c r="U34" s="5">
        <f>SUM(T34-T33)</f>
        <v>0</v>
      </c>
      <c r="V34" s="5">
        <f t="shared" si="17"/>
        <v>475</v>
      </c>
      <c r="W34" s="320">
        <f>+V34-V33</f>
        <v>0</v>
      </c>
      <c r="X34" s="5">
        <f t="shared" si="19"/>
        <v>152908</v>
      </c>
      <c r="Y34" s="320">
        <f>SUM(X34-X33)</f>
        <v>0</v>
      </c>
      <c r="Z34" s="5">
        <f t="shared" si="20"/>
        <v>99129</v>
      </c>
      <c r="AA34" s="83">
        <f>Z34-Z33</f>
        <v>0</v>
      </c>
      <c r="AB34" s="5">
        <f t="shared" si="22"/>
        <v>261</v>
      </c>
      <c r="AC34" s="5">
        <f t="shared" si="23"/>
        <v>731</v>
      </c>
      <c r="AD34" s="83">
        <f>AC34-AC33</f>
        <v>0</v>
      </c>
      <c r="AE34" s="5">
        <f t="shared" si="24"/>
        <v>230.66</v>
      </c>
      <c r="AF34" s="83">
        <f>AE34-AE33</f>
        <v>0</v>
      </c>
      <c r="AG34" s="5">
        <f t="shared" si="26"/>
        <v>2210.4</v>
      </c>
      <c r="AH34" s="83">
        <f>AG34-AG33</f>
        <v>0</v>
      </c>
      <c r="AI34" s="83">
        <f>AF34+AH34</f>
        <v>0</v>
      </c>
      <c r="AJ34" s="322">
        <f>+Z34-Z33</f>
        <v>0</v>
      </c>
      <c r="AK34" s="323">
        <f>SUM(Y34-L34)</f>
        <v>0</v>
      </c>
      <c r="AL34" s="323">
        <f>SUM(AJ34-W34)</f>
        <v>0</v>
      </c>
      <c r="AM34" s="323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4">
        <f>A34</f>
        <v>44406</v>
      </c>
      <c r="AS34" s="420">
        <f>AS33</f>
        <v>0.9</v>
      </c>
      <c r="AT34" s="201">
        <f t="shared" ref="AT34:AT35" si="49">AT33</f>
        <v>93</v>
      </c>
      <c r="AU34" s="421">
        <f>AU33</f>
        <v>1.1000000000000001</v>
      </c>
      <c r="AV34" s="201">
        <f t="shared" si="32"/>
        <v>162</v>
      </c>
      <c r="AW34" s="5">
        <v>2.9</v>
      </c>
      <c r="AX34" s="201">
        <f t="shared" si="33"/>
        <v>93</v>
      </c>
      <c r="AY34" s="422">
        <f t="shared" si="5"/>
        <v>83.7</v>
      </c>
      <c r="AZ34" s="422">
        <f>AU34*AV34</f>
        <v>178.20000000000002</v>
      </c>
      <c r="BA34" s="422">
        <f>AW34*AX34</f>
        <v>269.7</v>
      </c>
      <c r="BB34" s="21">
        <f t="shared" ref="BB34:BD34" si="50">AY34-AY33</f>
        <v>0</v>
      </c>
      <c r="BC34" s="21">
        <f t="shared" si="50"/>
        <v>0</v>
      </c>
      <c r="BD34" s="21">
        <f t="shared" si="50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44407</v>
      </c>
      <c r="B35" s="5">
        <f t="shared" si="8"/>
        <v>109443</v>
      </c>
      <c r="C35" s="5">
        <f>B35-B34</f>
        <v>0</v>
      </c>
      <c r="D35" s="415">
        <f>C35/27</f>
        <v>0</v>
      </c>
      <c r="E35" s="329">
        <f>SUM((C35*$E$4)+(7500/'EDl log'!$A$37))</f>
        <v>241.93548387096774</v>
      </c>
      <c r="F35" s="323"/>
      <c r="G35" s="5">
        <f t="shared" si="11"/>
        <v>622501</v>
      </c>
      <c r="H35" s="5">
        <f>G35-G34</f>
        <v>0</v>
      </c>
      <c r="I35" s="5">
        <f>C35+H35</f>
        <v>0</v>
      </c>
      <c r="J35" s="330">
        <f>IF(I35&gt;0,E35/I35,0)</f>
        <v>0</v>
      </c>
      <c r="K35" s="5">
        <f>'Swimming Pool quality check '!H35</f>
        <v>6802</v>
      </c>
      <c r="L35" s="271">
        <f>K35-K34</f>
        <v>0</v>
      </c>
      <c r="M35" s="406">
        <f t="shared" si="14"/>
        <v>457.44</v>
      </c>
      <c r="N35" s="504">
        <f>SUM(M35-M34)</f>
        <v>0</v>
      </c>
      <c r="O35" s="406">
        <f t="shared" si="15"/>
        <v>529.52</v>
      </c>
      <c r="P35" s="504">
        <f>SUM(O35-O34)</f>
        <v>0</v>
      </c>
      <c r="Q35" s="504">
        <f>SUM(P35+N35)</f>
        <v>0</v>
      </c>
      <c r="R35" s="506"/>
      <c r="S35" s="506"/>
      <c r="T35" s="5">
        <f t="shared" si="16"/>
        <v>5174</v>
      </c>
      <c r="U35" s="5">
        <f>SUM(T35-T34)</f>
        <v>0</v>
      </c>
      <c r="V35" s="5">
        <f t="shared" si="17"/>
        <v>475</v>
      </c>
      <c r="W35" s="320">
        <f>+V35-V34</f>
        <v>0</v>
      </c>
      <c r="X35" s="5">
        <f t="shared" si="19"/>
        <v>152908</v>
      </c>
      <c r="Y35" s="320">
        <f>SUM(X35-X34)</f>
        <v>0</v>
      </c>
      <c r="Z35" s="5">
        <f t="shared" si="20"/>
        <v>99129</v>
      </c>
      <c r="AA35" s="83">
        <f>Z35-Z34</f>
        <v>0</v>
      </c>
      <c r="AB35" s="5">
        <f t="shared" si="22"/>
        <v>261</v>
      </c>
      <c r="AC35" s="5">
        <f t="shared" si="23"/>
        <v>731</v>
      </c>
      <c r="AD35" s="83">
        <f>AC35-AC34</f>
        <v>0</v>
      </c>
      <c r="AE35" s="5">
        <f t="shared" si="24"/>
        <v>230.66</v>
      </c>
      <c r="AF35" s="83">
        <f>AE35-AE34</f>
        <v>0</v>
      </c>
      <c r="AG35" s="5">
        <f t="shared" si="26"/>
        <v>2210.4</v>
      </c>
      <c r="AH35" s="83">
        <f>AG35-AG34</f>
        <v>0</v>
      </c>
      <c r="AI35" s="83">
        <f>AF35+AH35</f>
        <v>0</v>
      </c>
      <c r="AJ35" s="322">
        <f>+Z35-Z34</f>
        <v>0</v>
      </c>
      <c r="AK35" s="323">
        <f>SUM(Y35-L35)</f>
        <v>0</v>
      </c>
      <c r="AL35" s="323">
        <f>SUM(AJ35-W35)</f>
        <v>0</v>
      </c>
      <c r="AM35" s="323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4">
        <f>A35</f>
        <v>44407</v>
      </c>
      <c r="AS35" s="420">
        <f>AS34</f>
        <v>0.9</v>
      </c>
      <c r="AT35" s="201">
        <f t="shared" si="49"/>
        <v>93</v>
      </c>
      <c r="AU35" s="421">
        <f>AU34</f>
        <v>1.1000000000000001</v>
      </c>
      <c r="AV35" s="201">
        <f t="shared" si="32"/>
        <v>162</v>
      </c>
      <c r="AW35" s="5">
        <v>2.9</v>
      </c>
      <c r="AX35" s="201">
        <f t="shared" si="33"/>
        <v>93</v>
      </c>
      <c r="AY35" s="422">
        <f t="shared" si="5"/>
        <v>83.7</v>
      </c>
      <c r="AZ35" s="422">
        <f>AU35*AV35</f>
        <v>178.20000000000002</v>
      </c>
      <c r="BA35" s="422">
        <f>AW35*AX35</f>
        <v>269.7</v>
      </c>
      <c r="BB35" s="21">
        <f t="shared" ref="BB35" si="51">AY35-AY34</f>
        <v>0</v>
      </c>
      <c r="BC35" s="21">
        <f>AZ35-AZ34</f>
        <v>0</v>
      </c>
      <c r="BD35" s="21">
        <f t="shared" ref="BD35" si="52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>
      <c r="A36" s="6">
        <f>ELEC!C34</f>
        <v>44408</v>
      </c>
      <c r="B36" s="5">
        <f t="shared" si="8"/>
        <v>109443</v>
      </c>
      <c r="C36" s="5">
        <f>B36-B35</f>
        <v>0</v>
      </c>
      <c r="D36" s="415">
        <f>C36/27</f>
        <v>0</v>
      </c>
      <c r="E36" s="329">
        <f>SUM((C36*$E$4)+(7500/'EDl log'!$A$37))</f>
        <v>241.93548387096774</v>
      </c>
      <c r="F36" s="323"/>
      <c r="G36" s="5">
        <f t="shared" si="11"/>
        <v>622501</v>
      </c>
      <c r="H36" s="5">
        <f>G36-G35</f>
        <v>0</v>
      </c>
      <c r="I36" s="5">
        <f>C36+H36</f>
        <v>0</v>
      </c>
      <c r="J36" s="330">
        <f>IF(I36&gt;0,E36/I36,0)</f>
        <v>0</v>
      </c>
      <c r="K36" s="5">
        <f>'Swimming Pool quality check '!H36</f>
        <v>6802</v>
      </c>
      <c r="L36" s="271">
        <f>K36-K35</f>
        <v>0</v>
      </c>
      <c r="M36" s="406">
        <f t="shared" si="14"/>
        <v>457.44</v>
      </c>
      <c r="N36" s="504">
        <f>SUM(M36-M35)</f>
        <v>0</v>
      </c>
      <c r="O36" s="406">
        <f t="shared" si="15"/>
        <v>529.52</v>
      </c>
      <c r="P36" s="504">
        <f>SUM(O36-O35)</f>
        <v>0</v>
      </c>
      <c r="Q36" s="504">
        <f>SUM(P36+N36)</f>
        <v>0</v>
      </c>
      <c r="R36" s="506"/>
      <c r="S36" s="506"/>
      <c r="T36" s="5">
        <f t="shared" si="16"/>
        <v>5174</v>
      </c>
      <c r="U36" s="5">
        <f>SUM(T36-T35)</f>
        <v>0</v>
      </c>
      <c r="V36" s="5">
        <f t="shared" si="17"/>
        <v>475</v>
      </c>
      <c r="W36" s="320">
        <f>+V36-V35</f>
        <v>0</v>
      </c>
      <c r="X36" s="5">
        <f t="shared" si="19"/>
        <v>152908</v>
      </c>
      <c r="Y36" s="320">
        <f>SUM(X36-X35)</f>
        <v>0</v>
      </c>
      <c r="Z36" s="5">
        <f t="shared" si="20"/>
        <v>99129</v>
      </c>
      <c r="AA36" s="83">
        <f>Z36-Z35</f>
        <v>0</v>
      </c>
      <c r="AB36" s="5">
        <f t="shared" si="22"/>
        <v>261</v>
      </c>
      <c r="AC36" s="5">
        <f t="shared" si="23"/>
        <v>731</v>
      </c>
      <c r="AD36" s="83">
        <f>AC36-AC35</f>
        <v>0</v>
      </c>
      <c r="AE36" s="5">
        <f t="shared" si="24"/>
        <v>230.66</v>
      </c>
      <c r="AF36" s="83">
        <f>AE36-AE35</f>
        <v>0</v>
      </c>
      <c r="AG36" s="5">
        <f t="shared" si="26"/>
        <v>2210.4</v>
      </c>
      <c r="AH36" s="83">
        <f>AG36-AG35</f>
        <v>0</v>
      </c>
      <c r="AI36" s="83">
        <f>AF36+AH36</f>
        <v>0</v>
      </c>
      <c r="AJ36" s="322">
        <f>+Z36-Z35</f>
        <v>0</v>
      </c>
      <c r="AK36" s="323">
        <f>SUM(Y36-L36)</f>
        <v>0</v>
      </c>
      <c r="AL36" s="323">
        <f>SUM(AJ36-W36)</f>
        <v>0</v>
      </c>
      <c r="AM36" s="323">
        <f>'General information '!D36</f>
        <v>0</v>
      </c>
      <c r="AN36" s="84">
        <f>'General information '!H36</f>
        <v>0</v>
      </c>
      <c r="AO36" s="84"/>
      <c r="AP36" s="84">
        <f>'General information '!J36</f>
        <v>0</v>
      </c>
      <c r="AR36" s="642"/>
      <c r="AS36" s="648"/>
      <c r="AT36" s="201"/>
      <c r="AU36" s="649"/>
      <c r="AV36" s="643"/>
      <c r="AW36" s="643"/>
      <c r="AX36" s="643"/>
      <c r="AY36" s="650"/>
      <c r="AZ36" s="650"/>
      <c r="BA36" s="650"/>
      <c r="BB36" s="651"/>
      <c r="BC36" s="651"/>
      <c r="BD36" s="651"/>
      <c r="BE36" s="652"/>
      <c r="BF36" s="96"/>
      <c r="BG36" s="82"/>
    </row>
    <row r="37" spans="1:59">
      <c r="C37" s="408">
        <f>SUM(C6:C36)</f>
        <v>0</v>
      </c>
      <c r="D37" s="318">
        <f>SUM(D6:D36)</f>
        <v>0</v>
      </c>
      <c r="F37" s="410">
        <f>SUM(F6:F36)</f>
        <v>0</v>
      </c>
      <c r="H37" s="408">
        <f>SUM(H6:H36)</f>
        <v>179</v>
      </c>
      <c r="I37" s="408">
        <f>SUM(I6:I36)</f>
        <v>179</v>
      </c>
      <c r="L37" s="266">
        <f>SUM(L7:L36)</f>
        <v>6</v>
      </c>
      <c r="M37" s="627"/>
      <c r="N37" s="627"/>
      <c r="O37" s="627"/>
      <c r="P37" s="627"/>
      <c r="Q37" s="627">
        <f t="shared" ref="Q37" si="53">SUM(Q7:Q36)</f>
        <v>0</v>
      </c>
      <c r="R37" s="627"/>
      <c r="S37" s="627"/>
      <c r="T37" s="627"/>
      <c r="U37" s="627">
        <f>SUM(U7:U36)</f>
        <v>2</v>
      </c>
      <c r="X37" s="319"/>
      <c r="Y37" s="318">
        <f>SUM(Y6,Y33,Y31,Y29,Y27,Y25,Y23,Y21,Y19,Y17,Y15,Y13,Y11,Y9,Y7,Y34,Y35,Y36)</f>
        <v>78</v>
      </c>
      <c r="AJ37" s="318">
        <f>SUM(AJ6:AJ36)</f>
        <v>138</v>
      </c>
      <c r="AK37" s="323">
        <f>SUM(Y37-L37)</f>
        <v>72</v>
      </c>
      <c r="AL37" s="318">
        <f>SUM(AL6:AL36)</f>
        <v>138</v>
      </c>
      <c r="AP37" s="17"/>
      <c r="AQ37" s="17"/>
      <c r="AR37" s="17"/>
      <c r="AS37" s="649"/>
      <c r="AT37" s="201"/>
      <c r="AU37" s="649"/>
      <c r="AV37" s="653"/>
      <c r="AW37" s="650"/>
      <c r="AX37" s="650"/>
      <c r="AY37" s="650"/>
      <c r="AZ37" s="653"/>
      <c r="BA37" s="653"/>
      <c r="BB37" s="653"/>
      <c r="BC37" s="653"/>
      <c r="BD37" s="653"/>
      <c r="BE37" s="654"/>
    </row>
    <row r="38" spans="1:59">
      <c r="C38" s="1">
        <f>+C37*1.66</f>
        <v>0</v>
      </c>
      <c r="E38" s="328">
        <f>SUM(E6:E33)</f>
        <v>6774.1935483870975</v>
      </c>
      <c r="F38" s="413">
        <f>SUM(F6:F35)</f>
        <v>0</v>
      </c>
      <c r="H38" s="157">
        <v>7500</v>
      </c>
      <c r="I38" s="409">
        <f>SUM('General information '!G37/WATER!I37)</f>
        <v>0</v>
      </c>
      <c r="L38" s="157"/>
      <c r="O38" s="483">
        <f>SUM(Q37+I37)</f>
        <v>179</v>
      </c>
      <c r="Z38" s="318">
        <f>SUM(Y37:AJ37)</f>
        <v>216</v>
      </c>
      <c r="AK38" s="323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3">
        <f>9*27</f>
        <v>243</v>
      </c>
      <c r="D39" s="410">
        <f>SUM(D6:D35)</f>
        <v>0</v>
      </c>
      <c r="F39" s="411">
        <f>SUM(F6:F35)</f>
        <v>0</v>
      </c>
      <c r="G39" s="1">
        <f>SUM(I37)</f>
        <v>179</v>
      </c>
      <c r="H39" s="1">
        <f>SUM(H38+C38)</f>
        <v>7500</v>
      </c>
      <c r="K39" s="1">
        <f>SUM(H39/G39)</f>
        <v>41.899441340782126</v>
      </c>
      <c r="AJ39" s="318">
        <f>SUM(C38-AK38)</f>
        <v>0</v>
      </c>
      <c r="AM39" s="342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5"/>
  <sheetViews>
    <sheetView zoomScale="110" zoomScaleNormal="110" workbookViewId="0">
      <pane ySplit="1" topLeftCell="A2" activePane="bottomLeft" state="frozen"/>
      <selection pane="bottomLeft" activeCell="T10" sqref="T10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4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4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3"/>
      <c r="P1" s="25" t="s">
        <v>46</v>
      </c>
      <c r="Q1" s="25" t="s">
        <v>49</v>
      </c>
      <c r="R1" s="404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3" t="s">
        <v>372</v>
      </c>
      <c r="AC1" s="283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ELEC!C3</f>
        <v>44377</v>
      </c>
      <c r="B2" s="268">
        <f>[1]GEN!B32</f>
        <v>10421</v>
      </c>
      <c r="C2" s="268">
        <f>[1]GEN!C32</f>
        <v>16</v>
      </c>
      <c r="D2" s="268">
        <f>[1]GEN!D32</f>
        <v>459151</v>
      </c>
      <c r="E2" s="268">
        <f>[1]GEN!E32</f>
        <v>1547.5999999999767</v>
      </c>
      <c r="F2" s="268">
        <f>[1]GEN!F32</f>
        <v>96.724999999998545</v>
      </c>
      <c r="G2" s="268">
        <f>[1]GEN!G32</f>
        <v>0</v>
      </c>
      <c r="H2" s="268">
        <f>[1]GEN!H32</f>
        <v>10492</v>
      </c>
      <c r="I2" s="268" t="str">
        <f>[1]GEN!I32</f>
        <v>ok</v>
      </c>
      <c r="J2" s="268">
        <f>[1]GEN!J32</f>
        <v>10698</v>
      </c>
      <c r="K2" s="268">
        <f>[1]GEN!K32</f>
        <v>0</v>
      </c>
      <c r="L2" s="268">
        <f>[1]GEN!L32</f>
        <v>357691</v>
      </c>
      <c r="M2" s="268">
        <f>[1]GEN!M32</f>
        <v>0</v>
      </c>
      <c r="N2" s="268">
        <f>[1]GEN!N32</f>
        <v>0</v>
      </c>
      <c r="O2" s="268">
        <f>[1]GEN!O32</f>
        <v>0</v>
      </c>
      <c r="P2" s="268">
        <f>[1]GEN!P32</f>
        <v>10873</v>
      </c>
      <c r="Q2" s="268" t="str">
        <f>[1]GEN!Q32</f>
        <v>ok</v>
      </c>
      <c r="R2" s="268">
        <f>[1]GEN!R32</f>
        <v>12534</v>
      </c>
      <c r="S2" s="268">
        <f>[1]GEN!S32</f>
        <v>6</v>
      </c>
      <c r="T2" s="268">
        <f>[1]GEN!T32</f>
        <v>57735</v>
      </c>
      <c r="U2" s="268">
        <f>[1]GEN!U32</f>
        <v>1500</v>
      </c>
      <c r="V2" s="268">
        <f>[1]GEN!V32</f>
        <v>250</v>
      </c>
      <c r="W2" s="268">
        <f>[1]GEN!W32</f>
        <v>0</v>
      </c>
      <c r="X2" s="268">
        <f>[1]GEN!X32</f>
        <v>12559</v>
      </c>
      <c r="Y2" s="268" t="str">
        <f>[1]GEN!Y32</f>
        <v>ok</v>
      </c>
      <c r="Z2" s="268">
        <f>[1]GEN!Z32</f>
        <v>22</v>
      </c>
      <c r="AA2" s="268">
        <f>[1]GEN!AA32</f>
        <v>3047.5999999999767</v>
      </c>
      <c r="AB2" s="268">
        <f>[1]GEN!AB32</f>
        <v>346.72499999999854</v>
      </c>
      <c r="AC2" s="268">
        <f>[1]GEN!AC32</f>
        <v>138.52727272727168</v>
      </c>
      <c r="AD2" s="268">
        <f>[1]GEN!AD32</f>
        <v>16832.000000002154</v>
      </c>
      <c r="AE2" s="268">
        <f>[1]GEN!AE32</f>
        <v>765.09090909100701</v>
      </c>
      <c r="AF2" s="268">
        <f>[1]GEN!AF32</f>
        <v>0.47818181818187938</v>
      </c>
      <c r="AG2" s="268">
        <f>[1]GEN!AG32</f>
        <v>153.01818181820141</v>
      </c>
      <c r="AH2" s="268">
        <f>[1]GEN!AH32</f>
        <v>-14.490909090929733</v>
      </c>
      <c r="AI2" s="268">
        <f>[1]GEN!AI32</f>
        <v>4332.2869198317785</v>
      </c>
      <c r="AJ2" s="268">
        <f>[1]GEN!AJ32</f>
        <v>0.25738396624472576</v>
      </c>
      <c r="AK2" s="268">
        <f>[1]GEN!AK32</f>
        <v>196.92213271962629</v>
      </c>
    </row>
    <row r="3" spans="1:37" ht="15.75" thickBot="1">
      <c r="A3" s="4">
        <f>ELEC!C4</f>
        <v>44378</v>
      </c>
      <c r="B3" s="527">
        <f>B2</f>
        <v>10421</v>
      </c>
      <c r="C3" s="284">
        <f>B3-B2</f>
        <v>0</v>
      </c>
      <c r="D3" s="528">
        <f>D2</f>
        <v>459151</v>
      </c>
      <c r="E3" s="284">
        <f>SUM(D3-D2)</f>
        <v>0</v>
      </c>
      <c r="F3" s="284">
        <f t="shared" ref="F3:F30" si="0">IF(C3&gt;0,E3/C3,0)</f>
        <v>0</v>
      </c>
      <c r="G3" s="268">
        <f>[3]GEN!G32</f>
        <v>0</v>
      </c>
      <c r="H3" s="268">
        <f>H2</f>
        <v>10492</v>
      </c>
      <c r="I3" s="284" t="str">
        <f t="shared" ref="I3:I30" si="1">IF(B3-H3&lt;=0,"ok","oil change")</f>
        <v>ok</v>
      </c>
      <c r="J3" s="528">
        <f>J2</f>
        <v>10698</v>
      </c>
      <c r="K3" s="284">
        <f t="shared" ref="K3:K30" si="2">J3-J2</f>
        <v>0</v>
      </c>
      <c r="L3" s="528">
        <f>L2</f>
        <v>357691</v>
      </c>
      <c r="M3" s="284">
        <f>SUM(L3-L2)</f>
        <v>0</v>
      </c>
      <c r="N3" s="284">
        <f>IF(K3&gt;0,M3/K3,0)</f>
        <v>0</v>
      </c>
      <c r="O3" s="268">
        <f>[3]GEN!O32</f>
        <v>0</v>
      </c>
      <c r="P3" s="285">
        <f>P2</f>
        <v>10873</v>
      </c>
      <c r="Q3" s="284" t="str">
        <f t="shared" ref="Q3:Q17" si="3">IF(J3-P3&lt;=0,"ok","oil change")</f>
        <v>ok</v>
      </c>
      <c r="R3" s="528">
        <f>R2</f>
        <v>12534</v>
      </c>
      <c r="S3" s="284">
        <f t="shared" ref="S3:S30" si="4">R3-R2</f>
        <v>0</v>
      </c>
      <c r="T3" s="528">
        <f>T2</f>
        <v>57735</v>
      </c>
      <c r="U3" s="284">
        <f>V3*S3</f>
        <v>0</v>
      </c>
      <c r="V3" s="284">
        <v>250</v>
      </c>
      <c r="W3" s="268">
        <f>[3]GEN!W32</f>
        <v>0</v>
      </c>
      <c r="X3" s="285">
        <f>X2</f>
        <v>12559</v>
      </c>
      <c r="Y3" s="284" t="str">
        <f t="shared" ref="Y3:Y9" si="5">IF(R3-X3&lt;=0,"ok","oil change")</f>
        <v>ok</v>
      </c>
      <c r="Z3" s="284">
        <f t="shared" ref="Z3:Z30" si="6">C3+K3+S3</f>
        <v>0</v>
      </c>
      <c r="AA3" s="284">
        <f>U3+M3+E3</f>
        <v>0</v>
      </c>
      <c r="AB3" s="284">
        <f>V3+N3+F3</f>
        <v>250</v>
      </c>
      <c r="AC3" s="284">
        <f>IF(Z3&gt;0,AA3/Z3,0)</f>
        <v>0</v>
      </c>
      <c r="AD3" s="73">
        <f>ELEC!Q4</f>
        <v>0</v>
      </c>
      <c r="AE3" s="73" t="e">
        <f>SUM(AD3/Z3)</f>
        <v>#DIV/0!</v>
      </c>
      <c r="AF3" s="399" t="e">
        <f>SUM(AE3/1600)</f>
        <v>#DIV/0!</v>
      </c>
      <c r="AG3" s="400" t="e">
        <f>SUM(360*AF3)</f>
        <v>#DIV/0!</v>
      </c>
      <c r="AH3" s="400" t="e">
        <f>SUM(AC3-AG3)</f>
        <v>#DIV/0!</v>
      </c>
      <c r="AI3" s="73">
        <f>AD3*AJ3</f>
        <v>0</v>
      </c>
      <c r="AJ3" s="286">
        <f t="shared" ref="AJ3:AJ33" si="7">305/1185</f>
        <v>0.25738396624472576</v>
      </c>
      <c r="AK3" s="286" t="e">
        <f t="shared" ref="AK3:AK32" si="8">AI3/Z3</f>
        <v>#DIV/0!</v>
      </c>
    </row>
    <row r="4" spans="1:37" ht="15.75" thickBot="1">
      <c r="A4" s="4">
        <f>ELEC!C5</f>
        <v>44379</v>
      </c>
      <c r="B4" s="527">
        <f t="shared" ref="B4:B33" si="9">B3</f>
        <v>10421</v>
      </c>
      <c r="C4" s="284">
        <f t="shared" ref="C4:C30" si="10">B4-B3</f>
        <v>0</v>
      </c>
      <c r="D4" s="528">
        <f t="shared" ref="D4:D33" si="11">D3</f>
        <v>459151</v>
      </c>
      <c r="E4" s="284">
        <f t="shared" ref="E4:E30" si="12">SUM(D4-D3)</f>
        <v>0</v>
      </c>
      <c r="F4" s="284">
        <f t="shared" si="0"/>
        <v>0</v>
      </c>
      <c r="G4" s="196"/>
      <c r="H4" s="268">
        <f t="shared" ref="H4:H33" si="13">H3</f>
        <v>10492</v>
      </c>
      <c r="I4" s="284" t="str">
        <f t="shared" si="1"/>
        <v>ok</v>
      </c>
      <c r="J4" s="528">
        <f t="shared" ref="J4:J33" si="14">J3</f>
        <v>10698</v>
      </c>
      <c r="K4" s="284">
        <f t="shared" si="2"/>
        <v>0</v>
      </c>
      <c r="L4" s="528">
        <f t="shared" ref="L4:L33" si="15">L3</f>
        <v>357691</v>
      </c>
      <c r="M4" s="284">
        <f t="shared" ref="M4:M30" si="16">SUM(L4-L3)</f>
        <v>0</v>
      </c>
      <c r="N4" s="284">
        <f t="shared" ref="N4:N30" si="17">IF(K4&gt;0,M4/K4,0)</f>
        <v>0</v>
      </c>
      <c r="O4" s="196"/>
      <c r="P4" s="285">
        <f t="shared" ref="P4:P33" si="18">P3</f>
        <v>10873</v>
      </c>
      <c r="Q4" s="284" t="str">
        <f t="shared" si="3"/>
        <v>ok</v>
      </c>
      <c r="R4" s="528">
        <f t="shared" ref="R4:R33" si="19">R3</f>
        <v>12534</v>
      </c>
      <c r="S4" s="284">
        <f t="shared" si="4"/>
        <v>0</v>
      </c>
      <c r="T4" s="528">
        <f t="shared" ref="T4:T33" si="20">T3</f>
        <v>57735</v>
      </c>
      <c r="U4" s="284">
        <f t="shared" ref="U4:U32" si="21">V4*S4</f>
        <v>0</v>
      </c>
      <c r="V4" s="284">
        <v>250</v>
      </c>
      <c r="W4" s="196"/>
      <c r="X4" s="285">
        <f t="shared" ref="X4:X33" si="22">X3</f>
        <v>12559</v>
      </c>
      <c r="Y4" s="284" t="str">
        <f t="shared" si="5"/>
        <v>ok</v>
      </c>
      <c r="Z4" s="284">
        <f t="shared" si="6"/>
        <v>0</v>
      </c>
      <c r="AA4" s="284">
        <f t="shared" ref="AA4:AA30" si="23">U4+M4+E4</f>
        <v>0</v>
      </c>
      <c r="AB4" s="284">
        <f t="shared" ref="AB4:AB30" si="24">V4+N4+F4</f>
        <v>250</v>
      </c>
      <c r="AC4" s="284">
        <f t="shared" ref="AC4:AC30" si="25">IF(Z4&gt;0,AA4/Z4,0)</f>
        <v>0</v>
      </c>
      <c r="AD4" s="73">
        <f>ELEC!Q5</f>
        <v>0</v>
      </c>
      <c r="AE4" s="73" t="e">
        <f>SUM(AD4/Z4)</f>
        <v>#DIV/0!</v>
      </c>
      <c r="AF4" s="399" t="e">
        <f>SUM(AE4/1600)</f>
        <v>#DIV/0!</v>
      </c>
      <c r="AG4" s="400" t="e">
        <f>SUM(360*AF4)</f>
        <v>#DIV/0!</v>
      </c>
      <c r="AH4" s="400" t="e">
        <f t="shared" ref="AH4:AH30" si="26">SUM(AC4-AG4)</f>
        <v>#DIV/0!</v>
      </c>
      <c r="AI4" s="73">
        <f>AD4*AJ4</f>
        <v>0</v>
      </c>
      <c r="AJ4" s="286">
        <f t="shared" si="7"/>
        <v>0.25738396624472576</v>
      </c>
      <c r="AK4" s="286" t="e">
        <f t="shared" si="8"/>
        <v>#DIV/0!</v>
      </c>
    </row>
    <row r="5" spans="1:37" ht="15.75" thickBot="1">
      <c r="A5" s="4">
        <f>ELEC!C6</f>
        <v>44380</v>
      </c>
      <c r="B5" s="527">
        <f t="shared" si="9"/>
        <v>10421</v>
      </c>
      <c r="C5" s="284">
        <f t="shared" si="10"/>
        <v>0</v>
      </c>
      <c r="D5" s="528">
        <f t="shared" si="11"/>
        <v>459151</v>
      </c>
      <c r="E5" s="284">
        <f t="shared" si="12"/>
        <v>0</v>
      </c>
      <c r="F5" s="284">
        <f t="shared" si="0"/>
        <v>0</v>
      </c>
      <c r="G5" s="282"/>
      <c r="H5" s="268">
        <f t="shared" si="13"/>
        <v>10492</v>
      </c>
      <c r="I5" s="284" t="str">
        <f t="shared" si="1"/>
        <v>ok</v>
      </c>
      <c r="J5" s="528">
        <f t="shared" si="14"/>
        <v>10698</v>
      </c>
      <c r="K5" s="284">
        <f t="shared" si="2"/>
        <v>0</v>
      </c>
      <c r="L5" s="528">
        <f t="shared" si="15"/>
        <v>357691</v>
      </c>
      <c r="M5" s="284">
        <f t="shared" si="16"/>
        <v>0</v>
      </c>
      <c r="N5" s="284">
        <f t="shared" si="17"/>
        <v>0</v>
      </c>
      <c r="O5" s="196"/>
      <c r="P5" s="285">
        <f t="shared" si="18"/>
        <v>10873</v>
      </c>
      <c r="Q5" s="284" t="str">
        <f t="shared" si="3"/>
        <v>ok</v>
      </c>
      <c r="R5" s="528">
        <f t="shared" si="19"/>
        <v>12534</v>
      </c>
      <c r="S5" s="284">
        <f t="shared" si="4"/>
        <v>0</v>
      </c>
      <c r="T5" s="528">
        <f t="shared" si="20"/>
        <v>57735</v>
      </c>
      <c r="U5" s="284">
        <f t="shared" si="21"/>
        <v>0</v>
      </c>
      <c r="V5" s="284">
        <v>250</v>
      </c>
      <c r="W5" s="196"/>
      <c r="X5" s="285">
        <f t="shared" si="22"/>
        <v>12559</v>
      </c>
      <c r="Y5" s="284" t="str">
        <f t="shared" si="5"/>
        <v>ok</v>
      </c>
      <c r="Z5" s="284">
        <f t="shared" si="6"/>
        <v>0</v>
      </c>
      <c r="AA5" s="284">
        <f t="shared" si="23"/>
        <v>0</v>
      </c>
      <c r="AB5" s="284">
        <f t="shared" si="24"/>
        <v>250</v>
      </c>
      <c r="AC5" s="284">
        <f t="shared" si="25"/>
        <v>0</v>
      </c>
      <c r="AD5" s="73">
        <f>ELEC!Q6</f>
        <v>0</v>
      </c>
      <c r="AE5" s="73" t="e">
        <f t="shared" ref="AE5:AE30" si="27">SUM(AD5/Z5)</f>
        <v>#DIV/0!</v>
      </c>
      <c r="AF5" s="399" t="e">
        <f t="shared" ref="AF5:AG30" si="28">SUM(AE5/1600)</f>
        <v>#DIV/0!</v>
      </c>
      <c r="AG5" s="400" t="e">
        <f t="shared" ref="AG5:AG30" si="29">SUM(320*AF5)</f>
        <v>#DIV/0!</v>
      </c>
      <c r="AH5" s="400" t="e">
        <f t="shared" si="26"/>
        <v>#DIV/0!</v>
      </c>
      <c r="AI5" s="73">
        <f t="shared" ref="AI5:AI30" si="30">AD5*AJ5</f>
        <v>0</v>
      </c>
      <c r="AJ5" s="286">
        <f t="shared" si="7"/>
        <v>0.25738396624472576</v>
      </c>
      <c r="AK5" s="286" t="e">
        <f t="shared" si="8"/>
        <v>#DIV/0!</v>
      </c>
    </row>
    <row r="6" spans="1:37" ht="15.75" thickBot="1">
      <c r="A6" s="4">
        <f>ELEC!C7</f>
        <v>44381</v>
      </c>
      <c r="B6" s="527">
        <v>10422</v>
      </c>
      <c r="C6" s="284">
        <f t="shared" si="10"/>
        <v>1</v>
      </c>
      <c r="D6" s="528">
        <f t="shared" si="11"/>
        <v>459151</v>
      </c>
      <c r="E6" s="284">
        <f t="shared" si="12"/>
        <v>0</v>
      </c>
      <c r="F6" s="284">
        <f t="shared" si="0"/>
        <v>0</v>
      </c>
      <c r="G6" s="196"/>
      <c r="H6" s="268">
        <f t="shared" si="13"/>
        <v>10492</v>
      </c>
      <c r="I6" s="284" t="str">
        <f t="shared" si="1"/>
        <v>ok</v>
      </c>
      <c r="J6" s="528">
        <f t="shared" si="14"/>
        <v>10698</v>
      </c>
      <c r="K6" s="284">
        <f t="shared" si="2"/>
        <v>0</v>
      </c>
      <c r="L6" s="528">
        <f t="shared" si="15"/>
        <v>357691</v>
      </c>
      <c r="M6" s="284">
        <f>SUM(L6-L5)</f>
        <v>0</v>
      </c>
      <c r="N6" s="284">
        <f t="shared" si="17"/>
        <v>0</v>
      </c>
      <c r="O6" s="304"/>
      <c r="P6" s="285">
        <f t="shared" si="18"/>
        <v>10873</v>
      </c>
      <c r="Q6" s="284" t="str">
        <f t="shared" si="3"/>
        <v>ok</v>
      </c>
      <c r="R6" s="528">
        <v>12553</v>
      </c>
      <c r="S6" s="284">
        <f t="shared" si="4"/>
        <v>19</v>
      </c>
      <c r="T6" s="528">
        <f t="shared" si="20"/>
        <v>57735</v>
      </c>
      <c r="U6" s="284">
        <f>V6*S6</f>
        <v>4750</v>
      </c>
      <c r="V6" s="284">
        <v>250</v>
      </c>
      <c r="W6" s="304"/>
      <c r="X6" s="285">
        <f t="shared" si="22"/>
        <v>12559</v>
      </c>
      <c r="Y6" s="284" t="str">
        <f t="shared" si="5"/>
        <v>ok</v>
      </c>
      <c r="Z6" s="284">
        <f t="shared" si="6"/>
        <v>20</v>
      </c>
      <c r="AA6" s="284">
        <f t="shared" si="23"/>
        <v>4750</v>
      </c>
      <c r="AB6" s="284">
        <f t="shared" si="24"/>
        <v>250</v>
      </c>
      <c r="AC6" s="284">
        <f t="shared" si="25"/>
        <v>237.5</v>
      </c>
      <c r="AD6" s="73">
        <f>ELEC!Q7</f>
        <v>5784.9999999998545</v>
      </c>
      <c r="AE6" s="73">
        <f>SUM(AD6/Z6)</f>
        <v>289.24999999999272</v>
      </c>
      <c r="AF6" s="399">
        <f t="shared" si="28"/>
        <v>0.18078124999999545</v>
      </c>
      <c r="AG6" s="400">
        <f>SUM(320*AF6)</f>
        <v>57.849999999998545</v>
      </c>
      <c r="AH6" s="400">
        <f t="shared" si="26"/>
        <v>179.65000000000146</v>
      </c>
      <c r="AI6" s="73">
        <f t="shared" si="30"/>
        <v>1488.966244725701</v>
      </c>
      <c r="AJ6" s="286">
        <f t="shared" si="7"/>
        <v>0.25738396624472576</v>
      </c>
      <c r="AK6" s="286">
        <f t="shared" si="8"/>
        <v>74.448312236285048</v>
      </c>
    </row>
    <row r="7" spans="1:37" ht="15.75" thickBot="1">
      <c r="A7" s="4">
        <f>ELEC!C8</f>
        <v>44382</v>
      </c>
      <c r="B7" s="527">
        <v>10428</v>
      </c>
      <c r="C7" s="284">
        <f t="shared" si="10"/>
        <v>6</v>
      </c>
      <c r="D7" s="528">
        <v>459319</v>
      </c>
      <c r="E7" s="284">
        <f t="shared" si="12"/>
        <v>168</v>
      </c>
      <c r="F7" s="284">
        <f t="shared" si="0"/>
        <v>28</v>
      </c>
      <c r="G7" s="196"/>
      <c r="H7" s="268">
        <v>10310</v>
      </c>
      <c r="I7" s="284" t="str">
        <f t="shared" si="1"/>
        <v>oil change</v>
      </c>
      <c r="J7" s="528">
        <f t="shared" si="14"/>
        <v>10698</v>
      </c>
      <c r="K7" s="284">
        <f t="shared" si="2"/>
        <v>0</v>
      </c>
      <c r="L7" s="528">
        <f t="shared" si="15"/>
        <v>357691</v>
      </c>
      <c r="M7" s="284">
        <f t="shared" si="16"/>
        <v>0</v>
      </c>
      <c r="N7" s="284">
        <f t="shared" si="17"/>
        <v>0</v>
      </c>
      <c r="O7" s="304"/>
      <c r="P7" s="285">
        <f t="shared" si="18"/>
        <v>10873</v>
      </c>
      <c r="Q7" s="284" t="str">
        <f t="shared" si="3"/>
        <v>ok</v>
      </c>
      <c r="R7" s="528">
        <v>12553</v>
      </c>
      <c r="S7" s="284">
        <f t="shared" si="4"/>
        <v>0</v>
      </c>
      <c r="T7" s="528">
        <v>62485</v>
      </c>
      <c r="U7" s="284">
        <f>V7*S7</f>
        <v>0</v>
      </c>
      <c r="V7" s="284">
        <v>250</v>
      </c>
      <c r="W7" s="196"/>
      <c r="X7" s="285">
        <f t="shared" si="22"/>
        <v>12559</v>
      </c>
      <c r="Y7" s="284" t="str">
        <f t="shared" si="5"/>
        <v>ok</v>
      </c>
      <c r="Z7" s="284">
        <f t="shared" si="6"/>
        <v>6</v>
      </c>
      <c r="AA7" s="284">
        <f>U7+M7+E7</f>
        <v>168</v>
      </c>
      <c r="AB7" s="284">
        <f t="shared" si="24"/>
        <v>278</v>
      </c>
      <c r="AC7" s="284">
        <f t="shared" si="25"/>
        <v>28</v>
      </c>
      <c r="AD7" s="73">
        <f>ELEC!Q8</f>
        <v>9781.9999999992433</v>
      </c>
      <c r="AE7" s="73">
        <f t="shared" si="27"/>
        <v>1630.3333333332073</v>
      </c>
      <c r="AF7" s="399">
        <f t="shared" si="28"/>
        <v>1.0189583333332546</v>
      </c>
      <c r="AG7" s="399">
        <f t="shared" si="28"/>
        <v>6.3684895833328412E-4</v>
      </c>
      <c r="AH7" s="400">
        <f t="shared" si="26"/>
        <v>27.999363151041667</v>
      </c>
      <c r="AI7" s="73">
        <f t="shared" si="30"/>
        <v>2517.7299578057127</v>
      </c>
      <c r="AJ7" s="286">
        <f t="shared" si="7"/>
        <v>0.25738396624472576</v>
      </c>
      <c r="AK7" s="286">
        <f t="shared" si="8"/>
        <v>419.62165963428544</v>
      </c>
    </row>
    <row r="8" spans="1:37" ht="15.75" thickBot="1">
      <c r="A8" s="4">
        <f>ELEC!C9</f>
        <v>44383</v>
      </c>
      <c r="B8" s="527">
        <v>10438</v>
      </c>
      <c r="C8" s="284">
        <f t="shared" si="10"/>
        <v>10</v>
      </c>
      <c r="D8" s="528">
        <v>461781</v>
      </c>
      <c r="E8" s="284">
        <f t="shared" si="12"/>
        <v>2462</v>
      </c>
      <c r="F8" s="284">
        <f t="shared" si="0"/>
        <v>246.2</v>
      </c>
      <c r="G8" s="196"/>
      <c r="H8" s="268">
        <f t="shared" si="13"/>
        <v>10310</v>
      </c>
      <c r="I8" s="284" t="str">
        <f t="shared" si="1"/>
        <v>oil change</v>
      </c>
      <c r="J8" s="528">
        <f t="shared" si="14"/>
        <v>10698</v>
      </c>
      <c r="K8" s="284">
        <f t="shared" si="2"/>
        <v>0</v>
      </c>
      <c r="L8" s="528">
        <f t="shared" si="15"/>
        <v>357691</v>
      </c>
      <c r="M8" s="284">
        <f t="shared" si="16"/>
        <v>0</v>
      </c>
      <c r="N8" s="284">
        <f t="shared" si="17"/>
        <v>0</v>
      </c>
      <c r="O8" s="196"/>
      <c r="P8" s="285">
        <f t="shared" si="18"/>
        <v>10873</v>
      </c>
      <c r="Q8" s="284" t="str">
        <f t="shared" si="3"/>
        <v>ok</v>
      </c>
      <c r="R8" s="528">
        <v>12566</v>
      </c>
      <c r="S8" s="284">
        <f t="shared" si="4"/>
        <v>13</v>
      </c>
      <c r="T8" s="528">
        <f t="shared" si="20"/>
        <v>62485</v>
      </c>
      <c r="U8" s="284">
        <f>V8*S8</f>
        <v>3250</v>
      </c>
      <c r="V8" s="284">
        <v>250</v>
      </c>
      <c r="W8" s="196"/>
      <c r="X8" s="285">
        <f t="shared" si="22"/>
        <v>12559</v>
      </c>
      <c r="Y8" s="284" t="str">
        <f t="shared" si="5"/>
        <v>oil change</v>
      </c>
      <c r="Z8" s="284">
        <f t="shared" si="6"/>
        <v>23</v>
      </c>
      <c r="AA8" s="284">
        <f t="shared" si="23"/>
        <v>5712</v>
      </c>
      <c r="AB8" s="284">
        <f t="shared" si="24"/>
        <v>496.2</v>
      </c>
      <c r="AC8" s="284">
        <f t="shared" si="25"/>
        <v>248.34782608695653</v>
      </c>
      <c r="AD8" s="73">
        <f>ELEC!Q9</f>
        <v>14972.999999998137</v>
      </c>
      <c r="AE8" s="73">
        <f t="shared" si="27"/>
        <v>650.99999999991905</v>
      </c>
      <c r="AF8" s="399">
        <f t="shared" si="28"/>
        <v>0.40687499999994942</v>
      </c>
      <c r="AG8" s="400">
        <f t="shared" si="29"/>
        <v>130.19999999998382</v>
      </c>
      <c r="AH8" s="400">
        <f t="shared" si="26"/>
        <v>118.14782608697271</v>
      </c>
      <c r="AI8" s="73">
        <f t="shared" si="30"/>
        <v>3853.8101265817995</v>
      </c>
      <c r="AJ8" s="286">
        <f t="shared" si="7"/>
        <v>0.25738396624472576</v>
      </c>
      <c r="AK8" s="286">
        <f t="shared" si="8"/>
        <v>167.55696202529563</v>
      </c>
    </row>
    <row r="9" spans="1:37" ht="15.75" thickBot="1">
      <c r="A9" s="4">
        <f>ELEC!C10</f>
        <v>44384</v>
      </c>
      <c r="B9" s="527">
        <v>10452</v>
      </c>
      <c r="C9" s="284">
        <f t="shared" si="10"/>
        <v>14</v>
      </c>
      <c r="D9" s="528">
        <v>464683</v>
      </c>
      <c r="E9" s="284">
        <f t="shared" si="12"/>
        <v>2902</v>
      </c>
      <c r="F9" s="284">
        <f t="shared" si="0"/>
        <v>207.28571428571428</v>
      </c>
      <c r="G9" s="196"/>
      <c r="H9" s="268">
        <f t="shared" si="13"/>
        <v>10310</v>
      </c>
      <c r="I9" s="284" t="str">
        <f t="shared" si="1"/>
        <v>oil change</v>
      </c>
      <c r="J9" s="528">
        <f t="shared" si="14"/>
        <v>10698</v>
      </c>
      <c r="K9" s="284">
        <f t="shared" si="2"/>
        <v>0</v>
      </c>
      <c r="L9" s="528">
        <f t="shared" si="15"/>
        <v>357691</v>
      </c>
      <c r="M9" s="284">
        <f t="shared" si="16"/>
        <v>0</v>
      </c>
      <c r="N9" s="284">
        <f t="shared" si="17"/>
        <v>0</v>
      </c>
      <c r="O9" s="196"/>
      <c r="P9" s="285">
        <f t="shared" si="18"/>
        <v>10873</v>
      </c>
      <c r="Q9" s="284" t="str">
        <f t="shared" si="3"/>
        <v>ok</v>
      </c>
      <c r="R9" s="528">
        <v>12574</v>
      </c>
      <c r="S9" s="284">
        <f t="shared" si="4"/>
        <v>8</v>
      </c>
      <c r="T9" s="528">
        <f>T8</f>
        <v>62485</v>
      </c>
      <c r="U9" s="284">
        <f t="shared" si="21"/>
        <v>2000</v>
      </c>
      <c r="V9" s="284">
        <v>250</v>
      </c>
      <c r="W9" s="196"/>
      <c r="X9" s="285">
        <f t="shared" si="22"/>
        <v>12559</v>
      </c>
      <c r="Y9" s="284" t="str">
        <f t="shared" si="5"/>
        <v>oil change</v>
      </c>
      <c r="Z9" s="284">
        <f t="shared" si="6"/>
        <v>22</v>
      </c>
      <c r="AA9" s="284">
        <f t="shared" si="23"/>
        <v>4902</v>
      </c>
      <c r="AB9" s="284">
        <f t="shared" si="24"/>
        <v>457.28571428571428</v>
      </c>
      <c r="AC9" s="284">
        <f t="shared" si="25"/>
        <v>222.81818181818181</v>
      </c>
      <c r="AD9" s="73">
        <f>ELEC!Q10</f>
        <v>15368.000000002212</v>
      </c>
      <c r="AE9" s="73">
        <f t="shared" si="27"/>
        <v>698.54545454555512</v>
      </c>
      <c r="AF9" s="399">
        <f t="shared" si="28"/>
        <v>0.43659090909097192</v>
      </c>
      <c r="AG9" s="400">
        <f t="shared" si="29"/>
        <v>139.70909090911101</v>
      </c>
      <c r="AH9" s="400">
        <f t="shared" si="26"/>
        <v>83.109090909070801</v>
      </c>
      <c r="AI9" s="73">
        <f t="shared" si="30"/>
        <v>3955.4767932495147</v>
      </c>
      <c r="AJ9" s="286">
        <f t="shared" si="7"/>
        <v>0.25738396624472576</v>
      </c>
      <c r="AK9" s="286">
        <f t="shared" si="8"/>
        <v>179.79439969315976</v>
      </c>
    </row>
    <row r="10" spans="1:37" ht="15.75" thickBot="1">
      <c r="A10" s="4">
        <f>ELEC!C11</f>
        <v>44385</v>
      </c>
      <c r="B10" s="527">
        <f t="shared" si="9"/>
        <v>10452</v>
      </c>
      <c r="C10" s="284">
        <f t="shared" si="10"/>
        <v>0</v>
      </c>
      <c r="D10" s="528">
        <f t="shared" si="11"/>
        <v>464683</v>
      </c>
      <c r="E10" s="284">
        <f t="shared" si="12"/>
        <v>0</v>
      </c>
      <c r="F10" s="284">
        <f t="shared" si="0"/>
        <v>0</v>
      </c>
      <c r="G10" s="196"/>
      <c r="H10" s="268">
        <f t="shared" si="13"/>
        <v>10310</v>
      </c>
      <c r="I10" s="284" t="str">
        <f t="shared" si="1"/>
        <v>oil change</v>
      </c>
      <c r="J10" s="528">
        <f t="shared" si="14"/>
        <v>10698</v>
      </c>
      <c r="K10" s="284">
        <f t="shared" si="2"/>
        <v>0</v>
      </c>
      <c r="L10" s="528">
        <f t="shared" si="15"/>
        <v>357691</v>
      </c>
      <c r="M10" s="284">
        <f t="shared" si="16"/>
        <v>0</v>
      </c>
      <c r="N10" s="284">
        <f t="shared" si="17"/>
        <v>0</v>
      </c>
      <c r="O10" s="196"/>
      <c r="P10" s="285">
        <f t="shared" si="18"/>
        <v>10873</v>
      </c>
      <c r="Q10" s="284" t="str">
        <f t="shared" si="3"/>
        <v>ok</v>
      </c>
      <c r="R10" s="528">
        <f t="shared" si="19"/>
        <v>12574</v>
      </c>
      <c r="S10" s="284">
        <f t="shared" si="4"/>
        <v>0</v>
      </c>
      <c r="T10" s="528">
        <f t="shared" si="20"/>
        <v>62485</v>
      </c>
      <c r="U10" s="284">
        <f t="shared" si="21"/>
        <v>0</v>
      </c>
      <c r="V10" s="284">
        <v>250</v>
      </c>
      <c r="W10" s="334"/>
      <c r="X10" s="285">
        <f t="shared" si="22"/>
        <v>12559</v>
      </c>
      <c r="Y10" s="284" t="str">
        <f t="shared" ref="Y10:Y20" si="31">IF(R10-X10&lt;=0,"ok","oil change")</f>
        <v>oil change</v>
      </c>
      <c r="Z10" s="284">
        <f t="shared" si="6"/>
        <v>0</v>
      </c>
      <c r="AA10" s="284">
        <f t="shared" si="23"/>
        <v>0</v>
      </c>
      <c r="AB10" s="284">
        <f t="shared" si="24"/>
        <v>250</v>
      </c>
      <c r="AC10" s="284">
        <f t="shared" si="25"/>
        <v>0</v>
      </c>
      <c r="AD10" s="73">
        <f>ELEC!Q11</f>
        <v>0</v>
      </c>
      <c r="AE10" s="73" t="e">
        <f t="shared" si="27"/>
        <v>#DIV/0!</v>
      </c>
      <c r="AF10" s="399" t="e">
        <f t="shared" si="28"/>
        <v>#DIV/0!</v>
      </c>
      <c r="AG10" s="400" t="e">
        <f t="shared" si="29"/>
        <v>#DIV/0!</v>
      </c>
      <c r="AH10" s="400" t="e">
        <f t="shared" si="26"/>
        <v>#DIV/0!</v>
      </c>
      <c r="AI10" s="73">
        <f t="shared" si="30"/>
        <v>0</v>
      </c>
      <c r="AJ10" s="286">
        <f t="shared" si="7"/>
        <v>0.25738396624472576</v>
      </c>
      <c r="AK10" s="286" t="e">
        <f t="shared" si="8"/>
        <v>#DIV/0!</v>
      </c>
    </row>
    <row r="11" spans="1:37" ht="15.75" thickBot="1">
      <c r="A11" s="4">
        <f>ELEC!C12</f>
        <v>44386</v>
      </c>
      <c r="B11" s="527">
        <f t="shared" si="9"/>
        <v>10452</v>
      </c>
      <c r="C11" s="284">
        <f t="shared" si="10"/>
        <v>0</v>
      </c>
      <c r="D11" s="528">
        <f t="shared" si="11"/>
        <v>464683</v>
      </c>
      <c r="E11" s="284">
        <f t="shared" si="12"/>
        <v>0</v>
      </c>
      <c r="F11" s="284">
        <f t="shared" si="0"/>
        <v>0</v>
      </c>
      <c r="G11" s="196"/>
      <c r="H11" s="268">
        <f t="shared" si="13"/>
        <v>10310</v>
      </c>
      <c r="I11" s="284" t="str">
        <f t="shared" si="1"/>
        <v>oil change</v>
      </c>
      <c r="J11" s="528">
        <f t="shared" si="14"/>
        <v>10698</v>
      </c>
      <c r="K11" s="284">
        <f t="shared" si="2"/>
        <v>0</v>
      </c>
      <c r="L11" s="528">
        <f t="shared" si="15"/>
        <v>357691</v>
      </c>
      <c r="M11" s="284">
        <f t="shared" si="16"/>
        <v>0</v>
      </c>
      <c r="N11" s="284">
        <f t="shared" si="17"/>
        <v>0</v>
      </c>
      <c r="O11" s="196"/>
      <c r="P11" s="285">
        <f t="shared" si="18"/>
        <v>10873</v>
      </c>
      <c r="Q11" s="284" t="str">
        <f t="shared" si="3"/>
        <v>ok</v>
      </c>
      <c r="R11" s="528">
        <f t="shared" si="19"/>
        <v>12574</v>
      </c>
      <c r="S11" s="284">
        <f t="shared" si="4"/>
        <v>0</v>
      </c>
      <c r="T11" s="528">
        <f t="shared" si="20"/>
        <v>62485</v>
      </c>
      <c r="U11" s="284">
        <f t="shared" si="21"/>
        <v>0</v>
      </c>
      <c r="V11" s="284">
        <v>250</v>
      </c>
      <c r="W11" s="334"/>
      <c r="X11" s="285">
        <f t="shared" si="22"/>
        <v>12559</v>
      </c>
      <c r="Y11" s="284" t="str">
        <f t="shared" si="31"/>
        <v>oil change</v>
      </c>
      <c r="Z11" s="284">
        <f t="shared" si="6"/>
        <v>0</v>
      </c>
      <c r="AA11" s="284">
        <f t="shared" si="23"/>
        <v>0</v>
      </c>
      <c r="AB11" s="284">
        <f t="shared" si="24"/>
        <v>250</v>
      </c>
      <c r="AC11" s="284">
        <f t="shared" si="25"/>
        <v>0</v>
      </c>
      <c r="AD11" s="73">
        <f>ELEC!Q12</f>
        <v>0</v>
      </c>
      <c r="AE11" s="73" t="e">
        <f t="shared" si="27"/>
        <v>#DIV/0!</v>
      </c>
      <c r="AF11" s="399" t="e">
        <f t="shared" si="28"/>
        <v>#DIV/0!</v>
      </c>
      <c r="AG11" s="400" t="e">
        <f t="shared" si="29"/>
        <v>#DIV/0!</v>
      </c>
      <c r="AH11" s="400" t="e">
        <f t="shared" si="26"/>
        <v>#DIV/0!</v>
      </c>
      <c r="AI11" s="73">
        <f t="shared" si="30"/>
        <v>0</v>
      </c>
      <c r="AJ11" s="286">
        <f t="shared" si="7"/>
        <v>0.25738396624472576</v>
      </c>
      <c r="AK11" s="286" t="e">
        <f t="shared" si="8"/>
        <v>#DIV/0!</v>
      </c>
    </row>
    <row r="12" spans="1:37" ht="15.75" thickBot="1">
      <c r="A12" s="4">
        <f>ELEC!C13</f>
        <v>44387</v>
      </c>
      <c r="B12" s="527">
        <f t="shared" si="9"/>
        <v>10452</v>
      </c>
      <c r="C12" s="284">
        <f t="shared" si="10"/>
        <v>0</v>
      </c>
      <c r="D12" s="528">
        <f t="shared" si="11"/>
        <v>464683</v>
      </c>
      <c r="E12" s="284">
        <f t="shared" si="12"/>
        <v>0</v>
      </c>
      <c r="F12" s="284">
        <f t="shared" si="0"/>
        <v>0</v>
      </c>
      <c r="G12" s="196"/>
      <c r="H12" s="268">
        <f t="shared" si="13"/>
        <v>10310</v>
      </c>
      <c r="I12" s="284" t="str">
        <f t="shared" si="1"/>
        <v>oil change</v>
      </c>
      <c r="J12" s="528">
        <f t="shared" si="14"/>
        <v>10698</v>
      </c>
      <c r="K12" s="284">
        <f t="shared" si="2"/>
        <v>0</v>
      </c>
      <c r="L12" s="528">
        <f t="shared" si="15"/>
        <v>357691</v>
      </c>
      <c r="M12" s="284">
        <f t="shared" si="16"/>
        <v>0</v>
      </c>
      <c r="N12" s="284">
        <f t="shared" si="17"/>
        <v>0</v>
      </c>
      <c r="O12" s="196"/>
      <c r="P12" s="285">
        <f t="shared" si="18"/>
        <v>10873</v>
      </c>
      <c r="Q12" s="284" t="str">
        <f t="shared" si="3"/>
        <v>ok</v>
      </c>
      <c r="R12" s="528">
        <f t="shared" si="19"/>
        <v>12574</v>
      </c>
      <c r="S12" s="284">
        <f t="shared" si="4"/>
        <v>0</v>
      </c>
      <c r="T12" s="528">
        <f t="shared" si="20"/>
        <v>62485</v>
      </c>
      <c r="U12" s="284">
        <f t="shared" si="21"/>
        <v>0</v>
      </c>
      <c r="V12" s="284">
        <v>250</v>
      </c>
      <c r="W12" s="334"/>
      <c r="X12" s="285">
        <f t="shared" si="22"/>
        <v>12559</v>
      </c>
      <c r="Y12" s="284" t="str">
        <f t="shared" si="31"/>
        <v>oil change</v>
      </c>
      <c r="Z12" s="284">
        <f t="shared" si="6"/>
        <v>0</v>
      </c>
      <c r="AA12" s="284">
        <f t="shared" si="23"/>
        <v>0</v>
      </c>
      <c r="AB12" s="284">
        <f t="shared" si="24"/>
        <v>250</v>
      </c>
      <c r="AC12" s="284">
        <f t="shared" si="25"/>
        <v>0</v>
      </c>
      <c r="AD12" s="73">
        <f>ELEC!Q13</f>
        <v>0</v>
      </c>
      <c r="AE12" s="73" t="e">
        <f t="shared" si="27"/>
        <v>#DIV/0!</v>
      </c>
      <c r="AF12" s="399" t="e">
        <f t="shared" si="28"/>
        <v>#DIV/0!</v>
      </c>
      <c r="AG12" s="400" t="e">
        <f t="shared" si="29"/>
        <v>#DIV/0!</v>
      </c>
      <c r="AH12" s="400" t="e">
        <f t="shared" si="26"/>
        <v>#DIV/0!</v>
      </c>
      <c r="AI12" s="73">
        <f t="shared" si="30"/>
        <v>0</v>
      </c>
      <c r="AJ12" s="286">
        <f t="shared" si="7"/>
        <v>0.25738396624472576</v>
      </c>
      <c r="AK12" s="286" t="e">
        <f t="shared" si="8"/>
        <v>#DIV/0!</v>
      </c>
    </row>
    <row r="13" spans="1:37" ht="15.75" thickBot="1">
      <c r="A13" s="4">
        <f>ELEC!C14</f>
        <v>44388</v>
      </c>
      <c r="B13" s="527">
        <f t="shared" si="9"/>
        <v>10452</v>
      </c>
      <c r="C13" s="284">
        <f t="shared" si="10"/>
        <v>0</v>
      </c>
      <c r="D13" s="528">
        <f t="shared" si="11"/>
        <v>464683</v>
      </c>
      <c r="E13" s="284">
        <f t="shared" si="12"/>
        <v>0</v>
      </c>
      <c r="F13" s="284">
        <f t="shared" si="0"/>
        <v>0</v>
      </c>
      <c r="G13" s="196"/>
      <c r="H13" s="268">
        <f t="shared" si="13"/>
        <v>10310</v>
      </c>
      <c r="I13" s="284" t="str">
        <f t="shared" si="1"/>
        <v>oil change</v>
      </c>
      <c r="J13" s="528">
        <f t="shared" si="14"/>
        <v>10698</v>
      </c>
      <c r="K13" s="284">
        <f t="shared" si="2"/>
        <v>0</v>
      </c>
      <c r="L13" s="528">
        <f t="shared" si="15"/>
        <v>357691</v>
      </c>
      <c r="M13" s="284">
        <f t="shared" si="16"/>
        <v>0</v>
      </c>
      <c r="N13" s="284">
        <f t="shared" si="17"/>
        <v>0</v>
      </c>
      <c r="O13" s="196"/>
      <c r="P13" s="285">
        <f t="shared" si="18"/>
        <v>10873</v>
      </c>
      <c r="Q13" s="284" t="str">
        <f t="shared" si="3"/>
        <v>ok</v>
      </c>
      <c r="R13" s="528">
        <f t="shared" si="19"/>
        <v>12574</v>
      </c>
      <c r="S13" s="284">
        <f t="shared" si="4"/>
        <v>0</v>
      </c>
      <c r="T13" s="528">
        <f t="shared" si="20"/>
        <v>62485</v>
      </c>
      <c r="U13" s="284">
        <f t="shared" si="21"/>
        <v>0</v>
      </c>
      <c r="V13" s="284">
        <v>250</v>
      </c>
      <c r="W13" s="334"/>
      <c r="X13" s="285">
        <f t="shared" si="22"/>
        <v>12559</v>
      </c>
      <c r="Y13" s="284" t="str">
        <f t="shared" si="31"/>
        <v>oil change</v>
      </c>
      <c r="Z13" s="284">
        <f t="shared" si="6"/>
        <v>0</v>
      </c>
      <c r="AA13" s="284">
        <f t="shared" si="23"/>
        <v>0</v>
      </c>
      <c r="AB13" s="284">
        <f t="shared" si="24"/>
        <v>250</v>
      </c>
      <c r="AC13" s="284">
        <f t="shared" si="25"/>
        <v>0</v>
      </c>
      <c r="AD13" s="73">
        <f>ELEC!Q14</f>
        <v>0</v>
      </c>
      <c r="AE13" s="73" t="e">
        <f t="shared" si="27"/>
        <v>#DIV/0!</v>
      </c>
      <c r="AF13" s="399" t="e">
        <f t="shared" si="28"/>
        <v>#DIV/0!</v>
      </c>
      <c r="AG13" s="400" t="e">
        <f t="shared" si="29"/>
        <v>#DIV/0!</v>
      </c>
      <c r="AH13" s="400" t="e">
        <f t="shared" si="26"/>
        <v>#DIV/0!</v>
      </c>
      <c r="AI13" s="73">
        <f t="shared" si="30"/>
        <v>0</v>
      </c>
      <c r="AJ13" s="286">
        <f t="shared" si="7"/>
        <v>0.25738396624472576</v>
      </c>
      <c r="AK13" s="286" t="e">
        <f t="shared" si="8"/>
        <v>#DIV/0!</v>
      </c>
    </row>
    <row r="14" spans="1:37" ht="15.75" thickBot="1">
      <c r="A14" s="4">
        <f>ELEC!C15</f>
        <v>44389</v>
      </c>
      <c r="B14" s="527">
        <f t="shared" si="9"/>
        <v>10452</v>
      </c>
      <c r="C14" s="284">
        <f t="shared" si="10"/>
        <v>0</v>
      </c>
      <c r="D14" s="528">
        <f t="shared" si="11"/>
        <v>464683</v>
      </c>
      <c r="E14" s="284">
        <f t="shared" si="12"/>
        <v>0</v>
      </c>
      <c r="F14" s="284">
        <f t="shared" si="0"/>
        <v>0</v>
      </c>
      <c r="G14" s="196"/>
      <c r="H14" s="268">
        <f t="shared" si="13"/>
        <v>10310</v>
      </c>
      <c r="I14" s="284" t="str">
        <f t="shared" si="1"/>
        <v>oil change</v>
      </c>
      <c r="J14" s="528">
        <f t="shared" si="14"/>
        <v>10698</v>
      </c>
      <c r="K14" s="284">
        <f t="shared" si="2"/>
        <v>0</v>
      </c>
      <c r="L14" s="528">
        <f t="shared" si="15"/>
        <v>357691</v>
      </c>
      <c r="M14" s="284">
        <f t="shared" si="16"/>
        <v>0</v>
      </c>
      <c r="N14" s="284">
        <f t="shared" si="17"/>
        <v>0</v>
      </c>
      <c r="O14" s="196"/>
      <c r="P14" s="285">
        <f t="shared" si="18"/>
        <v>10873</v>
      </c>
      <c r="Q14" s="284" t="str">
        <f t="shared" si="3"/>
        <v>ok</v>
      </c>
      <c r="R14" s="528">
        <f t="shared" si="19"/>
        <v>12574</v>
      </c>
      <c r="S14" s="284">
        <f t="shared" si="4"/>
        <v>0</v>
      </c>
      <c r="T14" s="528">
        <f t="shared" si="20"/>
        <v>62485</v>
      </c>
      <c r="U14" s="284">
        <f t="shared" si="21"/>
        <v>0</v>
      </c>
      <c r="V14" s="284">
        <v>250</v>
      </c>
      <c r="W14" s="334"/>
      <c r="X14" s="285">
        <f t="shared" si="22"/>
        <v>12559</v>
      </c>
      <c r="Y14" s="284" t="str">
        <f t="shared" si="31"/>
        <v>oil change</v>
      </c>
      <c r="Z14" s="284">
        <f t="shared" si="6"/>
        <v>0</v>
      </c>
      <c r="AA14" s="284">
        <f t="shared" si="23"/>
        <v>0</v>
      </c>
      <c r="AB14" s="284">
        <f t="shared" si="24"/>
        <v>250</v>
      </c>
      <c r="AC14" s="284">
        <f t="shared" si="25"/>
        <v>0</v>
      </c>
      <c r="AD14" s="73">
        <f>ELEC!Q15</f>
        <v>0</v>
      </c>
      <c r="AE14" s="73" t="e">
        <f t="shared" si="27"/>
        <v>#DIV/0!</v>
      </c>
      <c r="AF14" s="399" t="e">
        <f t="shared" si="28"/>
        <v>#DIV/0!</v>
      </c>
      <c r="AG14" s="400" t="e">
        <f t="shared" si="29"/>
        <v>#DIV/0!</v>
      </c>
      <c r="AH14" s="400" t="e">
        <f t="shared" si="26"/>
        <v>#DIV/0!</v>
      </c>
      <c r="AI14" s="73">
        <f t="shared" si="30"/>
        <v>0</v>
      </c>
      <c r="AJ14" s="286">
        <f t="shared" si="7"/>
        <v>0.25738396624472576</v>
      </c>
      <c r="AK14" s="286" t="e">
        <f t="shared" si="8"/>
        <v>#DIV/0!</v>
      </c>
    </row>
    <row r="15" spans="1:37" ht="15.75" thickBot="1">
      <c r="A15" s="4">
        <f>ELEC!C16</f>
        <v>44390</v>
      </c>
      <c r="B15" s="527">
        <f t="shared" si="9"/>
        <v>10452</v>
      </c>
      <c r="C15" s="284">
        <f t="shared" si="10"/>
        <v>0</v>
      </c>
      <c r="D15" s="528">
        <f t="shared" si="11"/>
        <v>464683</v>
      </c>
      <c r="E15" s="284">
        <f t="shared" si="12"/>
        <v>0</v>
      </c>
      <c r="F15" s="284">
        <f t="shared" si="0"/>
        <v>0</v>
      </c>
      <c r="G15" s="196"/>
      <c r="H15" s="268">
        <f t="shared" si="13"/>
        <v>10310</v>
      </c>
      <c r="I15" s="284" t="str">
        <f t="shared" si="1"/>
        <v>oil change</v>
      </c>
      <c r="J15" s="528">
        <f t="shared" si="14"/>
        <v>10698</v>
      </c>
      <c r="K15" s="284">
        <f t="shared" si="2"/>
        <v>0</v>
      </c>
      <c r="L15" s="528">
        <f t="shared" si="15"/>
        <v>357691</v>
      </c>
      <c r="M15" s="284">
        <f t="shared" si="16"/>
        <v>0</v>
      </c>
      <c r="N15" s="284">
        <f t="shared" si="17"/>
        <v>0</v>
      </c>
      <c r="O15" s="196"/>
      <c r="P15" s="285">
        <f t="shared" si="18"/>
        <v>10873</v>
      </c>
      <c r="Q15" s="284" t="str">
        <f t="shared" si="3"/>
        <v>ok</v>
      </c>
      <c r="R15" s="528">
        <f t="shared" si="19"/>
        <v>12574</v>
      </c>
      <c r="S15" s="284">
        <f t="shared" si="4"/>
        <v>0</v>
      </c>
      <c r="T15" s="528">
        <f t="shared" si="20"/>
        <v>62485</v>
      </c>
      <c r="U15" s="284">
        <f t="shared" si="21"/>
        <v>0</v>
      </c>
      <c r="V15" s="284">
        <v>250</v>
      </c>
      <c r="W15" s="334"/>
      <c r="X15" s="285">
        <f t="shared" si="22"/>
        <v>12559</v>
      </c>
      <c r="Y15" s="284" t="str">
        <f t="shared" si="31"/>
        <v>oil change</v>
      </c>
      <c r="Z15" s="284">
        <f t="shared" si="6"/>
        <v>0</v>
      </c>
      <c r="AA15" s="284">
        <f t="shared" si="23"/>
        <v>0</v>
      </c>
      <c r="AB15" s="284">
        <f t="shared" si="24"/>
        <v>250</v>
      </c>
      <c r="AC15" s="284">
        <f t="shared" si="25"/>
        <v>0</v>
      </c>
      <c r="AD15" s="73">
        <f>ELEC!Q16</f>
        <v>0</v>
      </c>
      <c r="AE15" s="73" t="e">
        <f t="shared" si="27"/>
        <v>#DIV/0!</v>
      </c>
      <c r="AF15" s="399" t="e">
        <f t="shared" si="28"/>
        <v>#DIV/0!</v>
      </c>
      <c r="AG15" s="400" t="e">
        <f t="shared" si="29"/>
        <v>#DIV/0!</v>
      </c>
      <c r="AH15" s="400" t="e">
        <f t="shared" si="26"/>
        <v>#DIV/0!</v>
      </c>
      <c r="AI15" s="73">
        <f t="shared" si="30"/>
        <v>0</v>
      </c>
      <c r="AJ15" s="286">
        <f t="shared" si="7"/>
        <v>0.25738396624472576</v>
      </c>
      <c r="AK15" s="286" t="e">
        <f t="shared" si="8"/>
        <v>#DIV/0!</v>
      </c>
    </row>
    <row r="16" spans="1:37" ht="15.75" thickBot="1">
      <c r="A16" s="4">
        <f>ELEC!C17</f>
        <v>44391</v>
      </c>
      <c r="B16" s="527">
        <f t="shared" si="9"/>
        <v>10452</v>
      </c>
      <c r="C16" s="284">
        <f t="shared" si="10"/>
        <v>0</v>
      </c>
      <c r="D16" s="528">
        <f t="shared" si="11"/>
        <v>464683</v>
      </c>
      <c r="E16" s="284">
        <f t="shared" si="12"/>
        <v>0</v>
      </c>
      <c r="F16" s="284">
        <f t="shared" si="0"/>
        <v>0</v>
      </c>
      <c r="G16" s="196"/>
      <c r="H16" s="268">
        <f t="shared" si="13"/>
        <v>10310</v>
      </c>
      <c r="I16" s="284" t="str">
        <f t="shared" si="1"/>
        <v>oil change</v>
      </c>
      <c r="J16" s="528">
        <f t="shared" si="14"/>
        <v>10698</v>
      </c>
      <c r="K16" s="284">
        <f t="shared" si="2"/>
        <v>0</v>
      </c>
      <c r="L16" s="528">
        <f t="shared" si="15"/>
        <v>357691</v>
      </c>
      <c r="M16" s="284">
        <f t="shared" si="16"/>
        <v>0</v>
      </c>
      <c r="N16" s="284">
        <f t="shared" si="17"/>
        <v>0</v>
      </c>
      <c r="O16" s="196"/>
      <c r="P16" s="285">
        <f t="shared" si="18"/>
        <v>10873</v>
      </c>
      <c r="Q16" s="284" t="str">
        <f t="shared" si="3"/>
        <v>ok</v>
      </c>
      <c r="R16" s="528">
        <f t="shared" si="19"/>
        <v>12574</v>
      </c>
      <c r="S16" s="284">
        <f t="shared" si="4"/>
        <v>0</v>
      </c>
      <c r="T16" s="528">
        <f t="shared" si="20"/>
        <v>62485</v>
      </c>
      <c r="U16" s="284">
        <f t="shared" si="21"/>
        <v>0</v>
      </c>
      <c r="V16" s="284">
        <v>250</v>
      </c>
      <c r="W16" s="334"/>
      <c r="X16" s="285">
        <f t="shared" si="22"/>
        <v>12559</v>
      </c>
      <c r="Y16" s="284" t="str">
        <f t="shared" si="31"/>
        <v>oil change</v>
      </c>
      <c r="Z16" s="284">
        <f t="shared" si="6"/>
        <v>0</v>
      </c>
      <c r="AA16" s="284">
        <f t="shared" si="23"/>
        <v>0</v>
      </c>
      <c r="AB16" s="284">
        <f t="shared" si="24"/>
        <v>250</v>
      </c>
      <c r="AC16" s="284">
        <f t="shared" si="25"/>
        <v>0</v>
      </c>
      <c r="AD16" s="73">
        <f>ELEC!Q17</f>
        <v>0</v>
      </c>
      <c r="AE16" s="73" t="e">
        <f t="shared" si="27"/>
        <v>#DIV/0!</v>
      </c>
      <c r="AF16" s="399" t="e">
        <f t="shared" si="28"/>
        <v>#DIV/0!</v>
      </c>
      <c r="AG16" s="400" t="e">
        <f t="shared" si="29"/>
        <v>#DIV/0!</v>
      </c>
      <c r="AH16" s="400" t="e">
        <f t="shared" si="26"/>
        <v>#DIV/0!</v>
      </c>
      <c r="AI16" s="73">
        <f t="shared" si="30"/>
        <v>0</v>
      </c>
      <c r="AJ16" s="286">
        <f t="shared" si="7"/>
        <v>0.25738396624472576</v>
      </c>
      <c r="AK16" s="286" t="e">
        <f t="shared" si="8"/>
        <v>#DIV/0!</v>
      </c>
    </row>
    <row r="17" spans="1:37" ht="15.75" thickBot="1">
      <c r="A17" s="4">
        <f>ELEC!C18</f>
        <v>44392</v>
      </c>
      <c r="B17" s="527">
        <f t="shared" si="9"/>
        <v>10452</v>
      </c>
      <c r="C17" s="284">
        <f t="shared" si="10"/>
        <v>0</v>
      </c>
      <c r="D17" s="528">
        <f t="shared" si="11"/>
        <v>464683</v>
      </c>
      <c r="E17" s="284">
        <f t="shared" si="12"/>
        <v>0</v>
      </c>
      <c r="F17" s="284">
        <f t="shared" si="0"/>
        <v>0</v>
      </c>
      <c r="G17" s="196"/>
      <c r="H17" s="268">
        <f t="shared" si="13"/>
        <v>10310</v>
      </c>
      <c r="I17" s="284" t="str">
        <f t="shared" si="1"/>
        <v>oil change</v>
      </c>
      <c r="J17" s="528">
        <f t="shared" si="14"/>
        <v>10698</v>
      </c>
      <c r="K17" s="284">
        <f t="shared" si="2"/>
        <v>0</v>
      </c>
      <c r="L17" s="528">
        <f t="shared" si="15"/>
        <v>357691</v>
      </c>
      <c r="M17" s="284">
        <f t="shared" si="16"/>
        <v>0</v>
      </c>
      <c r="N17" s="284">
        <f t="shared" si="17"/>
        <v>0</v>
      </c>
      <c r="O17" s="196"/>
      <c r="P17" s="285">
        <f t="shared" si="18"/>
        <v>10873</v>
      </c>
      <c r="Q17" s="284" t="str">
        <f t="shared" si="3"/>
        <v>ok</v>
      </c>
      <c r="R17" s="528">
        <f t="shared" si="19"/>
        <v>12574</v>
      </c>
      <c r="S17" s="284">
        <f t="shared" si="4"/>
        <v>0</v>
      </c>
      <c r="T17" s="528">
        <f t="shared" si="20"/>
        <v>62485</v>
      </c>
      <c r="U17" s="284">
        <f t="shared" si="21"/>
        <v>0</v>
      </c>
      <c r="V17" s="284">
        <v>250</v>
      </c>
      <c r="W17" s="334"/>
      <c r="X17" s="285">
        <f t="shared" si="22"/>
        <v>12559</v>
      </c>
      <c r="Y17" s="284" t="str">
        <f t="shared" si="31"/>
        <v>oil change</v>
      </c>
      <c r="Z17" s="284">
        <f t="shared" si="6"/>
        <v>0</v>
      </c>
      <c r="AA17" s="284">
        <f t="shared" si="23"/>
        <v>0</v>
      </c>
      <c r="AB17" s="284">
        <f t="shared" si="24"/>
        <v>250</v>
      </c>
      <c r="AC17" s="284">
        <f t="shared" si="25"/>
        <v>0</v>
      </c>
      <c r="AD17" s="73">
        <f>ELEC!Q18</f>
        <v>0</v>
      </c>
      <c r="AE17" s="73" t="e">
        <f t="shared" si="27"/>
        <v>#DIV/0!</v>
      </c>
      <c r="AF17" s="399" t="e">
        <f t="shared" si="28"/>
        <v>#DIV/0!</v>
      </c>
      <c r="AG17" s="400" t="e">
        <f t="shared" si="29"/>
        <v>#DIV/0!</v>
      </c>
      <c r="AH17" s="400" t="e">
        <f t="shared" si="26"/>
        <v>#DIV/0!</v>
      </c>
      <c r="AI17" s="73">
        <f t="shared" si="30"/>
        <v>0</v>
      </c>
      <c r="AJ17" s="286">
        <f t="shared" si="7"/>
        <v>0.25738396624472576</v>
      </c>
      <c r="AK17" s="286" t="e">
        <f t="shared" si="8"/>
        <v>#DIV/0!</v>
      </c>
    </row>
    <row r="18" spans="1:37" ht="15.75" thickBot="1">
      <c r="A18" s="4">
        <f>ELEC!C19</f>
        <v>44393</v>
      </c>
      <c r="B18" s="527">
        <f t="shared" si="9"/>
        <v>10452</v>
      </c>
      <c r="C18" s="284">
        <f t="shared" si="10"/>
        <v>0</v>
      </c>
      <c r="D18" s="528">
        <f t="shared" si="11"/>
        <v>464683</v>
      </c>
      <c r="E18" s="284">
        <f t="shared" si="12"/>
        <v>0</v>
      </c>
      <c r="F18" s="284">
        <f t="shared" si="0"/>
        <v>0</v>
      </c>
      <c r="G18" s="196"/>
      <c r="H18" s="268">
        <f t="shared" si="13"/>
        <v>10310</v>
      </c>
      <c r="I18" s="284" t="str">
        <f t="shared" si="1"/>
        <v>oil change</v>
      </c>
      <c r="J18" s="528">
        <f t="shared" si="14"/>
        <v>10698</v>
      </c>
      <c r="K18" s="284">
        <f t="shared" si="2"/>
        <v>0</v>
      </c>
      <c r="L18" s="528">
        <f t="shared" si="15"/>
        <v>357691</v>
      </c>
      <c r="M18" s="284">
        <f t="shared" si="16"/>
        <v>0</v>
      </c>
      <c r="N18" s="284">
        <f t="shared" si="17"/>
        <v>0</v>
      </c>
      <c r="O18" s="196"/>
      <c r="P18" s="285">
        <f t="shared" si="18"/>
        <v>10873</v>
      </c>
      <c r="Q18" s="284" t="str">
        <f>IF(J18-P14&lt;=0,"ok","oil change")</f>
        <v>ok</v>
      </c>
      <c r="R18" s="528">
        <f t="shared" si="19"/>
        <v>12574</v>
      </c>
      <c r="S18" s="284">
        <f t="shared" si="4"/>
        <v>0</v>
      </c>
      <c r="T18" s="528">
        <f t="shared" si="20"/>
        <v>62485</v>
      </c>
      <c r="U18" s="284">
        <f t="shared" si="21"/>
        <v>0</v>
      </c>
      <c r="V18" s="284">
        <v>250</v>
      </c>
      <c r="W18" s="334"/>
      <c r="X18" s="285">
        <v>12540</v>
      </c>
      <c r="Y18" s="284" t="str">
        <f t="shared" si="31"/>
        <v>oil change</v>
      </c>
      <c r="Z18" s="284">
        <f t="shared" si="6"/>
        <v>0</v>
      </c>
      <c r="AA18" s="284">
        <f t="shared" si="23"/>
        <v>0</v>
      </c>
      <c r="AB18" s="284">
        <f t="shared" si="24"/>
        <v>250</v>
      </c>
      <c r="AC18" s="284">
        <f t="shared" si="25"/>
        <v>0</v>
      </c>
      <c r="AD18" s="73">
        <f>ELEC!Q19</f>
        <v>0</v>
      </c>
      <c r="AE18" s="73" t="e">
        <f t="shared" si="27"/>
        <v>#DIV/0!</v>
      </c>
      <c r="AF18" s="399" t="e">
        <f t="shared" si="28"/>
        <v>#DIV/0!</v>
      </c>
      <c r="AG18" s="400" t="e">
        <f t="shared" si="29"/>
        <v>#DIV/0!</v>
      </c>
      <c r="AH18" s="400" t="e">
        <f t="shared" si="26"/>
        <v>#DIV/0!</v>
      </c>
      <c r="AI18" s="73">
        <f t="shared" si="30"/>
        <v>0</v>
      </c>
      <c r="AJ18" s="286">
        <f t="shared" si="7"/>
        <v>0.25738396624472576</v>
      </c>
      <c r="AK18" s="286" t="e">
        <f t="shared" si="8"/>
        <v>#DIV/0!</v>
      </c>
    </row>
    <row r="19" spans="1:37" ht="15.75" thickBot="1">
      <c r="A19" s="4">
        <f>ELEC!C20</f>
        <v>44394</v>
      </c>
      <c r="B19" s="527">
        <f t="shared" si="9"/>
        <v>10452</v>
      </c>
      <c r="C19" s="284">
        <f t="shared" si="10"/>
        <v>0</v>
      </c>
      <c r="D19" s="528">
        <f t="shared" si="11"/>
        <v>464683</v>
      </c>
      <c r="E19" s="284">
        <f t="shared" si="12"/>
        <v>0</v>
      </c>
      <c r="F19" s="284">
        <f t="shared" si="0"/>
        <v>0</v>
      </c>
      <c r="G19" s="196"/>
      <c r="H19" s="268">
        <f t="shared" si="13"/>
        <v>10310</v>
      </c>
      <c r="I19" s="284" t="str">
        <f t="shared" si="1"/>
        <v>oil change</v>
      </c>
      <c r="J19" s="528">
        <f t="shared" si="14"/>
        <v>10698</v>
      </c>
      <c r="K19" s="284">
        <f t="shared" si="2"/>
        <v>0</v>
      </c>
      <c r="L19" s="528">
        <f t="shared" si="15"/>
        <v>357691</v>
      </c>
      <c r="M19" s="284">
        <f t="shared" si="16"/>
        <v>0</v>
      </c>
      <c r="N19" s="284">
        <f t="shared" si="17"/>
        <v>0</v>
      </c>
      <c r="O19" s="196"/>
      <c r="P19" s="285">
        <f t="shared" si="18"/>
        <v>10873</v>
      </c>
      <c r="Q19" s="284" t="str">
        <f t="shared" ref="Q19:Q30" si="32">IF(J19-P19&lt;=0,"ok","oil change")</f>
        <v>ok</v>
      </c>
      <c r="R19" s="528">
        <f t="shared" si="19"/>
        <v>12574</v>
      </c>
      <c r="S19" s="284">
        <f t="shared" si="4"/>
        <v>0</v>
      </c>
      <c r="T19" s="528">
        <f t="shared" si="20"/>
        <v>62485</v>
      </c>
      <c r="U19" s="284">
        <f t="shared" si="21"/>
        <v>0</v>
      </c>
      <c r="V19" s="284">
        <v>250</v>
      </c>
      <c r="W19" s="334"/>
      <c r="X19" s="285">
        <f t="shared" si="22"/>
        <v>12540</v>
      </c>
      <c r="Y19" s="284" t="str">
        <f t="shared" si="31"/>
        <v>oil change</v>
      </c>
      <c r="Z19" s="284">
        <f t="shared" si="6"/>
        <v>0</v>
      </c>
      <c r="AA19" s="284">
        <f t="shared" si="23"/>
        <v>0</v>
      </c>
      <c r="AB19" s="284">
        <f t="shared" si="24"/>
        <v>250</v>
      </c>
      <c r="AC19" s="284">
        <f t="shared" si="25"/>
        <v>0</v>
      </c>
      <c r="AD19" s="73">
        <f>ELEC!Q20</f>
        <v>0</v>
      </c>
      <c r="AE19" s="73" t="e">
        <f t="shared" si="27"/>
        <v>#DIV/0!</v>
      </c>
      <c r="AF19" s="399" t="e">
        <f t="shared" si="28"/>
        <v>#DIV/0!</v>
      </c>
      <c r="AG19" s="400" t="e">
        <f t="shared" si="29"/>
        <v>#DIV/0!</v>
      </c>
      <c r="AH19" s="400" t="e">
        <f t="shared" si="26"/>
        <v>#DIV/0!</v>
      </c>
      <c r="AI19" s="73">
        <f t="shared" si="30"/>
        <v>0</v>
      </c>
      <c r="AJ19" s="286">
        <f t="shared" si="7"/>
        <v>0.25738396624472576</v>
      </c>
      <c r="AK19" s="286" t="e">
        <f t="shared" si="8"/>
        <v>#DIV/0!</v>
      </c>
    </row>
    <row r="20" spans="1:37" ht="15.75" thickBot="1">
      <c r="A20" s="4">
        <f>ELEC!C21</f>
        <v>44395</v>
      </c>
      <c r="B20" s="527">
        <f t="shared" si="9"/>
        <v>10452</v>
      </c>
      <c r="C20" s="284">
        <f>B20-B19</f>
        <v>0</v>
      </c>
      <c r="D20" s="528">
        <f t="shared" si="11"/>
        <v>464683</v>
      </c>
      <c r="E20" s="284">
        <f t="shared" si="12"/>
        <v>0</v>
      </c>
      <c r="F20" s="284">
        <f t="shared" si="0"/>
        <v>0</v>
      </c>
      <c r="G20" s="196"/>
      <c r="H20" s="268">
        <f t="shared" si="13"/>
        <v>10310</v>
      </c>
      <c r="I20" s="284" t="str">
        <f t="shared" si="1"/>
        <v>oil change</v>
      </c>
      <c r="J20" s="528">
        <f t="shared" si="14"/>
        <v>10698</v>
      </c>
      <c r="K20" s="284">
        <f t="shared" si="2"/>
        <v>0</v>
      </c>
      <c r="L20" s="528">
        <f t="shared" si="15"/>
        <v>357691</v>
      </c>
      <c r="M20" s="284">
        <f t="shared" si="16"/>
        <v>0</v>
      </c>
      <c r="N20" s="284">
        <f t="shared" si="17"/>
        <v>0</v>
      </c>
      <c r="O20" s="196"/>
      <c r="P20" s="285">
        <f t="shared" si="18"/>
        <v>10873</v>
      </c>
      <c r="Q20" s="284" t="str">
        <f t="shared" si="32"/>
        <v>ok</v>
      </c>
      <c r="R20" s="528">
        <f t="shared" si="19"/>
        <v>12574</v>
      </c>
      <c r="S20" s="284">
        <f t="shared" si="4"/>
        <v>0</v>
      </c>
      <c r="T20" s="528">
        <f t="shared" si="20"/>
        <v>62485</v>
      </c>
      <c r="U20" s="284">
        <f t="shared" si="21"/>
        <v>0</v>
      </c>
      <c r="V20" s="284">
        <v>250</v>
      </c>
      <c r="W20" s="334"/>
      <c r="X20" s="285">
        <f t="shared" si="22"/>
        <v>12540</v>
      </c>
      <c r="Y20" s="284" t="str">
        <f t="shared" si="31"/>
        <v>oil change</v>
      </c>
      <c r="Z20" s="284">
        <f t="shared" si="6"/>
        <v>0</v>
      </c>
      <c r="AA20" s="284">
        <f t="shared" si="23"/>
        <v>0</v>
      </c>
      <c r="AB20" s="284">
        <f t="shared" si="24"/>
        <v>250</v>
      </c>
      <c r="AC20" s="284">
        <f t="shared" si="25"/>
        <v>0</v>
      </c>
      <c r="AD20" s="73">
        <f>ELEC!Q21</f>
        <v>0</v>
      </c>
      <c r="AE20" s="73" t="e">
        <f t="shared" si="27"/>
        <v>#DIV/0!</v>
      </c>
      <c r="AF20" s="399" t="e">
        <f t="shared" si="28"/>
        <v>#DIV/0!</v>
      </c>
      <c r="AG20" s="400" t="e">
        <f t="shared" si="29"/>
        <v>#DIV/0!</v>
      </c>
      <c r="AH20" s="400" t="e">
        <f t="shared" si="26"/>
        <v>#DIV/0!</v>
      </c>
      <c r="AI20" s="73">
        <f>AD20*AJ20</f>
        <v>0</v>
      </c>
      <c r="AJ20" s="286">
        <f t="shared" si="7"/>
        <v>0.25738396624472576</v>
      </c>
      <c r="AK20" s="286" t="e">
        <f t="shared" si="8"/>
        <v>#DIV/0!</v>
      </c>
    </row>
    <row r="21" spans="1:37" ht="15.75" thickBot="1">
      <c r="A21" s="4">
        <f>ELEC!C22</f>
        <v>44396</v>
      </c>
      <c r="B21" s="527">
        <f t="shared" si="9"/>
        <v>10452</v>
      </c>
      <c r="C21" s="284">
        <f>B21-B20</f>
        <v>0</v>
      </c>
      <c r="D21" s="528">
        <f t="shared" si="11"/>
        <v>464683</v>
      </c>
      <c r="E21" s="284">
        <f t="shared" si="12"/>
        <v>0</v>
      </c>
      <c r="F21" s="284">
        <f t="shared" si="0"/>
        <v>0</v>
      </c>
      <c r="G21" s="196"/>
      <c r="H21" s="268">
        <f t="shared" si="13"/>
        <v>10310</v>
      </c>
      <c r="I21" s="284" t="str">
        <f t="shared" si="1"/>
        <v>oil change</v>
      </c>
      <c r="J21" s="528">
        <f t="shared" si="14"/>
        <v>10698</v>
      </c>
      <c r="K21" s="284">
        <f t="shared" si="2"/>
        <v>0</v>
      </c>
      <c r="L21" s="528">
        <f t="shared" si="15"/>
        <v>357691</v>
      </c>
      <c r="M21" s="284">
        <f t="shared" si="16"/>
        <v>0</v>
      </c>
      <c r="N21" s="284">
        <f t="shared" si="17"/>
        <v>0</v>
      </c>
      <c r="O21" s="196"/>
      <c r="P21" s="285">
        <f t="shared" si="18"/>
        <v>10873</v>
      </c>
      <c r="Q21" s="284" t="str">
        <f t="shared" si="32"/>
        <v>ok</v>
      </c>
      <c r="R21" s="528">
        <f t="shared" si="19"/>
        <v>12574</v>
      </c>
      <c r="S21" s="284">
        <f t="shared" si="4"/>
        <v>0</v>
      </c>
      <c r="T21" s="528">
        <f t="shared" si="20"/>
        <v>62485</v>
      </c>
      <c r="U21" s="284">
        <f t="shared" si="21"/>
        <v>0</v>
      </c>
      <c r="V21" s="284">
        <v>250</v>
      </c>
      <c r="W21" s="196"/>
      <c r="X21" s="285">
        <f t="shared" si="22"/>
        <v>12540</v>
      </c>
      <c r="Y21" s="284" t="str">
        <f>Y20</f>
        <v>oil change</v>
      </c>
      <c r="Z21" s="284">
        <f t="shared" si="6"/>
        <v>0</v>
      </c>
      <c r="AA21" s="284">
        <f t="shared" si="23"/>
        <v>0</v>
      </c>
      <c r="AB21" s="284">
        <f t="shared" si="24"/>
        <v>250</v>
      </c>
      <c r="AC21" s="284">
        <f t="shared" si="25"/>
        <v>0</v>
      </c>
      <c r="AD21" s="73">
        <f>ELEC!Q22</f>
        <v>0</v>
      </c>
      <c r="AE21" s="73" t="e">
        <f t="shared" si="27"/>
        <v>#DIV/0!</v>
      </c>
      <c r="AF21" s="399" t="e">
        <f t="shared" si="28"/>
        <v>#DIV/0!</v>
      </c>
      <c r="AG21" s="400" t="e">
        <f t="shared" si="29"/>
        <v>#DIV/0!</v>
      </c>
      <c r="AH21" s="400" t="e">
        <f t="shared" si="26"/>
        <v>#DIV/0!</v>
      </c>
      <c r="AI21" s="73">
        <f t="shared" si="30"/>
        <v>0</v>
      </c>
      <c r="AJ21" s="286">
        <f t="shared" si="7"/>
        <v>0.25738396624472576</v>
      </c>
      <c r="AK21" s="286" t="e">
        <f t="shared" si="8"/>
        <v>#DIV/0!</v>
      </c>
    </row>
    <row r="22" spans="1:37" ht="15.75" thickBot="1">
      <c r="A22" s="4">
        <f>ELEC!C23</f>
        <v>44397</v>
      </c>
      <c r="B22" s="527">
        <f t="shared" si="9"/>
        <v>10452</v>
      </c>
      <c r="C22" s="284">
        <f t="shared" si="10"/>
        <v>0</v>
      </c>
      <c r="D22" s="528">
        <f t="shared" si="11"/>
        <v>464683</v>
      </c>
      <c r="E22" s="284">
        <f>150*C22</f>
        <v>0</v>
      </c>
      <c r="F22" s="284">
        <f t="shared" si="0"/>
        <v>0</v>
      </c>
      <c r="G22" s="196"/>
      <c r="H22" s="268">
        <f t="shared" si="13"/>
        <v>10310</v>
      </c>
      <c r="I22" s="284" t="str">
        <f t="shared" si="1"/>
        <v>oil change</v>
      </c>
      <c r="J22" s="528">
        <f t="shared" si="14"/>
        <v>10698</v>
      </c>
      <c r="K22" s="284">
        <f t="shared" si="2"/>
        <v>0</v>
      </c>
      <c r="L22" s="528">
        <f t="shared" si="15"/>
        <v>357691</v>
      </c>
      <c r="M22" s="284">
        <f t="shared" si="16"/>
        <v>0</v>
      </c>
      <c r="N22" s="284">
        <f t="shared" si="17"/>
        <v>0</v>
      </c>
      <c r="O22" s="196"/>
      <c r="P22" s="285">
        <f t="shared" si="18"/>
        <v>10873</v>
      </c>
      <c r="Q22" s="284" t="str">
        <f t="shared" si="32"/>
        <v>ok</v>
      </c>
      <c r="R22" s="528">
        <f t="shared" si="19"/>
        <v>12574</v>
      </c>
      <c r="S22" s="284">
        <f t="shared" si="4"/>
        <v>0</v>
      </c>
      <c r="T22" s="528">
        <f t="shared" si="20"/>
        <v>62485</v>
      </c>
      <c r="U22" s="284">
        <v>0</v>
      </c>
      <c r="V22" s="284">
        <v>250</v>
      </c>
      <c r="W22" s="196"/>
      <c r="X22" s="285">
        <f t="shared" si="22"/>
        <v>12540</v>
      </c>
      <c r="Y22" s="284" t="str">
        <f t="shared" ref="Y22:Y30" si="33">IF(R22-X22&lt;=0,"ok","oil change")</f>
        <v>oil change</v>
      </c>
      <c r="Z22" s="284">
        <f t="shared" si="6"/>
        <v>0</v>
      </c>
      <c r="AA22" s="284">
        <f t="shared" si="23"/>
        <v>0</v>
      </c>
      <c r="AB22" s="284">
        <f t="shared" si="24"/>
        <v>250</v>
      </c>
      <c r="AC22" s="284">
        <f t="shared" si="25"/>
        <v>0</v>
      </c>
      <c r="AD22" s="73">
        <f>ELEC!Q23</f>
        <v>0</v>
      </c>
      <c r="AE22" s="73" t="e">
        <f t="shared" si="27"/>
        <v>#DIV/0!</v>
      </c>
      <c r="AF22" s="399" t="e">
        <f t="shared" si="28"/>
        <v>#DIV/0!</v>
      </c>
      <c r="AG22" s="400" t="e">
        <f t="shared" si="29"/>
        <v>#DIV/0!</v>
      </c>
      <c r="AH22" s="400" t="e">
        <f t="shared" si="26"/>
        <v>#DIV/0!</v>
      </c>
      <c r="AI22" s="73">
        <f t="shared" si="30"/>
        <v>0</v>
      </c>
      <c r="AJ22" s="286">
        <f t="shared" si="7"/>
        <v>0.25738396624472576</v>
      </c>
      <c r="AK22" s="286" t="e">
        <f t="shared" si="8"/>
        <v>#DIV/0!</v>
      </c>
    </row>
    <row r="23" spans="1:37" ht="15.75" thickBot="1">
      <c r="A23" s="4">
        <f>ELEC!C24</f>
        <v>44398</v>
      </c>
      <c r="B23" s="527">
        <f t="shared" si="9"/>
        <v>10452</v>
      </c>
      <c r="C23" s="284">
        <f t="shared" si="10"/>
        <v>0</v>
      </c>
      <c r="D23" s="528">
        <f t="shared" si="11"/>
        <v>464683</v>
      </c>
      <c r="E23" s="284">
        <f>150*C23</f>
        <v>0</v>
      </c>
      <c r="F23" s="284">
        <f t="shared" si="0"/>
        <v>0</v>
      </c>
      <c r="G23" s="196"/>
      <c r="H23" s="268">
        <f t="shared" si="13"/>
        <v>10310</v>
      </c>
      <c r="I23" s="284" t="str">
        <f t="shared" si="1"/>
        <v>oil change</v>
      </c>
      <c r="J23" s="528">
        <f t="shared" si="14"/>
        <v>10698</v>
      </c>
      <c r="K23" s="284">
        <f t="shared" si="2"/>
        <v>0</v>
      </c>
      <c r="L23" s="528">
        <f t="shared" si="15"/>
        <v>357691</v>
      </c>
      <c r="M23" s="284">
        <f t="shared" si="16"/>
        <v>0</v>
      </c>
      <c r="N23" s="284">
        <f t="shared" si="17"/>
        <v>0</v>
      </c>
      <c r="O23" s="196"/>
      <c r="P23" s="285">
        <f t="shared" si="18"/>
        <v>10873</v>
      </c>
      <c r="Q23" s="284" t="str">
        <f t="shared" si="32"/>
        <v>ok</v>
      </c>
      <c r="R23" s="528">
        <f t="shared" si="19"/>
        <v>12574</v>
      </c>
      <c r="S23" s="284">
        <f>R23-R22</f>
        <v>0</v>
      </c>
      <c r="T23" s="528">
        <f t="shared" si="20"/>
        <v>62485</v>
      </c>
      <c r="U23" s="284">
        <f t="shared" si="21"/>
        <v>0</v>
      </c>
      <c r="V23" s="284">
        <v>250</v>
      </c>
      <c r="W23" s="196"/>
      <c r="X23" s="285">
        <f t="shared" si="22"/>
        <v>12540</v>
      </c>
      <c r="Y23" s="284" t="str">
        <f t="shared" si="33"/>
        <v>oil change</v>
      </c>
      <c r="Z23" s="284">
        <f t="shared" si="6"/>
        <v>0</v>
      </c>
      <c r="AA23" s="284">
        <f t="shared" si="23"/>
        <v>0</v>
      </c>
      <c r="AB23" s="284">
        <f t="shared" si="24"/>
        <v>250</v>
      </c>
      <c r="AC23" s="284">
        <f t="shared" si="25"/>
        <v>0</v>
      </c>
      <c r="AD23" s="73">
        <f>ELEC!Q24</f>
        <v>0</v>
      </c>
      <c r="AE23" s="73" t="e">
        <f t="shared" si="27"/>
        <v>#DIV/0!</v>
      </c>
      <c r="AF23" s="399" t="e">
        <f t="shared" si="28"/>
        <v>#DIV/0!</v>
      </c>
      <c r="AG23" s="400" t="e">
        <f t="shared" si="29"/>
        <v>#DIV/0!</v>
      </c>
      <c r="AH23" s="400" t="e">
        <f t="shared" si="26"/>
        <v>#DIV/0!</v>
      </c>
      <c r="AI23" s="73">
        <f t="shared" si="30"/>
        <v>0</v>
      </c>
      <c r="AJ23" s="286">
        <f t="shared" si="7"/>
        <v>0.25738396624472576</v>
      </c>
      <c r="AK23" s="286" t="e">
        <f t="shared" si="8"/>
        <v>#DIV/0!</v>
      </c>
    </row>
    <row r="24" spans="1:37" ht="15.75" thickBot="1">
      <c r="A24" s="4">
        <f>ELEC!C25</f>
        <v>44399</v>
      </c>
      <c r="B24" s="527">
        <f t="shared" si="9"/>
        <v>10452</v>
      </c>
      <c r="C24" s="284">
        <f t="shared" si="10"/>
        <v>0</v>
      </c>
      <c r="D24" s="528">
        <f t="shared" si="11"/>
        <v>464683</v>
      </c>
      <c r="E24" s="284">
        <f t="shared" si="12"/>
        <v>0</v>
      </c>
      <c r="F24" s="284">
        <f t="shared" si="0"/>
        <v>0</v>
      </c>
      <c r="G24" s="196"/>
      <c r="H24" s="268">
        <f t="shared" si="13"/>
        <v>10310</v>
      </c>
      <c r="I24" s="284" t="str">
        <f t="shared" si="1"/>
        <v>oil change</v>
      </c>
      <c r="J24" s="528">
        <f t="shared" si="14"/>
        <v>10698</v>
      </c>
      <c r="K24" s="284">
        <f t="shared" si="2"/>
        <v>0</v>
      </c>
      <c r="L24" s="528">
        <f t="shared" si="15"/>
        <v>357691</v>
      </c>
      <c r="M24" s="284">
        <f t="shared" si="16"/>
        <v>0</v>
      </c>
      <c r="N24" s="284">
        <f t="shared" si="17"/>
        <v>0</v>
      </c>
      <c r="O24" s="196"/>
      <c r="P24" s="285">
        <f t="shared" si="18"/>
        <v>10873</v>
      </c>
      <c r="Q24" s="284" t="str">
        <f t="shared" si="32"/>
        <v>ok</v>
      </c>
      <c r="R24" s="528">
        <f t="shared" si="19"/>
        <v>12574</v>
      </c>
      <c r="S24" s="284">
        <f t="shared" si="4"/>
        <v>0</v>
      </c>
      <c r="T24" s="528">
        <f t="shared" si="20"/>
        <v>62485</v>
      </c>
      <c r="U24" s="284">
        <f t="shared" si="21"/>
        <v>0</v>
      </c>
      <c r="V24" s="284">
        <v>250</v>
      </c>
      <c r="W24" s="196"/>
      <c r="X24" s="285">
        <v>12559</v>
      </c>
      <c r="Y24" s="284" t="str">
        <f t="shared" si="33"/>
        <v>oil change</v>
      </c>
      <c r="Z24" s="284">
        <f t="shared" si="6"/>
        <v>0</v>
      </c>
      <c r="AA24" s="284">
        <f t="shared" si="23"/>
        <v>0</v>
      </c>
      <c r="AB24" s="284">
        <f t="shared" si="24"/>
        <v>250</v>
      </c>
      <c r="AC24" s="284">
        <f t="shared" si="25"/>
        <v>0</v>
      </c>
      <c r="AD24" s="73">
        <f>ELEC!Q25</f>
        <v>0</v>
      </c>
      <c r="AE24" s="73" t="e">
        <f t="shared" si="27"/>
        <v>#DIV/0!</v>
      </c>
      <c r="AF24" s="399" t="e">
        <f t="shared" si="28"/>
        <v>#DIV/0!</v>
      </c>
      <c r="AG24" s="400" t="e">
        <f t="shared" si="29"/>
        <v>#DIV/0!</v>
      </c>
      <c r="AH24" s="400" t="e">
        <f t="shared" si="26"/>
        <v>#DIV/0!</v>
      </c>
      <c r="AI24" s="73">
        <f t="shared" si="30"/>
        <v>0</v>
      </c>
      <c r="AJ24" s="286">
        <f t="shared" si="7"/>
        <v>0.25738396624472576</v>
      </c>
      <c r="AK24" s="286" t="e">
        <f t="shared" si="8"/>
        <v>#DIV/0!</v>
      </c>
    </row>
    <row r="25" spans="1:37" ht="15.75" thickBot="1">
      <c r="A25" s="4">
        <f>ELEC!C26</f>
        <v>44400</v>
      </c>
      <c r="B25" s="527">
        <f t="shared" si="9"/>
        <v>10452</v>
      </c>
      <c r="C25" s="284">
        <f t="shared" si="10"/>
        <v>0</v>
      </c>
      <c r="D25" s="528">
        <f t="shared" si="11"/>
        <v>464683</v>
      </c>
      <c r="E25" s="284">
        <f t="shared" si="12"/>
        <v>0</v>
      </c>
      <c r="F25" s="284">
        <f t="shared" si="0"/>
        <v>0</v>
      </c>
      <c r="G25" s="196"/>
      <c r="H25" s="268">
        <f>10342+150</f>
        <v>10492</v>
      </c>
      <c r="I25" s="284" t="str">
        <f t="shared" si="1"/>
        <v>ok</v>
      </c>
      <c r="J25" s="528">
        <f t="shared" si="14"/>
        <v>10698</v>
      </c>
      <c r="K25" s="284">
        <f t="shared" si="2"/>
        <v>0</v>
      </c>
      <c r="L25" s="528">
        <f t="shared" si="15"/>
        <v>357691</v>
      </c>
      <c r="M25" s="284">
        <f t="shared" si="16"/>
        <v>0</v>
      </c>
      <c r="N25" s="284">
        <f t="shared" si="17"/>
        <v>0</v>
      </c>
      <c r="O25" s="196"/>
      <c r="P25" s="285">
        <f t="shared" si="18"/>
        <v>10873</v>
      </c>
      <c r="Q25" s="284" t="str">
        <f t="shared" si="32"/>
        <v>ok</v>
      </c>
      <c r="R25" s="528">
        <f t="shared" si="19"/>
        <v>12574</v>
      </c>
      <c r="S25" s="284">
        <f t="shared" si="4"/>
        <v>0</v>
      </c>
      <c r="T25" s="528">
        <f t="shared" si="20"/>
        <v>62485</v>
      </c>
      <c r="U25" s="284">
        <f t="shared" si="21"/>
        <v>0</v>
      </c>
      <c r="V25" s="284">
        <v>250</v>
      </c>
      <c r="W25" s="196"/>
      <c r="X25" s="285">
        <f t="shared" si="22"/>
        <v>12559</v>
      </c>
      <c r="Y25" s="284" t="str">
        <f t="shared" si="33"/>
        <v>oil change</v>
      </c>
      <c r="Z25" s="284">
        <f t="shared" si="6"/>
        <v>0</v>
      </c>
      <c r="AA25" s="284">
        <f t="shared" si="23"/>
        <v>0</v>
      </c>
      <c r="AB25" s="284">
        <f t="shared" si="24"/>
        <v>250</v>
      </c>
      <c r="AC25" s="284">
        <f t="shared" si="25"/>
        <v>0</v>
      </c>
      <c r="AD25" s="73">
        <f>ELEC!Q26</f>
        <v>0</v>
      </c>
      <c r="AE25" s="73" t="e">
        <f t="shared" si="27"/>
        <v>#DIV/0!</v>
      </c>
      <c r="AF25" s="399" t="e">
        <f t="shared" si="28"/>
        <v>#DIV/0!</v>
      </c>
      <c r="AG25" s="400" t="e">
        <f t="shared" si="29"/>
        <v>#DIV/0!</v>
      </c>
      <c r="AH25" s="400" t="e">
        <f t="shared" si="26"/>
        <v>#DIV/0!</v>
      </c>
      <c r="AI25" s="73">
        <f t="shared" si="30"/>
        <v>0</v>
      </c>
      <c r="AJ25" s="286">
        <f t="shared" si="7"/>
        <v>0.25738396624472576</v>
      </c>
      <c r="AK25" s="286" t="e">
        <f t="shared" si="8"/>
        <v>#DIV/0!</v>
      </c>
    </row>
    <row r="26" spans="1:37" ht="15.75" thickBot="1">
      <c r="A26" s="4">
        <f>ELEC!C27</f>
        <v>44401</v>
      </c>
      <c r="B26" s="527">
        <f t="shared" si="9"/>
        <v>10452</v>
      </c>
      <c r="C26" s="284">
        <f t="shared" si="10"/>
        <v>0</v>
      </c>
      <c r="D26" s="528">
        <f t="shared" si="11"/>
        <v>464683</v>
      </c>
      <c r="E26" s="284">
        <f>SUM(D26-D25)</f>
        <v>0</v>
      </c>
      <c r="F26" s="284">
        <f t="shared" si="0"/>
        <v>0</v>
      </c>
      <c r="G26" s="196"/>
      <c r="H26" s="268">
        <f t="shared" si="13"/>
        <v>10492</v>
      </c>
      <c r="I26" s="284" t="str">
        <f t="shared" si="1"/>
        <v>ok</v>
      </c>
      <c r="J26" s="528">
        <f t="shared" si="14"/>
        <v>10698</v>
      </c>
      <c r="K26" s="284">
        <f t="shared" si="2"/>
        <v>0</v>
      </c>
      <c r="L26" s="528">
        <f t="shared" si="15"/>
        <v>357691</v>
      </c>
      <c r="M26" s="284">
        <f t="shared" si="16"/>
        <v>0</v>
      </c>
      <c r="N26" s="284">
        <f t="shared" si="17"/>
        <v>0</v>
      </c>
      <c r="O26" s="196"/>
      <c r="P26" s="285">
        <f t="shared" si="18"/>
        <v>10873</v>
      </c>
      <c r="Q26" s="284" t="str">
        <f t="shared" si="32"/>
        <v>ok</v>
      </c>
      <c r="R26" s="528">
        <f t="shared" si="19"/>
        <v>12574</v>
      </c>
      <c r="S26" s="284">
        <f t="shared" si="4"/>
        <v>0</v>
      </c>
      <c r="T26" s="528">
        <f t="shared" si="20"/>
        <v>62485</v>
      </c>
      <c r="U26" s="284">
        <f t="shared" si="21"/>
        <v>0</v>
      </c>
      <c r="V26" s="284">
        <v>250</v>
      </c>
      <c r="W26" s="196"/>
      <c r="X26" s="285">
        <f t="shared" si="22"/>
        <v>12559</v>
      </c>
      <c r="Y26" s="284" t="str">
        <f t="shared" si="33"/>
        <v>oil change</v>
      </c>
      <c r="Z26" s="284">
        <f t="shared" si="6"/>
        <v>0</v>
      </c>
      <c r="AA26" s="284">
        <f t="shared" si="23"/>
        <v>0</v>
      </c>
      <c r="AB26" s="284">
        <f t="shared" si="24"/>
        <v>250</v>
      </c>
      <c r="AC26" s="284">
        <f t="shared" si="25"/>
        <v>0</v>
      </c>
      <c r="AD26" s="73">
        <f>ELEC!Q27</f>
        <v>0</v>
      </c>
      <c r="AE26" s="73" t="e">
        <f t="shared" si="27"/>
        <v>#DIV/0!</v>
      </c>
      <c r="AF26" s="399" t="e">
        <f t="shared" si="28"/>
        <v>#DIV/0!</v>
      </c>
      <c r="AG26" s="400" t="e">
        <f t="shared" si="29"/>
        <v>#DIV/0!</v>
      </c>
      <c r="AH26" s="400" t="e">
        <f t="shared" si="26"/>
        <v>#DIV/0!</v>
      </c>
      <c r="AI26" s="73">
        <f t="shared" si="30"/>
        <v>0</v>
      </c>
      <c r="AJ26" s="286">
        <f t="shared" si="7"/>
        <v>0.25738396624472576</v>
      </c>
      <c r="AK26" s="286" t="e">
        <f t="shared" si="8"/>
        <v>#DIV/0!</v>
      </c>
    </row>
    <row r="27" spans="1:37" ht="15.75" thickBot="1">
      <c r="A27" s="4">
        <f>ELEC!C28</f>
        <v>44402</v>
      </c>
      <c r="B27" s="527">
        <f t="shared" si="9"/>
        <v>10452</v>
      </c>
      <c r="C27" s="284">
        <f t="shared" si="10"/>
        <v>0</v>
      </c>
      <c r="D27" s="528">
        <f t="shared" si="11"/>
        <v>464683</v>
      </c>
      <c r="E27" s="284">
        <f t="shared" si="12"/>
        <v>0</v>
      </c>
      <c r="F27" s="284">
        <f t="shared" si="0"/>
        <v>0</v>
      </c>
      <c r="G27" s="196"/>
      <c r="H27" s="268">
        <f t="shared" si="13"/>
        <v>10492</v>
      </c>
      <c r="I27" s="284" t="str">
        <f>IF(B27-H27&lt;=0,"ok","oil change")</f>
        <v>ok</v>
      </c>
      <c r="J27" s="528">
        <f t="shared" si="14"/>
        <v>10698</v>
      </c>
      <c r="K27" s="284">
        <f t="shared" si="2"/>
        <v>0</v>
      </c>
      <c r="L27" s="528">
        <f t="shared" si="15"/>
        <v>357691</v>
      </c>
      <c r="M27" s="284">
        <f t="shared" si="16"/>
        <v>0</v>
      </c>
      <c r="N27" s="284">
        <f t="shared" si="17"/>
        <v>0</v>
      </c>
      <c r="O27" s="196"/>
      <c r="P27" s="285">
        <f t="shared" si="18"/>
        <v>10873</v>
      </c>
      <c r="Q27" s="284" t="str">
        <f t="shared" si="32"/>
        <v>ok</v>
      </c>
      <c r="R27" s="528">
        <f t="shared" si="19"/>
        <v>12574</v>
      </c>
      <c r="S27" s="284">
        <f t="shared" si="4"/>
        <v>0</v>
      </c>
      <c r="T27" s="528">
        <f t="shared" si="20"/>
        <v>62485</v>
      </c>
      <c r="U27" s="284">
        <f t="shared" si="21"/>
        <v>0</v>
      </c>
      <c r="V27" s="284">
        <v>250</v>
      </c>
      <c r="W27" s="196"/>
      <c r="X27" s="285">
        <f t="shared" si="22"/>
        <v>12559</v>
      </c>
      <c r="Y27" s="284" t="str">
        <f t="shared" si="33"/>
        <v>oil change</v>
      </c>
      <c r="Z27" s="284">
        <f t="shared" si="6"/>
        <v>0</v>
      </c>
      <c r="AA27" s="284">
        <f t="shared" si="23"/>
        <v>0</v>
      </c>
      <c r="AB27" s="284">
        <f t="shared" si="24"/>
        <v>250</v>
      </c>
      <c r="AC27" s="284">
        <f t="shared" si="25"/>
        <v>0</v>
      </c>
      <c r="AD27" s="73">
        <f>ELEC!Q28</f>
        <v>0</v>
      </c>
      <c r="AE27" s="73" t="e">
        <f t="shared" si="27"/>
        <v>#DIV/0!</v>
      </c>
      <c r="AF27" s="399" t="e">
        <f t="shared" si="28"/>
        <v>#DIV/0!</v>
      </c>
      <c r="AG27" s="400" t="e">
        <f t="shared" si="29"/>
        <v>#DIV/0!</v>
      </c>
      <c r="AH27" s="400" t="e">
        <f t="shared" si="26"/>
        <v>#DIV/0!</v>
      </c>
      <c r="AI27" s="73">
        <f t="shared" si="30"/>
        <v>0</v>
      </c>
      <c r="AJ27" s="286">
        <f t="shared" si="7"/>
        <v>0.25738396624472576</v>
      </c>
      <c r="AK27" s="286" t="e">
        <f t="shared" si="8"/>
        <v>#DIV/0!</v>
      </c>
    </row>
    <row r="28" spans="1:37" ht="15.75" thickBot="1">
      <c r="A28" s="4">
        <f>ELEC!C29</f>
        <v>44403</v>
      </c>
      <c r="B28" s="527">
        <f t="shared" si="9"/>
        <v>10452</v>
      </c>
      <c r="C28" s="284">
        <f t="shared" si="10"/>
        <v>0</v>
      </c>
      <c r="D28" s="528">
        <f t="shared" si="11"/>
        <v>464683</v>
      </c>
      <c r="E28" s="284">
        <f t="shared" si="12"/>
        <v>0</v>
      </c>
      <c r="F28" s="284">
        <f t="shared" si="0"/>
        <v>0</v>
      </c>
      <c r="G28" s="282"/>
      <c r="H28" s="268">
        <f t="shared" si="13"/>
        <v>10492</v>
      </c>
      <c r="I28" s="284" t="str">
        <f t="shared" si="1"/>
        <v>ok</v>
      </c>
      <c r="J28" s="528">
        <f t="shared" si="14"/>
        <v>10698</v>
      </c>
      <c r="K28" s="284">
        <f t="shared" si="2"/>
        <v>0</v>
      </c>
      <c r="L28" s="528">
        <f t="shared" si="15"/>
        <v>357691</v>
      </c>
      <c r="M28" s="284">
        <f t="shared" si="16"/>
        <v>0</v>
      </c>
      <c r="N28" s="284">
        <f t="shared" si="17"/>
        <v>0</v>
      </c>
      <c r="O28" s="196"/>
      <c r="P28" s="285">
        <f t="shared" si="18"/>
        <v>10873</v>
      </c>
      <c r="Q28" s="284" t="str">
        <f t="shared" si="32"/>
        <v>ok</v>
      </c>
      <c r="R28" s="528">
        <f t="shared" si="19"/>
        <v>12574</v>
      </c>
      <c r="S28" s="284">
        <f t="shared" si="4"/>
        <v>0</v>
      </c>
      <c r="T28" s="528">
        <f t="shared" si="20"/>
        <v>62485</v>
      </c>
      <c r="U28" s="284">
        <f t="shared" si="21"/>
        <v>0</v>
      </c>
      <c r="V28" s="284">
        <v>250</v>
      </c>
      <c r="W28" s="196"/>
      <c r="X28" s="285">
        <f t="shared" si="22"/>
        <v>12559</v>
      </c>
      <c r="Y28" s="284" t="str">
        <f t="shared" si="33"/>
        <v>oil change</v>
      </c>
      <c r="Z28" s="284">
        <f t="shared" si="6"/>
        <v>0</v>
      </c>
      <c r="AA28" s="284">
        <f t="shared" si="23"/>
        <v>0</v>
      </c>
      <c r="AB28" s="284">
        <f t="shared" si="24"/>
        <v>250</v>
      </c>
      <c r="AC28" s="284">
        <f t="shared" si="25"/>
        <v>0</v>
      </c>
      <c r="AD28" s="73">
        <f>ELEC!Q29</f>
        <v>0</v>
      </c>
      <c r="AE28" s="73" t="e">
        <f t="shared" si="27"/>
        <v>#DIV/0!</v>
      </c>
      <c r="AF28" s="399" t="e">
        <f t="shared" si="28"/>
        <v>#DIV/0!</v>
      </c>
      <c r="AG28" s="400" t="e">
        <f t="shared" si="29"/>
        <v>#DIV/0!</v>
      </c>
      <c r="AH28" s="400" t="e">
        <f t="shared" si="26"/>
        <v>#DIV/0!</v>
      </c>
      <c r="AI28" s="73">
        <f t="shared" si="30"/>
        <v>0</v>
      </c>
      <c r="AJ28" s="286">
        <f t="shared" si="7"/>
        <v>0.25738396624472576</v>
      </c>
      <c r="AK28" s="286" t="e">
        <f t="shared" si="8"/>
        <v>#DIV/0!</v>
      </c>
    </row>
    <row r="29" spans="1:37" ht="15.75" thickBot="1">
      <c r="A29" s="4">
        <f>ELEC!C30</f>
        <v>44404</v>
      </c>
      <c r="B29" s="527">
        <f t="shared" si="9"/>
        <v>10452</v>
      </c>
      <c r="C29" s="284">
        <f t="shared" si="10"/>
        <v>0</v>
      </c>
      <c r="D29" s="528">
        <f t="shared" si="11"/>
        <v>464683</v>
      </c>
      <c r="E29" s="284">
        <f>SUM(D29-D28)</f>
        <v>0</v>
      </c>
      <c r="F29" s="284">
        <f t="shared" si="0"/>
        <v>0</v>
      </c>
      <c r="G29" s="196"/>
      <c r="H29" s="268">
        <f t="shared" si="13"/>
        <v>10492</v>
      </c>
      <c r="I29" s="284" t="str">
        <f t="shared" si="1"/>
        <v>ok</v>
      </c>
      <c r="J29" s="528">
        <f t="shared" si="14"/>
        <v>10698</v>
      </c>
      <c r="K29" s="284">
        <f t="shared" si="2"/>
        <v>0</v>
      </c>
      <c r="L29" s="528">
        <f t="shared" si="15"/>
        <v>357691</v>
      </c>
      <c r="M29" s="284">
        <f t="shared" si="16"/>
        <v>0</v>
      </c>
      <c r="N29" s="284">
        <f t="shared" si="17"/>
        <v>0</v>
      </c>
      <c r="O29" s="196"/>
      <c r="P29" s="285">
        <f t="shared" si="18"/>
        <v>10873</v>
      </c>
      <c r="Q29" s="284" t="str">
        <f t="shared" si="32"/>
        <v>ok</v>
      </c>
      <c r="R29" s="528">
        <f t="shared" si="19"/>
        <v>12574</v>
      </c>
      <c r="S29" s="284">
        <f t="shared" si="4"/>
        <v>0</v>
      </c>
      <c r="T29" s="528">
        <f t="shared" si="20"/>
        <v>62485</v>
      </c>
      <c r="U29" s="284">
        <f t="shared" si="21"/>
        <v>0</v>
      </c>
      <c r="V29" s="284">
        <v>250</v>
      </c>
      <c r="W29" s="196"/>
      <c r="X29" s="285">
        <f t="shared" si="22"/>
        <v>12559</v>
      </c>
      <c r="Y29" s="284" t="str">
        <f t="shared" si="33"/>
        <v>oil change</v>
      </c>
      <c r="Z29" s="284">
        <f t="shared" si="6"/>
        <v>0</v>
      </c>
      <c r="AA29" s="284">
        <f t="shared" si="23"/>
        <v>0</v>
      </c>
      <c r="AB29" s="284">
        <f t="shared" si="24"/>
        <v>250</v>
      </c>
      <c r="AC29" s="284">
        <f t="shared" si="25"/>
        <v>0</v>
      </c>
      <c r="AD29" s="73">
        <f>ELEC!Q30</f>
        <v>0</v>
      </c>
      <c r="AE29" s="73" t="e">
        <f t="shared" si="27"/>
        <v>#DIV/0!</v>
      </c>
      <c r="AF29" s="399" t="e">
        <f t="shared" si="28"/>
        <v>#DIV/0!</v>
      </c>
      <c r="AG29" s="400" t="e">
        <f t="shared" si="29"/>
        <v>#DIV/0!</v>
      </c>
      <c r="AH29" s="400" t="e">
        <f t="shared" si="26"/>
        <v>#DIV/0!</v>
      </c>
      <c r="AI29" s="73">
        <f t="shared" si="30"/>
        <v>0</v>
      </c>
      <c r="AJ29" s="286">
        <f t="shared" si="7"/>
        <v>0.25738396624472576</v>
      </c>
      <c r="AK29" s="286" t="e">
        <f t="shared" si="8"/>
        <v>#DIV/0!</v>
      </c>
    </row>
    <row r="30" spans="1:37" ht="15.75" thickBot="1">
      <c r="A30" s="4">
        <f>ELEC!C31</f>
        <v>44405</v>
      </c>
      <c r="B30" s="527">
        <f t="shared" si="9"/>
        <v>10452</v>
      </c>
      <c r="C30" s="284">
        <f t="shared" si="10"/>
        <v>0</v>
      </c>
      <c r="D30" s="528">
        <f t="shared" si="11"/>
        <v>464683</v>
      </c>
      <c r="E30" s="284">
        <f t="shared" si="12"/>
        <v>0</v>
      </c>
      <c r="F30" s="284">
        <f t="shared" si="0"/>
        <v>0</v>
      </c>
      <c r="G30" s="196"/>
      <c r="H30" s="268">
        <f t="shared" si="13"/>
        <v>10492</v>
      </c>
      <c r="I30" s="284" t="str">
        <f t="shared" si="1"/>
        <v>ok</v>
      </c>
      <c r="J30" s="528">
        <f t="shared" si="14"/>
        <v>10698</v>
      </c>
      <c r="K30" s="284">
        <f t="shared" si="2"/>
        <v>0</v>
      </c>
      <c r="L30" s="528">
        <f t="shared" si="15"/>
        <v>357691</v>
      </c>
      <c r="M30" s="284">
        <f t="shared" si="16"/>
        <v>0</v>
      </c>
      <c r="N30" s="284">
        <f t="shared" si="17"/>
        <v>0</v>
      </c>
      <c r="O30" s="196"/>
      <c r="P30" s="285">
        <f t="shared" si="18"/>
        <v>10873</v>
      </c>
      <c r="Q30" s="284" t="str">
        <f t="shared" si="32"/>
        <v>ok</v>
      </c>
      <c r="R30" s="528">
        <f t="shared" si="19"/>
        <v>12574</v>
      </c>
      <c r="S30" s="284">
        <f t="shared" si="4"/>
        <v>0</v>
      </c>
      <c r="T30" s="528">
        <f t="shared" si="20"/>
        <v>62485</v>
      </c>
      <c r="U30" s="284">
        <f t="shared" si="21"/>
        <v>0</v>
      </c>
      <c r="V30" s="284">
        <v>250</v>
      </c>
      <c r="W30" s="282"/>
      <c r="X30" s="285">
        <f t="shared" si="22"/>
        <v>12559</v>
      </c>
      <c r="Y30" s="284" t="str">
        <f t="shared" si="33"/>
        <v>oil change</v>
      </c>
      <c r="Z30" s="284">
        <f t="shared" si="6"/>
        <v>0</v>
      </c>
      <c r="AA30" s="284">
        <f t="shared" si="23"/>
        <v>0</v>
      </c>
      <c r="AB30" s="284">
        <f t="shared" si="24"/>
        <v>250</v>
      </c>
      <c r="AC30" s="284">
        <f t="shared" si="25"/>
        <v>0</v>
      </c>
      <c r="AD30" s="73">
        <f>ELEC!Q31</f>
        <v>0</v>
      </c>
      <c r="AE30" s="73" t="e">
        <f t="shared" si="27"/>
        <v>#DIV/0!</v>
      </c>
      <c r="AF30" s="399" t="e">
        <f t="shared" si="28"/>
        <v>#DIV/0!</v>
      </c>
      <c r="AG30" s="400" t="e">
        <f t="shared" si="29"/>
        <v>#DIV/0!</v>
      </c>
      <c r="AH30" s="400" t="e">
        <f t="shared" si="26"/>
        <v>#DIV/0!</v>
      </c>
      <c r="AI30" s="73">
        <f t="shared" si="30"/>
        <v>0</v>
      </c>
      <c r="AJ30" s="286">
        <f t="shared" si="7"/>
        <v>0.25738396624472576</v>
      </c>
      <c r="AK30" s="286" t="e">
        <f t="shared" si="8"/>
        <v>#DIV/0!</v>
      </c>
    </row>
    <row r="31" spans="1:37" ht="15.75" thickBot="1">
      <c r="A31" s="4">
        <f>ELEC!C32</f>
        <v>44406</v>
      </c>
      <c r="B31" s="527">
        <f t="shared" si="9"/>
        <v>10452</v>
      </c>
      <c r="C31" s="284">
        <f>B31-B30</f>
        <v>0</v>
      </c>
      <c r="D31" s="528">
        <f t="shared" si="11"/>
        <v>464683</v>
      </c>
      <c r="E31" s="284">
        <f>SUM(D31-D30)</f>
        <v>0</v>
      </c>
      <c r="F31" s="284">
        <f>IF(C31&gt;0,E31/C31,0)</f>
        <v>0</v>
      </c>
      <c r="G31" s="334"/>
      <c r="H31" s="268">
        <f t="shared" si="13"/>
        <v>10492</v>
      </c>
      <c r="I31" s="284" t="str">
        <f>IF(B31-H31&lt;=0,"ok","oil change")</f>
        <v>ok</v>
      </c>
      <c r="J31" s="528">
        <f t="shared" si="14"/>
        <v>10698</v>
      </c>
      <c r="K31" s="284">
        <f>J31-J30</f>
        <v>0</v>
      </c>
      <c r="L31" s="528">
        <f t="shared" si="15"/>
        <v>357691</v>
      </c>
      <c r="M31" s="284">
        <f>SUM(L31-L30)</f>
        <v>0</v>
      </c>
      <c r="N31" s="284">
        <f>IF(K31&gt;0,M31/K31,0)</f>
        <v>0</v>
      </c>
      <c r="O31" s="334"/>
      <c r="P31" s="285">
        <f t="shared" si="18"/>
        <v>10873</v>
      </c>
      <c r="Q31" s="284" t="str">
        <f>IF(J31-P31&lt;=0,"ok","oil change")</f>
        <v>ok</v>
      </c>
      <c r="R31" s="528">
        <f t="shared" si="19"/>
        <v>12574</v>
      </c>
      <c r="S31" s="284">
        <f>R31-R30</f>
        <v>0</v>
      </c>
      <c r="T31" s="528">
        <f t="shared" si="20"/>
        <v>62485</v>
      </c>
      <c r="U31" s="284">
        <f t="shared" si="21"/>
        <v>0</v>
      </c>
      <c r="V31" s="284">
        <v>250</v>
      </c>
      <c r="W31" s="334"/>
      <c r="X31" s="285">
        <f t="shared" si="22"/>
        <v>12559</v>
      </c>
      <c r="Y31" s="284" t="str">
        <f>IF(R31-X31&lt;=0,"ok","oil change")</f>
        <v>oil change</v>
      </c>
      <c r="Z31" s="284">
        <f>C31+K31+S31</f>
        <v>0</v>
      </c>
      <c r="AA31" s="284">
        <f t="shared" ref="AA31:AB32" si="34">U31+M31+E31</f>
        <v>0</v>
      </c>
      <c r="AB31" s="284">
        <f t="shared" si="34"/>
        <v>250</v>
      </c>
      <c r="AC31" s="284">
        <f>IF(Z31&gt;0,AA31/Z31,0)</f>
        <v>0</v>
      </c>
      <c r="AD31" s="73">
        <f>ELEC!Q32</f>
        <v>0</v>
      </c>
      <c r="AE31" s="73" t="e">
        <f>SUM(AD31/Z31)</f>
        <v>#DIV/0!</v>
      </c>
      <c r="AF31" s="399" t="e">
        <f>SUM(AE31/1600)</f>
        <v>#DIV/0!</v>
      </c>
      <c r="AG31" s="494" t="e">
        <f>SUM(320*AF31)</f>
        <v>#DIV/0!</v>
      </c>
      <c r="AH31" s="494" t="e">
        <f>SUM(AC31-AG31)</f>
        <v>#DIV/0!</v>
      </c>
      <c r="AI31" s="73">
        <f>AD31*AJ31</f>
        <v>0</v>
      </c>
      <c r="AJ31" s="286">
        <f t="shared" si="7"/>
        <v>0.25738396624472576</v>
      </c>
      <c r="AK31" s="286" t="e">
        <f t="shared" si="8"/>
        <v>#DIV/0!</v>
      </c>
    </row>
    <row r="32" spans="1:37" ht="15.75" thickBot="1">
      <c r="A32" s="4">
        <f>ELEC!C33</f>
        <v>44407</v>
      </c>
      <c r="B32" s="527">
        <f t="shared" si="9"/>
        <v>10452</v>
      </c>
      <c r="C32" s="284">
        <f>B32-B31</f>
        <v>0</v>
      </c>
      <c r="D32" s="528">
        <f t="shared" si="11"/>
        <v>464683</v>
      </c>
      <c r="E32" s="284">
        <f>SUM(D32-D31)</f>
        <v>0</v>
      </c>
      <c r="F32" s="284">
        <f>IF(C32&gt;0,E32/C32,0)</f>
        <v>0</v>
      </c>
      <c r="G32" s="334"/>
      <c r="H32" s="268">
        <f t="shared" si="13"/>
        <v>10492</v>
      </c>
      <c r="I32" s="284" t="str">
        <f>IF(B32-H32&lt;=0,"ok","oil change")</f>
        <v>ok</v>
      </c>
      <c r="J32" s="528">
        <f t="shared" si="14"/>
        <v>10698</v>
      </c>
      <c r="K32" s="284">
        <f>J32-J31</f>
        <v>0</v>
      </c>
      <c r="L32" s="528">
        <f t="shared" si="15"/>
        <v>357691</v>
      </c>
      <c r="M32" s="284">
        <f>SUM(L32-L31)</f>
        <v>0</v>
      </c>
      <c r="N32" s="284">
        <f>IF(K32&gt;0,M32/K32,0)</f>
        <v>0</v>
      </c>
      <c r="O32" s="334"/>
      <c r="P32" s="285">
        <f t="shared" si="18"/>
        <v>10873</v>
      </c>
      <c r="Q32" s="284" t="str">
        <f>IF(J32-P32&lt;=0,"ok","oil change")</f>
        <v>ok</v>
      </c>
      <c r="R32" s="528">
        <f t="shared" si="19"/>
        <v>12574</v>
      </c>
      <c r="S32" s="284">
        <f>R32-R31</f>
        <v>0</v>
      </c>
      <c r="T32" s="528">
        <f t="shared" si="20"/>
        <v>62485</v>
      </c>
      <c r="U32" s="284">
        <f t="shared" si="21"/>
        <v>0</v>
      </c>
      <c r="V32" s="284">
        <v>250</v>
      </c>
      <c r="W32" s="334"/>
      <c r="X32" s="285">
        <f t="shared" si="22"/>
        <v>12559</v>
      </c>
      <c r="Y32" s="284" t="str">
        <f>IF(R32-X32&lt;=0,"ok","oil change")</f>
        <v>oil change</v>
      </c>
      <c r="Z32" s="284">
        <f>C32+K32+S32</f>
        <v>0</v>
      </c>
      <c r="AA32" s="284">
        <f t="shared" si="34"/>
        <v>0</v>
      </c>
      <c r="AB32" s="284">
        <f t="shared" si="34"/>
        <v>250</v>
      </c>
      <c r="AC32" s="284">
        <f>IF(Z32&gt;0,AA32/Z32,0)</f>
        <v>0</v>
      </c>
      <c r="AD32" s="73">
        <f>ELEC!Q33</f>
        <v>0</v>
      </c>
      <c r="AE32" s="73" t="e">
        <f>SUM(AD32/Z32)</f>
        <v>#DIV/0!</v>
      </c>
      <c r="AF32" s="399" t="e">
        <f>SUM(AE32/1600)</f>
        <v>#DIV/0!</v>
      </c>
      <c r="AG32" s="494" t="e">
        <f>SUM(320*AF32)</f>
        <v>#DIV/0!</v>
      </c>
      <c r="AH32" s="494" t="e">
        <f>SUM(AC32-AG32)</f>
        <v>#DIV/0!</v>
      </c>
      <c r="AI32" s="73">
        <f>AD32*AJ32</f>
        <v>0</v>
      </c>
      <c r="AJ32" s="286">
        <f t="shared" si="7"/>
        <v>0.25738396624472576</v>
      </c>
      <c r="AK32" s="286" t="e">
        <f t="shared" si="8"/>
        <v>#DIV/0!</v>
      </c>
    </row>
    <row r="33" spans="1:37">
      <c r="A33" s="4">
        <f>ELEC!C34</f>
        <v>44408</v>
      </c>
      <c r="B33" s="527">
        <f t="shared" si="9"/>
        <v>10452</v>
      </c>
      <c r="C33" s="284">
        <f>B33-B32</f>
        <v>0</v>
      </c>
      <c r="D33" s="528">
        <f t="shared" si="11"/>
        <v>464683</v>
      </c>
      <c r="E33" s="284">
        <f>SUM(D33-D32)</f>
        <v>0</v>
      </c>
      <c r="F33" s="284">
        <f>IF(C33&gt;0,E33/C33,0)</f>
        <v>0</v>
      </c>
      <c r="G33" s="334"/>
      <c r="H33" s="268">
        <f t="shared" si="13"/>
        <v>10492</v>
      </c>
      <c r="I33" s="284" t="str">
        <f>IF(B33-H33&lt;=0,"ok","oil change")</f>
        <v>ok</v>
      </c>
      <c r="J33" s="528">
        <f t="shared" si="14"/>
        <v>10698</v>
      </c>
      <c r="K33" s="284">
        <f>J33-J32</f>
        <v>0</v>
      </c>
      <c r="L33" s="528">
        <f t="shared" si="15"/>
        <v>357691</v>
      </c>
      <c r="M33" s="284">
        <f>SUM(L33-L32)</f>
        <v>0</v>
      </c>
      <c r="N33" s="284">
        <f>IF(K33&gt;0,M33/K33,0)</f>
        <v>0</v>
      </c>
      <c r="O33" s="334"/>
      <c r="P33" s="285">
        <f t="shared" si="18"/>
        <v>10873</v>
      </c>
      <c r="Q33" s="284" t="str">
        <f>IF(J33-P33&lt;=0,"ok","oil change")</f>
        <v>ok</v>
      </c>
      <c r="R33" s="528">
        <f t="shared" si="19"/>
        <v>12574</v>
      </c>
      <c r="S33" s="284">
        <f>R33-R32</f>
        <v>0</v>
      </c>
      <c r="T33" s="528">
        <f t="shared" si="20"/>
        <v>62485</v>
      </c>
      <c r="U33" s="284">
        <f t="shared" ref="U33" si="35">V33*S33</f>
        <v>0</v>
      </c>
      <c r="V33" s="284">
        <v>251</v>
      </c>
      <c r="W33" s="334"/>
      <c r="X33" s="285">
        <f t="shared" si="22"/>
        <v>12559</v>
      </c>
      <c r="Y33" s="284" t="str">
        <f>IF(R33-X33&lt;=0,"ok","oil change")</f>
        <v>oil change</v>
      </c>
      <c r="Z33" s="284">
        <f>C33+K33+S33</f>
        <v>0</v>
      </c>
      <c r="AA33" s="284">
        <f t="shared" ref="AA33" si="36">U33+M33+E33</f>
        <v>0</v>
      </c>
      <c r="AB33" s="284">
        <f t="shared" ref="AB33" si="37">V33+N33+F33</f>
        <v>251</v>
      </c>
      <c r="AC33" s="284">
        <f>IF(Z33&gt;0,AA33/Z33,0)</f>
        <v>0</v>
      </c>
      <c r="AD33" s="73">
        <f>ELEC!Q34</f>
        <v>0</v>
      </c>
      <c r="AE33" s="73" t="e">
        <f>SUM(AD33/Z33)</f>
        <v>#DIV/0!</v>
      </c>
      <c r="AF33" s="399" t="e">
        <f>SUM(AE33/1600)</f>
        <v>#DIV/0!</v>
      </c>
      <c r="AG33" s="494" t="e">
        <f>SUM(320*AF33)</f>
        <v>#DIV/0!</v>
      </c>
      <c r="AH33" s="494" t="e">
        <f>SUM(AC33-AG33)</f>
        <v>#DIV/0!</v>
      </c>
      <c r="AI33" s="73">
        <f>AD33*AJ33</f>
        <v>0</v>
      </c>
      <c r="AJ33" s="286">
        <f t="shared" si="7"/>
        <v>0.25738396624472576</v>
      </c>
      <c r="AK33" s="286" t="e">
        <f t="shared" ref="AK33" si="38">AI33/Z33</f>
        <v>#DIV/0!</v>
      </c>
    </row>
    <row r="34" spans="1:37">
      <c r="H34" s="39"/>
      <c r="I34" s="265"/>
      <c r="M34" s="39"/>
      <c r="N34" s="39"/>
      <c r="O34" s="39"/>
      <c r="P34" s="82">
        <f>+O34/3</f>
        <v>0</v>
      </c>
      <c r="S34" s="39"/>
      <c r="T34" s="39"/>
      <c r="U34" s="40">
        <f>SUM(C35:S35)</f>
        <v>71</v>
      </c>
      <c r="V34" s="40"/>
      <c r="X34">
        <v>341</v>
      </c>
      <c r="Z34" s="417">
        <f>SUM(Z3:Z33)</f>
        <v>71</v>
      </c>
    </row>
    <row r="35" spans="1:37">
      <c r="C35" s="40">
        <f>SUM(C3:C33)</f>
        <v>31</v>
      </c>
      <c r="K35" s="40">
        <f>SUM(K3:K33)</f>
        <v>0</v>
      </c>
      <c r="S35" s="40">
        <f>SUM(S3:S33)</f>
        <v>40</v>
      </c>
      <c r="U35" s="40"/>
      <c r="V35" s="40"/>
      <c r="X35" s="40"/>
    </row>
  </sheetData>
  <conditionalFormatting sqref="K3:K33 S3:S33 Z3:Z33 C3:C33">
    <cfRule type="cellIs" dxfId="6" priority="11" stopIfTrue="1" operator="equal">
      <formula>0</formula>
    </cfRule>
  </conditionalFormatting>
  <conditionalFormatting sqref="AA3:AB33">
    <cfRule type="cellIs" dxfId="5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2"/>
  <sheetViews>
    <sheetView tabSelected="1" zoomScale="90" zoomScaleNormal="90" workbookViewId="0">
      <pane xSplit="1" topLeftCell="AE1" activePane="topRight" state="frozen"/>
      <selection pane="topRight" activeCell="AE22" sqref="AE22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30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91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9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90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90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82" t="s">
        <v>108</v>
      </c>
      <c r="AS3" s="682" t="s">
        <v>233</v>
      </c>
      <c r="AT3" s="680" t="s">
        <v>301</v>
      </c>
      <c r="AU3" s="681"/>
      <c r="AV3" s="300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83"/>
      <c r="AS4" s="683"/>
      <c r="AT4" s="3" t="s">
        <v>71</v>
      </c>
      <c r="AU4" s="3" t="s">
        <v>221</v>
      </c>
      <c r="AV4" s="301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39">
        <f>ELEC!C3</f>
        <v>44377</v>
      </c>
      <c r="B5" s="522">
        <f>[1]tanks!B35</f>
        <v>109</v>
      </c>
      <c r="C5" s="522">
        <f>[1]tanks!C35</f>
        <v>2345.2580645161288</v>
      </c>
      <c r="D5" s="522">
        <f>[1]tanks!D35</f>
        <v>109</v>
      </c>
      <c r="E5" s="522">
        <f>[1]tanks!E35</f>
        <v>2345.2580645161288</v>
      </c>
      <c r="F5" s="522">
        <f>[1]tanks!F35</f>
        <v>109</v>
      </c>
      <c r="G5" s="522">
        <f>[1]tanks!G35</f>
        <v>2345.2580645161288</v>
      </c>
      <c r="H5" s="522">
        <f>[1]tanks!H35</f>
        <v>109</v>
      </c>
      <c r="I5" s="522">
        <f>[1]tanks!I35</f>
        <v>2345.2580645161288</v>
      </c>
      <c r="J5" s="522">
        <f>[1]tanks!J35</f>
        <v>109</v>
      </c>
      <c r="K5" s="522">
        <f>[1]tanks!K35</f>
        <v>2345.2580645161288</v>
      </c>
      <c r="L5" s="522">
        <f>[1]tanks!L35</f>
        <v>109</v>
      </c>
      <c r="M5" s="522">
        <f>[1]tanks!M35</f>
        <v>2345.2580645161288</v>
      </c>
      <c r="N5" s="522">
        <f>[1]tanks!N35</f>
        <v>109</v>
      </c>
      <c r="O5" s="522">
        <f>[1]tanks!O35</f>
        <v>2345.2580645161288</v>
      </c>
      <c r="P5" s="522">
        <f>[1]tanks!P35</f>
        <v>109</v>
      </c>
      <c r="Q5" s="522">
        <f>[1]tanks!Q35</f>
        <v>2345.2580645161288</v>
      </c>
      <c r="R5" s="522">
        <f>[1]tanks!R35</f>
        <v>109</v>
      </c>
      <c r="S5" s="522">
        <f>[1]tanks!S35</f>
        <v>2345.2580645161288</v>
      </c>
      <c r="T5" s="522">
        <f>[1]tanks!T35</f>
        <v>109</v>
      </c>
      <c r="U5" s="522">
        <f>[1]tanks!U35</f>
        <v>2345.2580645161288</v>
      </c>
      <c r="V5" s="522">
        <f>[1]tanks!V35</f>
        <v>109</v>
      </c>
      <c r="W5" s="522">
        <f>[1]tanks!W35</f>
        <v>2345.2580645161288</v>
      </c>
      <c r="X5" s="522">
        <f>[1]tanks!X35</f>
        <v>0.35161290322580641</v>
      </c>
      <c r="Y5" s="522">
        <f>[1]tanks!Y35</f>
        <v>25797.838709677417</v>
      </c>
      <c r="Z5" s="522">
        <f>[1]tanks!Z35</f>
        <v>116</v>
      </c>
      <c r="AA5" s="522">
        <f>[1]tanks!AA35</f>
        <v>1160</v>
      </c>
      <c r="AB5" s="522">
        <f>[1]tanks!AB35</f>
        <v>116</v>
      </c>
      <c r="AC5" s="522">
        <f>[1]tanks!AC35</f>
        <v>1160</v>
      </c>
      <c r="AD5" s="522">
        <f>[1]tanks!AD35</f>
        <v>116</v>
      </c>
      <c r="AE5" s="522">
        <f>[1]tanks!AE35</f>
        <v>1160</v>
      </c>
      <c r="AF5" s="522">
        <f>[1]tanks!AF35</f>
        <v>116</v>
      </c>
      <c r="AG5" s="522">
        <f>[1]tanks!AG35</f>
        <v>1160</v>
      </c>
      <c r="AH5" s="522">
        <f>[1]tanks!AH35</f>
        <v>116</v>
      </c>
      <c r="AI5" s="522">
        <f>[1]tanks!AI35</f>
        <v>1160</v>
      </c>
      <c r="AJ5" s="522">
        <f>[1]tanks!AJ35</f>
        <v>116</v>
      </c>
      <c r="AK5" s="522">
        <f>[1]tanks!AK35</f>
        <v>1160</v>
      </c>
      <c r="AL5" s="522">
        <f>[1]tanks!AL35</f>
        <v>116</v>
      </c>
      <c r="AM5" s="522">
        <f>[1]tanks!AM35</f>
        <v>1160</v>
      </c>
      <c r="AN5" s="495">
        <f>[1]tanks!AN35</f>
        <v>0.41428571428571431</v>
      </c>
      <c r="AO5" s="522">
        <f>[1]tanks!AO35</f>
        <v>8120</v>
      </c>
      <c r="AP5" s="522"/>
      <c r="AQ5" s="495">
        <f>[1]tanks!AQ35</f>
        <v>0.36482562880152108</v>
      </c>
      <c r="AR5" s="656">
        <f>[1]tanks!AR35</f>
        <v>33917.838709677417</v>
      </c>
      <c r="AS5" s="656">
        <f>[1]tanks!AS35</f>
        <v>-5471.8548387096744</v>
      </c>
      <c r="AT5" s="655">
        <f>[1]tanks!AT35</f>
        <v>0</v>
      </c>
      <c r="AU5" s="655">
        <f>[1]tanks!AU35</f>
        <v>0</v>
      </c>
      <c r="AV5" s="655">
        <f>[1]tanks!AV35</f>
        <v>1.1599999999999999</v>
      </c>
      <c r="AW5" s="655">
        <f>[1]tanks!AW35</f>
        <v>-203.40000000002328</v>
      </c>
      <c r="AX5" s="655">
        <f>[1]tanks!AX35</f>
        <v>-5268.4548387096511</v>
      </c>
      <c r="AY5" s="655">
        <f>[1]tanks!AY35</f>
        <v>-5471.8548387096744</v>
      </c>
      <c r="AZ5" s="495">
        <f>[1]tanks!AZ35</f>
        <v>0</v>
      </c>
      <c r="BA5" s="495">
        <f>[1]tanks!BA35</f>
        <v>0</v>
      </c>
      <c r="BB5" s="495">
        <f>[1]tanks!BB35</f>
        <v>0</v>
      </c>
      <c r="BC5" s="522">
        <f>[4]tanks!BC36</f>
        <v>0</v>
      </c>
      <c r="BD5" s="522">
        <f>[4]tanks!BD36</f>
        <v>0</v>
      </c>
      <c r="BE5" s="522">
        <f>[4]tanks!BE36</f>
        <v>0</v>
      </c>
      <c r="BF5" s="522">
        <f>[4]tanks!BF36</f>
        <v>0</v>
      </c>
      <c r="BG5" s="522">
        <f>[4]tanks!BG36</f>
        <v>0</v>
      </c>
      <c r="BH5" s="522">
        <f>[4]tanks!BH36</f>
        <v>0</v>
      </c>
      <c r="BI5" s="203"/>
    </row>
    <row r="6" spans="1:63">
      <c r="A6" s="439">
        <f>ELEC!C4</f>
        <v>44378</v>
      </c>
      <c r="B6" s="522">
        <f>'B5'!B5</f>
        <v>109</v>
      </c>
      <c r="C6" s="203">
        <f>B6*$B$4</f>
        <v>2345.2580645161288</v>
      </c>
      <c r="D6">
        <f>SUM(B6)</f>
        <v>109</v>
      </c>
      <c r="E6" s="203">
        <f>D6*$B$4</f>
        <v>2345.2580645161288</v>
      </c>
      <c r="F6">
        <f>SUM(D6)</f>
        <v>109</v>
      </c>
      <c r="G6" s="203">
        <f t="shared" ref="G6:G33" si="1">F6*$B$4</f>
        <v>2345.2580645161288</v>
      </c>
      <c r="H6" s="203">
        <f>SUM(F6)</f>
        <v>109</v>
      </c>
      <c r="I6" s="203">
        <f t="shared" ref="I6:I33" si="2">H6*$B$4</f>
        <v>2345.2580645161288</v>
      </c>
      <c r="J6" s="203">
        <f>SUM(H6)</f>
        <v>109</v>
      </c>
      <c r="K6" s="203">
        <f t="shared" ref="K6:K33" si="3">J6*$B$4</f>
        <v>2345.2580645161288</v>
      </c>
      <c r="L6" s="203">
        <f>SUM(J6)</f>
        <v>109</v>
      </c>
      <c r="M6" s="203">
        <f t="shared" ref="M6:M33" si="4">L6*$B$4</f>
        <v>2345.2580645161288</v>
      </c>
      <c r="N6" s="203">
        <f>SUM(L6)</f>
        <v>109</v>
      </c>
      <c r="O6" s="203">
        <f t="shared" ref="O6:O33" si="5">N6*$B$4</f>
        <v>2345.2580645161288</v>
      </c>
      <c r="P6" s="203">
        <f>SUM(N6)</f>
        <v>109</v>
      </c>
      <c r="Q6" s="203">
        <f t="shared" ref="Q6:Q33" si="6">P6*$B$4</f>
        <v>2345.2580645161288</v>
      </c>
      <c r="R6" s="203">
        <f>SUM(P6)</f>
        <v>109</v>
      </c>
      <c r="S6" s="203">
        <f t="shared" ref="S6:S33" si="7">R6*$B$4</f>
        <v>2345.2580645161288</v>
      </c>
      <c r="T6" s="203">
        <f>SUM(R6)</f>
        <v>109</v>
      </c>
      <c r="U6" s="203">
        <f t="shared" ref="U6:U33" si="8">T6*$B$4</f>
        <v>2345.2580645161288</v>
      </c>
      <c r="V6" s="203">
        <f>SUM(T6)</f>
        <v>109</v>
      </c>
      <c r="W6" s="203">
        <f t="shared" ref="W6:W33" si="9">V6*$B$4</f>
        <v>2345.2580645161288</v>
      </c>
      <c r="X6" s="35">
        <f t="shared" ref="X6:X29" si="10">SUM(Y6/73370)</f>
        <v>0.35161290322580641</v>
      </c>
      <c r="Y6" s="36">
        <f>SUM(C6+E6+G6+I6+K6+M6+O6+Q6+S6+U6+W6)</f>
        <v>25797.838709677417</v>
      </c>
      <c r="Z6" s="203">
        <f>'B5'!C5</f>
        <v>116</v>
      </c>
      <c r="AA6" s="203">
        <f>SUM(Z6*$Z$4)</f>
        <v>1160</v>
      </c>
      <c r="AB6" s="203">
        <f>SUM(Z6)</f>
        <v>116</v>
      </c>
      <c r="AC6" s="203">
        <f>SUM(AB6*$Z$4)</f>
        <v>1160</v>
      </c>
      <c r="AD6" s="203">
        <f>SUM(AB6)</f>
        <v>116</v>
      </c>
      <c r="AE6" s="203">
        <f t="shared" ref="AE6:AE33" si="11">SUM(AD6*$Z$4)</f>
        <v>1160</v>
      </c>
      <c r="AF6" s="203">
        <f>SUM(AD6)</f>
        <v>116</v>
      </c>
      <c r="AG6" s="203">
        <f t="shared" ref="AG6:AG33" si="12">SUM(AF6*$Z$4)</f>
        <v>1160</v>
      </c>
      <c r="AH6" s="203">
        <f>SUM(AF6)</f>
        <v>116</v>
      </c>
      <c r="AI6" s="203">
        <f t="shared" ref="AI6:AI33" si="13">SUM(AH6*$Z$4)</f>
        <v>1160</v>
      </c>
      <c r="AJ6" s="203">
        <f>SUM(AH6)</f>
        <v>116</v>
      </c>
      <c r="AK6" s="203">
        <f t="shared" ref="AK6:AK33" si="14">SUM(AJ6*$Z$4)</f>
        <v>1160</v>
      </c>
      <c r="AL6" s="203">
        <f>SUM(AJ6)</f>
        <v>116</v>
      </c>
      <c r="AM6" s="203">
        <f t="shared" ref="AM6:AM33" si="15">SUM(AL6*$Z$4)</f>
        <v>1160</v>
      </c>
      <c r="AN6" s="35">
        <f t="shared" ref="AN6:AN29" si="16">SUM(AO6/19600)</f>
        <v>0.41428571428571431</v>
      </c>
      <c r="AO6" s="36">
        <f t="shared" ref="AO6:AO29" si="17">SUM(AA6+AC6+AE6+AG6+AI6+AK6+AM6)</f>
        <v>8120</v>
      </c>
      <c r="AQ6" s="223">
        <f>SUM(AR6/92970)</f>
        <v>0.36482562880152108</v>
      </c>
      <c r="AR6" s="38">
        <f t="shared" ref="AR6:AR11" si="18">Y6+AO6</f>
        <v>33917.838709677417</v>
      </c>
      <c r="AS6" s="197">
        <f t="shared" ref="AS6:AS7" si="19">SUM(AR6-AR5-AT6)</f>
        <v>0</v>
      </c>
      <c r="AT6" s="351"/>
      <c r="AU6" s="619"/>
      <c r="AV6" s="508">
        <f>IF(AT6&gt;0,AU6,AV5)</f>
        <v>1.1599999999999999</v>
      </c>
      <c r="AW6" s="287">
        <f>-SUM('B5'!AI5)</f>
        <v>0</v>
      </c>
      <c r="AX6" s="287">
        <f t="shared" ref="AX6:AX35" si="20">-SUM(AW6-AS6)</f>
        <v>0</v>
      </c>
      <c r="AY6" s="37">
        <f>SUM(AX6+AW6)</f>
        <v>0</v>
      </c>
      <c r="AZ6" s="100">
        <f>ELEC!A4</f>
        <v>0</v>
      </c>
      <c r="BA6" s="118">
        <f>'General information '!D6</f>
        <v>0</v>
      </c>
      <c r="BB6" s="277">
        <f>SUM('General information '!E6)</f>
        <v>0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0</v>
      </c>
      <c r="BK6" s="574" t="e">
        <f>GEN!AF3</f>
        <v>#DIV/0!</v>
      </c>
    </row>
    <row r="7" spans="1:63">
      <c r="A7" s="439">
        <f>ELEC!C5</f>
        <v>44379</v>
      </c>
      <c r="B7">
        <f>'B5'!B6</f>
        <v>160</v>
      </c>
      <c r="C7" s="203">
        <f t="shared" ref="C7:E33" si="21">B7*$B$4</f>
        <v>3442.5806451612902</v>
      </c>
      <c r="D7">
        <f t="shared" ref="D7:D29" si="22">SUM(B7)</f>
        <v>160</v>
      </c>
      <c r="E7" s="203">
        <f t="shared" si="21"/>
        <v>3442.5806451612902</v>
      </c>
      <c r="F7">
        <f t="shared" ref="F7:F29" si="23">SUM(D7)</f>
        <v>160</v>
      </c>
      <c r="G7" s="203">
        <f t="shared" si="1"/>
        <v>3442.5806451612902</v>
      </c>
      <c r="H7" s="203">
        <f t="shared" ref="H7:H29" si="24">SUM(F7)</f>
        <v>160</v>
      </c>
      <c r="I7" s="203">
        <f t="shared" si="2"/>
        <v>3442.5806451612902</v>
      </c>
      <c r="J7" s="203">
        <f t="shared" ref="J7:J29" si="25">SUM(H7)</f>
        <v>160</v>
      </c>
      <c r="K7" s="203">
        <f t="shared" si="3"/>
        <v>3442.5806451612902</v>
      </c>
      <c r="L7" s="203">
        <f t="shared" ref="L7:L29" si="26">SUM(J7)</f>
        <v>160</v>
      </c>
      <c r="M7" s="203">
        <f t="shared" si="4"/>
        <v>3442.5806451612902</v>
      </c>
      <c r="N7" s="203">
        <f t="shared" ref="N7:N29" si="27">SUM(L7)</f>
        <v>160</v>
      </c>
      <c r="O7" s="203">
        <f t="shared" si="5"/>
        <v>3442.5806451612902</v>
      </c>
      <c r="P7" s="203">
        <f t="shared" ref="P7:P29" si="28">SUM(N7)</f>
        <v>160</v>
      </c>
      <c r="Q7" s="203">
        <f t="shared" si="6"/>
        <v>3442.5806451612902</v>
      </c>
      <c r="R7" s="203">
        <f t="shared" ref="R7:R29" si="29">SUM(P7)</f>
        <v>160</v>
      </c>
      <c r="S7" s="203">
        <f t="shared" si="7"/>
        <v>3442.5806451612902</v>
      </c>
      <c r="T7" s="203">
        <f t="shared" ref="T7:T29" si="30">SUM(R7)</f>
        <v>160</v>
      </c>
      <c r="U7" s="203">
        <f t="shared" si="8"/>
        <v>3442.5806451612902</v>
      </c>
      <c r="V7" s="203">
        <f t="shared" ref="V7:V29" si="31">SUM(T7)</f>
        <v>160</v>
      </c>
      <c r="W7" s="203">
        <f t="shared" si="9"/>
        <v>3442.5806451612902</v>
      </c>
      <c r="X7" s="35">
        <f t="shared" si="10"/>
        <v>0.51612903225806461</v>
      </c>
      <c r="Y7" s="36">
        <f t="shared" ref="Y7:Y29" si="32">SUM(C7+E7+G7+I7+K7+M7+O7+Q7+S7+U7+W7)</f>
        <v>37868.387096774197</v>
      </c>
      <c r="Z7" s="203">
        <f>'B5'!C6</f>
        <v>110</v>
      </c>
      <c r="AA7" s="203">
        <f t="shared" ref="AA7:AC33" si="33">SUM(Z7*$Z$4)</f>
        <v>1100</v>
      </c>
      <c r="AB7" s="203">
        <f t="shared" ref="AB7:AB29" si="34">SUM(Z7)</f>
        <v>110</v>
      </c>
      <c r="AC7" s="203">
        <f t="shared" si="33"/>
        <v>1100</v>
      </c>
      <c r="AD7" s="203">
        <f t="shared" ref="AD7:AD29" si="35">SUM(AB7)</f>
        <v>110</v>
      </c>
      <c r="AE7" s="203">
        <f t="shared" si="11"/>
        <v>1100</v>
      </c>
      <c r="AF7" s="203">
        <f t="shared" ref="AF7:AF29" si="36">SUM(AD7)</f>
        <v>110</v>
      </c>
      <c r="AG7" s="203">
        <f t="shared" si="12"/>
        <v>1100</v>
      </c>
      <c r="AH7" s="203">
        <f t="shared" ref="AH7:AH29" si="37">SUM(AF7)</f>
        <v>110</v>
      </c>
      <c r="AI7" s="203">
        <f t="shared" si="13"/>
        <v>1100</v>
      </c>
      <c r="AJ7" s="203">
        <f t="shared" ref="AJ7:AJ29" si="38">SUM(AH7)</f>
        <v>110</v>
      </c>
      <c r="AK7" s="203">
        <f t="shared" si="14"/>
        <v>1100</v>
      </c>
      <c r="AL7" s="203">
        <f t="shared" ref="AL7:AL29" si="39">SUM(AJ7)</f>
        <v>110</v>
      </c>
      <c r="AM7" s="203">
        <f t="shared" si="15"/>
        <v>1100</v>
      </c>
      <c r="AN7" s="35">
        <f t="shared" si="16"/>
        <v>0.39285714285714285</v>
      </c>
      <c r="AO7" s="36">
        <f t="shared" si="17"/>
        <v>7700</v>
      </c>
      <c r="AQ7" s="223">
        <f t="shared" ref="AQ7:AQ33" si="40">SUM(AR7/92970)</f>
        <v>0.49014076687936103</v>
      </c>
      <c r="AR7" s="38">
        <f t="shared" si="18"/>
        <v>45568.387096774197</v>
      </c>
      <c r="AS7" s="197">
        <f t="shared" si="19"/>
        <v>-9.4516129032199387</v>
      </c>
      <c r="AT7" s="351">
        <v>11660</v>
      </c>
      <c r="AU7" s="619">
        <v>1.1200000000000001</v>
      </c>
      <c r="AV7" s="508">
        <f>IF(AT7&gt;0,AU7,AV6)</f>
        <v>1.1200000000000001</v>
      </c>
      <c r="AW7" s="287">
        <f>-SUM('B5'!AI6)</f>
        <v>0</v>
      </c>
      <c r="AX7" s="287">
        <f t="shared" si="20"/>
        <v>-9.4516129032199387</v>
      </c>
      <c r="AY7" s="37">
        <f t="shared" ref="AY7:AY33" si="41">SUM(AX7+AW7)</f>
        <v>-9.4516129032199387</v>
      </c>
      <c r="AZ7" s="100">
        <f>ELEC!A5</f>
        <v>0</v>
      </c>
      <c r="BA7" s="118">
        <f>'General information '!D7</f>
        <v>0</v>
      </c>
      <c r="BB7" s="390">
        <f>SUM('General information '!E7)</f>
        <v>0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2">AX7/BI7</f>
        <v>-0.63010752688132921</v>
      </c>
      <c r="BK7" s="574" t="e">
        <f>GEN!AF4</f>
        <v>#DIV/0!</v>
      </c>
    </row>
    <row r="8" spans="1:63">
      <c r="A8" s="439">
        <f>ELEC!C6</f>
        <v>44380</v>
      </c>
      <c r="B8">
        <f>'B5'!B7</f>
        <v>160</v>
      </c>
      <c r="C8" s="203">
        <f t="shared" si="21"/>
        <v>3442.5806451612902</v>
      </c>
      <c r="D8">
        <f t="shared" si="22"/>
        <v>160</v>
      </c>
      <c r="E8" s="203">
        <f t="shared" si="21"/>
        <v>3442.5806451612902</v>
      </c>
      <c r="F8">
        <f t="shared" si="23"/>
        <v>160</v>
      </c>
      <c r="G8" s="203">
        <f t="shared" si="1"/>
        <v>3442.5806451612902</v>
      </c>
      <c r="H8" s="203">
        <f t="shared" si="24"/>
        <v>160</v>
      </c>
      <c r="I8" s="203">
        <f t="shared" si="2"/>
        <v>3442.5806451612902</v>
      </c>
      <c r="J8" s="203">
        <f t="shared" si="25"/>
        <v>160</v>
      </c>
      <c r="K8" s="203">
        <f t="shared" si="3"/>
        <v>3442.5806451612902</v>
      </c>
      <c r="L8" s="203">
        <f t="shared" si="26"/>
        <v>160</v>
      </c>
      <c r="M8" s="203">
        <f t="shared" si="4"/>
        <v>3442.5806451612902</v>
      </c>
      <c r="N8" s="203">
        <f t="shared" si="27"/>
        <v>160</v>
      </c>
      <c r="O8" s="203">
        <f t="shared" si="5"/>
        <v>3442.5806451612902</v>
      </c>
      <c r="P8" s="203">
        <f t="shared" si="28"/>
        <v>160</v>
      </c>
      <c r="Q8" s="203">
        <f t="shared" si="6"/>
        <v>3442.5806451612902</v>
      </c>
      <c r="R8" s="203">
        <f t="shared" si="29"/>
        <v>160</v>
      </c>
      <c r="S8" s="203">
        <f t="shared" si="7"/>
        <v>3442.5806451612902</v>
      </c>
      <c r="T8" s="203">
        <f t="shared" si="30"/>
        <v>160</v>
      </c>
      <c r="U8" s="203">
        <f t="shared" si="8"/>
        <v>3442.5806451612902</v>
      </c>
      <c r="V8" s="203">
        <f t="shared" si="31"/>
        <v>160</v>
      </c>
      <c r="W8" s="203">
        <f t="shared" si="9"/>
        <v>3442.5806451612902</v>
      </c>
      <c r="X8" s="35">
        <f t="shared" si="10"/>
        <v>0.51612903225806461</v>
      </c>
      <c r="Y8" s="36">
        <f t="shared" si="32"/>
        <v>37868.387096774197</v>
      </c>
      <c r="Z8" s="203">
        <f>'B5'!C7</f>
        <v>110</v>
      </c>
      <c r="AA8" s="203">
        <f t="shared" si="33"/>
        <v>1100</v>
      </c>
      <c r="AB8" s="203">
        <f t="shared" si="34"/>
        <v>110</v>
      </c>
      <c r="AC8" s="203">
        <f t="shared" si="33"/>
        <v>1100</v>
      </c>
      <c r="AD8" s="203">
        <f t="shared" si="35"/>
        <v>110</v>
      </c>
      <c r="AE8" s="203">
        <f t="shared" si="11"/>
        <v>1100</v>
      </c>
      <c r="AF8" s="203">
        <f t="shared" si="36"/>
        <v>110</v>
      </c>
      <c r="AG8" s="203">
        <f t="shared" si="12"/>
        <v>1100</v>
      </c>
      <c r="AH8" s="203">
        <f t="shared" si="37"/>
        <v>110</v>
      </c>
      <c r="AI8" s="203">
        <f t="shared" si="13"/>
        <v>1100</v>
      </c>
      <c r="AJ8" s="203">
        <f t="shared" si="38"/>
        <v>110</v>
      </c>
      <c r="AK8" s="203">
        <f t="shared" si="14"/>
        <v>1100</v>
      </c>
      <c r="AL8" s="203">
        <f t="shared" si="39"/>
        <v>110</v>
      </c>
      <c r="AM8" s="203">
        <f t="shared" si="15"/>
        <v>1100</v>
      </c>
      <c r="AN8" s="35">
        <f t="shared" si="16"/>
        <v>0.39285714285714285</v>
      </c>
      <c r="AO8" s="36">
        <f t="shared" si="17"/>
        <v>7700</v>
      </c>
      <c r="AQ8" s="223">
        <f t="shared" si="40"/>
        <v>0.49014076687936103</v>
      </c>
      <c r="AR8" s="38">
        <f t="shared" si="18"/>
        <v>45568.387096774197</v>
      </c>
      <c r="AS8" s="197">
        <f>SUM(AR8-AR7-AT8)</f>
        <v>0</v>
      </c>
      <c r="AT8" s="351"/>
      <c r="AU8" s="619"/>
      <c r="AV8" s="508">
        <f t="shared" ref="AV8:AV31" si="43">IF(AT8&gt;0,AU8,AV7)</f>
        <v>1.1200000000000001</v>
      </c>
      <c r="AW8" s="287">
        <f>-SUM('B5'!AI7)</f>
        <v>0</v>
      </c>
      <c r="AX8" s="287">
        <f t="shared" si="20"/>
        <v>0</v>
      </c>
      <c r="AY8" s="37">
        <f t="shared" si="41"/>
        <v>0</v>
      </c>
      <c r="AZ8" s="100">
        <f>ELEC!A6</f>
        <v>0</v>
      </c>
      <c r="BA8" s="118">
        <f>'General information '!D8</f>
        <v>0</v>
      </c>
      <c r="BB8" s="390">
        <f>SUM('General information '!E8)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1488.966244725701</v>
      </c>
      <c r="BF8" s="14"/>
      <c r="BG8" s="14" t="e">
        <f>#REF!-BE8</f>
        <v>#REF!</v>
      </c>
      <c r="BH8" s="11">
        <v>16</v>
      </c>
      <c r="BI8">
        <v>9</v>
      </c>
      <c r="BJ8">
        <f t="shared" si="42"/>
        <v>0</v>
      </c>
      <c r="BK8" s="574" t="e">
        <f>GEN!AF5</f>
        <v>#DIV/0!</v>
      </c>
    </row>
    <row r="9" spans="1:63">
      <c r="A9" s="439">
        <f>ELEC!C7</f>
        <v>44381</v>
      </c>
      <c r="B9">
        <f>'B5'!B8</f>
        <v>143</v>
      </c>
      <c r="C9" s="203">
        <f t="shared" si="21"/>
        <v>3076.8064516129029</v>
      </c>
      <c r="D9">
        <f t="shared" si="22"/>
        <v>143</v>
      </c>
      <c r="E9" s="203">
        <f t="shared" si="21"/>
        <v>3076.8064516129029</v>
      </c>
      <c r="F9">
        <f t="shared" si="23"/>
        <v>143</v>
      </c>
      <c r="G9" s="203">
        <f t="shared" si="1"/>
        <v>3076.8064516129029</v>
      </c>
      <c r="H9" s="203">
        <f t="shared" si="24"/>
        <v>143</v>
      </c>
      <c r="I9" s="203">
        <f t="shared" si="2"/>
        <v>3076.8064516129029</v>
      </c>
      <c r="J9" s="203">
        <f t="shared" si="25"/>
        <v>143</v>
      </c>
      <c r="K9" s="203">
        <f t="shared" si="3"/>
        <v>3076.8064516129029</v>
      </c>
      <c r="L9" s="203">
        <f t="shared" si="26"/>
        <v>143</v>
      </c>
      <c r="M9" s="203">
        <f t="shared" si="4"/>
        <v>3076.8064516129029</v>
      </c>
      <c r="N9" s="203">
        <f t="shared" si="27"/>
        <v>143</v>
      </c>
      <c r="O9" s="203">
        <f t="shared" si="5"/>
        <v>3076.8064516129029</v>
      </c>
      <c r="P9" s="203">
        <f t="shared" si="28"/>
        <v>143</v>
      </c>
      <c r="Q9" s="203">
        <f t="shared" si="6"/>
        <v>3076.8064516129029</v>
      </c>
      <c r="R9" s="203">
        <f t="shared" si="29"/>
        <v>143</v>
      </c>
      <c r="S9" s="203">
        <f t="shared" si="7"/>
        <v>3076.8064516129029</v>
      </c>
      <c r="T9" s="203">
        <f t="shared" si="30"/>
        <v>143</v>
      </c>
      <c r="U9" s="203">
        <f t="shared" si="8"/>
        <v>3076.8064516129029</v>
      </c>
      <c r="V9" s="203">
        <f t="shared" si="31"/>
        <v>143</v>
      </c>
      <c r="W9" s="203">
        <f t="shared" si="9"/>
        <v>3076.8064516129029</v>
      </c>
      <c r="X9" s="35">
        <f t="shared" si="10"/>
        <v>0.46129032258064501</v>
      </c>
      <c r="Y9" s="36">
        <f t="shared" si="32"/>
        <v>33844.870967741925</v>
      </c>
      <c r="Z9" s="203">
        <f>'B5'!C8</f>
        <v>150</v>
      </c>
      <c r="AA9" s="203">
        <f t="shared" si="33"/>
        <v>1500</v>
      </c>
      <c r="AB9" s="203">
        <f t="shared" si="34"/>
        <v>150</v>
      </c>
      <c r="AC9" s="203">
        <f t="shared" si="33"/>
        <v>1500</v>
      </c>
      <c r="AD9" s="203">
        <f t="shared" si="35"/>
        <v>150</v>
      </c>
      <c r="AE9" s="203">
        <f t="shared" si="11"/>
        <v>1500</v>
      </c>
      <c r="AF9" s="203">
        <f t="shared" si="36"/>
        <v>150</v>
      </c>
      <c r="AG9" s="203">
        <f t="shared" si="12"/>
        <v>1500</v>
      </c>
      <c r="AH9" s="203">
        <f t="shared" si="37"/>
        <v>150</v>
      </c>
      <c r="AI9" s="203">
        <f t="shared" si="13"/>
        <v>1500</v>
      </c>
      <c r="AJ9" s="203">
        <f t="shared" si="38"/>
        <v>150</v>
      </c>
      <c r="AK9" s="203">
        <f t="shared" si="14"/>
        <v>1500</v>
      </c>
      <c r="AL9" s="203">
        <f t="shared" si="39"/>
        <v>150</v>
      </c>
      <c r="AM9" s="203">
        <f t="shared" si="15"/>
        <v>1500</v>
      </c>
      <c r="AN9" s="35">
        <f t="shared" si="16"/>
        <v>0.5357142857142857</v>
      </c>
      <c r="AO9" s="36">
        <f>SUM(AA9+AC9+AE9+AG9+AI9+AK9+AM9)</f>
        <v>10500</v>
      </c>
      <c r="AQ9" s="223">
        <f t="shared" si="40"/>
        <v>0.47698043420180625</v>
      </c>
      <c r="AR9" s="38">
        <f t="shared" si="18"/>
        <v>44344.870967741925</v>
      </c>
      <c r="AS9" s="197">
        <f>SUM(AR9-AR8-AT9)</f>
        <v>-1223.5161290322721</v>
      </c>
      <c r="AT9" s="351"/>
      <c r="AU9" s="619"/>
      <c r="AV9" s="508">
        <f t="shared" si="43"/>
        <v>1.1200000000000001</v>
      </c>
      <c r="AW9" s="287">
        <f>-SUM('B5'!AI8)</f>
        <v>-117</v>
      </c>
      <c r="AX9" s="287">
        <f t="shared" si="20"/>
        <v>-1106.5161290322721</v>
      </c>
      <c r="AY9" s="37">
        <f t="shared" si="41"/>
        <v>-1223.5161290322721</v>
      </c>
      <c r="AZ9" s="100">
        <f>ELEC!A7</f>
        <v>0</v>
      </c>
      <c r="BA9" s="118">
        <f>'General information '!D9</f>
        <v>0</v>
      </c>
      <c r="BB9" s="390">
        <f>SUM('General information '!E9)</f>
        <v>0</v>
      </c>
      <c r="BC9" s="3">
        <f t="shared" si="44"/>
        <v>0</v>
      </c>
      <c r="BD9" s="102">
        <v>19222</v>
      </c>
      <c r="BE9" s="14">
        <f>(305/1185)*ELEC!Q8</f>
        <v>2517.7299578057127</v>
      </c>
      <c r="BF9" s="14"/>
      <c r="BG9" s="14" t="e">
        <f>#REF!-BE9</f>
        <v>#REF!</v>
      </c>
      <c r="BH9" s="11">
        <v>18</v>
      </c>
      <c r="BI9">
        <v>6</v>
      </c>
      <c r="BJ9">
        <f t="shared" si="42"/>
        <v>-184.41935483871202</v>
      </c>
      <c r="BK9" s="574">
        <f>GEN!AF6</f>
        <v>0.18078124999999545</v>
      </c>
    </row>
    <row r="10" spans="1:63">
      <c r="A10" s="439">
        <f>ELEC!C8</f>
        <v>44382</v>
      </c>
      <c r="B10">
        <f>'B5'!B9</f>
        <v>136</v>
      </c>
      <c r="C10" s="203">
        <f t="shared" si="21"/>
        <v>2926.1935483870966</v>
      </c>
      <c r="D10">
        <f t="shared" si="22"/>
        <v>136</v>
      </c>
      <c r="E10" s="203">
        <f t="shared" si="21"/>
        <v>2926.1935483870966</v>
      </c>
      <c r="F10">
        <f t="shared" si="23"/>
        <v>136</v>
      </c>
      <c r="G10" s="203">
        <f t="shared" si="1"/>
        <v>2926.1935483870966</v>
      </c>
      <c r="H10" s="203">
        <f t="shared" si="24"/>
        <v>136</v>
      </c>
      <c r="I10" s="203">
        <f t="shared" si="2"/>
        <v>2926.1935483870966</v>
      </c>
      <c r="J10" s="203">
        <f t="shared" si="25"/>
        <v>136</v>
      </c>
      <c r="K10" s="203">
        <f t="shared" si="3"/>
        <v>2926.1935483870966</v>
      </c>
      <c r="L10" s="203">
        <f t="shared" si="26"/>
        <v>136</v>
      </c>
      <c r="M10" s="203">
        <f t="shared" si="4"/>
        <v>2926.1935483870966</v>
      </c>
      <c r="N10" s="203">
        <f t="shared" si="27"/>
        <v>136</v>
      </c>
      <c r="O10" s="203">
        <f t="shared" si="5"/>
        <v>2926.1935483870966</v>
      </c>
      <c r="P10" s="203">
        <f t="shared" si="28"/>
        <v>136</v>
      </c>
      <c r="Q10" s="203">
        <f t="shared" si="6"/>
        <v>2926.1935483870966</v>
      </c>
      <c r="R10" s="203">
        <f t="shared" si="29"/>
        <v>136</v>
      </c>
      <c r="S10" s="203">
        <f t="shared" si="7"/>
        <v>2926.1935483870966</v>
      </c>
      <c r="T10" s="203">
        <f t="shared" si="30"/>
        <v>136</v>
      </c>
      <c r="U10" s="203">
        <f t="shared" si="8"/>
        <v>2926.1935483870966</v>
      </c>
      <c r="V10" s="203">
        <f t="shared" si="31"/>
        <v>136</v>
      </c>
      <c r="W10" s="203">
        <f t="shared" si="9"/>
        <v>2926.1935483870966</v>
      </c>
      <c r="X10" s="35">
        <f t="shared" si="10"/>
        <v>0.4387096774193549</v>
      </c>
      <c r="Y10" s="36">
        <f t="shared" si="32"/>
        <v>32188.129032258068</v>
      </c>
      <c r="Z10" s="203">
        <f>'B5'!C9</f>
        <v>144</v>
      </c>
      <c r="AA10" s="203">
        <f t="shared" si="33"/>
        <v>1440</v>
      </c>
      <c r="AB10" s="203">
        <f t="shared" si="34"/>
        <v>144</v>
      </c>
      <c r="AC10" s="203">
        <f t="shared" si="33"/>
        <v>1440</v>
      </c>
      <c r="AD10" s="203">
        <f t="shared" si="35"/>
        <v>144</v>
      </c>
      <c r="AE10" s="203">
        <f t="shared" si="11"/>
        <v>1440</v>
      </c>
      <c r="AF10" s="203">
        <f t="shared" si="36"/>
        <v>144</v>
      </c>
      <c r="AG10" s="203">
        <f t="shared" si="12"/>
        <v>1440</v>
      </c>
      <c r="AH10" s="203">
        <f t="shared" si="37"/>
        <v>144</v>
      </c>
      <c r="AI10" s="203">
        <f t="shared" si="13"/>
        <v>1440</v>
      </c>
      <c r="AJ10" s="203">
        <f t="shared" si="38"/>
        <v>144</v>
      </c>
      <c r="AK10" s="203">
        <f t="shared" si="14"/>
        <v>1440</v>
      </c>
      <c r="AL10" s="203">
        <f t="shared" si="39"/>
        <v>144</v>
      </c>
      <c r="AM10" s="203">
        <f t="shared" si="15"/>
        <v>1440</v>
      </c>
      <c r="AN10" s="35">
        <f t="shared" si="16"/>
        <v>0.51428571428571423</v>
      </c>
      <c r="AO10" s="36">
        <f t="shared" si="17"/>
        <v>10080</v>
      </c>
      <c r="AQ10" s="223">
        <f t="shared" si="40"/>
        <v>0.45464267002536374</v>
      </c>
      <c r="AR10" s="38">
        <f t="shared" si="18"/>
        <v>42268.129032258068</v>
      </c>
      <c r="AS10" s="197">
        <f>SUM(AR10-AR9-AT10)</f>
        <v>-2076.7419354838567</v>
      </c>
      <c r="AT10" s="351"/>
      <c r="AU10" s="619"/>
      <c r="AV10" s="508">
        <f>IF(AT10&gt;0,AU10,AV9)</f>
        <v>1.1200000000000001</v>
      </c>
      <c r="AW10" s="287">
        <f>-SUM('B5'!AI9)</f>
        <v>-52</v>
      </c>
      <c r="AX10" s="287">
        <f t="shared" si="20"/>
        <v>-2024.7419354838567</v>
      </c>
      <c r="AY10" s="37">
        <f t="shared" si="41"/>
        <v>-2076.7419354838567</v>
      </c>
      <c r="AZ10" s="100">
        <f>ELEC!A8</f>
        <v>0</v>
      </c>
      <c r="BA10" s="118">
        <f>'General information '!D10</f>
        <v>28.5</v>
      </c>
      <c r="BB10" s="390">
        <f>SUM('General information '!E10)</f>
        <v>0.67</v>
      </c>
      <c r="BC10" s="3">
        <f t="shared" si="44"/>
        <v>0</v>
      </c>
      <c r="BD10" s="102">
        <v>19222</v>
      </c>
      <c r="BE10" s="14">
        <f>(305/1185)*ELEC!Q9</f>
        <v>3853.8101265817995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2"/>
        <v>-289.24884792626523</v>
      </c>
      <c r="BK10" s="574">
        <f>GEN!AF7</f>
        <v>1.0189583333332546</v>
      </c>
    </row>
    <row r="11" spans="1:63">
      <c r="A11" s="439">
        <f>ELEC!C9</f>
        <v>44383</v>
      </c>
      <c r="B11">
        <f>'B5'!B10</f>
        <v>150</v>
      </c>
      <c r="C11" s="203">
        <f t="shared" si="21"/>
        <v>3227.4193548387098</v>
      </c>
      <c r="D11">
        <f>SUM(B11)</f>
        <v>150</v>
      </c>
      <c r="E11" s="203">
        <f t="shared" si="21"/>
        <v>3227.4193548387098</v>
      </c>
      <c r="F11">
        <f>SUM(D11)</f>
        <v>150</v>
      </c>
      <c r="G11" s="203">
        <f t="shared" si="1"/>
        <v>3227.4193548387098</v>
      </c>
      <c r="H11" s="203">
        <f>SUM(F11)</f>
        <v>150</v>
      </c>
      <c r="I11" s="203">
        <f t="shared" si="2"/>
        <v>3227.4193548387098</v>
      </c>
      <c r="J11" s="203">
        <f>SUM(H11)</f>
        <v>150</v>
      </c>
      <c r="K11" s="203">
        <f t="shared" si="3"/>
        <v>3227.4193548387098</v>
      </c>
      <c r="L11" s="203">
        <f>SUM(J11)</f>
        <v>150</v>
      </c>
      <c r="M11" s="203">
        <f t="shared" si="4"/>
        <v>3227.4193548387098</v>
      </c>
      <c r="N11" s="203">
        <f>SUM(L11)</f>
        <v>150</v>
      </c>
      <c r="O11" s="203">
        <f t="shared" si="5"/>
        <v>3227.4193548387098</v>
      </c>
      <c r="P11" s="203">
        <f>SUM(N11)</f>
        <v>150</v>
      </c>
      <c r="Q11" s="203">
        <f t="shared" si="6"/>
        <v>3227.4193548387098</v>
      </c>
      <c r="R11" s="203">
        <f>SUM(P11)</f>
        <v>150</v>
      </c>
      <c r="S11" s="203">
        <f t="shared" si="7"/>
        <v>3227.4193548387098</v>
      </c>
      <c r="T11" s="203">
        <f>SUM(R11)</f>
        <v>150</v>
      </c>
      <c r="U11" s="203">
        <f t="shared" si="8"/>
        <v>3227.4193548387098</v>
      </c>
      <c r="V11" s="203">
        <f>SUM(T11)</f>
        <v>150</v>
      </c>
      <c r="W11" s="203">
        <f t="shared" si="9"/>
        <v>3227.4193548387098</v>
      </c>
      <c r="X11" s="35">
        <f>SUM(Y11/73370)</f>
        <v>0.48387096774193544</v>
      </c>
      <c r="Y11" s="36">
        <f>SUM(C11+E11+G11+I11+K11+M11+O11+Q11+S11+U11+W11)</f>
        <v>35501.612903225803</v>
      </c>
      <c r="Z11" s="203">
        <f>'B5'!C10</f>
        <v>157</v>
      </c>
      <c r="AA11" s="203">
        <f t="shared" si="33"/>
        <v>1570</v>
      </c>
      <c r="AB11" s="203">
        <f>SUM(Z11)</f>
        <v>157</v>
      </c>
      <c r="AC11" s="203">
        <f t="shared" si="33"/>
        <v>1570</v>
      </c>
      <c r="AD11" s="203">
        <f>SUM(AB11)</f>
        <v>157</v>
      </c>
      <c r="AE11" s="203">
        <f t="shared" si="11"/>
        <v>1570</v>
      </c>
      <c r="AF11" s="203">
        <f>SUM(AD11)</f>
        <v>157</v>
      </c>
      <c r="AG11" s="203">
        <f t="shared" si="12"/>
        <v>1570</v>
      </c>
      <c r="AH11" s="203">
        <f>SUM(AF11)</f>
        <v>157</v>
      </c>
      <c r="AI11" s="203">
        <f t="shared" si="13"/>
        <v>1570</v>
      </c>
      <c r="AJ11" s="203">
        <f>SUM(AH11)</f>
        <v>157</v>
      </c>
      <c r="AK11" s="203">
        <f t="shared" si="14"/>
        <v>1570</v>
      </c>
      <c r="AL11" s="203">
        <f>SUM(AJ11)</f>
        <v>157</v>
      </c>
      <c r="AM11" s="203">
        <f t="shared" si="15"/>
        <v>1570</v>
      </c>
      <c r="AN11" s="35">
        <f>SUM(AO11/19600)</f>
        <v>0.56071428571428572</v>
      </c>
      <c r="AO11" s="36">
        <f t="shared" si="17"/>
        <v>10990</v>
      </c>
      <c r="AP11" s="550"/>
      <c r="AQ11" s="223">
        <f t="shared" si="40"/>
        <v>0.50007112943127674</v>
      </c>
      <c r="AR11" s="38">
        <f t="shared" si="18"/>
        <v>46491.612903225803</v>
      </c>
      <c r="AS11" s="197">
        <f>SUM(AR11-AR10-AT11)</f>
        <v>-3886.5161290322649</v>
      </c>
      <c r="AT11" s="351">
        <v>8110</v>
      </c>
      <c r="AU11" s="619">
        <v>1.82</v>
      </c>
      <c r="AV11" s="508">
        <f>IF(AT11&gt;0,AU11,AV10)</f>
        <v>1.82</v>
      </c>
      <c r="AW11" s="287">
        <f>-SUM('B5'!AI10)</f>
        <v>-164</v>
      </c>
      <c r="AX11" s="287">
        <f t="shared" si="20"/>
        <v>-3722.5161290322649</v>
      </c>
      <c r="AY11" s="37">
        <f t="shared" si="41"/>
        <v>-3886.5161290322649</v>
      </c>
      <c r="AZ11" s="100">
        <f>ELEC!A9</f>
        <v>0</v>
      </c>
      <c r="BA11" s="118">
        <f>'General information '!D11</f>
        <v>28.5</v>
      </c>
      <c r="BB11" s="390">
        <f>SUM('General information '!E11)</f>
        <v>0.54</v>
      </c>
      <c r="BC11" s="3">
        <f t="shared" si="44"/>
        <v>1</v>
      </c>
      <c r="BD11" s="102">
        <v>19222</v>
      </c>
      <c r="BE11" s="14">
        <f>(305/1185)*ELEC!Q10</f>
        <v>3955.4767932495147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2"/>
        <v>-400.27055150887702</v>
      </c>
      <c r="BK11" s="574">
        <f>GEN!AF8</f>
        <v>0.40687499999994942</v>
      </c>
    </row>
    <row r="12" spans="1:63">
      <c r="A12" s="439">
        <f>ELEC!C10</f>
        <v>44384</v>
      </c>
      <c r="B12">
        <f>'B5'!B11</f>
        <v>133</v>
      </c>
      <c r="C12" s="203">
        <f t="shared" si="21"/>
        <v>2861.6451612903224</v>
      </c>
      <c r="D12">
        <f t="shared" si="22"/>
        <v>133</v>
      </c>
      <c r="E12" s="203">
        <f t="shared" si="21"/>
        <v>2861.6451612903224</v>
      </c>
      <c r="F12">
        <f t="shared" si="23"/>
        <v>133</v>
      </c>
      <c r="G12" s="203">
        <f t="shared" si="1"/>
        <v>2861.6451612903224</v>
      </c>
      <c r="H12" s="203">
        <f t="shared" si="24"/>
        <v>133</v>
      </c>
      <c r="I12" s="203">
        <f t="shared" si="2"/>
        <v>2861.6451612903224</v>
      </c>
      <c r="J12" s="203">
        <f t="shared" si="25"/>
        <v>133</v>
      </c>
      <c r="K12" s="203">
        <f t="shared" si="3"/>
        <v>2861.6451612903224</v>
      </c>
      <c r="L12" s="203">
        <f t="shared" si="26"/>
        <v>133</v>
      </c>
      <c r="M12" s="203">
        <f t="shared" si="4"/>
        <v>2861.6451612903224</v>
      </c>
      <c r="N12" s="203">
        <f t="shared" si="27"/>
        <v>133</v>
      </c>
      <c r="O12" s="203">
        <f t="shared" si="5"/>
        <v>2861.6451612903224</v>
      </c>
      <c r="P12" s="203">
        <f t="shared" si="28"/>
        <v>133</v>
      </c>
      <c r="Q12" s="203">
        <f t="shared" si="6"/>
        <v>2861.6451612903224</v>
      </c>
      <c r="R12" s="203">
        <f t="shared" si="29"/>
        <v>133</v>
      </c>
      <c r="S12" s="203">
        <f t="shared" si="7"/>
        <v>2861.6451612903224</v>
      </c>
      <c r="T12" s="203">
        <f t="shared" si="30"/>
        <v>133</v>
      </c>
      <c r="U12" s="203">
        <f t="shared" si="8"/>
        <v>2861.6451612903224</v>
      </c>
      <c r="V12" s="203">
        <f t="shared" si="31"/>
        <v>133</v>
      </c>
      <c r="W12" s="203">
        <f t="shared" si="9"/>
        <v>2861.6451612903224</v>
      </c>
      <c r="X12" s="35">
        <f t="shared" si="10"/>
        <v>0.42903225806451611</v>
      </c>
      <c r="Y12" s="36">
        <f t="shared" si="32"/>
        <v>31478.096774193546</v>
      </c>
      <c r="Z12" s="203">
        <f>'B5'!C11</f>
        <v>141</v>
      </c>
      <c r="AA12" s="203">
        <f t="shared" si="33"/>
        <v>1410</v>
      </c>
      <c r="AB12" s="203">
        <f t="shared" si="34"/>
        <v>141</v>
      </c>
      <c r="AC12" s="203">
        <f t="shared" si="33"/>
        <v>1410</v>
      </c>
      <c r="AD12" s="203">
        <f t="shared" si="35"/>
        <v>141</v>
      </c>
      <c r="AE12" s="203">
        <f t="shared" si="11"/>
        <v>1410</v>
      </c>
      <c r="AF12" s="203">
        <f t="shared" si="36"/>
        <v>141</v>
      </c>
      <c r="AG12" s="203">
        <f t="shared" si="12"/>
        <v>1410</v>
      </c>
      <c r="AH12" s="203">
        <f t="shared" si="37"/>
        <v>141</v>
      </c>
      <c r="AI12" s="203">
        <f t="shared" si="13"/>
        <v>1410</v>
      </c>
      <c r="AJ12" s="203">
        <f t="shared" si="38"/>
        <v>141</v>
      </c>
      <c r="AK12" s="203">
        <f t="shared" si="14"/>
        <v>1410</v>
      </c>
      <c r="AL12" s="203">
        <f t="shared" si="39"/>
        <v>141</v>
      </c>
      <c r="AM12" s="203">
        <f t="shared" si="15"/>
        <v>1410</v>
      </c>
      <c r="AN12" s="35">
        <f t="shared" si="16"/>
        <v>0.50357142857142856</v>
      </c>
      <c r="AO12" s="36">
        <f t="shared" si="17"/>
        <v>9870</v>
      </c>
      <c r="AP12" s="550"/>
      <c r="AQ12" s="223">
        <f t="shared" si="40"/>
        <v>0.44474665778416206</v>
      </c>
      <c r="AR12" s="38">
        <f t="shared" ref="AR12:AR36" si="45">Y12+AO12</f>
        <v>41348.096774193546</v>
      </c>
      <c r="AS12" s="197">
        <f>SUM(AR12-AR11-AT12)</f>
        <v>-5143.5161290322576</v>
      </c>
      <c r="AT12" s="351"/>
      <c r="AU12" s="619"/>
      <c r="AV12" s="508">
        <f t="shared" si="43"/>
        <v>1.82</v>
      </c>
      <c r="AW12" s="287">
        <f>-SUM('B5'!AI11)</f>
        <v>-45</v>
      </c>
      <c r="AX12" s="287">
        <f t="shared" si="20"/>
        <v>-5098.5161290322576</v>
      </c>
      <c r="AY12" s="37">
        <f t="shared" si="41"/>
        <v>-5143.5161290322576</v>
      </c>
      <c r="AZ12" s="100">
        <f>ELEC!A10</f>
        <v>0</v>
      </c>
      <c r="BA12" s="118">
        <f>'General information '!D12</f>
        <v>27</v>
      </c>
      <c r="BB12" s="390">
        <f>SUM('General information '!E12)</f>
        <v>0.7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2"/>
        <v>-1377.9773321706095</v>
      </c>
      <c r="BK12" s="574">
        <f>GEN!AF9</f>
        <v>0.43659090909097192</v>
      </c>
    </row>
    <row r="13" spans="1:63">
      <c r="A13" s="439">
        <f>ELEC!C11</f>
        <v>44385</v>
      </c>
      <c r="B13">
        <f>'B5'!B12</f>
        <v>133</v>
      </c>
      <c r="C13" s="203">
        <f t="shared" si="21"/>
        <v>2861.6451612903224</v>
      </c>
      <c r="D13">
        <f t="shared" si="22"/>
        <v>133</v>
      </c>
      <c r="E13" s="203">
        <f t="shared" si="21"/>
        <v>2861.6451612903224</v>
      </c>
      <c r="F13">
        <f t="shared" si="23"/>
        <v>133</v>
      </c>
      <c r="G13" s="203">
        <f t="shared" si="1"/>
        <v>2861.6451612903224</v>
      </c>
      <c r="H13" s="203">
        <f t="shared" si="24"/>
        <v>133</v>
      </c>
      <c r="I13" s="203">
        <f t="shared" si="2"/>
        <v>2861.6451612903224</v>
      </c>
      <c r="J13" s="203">
        <f t="shared" si="25"/>
        <v>133</v>
      </c>
      <c r="K13" s="203">
        <f t="shared" si="3"/>
        <v>2861.6451612903224</v>
      </c>
      <c r="L13" s="203">
        <f t="shared" si="26"/>
        <v>133</v>
      </c>
      <c r="M13" s="203">
        <f t="shared" si="4"/>
        <v>2861.6451612903224</v>
      </c>
      <c r="N13" s="203">
        <f t="shared" si="27"/>
        <v>133</v>
      </c>
      <c r="O13" s="203">
        <f t="shared" si="5"/>
        <v>2861.6451612903224</v>
      </c>
      <c r="P13" s="203">
        <f t="shared" si="28"/>
        <v>133</v>
      </c>
      <c r="Q13" s="203">
        <f t="shared" si="6"/>
        <v>2861.6451612903224</v>
      </c>
      <c r="R13" s="203">
        <f t="shared" si="29"/>
        <v>133</v>
      </c>
      <c r="S13" s="203">
        <f t="shared" si="7"/>
        <v>2861.6451612903224</v>
      </c>
      <c r="T13" s="203">
        <f t="shared" si="30"/>
        <v>133</v>
      </c>
      <c r="U13" s="203">
        <f t="shared" si="8"/>
        <v>2861.6451612903224</v>
      </c>
      <c r="V13" s="203">
        <f t="shared" si="31"/>
        <v>133</v>
      </c>
      <c r="W13" s="203">
        <f t="shared" si="9"/>
        <v>2861.6451612903224</v>
      </c>
      <c r="X13" s="35">
        <f t="shared" si="10"/>
        <v>0.42903225806451611</v>
      </c>
      <c r="Y13" s="36">
        <f t="shared" si="32"/>
        <v>31478.096774193546</v>
      </c>
      <c r="Z13" s="203">
        <f>'B5'!C12</f>
        <v>141</v>
      </c>
      <c r="AA13" s="203">
        <f t="shared" si="33"/>
        <v>1410</v>
      </c>
      <c r="AB13" s="203">
        <f t="shared" si="34"/>
        <v>141</v>
      </c>
      <c r="AC13" s="203">
        <f t="shared" si="33"/>
        <v>1410</v>
      </c>
      <c r="AD13" s="203">
        <f t="shared" si="35"/>
        <v>141</v>
      </c>
      <c r="AE13" s="203">
        <f t="shared" si="11"/>
        <v>1410</v>
      </c>
      <c r="AF13" s="203">
        <f t="shared" si="36"/>
        <v>141</v>
      </c>
      <c r="AG13" s="203">
        <f t="shared" si="12"/>
        <v>1410</v>
      </c>
      <c r="AH13" s="203">
        <f t="shared" si="37"/>
        <v>141</v>
      </c>
      <c r="AI13" s="203">
        <f t="shared" si="13"/>
        <v>1410</v>
      </c>
      <c r="AJ13" s="203">
        <f t="shared" si="38"/>
        <v>141</v>
      </c>
      <c r="AK13" s="203">
        <f t="shared" si="14"/>
        <v>1410</v>
      </c>
      <c r="AL13" s="203">
        <f t="shared" si="39"/>
        <v>141</v>
      </c>
      <c r="AM13" s="203">
        <f t="shared" si="15"/>
        <v>1410</v>
      </c>
      <c r="AN13" s="35">
        <f t="shared" si="16"/>
        <v>0.50357142857142856</v>
      </c>
      <c r="AO13" s="36">
        <f t="shared" si="17"/>
        <v>9870</v>
      </c>
      <c r="AP13" s="550"/>
      <c r="AQ13" s="223">
        <f t="shared" si="40"/>
        <v>0.44474665778416206</v>
      </c>
      <c r="AR13" s="38">
        <f t="shared" si="45"/>
        <v>41348.096774193546</v>
      </c>
      <c r="AS13" s="197">
        <f t="shared" ref="AS13:AS36" si="46">SUM(AR13-AR12-AT13)</f>
        <v>0</v>
      </c>
      <c r="AT13" s="351"/>
      <c r="AU13" s="619"/>
      <c r="AV13" s="508">
        <f t="shared" si="43"/>
        <v>1.82</v>
      </c>
      <c r="AW13" s="287">
        <f>-SUM('B5'!AI12)</f>
        <v>0</v>
      </c>
      <c r="AX13" s="287">
        <f t="shared" si="20"/>
        <v>0</v>
      </c>
      <c r="AY13" s="37">
        <f t="shared" si="41"/>
        <v>0</v>
      </c>
      <c r="AZ13" s="100">
        <f>ELEC!A11</f>
        <v>0</v>
      </c>
      <c r="BA13" s="118">
        <f>'General information '!D13</f>
        <v>0</v>
      </c>
      <c r="BB13" s="390">
        <f>SUM('General information '!E13)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42"/>
        <v>0</v>
      </c>
      <c r="BK13" s="574" t="e">
        <f>GEN!AF10</f>
        <v>#DIV/0!</v>
      </c>
    </row>
    <row r="14" spans="1:63">
      <c r="A14" s="439">
        <f>ELEC!C12</f>
        <v>44386</v>
      </c>
      <c r="B14">
        <f>'B5'!B13</f>
        <v>133</v>
      </c>
      <c r="C14" s="203">
        <f t="shared" si="21"/>
        <v>2861.6451612903224</v>
      </c>
      <c r="D14">
        <f t="shared" si="22"/>
        <v>133</v>
      </c>
      <c r="E14" s="203">
        <f t="shared" si="21"/>
        <v>2861.6451612903224</v>
      </c>
      <c r="F14">
        <f t="shared" si="23"/>
        <v>133</v>
      </c>
      <c r="G14" s="203">
        <f t="shared" si="1"/>
        <v>2861.6451612903224</v>
      </c>
      <c r="H14" s="203">
        <f t="shared" si="24"/>
        <v>133</v>
      </c>
      <c r="I14" s="203">
        <f t="shared" si="2"/>
        <v>2861.6451612903224</v>
      </c>
      <c r="J14" s="203">
        <f t="shared" si="25"/>
        <v>133</v>
      </c>
      <c r="K14" s="203">
        <f t="shared" si="3"/>
        <v>2861.6451612903224</v>
      </c>
      <c r="L14" s="203">
        <f t="shared" si="26"/>
        <v>133</v>
      </c>
      <c r="M14" s="203">
        <f t="shared" si="4"/>
        <v>2861.6451612903224</v>
      </c>
      <c r="N14" s="203">
        <f t="shared" si="27"/>
        <v>133</v>
      </c>
      <c r="O14" s="203">
        <f t="shared" si="5"/>
        <v>2861.6451612903224</v>
      </c>
      <c r="P14" s="203">
        <f t="shared" si="28"/>
        <v>133</v>
      </c>
      <c r="Q14" s="203">
        <f t="shared" si="6"/>
        <v>2861.6451612903224</v>
      </c>
      <c r="R14" s="203">
        <f t="shared" si="29"/>
        <v>133</v>
      </c>
      <c r="S14" s="203">
        <f t="shared" si="7"/>
        <v>2861.6451612903224</v>
      </c>
      <c r="T14" s="203">
        <f t="shared" si="30"/>
        <v>133</v>
      </c>
      <c r="U14" s="203">
        <f t="shared" si="8"/>
        <v>2861.6451612903224</v>
      </c>
      <c r="V14" s="203">
        <f t="shared" si="31"/>
        <v>133</v>
      </c>
      <c r="W14" s="203">
        <f t="shared" si="9"/>
        <v>2861.6451612903224</v>
      </c>
      <c r="X14" s="35">
        <f t="shared" si="10"/>
        <v>0.42903225806451611</v>
      </c>
      <c r="Y14" s="36">
        <f t="shared" si="32"/>
        <v>31478.096774193546</v>
      </c>
      <c r="Z14" s="203">
        <f>'B5'!C13</f>
        <v>141</v>
      </c>
      <c r="AA14" s="203">
        <f t="shared" si="33"/>
        <v>1410</v>
      </c>
      <c r="AB14" s="203">
        <f t="shared" si="34"/>
        <v>141</v>
      </c>
      <c r="AC14" s="203">
        <f t="shared" si="33"/>
        <v>1410</v>
      </c>
      <c r="AD14" s="203">
        <f t="shared" si="35"/>
        <v>141</v>
      </c>
      <c r="AE14" s="203">
        <f t="shared" si="11"/>
        <v>1410</v>
      </c>
      <c r="AF14" s="203">
        <f t="shared" si="36"/>
        <v>141</v>
      </c>
      <c r="AG14" s="203">
        <f t="shared" si="12"/>
        <v>1410</v>
      </c>
      <c r="AH14" s="203">
        <f t="shared" si="37"/>
        <v>141</v>
      </c>
      <c r="AI14" s="203">
        <f t="shared" si="13"/>
        <v>1410</v>
      </c>
      <c r="AJ14" s="203">
        <f t="shared" si="38"/>
        <v>141</v>
      </c>
      <c r="AK14" s="203">
        <f t="shared" si="14"/>
        <v>1410</v>
      </c>
      <c r="AL14" s="203">
        <f t="shared" si="39"/>
        <v>141</v>
      </c>
      <c r="AM14" s="203">
        <f t="shared" si="15"/>
        <v>1410</v>
      </c>
      <c r="AN14" s="35">
        <f t="shared" si="16"/>
        <v>0.50357142857142856</v>
      </c>
      <c r="AO14" s="36">
        <f t="shared" si="17"/>
        <v>9870</v>
      </c>
      <c r="AQ14" s="223">
        <f t="shared" si="40"/>
        <v>0.44474665778416206</v>
      </c>
      <c r="AR14" s="38">
        <f t="shared" si="45"/>
        <v>41348.096774193546</v>
      </c>
      <c r="AS14" s="197">
        <f t="shared" si="46"/>
        <v>0</v>
      </c>
      <c r="AT14" s="351"/>
      <c r="AU14" s="619"/>
      <c r="AV14" s="508">
        <f t="shared" si="43"/>
        <v>1.82</v>
      </c>
      <c r="AW14" s="287">
        <f>-SUM('B5'!AI13)</f>
        <v>0</v>
      </c>
      <c r="AX14" s="287">
        <f t="shared" si="20"/>
        <v>0</v>
      </c>
      <c r="AY14" s="37">
        <f t="shared" si="41"/>
        <v>0</v>
      </c>
      <c r="AZ14" s="100">
        <f>ELEC!A12</f>
        <v>0</v>
      </c>
      <c r="BA14" s="118">
        <f>'General information '!D14</f>
        <v>0</v>
      </c>
      <c r="BB14" s="390">
        <f>SUM('General information '!E14)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42"/>
        <v>0</v>
      </c>
      <c r="BK14" s="574" t="e">
        <f>GEN!AF11</f>
        <v>#DIV/0!</v>
      </c>
    </row>
    <row r="15" spans="1:63" ht="13.5" customHeight="1">
      <c r="A15" s="439">
        <f>ELEC!C13</f>
        <v>44387</v>
      </c>
      <c r="B15">
        <f>'B5'!B14</f>
        <v>133</v>
      </c>
      <c r="C15" s="203">
        <f>B15*$B$4</f>
        <v>2861.6451612903224</v>
      </c>
      <c r="D15">
        <f t="shared" si="22"/>
        <v>133</v>
      </c>
      <c r="E15" s="203">
        <f t="shared" si="21"/>
        <v>2861.6451612903224</v>
      </c>
      <c r="F15">
        <f t="shared" si="23"/>
        <v>133</v>
      </c>
      <c r="G15" s="203">
        <f t="shared" si="1"/>
        <v>2861.6451612903224</v>
      </c>
      <c r="H15" s="203">
        <f t="shared" si="24"/>
        <v>133</v>
      </c>
      <c r="I15" s="203">
        <f t="shared" si="2"/>
        <v>2861.6451612903224</v>
      </c>
      <c r="J15" s="203">
        <f t="shared" si="25"/>
        <v>133</v>
      </c>
      <c r="K15" s="203">
        <f t="shared" si="3"/>
        <v>2861.6451612903224</v>
      </c>
      <c r="L15" s="203">
        <f t="shared" si="26"/>
        <v>133</v>
      </c>
      <c r="M15" s="203">
        <f t="shared" si="4"/>
        <v>2861.6451612903224</v>
      </c>
      <c r="N15" s="203">
        <f t="shared" si="27"/>
        <v>133</v>
      </c>
      <c r="O15" s="203">
        <f t="shared" si="5"/>
        <v>2861.6451612903224</v>
      </c>
      <c r="P15" s="203">
        <f t="shared" si="28"/>
        <v>133</v>
      </c>
      <c r="Q15" s="203">
        <f t="shared" si="6"/>
        <v>2861.6451612903224</v>
      </c>
      <c r="R15" s="203">
        <f t="shared" si="29"/>
        <v>133</v>
      </c>
      <c r="S15" s="203">
        <f t="shared" si="7"/>
        <v>2861.6451612903224</v>
      </c>
      <c r="T15" s="203">
        <f t="shared" si="30"/>
        <v>133</v>
      </c>
      <c r="U15" s="203">
        <f t="shared" si="8"/>
        <v>2861.6451612903224</v>
      </c>
      <c r="V15" s="203">
        <f t="shared" si="31"/>
        <v>133</v>
      </c>
      <c r="W15" s="203">
        <f t="shared" si="9"/>
        <v>2861.6451612903224</v>
      </c>
      <c r="X15" s="35">
        <f t="shared" si="10"/>
        <v>0.42903225806451611</v>
      </c>
      <c r="Y15" s="36">
        <f t="shared" si="32"/>
        <v>31478.096774193546</v>
      </c>
      <c r="Z15" s="203">
        <f>'B5'!C14</f>
        <v>141</v>
      </c>
      <c r="AA15" s="203">
        <f t="shared" si="33"/>
        <v>1410</v>
      </c>
      <c r="AB15" s="203">
        <f t="shared" si="34"/>
        <v>141</v>
      </c>
      <c r="AC15" s="203">
        <f t="shared" si="33"/>
        <v>1410</v>
      </c>
      <c r="AD15" s="203">
        <f t="shared" si="35"/>
        <v>141</v>
      </c>
      <c r="AE15" s="203">
        <f t="shared" si="11"/>
        <v>1410</v>
      </c>
      <c r="AF15" s="203">
        <f t="shared" si="36"/>
        <v>141</v>
      </c>
      <c r="AG15" s="203">
        <f t="shared" si="12"/>
        <v>1410</v>
      </c>
      <c r="AH15" s="203">
        <f t="shared" si="37"/>
        <v>141</v>
      </c>
      <c r="AI15" s="203">
        <f t="shared" si="13"/>
        <v>1410</v>
      </c>
      <c r="AJ15" s="203">
        <f t="shared" si="38"/>
        <v>141</v>
      </c>
      <c r="AK15" s="203">
        <f t="shared" si="14"/>
        <v>1410</v>
      </c>
      <c r="AL15" s="203">
        <f t="shared" si="39"/>
        <v>141</v>
      </c>
      <c r="AM15" s="203">
        <f t="shared" si="15"/>
        <v>1410</v>
      </c>
      <c r="AN15" s="35">
        <f t="shared" si="16"/>
        <v>0.50357142857142856</v>
      </c>
      <c r="AO15" s="36">
        <f t="shared" si="17"/>
        <v>9870</v>
      </c>
      <c r="AQ15" s="223">
        <f t="shared" si="40"/>
        <v>0.44474665778416206</v>
      </c>
      <c r="AR15" s="38">
        <f t="shared" si="45"/>
        <v>41348.096774193546</v>
      </c>
      <c r="AS15" s="197">
        <f t="shared" si="46"/>
        <v>0</v>
      </c>
      <c r="AT15" s="351"/>
      <c r="AU15" s="619"/>
      <c r="AV15" s="508">
        <f>IF(AT15&gt;0,AU15,AV14)</f>
        <v>1.82</v>
      </c>
      <c r="AW15" s="287">
        <f>-SUM('B5'!AI14)</f>
        <v>0</v>
      </c>
      <c r="AX15" s="287">
        <f t="shared" si="20"/>
        <v>0</v>
      </c>
      <c r="AY15" s="37">
        <f t="shared" si="41"/>
        <v>0</v>
      </c>
      <c r="AZ15" s="100">
        <f>ELEC!A13</f>
        <v>0</v>
      </c>
      <c r="BA15" s="118">
        <f>'General information '!D15</f>
        <v>0</v>
      </c>
      <c r="BB15" s="390">
        <f>SUM('General information '!E15)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42"/>
        <v>0</v>
      </c>
      <c r="BK15" s="574" t="e">
        <f>GEN!AF12</f>
        <v>#DIV/0!</v>
      </c>
    </row>
    <row r="16" spans="1:63">
      <c r="A16" s="439">
        <f>ELEC!C14</f>
        <v>44388</v>
      </c>
      <c r="B16">
        <f>'B5'!B15</f>
        <v>133</v>
      </c>
      <c r="C16" s="203">
        <f t="shared" si="21"/>
        <v>2861.6451612903224</v>
      </c>
      <c r="D16">
        <f t="shared" si="22"/>
        <v>133</v>
      </c>
      <c r="E16" s="203">
        <f t="shared" si="21"/>
        <v>2861.6451612903224</v>
      </c>
      <c r="F16">
        <f t="shared" si="23"/>
        <v>133</v>
      </c>
      <c r="G16" s="203">
        <f t="shared" si="1"/>
        <v>2861.6451612903224</v>
      </c>
      <c r="H16" s="203">
        <f t="shared" si="24"/>
        <v>133</v>
      </c>
      <c r="I16" s="203">
        <f t="shared" si="2"/>
        <v>2861.6451612903224</v>
      </c>
      <c r="J16" s="203">
        <f t="shared" si="25"/>
        <v>133</v>
      </c>
      <c r="K16" s="203">
        <f t="shared" si="3"/>
        <v>2861.6451612903224</v>
      </c>
      <c r="L16" s="203">
        <f t="shared" si="26"/>
        <v>133</v>
      </c>
      <c r="M16" s="203">
        <f t="shared" si="4"/>
        <v>2861.6451612903224</v>
      </c>
      <c r="N16" s="203">
        <f t="shared" si="27"/>
        <v>133</v>
      </c>
      <c r="O16" s="203">
        <f t="shared" si="5"/>
        <v>2861.6451612903224</v>
      </c>
      <c r="P16" s="203">
        <f t="shared" si="28"/>
        <v>133</v>
      </c>
      <c r="Q16" s="203">
        <f t="shared" si="6"/>
        <v>2861.6451612903224</v>
      </c>
      <c r="R16" s="203">
        <f t="shared" si="29"/>
        <v>133</v>
      </c>
      <c r="S16" s="203">
        <f t="shared" si="7"/>
        <v>2861.6451612903224</v>
      </c>
      <c r="T16" s="203">
        <f t="shared" si="30"/>
        <v>133</v>
      </c>
      <c r="U16" s="203">
        <f t="shared" si="8"/>
        <v>2861.6451612903224</v>
      </c>
      <c r="V16" s="203">
        <f t="shared" si="31"/>
        <v>133</v>
      </c>
      <c r="W16" s="203">
        <f t="shared" si="9"/>
        <v>2861.6451612903224</v>
      </c>
      <c r="X16" s="35">
        <f t="shared" si="10"/>
        <v>0.42903225806451611</v>
      </c>
      <c r="Y16" s="36">
        <f t="shared" si="32"/>
        <v>31478.096774193546</v>
      </c>
      <c r="Z16" s="203">
        <f>'B5'!C15</f>
        <v>141</v>
      </c>
      <c r="AA16" s="203">
        <f t="shared" si="33"/>
        <v>1410</v>
      </c>
      <c r="AB16" s="203">
        <f t="shared" si="34"/>
        <v>141</v>
      </c>
      <c r="AC16" s="203">
        <f t="shared" si="33"/>
        <v>1410</v>
      </c>
      <c r="AD16" s="203">
        <f t="shared" si="35"/>
        <v>141</v>
      </c>
      <c r="AE16" s="203">
        <f t="shared" si="11"/>
        <v>1410</v>
      </c>
      <c r="AF16" s="203">
        <f t="shared" si="36"/>
        <v>141</v>
      </c>
      <c r="AG16" s="203">
        <f t="shared" si="12"/>
        <v>1410</v>
      </c>
      <c r="AH16" s="203">
        <f t="shared" si="37"/>
        <v>141</v>
      </c>
      <c r="AI16" s="203">
        <f t="shared" si="13"/>
        <v>1410</v>
      </c>
      <c r="AJ16" s="203">
        <f t="shared" si="38"/>
        <v>141</v>
      </c>
      <c r="AK16" s="203">
        <f t="shared" si="14"/>
        <v>1410</v>
      </c>
      <c r="AL16" s="203">
        <f t="shared" si="39"/>
        <v>141</v>
      </c>
      <c r="AM16" s="203">
        <f t="shared" si="15"/>
        <v>1410</v>
      </c>
      <c r="AN16" s="35">
        <f t="shared" si="16"/>
        <v>0.50357142857142856</v>
      </c>
      <c r="AO16" s="36">
        <f t="shared" si="17"/>
        <v>9870</v>
      </c>
      <c r="AQ16" s="223">
        <f t="shared" si="40"/>
        <v>0.44474665778416206</v>
      </c>
      <c r="AR16" s="38">
        <f t="shared" si="45"/>
        <v>41348.096774193546</v>
      </c>
      <c r="AS16" s="197">
        <f t="shared" si="46"/>
        <v>0</v>
      </c>
      <c r="AT16" s="351"/>
      <c r="AU16" s="620"/>
      <c r="AV16" s="508">
        <f>IF(AT16&gt;0,AU16,AV15)</f>
        <v>1.82</v>
      </c>
      <c r="AW16" s="287">
        <f>-SUM('B5'!AI15)</f>
        <v>0</v>
      </c>
      <c r="AX16" s="287">
        <f t="shared" si="20"/>
        <v>0</v>
      </c>
      <c r="AY16" s="37">
        <f t="shared" si="41"/>
        <v>0</v>
      </c>
      <c r="AZ16" s="100">
        <f>ELEC!A14</f>
        <v>0</v>
      </c>
      <c r="BA16" s="118">
        <f>'General information '!D16</f>
        <v>0</v>
      </c>
      <c r="BB16" s="390">
        <f>SUM('General information '!E16)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2"/>
        <v>0</v>
      </c>
      <c r="BK16" s="574" t="e">
        <f>GEN!AF13</f>
        <v>#DIV/0!</v>
      </c>
    </row>
    <row r="17" spans="1:64">
      <c r="A17" s="439">
        <f>ELEC!C15</f>
        <v>44389</v>
      </c>
      <c r="B17">
        <f>'B5'!B16</f>
        <v>133</v>
      </c>
      <c r="C17" s="203">
        <f t="shared" si="21"/>
        <v>2861.6451612903224</v>
      </c>
      <c r="D17">
        <f t="shared" si="22"/>
        <v>133</v>
      </c>
      <c r="E17" s="203">
        <f t="shared" si="21"/>
        <v>2861.6451612903224</v>
      </c>
      <c r="F17">
        <f t="shared" si="23"/>
        <v>133</v>
      </c>
      <c r="G17" s="203">
        <f t="shared" si="1"/>
        <v>2861.6451612903224</v>
      </c>
      <c r="H17" s="203">
        <f t="shared" si="24"/>
        <v>133</v>
      </c>
      <c r="I17" s="203">
        <f t="shared" si="2"/>
        <v>2861.6451612903224</v>
      </c>
      <c r="J17" s="203">
        <f t="shared" si="25"/>
        <v>133</v>
      </c>
      <c r="K17" s="203">
        <f t="shared" si="3"/>
        <v>2861.6451612903224</v>
      </c>
      <c r="L17" s="203">
        <f t="shared" si="26"/>
        <v>133</v>
      </c>
      <c r="M17" s="203">
        <f t="shared" si="4"/>
        <v>2861.6451612903224</v>
      </c>
      <c r="N17" s="203">
        <f t="shared" si="27"/>
        <v>133</v>
      </c>
      <c r="O17" s="203">
        <f t="shared" si="5"/>
        <v>2861.6451612903224</v>
      </c>
      <c r="P17" s="203">
        <f t="shared" si="28"/>
        <v>133</v>
      </c>
      <c r="Q17" s="203">
        <f t="shared" si="6"/>
        <v>2861.6451612903224</v>
      </c>
      <c r="R17" s="203">
        <f t="shared" si="29"/>
        <v>133</v>
      </c>
      <c r="S17" s="203">
        <f t="shared" si="7"/>
        <v>2861.6451612903224</v>
      </c>
      <c r="T17" s="203">
        <f t="shared" si="30"/>
        <v>133</v>
      </c>
      <c r="U17" s="203">
        <f t="shared" si="8"/>
        <v>2861.6451612903224</v>
      </c>
      <c r="V17" s="203">
        <f t="shared" si="31"/>
        <v>133</v>
      </c>
      <c r="W17" s="203">
        <f t="shared" si="9"/>
        <v>2861.6451612903224</v>
      </c>
      <c r="X17" s="35">
        <f t="shared" si="10"/>
        <v>0.42903225806451611</v>
      </c>
      <c r="Y17" s="36">
        <f t="shared" si="32"/>
        <v>31478.096774193546</v>
      </c>
      <c r="Z17" s="203">
        <f>'B5'!C16</f>
        <v>141</v>
      </c>
      <c r="AA17" s="203">
        <f t="shared" si="33"/>
        <v>1410</v>
      </c>
      <c r="AB17" s="203">
        <f t="shared" si="34"/>
        <v>141</v>
      </c>
      <c r="AC17" s="203">
        <f t="shared" si="33"/>
        <v>1410</v>
      </c>
      <c r="AD17" s="203">
        <f t="shared" si="35"/>
        <v>141</v>
      </c>
      <c r="AE17" s="203">
        <f t="shared" si="11"/>
        <v>1410</v>
      </c>
      <c r="AF17" s="203">
        <f t="shared" si="36"/>
        <v>141</v>
      </c>
      <c r="AG17" s="203">
        <f t="shared" si="12"/>
        <v>1410</v>
      </c>
      <c r="AH17" s="203">
        <f t="shared" si="37"/>
        <v>141</v>
      </c>
      <c r="AI17" s="203">
        <f t="shared" si="13"/>
        <v>1410</v>
      </c>
      <c r="AJ17" s="203">
        <f t="shared" si="38"/>
        <v>141</v>
      </c>
      <c r="AK17" s="203">
        <f t="shared" si="14"/>
        <v>1410</v>
      </c>
      <c r="AL17" s="203">
        <f t="shared" si="39"/>
        <v>141</v>
      </c>
      <c r="AM17" s="203">
        <f t="shared" si="15"/>
        <v>1410</v>
      </c>
      <c r="AN17" s="35">
        <f t="shared" si="16"/>
        <v>0.50357142857142856</v>
      </c>
      <c r="AO17" s="36">
        <f>SUM(AA17+AC17+AE17+AG17+AI17+AK17+AM17)</f>
        <v>9870</v>
      </c>
      <c r="AQ17" s="223">
        <f t="shared" si="40"/>
        <v>0.44474665778416206</v>
      </c>
      <c r="AR17" s="38">
        <f t="shared" si="45"/>
        <v>41348.096774193546</v>
      </c>
      <c r="AS17" s="197">
        <f t="shared" si="46"/>
        <v>0</v>
      </c>
      <c r="AT17" s="351"/>
      <c r="AU17" s="619"/>
      <c r="AV17" s="508">
        <f t="shared" si="43"/>
        <v>1.82</v>
      </c>
      <c r="AW17" s="287">
        <f>-SUM('B5'!AI16)</f>
        <v>0</v>
      </c>
      <c r="AX17" s="287">
        <f t="shared" si="20"/>
        <v>0</v>
      </c>
      <c r="AY17" s="37">
        <f t="shared" si="41"/>
        <v>0</v>
      </c>
      <c r="AZ17" s="100">
        <f>ELEC!A15</f>
        <v>0</v>
      </c>
      <c r="BA17" s="118">
        <f>'General information '!D17</f>
        <v>0</v>
      </c>
      <c r="BB17" s="390">
        <f>SUM('General information '!E17)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</row>
    <row r="18" spans="1:64">
      <c r="A18" s="439">
        <f>ELEC!C16</f>
        <v>44390</v>
      </c>
      <c r="B18">
        <f>'B5'!B17</f>
        <v>133</v>
      </c>
      <c r="C18" s="203">
        <f t="shared" si="21"/>
        <v>2861.6451612903224</v>
      </c>
      <c r="D18">
        <f t="shared" si="22"/>
        <v>133</v>
      </c>
      <c r="E18" s="203">
        <f t="shared" si="21"/>
        <v>2861.6451612903224</v>
      </c>
      <c r="F18">
        <f t="shared" si="23"/>
        <v>133</v>
      </c>
      <c r="G18" s="203">
        <f t="shared" si="1"/>
        <v>2861.6451612903224</v>
      </c>
      <c r="H18" s="203">
        <f t="shared" si="24"/>
        <v>133</v>
      </c>
      <c r="I18" s="203">
        <f t="shared" si="2"/>
        <v>2861.6451612903224</v>
      </c>
      <c r="J18" s="203">
        <f t="shared" si="25"/>
        <v>133</v>
      </c>
      <c r="K18" s="203">
        <f t="shared" si="3"/>
        <v>2861.6451612903224</v>
      </c>
      <c r="L18" s="203">
        <f t="shared" si="26"/>
        <v>133</v>
      </c>
      <c r="M18" s="203">
        <f t="shared" si="4"/>
        <v>2861.6451612903224</v>
      </c>
      <c r="N18" s="203">
        <f t="shared" si="27"/>
        <v>133</v>
      </c>
      <c r="O18" s="203">
        <f t="shared" si="5"/>
        <v>2861.6451612903224</v>
      </c>
      <c r="P18" s="203">
        <f t="shared" si="28"/>
        <v>133</v>
      </c>
      <c r="Q18" s="203">
        <f t="shared" si="6"/>
        <v>2861.6451612903224</v>
      </c>
      <c r="R18" s="203">
        <f t="shared" si="29"/>
        <v>133</v>
      </c>
      <c r="S18" s="203">
        <f t="shared" si="7"/>
        <v>2861.6451612903224</v>
      </c>
      <c r="T18" s="203">
        <f t="shared" si="30"/>
        <v>133</v>
      </c>
      <c r="U18" s="203">
        <f t="shared" si="8"/>
        <v>2861.6451612903224</v>
      </c>
      <c r="V18" s="203">
        <f t="shared" si="31"/>
        <v>133</v>
      </c>
      <c r="W18" s="203">
        <f t="shared" si="9"/>
        <v>2861.6451612903224</v>
      </c>
      <c r="X18" s="35">
        <f t="shared" si="10"/>
        <v>0.42903225806451611</v>
      </c>
      <c r="Y18" s="36">
        <f t="shared" si="32"/>
        <v>31478.096774193546</v>
      </c>
      <c r="Z18" s="203">
        <f>'B5'!C17</f>
        <v>141</v>
      </c>
      <c r="AA18" s="203">
        <f t="shared" si="33"/>
        <v>1410</v>
      </c>
      <c r="AB18" s="203">
        <f t="shared" si="34"/>
        <v>141</v>
      </c>
      <c r="AC18" s="203">
        <f t="shared" si="33"/>
        <v>1410</v>
      </c>
      <c r="AD18" s="203">
        <f t="shared" si="35"/>
        <v>141</v>
      </c>
      <c r="AE18" s="203">
        <f t="shared" si="11"/>
        <v>1410</v>
      </c>
      <c r="AF18" s="203">
        <f t="shared" si="36"/>
        <v>141</v>
      </c>
      <c r="AG18" s="203">
        <f t="shared" si="12"/>
        <v>1410</v>
      </c>
      <c r="AH18" s="203">
        <f t="shared" si="37"/>
        <v>141</v>
      </c>
      <c r="AI18" s="203">
        <f t="shared" si="13"/>
        <v>1410</v>
      </c>
      <c r="AJ18" s="203">
        <f t="shared" si="38"/>
        <v>141</v>
      </c>
      <c r="AK18" s="203">
        <f t="shared" si="14"/>
        <v>1410</v>
      </c>
      <c r="AL18" s="203">
        <f t="shared" si="39"/>
        <v>141</v>
      </c>
      <c r="AM18" s="203">
        <f t="shared" si="15"/>
        <v>1410</v>
      </c>
      <c r="AN18" s="35">
        <f t="shared" si="16"/>
        <v>0.50357142857142856</v>
      </c>
      <c r="AO18" s="36">
        <f t="shared" si="17"/>
        <v>9870</v>
      </c>
      <c r="AQ18" s="223">
        <f t="shared" si="40"/>
        <v>0.44474665778416206</v>
      </c>
      <c r="AR18" s="38">
        <f t="shared" si="45"/>
        <v>41348.096774193546</v>
      </c>
      <c r="AS18" s="197">
        <f t="shared" si="46"/>
        <v>0</v>
      </c>
      <c r="AT18" s="351"/>
      <c r="AU18" s="619"/>
      <c r="AV18" s="508">
        <f>IF(AT18&gt;0,AU18,AV17)</f>
        <v>1.82</v>
      </c>
      <c r="AW18" s="287">
        <f>-SUM('B5'!AI17)</f>
        <v>0</v>
      </c>
      <c r="AX18" s="287">
        <f t="shared" si="20"/>
        <v>0</v>
      </c>
      <c r="AY18" s="37">
        <f t="shared" si="41"/>
        <v>0</v>
      </c>
      <c r="AZ18" s="100">
        <f>ELEC!A16</f>
        <v>0</v>
      </c>
      <c r="BA18" s="118">
        <f>'General information '!D18</f>
        <v>0</v>
      </c>
      <c r="BB18" s="390">
        <f>SUM('General information '!E18)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</row>
    <row r="19" spans="1:64">
      <c r="A19" s="439">
        <f>ELEC!C17</f>
        <v>44391</v>
      </c>
      <c r="B19">
        <f>'B5'!B18</f>
        <v>133</v>
      </c>
      <c r="C19" s="203">
        <f t="shared" si="21"/>
        <v>2861.6451612903224</v>
      </c>
      <c r="D19">
        <f t="shared" si="22"/>
        <v>133</v>
      </c>
      <c r="E19" s="203">
        <f t="shared" si="21"/>
        <v>2861.6451612903224</v>
      </c>
      <c r="F19">
        <f t="shared" si="23"/>
        <v>133</v>
      </c>
      <c r="G19" s="203">
        <f t="shared" si="1"/>
        <v>2861.6451612903224</v>
      </c>
      <c r="H19" s="203">
        <f t="shared" si="24"/>
        <v>133</v>
      </c>
      <c r="I19" s="203">
        <f t="shared" si="2"/>
        <v>2861.6451612903224</v>
      </c>
      <c r="J19" s="203">
        <f t="shared" si="25"/>
        <v>133</v>
      </c>
      <c r="K19" s="203">
        <f t="shared" si="3"/>
        <v>2861.6451612903224</v>
      </c>
      <c r="L19" s="203">
        <f t="shared" si="26"/>
        <v>133</v>
      </c>
      <c r="M19" s="203">
        <f t="shared" si="4"/>
        <v>2861.6451612903224</v>
      </c>
      <c r="N19" s="203">
        <f t="shared" si="27"/>
        <v>133</v>
      </c>
      <c r="O19" s="203">
        <f t="shared" si="5"/>
        <v>2861.6451612903224</v>
      </c>
      <c r="P19" s="203">
        <f t="shared" si="28"/>
        <v>133</v>
      </c>
      <c r="Q19" s="203">
        <f t="shared" si="6"/>
        <v>2861.6451612903224</v>
      </c>
      <c r="R19" s="203">
        <f t="shared" si="29"/>
        <v>133</v>
      </c>
      <c r="S19" s="203">
        <f t="shared" si="7"/>
        <v>2861.6451612903224</v>
      </c>
      <c r="T19" s="203">
        <f t="shared" si="30"/>
        <v>133</v>
      </c>
      <c r="U19" s="203">
        <f t="shared" si="8"/>
        <v>2861.6451612903224</v>
      </c>
      <c r="V19" s="203">
        <f t="shared" si="31"/>
        <v>133</v>
      </c>
      <c r="W19" s="203">
        <f t="shared" si="9"/>
        <v>2861.6451612903224</v>
      </c>
      <c r="X19" s="35">
        <f t="shared" si="10"/>
        <v>0.42903225806451611</v>
      </c>
      <c r="Y19" s="36">
        <f t="shared" si="32"/>
        <v>31478.096774193546</v>
      </c>
      <c r="Z19" s="203">
        <f>'B5'!C18</f>
        <v>141</v>
      </c>
      <c r="AA19" s="203">
        <f t="shared" si="33"/>
        <v>1410</v>
      </c>
      <c r="AB19" s="203">
        <f t="shared" si="34"/>
        <v>141</v>
      </c>
      <c r="AC19" s="203">
        <f t="shared" si="33"/>
        <v>1410</v>
      </c>
      <c r="AD19" s="203">
        <f t="shared" si="35"/>
        <v>141</v>
      </c>
      <c r="AE19" s="203">
        <f t="shared" si="11"/>
        <v>1410</v>
      </c>
      <c r="AF19" s="203">
        <f t="shared" si="36"/>
        <v>141</v>
      </c>
      <c r="AG19" s="203">
        <f t="shared" si="12"/>
        <v>1410</v>
      </c>
      <c r="AH19" s="203">
        <f t="shared" si="37"/>
        <v>141</v>
      </c>
      <c r="AI19" s="203">
        <f t="shared" si="13"/>
        <v>1410</v>
      </c>
      <c r="AJ19" s="203">
        <f t="shared" si="38"/>
        <v>141</v>
      </c>
      <c r="AK19" s="203">
        <f t="shared" si="14"/>
        <v>1410</v>
      </c>
      <c r="AL19" s="203">
        <f t="shared" si="39"/>
        <v>141</v>
      </c>
      <c r="AM19" s="203">
        <f t="shared" si="15"/>
        <v>1410</v>
      </c>
      <c r="AN19" s="35">
        <f t="shared" si="16"/>
        <v>0.50357142857142856</v>
      </c>
      <c r="AO19" s="36">
        <f t="shared" si="17"/>
        <v>9870</v>
      </c>
      <c r="AQ19" s="223">
        <f t="shared" si="40"/>
        <v>0.44474665778416206</v>
      </c>
      <c r="AR19" s="38">
        <f t="shared" si="45"/>
        <v>41348.096774193546</v>
      </c>
      <c r="AS19" s="197">
        <f t="shared" si="46"/>
        <v>0</v>
      </c>
      <c r="AT19" s="351"/>
      <c r="AU19" s="619"/>
      <c r="AV19" s="508">
        <f t="shared" si="43"/>
        <v>1.82</v>
      </c>
      <c r="AW19" s="287">
        <f>-SUM('B5'!AI18)</f>
        <v>0</v>
      </c>
      <c r="AX19" s="287">
        <f t="shared" si="20"/>
        <v>0</v>
      </c>
      <c r="AY19" s="37">
        <f t="shared" si="41"/>
        <v>0</v>
      </c>
      <c r="AZ19" s="100">
        <f>ELEC!A17</f>
        <v>0</v>
      </c>
      <c r="BA19" s="118">
        <f>'General information '!D19</f>
        <v>0</v>
      </c>
      <c r="BB19" s="390">
        <f>SUM('General information '!E19)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J19" s="203"/>
    </row>
    <row r="20" spans="1:64">
      <c r="A20" s="439">
        <f>ELEC!C18</f>
        <v>44392</v>
      </c>
      <c r="B20">
        <f>'B5'!B19</f>
        <v>133</v>
      </c>
      <c r="C20" s="203">
        <f t="shared" si="21"/>
        <v>2861.6451612903224</v>
      </c>
      <c r="D20">
        <f t="shared" si="22"/>
        <v>133</v>
      </c>
      <c r="E20" s="203">
        <f t="shared" si="21"/>
        <v>2861.6451612903224</v>
      </c>
      <c r="F20">
        <f t="shared" si="23"/>
        <v>133</v>
      </c>
      <c r="G20" s="203">
        <f t="shared" si="1"/>
        <v>2861.6451612903224</v>
      </c>
      <c r="H20" s="203">
        <f t="shared" si="24"/>
        <v>133</v>
      </c>
      <c r="I20" s="203">
        <f t="shared" si="2"/>
        <v>2861.6451612903224</v>
      </c>
      <c r="J20" s="203">
        <f t="shared" si="25"/>
        <v>133</v>
      </c>
      <c r="K20" s="203">
        <f t="shared" si="3"/>
        <v>2861.6451612903224</v>
      </c>
      <c r="L20" s="203">
        <f t="shared" si="26"/>
        <v>133</v>
      </c>
      <c r="M20" s="203">
        <f t="shared" si="4"/>
        <v>2861.6451612903224</v>
      </c>
      <c r="N20" s="203">
        <f t="shared" si="27"/>
        <v>133</v>
      </c>
      <c r="O20" s="203">
        <f t="shared" si="5"/>
        <v>2861.6451612903224</v>
      </c>
      <c r="P20" s="203">
        <f t="shared" si="28"/>
        <v>133</v>
      </c>
      <c r="Q20" s="203">
        <f t="shared" si="6"/>
        <v>2861.6451612903224</v>
      </c>
      <c r="R20" s="203">
        <f t="shared" si="29"/>
        <v>133</v>
      </c>
      <c r="S20" s="203">
        <f t="shared" si="7"/>
        <v>2861.6451612903224</v>
      </c>
      <c r="T20" s="203">
        <f t="shared" si="30"/>
        <v>133</v>
      </c>
      <c r="U20" s="203">
        <f t="shared" si="8"/>
        <v>2861.6451612903224</v>
      </c>
      <c r="V20" s="203">
        <f t="shared" si="31"/>
        <v>133</v>
      </c>
      <c r="W20" s="203">
        <f t="shared" si="9"/>
        <v>2861.6451612903224</v>
      </c>
      <c r="X20" s="35">
        <f t="shared" si="10"/>
        <v>0.42903225806451611</v>
      </c>
      <c r="Y20" s="36">
        <f t="shared" si="32"/>
        <v>31478.096774193546</v>
      </c>
      <c r="Z20" s="203">
        <f>'B5'!C19</f>
        <v>141</v>
      </c>
      <c r="AA20" s="203">
        <f t="shared" si="33"/>
        <v>1410</v>
      </c>
      <c r="AB20" s="203">
        <f t="shared" si="34"/>
        <v>141</v>
      </c>
      <c r="AC20" s="203">
        <f t="shared" si="33"/>
        <v>1410</v>
      </c>
      <c r="AD20" s="203">
        <f t="shared" si="35"/>
        <v>141</v>
      </c>
      <c r="AE20" s="203">
        <f t="shared" si="11"/>
        <v>1410</v>
      </c>
      <c r="AF20" s="203">
        <f t="shared" si="36"/>
        <v>141</v>
      </c>
      <c r="AG20" s="203">
        <f t="shared" si="12"/>
        <v>1410</v>
      </c>
      <c r="AH20" s="203">
        <f t="shared" si="37"/>
        <v>141</v>
      </c>
      <c r="AI20" s="203">
        <f t="shared" si="13"/>
        <v>1410</v>
      </c>
      <c r="AJ20" s="203">
        <f t="shared" si="38"/>
        <v>141</v>
      </c>
      <c r="AK20" s="203">
        <f t="shared" si="14"/>
        <v>1410</v>
      </c>
      <c r="AL20" s="203">
        <f t="shared" si="39"/>
        <v>141</v>
      </c>
      <c r="AM20" s="203">
        <f t="shared" si="15"/>
        <v>1410</v>
      </c>
      <c r="AN20" s="35">
        <f t="shared" si="16"/>
        <v>0.50357142857142856</v>
      </c>
      <c r="AO20" s="36">
        <f t="shared" si="17"/>
        <v>9870</v>
      </c>
      <c r="AQ20" s="223">
        <f t="shared" si="40"/>
        <v>0.44474665778416206</v>
      </c>
      <c r="AR20" s="38">
        <f t="shared" si="45"/>
        <v>41348.096774193546</v>
      </c>
      <c r="AS20" s="197">
        <f t="shared" si="46"/>
        <v>0</v>
      </c>
      <c r="AT20" s="351"/>
      <c r="AU20" s="619"/>
      <c r="AV20" s="508">
        <f t="shared" si="43"/>
        <v>1.82</v>
      </c>
      <c r="AW20" s="287">
        <f>-SUM('B5'!AI19)</f>
        <v>0</v>
      </c>
      <c r="AX20" s="287">
        <f t="shared" si="20"/>
        <v>0</v>
      </c>
      <c r="AY20" s="37">
        <f t="shared" si="41"/>
        <v>0</v>
      </c>
      <c r="AZ20" s="100">
        <f>ELEC!A18</f>
        <v>0</v>
      </c>
      <c r="BA20" s="118">
        <f>'General information '!D20</f>
        <v>0</v>
      </c>
      <c r="BB20" s="390">
        <f>SUM('General information '!E20)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L20" s="203"/>
    </row>
    <row r="21" spans="1:64">
      <c r="A21" s="439">
        <f>ELEC!C19</f>
        <v>44393</v>
      </c>
      <c r="B21">
        <f>'B5'!B20</f>
        <v>133</v>
      </c>
      <c r="C21" s="203">
        <f t="shared" si="21"/>
        <v>2861.6451612903224</v>
      </c>
      <c r="D21">
        <f t="shared" si="22"/>
        <v>133</v>
      </c>
      <c r="E21" s="203">
        <f t="shared" si="21"/>
        <v>2861.6451612903224</v>
      </c>
      <c r="F21">
        <f t="shared" si="23"/>
        <v>133</v>
      </c>
      <c r="G21" s="203">
        <f t="shared" si="1"/>
        <v>2861.6451612903224</v>
      </c>
      <c r="H21" s="203">
        <f t="shared" si="24"/>
        <v>133</v>
      </c>
      <c r="I21" s="203">
        <f t="shared" si="2"/>
        <v>2861.6451612903224</v>
      </c>
      <c r="J21" s="203">
        <f t="shared" si="25"/>
        <v>133</v>
      </c>
      <c r="K21" s="203">
        <f t="shared" si="3"/>
        <v>2861.6451612903224</v>
      </c>
      <c r="L21" s="203">
        <f t="shared" si="26"/>
        <v>133</v>
      </c>
      <c r="M21" s="203">
        <f t="shared" si="4"/>
        <v>2861.6451612903224</v>
      </c>
      <c r="N21" s="203">
        <f t="shared" si="27"/>
        <v>133</v>
      </c>
      <c r="O21" s="203">
        <f t="shared" si="5"/>
        <v>2861.6451612903224</v>
      </c>
      <c r="P21" s="203">
        <f t="shared" si="28"/>
        <v>133</v>
      </c>
      <c r="Q21" s="203">
        <f t="shared" si="6"/>
        <v>2861.6451612903224</v>
      </c>
      <c r="R21" s="203">
        <f t="shared" si="29"/>
        <v>133</v>
      </c>
      <c r="S21" s="203">
        <f t="shared" si="7"/>
        <v>2861.6451612903224</v>
      </c>
      <c r="T21" s="203">
        <f t="shared" si="30"/>
        <v>133</v>
      </c>
      <c r="U21" s="203">
        <f t="shared" si="8"/>
        <v>2861.6451612903224</v>
      </c>
      <c r="V21" s="203">
        <f t="shared" si="31"/>
        <v>133</v>
      </c>
      <c r="W21" s="203">
        <f t="shared" si="9"/>
        <v>2861.6451612903224</v>
      </c>
      <c r="X21" s="35">
        <f t="shared" si="10"/>
        <v>0.42903225806451611</v>
      </c>
      <c r="Y21" s="36">
        <f t="shared" si="32"/>
        <v>31478.096774193546</v>
      </c>
      <c r="Z21" s="203">
        <f>'B5'!C20</f>
        <v>141</v>
      </c>
      <c r="AA21" s="203">
        <f t="shared" si="33"/>
        <v>1410</v>
      </c>
      <c r="AB21" s="203">
        <f t="shared" si="34"/>
        <v>141</v>
      </c>
      <c r="AC21" s="203">
        <f t="shared" si="33"/>
        <v>1410</v>
      </c>
      <c r="AD21" s="203">
        <f t="shared" si="35"/>
        <v>141</v>
      </c>
      <c r="AE21" s="203">
        <f t="shared" si="11"/>
        <v>1410</v>
      </c>
      <c r="AF21" s="203">
        <f t="shared" si="36"/>
        <v>141</v>
      </c>
      <c r="AG21" s="203">
        <f t="shared" si="12"/>
        <v>1410</v>
      </c>
      <c r="AH21" s="203">
        <f t="shared" si="37"/>
        <v>141</v>
      </c>
      <c r="AI21" s="203">
        <f t="shared" si="13"/>
        <v>1410</v>
      </c>
      <c r="AJ21" s="203">
        <f t="shared" si="38"/>
        <v>141</v>
      </c>
      <c r="AK21" s="203">
        <f t="shared" si="14"/>
        <v>1410</v>
      </c>
      <c r="AL21" s="203">
        <f t="shared" si="39"/>
        <v>141</v>
      </c>
      <c r="AM21" s="203">
        <f t="shared" si="15"/>
        <v>1410</v>
      </c>
      <c r="AN21" s="35">
        <f t="shared" si="16"/>
        <v>0.50357142857142856</v>
      </c>
      <c r="AO21" s="36">
        <f t="shared" si="17"/>
        <v>9870</v>
      </c>
      <c r="AQ21" s="223">
        <f t="shared" si="40"/>
        <v>0.44474665778416206</v>
      </c>
      <c r="AR21" s="38">
        <f t="shared" si="45"/>
        <v>41348.096774193546</v>
      </c>
      <c r="AS21" s="197">
        <f t="shared" si="46"/>
        <v>0</v>
      </c>
      <c r="AT21" s="351"/>
      <c r="AU21" s="619"/>
      <c r="AV21" s="508">
        <f t="shared" si="43"/>
        <v>1.82</v>
      </c>
      <c r="AW21" s="287">
        <f>-SUM('B5'!AI20)</f>
        <v>0</v>
      </c>
      <c r="AX21" s="287">
        <f t="shared" si="20"/>
        <v>0</v>
      </c>
      <c r="AY21" s="37">
        <f t="shared" si="41"/>
        <v>0</v>
      </c>
      <c r="AZ21" s="100">
        <f>ELEC!A19</f>
        <v>0</v>
      </c>
      <c r="BA21" s="118">
        <f>'General information '!D21</f>
        <v>0</v>
      </c>
      <c r="BB21" s="390">
        <f>SUM('General information '!E21)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</row>
    <row r="22" spans="1:64">
      <c r="A22" s="439">
        <f>ELEC!C20</f>
        <v>44394</v>
      </c>
      <c r="B22">
        <f>'B5'!B21</f>
        <v>133</v>
      </c>
      <c r="C22" s="203">
        <f t="shared" si="21"/>
        <v>2861.6451612903224</v>
      </c>
      <c r="D22">
        <f t="shared" si="22"/>
        <v>133</v>
      </c>
      <c r="E22" s="203">
        <f t="shared" si="21"/>
        <v>2861.6451612903224</v>
      </c>
      <c r="F22">
        <f t="shared" si="23"/>
        <v>133</v>
      </c>
      <c r="G22" s="203">
        <f t="shared" si="1"/>
        <v>2861.6451612903224</v>
      </c>
      <c r="H22" s="203">
        <f t="shared" si="24"/>
        <v>133</v>
      </c>
      <c r="I22" s="203">
        <f t="shared" si="2"/>
        <v>2861.6451612903224</v>
      </c>
      <c r="J22" s="203">
        <f t="shared" si="25"/>
        <v>133</v>
      </c>
      <c r="K22" s="203">
        <f t="shared" si="3"/>
        <v>2861.6451612903224</v>
      </c>
      <c r="L22" s="203">
        <f t="shared" si="26"/>
        <v>133</v>
      </c>
      <c r="M22" s="203">
        <f t="shared" si="4"/>
        <v>2861.6451612903224</v>
      </c>
      <c r="N22" s="203">
        <f t="shared" si="27"/>
        <v>133</v>
      </c>
      <c r="O22" s="203">
        <f t="shared" si="5"/>
        <v>2861.6451612903224</v>
      </c>
      <c r="P22" s="203">
        <f t="shared" si="28"/>
        <v>133</v>
      </c>
      <c r="Q22" s="203">
        <f t="shared" si="6"/>
        <v>2861.6451612903224</v>
      </c>
      <c r="R22" s="203">
        <f t="shared" si="29"/>
        <v>133</v>
      </c>
      <c r="S22" s="203">
        <f t="shared" si="7"/>
        <v>2861.6451612903224</v>
      </c>
      <c r="T22" s="203">
        <f t="shared" si="30"/>
        <v>133</v>
      </c>
      <c r="U22" s="203">
        <f t="shared" si="8"/>
        <v>2861.6451612903224</v>
      </c>
      <c r="V22" s="203">
        <f t="shared" si="31"/>
        <v>133</v>
      </c>
      <c r="W22" s="203">
        <f t="shared" si="9"/>
        <v>2861.6451612903224</v>
      </c>
      <c r="X22" s="35">
        <f t="shared" si="10"/>
        <v>0.42903225806451611</v>
      </c>
      <c r="Y22" s="36">
        <f t="shared" si="32"/>
        <v>31478.096774193546</v>
      </c>
      <c r="Z22" s="203">
        <f>'B5'!C21</f>
        <v>141</v>
      </c>
      <c r="AA22" s="203">
        <f t="shared" si="33"/>
        <v>1410</v>
      </c>
      <c r="AB22" s="203">
        <f t="shared" si="34"/>
        <v>141</v>
      </c>
      <c r="AC22" s="203">
        <f t="shared" si="33"/>
        <v>1410</v>
      </c>
      <c r="AD22" s="203">
        <f t="shared" si="35"/>
        <v>141</v>
      </c>
      <c r="AE22" s="203">
        <f t="shared" si="11"/>
        <v>1410</v>
      </c>
      <c r="AF22" s="203">
        <f t="shared" si="36"/>
        <v>141</v>
      </c>
      <c r="AG22" s="203">
        <f t="shared" si="12"/>
        <v>1410</v>
      </c>
      <c r="AH22" s="203">
        <f t="shared" si="37"/>
        <v>141</v>
      </c>
      <c r="AI22" s="203">
        <f t="shared" si="13"/>
        <v>1410</v>
      </c>
      <c r="AJ22" s="203">
        <f t="shared" si="38"/>
        <v>141</v>
      </c>
      <c r="AK22" s="203">
        <f t="shared" si="14"/>
        <v>1410</v>
      </c>
      <c r="AL22" s="203">
        <f t="shared" si="39"/>
        <v>141</v>
      </c>
      <c r="AM22" s="203">
        <f t="shared" si="15"/>
        <v>1410</v>
      </c>
      <c r="AN22" s="35">
        <f t="shared" si="16"/>
        <v>0.50357142857142856</v>
      </c>
      <c r="AO22" s="36">
        <f t="shared" si="17"/>
        <v>9870</v>
      </c>
      <c r="AQ22" s="223">
        <f t="shared" si="40"/>
        <v>0.44474665778416206</v>
      </c>
      <c r="AR22" s="38">
        <f t="shared" si="45"/>
        <v>41348.096774193546</v>
      </c>
      <c r="AS22" s="197">
        <f t="shared" si="46"/>
        <v>0</v>
      </c>
      <c r="AT22" s="351"/>
      <c r="AU22" s="619"/>
      <c r="AV22" s="508">
        <f t="shared" si="43"/>
        <v>1.82</v>
      </c>
      <c r="AW22" s="287">
        <f>-SUM('B5'!AI21)</f>
        <v>0</v>
      </c>
      <c r="AX22" s="287">
        <f t="shared" si="20"/>
        <v>0</v>
      </c>
      <c r="AY22" s="37">
        <f t="shared" si="41"/>
        <v>0</v>
      </c>
      <c r="AZ22" s="100">
        <f>ELEC!A20</f>
        <v>0</v>
      </c>
      <c r="BA22" s="118">
        <f>'General information '!D22</f>
        <v>0</v>
      </c>
      <c r="BB22" s="390">
        <f>SUM('General information '!E22)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</row>
    <row r="23" spans="1:64">
      <c r="A23" s="439">
        <f>ELEC!C21</f>
        <v>44395</v>
      </c>
      <c r="B23">
        <f>'B5'!B22</f>
        <v>133</v>
      </c>
      <c r="C23" s="203">
        <f t="shared" si="21"/>
        <v>2861.6451612903224</v>
      </c>
      <c r="D23">
        <f t="shared" si="22"/>
        <v>133</v>
      </c>
      <c r="E23" s="203">
        <f t="shared" si="21"/>
        <v>2861.6451612903224</v>
      </c>
      <c r="F23">
        <f t="shared" si="23"/>
        <v>133</v>
      </c>
      <c r="G23" s="203">
        <f t="shared" si="1"/>
        <v>2861.6451612903224</v>
      </c>
      <c r="H23" s="203">
        <f t="shared" si="24"/>
        <v>133</v>
      </c>
      <c r="I23" s="203">
        <f t="shared" si="2"/>
        <v>2861.6451612903224</v>
      </c>
      <c r="J23" s="203">
        <f t="shared" si="25"/>
        <v>133</v>
      </c>
      <c r="K23" s="203">
        <f t="shared" si="3"/>
        <v>2861.6451612903224</v>
      </c>
      <c r="L23" s="203">
        <f t="shared" si="26"/>
        <v>133</v>
      </c>
      <c r="M23" s="203">
        <f t="shared" si="4"/>
        <v>2861.6451612903224</v>
      </c>
      <c r="N23" s="203">
        <f t="shared" si="27"/>
        <v>133</v>
      </c>
      <c r="O23" s="203">
        <f t="shared" si="5"/>
        <v>2861.6451612903224</v>
      </c>
      <c r="P23" s="203">
        <f t="shared" si="28"/>
        <v>133</v>
      </c>
      <c r="Q23" s="203">
        <f t="shared" si="6"/>
        <v>2861.6451612903224</v>
      </c>
      <c r="R23" s="203">
        <f t="shared" si="29"/>
        <v>133</v>
      </c>
      <c r="S23" s="203">
        <f t="shared" si="7"/>
        <v>2861.6451612903224</v>
      </c>
      <c r="T23" s="203">
        <f t="shared" si="30"/>
        <v>133</v>
      </c>
      <c r="U23" s="203">
        <f t="shared" si="8"/>
        <v>2861.6451612903224</v>
      </c>
      <c r="V23" s="203">
        <f t="shared" si="31"/>
        <v>133</v>
      </c>
      <c r="W23" s="203">
        <f t="shared" si="9"/>
        <v>2861.6451612903224</v>
      </c>
      <c r="X23" s="35">
        <f t="shared" si="10"/>
        <v>0.42903225806451611</v>
      </c>
      <c r="Y23" s="36">
        <f t="shared" si="32"/>
        <v>31478.096774193546</v>
      </c>
      <c r="Z23" s="203">
        <f>'B5'!C22</f>
        <v>141</v>
      </c>
      <c r="AA23" s="203">
        <f t="shared" si="33"/>
        <v>1410</v>
      </c>
      <c r="AB23" s="203">
        <f t="shared" si="34"/>
        <v>141</v>
      </c>
      <c r="AC23" s="203">
        <f t="shared" si="33"/>
        <v>1410</v>
      </c>
      <c r="AD23" s="203">
        <f t="shared" si="35"/>
        <v>141</v>
      </c>
      <c r="AE23" s="203">
        <f t="shared" si="11"/>
        <v>1410</v>
      </c>
      <c r="AF23" s="203">
        <f t="shared" si="36"/>
        <v>141</v>
      </c>
      <c r="AG23" s="203">
        <f t="shared" si="12"/>
        <v>1410</v>
      </c>
      <c r="AH23" s="203">
        <f t="shared" si="37"/>
        <v>141</v>
      </c>
      <c r="AI23" s="203">
        <f t="shared" si="13"/>
        <v>1410</v>
      </c>
      <c r="AJ23" s="203">
        <f t="shared" si="38"/>
        <v>141</v>
      </c>
      <c r="AK23" s="203">
        <f t="shared" si="14"/>
        <v>1410</v>
      </c>
      <c r="AL23" s="203">
        <f t="shared" si="39"/>
        <v>141</v>
      </c>
      <c r="AM23" s="203">
        <f t="shared" si="15"/>
        <v>1410</v>
      </c>
      <c r="AN23" s="35">
        <f t="shared" si="16"/>
        <v>0.50357142857142856</v>
      </c>
      <c r="AO23" s="36">
        <f t="shared" si="17"/>
        <v>9870</v>
      </c>
      <c r="AQ23" s="223">
        <f t="shared" si="40"/>
        <v>0.44474665778416206</v>
      </c>
      <c r="AR23" s="38">
        <f t="shared" si="45"/>
        <v>41348.096774193546</v>
      </c>
      <c r="AS23" s="197">
        <f t="shared" si="46"/>
        <v>0</v>
      </c>
      <c r="AT23" s="351"/>
      <c r="AU23" s="619"/>
      <c r="AV23" s="508">
        <f t="shared" si="43"/>
        <v>1.82</v>
      </c>
      <c r="AW23" s="287">
        <f>-SUM('B5'!AI22)</f>
        <v>0</v>
      </c>
      <c r="AX23" s="287">
        <f t="shared" si="20"/>
        <v>0</v>
      </c>
      <c r="AY23" s="37">
        <f t="shared" si="41"/>
        <v>0</v>
      </c>
      <c r="AZ23" s="100">
        <f>ELEC!A21</f>
        <v>0</v>
      </c>
      <c r="BA23" s="118">
        <f>'General information '!D23</f>
        <v>0</v>
      </c>
      <c r="BB23" s="390">
        <f>SUM('General information '!E23)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</row>
    <row r="24" spans="1:64">
      <c r="A24" s="439">
        <f>ELEC!C22</f>
        <v>44396</v>
      </c>
      <c r="B24">
        <f>'B5'!B23</f>
        <v>133</v>
      </c>
      <c r="C24" s="203">
        <f t="shared" si="21"/>
        <v>2861.6451612903224</v>
      </c>
      <c r="D24">
        <f t="shared" si="22"/>
        <v>133</v>
      </c>
      <c r="E24" s="203">
        <f t="shared" si="21"/>
        <v>2861.6451612903224</v>
      </c>
      <c r="F24">
        <f t="shared" si="23"/>
        <v>133</v>
      </c>
      <c r="G24" s="203">
        <f t="shared" si="1"/>
        <v>2861.6451612903224</v>
      </c>
      <c r="H24" s="203">
        <f t="shared" si="24"/>
        <v>133</v>
      </c>
      <c r="I24" s="203">
        <f t="shared" si="2"/>
        <v>2861.6451612903224</v>
      </c>
      <c r="J24" s="203">
        <f t="shared" si="25"/>
        <v>133</v>
      </c>
      <c r="K24" s="203">
        <f t="shared" si="3"/>
        <v>2861.6451612903224</v>
      </c>
      <c r="L24" s="203">
        <f t="shared" si="26"/>
        <v>133</v>
      </c>
      <c r="M24" s="203">
        <f t="shared" si="4"/>
        <v>2861.6451612903224</v>
      </c>
      <c r="N24" s="203">
        <f t="shared" si="27"/>
        <v>133</v>
      </c>
      <c r="O24" s="203">
        <f t="shared" si="5"/>
        <v>2861.6451612903224</v>
      </c>
      <c r="P24" s="203">
        <f t="shared" si="28"/>
        <v>133</v>
      </c>
      <c r="Q24" s="203">
        <f t="shared" si="6"/>
        <v>2861.6451612903224</v>
      </c>
      <c r="R24" s="203">
        <f t="shared" si="29"/>
        <v>133</v>
      </c>
      <c r="S24" s="203">
        <f t="shared" si="7"/>
        <v>2861.6451612903224</v>
      </c>
      <c r="T24" s="203">
        <f t="shared" si="30"/>
        <v>133</v>
      </c>
      <c r="U24" s="203">
        <f t="shared" si="8"/>
        <v>2861.6451612903224</v>
      </c>
      <c r="V24" s="203">
        <f t="shared" si="31"/>
        <v>133</v>
      </c>
      <c r="W24" s="203">
        <f t="shared" si="9"/>
        <v>2861.6451612903224</v>
      </c>
      <c r="X24" s="35">
        <f t="shared" si="10"/>
        <v>0.42903225806451611</v>
      </c>
      <c r="Y24" s="36">
        <f t="shared" si="32"/>
        <v>31478.096774193546</v>
      </c>
      <c r="Z24" s="203">
        <f>'B5'!C23</f>
        <v>141</v>
      </c>
      <c r="AA24" s="203">
        <f t="shared" si="33"/>
        <v>1410</v>
      </c>
      <c r="AB24" s="203">
        <f t="shared" si="34"/>
        <v>141</v>
      </c>
      <c r="AC24" s="203">
        <f t="shared" si="33"/>
        <v>1410</v>
      </c>
      <c r="AD24" s="203">
        <f t="shared" si="35"/>
        <v>141</v>
      </c>
      <c r="AE24" s="203">
        <f t="shared" si="11"/>
        <v>1410</v>
      </c>
      <c r="AF24" s="203">
        <f t="shared" si="36"/>
        <v>141</v>
      </c>
      <c r="AG24" s="203">
        <f t="shared" si="12"/>
        <v>1410</v>
      </c>
      <c r="AH24" s="203">
        <f t="shared" si="37"/>
        <v>141</v>
      </c>
      <c r="AI24" s="203">
        <f t="shared" si="13"/>
        <v>1410</v>
      </c>
      <c r="AJ24" s="203">
        <f t="shared" si="38"/>
        <v>141</v>
      </c>
      <c r="AK24" s="203">
        <f t="shared" si="14"/>
        <v>1410</v>
      </c>
      <c r="AL24" s="203">
        <f t="shared" si="39"/>
        <v>141</v>
      </c>
      <c r="AM24" s="203">
        <f t="shared" si="15"/>
        <v>1410</v>
      </c>
      <c r="AN24" s="35">
        <f t="shared" si="16"/>
        <v>0.50357142857142856</v>
      </c>
      <c r="AO24" s="36">
        <f t="shared" si="17"/>
        <v>9870</v>
      </c>
      <c r="AQ24" s="223">
        <f t="shared" si="40"/>
        <v>0.44474665778416206</v>
      </c>
      <c r="AR24" s="38">
        <f t="shared" si="45"/>
        <v>41348.096774193546</v>
      </c>
      <c r="AS24" s="197">
        <f t="shared" si="46"/>
        <v>0</v>
      </c>
      <c r="AT24" s="351"/>
      <c r="AU24" s="619"/>
      <c r="AV24" s="508">
        <f t="shared" si="43"/>
        <v>1.82</v>
      </c>
      <c r="AW24" s="287">
        <f>-SUM('B5'!AI23)</f>
        <v>0</v>
      </c>
      <c r="AX24" s="287">
        <f t="shared" si="20"/>
        <v>0</v>
      </c>
      <c r="AY24" s="37">
        <f t="shared" si="41"/>
        <v>0</v>
      </c>
      <c r="AZ24" s="100">
        <f>ELEC!A22</f>
        <v>0</v>
      </c>
      <c r="BA24" s="118">
        <f>'General information '!D24</f>
        <v>0</v>
      </c>
      <c r="BB24" s="390">
        <f>SUM('General information '!E24)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 t="s">
        <v>323</v>
      </c>
    </row>
    <row r="25" spans="1:64">
      <c r="A25" s="439">
        <f>ELEC!C23</f>
        <v>44397</v>
      </c>
      <c r="B25">
        <f>'B5'!B24</f>
        <v>133</v>
      </c>
      <c r="C25" s="203">
        <f t="shared" si="21"/>
        <v>2861.6451612903224</v>
      </c>
      <c r="D25">
        <f t="shared" si="22"/>
        <v>133</v>
      </c>
      <c r="E25" s="203">
        <f t="shared" si="21"/>
        <v>2861.6451612903224</v>
      </c>
      <c r="F25">
        <f t="shared" si="23"/>
        <v>133</v>
      </c>
      <c r="G25" s="203">
        <f t="shared" si="1"/>
        <v>2861.6451612903224</v>
      </c>
      <c r="H25" s="203">
        <f t="shared" si="24"/>
        <v>133</v>
      </c>
      <c r="I25" s="203">
        <f t="shared" si="2"/>
        <v>2861.6451612903224</v>
      </c>
      <c r="J25" s="203">
        <f t="shared" si="25"/>
        <v>133</v>
      </c>
      <c r="K25" s="203">
        <f t="shared" si="3"/>
        <v>2861.6451612903224</v>
      </c>
      <c r="L25" s="203">
        <f t="shared" si="26"/>
        <v>133</v>
      </c>
      <c r="M25" s="203">
        <f t="shared" si="4"/>
        <v>2861.6451612903224</v>
      </c>
      <c r="N25" s="203">
        <f t="shared" si="27"/>
        <v>133</v>
      </c>
      <c r="O25" s="203">
        <f t="shared" si="5"/>
        <v>2861.6451612903224</v>
      </c>
      <c r="P25" s="203">
        <f t="shared" si="28"/>
        <v>133</v>
      </c>
      <c r="Q25" s="203">
        <f t="shared" si="6"/>
        <v>2861.6451612903224</v>
      </c>
      <c r="R25" s="203">
        <f t="shared" si="29"/>
        <v>133</v>
      </c>
      <c r="S25" s="203">
        <f t="shared" si="7"/>
        <v>2861.6451612903224</v>
      </c>
      <c r="T25" s="203">
        <f t="shared" si="30"/>
        <v>133</v>
      </c>
      <c r="U25" s="203">
        <f t="shared" si="8"/>
        <v>2861.6451612903224</v>
      </c>
      <c r="V25" s="203">
        <f t="shared" si="31"/>
        <v>133</v>
      </c>
      <c r="W25" s="203">
        <f t="shared" si="9"/>
        <v>2861.6451612903224</v>
      </c>
      <c r="X25" s="35">
        <f t="shared" si="10"/>
        <v>0.42903225806451611</v>
      </c>
      <c r="Y25" s="36">
        <f t="shared" si="32"/>
        <v>31478.096774193546</v>
      </c>
      <c r="Z25" s="203">
        <f>'B5'!C24</f>
        <v>141</v>
      </c>
      <c r="AA25" s="203">
        <f t="shared" si="33"/>
        <v>1410</v>
      </c>
      <c r="AB25" s="203">
        <f t="shared" si="34"/>
        <v>141</v>
      </c>
      <c r="AC25" s="203">
        <f t="shared" si="33"/>
        <v>1410</v>
      </c>
      <c r="AD25" s="203">
        <f t="shared" si="35"/>
        <v>141</v>
      </c>
      <c r="AE25" s="203">
        <f t="shared" si="11"/>
        <v>1410</v>
      </c>
      <c r="AF25" s="203">
        <f t="shared" si="36"/>
        <v>141</v>
      </c>
      <c r="AG25" s="203">
        <f t="shared" si="12"/>
        <v>1410</v>
      </c>
      <c r="AH25" s="203">
        <f t="shared" si="37"/>
        <v>141</v>
      </c>
      <c r="AI25" s="203">
        <f t="shared" si="13"/>
        <v>1410</v>
      </c>
      <c r="AJ25" s="203">
        <f t="shared" si="38"/>
        <v>141</v>
      </c>
      <c r="AK25" s="203">
        <f t="shared" si="14"/>
        <v>1410</v>
      </c>
      <c r="AL25" s="203">
        <f t="shared" si="39"/>
        <v>141</v>
      </c>
      <c r="AM25" s="203">
        <f t="shared" si="15"/>
        <v>1410</v>
      </c>
      <c r="AN25" s="35">
        <f t="shared" si="16"/>
        <v>0.50357142857142856</v>
      </c>
      <c r="AO25" s="36">
        <f t="shared" si="17"/>
        <v>9870</v>
      </c>
      <c r="AQ25" s="223">
        <f t="shared" si="40"/>
        <v>0.44474665778416206</v>
      </c>
      <c r="AR25" s="38">
        <f t="shared" si="45"/>
        <v>41348.096774193546</v>
      </c>
      <c r="AS25" s="197">
        <f t="shared" si="46"/>
        <v>0</v>
      </c>
      <c r="AT25" s="351"/>
      <c r="AU25" s="620"/>
      <c r="AV25" s="508">
        <f t="shared" si="43"/>
        <v>1.82</v>
      </c>
      <c r="AW25" s="287">
        <f>-SUM('B5'!AI24)</f>
        <v>0</v>
      </c>
      <c r="AX25" s="287">
        <f t="shared" si="20"/>
        <v>0</v>
      </c>
      <c r="AY25" s="37">
        <f t="shared" si="41"/>
        <v>0</v>
      </c>
      <c r="AZ25" s="100">
        <f>ELEC!A23</f>
        <v>0</v>
      </c>
      <c r="BA25" s="118">
        <f>'General information '!D25</f>
        <v>0</v>
      </c>
      <c r="BB25" s="390">
        <f>SUM('General information '!E25)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</row>
    <row r="26" spans="1:64">
      <c r="A26" s="439">
        <f>ELEC!C24</f>
        <v>44398</v>
      </c>
      <c r="B26">
        <f>'B5'!B25</f>
        <v>133</v>
      </c>
      <c r="C26" s="203">
        <f t="shared" si="21"/>
        <v>2861.6451612903224</v>
      </c>
      <c r="D26">
        <f t="shared" si="22"/>
        <v>133</v>
      </c>
      <c r="E26" s="203">
        <f t="shared" si="21"/>
        <v>2861.6451612903224</v>
      </c>
      <c r="F26">
        <f t="shared" si="23"/>
        <v>133</v>
      </c>
      <c r="G26" s="203">
        <f t="shared" si="1"/>
        <v>2861.6451612903224</v>
      </c>
      <c r="H26" s="203">
        <f t="shared" si="24"/>
        <v>133</v>
      </c>
      <c r="I26" s="203">
        <f t="shared" si="2"/>
        <v>2861.6451612903224</v>
      </c>
      <c r="J26" s="203">
        <f t="shared" si="25"/>
        <v>133</v>
      </c>
      <c r="K26" s="203">
        <f t="shared" si="3"/>
        <v>2861.6451612903224</v>
      </c>
      <c r="L26" s="203">
        <f t="shared" si="26"/>
        <v>133</v>
      </c>
      <c r="M26" s="203">
        <f t="shared" si="4"/>
        <v>2861.6451612903224</v>
      </c>
      <c r="N26" s="203">
        <f t="shared" si="27"/>
        <v>133</v>
      </c>
      <c r="O26" s="203">
        <f t="shared" si="5"/>
        <v>2861.6451612903224</v>
      </c>
      <c r="P26" s="203">
        <f t="shared" si="28"/>
        <v>133</v>
      </c>
      <c r="Q26" s="203">
        <f t="shared" si="6"/>
        <v>2861.6451612903224</v>
      </c>
      <c r="R26" s="203">
        <f t="shared" si="29"/>
        <v>133</v>
      </c>
      <c r="S26" s="203">
        <f t="shared" si="7"/>
        <v>2861.6451612903224</v>
      </c>
      <c r="T26" s="203">
        <f t="shared" si="30"/>
        <v>133</v>
      </c>
      <c r="U26" s="203">
        <f t="shared" si="8"/>
        <v>2861.6451612903224</v>
      </c>
      <c r="V26" s="203">
        <f t="shared" si="31"/>
        <v>133</v>
      </c>
      <c r="W26" s="203">
        <f t="shared" si="9"/>
        <v>2861.6451612903224</v>
      </c>
      <c r="X26" s="35">
        <f t="shared" si="10"/>
        <v>0.42903225806451611</v>
      </c>
      <c r="Y26" s="36">
        <f t="shared" si="32"/>
        <v>31478.096774193546</v>
      </c>
      <c r="Z26" s="203">
        <f>'B5'!C25</f>
        <v>141</v>
      </c>
      <c r="AA26" s="203">
        <f t="shared" si="33"/>
        <v>1410</v>
      </c>
      <c r="AB26" s="203">
        <f t="shared" si="34"/>
        <v>141</v>
      </c>
      <c r="AC26" s="203">
        <f t="shared" si="33"/>
        <v>1410</v>
      </c>
      <c r="AD26" s="203">
        <f t="shared" si="35"/>
        <v>141</v>
      </c>
      <c r="AE26" s="203">
        <f t="shared" si="11"/>
        <v>1410</v>
      </c>
      <c r="AF26" s="203">
        <f t="shared" si="36"/>
        <v>141</v>
      </c>
      <c r="AG26" s="203">
        <f t="shared" si="12"/>
        <v>1410</v>
      </c>
      <c r="AH26" s="203">
        <f t="shared" si="37"/>
        <v>141</v>
      </c>
      <c r="AI26" s="203">
        <f t="shared" si="13"/>
        <v>1410</v>
      </c>
      <c r="AJ26" s="203">
        <f t="shared" si="38"/>
        <v>141</v>
      </c>
      <c r="AK26" s="203">
        <f t="shared" si="14"/>
        <v>1410</v>
      </c>
      <c r="AL26" s="203">
        <f t="shared" si="39"/>
        <v>141</v>
      </c>
      <c r="AM26" s="203">
        <f t="shared" si="15"/>
        <v>1410</v>
      </c>
      <c r="AN26" s="35">
        <f t="shared" si="16"/>
        <v>0.50357142857142856</v>
      </c>
      <c r="AO26" s="36">
        <f t="shared" si="17"/>
        <v>9870</v>
      </c>
      <c r="AQ26" s="223">
        <f t="shared" si="40"/>
        <v>0.44474665778416206</v>
      </c>
      <c r="AR26" s="38">
        <f t="shared" si="45"/>
        <v>41348.096774193546</v>
      </c>
      <c r="AS26" s="197">
        <f t="shared" si="46"/>
        <v>0</v>
      </c>
      <c r="AT26" s="351"/>
      <c r="AU26" s="619"/>
      <c r="AV26" s="508">
        <f t="shared" si="43"/>
        <v>1.82</v>
      </c>
      <c r="AW26" s="287">
        <f>-SUM('B5'!AI25)</f>
        <v>0</v>
      </c>
      <c r="AX26" s="287">
        <f t="shared" si="20"/>
        <v>0</v>
      </c>
      <c r="AY26" s="37">
        <f t="shared" si="41"/>
        <v>0</v>
      </c>
      <c r="AZ26" s="100">
        <f>ELEC!A24</f>
        <v>0</v>
      </c>
      <c r="BA26" s="118">
        <f>'General information '!D26</f>
        <v>0</v>
      </c>
      <c r="BB26" s="390">
        <f>SUM('General information '!E26)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</row>
    <row r="27" spans="1:64">
      <c r="A27" s="439">
        <f>ELEC!C25</f>
        <v>44399</v>
      </c>
      <c r="B27">
        <f>'B5'!B26</f>
        <v>133</v>
      </c>
      <c r="C27" s="203">
        <f t="shared" si="21"/>
        <v>2861.6451612903224</v>
      </c>
      <c r="D27">
        <f t="shared" si="22"/>
        <v>133</v>
      </c>
      <c r="E27" s="203">
        <f t="shared" si="21"/>
        <v>2861.6451612903224</v>
      </c>
      <c r="F27">
        <f t="shared" si="23"/>
        <v>133</v>
      </c>
      <c r="G27" s="203">
        <f t="shared" si="1"/>
        <v>2861.6451612903224</v>
      </c>
      <c r="H27" s="203">
        <f t="shared" si="24"/>
        <v>133</v>
      </c>
      <c r="I27" s="203">
        <f t="shared" si="2"/>
        <v>2861.6451612903224</v>
      </c>
      <c r="J27" s="203">
        <f t="shared" si="25"/>
        <v>133</v>
      </c>
      <c r="K27" s="203">
        <f t="shared" si="3"/>
        <v>2861.6451612903224</v>
      </c>
      <c r="L27" s="203">
        <f t="shared" si="26"/>
        <v>133</v>
      </c>
      <c r="M27" s="203">
        <f t="shared" si="4"/>
        <v>2861.6451612903224</v>
      </c>
      <c r="N27" s="203">
        <f t="shared" si="27"/>
        <v>133</v>
      </c>
      <c r="O27" s="203">
        <f t="shared" si="5"/>
        <v>2861.6451612903224</v>
      </c>
      <c r="P27" s="203">
        <f t="shared" si="28"/>
        <v>133</v>
      </c>
      <c r="Q27" s="203">
        <f t="shared" si="6"/>
        <v>2861.6451612903224</v>
      </c>
      <c r="R27" s="203">
        <f t="shared" si="29"/>
        <v>133</v>
      </c>
      <c r="S27" s="203">
        <f t="shared" si="7"/>
        <v>2861.6451612903224</v>
      </c>
      <c r="T27" s="203">
        <f t="shared" si="30"/>
        <v>133</v>
      </c>
      <c r="U27" s="203">
        <f t="shared" si="8"/>
        <v>2861.6451612903224</v>
      </c>
      <c r="V27" s="203">
        <f t="shared" si="31"/>
        <v>133</v>
      </c>
      <c r="W27" s="203">
        <f t="shared" si="9"/>
        <v>2861.6451612903224</v>
      </c>
      <c r="X27" s="35">
        <f t="shared" si="10"/>
        <v>0.42903225806451611</v>
      </c>
      <c r="Y27" s="36">
        <f t="shared" si="32"/>
        <v>31478.096774193546</v>
      </c>
      <c r="Z27" s="203">
        <f>'B5'!C26</f>
        <v>141</v>
      </c>
      <c r="AA27" s="203">
        <f t="shared" si="33"/>
        <v>1410</v>
      </c>
      <c r="AB27" s="203">
        <f t="shared" si="34"/>
        <v>141</v>
      </c>
      <c r="AC27" s="203">
        <f t="shared" si="33"/>
        <v>1410</v>
      </c>
      <c r="AD27" s="203">
        <f t="shared" si="35"/>
        <v>141</v>
      </c>
      <c r="AE27" s="203">
        <f t="shared" si="11"/>
        <v>1410</v>
      </c>
      <c r="AF27" s="203">
        <f t="shared" si="36"/>
        <v>141</v>
      </c>
      <c r="AG27" s="203">
        <f t="shared" si="12"/>
        <v>1410</v>
      </c>
      <c r="AH27" s="203">
        <f t="shared" si="37"/>
        <v>141</v>
      </c>
      <c r="AI27" s="203">
        <f t="shared" si="13"/>
        <v>1410</v>
      </c>
      <c r="AJ27" s="203">
        <f t="shared" si="38"/>
        <v>141</v>
      </c>
      <c r="AK27" s="203">
        <f t="shared" si="14"/>
        <v>1410</v>
      </c>
      <c r="AL27" s="203">
        <f t="shared" si="39"/>
        <v>141</v>
      </c>
      <c r="AM27" s="203">
        <f t="shared" si="15"/>
        <v>1410</v>
      </c>
      <c r="AN27" s="35">
        <f t="shared" si="16"/>
        <v>0.50357142857142856</v>
      </c>
      <c r="AO27" s="36">
        <f t="shared" si="17"/>
        <v>9870</v>
      </c>
      <c r="AQ27" s="223">
        <f t="shared" si="40"/>
        <v>0.44474665778416206</v>
      </c>
      <c r="AR27" s="38">
        <f t="shared" si="45"/>
        <v>41348.096774193546</v>
      </c>
      <c r="AS27" s="197">
        <f t="shared" si="46"/>
        <v>0</v>
      </c>
      <c r="AT27" s="351"/>
      <c r="AU27" s="619"/>
      <c r="AV27" s="508">
        <f t="shared" si="43"/>
        <v>1.82</v>
      </c>
      <c r="AW27" s="287">
        <f>-SUM('B5'!AI26)</f>
        <v>0</v>
      </c>
      <c r="AX27" s="287">
        <f t="shared" si="20"/>
        <v>0</v>
      </c>
      <c r="AY27" s="37">
        <f t="shared" si="41"/>
        <v>0</v>
      </c>
      <c r="AZ27" s="100">
        <f>ELEC!A25</f>
        <v>0</v>
      </c>
      <c r="BA27" s="118">
        <f>'General information '!D27</f>
        <v>0</v>
      </c>
      <c r="BB27" s="390">
        <f>SUM('General information '!E27)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</row>
    <row r="28" spans="1:64">
      <c r="A28" s="439">
        <f>ELEC!C26</f>
        <v>44400</v>
      </c>
      <c r="B28">
        <f>'B5'!B27</f>
        <v>133</v>
      </c>
      <c r="C28" s="203">
        <f t="shared" si="21"/>
        <v>2861.6451612903224</v>
      </c>
      <c r="D28">
        <f t="shared" si="22"/>
        <v>133</v>
      </c>
      <c r="E28" s="203">
        <f t="shared" si="21"/>
        <v>2861.6451612903224</v>
      </c>
      <c r="F28">
        <f t="shared" si="23"/>
        <v>133</v>
      </c>
      <c r="G28" s="203">
        <f t="shared" si="1"/>
        <v>2861.6451612903224</v>
      </c>
      <c r="H28" s="203">
        <f t="shared" si="24"/>
        <v>133</v>
      </c>
      <c r="I28" s="203">
        <f t="shared" si="2"/>
        <v>2861.6451612903224</v>
      </c>
      <c r="J28" s="203">
        <f t="shared" si="25"/>
        <v>133</v>
      </c>
      <c r="K28" s="203">
        <f t="shared" si="3"/>
        <v>2861.6451612903224</v>
      </c>
      <c r="L28" s="203">
        <f t="shared" si="26"/>
        <v>133</v>
      </c>
      <c r="M28" s="203">
        <f t="shared" si="4"/>
        <v>2861.6451612903224</v>
      </c>
      <c r="N28" s="203">
        <f t="shared" si="27"/>
        <v>133</v>
      </c>
      <c r="O28" s="203">
        <f t="shared" si="5"/>
        <v>2861.6451612903224</v>
      </c>
      <c r="P28" s="203">
        <f t="shared" si="28"/>
        <v>133</v>
      </c>
      <c r="Q28" s="203">
        <f t="shared" si="6"/>
        <v>2861.6451612903224</v>
      </c>
      <c r="R28" s="203">
        <f t="shared" si="29"/>
        <v>133</v>
      </c>
      <c r="S28" s="203">
        <f t="shared" si="7"/>
        <v>2861.6451612903224</v>
      </c>
      <c r="T28" s="203">
        <f t="shared" si="30"/>
        <v>133</v>
      </c>
      <c r="U28" s="203">
        <f t="shared" si="8"/>
        <v>2861.6451612903224</v>
      </c>
      <c r="V28" s="203">
        <f t="shared" si="31"/>
        <v>133</v>
      </c>
      <c r="W28" s="203">
        <f t="shared" si="9"/>
        <v>2861.6451612903224</v>
      </c>
      <c r="X28" s="35">
        <f t="shared" si="10"/>
        <v>0.42903225806451611</v>
      </c>
      <c r="Y28" s="36">
        <f t="shared" si="32"/>
        <v>31478.096774193546</v>
      </c>
      <c r="Z28" s="203">
        <f>'B5'!C27</f>
        <v>141</v>
      </c>
      <c r="AA28" s="203">
        <f t="shared" si="33"/>
        <v>1410</v>
      </c>
      <c r="AB28" s="203">
        <f t="shared" si="34"/>
        <v>141</v>
      </c>
      <c r="AC28" s="203">
        <f t="shared" si="33"/>
        <v>1410</v>
      </c>
      <c r="AD28" s="203">
        <f t="shared" si="35"/>
        <v>141</v>
      </c>
      <c r="AE28" s="203">
        <f t="shared" si="11"/>
        <v>1410</v>
      </c>
      <c r="AF28" s="203">
        <f t="shared" si="36"/>
        <v>141</v>
      </c>
      <c r="AG28" s="203">
        <f t="shared" si="12"/>
        <v>1410</v>
      </c>
      <c r="AH28" s="203">
        <f t="shared" si="37"/>
        <v>141</v>
      </c>
      <c r="AI28" s="203">
        <f t="shared" si="13"/>
        <v>1410</v>
      </c>
      <c r="AJ28" s="203">
        <f t="shared" si="38"/>
        <v>141</v>
      </c>
      <c r="AK28" s="203">
        <f t="shared" si="14"/>
        <v>1410</v>
      </c>
      <c r="AL28" s="203">
        <f t="shared" si="39"/>
        <v>141</v>
      </c>
      <c r="AM28" s="203">
        <f t="shared" si="15"/>
        <v>1410</v>
      </c>
      <c r="AN28" s="35">
        <f t="shared" si="16"/>
        <v>0.50357142857142856</v>
      </c>
      <c r="AO28" s="36">
        <f t="shared" si="17"/>
        <v>9870</v>
      </c>
      <c r="AQ28" s="223">
        <f t="shared" si="40"/>
        <v>0.44474665778416206</v>
      </c>
      <c r="AR28" s="38">
        <f t="shared" si="45"/>
        <v>41348.096774193546</v>
      </c>
      <c r="AS28" s="197">
        <f t="shared" si="46"/>
        <v>0</v>
      </c>
      <c r="AT28" s="351"/>
      <c r="AU28" s="620"/>
      <c r="AV28" s="508">
        <f t="shared" si="43"/>
        <v>1.82</v>
      </c>
      <c r="AW28" s="287">
        <f>-SUM('B5'!AI27)</f>
        <v>0</v>
      </c>
      <c r="AX28" s="287">
        <f t="shared" si="20"/>
        <v>0</v>
      </c>
      <c r="AY28" s="37">
        <f t="shared" si="41"/>
        <v>0</v>
      </c>
      <c r="AZ28" s="100">
        <f>ELEC!A26</f>
        <v>0</v>
      </c>
      <c r="BA28" s="118">
        <f>'General information '!D28</f>
        <v>0</v>
      </c>
      <c r="BB28" s="390">
        <f>SUM('General information '!E28)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</row>
    <row r="29" spans="1:64">
      <c r="A29" s="439">
        <f>ELEC!C27</f>
        <v>44401</v>
      </c>
      <c r="B29">
        <f>'B5'!B28</f>
        <v>133</v>
      </c>
      <c r="C29" s="203">
        <f t="shared" si="21"/>
        <v>2861.6451612903224</v>
      </c>
      <c r="D29">
        <f t="shared" si="22"/>
        <v>133</v>
      </c>
      <c r="E29" s="203">
        <f t="shared" si="21"/>
        <v>2861.6451612903224</v>
      </c>
      <c r="F29">
        <f t="shared" si="23"/>
        <v>133</v>
      </c>
      <c r="G29" s="203">
        <f t="shared" si="1"/>
        <v>2861.6451612903224</v>
      </c>
      <c r="H29" s="203">
        <f t="shared" si="24"/>
        <v>133</v>
      </c>
      <c r="I29" s="203">
        <f t="shared" si="2"/>
        <v>2861.6451612903224</v>
      </c>
      <c r="J29" s="203">
        <f t="shared" si="25"/>
        <v>133</v>
      </c>
      <c r="K29" s="203">
        <f t="shared" si="3"/>
        <v>2861.6451612903224</v>
      </c>
      <c r="L29" s="203">
        <f t="shared" si="26"/>
        <v>133</v>
      </c>
      <c r="M29" s="203">
        <f t="shared" si="4"/>
        <v>2861.6451612903224</v>
      </c>
      <c r="N29" s="203">
        <f t="shared" si="27"/>
        <v>133</v>
      </c>
      <c r="O29" s="203">
        <f t="shared" si="5"/>
        <v>2861.6451612903224</v>
      </c>
      <c r="P29" s="203">
        <f t="shared" si="28"/>
        <v>133</v>
      </c>
      <c r="Q29" s="203">
        <f t="shared" si="6"/>
        <v>2861.6451612903224</v>
      </c>
      <c r="R29" s="203">
        <f t="shared" si="29"/>
        <v>133</v>
      </c>
      <c r="S29" s="203">
        <f t="shared" si="7"/>
        <v>2861.6451612903224</v>
      </c>
      <c r="T29" s="203">
        <f t="shared" si="30"/>
        <v>133</v>
      </c>
      <c r="U29" s="203">
        <f t="shared" si="8"/>
        <v>2861.6451612903224</v>
      </c>
      <c r="V29" s="203">
        <f t="shared" si="31"/>
        <v>133</v>
      </c>
      <c r="W29" s="203">
        <f t="shared" si="9"/>
        <v>2861.6451612903224</v>
      </c>
      <c r="X29" s="35">
        <f t="shared" si="10"/>
        <v>0.42903225806451611</v>
      </c>
      <c r="Y29" s="36">
        <f t="shared" si="32"/>
        <v>31478.096774193546</v>
      </c>
      <c r="Z29" s="203">
        <f>'B5'!C28</f>
        <v>141</v>
      </c>
      <c r="AA29" s="203">
        <f t="shared" si="33"/>
        <v>1410</v>
      </c>
      <c r="AB29" s="203">
        <f t="shared" si="34"/>
        <v>141</v>
      </c>
      <c r="AC29" s="203">
        <f t="shared" si="33"/>
        <v>1410</v>
      </c>
      <c r="AD29" s="203">
        <f t="shared" si="35"/>
        <v>141</v>
      </c>
      <c r="AE29" s="203">
        <f t="shared" si="11"/>
        <v>1410</v>
      </c>
      <c r="AF29" s="203">
        <f t="shared" si="36"/>
        <v>141</v>
      </c>
      <c r="AG29" s="203">
        <f t="shared" si="12"/>
        <v>1410</v>
      </c>
      <c r="AH29" s="203">
        <f t="shared" si="37"/>
        <v>141</v>
      </c>
      <c r="AI29" s="203">
        <f t="shared" si="13"/>
        <v>1410</v>
      </c>
      <c r="AJ29" s="203">
        <f t="shared" si="38"/>
        <v>141</v>
      </c>
      <c r="AK29" s="203">
        <f t="shared" si="14"/>
        <v>1410</v>
      </c>
      <c r="AL29" s="203">
        <f t="shared" si="39"/>
        <v>141</v>
      </c>
      <c r="AM29" s="203">
        <f t="shared" si="15"/>
        <v>1410</v>
      </c>
      <c r="AN29" s="35">
        <f t="shared" si="16"/>
        <v>0.50357142857142856</v>
      </c>
      <c r="AO29" s="36">
        <f t="shared" si="17"/>
        <v>9870</v>
      </c>
      <c r="AQ29" s="223">
        <f t="shared" si="40"/>
        <v>0.44474665778416206</v>
      </c>
      <c r="AR29" s="38">
        <f t="shared" si="45"/>
        <v>41348.096774193546</v>
      </c>
      <c r="AS29" s="197">
        <f t="shared" si="46"/>
        <v>0</v>
      </c>
      <c r="AT29" s="351"/>
      <c r="AU29" s="620"/>
      <c r="AV29" s="508">
        <f t="shared" si="43"/>
        <v>1.82</v>
      </c>
      <c r="AW29" s="287">
        <f>-SUM('B5'!AI28)</f>
        <v>0</v>
      </c>
      <c r="AX29" s="287">
        <f t="shared" si="20"/>
        <v>0</v>
      </c>
      <c r="AY29" s="37">
        <f t="shared" si="41"/>
        <v>0</v>
      </c>
      <c r="AZ29" s="100">
        <f>ELEC!A27</f>
        <v>0</v>
      </c>
      <c r="BA29" s="118">
        <f>'General information '!D29</f>
        <v>0</v>
      </c>
      <c r="BB29" s="390">
        <f>SUM('General information '!E29)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</row>
    <row r="30" spans="1:64">
      <c r="A30" s="439">
        <f>ELEC!C28</f>
        <v>44402</v>
      </c>
      <c r="B30">
        <f>'B5'!B29</f>
        <v>133</v>
      </c>
      <c r="C30" s="203">
        <f t="shared" si="21"/>
        <v>2861.6451612903224</v>
      </c>
      <c r="D30">
        <f t="shared" ref="D30:D35" si="47">SUM(B30)</f>
        <v>133</v>
      </c>
      <c r="E30" s="203">
        <f t="shared" si="21"/>
        <v>2861.6451612903224</v>
      </c>
      <c r="F30">
        <f t="shared" ref="F30:F35" si="48">SUM(D30)</f>
        <v>133</v>
      </c>
      <c r="G30" s="203">
        <f t="shared" si="1"/>
        <v>2861.6451612903224</v>
      </c>
      <c r="H30" s="203">
        <f t="shared" ref="H30:H35" si="49">SUM(F30)</f>
        <v>133</v>
      </c>
      <c r="I30" s="203">
        <f t="shared" si="2"/>
        <v>2861.6451612903224</v>
      </c>
      <c r="J30" s="203">
        <f t="shared" ref="J30:J35" si="50">SUM(H30)</f>
        <v>133</v>
      </c>
      <c r="K30" s="203">
        <f t="shared" si="3"/>
        <v>2861.6451612903224</v>
      </c>
      <c r="L30" s="203">
        <f t="shared" ref="L30:L35" si="51">SUM(J30)</f>
        <v>133</v>
      </c>
      <c r="M30" s="203">
        <f t="shared" si="4"/>
        <v>2861.6451612903224</v>
      </c>
      <c r="N30" s="203">
        <f t="shared" ref="N30:N35" si="52">SUM(L30)</f>
        <v>133</v>
      </c>
      <c r="O30" s="203">
        <f t="shared" si="5"/>
        <v>2861.6451612903224</v>
      </c>
      <c r="P30" s="203">
        <f t="shared" ref="P30:P35" si="53">SUM(N30)</f>
        <v>133</v>
      </c>
      <c r="Q30" s="203">
        <f t="shared" si="6"/>
        <v>2861.6451612903224</v>
      </c>
      <c r="R30" s="203">
        <f t="shared" ref="R30:R35" si="54">SUM(P30)</f>
        <v>133</v>
      </c>
      <c r="S30" s="203">
        <f t="shared" si="7"/>
        <v>2861.6451612903224</v>
      </c>
      <c r="T30" s="203">
        <f t="shared" ref="T30:T35" si="55">SUM(R30)</f>
        <v>133</v>
      </c>
      <c r="U30" s="203">
        <f t="shared" si="8"/>
        <v>2861.6451612903224</v>
      </c>
      <c r="V30" s="203">
        <f t="shared" ref="V30:V35" si="56">SUM(T30)</f>
        <v>133</v>
      </c>
      <c r="W30" s="203">
        <f t="shared" si="9"/>
        <v>2861.6451612903224</v>
      </c>
      <c r="X30" s="35">
        <f t="shared" ref="X30:X35" si="57">SUM(Y30/73370)</f>
        <v>0.42903225806451611</v>
      </c>
      <c r="Y30" s="36">
        <f t="shared" ref="Y30:Y35" si="58">SUM(C30+E30+G30+I30+K30+M30+O30+Q30+S30+U30+W30)</f>
        <v>31478.096774193546</v>
      </c>
      <c r="Z30" s="203">
        <f>'B5'!C29</f>
        <v>141</v>
      </c>
      <c r="AA30" s="203">
        <f t="shared" si="33"/>
        <v>1410</v>
      </c>
      <c r="AB30" s="203">
        <f t="shared" ref="AB30:AB35" si="59">SUM(Z30)</f>
        <v>141</v>
      </c>
      <c r="AC30" s="203">
        <f t="shared" si="33"/>
        <v>1410</v>
      </c>
      <c r="AD30" s="203">
        <f t="shared" ref="AD30:AD35" si="60">SUM(AB30)</f>
        <v>141</v>
      </c>
      <c r="AE30" s="203">
        <f t="shared" si="11"/>
        <v>1410</v>
      </c>
      <c r="AF30" s="203">
        <f t="shared" ref="AF30:AF35" si="61">SUM(AD30)</f>
        <v>141</v>
      </c>
      <c r="AG30" s="203">
        <f t="shared" si="12"/>
        <v>1410</v>
      </c>
      <c r="AH30" s="203">
        <f t="shared" ref="AH30:AH35" si="62">SUM(AF30)</f>
        <v>141</v>
      </c>
      <c r="AI30" s="203">
        <f t="shared" si="13"/>
        <v>1410</v>
      </c>
      <c r="AJ30" s="203">
        <f t="shared" ref="AJ30:AJ35" si="63">SUM(AH30)</f>
        <v>141</v>
      </c>
      <c r="AK30" s="203">
        <f t="shared" si="14"/>
        <v>1410</v>
      </c>
      <c r="AL30" s="203">
        <f t="shared" ref="AL30:AL35" si="64">SUM(AJ30)</f>
        <v>141</v>
      </c>
      <c r="AM30" s="203">
        <f t="shared" si="15"/>
        <v>1410</v>
      </c>
      <c r="AN30" s="35">
        <f t="shared" ref="AN30:AN35" si="65">SUM(AO30/19600)</f>
        <v>0.50357142857142856</v>
      </c>
      <c r="AO30" s="36">
        <f t="shared" ref="AO30:AO35" si="66">SUM(AA30+AC30+AE30+AG30+AI30+AK30+AM30)</f>
        <v>9870</v>
      </c>
      <c r="AQ30" s="223">
        <f t="shared" si="40"/>
        <v>0.44474665778416206</v>
      </c>
      <c r="AR30" s="38">
        <f t="shared" si="45"/>
        <v>41348.096774193546</v>
      </c>
      <c r="AS30" s="197">
        <f t="shared" si="46"/>
        <v>0</v>
      </c>
      <c r="AT30" s="351"/>
      <c r="AU30" s="619"/>
      <c r="AV30" s="508">
        <f t="shared" si="43"/>
        <v>1.82</v>
      </c>
      <c r="AW30" s="287">
        <f>-SUM('B5'!AI29)</f>
        <v>0</v>
      </c>
      <c r="AX30" s="287">
        <f t="shared" si="20"/>
        <v>0</v>
      </c>
      <c r="AY30" s="37">
        <f t="shared" si="41"/>
        <v>0</v>
      </c>
      <c r="AZ30" s="100">
        <f>ELEC!A28</f>
        <v>0</v>
      </c>
      <c r="BA30" s="118">
        <f>'General information '!D30</f>
        <v>0</v>
      </c>
      <c r="BB30" s="390">
        <f>SUM('General information '!E30)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</row>
    <row r="31" spans="1:64">
      <c r="A31" s="439">
        <f>ELEC!C29</f>
        <v>44403</v>
      </c>
      <c r="B31">
        <f>'B5'!B30</f>
        <v>133</v>
      </c>
      <c r="C31" s="203">
        <f t="shared" si="21"/>
        <v>2861.6451612903224</v>
      </c>
      <c r="D31">
        <f t="shared" si="47"/>
        <v>133</v>
      </c>
      <c r="E31" s="203">
        <f t="shared" si="21"/>
        <v>2861.6451612903224</v>
      </c>
      <c r="F31">
        <f t="shared" si="48"/>
        <v>133</v>
      </c>
      <c r="G31" s="203">
        <f t="shared" si="1"/>
        <v>2861.6451612903224</v>
      </c>
      <c r="H31" s="203">
        <f t="shared" si="49"/>
        <v>133</v>
      </c>
      <c r="I31" s="203">
        <f t="shared" si="2"/>
        <v>2861.6451612903224</v>
      </c>
      <c r="J31" s="203">
        <f t="shared" si="50"/>
        <v>133</v>
      </c>
      <c r="K31" s="203">
        <f t="shared" si="3"/>
        <v>2861.6451612903224</v>
      </c>
      <c r="L31" s="203">
        <f t="shared" si="51"/>
        <v>133</v>
      </c>
      <c r="M31" s="203">
        <f t="shared" si="4"/>
        <v>2861.6451612903224</v>
      </c>
      <c r="N31" s="203">
        <f t="shared" si="52"/>
        <v>133</v>
      </c>
      <c r="O31" s="203">
        <f t="shared" si="5"/>
        <v>2861.6451612903224</v>
      </c>
      <c r="P31" s="203">
        <f t="shared" si="53"/>
        <v>133</v>
      </c>
      <c r="Q31" s="203">
        <f t="shared" si="6"/>
        <v>2861.6451612903224</v>
      </c>
      <c r="R31" s="203">
        <f t="shared" si="54"/>
        <v>133</v>
      </c>
      <c r="S31" s="203">
        <f t="shared" si="7"/>
        <v>2861.6451612903224</v>
      </c>
      <c r="T31" s="203">
        <f t="shared" si="55"/>
        <v>133</v>
      </c>
      <c r="U31" s="203">
        <f t="shared" si="8"/>
        <v>2861.6451612903224</v>
      </c>
      <c r="V31" s="203">
        <f t="shared" si="56"/>
        <v>133</v>
      </c>
      <c r="W31" s="203">
        <f t="shared" si="9"/>
        <v>2861.6451612903224</v>
      </c>
      <c r="X31" s="35">
        <f t="shared" si="57"/>
        <v>0.42903225806451611</v>
      </c>
      <c r="Y31" s="36">
        <f t="shared" si="58"/>
        <v>31478.096774193546</v>
      </c>
      <c r="Z31" s="203">
        <f>'B5'!C30</f>
        <v>141</v>
      </c>
      <c r="AA31" s="203">
        <f t="shared" si="33"/>
        <v>1410</v>
      </c>
      <c r="AB31" s="203">
        <f t="shared" si="59"/>
        <v>141</v>
      </c>
      <c r="AC31" s="203">
        <f t="shared" si="33"/>
        <v>1410</v>
      </c>
      <c r="AD31" s="203">
        <f t="shared" si="60"/>
        <v>141</v>
      </c>
      <c r="AE31" s="203">
        <f t="shared" si="11"/>
        <v>1410</v>
      </c>
      <c r="AF31" s="203">
        <f t="shared" si="61"/>
        <v>141</v>
      </c>
      <c r="AG31" s="203">
        <f t="shared" si="12"/>
        <v>1410</v>
      </c>
      <c r="AH31" s="203">
        <f t="shared" si="62"/>
        <v>141</v>
      </c>
      <c r="AI31" s="203">
        <f t="shared" si="13"/>
        <v>1410</v>
      </c>
      <c r="AJ31" s="203">
        <f t="shared" si="63"/>
        <v>141</v>
      </c>
      <c r="AK31" s="203">
        <f t="shared" si="14"/>
        <v>1410</v>
      </c>
      <c r="AL31" s="203">
        <f t="shared" si="64"/>
        <v>141</v>
      </c>
      <c r="AM31" s="203">
        <f t="shared" si="15"/>
        <v>1410</v>
      </c>
      <c r="AN31" s="35">
        <f t="shared" si="65"/>
        <v>0.50357142857142856</v>
      </c>
      <c r="AO31" s="36">
        <f t="shared" si="66"/>
        <v>9870</v>
      </c>
      <c r="AQ31" s="223">
        <f t="shared" si="40"/>
        <v>0.44474665778416206</v>
      </c>
      <c r="AR31" s="38">
        <f t="shared" si="45"/>
        <v>41348.096774193546</v>
      </c>
      <c r="AS31" s="197">
        <f t="shared" si="46"/>
        <v>0</v>
      </c>
      <c r="AT31" s="351"/>
      <c r="AU31" s="619"/>
      <c r="AV31" s="508">
        <f t="shared" si="43"/>
        <v>1.82</v>
      </c>
      <c r="AW31" s="287">
        <f>-SUM('B5'!AI30)</f>
        <v>0</v>
      </c>
      <c r="AX31" s="287">
        <f t="shared" si="20"/>
        <v>0</v>
      </c>
      <c r="AY31" s="37">
        <f t="shared" si="41"/>
        <v>0</v>
      </c>
      <c r="AZ31" s="100">
        <f>ELEC!A29</f>
        <v>0</v>
      </c>
      <c r="BA31" s="118">
        <f>'General information '!D31</f>
        <v>0</v>
      </c>
      <c r="BB31" s="390">
        <f>SUM('General information '!E31)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</row>
    <row r="32" spans="1:64">
      <c r="A32" s="439">
        <f>ELEC!C30</f>
        <v>44404</v>
      </c>
      <c r="B32">
        <f>'B5'!B31</f>
        <v>133</v>
      </c>
      <c r="C32" s="203">
        <f t="shared" si="21"/>
        <v>2861.6451612903224</v>
      </c>
      <c r="D32">
        <f t="shared" si="47"/>
        <v>133</v>
      </c>
      <c r="E32" s="203">
        <f t="shared" si="21"/>
        <v>2861.6451612903224</v>
      </c>
      <c r="F32">
        <f t="shared" si="48"/>
        <v>133</v>
      </c>
      <c r="G32" s="203">
        <f t="shared" si="1"/>
        <v>2861.6451612903224</v>
      </c>
      <c r="H32" s="203">
        <f t="shared" si="49"/>
        <v>133</v>
      </c>
      <c r="I32" s="203">
        <f t="shared" si="2"/>
        <v>2861.6451612903224</v>
      </c>
      <c r="J32" s="203">
        <f t="shared" si="50"/>
        <v>133</v>
      </c>
      <c r="K32" s="203">
        <f t="shared" si="3"/>
        <v>2861.6451612903224</v>
      </c>
      <c r="L32" s="203">
        <f t="shared" si="51"/>
        <v>133</v>
      </c>
      <c r="M32" s="203">
        <f t="shared" si="4"/>
        <v>2861.6451612903224</v>
      </c>
      <c r="N32" s="203">
        <f t="shared" si="52"/>
        <v>133</v>
      </c>
      <c r="O32" s="203">
        <f t="shared" si="5"/>
        <v>2861.6451612903224</v>
      </c>
      <c r="P32" s="203">
        <f t="shared" si="53"/>
        <v>133</v>
      </c>
      <c r="Q32" s="203">
        <f t="shared" si="6"/>
        <v>2861.6451612903224</v>
      </c>
      <c r="R32" s="203">
        <f t="shared" si="54"/>
        <v>133</v>
      </c>
      <c r="S32" s="203">
        <f t="shared" si="7"/>
        <v>2861.6451612903224</v>
      </c>
      <c r="T32" s="203">
        <f t="shared" si="55"/>
        <v>133</v>
      </c>
      <c r="U32" s="203">
        <f t="shared" si="8"/>
        <v>2861.6451612903224</v>
      </c>
      <c r="V32" s="203">
        <f t="shared" si="56"/>
        <v>133</v>
      </c>
      <c r="W32" s="203">
        <f t="shared" si="9"/>
        <v>2861.6451612903224</v>
      </c>
      <c r="X32" s="35">
        <f t="shared" si="57"/>
        <v>0.42903225806451611</v>
      </c>
      <c r="Y32" s="36">
        <f t="shared" si="58"/>
        <v>31478.096774193546</v>
      </c>
      <c r="Z32" s="203">
        <f>'B5'!C31</f>
        <v>141</v>
      </c>
      <c r="AA32" s="203">
        <f t="shared" si="33"/>
        <v>1410</v>
      </c>
      <c r="AB32" s="203">
        <f t="shared" si="59"/>
        <v>141</v>
      </c>
      <c r="AC32" s="203">
        <f t="shared" si="33"/>
        <v>1410</v>
      </c>
      <c r="AD32" s="203">
        <f t="shared" si="60"/>
        <v>141</v>
      </c>
      <c r="AE32" s="203">
        <f t="shared" si="11"/>
        <v>1410</v>
      </c>
      <c r="AF32" s="203">
        <f t="shared" si="61"/>
        <v>141</v>
      </c>
      <c r="AG32" s="203">
        <f t="shared" si="12"/>
        <v>1410</v>
      </c>
      <c r="AH32" s="203">
        <f t="shared" si="62"/>
        <v>141</v>
      </c>
      <c r="AI32" s="203">
        <f t="shared" si="13"/>
        <v>1410</v>
      </c>
      <c r="AJ32" s="203">
        <f t="shared" si="63"/>
        <v>141</v>
      </c>
      <c r="AK32" s="203">
        <f t="shared" si="14"/>
        <v>1410</v>
      </c>
      <c r="AL32" s="203">
        <f t="shared" si="64"/>
        <v>141</v>
      </c>
      <c r="AM32" s="203">
        <f t="shared" si="15"/>
        <v>1410</v>
      </c>
      <c r="AN32" s="35">
        <f t="shared" si="65"/>
        <v>0.50357142857142856</v>
      </c>
      <c r="AO32" s="36">
        <f t="shared" si="66"/>
        <v>9870</v>
      </c>
      <c r="AQ32" s="223">
        <f t="shared" si="40"/>
        <v>0.44474665778416206</v>
      </c>
      <c r="AR32" s="38">
        <f t="shared" si="45"/>
        <v>41348.096774193546</v>
      </c>
      <c r="AS32" s="197">
        <f t="shared" si="46"/>
        <v>0</v>
      </c>
      <c r="AT32" s="351"/>
      <c r="AU32" s="619"/>
      <c r="AV32" s="508">
        <f>IF(AT32&gt;0,AU32,AV31)</f>
        <v>1.82</v>
      </c>
      <c r="AW32" s="287">
        <f>-SUM('B5'!AI31)</f>
        <v>0</v>
      </c>
      <c r="AX32" s="287">
        <f t="shared" si="20"/>
        <v>0</v>
      </c>
      <c r="AY32" s="37">
        <f t="shared" si="41"/>
        <v>0</v>
      </c>
      <c r="AZ32" s="100">
        <f>ELEC!A30</f>
        <v>0</v>
      </c>
      <c r="BA32" s="118">
        <f>'General information '!D32</f>
        <v>0</v>
      </c>
      <c r="BB32" s="390">
        <f>SUM('General information '!E32)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</row>
    <row r="33" spans="1:60">
      <c r="A33" s="439">
        <f>ELEC!C31</f>
        <v>44405</v>
      </c>
      <c r="B33">
        <f>'B5'!B32</f>
        <v>133</v>
      </c>
      <c r="C33" s="203">
        <f t="shared" si="21"/>
        <v>2861.6451612903224</v>
      </c>
      <c r="D33">
        <f t="shared" si="47"/>
        <v>133</v>
      </c>
      <c r="E33" s="203">
        <f t="shared" si="21"/>
        <v>2861.6451612903224</v>
      </c>
      <c r="F33">
        <f t="shared" si="48"/>
        <v>133</v>
      </c>
      <c r="G33" s="203">
        <f t="shared" si="1"/>
        <v>2861.6451612903224</v>
      </c>
      <c r="H33" s="203">
        <f t="shared" si="49"/>
        <v>133</v>
      </c>
      <c r="I33" s="203">
        <f t="shared" si="2"/>
        <v>2861.6451612903224</v>
      </c>
      <c r="J33" s="203">
        <f t="shared" si="50"/>
        <v>133</v>
      </c>
      <c r="K33" s="203">
        <f t="shared" si="3"/>
        <v>2861.6451612903224</v>
      </c>
      <c r="L33" s="203">
        <f t="shared" si="51"/>
        <v>133</v>
      </c>
      <c r="M33" s="203">
        <f t="shared" si="4"/>
        <v>2861.6451612903224</v>
      </c>
      <c r="N33" s="203">
        <f t="shared" si="52"/>
        <v>133</v>
      </c>
      <c r="O33" s="203">
        <f t="shared" si="5"/>
        <v>2861.6451612903224</v>
      </c>
      <c r="P33" s="203">
        <f t="shared" si="53"/>
        <v>133</v>
      </c>
      <c r="Q33" s="203">
        <f t="shared" si="6"/>
        <v>2861.6451612903224</v>
      </c>
      <c r="R33" s="203">
        <f t="shared" si="54"/>
        <v>133</v>
      </c>
      <c r="S33" s="203">
        <f t="shared" si="7"/>
        <v>2861.6451612903224</v>
      </c>
      <c r="T33" s="203">
        <f t="shared" si="55"/>
        <v>133</v>
      </c>
      <c r="U33" s="203">
        <f t="shared" si="8"/>
        <v>2861.6451612903224</v>
      </c>
      <c r="V33" s="203">
        <f t="shared" si="56"/>
        <v>133</v>
      </c>
      <c r="W33" s="203">
        <f t="shared" si="9"/>
        <v>2861.6451612903224</v>
      </c>
      <c r="X33" s="35">
        <f t="shared" si="57"/>
        <v>0.42903225806451611</v>
      </c>
      <c r="Y33" s="36">
        <f t="shared" si="58"/>
        <v>31478.096774193546</v>
      </c>
      <c r="Z33" s="203">
        <f>'B5'!C32</f>
        <v>141</v>
      </c>
      <c r="AA33" s="203">
        <f t="shared" si="33"/>
        <v>1410</v>
      </c>
      <c r="AB33" s="203">
        <f t="shared" si="59"/>
        <v>141</v>
      </c>
      <c r="AC33" s="203">
        <f t="shared" si="33"/>
        <v>1410</v>
      </c>
      <c r="AD33" s="203">
        <f t="shared" si="60"/>
        <v>141</v>
      </c>
      <c r="AE33" s="203">
        <f t="shared" si="11"/>
        <v>1410</v>
      </c>
      <c r="AF33" s="203">
        <f t="shared" si="61"/>
        <v>141</v>
      </c>
      <c r="AG33" s="203">
        <f t="shared" si="12"/>
        <v>1410</v>
      </c>
      <c r="AH33" s="203">
        <f t="shared" si="62"/>
        <v>141</v>
      </c>
      <c r="AI33" s="203">
        <f t="shared" si="13"/>
        <v>1410</v>
      </c>
      <c r="AJ33" s="203">
        <f t="shared" si="63"/>
        <v>141</v>
      </c>
      <c r="AK33" s="203">
        <f t="shared" si="14"/>
        <v>1410</v>
      </c>
      <c r="AL33" s="203">
        <f t="shared" si="64"/>
        <v>141</v>
      </c>
      <c r="AM33" s="203">
        <f t="shared" si="15"/>
        <v>1410</v>
      </c>
      <c r="AN33" s="35">
        <f t="shared" si="65"/>
        <v>0.50357142857142856</v>
      </c>
      <c r="AO33" s="36">
        <f t="shared" si="66"/>
        <v>9870</v>
      </c>
      <c r="AQ33" s="223">
        <f t="shared" si="40"/>
        <v>0.44474665778416206</v>
      </c>
      <c r="AR33" s="38">
        <f t="shared" si="45"/>
        <v>41348.096774193546</v>
      </c>
      <c r="AS33" s="197">
        <f t="shared" si="46"/>
        <v>0</v>
      </c>
      <c r="AT33" s="351"/>
      <c r="AU33" s="619"/>
      <c r="AV33" s="508">
        <f>IF(AT33&gt;0,AU33,AV32)</f>
        <v>1.82</v>
      </c>
      <c r="AW33" s="287">
        <f>-SUM('B5'!AI32)</f>
        <v>0</v>
      </c>
      <c r="AX33" s="287">
        <f t="shared" si="20"/>
        <v>0</v>
      </c>
      <c r="AY33" s="37">
        <f t="shared" si="41"/>
        <v>0</v>
      </c>
      <c r="AZ33" s="100">
        <f>ELEC!A31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39">
        <f>ELEC!C32</f>
        <v>44406</v>
      </c>
      <c r="B34">
        <f>'B5'!B33</f>
        <v>133</v>
      </c>
      <c r="C34" s="203">
        <f>B34*$B$4</f>
        <v>2861.6451612903224</v>
      </c>
      <c r="D34">
        <f t="shared" si="47"/>
        <v>133</v>
      </c>
      <c r="E34" s="203">
        <f>D34*$B$4</f>
        <v>2861.6451612903224</v>
      </c>
      <c r="F34">
        <f t="shared" si="48"/>
        <v>133</v>
      </c>
      <c r="G34" s="203">
        <f>F34*$B$4</f>
        <v>2861.6451612903224</v>
      </c>
      <c r="H34" s="203">
        <f t="shared" si="49"/>
        <v>133</v>
      </c>
      <c r="I34" s="203">
        <f>H34*$B$4</f>
        <v>2861.6451612903224</v>
      </c>
      <c r="J34" s="203">
        <f t="shared" si="50"/>
        <v>133</v>
      </c>
      <c r="K34" s="203">
        <f>J34*$B$4</f>
        <v>2861.6451612903224</v>
      </c>
      <c r="L34" s="203">
        <f t="shared" si="51"/>
        <v>133</v>
      </c>
      <c r="M34" s="203">
        <f>L34*$B$4</f>
        <v>2861.6451612903224</v>
      </c>
      <c r="N34" s="203">
        <f t="shared" si="52"/>
        <v>133</v>
      </c>
      <c r="O34" s="203">
        <f>N34*$B$4</f>
        <v>2861.6451612903224</v>
      </c>
      <c r="P34" s="203">
        <f t="shared" si="53"/>
        <v>133</v>
      </c>
      <c r="Q34" s="203">
        <f>P34*$B$4</f>
        <v>2861.6451612903224</v>
      </c>
      <c r="R34" s="203">
        <f t="shared" si="54"/>
        <v>133</v>
      </c>
      <c r="S34" s="203">
        <f>R34*$B$4</f>
        <v>2861.6451612903224</v>
      </c>
      <c r="T34" s="203">
        <f t="shared" si="55"/>
        <v>133</v>
      </c>
      <c r="U34" s="203">
        <f>T34*$B$4</f>
        <v>2861.6451612903224</v>
      </c>
      <c r="V34" s="203">
        <f t="shared" si="56"/>
        <v>133</v>
      </c>
      <c r="W34" s="203">
        <f>V34*$B$4</f>
        <v>2861.6451612903224</v>
      </c>
      <c r="X34" s="35">
        <f t="shared" si="57"/>
        <v>0.42903225806451611</v>
      </c>
      <c r="Y34" s="36">
        <f t="shared" si="58"/>
        <v>31478.096774193546</v>
      </c>
      <c r="Z34" s="203">
        <f>'B5'!C33</f>
        <v>141</v>
      </c>
      <c r="AA34" s="203">
        <f>SUM(Z34*$Z$4)</f>
        <v>1410</v>
      </c>
      <c r="AB34" s="203">
        <f t="shared" si="59"/>
        <v>141</v>
      </c>
      <c r="AC34" s="203">
        <f>SUM(AB34*$Z$4)</f>
        <v>1410</v>
      </c>
      <c r="AD34" s="203">
        <f t="shared" si="60"/>
        <v>141</v>
      </c>
      <c r="AE34" s="203">
        <f>SUM(AD34*$Z$4)</f>
        <v>1410</v>
      </c>
      <c r="AF34" s="203">
        <f t="shared" si="61"/>
        <v>141</v>
      </c>
      <c r="AG34" s="203">
        <f>SUM(AF34*$Z$4)</f>
        <v>1410</v>
      </c>
      <c r="AH34" s="203">
        <f t="shared" si="62"/>
        <v>141</v>
      </c>
      <c r="AI34" s="203">
        <f>SUM(AH34*$Z$4)</f>
        <v>1410</v>
      </c>
      <c r="AJ34" s="203">
        <f t="shared" si="63"/>
        <v>141</v>
      </c>
      <c r="AK34" s="203">
        <f>SUM(AJ34*$Z$4)</f>
        <v>1410</v>
      </c>
      <c r="AL34" s="203">
        <f t="shared" si="64"/>
        <v>141</v>
      </c>
      <c r="AM34" s="203">
        <f>SUM(AL34*$Z$4)</f>
        <v>1410</v>
      </c>
      <c r="AN34" s="35">
        <f t="shared" si="65"/>
        <v>0.50357142857142856</v>
      </c>
      <c r="AO34" s="36">
        <f t="shared" si="66"/>
        <v>9870</v>
      </c>
      <c r="AQ34" s="223">
        <f>SUM(AR34/92970)</f>
        <v>0.44474665778416206</v>
      </c>
      <c r="AR34" s="38">
        <f t="shared" si="45"/>
        <v>41348.096774193546</v>
      </c>
      <c r="AS34" s="197">
        <f t="shared" si="46"/>
        <v>0</v>
      </c>
      <c r="AT34" s="351"/>
      <c r="AU34" s="619"/>
      <c r="AV34" s="508">
        <f>IF(AT34&gt;0,AU34,AV33)</f>
        <v>1.82</v>
      </c>
      <c r="AW34" s="287">
        <f>-SUM('B5'!AI33)</f>
        <v>0</v>
      </c>
      <c r="AX34" s="287">
        <f t="shared" si="20"/>
        <v>0</v>
      </c>
      <c r="AY34" s="37">
        <f>SUM(AX34+AW34)</f>
        <v>0</v>
      </c>
      <c r="AZ34" s="100">
        <f>ELEC!A32</f>
        <v>0</v>
      </c>
      <c r="BA34" s="118">
        <f>'General information '!D34</f>
        <v>0</v>
      </c>
      <c r="BB34" s="390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39">
        <f>ELEC!C33</f>
        <v>44407</v>
      </c>
      <c r="B35">
        <f>'B5'!B34</f>
        <v>133</v>
      </c>
      <c r="C35" s="203">
        <f>B35*$B$4</f>
        <v>2861.6451612903224</v>
      </c>
      <c r="D35">
        <f t="shared" si="47"/>
        <v>133</v>
      </c>
      <c r="E35" s="203">
        <f>D35*$B$4</f>
        <v>2861.6451612903224</v>
      </c>
      <c r="F35">
        <f t="shared" si="48"/>
        <v>133</v>
      </c>
      <c r="G35" s="203">
        <f>F35*$B$4</f>
        <v>2861.6451612903224</v>
      </c>
      <c r="H35" s="203">
        <f t="shared" si="49"/>
        <v>133</v>
      </c>
      <c r="I35" s="203">
        <f>H35*$B$4</f>
        <v>2861.6451612903224</v>
      </c>
      <c r="J35" s="203">
        <f t="shared" si="50"/>
        <v>133</v>
      </c>
      <c r="K35" s="203">
        <f>J35*$B$4</f>
        <v>2861.6451612903224</v>
      </c>
      <c r="L35" s="203">
        <f t="shared" si="51"/>
        <v>133</v>
      </c>
      <c r="M35" s="203">
        <f>L35*$B$4</f>
        <v>2861.6451612903224</v>
      </c>
      <c r="N35" s="203">
        <f t="shared" si="52"/>
        <v>133</v>
      </c>
      <c r="O35" s="203">
        <f>N35*$B$4</f>
        <v>2861.6451612903224</v>
      </c>
      <c r="P35" s="203">
        <f t="shared" si="53"/>
        <v>133</v>
      </c>
      <c r="Q35" s="203">
        <f>P35*$B$4</f>
        <v>2861.6451612903224</v>
      </c>
      <c r="R35" s="203">
        <f t="shared" si="54"/>
        <v>133</v>
      </c>
      <c r="S35" s="203">
        <f>R35*$B$4</f>
        <v>2861.6451612903224</v>
      </c>
      <c r="T35" s="203">
        <f t="shared" si="55"/>
        <v>133</v>
      </c>
      <c r="U35" s="203">
        <f>T35*$B$4</f>
        <v>2861.6451612903224</v>
      </c>
      <c r="V35" s="203">
        <f t="shared" si="56"/>
        <v>133</v>
      </c>
      <c r="W35" s="203">
        <f>V35*$B$4</f>
        <v>2861.6451612903224</v>
      </c>
      <c r="X35" s="35">
        <f t="shared" si="57"/>
        <v>0.42903225806451611</v>
      </c>
      <c r="Y35" s="36">
        <f t="shared" si="58"/>
        <v>31478.096774193546</v>
      </c>
      <c r="Z35" s="203">
        <f>'B5'!C34</f>
        <v>141</v>
      </c>
      <c r="AA35" s="203">
        <f>SUM(Z35*$Z$4)</f>
        <v>1410</v>
      </c>
      <c r="AB35" s="203">
        <f t="shared" si="59"/>
        <v>141</v>
      </c>
      <c r="AC35" s="203">
        <f>SUM(AB35*$Z$4)</f>
        <v>1410</v>
      </c>
      <c r="AD35" s="203">
        <f t="shared" si="60"/>
        <v>141</v>
      </c>
      <c r="AE35" s="203">
        <f>SUM(AD35*$Z$4)</f>
        <v>1410</v>
      </c>
      <c r="AF35" s="203">
        <f t="shared" si="61"/>
        <v>141</v>
      </c>
      <c r="AG35" s="203">
        <f>SUM(AF35*$Z$4)</f>
        <v>1410</v>
      </c>
      <c r="AH35" s="203">
        <f t="shared" si="62"/>
        <v>141</v>
      </c>
      <c r="AI35" s="203">
        <f>SUM(AH35*$Z$4)</f>
        <v>1410</v>
      </c>
      <c r="AJ35" s="203">
        <f t="shared" si="63"/>
        <v>141</v>
      </c>
      <c r="AK35" s="203">
        <f>SUM(AJ35*$Z$4)</f>
        <v>1410</v>
      </c>
      <c r="AL35" s="203">
        <f t="shared" si="64"/>
        <v>141</v>
      </c>
      <c r="AM35" s="203">
        <f>SUM(AL35*$Z$4)</f>
        <v>1410</v>
      </c>
      <c r="AN35" s="35">
        <f t="shared" si="65"/>
        <v>0.50357142857142856</v>
      </c>
      <c r="AO35" s="36">
        <f t="shared" si="66"/>
        <v>9870</v>
      </c>
      <c r="AQ35" s="223">
        <f>SUM(AR35/92970)</f>
        <v>0.44474665778416206</v>
      </c>
      <c r="AR35" s="38">
        <f t="shared" si="45"/>
        <v>41348.096774193546</v>
      </c>
      <c r="AS35" s="197">
        <f t="shared" si="46"/>
        <v>0</v>
      </c>
      <c r="AT35" s="351"/>
      <c r="AU35" s="619"/>
      <c r="AV35" s="575">
        <f>IF(AT35&gt;0,AU35,AV34)</f>
        <v>1.82</v>
      </c>
      <c r="AW35" s="287">
        <f>-SUM('B5'!AI34)</f>
        <v>0</v>
      </c>
      <c r="AX35" s="287">
        <f t="shared" si="20"/>
        <v>0</v>
      </c>
      <c r="AY35" s="37">
        <f>SUM(AX35+AW35)</f>
        <v>0</v>
      </c>
      <c r="AZ35" s="100">
        <f>ELEC!A33</f>
        <v>0</v>
      </c>
      <c r="BA35" s="118">
        <f>'General information '!D35</f>
        <v>0</v>
      </c>
      <c r="BB35" s="390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36" s="439">
        <f>ELEC!C34</f>
        <v>44408</v>
      </c>
      <c r="B36">
        <f>'B5'!B35</f>
        <v>133</v>
      </c>
      <c r="C36" s="203">
        <f>B36*$B$4</f>
        <v>2861.6451612903224</v>
      </c>
      <c r="D36">
        <f t="shared" ref="D36" si="67">SUM(B36)</f>
        <v>133</v>
      </c>
      <c r="E36" s="203">
        <f>D36*$B$4</f>
        <v>2861.6451612903224</v>
      </c>
      <c r="F36">
        <f t="shared" ref="F36" si="68">SUM(D36)</f>
        <v>133</v>
      </c>
      <c r="G36" s="203">
        <f>F36*$B$4</f>
        <v>2861.6451612903224</v>
      </c>
      <c r="H36" s="203">
        <f t="shared" ref="H36" si="69">SUM(F36)</f>
        <v>133</v>
      </c>
      <c r="I36" s="203">
        <f>H36*$B$4</f>
        <v>2861.6451612903224</v>
      </c>
      <c r="J36" s="203">
        <f t="shared" ref="J36" si="70">SUM(H36)</f>
        <v>133</v>
      </c>
      <c r="K36" s="203">
        <f>J36*$B$4</f>
        <v>2861.6451612903224</v>
      </c>
      <c r="L36" s="203">
        <f t="shared" ref="L36" si="71">SUM(J36)</f>
        <v>133</v>
      </c>
      <c r="M36" s="203">
        <f>L36*$B$4</f>
        <v>2861.6451612903224</v>
      </c>
      <c r="N36" s="203">
        <f t="shared" ref="N36" si="72">SUM(L36)</f>
        <v>133</v>
      </c>
      <c r="O36" s="203">
        <f>N36*$B$4</f>
        <v>2861.6451612903224</v>
      </c>
      <c r="P36" s="203">
        <f t="shared" ref="P36" si="73">SUM(N36)</f>
        <v>133</v>
      </c>
      <c r="Q36" s="203">
        <f>P36*$B$4</f>
        <v>2861.6451612903224</v>
      </c>
      <c r="R36" s="203">
        <f t="shared" ref="R36" si="74">SUM(P36)</f>
        <v>133</v>
      </c>
      <c r="S36" s="203">
        <f>R36*$B$4</f>
        <v>2861.6451612903224</v>
      </c>
      <c r="T36" s="203">
        <f t="shared" ref="T36" si="75">SUM(R36)</f>
        <v>133</v>
      </c>
      <c r="U36" s="203">
        <f>T36*$B$4</f>
        <v>2861.6451612903224</v>
      </c>
      <c r="V36" s="203">
        <f t="shared" ref="V36" si="76">SUM(T36)</f>
        <v>133</v>
      </c>
      <c r="W36" s="203">
        <f>V36*$B$4</f>
        <v>2861.6451612903224</v>
      </c>
      <c r="X36" s="35">
        <f t="shared" ref="X36" si="77">SUM(Y36/73370)</f>
        <v>0.42903225806451611</v>
      </c>
      <c r="Y36" s="36">
        <f t="shared" ref="Y36" si="78">SUM(C36+E36+G36+I36+K36+M36+O36+Q36+S36+U36+W36)</f>
        <v>31478.096774193546</v>
      </c>
      <c r="Z36" s="203">
        <f>'B5'!C35</f>
        <v>141</v>
      </c>
      <c r="AA36" s="203">
        <f>SUM(Z36*$Z$4)</f>
        <v>1410</v>
      </c>
      <c r="AB36" s="203">
        <f t="shared" ref="AB36" si="79">SUM(Z36)</f>
        <v>141</v>
      </c>
      <c r="AC36" s="203">
        <f>SUM(AB36*$Z$4)</f>
        <v>1410</v>
      </c>
      <c r="AD36" s="203">
        <f t="shared" ref="AD36" si="80">SUM(AB36)</f>
        <v>141</v>
      </c>
      <c r="AE36" s="203">
        <f>SUM(AD36*$Z$4)</f>
        <v>1410</v>
      </c>
      <c r="AF36" s="203">
        <f t="shared" ref="AF36" si="81">SUM(AD36)</f>
        <v>141</v>
      </c>
      <c r="AG36" s="203">
        <f>SUM(AF36*$Z$4)</f>
        <v>1410</v>
      </c>
      <c r="AH36" s="203">
        <f t="shared" ref="AH36" si="82">SUM(AF36)</f>
        <v>141</v>
      </c>
      <c r="AI36" s="203">
        <f>SUM(AH36*$Z$4)</f>
        <v>1410</v>
      </c>
      <c r="AJ36" s="203">
        <f t="shared" ref="AJ36" si="83">SUM(AH36)</f>
        <v>141</v>
      </c>
      <c r="AK36" s="203">
        <f>SUM(AJ36*$Z$4)</f>
        <v>1410</v>
      </c>
      <c r="AL36" s="203">
        <f t="shared" ref="AL36" si="84">SUM(AJ36)</f>
        <v>141</v>
      </c>
      <c r="AM36" s="203">
        <f>SUM(AL36*$Z$4)</f>
        <v>1410</v>
      </c>
      <c r="AN36" s="35">
        <f t="shared" ref="AN36" si="85">SUM(AO36/19600)</f>
        <v>0.50357142857142856</v>
      </c>
      <c r="AO36" s="36">
        <f t="shared" ref="AO36" si="86">SUM(AA36+AC36+AE36+AG36+AI36+AK36+AM36)</f>
        <v>9870</v>
      </c>
      <c r="AQ36" s="223">
        <f>SUM(AR36/92970)</f>
        <v>0.44474665778416206</v>
      </c>
      <c r="AR36" s="38">
        <f t="shared" si="45"/>
        <v>41348.096774193546</v>
      </c>
      <c r="AS36" s="197">
        <f t="shared" si="46"/>
        <v>0</v>
      </c>
      <c r="AT36" s="351"/>
      <c r="AU36" s="619"/>
      <c r="AV36" s="575">
        <f>IF(AT36&gt;0,AU36,AV35)</f>
        <v>1.82</v>
      </c>
      <c r="AW36" s="287">
        <f>-SUM('B5'!AI36)</f>
        <v>0</v>
      </c>
      <c r="AX36" s="287">
        <f t="shared" ref="AX36" si="87">-SUM(AW36-AS36)</f>
        <v>0</v>
      </c>
      <c r="AY36" s="37">
        <f>SUM(AX36+AW36)</f>
        <v>0</v>
      </c>
      <c r="AZ36" s="100">
        <f>ELEC!A34</f>
        <v>0</v>
      </c>
      <c r="BA36" s="118">
        <f>'General information '!D36</f>
        <v>0</v>
      </c>
      <c r="BB36" s="390">
        <f>SUM('General information '!E36)</f>
        <v>0</v>
      </c>
      <c r="BC36" s="17"/>
      <c r="BD36" s="644"/>
      <c r="BE36" s="645"/>
      <c r="BF36" s="645"/>
      <c r="BG36" s="645"/>
      <c r="BH36" s="646"/>
    </row>
    <row r="37" spans="1:60">
      <c r="AQ37" s="20"/>
      <c r="AR37" s="472" t="s">
        <v>225</v>
      </c>
      <c r="AS37" s="477">
        <f>COUNT(AT6:AT36)</f>
        <v>2</v>
      </c>
      <c r="AT37" s="203">
        <f>SUM(AT6:AT35)</f>
        <v>19770</v>
      </c>
      <c r="AU37" s="612">
        <f>SUM(AU6:AU36)/AS37</f>
        <v>1.4700000000000002</v>
      </c>
      <c r="AX37" s="203">
        <f>SUM(AX6:AX36)</f>
        <v>-11961.741935483871</v>
      </c>
      <c r="AY37" s="203">
        <f>SUM(AY6:AY36)</f>
        <v>-12339.741935483871</v>
      </c>
    </row>
    <row r="38" spans="1:60">
      <c r="AS38" s="206"/>
      <c r="AT38" s="82">
        <f>+AT37*AU37</f>
        <v>29061.900000000005</v>
      </c>
    </row>
    <row r="40" spans="1:60">
      <c r="AS40" s="165">
        <f>SUM(AS6:AS36)/'EDl log'!A35</f>
        <v>-6169.8709677419356</v>
      </c>
      <c r="AT40" s="203"/>
    </row>
    <row r="41" spans="1:60">
      <c r="AX41">
        <v>43309</v>
      </c>
    </row>
    <row r="42" spans="1:60">
      <c r="AR42" s="203"/>
      <c r="AU42" s="203"/>
      <c r="AX42">
        <f>AX37/AX41</f>
        <v>-0.27619529279096428</v>
      </c>
    </row>
  </sheetData>
  <mergeCells count="3">
    <mergeCell ref="AT3:AU3"/>
    <mergeCell ref="AS3:AS4"/>
    <mergeCell ref="AR3:AR4"/>
  </mergeCells>
  <conditionalFormatting sqref="AW6:AX36">
    <cfRule type="cellIs" dxfId="4" priority="6" stopIfTrue="1" operator="greaterThan">
      <formula>0</formula>
    </cfRule>
  </conditionalFormatting>
  <conditionalFormatting sqref="AT6:AU36">
    <cfRule type="cellIs" dxfId="3" priority="4" stopIfTrue="1" operator="greaterThan">
      <formula>0</formula>
    </cfRule>
  </conditionalFormatting>
  <conditionalFormatting sqref="AT15:AU15">
    <cfRule type="cellIs" dxfId="2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J10" sqref="J10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90" bestFit="1" customWidth="1"/>
    <col min="20" max="20" width="10.28515625" style="333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91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5"/>
      <c r="T1" s="331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5"/>
      <c r="T2" s="331"/>
    </row>
    <row r="3" spans="1:32" ht="20.100000000000001" customHeight="1" thickBot="1">
      <c r="A3" s="163">
        <f>ELEC!C3</f>
        <v>44377</v>
      </c>
      <c r="B3" s="262">
        <f>'[1]EDl log'!B33</f>
        <v>1073898</v>
      </c>
      <c r="C3" s="262">
        <f>'[1]EDl log'!C33</f>
        <v>392</v>
      </c>
      <c r="D3" s="262">
        <f>'[1]EDl log'!D33</f>
        <v>390</v>
      </c>
      <c r="E3" s="262">
        <f>'[1]EDl log'!E33</f>
        <v>1073896</v>
      </c>
      <c r="F3" s="262">
        <f>'[1]EDl log'!F33</f>
        <v>157717</v>
      </c>
      <c r="G3" s="262">
        <f>'[1]EDl log'!G33</f>
        <v>0</v>
      </c>
      <c r="H3" s="262">
        <f>'[1]EDl log'!H33</f>
        <v>524114</v>
      </c>
      <c r="I3" s="262">
        <f>'[1]EDl log'!I33</f>
        <v>361</v>
      </c>
      <c r="J3" s="262">
        <f>'[1]EDl log'!J33</f>
        <v>392065</v>
      </c>
      <c r="K3" s="262">
        <f>'[1]EDl log'!K33</f>
        <v>29</v>
      </c>
      <c r="L3" s="262">
        <f>'[1]EDl log'!L33</f>
        <v>0</v>
      </c>
      <c r="M3" s="262">
        <f>'[1]EDl log'!M33</f>
        <v>26.820563847429518</v>
      </c>
      <c r="N3" s="262">
        <f>'[1]EDl log'!N33</f>
        <v>1.5389718076285241</v>
      </c>
      <c r="O3" s="262">
        <f>'[1]EDl log'!O33</f>
        <v>159.96313985627418</v>
      </c>
      <c r="P3" s="262">
        <f>'[1]EDl log'!P33</f>
        <v>188.32267551133222</v>
      </c>
      <c r="Q3" s="262">
        <f>'[1]EDl log'!Q33</f>
        <v>5623.699222119787</v>
      </c>
      <c r="R3" s="262">
        <f>'[1]EDl log'!R33</f>
        <v>5812.0218976311189</v>
      </c>
      <c r="S3" s="262">
        <f>'[1]EDl log'!S33</f>
        <v>17085.799999999814</v>
      </c>
      <c r="T3" s="262">
        <f>'[1]EDl log'!T33</f>
        <v>0.34016679919179565</v>
      </c>
      <c r="Z3" t="s">
        <v>214</v>
      </c>
      <c r="AA3">
        <v>0.1</v>
      </c>
    </row>
    <row r="4" spans="1:32" ht="20.100000000000001" customHeight="1">
      <c r="A4" s="163">
        <f>ELEC!C4</f>
        <v>44378</v>
      </c>
      <c r="B4" s="570">
        <f>B3</f>
        <v>1073898</v>
      </c>
      <c r="C4" s="262">
        <f t="shared" ref="C4:C30" si="0">SUM(B4-B3)</f>
        <v>0</v>
      </c>
      <c r="D4" s="305">
        <f>SUM(G4+I4+K4)</f>
        <v>0</v>
      </c>
      <c r="E4" s="305">
        <f>B3+D4</f>
        <v>1073898</v>
      </c>
      <c r="F4" s="576">
        <f>F3</f>
        <v>157717</v>
      </c>
      <c r="G4" s="160">
        <f t="shared" ref="G4:G30" si="1">F4-F3</f>
        <v>0</v>
      </c>
      <c r="H4" s="576">
        <f>H3</f>
        <v>524114</v>
      </c>
      <c r="I4" s="161">
        <f t="shared" ref="I4:I30" si="2">H4-H3</f>
        <v>0</v>
      </c>
      <c r="J4" s="576">
        <f>J3</f>
        <v>392065</v>
      </c>
      <c r="K4" s="162">
        <f t="shared" ref="K4:K30" si="3">J4-J3</f>
        <v>0</v>
      </c>
      <c r="L4" s="293">
        <f t="shared" ref="L4:L13" si="4">SUM(G4*$Y$28)/1507.5</f>
        <v>0</v>
      </c>
      <c r="M4" s="293">
        <f t="shared" ref="M4:M13" si="5">SUM(I4*$Y$27)/1507.5</f>
        <v>0</v>
      </c>
      <c r="N4" s="293">
        <f t="shared" ref="N4:N13" si="6">SUM(K4*$Y$26)/1507.5</f>
        <v>0</v>
      </c>
      <c r="O4" s="293">
        <f>($AC$29/$A$37)/1507.5</f>
        <v>154.80303857058792</v>
      </c>
      <c r="P4" s="294">
        <f>SUM(L4:O4)</f>
        <v>154.80303857058792</v>
      </c>
      <c r="Q4" s="294">
        <f>SUM(-tanks!AX6*tanks!$AU$37)</f>
        <v>0</v>
      </c>
      <c r="R4" s="294">
        <f>SUM(P4:Q4)</f>
        <v>154.80303857058792</v>
      </c>
      <c r="S4" s="296">
        <f>SUM(ELEC!N4)</f>
        <v>0</v>
      </c>
      <c r="T4" s="332">
        <f>IF(S4&gt;0,R4/S4,0)</f>
        <v>0</v>
      </c>
      <c r="U4" s="248"/>
      <c r="V4" s="249" t="str">
        <f>'[5]EDl log'!V21</f>
        <v xml:space="preserve">EDL </v>
      </c>
      <c r="W4" s="167">
        <v>44368</v>
      </c>
      <c r="X4" s="169"/>
      <c r="Y4" s="169"/>
      <c r="Z4" s="169" t="s">
        <v>202</v>
      </c>
      <c r="AA4" s="169"/>
      <c r="AB4" s="694"/>
      <c r="AC4" s="695"/>
    </row>
    <row r="5" spans="1:32" ht="20.100000000000001" customHeight="1">
      <c r="A5" s="163">
        <f>ELEC!C5</f>
        <v>44379</v>
      </c>
      <c r="B5" s="626">
        <f t="shared" ref="B5:B34" si="7">B4</f>
        <v>1073898</v>
      </c>
      <c r="C5" s="262">
        <f t="shared" si="0"/>
        <v>0</v>
      </c>
      <c r="D5" s="305">
        <f t="shared" ref="D5:D33" si="8">SUM(G5+I5+K5)</f>
        <v>0</v>
      </c>
      <c r="E5" s="305">
        <f>B4+D5</f>
        <v>1073898</v>
      </c>
      <c r="F5" s="626">
        <f t="shared" ref="F5:F34" si="9">F4</f>
        <v>157717</v>
      </c>
      <c r="G5" s="160">
        <f t="shared" si="1"/>
        <v>0</v>
      </c>
      <c r="H5" s="626">
        <f t="shared" ref="H5:H34" si="10">H4</f>
        <v>524114</v>
      </c>
      <c r="I5" s="161">
        <f t="shared" si="2"/>
        <v>0</v>
      </c>
      <c r="J5" s="626">
        <f t="shared" ref="J5:J34" si="11">J4</f>
        <v>392065</v>
      </c>
      <c r="K5" s="162">
        <f t="shared" si="3"/>
        <v>0</v>
      </c>
      <c r="L5" s="293">
        <f t="shared" si="4"/>
        <v>0</v>
      </c>
      <c r="M5" s="293">
        <f t="shared" si="5"/>
        <v>0</v>
      </c>
      <c r="N5" s="293">
        <f t="shared" si="6"/>
        <v>0</v>
      </c>
      <c r="O5" s="293">
        <f t="shared" ref="O5:O34" si="12">($AC$29/$A$37)/1507.5</f>
        <v>154.80303857058792</v>
      </c>
      <c r="P5" s="294">
        <f t="shared" ref="P5:P30" si="13">SUM(L5:O5)</f>
        <v>154.80303857058792</v>
      </c>
      <c r="Q5" s="294">
        <f>SUM(-tanks!AX7*tanks!$AU$37)</f>
        <v>13.893870967733312</v>
      </c>
      <c r="R5" s="294">
        <f t="shared" ref="R5:R30" si="14">SUM(P5:Q5)</f>
        <v>168.69690953832122</v>
      </c>
      <c r="S5" s="296">
        <f>SUM(ELEC!N5)</f>
        <v>0</v>
      </c>
      <c r="T5" s="332">
        <f>IF(S5&gt;0,R5/S5,0)</f>
        <v>0</v>
      </c>
      <c r="U5" s="248"/>
      <c r="V5" s="688"/>
      <c r="W5" s="689"/>
      <c r="X5" s="689"/>
      <c r="Y5" s="690"/>
      <c r="Z5" s="26" t="s">
        <v>203</v>
      </c>
      <c r="AA5" s="262">
        <f>'[6]EDl log'!AA22</f>
        <v>5000</v>
      </c>
      <c r="AB5" s="696"/>
      <c r="AC5" s="697"/>
    </row>
    <row r="6" spans="1:32" ht="20.100000000000001" customHeight="1">
      <c r="A6" s="163">
        <f>ELEC!C6</f>
        <v>44380</v>
      </c>
      <c r="B6" s="626">
        <f t="shared" si="7"/>
        <v>1073898</v>
      </c>
      <c r="C6" s="262">
        <f t="shared" si="0"/>
        <v>0</v>
      </c>
      <c r="D6" s="305">
        <f t="shared" si="8"/>
        <v>0</v>
      </c>
      <c r="E6" s="305">
        <f t="shared" ref="E6:E30" si="15">B5+D6</f>
        <v>1073898</v>
      </c>
      <c r="F6" s="626">
        <f t="shared" si="9"/>
        <v>157717</v>
      </c>
      <c r="G6" s="160">
        <f t="shared" si="1"/>
        <v>0</v>
      </c>
      <c r="H6" s="626">
        <f t="shared" si="10"/>
        <v>524114</v>
      </c>
      <c r="I6" s="161">
        <f t="shared" si="2"/>
        <v>0</v>
      </c>
      <c r="J6" s="626">
        <f t="shared" si="11"/>
        <v>392065</v>
      </c>
      <c r="K6" s="162">
        <f t="shared" si="3"/>
        <v>0</v>
      </c>
      <c r="L6" s="293">
        <f t="shared" si="4"/>
        <v>0</v>
      </c>
      <c r="M6" s="293">
        <f t="shared" si="5"/>
        <v>0</v>
      </c>
      <c r="N6" s="293">
        <f t="shared" si="6"/>
        <v>0</v>
      </c>
      <c r="O6" s="293">
        <f t="shared" si="12"/>
        <v>154.80303857058792</v>
      </c>
      <c r="P6" s="294">
        <f t="shared" si="13"/>
        <v>154.80303857058792</v>
      </c>
      <c r="Q6" s="294">
        <f>SUM(-tanks!AX8*tanks!$AU$37)</f>
        <v>0</v>
      </c>
      <c r="R6" s="294">
        <f t="shared" si="14"/>
        <v>154.80303857058792</v>
      </c>
      <c r="S6" s="296">
        <f>SUM(ELEC!N6)</f>
        <v>0</v>
      </c>
      <c r="T6" s="332">
        <f t="shared" ref="T6:T30" si="16">IF(S6&gt;0,R6/S6,0)</f>
        <v>0</v>
      </c>
      <c r="V6" s="691"/>
      <c r="W6" s="692"/>
      <c r="X6" s="692"/>
      <c r="Y6" s="693"/>
      <c r="Z6" s="3"/>
      <c r="AA6" s="3"/>
      <c r="AB6" s="696"/>
      <c r="AC6" s="697"/>
    </row>
    <row r="7" spans="1:32" ht="20.100000000000001" customHeight="1">
      <c r="A7" s="163">
        <f>ELEC!C7</f>
        <v>44381</v>
      </c>
      <c r="B7" s="626">
        <f t="shared" si="7"/>
        <v>1073898</v>
      </c>
      <c r="C7" s="262">
        <f t="shared" si="0"/>
        <v>0</v>
      </c>
      <c r="D7" s="305">
        <f t="shared" si="8"/>
        <v>0</v>
      </c>
      <c r="E7" s="305">
        <f t="shared" si="15"/>
        <v>1073898</v>
      </c>
      <c r="F7" s="626">
        <f t="shared" si="9"/>
        <v>157717</v>
      </c>
      <c r="G7" s="160">
        <f t="shared" si="1"/>
        <v>0</v>
      </c>
      <c r="H7" s="626">
        <f t="shared" si="10"/>
        <v>524114</v>
      </c>
      <c r="I7" s="161">
        <f t="shared" si="2"/>
        <v>0</v>
      </c>
      <c r="J7" s="626">
        <f t="shared" si="11"/>
        <v>392065</v>
      </c>
      <c r="K7" s="162">
        <f t="shared" si="3"/>
        <v>0</v>
      </c>
      <c r="L7" s="293">
        <f t="shared" si="4"/>
        <v>0</v>
      </c>
      <c r="M7" s="293">
        <f t="shared" si="5"/>
        <v>0</v>
      </c>
      <c r="N7" s="293">
        <f t="shared" si="6"/>
        <v>0</v>
      </c>
      <c r="O7" s="293">
        <f t="shared" si="12"/>
        <v>154.80303857058792</v>
      </c>
      <c r="P7" s="294">
        <f t="shared" si="13"/>
        <v>154.80303857058792</v>
      </c>
      <c r="Q7" s="294">
        <f>SUM(-tanks!AX9*tanks!$AU$37)</f>
        <v>1626.5787096774402</v>
      </c>
      <c r="R7" s="294">
        <f t="shared" si="14"/>
        <v>1781.3817482480281</v>
      </c>
      <c r="S7" s="296">
        <f>SUM(ELEC!N7)</f>
        <v>11907</v>
      </c>
      <c r="T7" s="332">
        <f t="shared" si="16"/>
        <v>0.14960794056000909</v>
      </c>
      <c r="V7" s="684" t="s">
        <v>204</v>
      </c>
      <c r="W7" s="685"/>
      <c r="X7" s="686" t="s">
        <v>205</v>
      </c>
      <c r="Y7" s="687"/>
      <c r="Z7" s="685"/>
      <c r="AA7" s="26"/>
      <c r="AB7" s="698"/>
      <c r="AC7" s="699"/>
    </row>
    <row r="8" spans="1:32" ht="20.100000000000001" customHeight="1">
      <c r="A8" s="163">
        <f>ELEC!C8</f>
        <v>44382</v>
      </c>
      <c r="B8" s="626">
        <f t="shared" si="7"/>
        <v>1073898</v>
      </c>
      <c r="C8" s="262">
        <f t="shared" si="0"/>
        <v>0</v>
      </c>
      <c r="D8" s="305">
        <f t="shared" si="8"/>
        <v>0</v>
      </c>
      <c r="E8" s="305">
        <f t="shared" si="15"/>
        <v>1073898</v>
      </c>
      <c r="F8" s="626">
        <f t="shared" si="9"/>
        <v>157717</v>
      </c>
      <c r="G8" s="160">
        <f t="shared" si="1"/>
        <v>0</v>
      </c>
      <c r="H8" s="626">
        <f t="shared" si="10"/>
        <v>524114</v>
      </c>
      <c r="I8" s="161">
        <f t="shared" si="2"/>
        <v>0</v>
      </c>
      <c r="J8" s="626">
        <f t="shared" si="11"/>
        <v>392065</v>
      </c>
      <c r="K8" s="162">
        <f>J8-J7</f>
        <v>0</v>
      </c>
      <c r="L8" s="293">
        <f t="shared" si="4"/>
        <v>0</v>
      </c>
      <c r="M8" s="293">
        <f t="shared" si="5"/>
        <v>0</v>
      </c>
      <c r="N8" s="293">
        <f t="shared" si="6"/>
        <v>0</v>
      </c>
      <c r="O8" s="293">
        <f t="shared" si="12"/>
        <v>154.80303857058792</v>
      </c>
      <c r="P8" s="294">
        <f t="shared" si="13"/>
        <v>154.80303857058792</v>
      </c>
      <c r="Q8" s="294">
        <f>SUM(-tanks!AX10*tanks!$AU$37)</f>
        <v>2976.3706451612697</v>
      </c>
      <c r="R8" s="294">
        <f t="shared" si="14"/>
        <v>3131.1736837318576</v>
      </c>
      <c r="S8" s="296">
        <f>SUM(ELEC!N8)</f>
        <v>4047</v>
      </c>
      <c r="T8" s="332">
        <f>IF(S8&gt;0,R8/S8,0)</f>
        <v>0.77370241752702196</v>
      </c>
      <c r="V8" s="253" t="s">
        <v>206</v>
      </c>
      <c r="W8" s="254" t="s">
        <v>207</v>
      </c>
      <c r="X8" s="254"/>
      <c r="Y8" s="254" t="s">
        <v>208</v>
      </c>
      <c r="Z8" s="26" t="s">
        <v>209</v>
      </c>
      <c r="AA8" s="26" t="s">
        <v>210</v>
      </c>
      <c r="AB8" s="523" t="str">
        <f>'[7]EDl log'!AB25</f>
        <v>Total cost LL</v>
      </c>
      <c r="AC8" s="250" t="s">
        <v>212</v>
      </c>
    </row>
    <row r="9" spans="1:32" ht="20.100000000000001" customHeight="1">
      <c r="A9" s="163">
        <f>ELEC!C9</f>
        <v>44383</v>
      </c>
      <c r="B9" s="626">
        <v>1074517</v>
      </c>
      <c r="C9" s="262">
        <f t="shared" si="0"/>
        <v>619</v>
      </c>
      <c r="D9" s="305">
        <f t="shared" si="8"/>
        <v>620</v>
      </c>
      <c r="E9" s="305">
        <f t="shared" si="15"/>
        <v>1074518</v>
      </c>
      <c r="F9" s="626">
        <v>157717</v>
      </c>
      <c r="G9" s="160">
        <f t="shared" si="1"/>
        <v>0</v>
      </c>
      <c r="H9" s="626">
        <v>524540</v>
      </c>
      <c r="I9" s="161">
        <f t="shared" si="2"/>
        <v>426</v>
      </c>
      <c r="J9" s="626">
        <v>392259</v>
      </c>
      <c r="K9" s="162">
        <f>J9-J8</f>
        <v>194</v>
      </c>
      <c r="L9" s="293">
        <f t="shared" si="4"/>
        <v>0</v>
      </c>
      <c r="M9" s="293">
        <f t="shared" si="5"/>
        <v>31.649751243781093</v>
      </c>
      <c r="N9" s="293">
        <f t="shared" si="6"/>
        <v>10.29519071310116</v>
      </c>
      <c r="O9" s="293">
        <f t="shared" si="12"/>
        <v>154.80303857058792</v>
      </c>
      <c r="P9" s="294">
        <f t="shared" si="13"/>
        <v>196.74798052747016</v>
      </c>
      <c r="Q9" s="294">
        <f>SUM(-tanks!AX11*tanks!$AU$37)</f>
        <v>5472.0987096774297</v>
      </c>
      <c r="R9" s="294">
        <f>SUM(P9:Q9)</f>
        <v>5668.8466902048995</v>
      </c>
      <c r="S9" s="296">
        <f>SUM(ELEC!N9)</f>
        <v>15086</v>
      </c>
      <c r="T9" s="332">
        <f t="shared" si="16"/>
        <v>0.37576870543582791</v>
      </c>
      <c r="V9" s="252">
        <f>'[1]EDl log'!V26</f>
        <v>386167</v>
      </c>
      <c r="W9" s="252">
        <f>'[1]EDl log'!W26</f>
        <v>392065</v>
      </c>
      <c r="X9" s="252" t="s">
        <v>199</v>
      </c>
      <c r="Y9" s="600">
        <f>'[1]EDl log'!Y26</f>
        <v>80</v>
      </c>
      <c r="Z9" s="600">
        <f>'[1]EDl log'!Z26</f>
        <v>1</v>
      </c>
      <c r="AA9" s="600">
        <f>'[1]EDl log'!AA26</f>
        <v>5898</v>
      </c>
      <c r="AB9" s="600">
        <f>'[1]EDl log'!AB26</f>
        <v>471840</v>
      </c>
      <c r="AC9" s="600">
        <f>'[1]EDl log'!AC26</f>
        <v>1033333</v>
      </c>
      <c r="AD9" s="577">
        <f>'[1]EDl log'!AD26</f>
        <v>0.36628990187554339</v>
      </c>
    </row>
    <row r="10" spans="1:32" ht="20.100000000000001" customHeight="1">
      <c r="A10" s="163">
        <f>ELEC!C10</f>
        <v>44384</v>
      </c>
      <c r="B10" s="657">
        <v>1074707</v>
      </c>
      <c r="C10" s="262">
        <f t="shared" si="0"/>
        <v>190</v>
      </c>
      <c r="D10" s="305">
        <f t="shared" si="8"/>
        <v>189</v>
      </c>
      <c r="E10" s="305">
        <f t="shared" si="15"/>
        <v>1074706</v>
      </c>
      <c r="F10" s="769">
        <v>157717</v>
      </c>
      <c r="G10" s="160">
        <f t="shared" si="1"/>
        <v>0</v>
      </c>
      <c r="H10" s="657">
        <v>524705</v>
      </c>
      <c r="I10" s="161">
        <f t="shared" si="2"/>
        <v>165</v>
      </c>
      <c r="J10" s="657">
        <v>392283</v>
      </c>
      <c r="K10" s="162">
        <f t="shared" si="3"/>
        <v>24</v>
      </c>
      <c r="L10" s="293">
        <f t="shared" si="4"/>
        <v>0</v>
      </c>
      <c r="M10" s="293">
        <f t="shared" si="5"/>
        <v>12.258706467661691</v>
      </c>
      <c r="N10" s="293">
        <f t="shared" si="6"/>
        <v>1.2736318407960199</v>
      </c>
      <c r="O10" s="293">
        <f t="shared" si="12"/>
        <v>154.80303857058792</v>
      </c>
      <c r="P10" s="294">
        <f t="shared" si="13"/>
        <v>168.33537687904561</v>
      </c>
      <c r="Q10" s="294">
        <f>SUM(-tanks!AX12*tanks!$AU$37)</f>
        <v>7494.81870967742</v>
      </c>
      <c r="R10" s="294">
        <f t="shared" si="14"/>
        <v>7663.1540865564657</v>
      </c>
      <c r="S10" s="296">
        <f>SUM(ELEC!N10)</f>
        <v>15446</v>
      </c>
      <c r="T10" s="332">
        <f t="shared" si="16"/>
        <v>0.49612547498099607</v>
      </c>
      <c r="V10" s="252">
        <f>'[1]EDl log'!V27</f>
        <v>515542</v>
      </c>
      <c r="W10" s="252">
        <f>'[1]EDl log'!W27</f>
        <v>524114</v>
      </c>
      <c r="X10" s="252" t="s">
        <v>213</v>
      </c>
      <c r="Y10" s="600">
        <f>'[1]EDl log'!Y27</f>
        <v>112</v>
      </c>
      <c r="Z10" s="600">
        <f>'[1]EDl log'!Z27</f>
        <v>1</v>
      </c>
      <c r="AA10" s="600">
        <f>'[1]EDl log'!AA27</f>
        <v>8572</v>
      </c>
      <c r="AB10" s="600">
        <f>'[1]EDl log'!AB27</f>
        <v>960064</v>
      </c>
      <c r="AC10" s="600">
        <f>'[1]EDl log'!AC27</f>
        <v>6200000</v>
      </c>
      <c r="AD10" s="577">
        <f>'[1]EDl log'!AD27</f>
        <v>0.5323562290398709</v>
      </c>
    </row>
    <row r="11" spans="1:32" ht="20.100000000000001" customHeight="1">
      <c r="A11" s="163">
        <f>ELEC!C11</f>
        <v>44385</v>
      </c>
      <c r="B11" s="626">
        <f t="shared" si="7"/>
        <v>1074707</v>
      </c>
      <c r="C11" s="262">
        <f t="shared" si="0"/>
        <v>0</v>
      </c>
      <c r="D11" s="305">
        <f t="shared" si="8"/>
        <v>0</v>
      </c>
      <c r="E11" s="305">
        <f t="shared" si="15"/>
        <v>1074707</v>
      </c>
      <c r="F11" s="626">
        <f t="shared" si="9"/>
        <v>157717</v>
      </c>
      <c r="G11" s="160">
        <f t="shared" si="1"/>
        <v>0</v>
      </c>
      <c r="H11" s="626">
        <f t="shared" si="10"/>
        <v>524705</v>
      </c>
      <c r="I11" s="161">
        <f t="shared" si="2"/>
        <v>0</v>
      </c>
      <c r="J11" s="626">
        <f t="shared" si="11"/>
        <v>392283</v>
      </c>
      <c r="K11" s="162">
        <f t="shared" si="3"/>
        <v>0</v>
      </c>
      <c r="L11" s="293">
        <f t="shared" si="4"/>
        <v>0</v>
      </c>
      <c r="M11" s="293">
        <f t="shared" si="5"/>
        <v>0</v>
      </c>
      <c r="N11" s="293">
        <f t="shared" si="6"/>
        <v>0</v>
      </c>
      <c r="O11" s="293">
        <f t="shared" si="12"/>
        <v>154.80303857058792</v>
      </c>
      <c r="P11" s="294">
        <f t="shared" si="13"/>
        <v>154.80303857058792</v>
      </c>
      <c r="Q11" s="294">
        <f>SUM(-tanks!AX13*tanks!$AU$37)</f>
        <v>0</v>
      </c>
      <c r="R11" s="294">
        <f t="shared" si="14"/>
        <v>154.80303857058792</v>
      </c>
      <c r="S11" s="296">
        <f>SUM(ELEC!N11)</f>
        <v>0</v>
      </c>
      <c r="T11" s="332">
        <f t="shared" si="16"/>
        <v>0</v>
      </c>
      <c r="V11" s="252">
        <f>'[1]EDl log'!V28</f>
        <v>156087</v>
      </c>
      <c r="W11" s="252">
        <f>'[1]EDl log'!W28</f>
        <v>157717</v>
      </c>
      <c r="X11" s="252" t="s">
        <v>197</v>
      </c>
      <c r="Y11" s="600">
        <f>'[1]EDl log'!Y28</f>
        <v>320</v>
      </c>
      <c r="Z11" s="600">
        <f>'[1]EDl log'!Z28</f>
        <v>1</v>
      </c>
      <c r="AA11" s="600">
        <f>'[1]EDl log'!AA28</f>
        <v>1630</v>
      </c>
      <c r="AB11" s="600">
        <f>'[1]EDl log'!AB28</f>
        <v>521600</v>
      </c>
      <c r="AC11" s="600">
        <f>'[1]EDl log'!AC28</f>
        <v>1000</v>
      </c>
      <c r="AD11" s="577">
        <f>'[1]EDl log'!AD28</f>
        <v>0.10122966091168799</v>
      </c>
      <c r="AE11" s="40">
        <f>'[1]EDl log'!AE28</f>
        <v>26080</v>
      </c>
      <c r="AF11" s="40">
        <f>'[1]EDl log'!AF28</f>
        <v>115497.14285714286</v>
      </c>
    </row>
    <row r="12" spans="1:32" ht="20.100000000000001" customHeight="1">
      <c r="A12" s="163">
        <f>ELEC!C12</f>
        <v>44386</v>
      </c>
      <c r="B12" s="626">
        <f t="shared" si="7"/>
        <v>1074707</v>
      </c>
      <c r="C12" s="262">
        <f t="shared" si="0"/>
        <v>0</v>
      </c>
      <c r="D12" s="305">
        <f t="shared" si="8"/>
        <v>0</v>
      </c>
      <c r="E12" s="305">
        <f t="shared" si="15"/>
        <v>1074707</v>
      </c>
      <c r="F12" s="626">
        <f t="shared" si="9"/>
        <v>157717</v>
      </c>
      <c r="G12" s="160">
        <f t="shared" si="1"/>
        <v>0</v>
      </c>
      <c r="H12" s="626">
        <f t="shared" si="10"/>
        <v>524705</v>
      </c>
      <c r="I12" s="161">
        <f t="shared" si="2"/>
        <v>0</v>
      </c>
      <c r="J12" s="626">
        <f t="shared" si="11"/>
        <v>392283</v>
      </c>
      <c r="K12" s="162">
        <f t="shared" si="3"/>
        <v>0</v>
      </c>
      <c r="L12" s="293">
        <f t="shared" si="4"/>
        <v>0</v>
      </c>
      <c r="M12" s="293">
        <f t="shared" si="5"/>
        <v>0</v>
      </c>
      <c r="N12" s="293">
        <f t="shared" si="6"/>
        <v>0</v>
      </c>
      <c r="O12" s="293">
        <f t="shared" si="12"/>
        <v>154.80303857058792</v>
      </c>
      <c r="P12" s="294">
        <f t="shared" si="13"/>
        <v>154.80303857058792</v>
      </c>
      <c r="Q12" s="294">
        <f>SUM(-tanks!AX14*tanks!$AU$37)</f>
        <v>0</v>
      </c>
      <c r="R12" s="294">
        <f t="shared" si="14"/>
        <v>154.80303857058792</v>
      </c>
      <c r="S12" s="296">
        <f>SUM(ELEC!N12)</f>
        <v>0</v>
      </c>
      <c r="T12" s="332">
        <f t="shared" si="16"/>
        <v>0</v>
      </c>
      <c r="V12" s="553"/>
      <c r="W12" s="262"/>
      <c r="X12" s="3"/>
      <c r="Y12" s="600">
        <f>'[1]EDl log'!Y29</f>
        <v>0</v>
      </c>
      <c r="Z12" s="600">
        <f>'[1]EDl log'!Z29</f>
        <v>0</v>
      </c>
      <c r="AA12" s="600">
        <f>'[1]EDl log'!AA29</f>
        <v>16100</v>
      </c>
      <c r="AB12" s="600">
        <f>'[1]EDl log'!AB29</f>
        <v>0</v>
      </c>
      <c r="AC12" s="600">
        <f>'[1]EDl log'!AC29</f>
        <v>7234333</v>
      </c>
      <c r="AD12" s="600">
        <f>'[1]EDl log'!AD29</f>
        <v>0</v>
      </c>
    </row>
    <row r="13" spans="1:32" ht="20.100000000000001" customHeight="1">
      <c r="A13" s="163">
        <f>ELEC!C13</f>
        <v>44387</v>
      </c>
      <c r="B13" s="626">
        <f t="shared" si="7"/>
        <v>1074707</v>
      </c>
      <c r="C13" s="262">
        <f t="shared" si="0"/>
        <v>0</v>
      </c>
      <c r="D13" s="305">
        <f t="shared" si="8"/>
        <v>0</v>
      </c>
      <c r="E13" s="305">
        <f t="shared" si="15"/>
        <v>1074707</v>
      </c>
      <c r="F13" s="626">
        <f t="shared" si="9"/>
        <v>157717</v>
      </c>
      <c r="G13" s="160">
        <f t="shared" si="1"/>
        <v>0</v>
      </c>
      <c r="H13" s="626">
        <f t="shared" si="10"/>
        <v>524705</v>
      </c>
      <c r="I13" s="161">
        <f t="shared" si="2"/>
        <v>0</v>
      </c>
      <c r="J13" s="626">
        <f t="shared" si="11"/>
        <v>392283</v>
      </c>
      <c r="K13" s="162">
        <f t="shared" si="3"/>
        <v>0</v>
      </c>
      <c r="L13" s="293">
        <f t="shared" si="4"/>
        <v>0</v>
      </c>
      <c r="M13" s="293">
        <f t="shared" si="5"/>
        <v>0</v>
      </c>
      <c r="N13" s="293">
        <f t="shared" si="6"/>
        <v>0</v>
      </c>
      <c r="O13" s="293">
        <f t="shared" si="12"/>
        <v>154.80303857058792</v>
      </c>
      <c r="P13" s="294">
        <f t="shared" si="13"/>
        <v>154.80303857058792</v>
      </c>
      <c r="Q13" s="294">
        <f>SUM(-tanks!AX15*tanks!$AU$37)</f>
        <v>0</v>
      </c>
      <c r="R13" s="294">
        <f t="shared" si="14"/>
        <v>154.80303857058792</v>
      </c>
      <c r="S13" s="296">
        <f>SUM(ELEC!N13)</f>
        <v>0</v>
      </c>
      <c r="T13" s="332">
        <f>IF(S13&gt;0,R13/S13,0)</f>
        <v>0</v>
      </c>
      <c r="V13" s="553" t="str">
        <f>'[6]EDl log'!V30</f>
        <v>Occ %</v>
      </c>
      <c r="W13" s="577">
        <f>'[1]EDl log'!W30</f>
        <v>0</v>
      </c>
      <c r="X13" s="496"/>
      <c r="Y13" s="262" t="str">
        <f>'[8]EDl log'!Y30</f>
        <v>Per G</v>
      </c>
      <c r="Z13" s="3"/>
      <c r="AA13" s="3"/>
      <c r="AB13" s="600">
        <f>'[1]EDl log'!AB30</f>
        <v>1953504</v>
      </c>
      <c r="AC13" s="600">
        <f>'[1]EDl log'!AC30</f>
        <v>0</v>
      </c>
    </row>
    <row r="14" spans="1:32" ht="20.100000000000001" customHeight="1">
      <c r="A14" s="163">
        <f>ELEC!C14</f>
        <v>44388</v>
      </c>
      <c r="B14" s="626">
        <f t="shared" si="7"/>
        <v>1074707</v>
      </c>
      <c r="C14" s="262">
        <f t="shared" si="0"/>
        <v>0</v>
      </c>
      <c r="D14" s="305">
        <f t="shared" si="8"/>
        <v>0</v>
      </c>
      <c r="E14" s="305">
        <f t="shared" si="15"/>
        <v>1074707</v>
      </c>
      <c r="F14" s="626">
        <f t="shared" si="9"/>
        <v>157717</v>
      </c>
      <c r="G14" s="160">
        <f t="shared" si="1"/>
        <v>0</v>
      </c>
      <c r="H14" s="626">
        <f t="shared" si="10"/>
        <v>524705</v>
      </c>
      <c r="I14" s="161">
        <f t="shared" si="2"/>
        <v>0</v>
      </c>
      <c r="J14" s="626">
        <f t="shared" si="11"/>
        <v>392283</v>
      </c>
      <c r="K14" s="162">
        <f>J14-J13</f>
        <v>0</v>
      </c>
      <c r="L14" s="293">
        <f>SUM(G14*$Y$28)/1507.5</f>
        <v>0</v>
      </c>
      <c r="M14" s="293">
        <f>SUM(I14*$Y$27)/1507.5</f>
        <v>0</v>
      </c>
      <c r="N14" s="293">
        <f>SUM(K14*$Y$26)/1507.5</f>
        <v>0</v>
      </c>
      <c r="O14" s="293">
        <f t="shared" si="12"/>
        <v>154.80303857058792</v>
      </c>
      <c r="P14" s="294">
        <f>SUM(L14:O14)</f>
        <v>154.80303857058792</v>
      </c>
      <c r="Q14" s="294">
        <f>SUM(-tanks!AX16*tanks!$AU$37)</f>
        <v>0</v>
      </c>
      <c r="R14" s="294">
        <f>SUM(P14:Q14)</f>
        <v>154.80303857058792</v>
      </c>
      <c r="S14" s="296">
        <f>SUM(ELEC!N14)</f>
        <v>0</v>
      </c>
      <c r="T14" s="332">
        <f>IF(S14&gt;0,R14/S14,0)</f>
        <v>0</v>
      </c>
      <c r="V14" s="553" t="str">
        <f>'[6]EDl log'!V31</f>
        <v>Gen RH</v>
      </c>
      <c r="W14" s="578">
        <f>'[1]EDl log'!$W$33</f>
        <v>573</v>
      </c>
      <c r="X14" s="613">
        <f>'[1]EDl log'!$X$33</f>
        <v>20.464285714285715</v>
      </c>
      <c r="Y14" s="601">
        <f>'[1]EDl log'!$Y$33</f>
        <v>20.464285714285715</v>
      </c>
      <c r="Z14" s="262"/>
      <c r="AA14" s="3"/>
      <c r="AB14" s="600">
        <f>'[1]EDl log'!AB31</f>
        <v>0</v>
      </c>
      <c r="AC14" s="600">
        <f>'[1]EDl log'!AC31</f>
        <v>0</v>
      </c>
    </row>
    <row r="15" spans="1:32" ht="20.100000000000001" customHeight="1">
      <c r="A15" s="163">
        <f>ELEC!C15</f>
        <v>44389</v>
      </c>
      <c r="B15" s="626">
        <f t="shared" si="7"/>
        <v>1074707</v>
      </c>
      <c r="C15" s="262">
        <f t="shared" si="0"/>
        <v>0</v>
      </c>
      <c r="D15" s="305">
        <f t="shared" si="8"/>
        <v>0</v>
      </c>
      <c r="E15" s="305">
        <f t="shared" si="15"/>
        <v>1074707</v>
      </c>
      <c r="F15" s="626">
        <f t="shared" si="9"/>
        <v>157717</v>
      </c>
      <c r="G15" s="160">
        <f t="shared" si="1"/>
        <v>0</v>
      </c>
      <c r="H15" s="626">
        <f t="shared" si="10"/>
        <v>524705</v>
      </c>
      <c r="I15" s="161">
        <f t="shared" si="2"/>
        <v>0</v>
      </c>
      <c r="J15" s="626">
        <f t="shared" si="11"/>
        <v>392283</v>
      </c>
      <c r="K15" s="162">
        <f>J15-J14</f>
        <v>0</v>
      </c>
      <c r="L15" s="293">
        <f>SUM(G15*$Y$28)/1507.5</f>
        <v>0</v>
      </c>
      <c r="M15" s="293">
        <f>SUM(I15*$Y$27)/1507.5</f>
        <v>0</v>
      </c>
      <c r="N15" s="293">
        <f>SUM(K15*$Y$26)/1507.5</f>
        <v>0</v>
      </c>
      <c r="O15" s="293">
        <f t="shared" si="12"/>
        <v>154.80303857058792</v>
      </c>
      <c r="P15" s="294">
        <f>SUM(L15:O15)</f>
        <v>154.80303857058792</v>
      </c>
      <c r="Q15" s="294">
        <f>SUM(-tanks!AX17*tanks!$AU$37)</f>
        <v>0</v>
      </c>
      <c r="R15" s="294">
        <f>SUM(P15:Q15)</f>
        <v>154.80303857058792</v>
      </c>
      <c r="S15" s="296">
        <f>SUM(ELEC!N15)</f>
        <v>0</v>
      </c>
      <c r="T15" s="332">
        <f>IF(S15&gt;0,R15/S15,0)</f>
        <v>0</v>
      </c>
      <c r="V15" s="553" t="str">
        <f>'[6]EDl log'!V32</f>
        <v>H Deg</v>
      </c>
      <c r="W15" s="252">
        <f>'[1]Degree Days 2020'!$V$43</f>
        <v>-18.3</v>
      </c>
      <c r="X15" s="252"/>
      <c r="Y15" s="262"/>
      <c r="Z15" s="262"/>
      <c r="AA15" s="3"/>
      <c r="AB15" s="600">
        <f>'[1]EDl log'!AB32</f>
        <v>0</v>
      </c>
      <c r="AC15" s="600">
        <f>'[1]EDl log'!AC32</f>
        <v>0</v>
      </c>
    </row>
    <row r="16" spans="1:32" ht="20.100000000000001" customHeight="1">
      <c r="A16" s="163">
        <f>ELEC!C16</f>
        <v>44390</v>
      </c>
      <c r="B16" s="626">
        <f t="shared" si="7"/>
        <v>1074707</v>
      </c>
      <c r="C16" s="262">
        <f t="shared" si="0"/>
        <v>0</v>
      </c>
      <c r="D16" s="305">
        <f t="shared" si="8"/>
        <v>0</v>
      </c>
      <c r="E16" s="305">
        <f t="shared" si="15"/>
        <v>1074707</v>
      </c>
      <c r="F16" s="626">
        <f t="shared" si="9"/>
        <v>157717</v>
      </c>
      <c r="G16" s="160">
        <f t="shared" si="1"/>
        <v>0</v>
      </c>
      <c r="H16" s="626">
        <f t="shared" si="10"/>
        <v>524705</v>
      </c>
      <c r="I16" s="161">
        <f t="shared" si="2"/>
        <v>0</v>
      </c>
      <c r="J16" s="626">
        <f t="shared" si="11"/>
        <v>392283</v>
      </c>
      <c r="K16" s="162">
        <f>J16-J15</f>
        <v>0</v>
      </c>
      <c r="L16" s="293">
        <f>SUM(G16*$Y$28)/1507.5</f>
        <v>0</v>
      </c>
      <c r="M16" s="293">
        <f>SUM(I16*$Y$27)/1507.5</f>
        <v>0</v>
      </c>
      <c r="N16" s="293">
        <f>SUM(K16*$Y$26)/1507.5</f>
        <v>0</v>
      </c>
      <c r="O16" s="293">
        <f t="shared" si="12"/>
        <v>154.80303857058792</v>
      </c>
      <c r="P16" s="294">
        <f>SUM(L16:O16)</f>
        <v>154.80303857058792</v>
      </c>
      <c r="Q16" s="294">
        <f>SUM(-tanks!AX18*tanks!$AU$37)</f>
        <v>0</v>
      </c>
      <c r="R16" s="294">
        <f>SUM(P16:Q16)</f>
        <v>154.80303857058792</v>
      </c>
      <c r="S16" s="296">
        <f>SUM(ELEC!N16)</f>
        <v>0</v>
      </c>
      <c r="T16" s="332">
        <f>IF(S16&gt;0,R16/S16,0)</f>
        <v>0</v>
      </c>
      <c r="V16" s="553" t="str">
        <f>'[6]EDl log'!V33</f>
        <v>C Deg</v>
      </c>
      <c r="W16" s="252">
        <f>'[1]Degree Days 2020'!$W$43</f>
        <v>208.79999999999993</v>
      </c>
      <c r="X16" s="252"/>
      <c r="Y16" s="252"/>
      <c r="Z16" s="3"/>
      <c r="AA16" s="3"/>
      <c r="AB16" s="600">
        <f>'[1]EDl log'!AB33</f>
        <v>9187837</v>
      </c>
      <c r="AC16" s="600">
        <f>'[1]EDl log'!AC33</f>
        <v>7234333</v>
      </c>
    </row>
    <row r="17" spans="1:32" ht="20.100000000000001" customHeight="1">
      <c r="A17" s="163">
        <f>ELEC!C17</f>
        <v>44391</v>
      </c>
      <c r="B17" s="626">
        <f t="shared" si="7"/>
        <v>1074707</v>
      </c>
      <c r="C17" s="262">
        <f t="shared" si="0"/>
        <v>0</v>
      </c>
      <c r="D17" s="305">
        <f t="shared" si="8"/>
        <v>0</v>
      </c>
      <c r="E17" s="305">
        <f t="shared" si="15"/>
        <v>1074707</v>
      </c>
      <c r="F17" s="626">
        <f t="shared" si="9"/>
        <v>157717</v>
      </c>
      <c r="G17" s="160">
        <f t="shared" si="1"/>
        <v>0</v>
      </c>
      <c r="H17" s="626">
        <f t="shared" si="10"/>
        <v>524705</v>
      </c>
      <c r="I17" s="161">
        <f t="shared" si="2"/>
        <v>0</v>
      </c>
      <c r="J17" s="626">
        <f t="shared" si="11"/>
        <v>392283</v>
      </c>
      <c r="K17" s="162">
        <f>J17-J16</f>
        <v>0</v>
      </c>
      <c r="L17" s="293">
        <f>SUM(G17*$Y$28)/1507.5</f>
        <v>0</v>
      </c>
      <c r="M17" s="293">
        <f>SUM(I17*$Y$27)/1507.5</f>
        <v>0</v>
      </c>
      <c r="N17" s="293">
        <f>SUM(K17*$Y$26)/1507.5</f>
        <v>0</v>
      </c>
      <c r="O17" s="293">
        <f t="shared" si="12"/>
        <v>154.80303857058792</v>
      </c>
      <c r="P17" s="294">
        <f>SUM(L17:O17)</f>
        <v>154.80303857058792</v>
      </c>
      <c r="Q17" s="294">
        <f>SUM(-tanks!AX19*tanks!$AU$37)</f>
        <v>0</v>
      </c>
      <c r="R17" s="294">
        <f>SUM(P17:Q17)</f>
        <v>154.80303857058792</v>
      </c>
      <c r="S17" s="296">
        <f>SUM(ELEC!N17)</f>
        <v>0</v>
      </c>
      <c r="T17" s="332">
        <f>IF(S17&gt;0,R17/S17,0)</f>
        <v>0</v>
      </c>
      <c r="V17" s="251"/>
      <c r="W17" s="496"/>
      <c r="X17" s="17"/>
      <c r="Y17" s="426"/>
      <c r="Z17" s="496" t="s">
        <v>415</v>
      </c>
      <c r="AA17" s="569">
        <f>'[9]EDl log'!AA34</f>
        <v>0.11</v>
      </c>
      <c r="AB17" s="600">
        <f>'[1]EDl log'!AB34</f>
        <v>0</v>
      </c>
      <c r="AC17" s="600">
        <f>'[1]EDl log'!AC34</f>
        <v>0</v>
      </c>
    </row>
    <row r="18" spans="1:32" ht="20.100000000000001" customHeight="1" thickBot="1">
      <c r="A18" s="163">
        <f>ELEC!C18</f>
        <v>44392</v>
      </c>
      <c r="B18" s="626">
        <f t="shared" si="7"/>
        <v>1074707</v>
      </c>
      <c r="C18" s="262">
        <f t="shared" si="0"/>
        <v>0</v>
      </c>
      <c r="D18" s="305">
        <f t="shared" si="8"/>
        <v>0</v>
      </c>
      <c r="E18" s="305">
        <f t="shared" si="15"/>
        <v>1074707</v>
      </c>
      <c r="F18" s="626">
        <f t="shared" si="9"/>
        <v>157717</v>
      </c>
      <c r="G18" s="160">
        <f t="shared" si="1"/>
        <v>0</v>
      </c>
      <c r="H18" s="626">
        <f t="shared" si="10"/>
        <v>524705</v>
      </c>
      <c r="I18" s="161">
        <f t="shared" si="2"/>
        <v>0</v>
      </c>
      <c r="J18" s="626">
        <f t="shared" si="11"/>
        <v>392283</v>
      </c>
      <c r="K18" s="162">
        <f t="shared" si="3"/>
        <v>0</v>
      </c>
      <c r="L18" s="293">
        <f t="shared" ref="L18:L30" si="17">SUM(G18*$Y$28)/1507.5</f>
        <v>0</v>
      </c>
      <c r="M18" s="293">
        <f t="shared" ref="M18:M30" si="18">SUM(I18*$Y$27)/1507.5</f>
        <v>0</v>
      </c>
      <c r="N18" s="293">
        <f t="shared" ref="N18:N30" si="19">SUM(K18*$Y$26)/1507.5</f>
        <v>0</v>
      </c>
      <c r="O18" s="293">
        <f t="shared" si="12"/>
        <v>154.80303857058792</v>
      </c>
      <c r="P18" s="294">
        <f t="shared" si="13"/>
        <v>154.80303857058792</v>
      </c>
      <c r="Q18" s="294">
        <f>SUM(-tanks!AX20*tanks!$AU$37)</f>
        <v>0</v>
      </c>
      <c r="R18" s="294">
        <f t="shared" si="14"/>
        <v>154.80303857058792</v>
      </c>
      <c r="S18" s="296">
        <f>SUM(ELEC!N18)</f>
        <v>0</v>
      </c>
      <c r="T18" s="332">
        <f t="shared" si="16"/>
        <v>0</v>
      </c>
      <c r="V18" s="226"/>
      <c r="W18" s="227"/>
      <c r="X18" s="227"/>
      <c r="Y18" s="426"/>
      <c r="Z18" s="496"/>
      <c r="AA18" s="569"/>
      <c r="AB18" s="600">
        <f>'[1]EDl log'!AB35</f>
        <v>0</v>
      </c>
      <c r="AC18" s="600">
        <f>'[1]EDl log'!AC35</f>
        <v>0</v>
      </c>
    </row>
    <row r="19" spans="1:32" ht="20.100000000000001" customHeight="1" thickBot="1">
      <c r="A19" s="163">
        <f>ELEC!C19</f>
        <v>44393</v>
      </c>
      <c r="B19" s="626">
        <f t="shared" si="7"/>
        <v>1074707</v>
      </c>
      <c r="C19" s="262">
        <f t="shared" si="0"/>
        <v>0</v>
      </c>
      <c r="D19" s="305">
        <f t="shared" si="8"/>
        <v>0</v>
      </c>
      <c r="E19" s="305">
        <f t="shared" si="15"/>
        <v>1074707</v>
      </c>
      <c r="F19" s="626">
        <f t="shared" si="9"/>
        <v>157717</v>
      </c>
      <c r="G19" s="160">
        <f t="shared" si="1"/>
        <v>0</v>
      </c>
      <c r="H19" s="626">
        <f t="shared" si="10"/>
        <v>524705</v>
      </c>
      <c r="I19" s="161">
        <f t="shared" si="2"/>
        <v>0</v>
      </c>
      <c r="J19" s="626">
        <f t="shared" si="11"/>
        <v>392283</v>
      </c>
      <c r="K19" s="162">
        <f t="shared" si="3"/>
        <v>0</v>
      </c>
      <c r="L19" s="293">
        <f t="shared" si="17"/>
        <v>0</v>
      </c>
      <c r="M19" s="293">
        <f t="shared" si="18"/>
        <v>0</v>
      </c>
      <c r="N19" s="293">
        <f t="shared" si="19"/>
        <v>0</v>
      </c>
      <c r="O19" s="293">
        <f t="shared" si="12"/>
        <v>154.80303857058792</v>
      </c>
      <c r="P19" s="294">
        <f t="shared" si="13"/>
        <v>154.80303857058792</v>
      </c>
      <c r="Q19" s="294">
        <f>SUM(-tanks!AX21*tanks!$AU$37)</f>
        <v>0</v>
      </c>
      <c r="R19" s="294">
        <f t="shared" si="14"/>
        <v>154.80303857058792</v>
      </c>
      <c r="S19" s="296">
        <f>SUM(ELEC!N19)</f>
        <v>0</v>
      </c>
      <c r="T19" s="332">
        <f t="shared" si="16"/>
        <v>0</v>
      </c>
      <c r="V19" s="226"/>
      <c r="W19" s="227"/>
      <c r="X19" s="227"/>
      <c r="Y19" s="554"/>
      <c r="Z19" s="554"/>
      <c r="AA19" s="569"/>
      <c r="AB19" s="600">
        <f>'[1]EDl log'!AB36</f>
        <v>6094.7509121061357</v>
      </c>
      <c r="AC19" s="600">
        <f>'[1]EDl log'!AC36</f>
        <v>0</v>
      </c>
    </row>
    <row r="20" spans="1:32" ht="20.100000000000001" customHeight="1" thickBot="1">
      <c r="A20" s="163">
        <f>ELEC!C20</f>
        <v>44394</v>
      </c>
      <c r="B20" s="626">
        <f t="shared" si="7"/>
        <v>1074707</v>
      </c>
      <c r="C20" s="262">
        <f t="shared" si="0"/>
        <v>0</v>
      </c>
      <c r="D20" s="305">
        <f t="shared" si="8"/>
        <v>0</v>
      </c>
      <c r="E20" s="305">
        <f t="shared" si="15"/>
        <v>1074707</v>
      </c>
      <c r="F20" s="626">
        <f t="shared" si="9"/>
        <v>157717</v>
      </c>
      <c r="G20" s="160">
        <f t="shared" si="1"/>
        <v>0</v>
      </c>
      <c r="H20" s="626">
        <f t="shared" si="10"/>
        <v>524705</v>
      </c>
      <c r="I20" s="161">
        <f t="shared" si="2"/>
        <v>0</v>
      </c>
      <c r="J20" s="626">
        <f t="shared" si="11"/>
        <v>392283</v>
      </c>
      <c r="K20" s="162">
        <f t="shared" si="3"/>
        <v>0</v>
      </c>
      <c r="L20" s="293">
        <f t="shared" si="17"/>
        <v>0</v>
      </c>
      <c r="M20" s="293">
        <f t="shared" si="18"/>
        <v>0</v>
      </c>
      <c r="N20" s="293">
        <f t="shared" si="19"/>
        <v>0</v>
      </c>
      <c r="O20" s="293">
        <f t="shared" si="12"/>
        <v>154.80303857058792</v>
      </c>
      <c r="P20" s="294">
        <f t="shared" si="13"/>
        <v>154.80303857058792</v>
      </c>
      <c r="Q20" s="294">
        <f>SUM(-tanks!AX22*tanks!$AU$37)</f>
        <v>0</v>
      </c>
      <c r="R20" s="294">
        <f t="shared" si="14"/>
        <v>154.80303857058792</v>
      </c>
      <c r="S20" s="296">
        <f>SUM(ELEC!N20)</f>
        <v>0</v>
      </c>
      <c r="T20" s="332">
        <f t="shared" si="16"/>
        <v>0</v>
      </c>
      <c r="V20" t="s">
        <v>411</v>
      </c>
      <c r="AB20" s="552"/>
    </row>
    <row r="21" spans="1:32" ht="20.100000000000001" customHeight="1">
      <c r="A21" s="163">
        <f>ELEC!C21</f>
        <v>44395</v>
      </c>
      <c r="B21" s="626">
        <f t="shared" si="7"/>
        <v>1074707</v>
      </c>
      <c r="C21" s="262">
        <f t="shared" si="0"/>
        <v>0</v>
      </c>
      <c r="D21" s="305">
        <f t="shared" si="8"/>
        <v>0</v>
      </c>
      <c r="E21" s="305">
        <f t="shared" si="15"/>
        <v>1074707</v>
      </c>
      <c r="F21" s="626">
        <f t="shared" si="9"/>
        <v>157717</v>
      </c>
      <c r="G21" s="160">
        <f t="shared" si="1"/>
        <v>0</v>
      </c>
      <c r="H21" s="626">
        <f t="shared" si="10"/>
        <v>524705</v>
      </c>
      <c r="I21" s="161">
        <f t="shared" si="2"/>
        <v>0</v>
      </c>
      <c r="J21" s="626">
        <f t="shared" si="11"/>
        <v>392283</v>
      </c>
      <c r="K21" s="162">
        <f t="shared" si="3"/>
        <v>0</v>
      </c>
      <c r="L21" s="293">
        <f t="shared" si="17"/>
        <v>0</v>
      </c>
      <c r="M21" s="293">
        <f t="shared" si="18"/>
        <v>0</v>
      </c>
      <c r="N21" s="293">
        <f t="shared" si="19"/>
        <v>0</v>
      </c>
      <c r="O21" s="293">
        <f t="shared" si="12"/>
        <v>154.80303857058792</v>
      </c>
      <c r="P21" s="294">
        <f t="shared" si="13"/>
        <v>154.80303857058792</v>
      </c>
      <c r="Q21" s="294">
        <f>SUM(-tanks!AX23*tanks!$AU$37)</f>
        <v>0</v>
      </c>
      <c r="R21" s="294">
        <f t="shared" si="14"/>
        <v>154.80303857058792</v>
      </c>
      <c r="S21" s="296">
        <f>SUM(ELEC!N21)</f>
        <v>0</v>
      </c>
      <c r="T21" s="332">
        <f t="shared" si="16"/>
        <v>0</v>
      </c>
      <c r="V21" s="166" t="s">
        <v>201</v>
      </c>
      <c r="W21" s="167">
        <v>44378</v>
      </c>
      <c r="X21" s="168"/>
      <c r="Y21" s="168"/>
      <c r="Z21" s="169" t="s">
        <v>202</v>
      </c>
      <c r="AA21" s="168"/>
      <c r="AB21" s="694"/>
      <c r="AC21" s="695"/>
    </row>
    <row r="22" spans="1:32" ht="20.100000000000001" customHeight="1">
      <c r="A22" s="163">
        <f>ELEC!C22</f>
        <v>44396</v>
      </c>
      <c r="B22" s="626">
        <f t="shared" si="7"/>
        <v>1074707</v>
      </c>
      <c r="C22" s="262">
        <f t="shared" si="0"/>
        <v>0</v>
      </c>
      <c r="D22" s="305">
        <f t="shared" si="8"/>
        <v>0</v>
      </c>
      <c r="E22" s="305">
        <f t="shared" si="15"/>
        <v>1074707</v>
      </c>
      <c r="F22" s="626">
        <f t="shared" si="9"/>
        <v>157717</v>
      </c>
      <c r="G22" s="160">
        <f t="shared" si="1"/>
        <v>0</v>
      </c>
      <c r="H22" s="626">
        <f t="shared" si="10"/>
        <v>524705</v>
      </c>
      <c r="I22" s="161">
        <f t="shared" si="2"/>
        <v>0</v>
      </c>
      <c r="J22" s="626">
        <f t="shared" si="11"/>
        <v>392283</v>
      </c>
      <c r="K22" s="162">
        <f t="shared" si="3"/>
        <v>0</v>
      </c>
      <c r="L22" s="293">
        <f t="shared" si="17"/>
        <v>0</v>
      </c>
      <c r="M22" s="293">
        <f t="shared" si="18"/>
        <v>0</v>
      </c>
      <c r="N22" s="293">
        <f t="shared" si="19"/>
        <v>0</v>
      </c>
      <c r="O22" s="293">
        <f t="shared" si="12"/>
        <v>154.80303857058792</v>
      </c>
      <c r="P22" s="294">
        <f t="shared" si="13"/>
        <v>154.80303857058792</v>
      </c>
      <c r="Q22" s="294">
        <f>SUM(-tanks!AX24*tanks!$AU$37)</f>
        <v>0</v>
      </c>
      <c r="R22" s="294">
        <f t="shared" si="14"/>
        <v>154.80303857058792</v>
      </c>
      <c r="S22" s="296">
        <f>SUM(ELEC!N22)</f>
        <v>0</v>
      </c>
      <c r="T22" s="332">
        <f t="shared" si="16"/>
        <v>0</v>
      </c>
      <c r="V22" s="700"/>
      <c r="W22" s="701"/>
      <c r="X22" s="701"/>
      <c r="Y22" s="702"/>
      <c r="Z22" s="26" t="s">
        <v>203</v>
      </c>
      <c r="AA22" s="26">
        <v>5000</v>
      </c>
      <c r="AB22" s="696"/>
      <c r="AC22" s="697"/>
    </row>
    <row r="23" spans="1:32" ht="20.100000000000001" customHeight="1">
      <c r="A23" s="163">
        <f>ELEC!C23</f>
        <v>44397</v>
      </c>
      <c r="B23" s="626">
        <f t="shared" si="7"/>
        <v>1074707</v>
      </c>
      <c r="C23" s="262">
        <f t="shared" si="0"/>
        <v>0</v>
      </c>
      <c r="D23" s="305">
        <f t="shared" si="8"/>
        <v>0</v>
      </c>
      <c r="E23" s="305">
        <f t="shared" si="15"/>
        <v>1074707</v>
      </c>
      <c r="F23" s="626">
        <f t="shared" si="9"/>
        <v>157717</v>
      </c>
      <c r="G23" s="160">
        <f t="shared" si="1"/>
        <v>0</v>
      </c>
      <c r="H23" s="626">
        <f t="shared" si="10"/>
        <v>524705</v>
      </c>
      <c r="I23" s="161">
        <f t="shared" si="2"/>
        <v>0</v>
      </c>
      <c r="J23" s="626">
        <f t="shared" si="11"/>
        <v>392283</v>
      </c>
      <c r="K23" s="162">
        <f t="shared" si="3"/>
        <v>0</v>
      </c>
      <c r="L23" s="293">
        <f t="shared" si="17"/>
        <v>0</v>
      </c>
      <c r="M23" s="293">
        <f t="shared" si="18"/>
        <v>0</v>
      </c>
      <c r="N23" s="293">
        <f t="shared" si="19"/>
        <v>0</v>
      </c>
      <c r="O23" s="293">
        <f t="shared" si="12"/>
        <v>154.80303857058792</v>
      </c>
      <c r="P23" s="294">
        <f t="shared" si="13"/>
        <v>154.80303857058792</v>
      </c>
      <c r="Q23" s="294">
        <f>SUM(-tanks!AX25*tanks!$AU$37)</f>
        <v>0</v>
      </c>
      <c r="R23" s="294">
        <f t="shared" si="14"/>
        <v>154.80303857058792</v>
      </c>
      <c r="S23" s="296">
        <f>SUM(ELEC!N23)</f>
        <v>0</v>
      </c>
      <c r="T23" s="332">
        <f t="shared" si="16"/>
        <v>0</v>
      </c>
      <c r="V23" s="703"/>
      <c r="W23" s="704"/>
      <c r="X23" s="704"/>
      <c r="Y23" s="705"/>
      <c r="Z23" s="706"/>
      <c r="AA23" s="707"/>
      <c r="AB23" s="696"/>
      <c r="AC23" s="697"/>
    </row>
    <row r="24" spans="1:32" ht="20.100000000000001" customHeight="1">
      <c r="A24" s="163">
        <f>ELEC!C24</f>
        <v>44398</v>
      </c>
      <c r="B24" s="626">
        <f t="shared" si="7"/>
        <v>1074707</v>
      </c>
      <c r="C24" s="262">
        <f t="shared" si="0"/>
        <v>0</v>
      </c>
      <c r="D24" s="305">
        <f t="shared" si="8"/>
        <v>0</v>
      </c>
      <c r="E24" s="305">
        <f t="shared" si="15"/>
        <v>1074707</v>
      </c>
      <c r="F24" s="626">
        <f t="shared" si="9"/>
        <v>157717</v>
      </c>
      <c r="G24" s="160">
        <f t="shared" si="1"/>
        <v>0</v>
      </c>
      <c r="H24" s="626">
        <f t="shared" si="10"/>
        <v>524705</v>
      </c>
      <c r="I24" s="161">
        <f t="shared" si="2"/>
        <v>0</v>
      </c>
      <c r="J24" s="626">
        <f t="shared" si="11"/>
        <v>392283</v>
      </c>
      <c r="K24" s="162">
        <f t="shared" si="3"/>
        <v>0</v>
      </c>
      <c r="L24" s="293">
        <f t="shared" si="17"/>
        <v>0</v>
      </c>
      <c r="M24" s="293">
        <f t="shared" si="18"/>
        <v>0</v>
      </c>
      <c r="N24" s="293">
        <f t="shared" si="19"/>
        <v>0</v>
      </c>
      <c r="O24" s="293">
        <f t="shared" si="12"/>
        <v>154.80303857058792</v>
      </c>
      <c r="P24" s="294">
        <f t="shared" si="13"/>
        <v>154.80303857058792</v>
      </c>
      <c r="Q24" s="294">
        <f>SUM(-tanks!AX26*tanks!$AU$37)</f>
        <v>0</v>
      </c>
      <c r="R24" s="294">
        <f t="shared" si="14"/>
        <v>154.80303857058792</v>
      </c>
      <c r="S24" s="296">
        <f>SUM(ELEC!N24)</f>
        <v>0</v>
      </c>
      <c r="T24" s="332">
        <f t="shared" si="16"/>
        <v>0</v>
      </c>
      <c r="V24" s="708" t="s">
        <v>204</v>
      </c>
      <c r="W24" s="709"/>
      <c r="X24" s="710" t="s">
        <v>205</v>
      </c>
      <c r="Y24" s="711"/>
      <c r="Z24" s="712"/>
      <c r="AA24" s="170"/>
      <c r="AB24" s="698"/>
      <c r="AC24" s="699"/>
    </row>
    <row r="25" spans="1:32" ht="20.100000000000001" customHeight="1">
      <c r="A25" s="163">
        <f>ELEC!C25</f>
        <v>44399</v>
      </c>
      <c r="B25" s="626">
        <f t="shared" si="7"/>
        <v>1074707</v>
      </c>
      <c r="C25" s="262">
        <f t="shared" si="0"/>
        <v>0</v>
      </c>
      <c r="D25" s="305">
        <f t="shared" si="8"/>
        <v>0</v>
      </c>
      <c r="E25" s="305">
        <f t="shared" si="15"/>
        <v>1074707</v>
      </c>
      <c r="F25" s="626">
        <f t="shared" si="9"/>
        <v>157717</v>
      </c>
      <c r="G25" s="160">
        <f t="shared" si="1"/>
        <v>0</v>
      </c>
      <c r="H25" s="626">
        <f t="shared" si="10"/>
        <v>524705</v>
      </c>
      <c r="I25" s="161">
        <f t="shared" si="2"/>
        <v>0</v>
      </c>
      <c r="J25" s="626">
        <f t="shared" si="11"/>
        <v>392283</v>
      </c>
      <c r="K25" s="162">
        <f t="shared" si="3"/>
        <v>0</v>
      </c>
      <c r="L25" s="293">
        <f t="shared" si="17"/>
        <v>0</v>
      </c>
      <c r="M25" s="293">
        <f t="shared" si="18"/>
        <v>0</v>
      </c>
      <c r="N25" s="293">
        <f t="shared" si="19"/>
        <v>0</v>
      </c>
      <c r="O25" s="293">
        <f t="shared" si="12"/>
        <v>154.80303857058792</v>
      </c>
      <c r="P25" s="294">
        <f t="shared" si="13"/>
        <v>154.80303857058792</v>
      </c>
      <c r="Q25" s="294">
        <f>SUM(-tanks!AX27*tanks!$AU$37)</f>
        <v>0</v>
      </c>
      <c r="R25" s="294">
        <f t="shared" si="14"/>
        <v>154.80303857058792</v>
      </c>
      <c r="S25" s="296">
        <f>SUM(ELEC!N25)</f>
        <v>0</v>
      </c>
      <c r="T25" s="332">
        <f t="shared" si="16"/>
        <v>0</v>
      </c>
      <c r="V25" s="245" t="s">
        <v>206</v>
      </c>
      <c r="W25" s="246" t="s">
        <v>207</v>
      </c>
      <c r="X25" s="246"/>
      <c r="Y25" s="246" t="s">
        <v>208</v>
      </c>
      <c r="Z25" s="246" t="s">
        <v>209</v>
      </c>
      <c r="AA25" s="246" t="s">
        <v>210</v>
      </c>
      <c r="AB25" s="246" t="s">
        <v>211</v>
      </c>
      <c r="AC25" s="171" t="s">
        <v>212</v>
      </c>
    </row>
    <row r="26" spans="1:32" ht="20.100000000000001" customHeight="1">
      <c r="A26" s="163">
        <f>ELEC!C26</f>
        <v>44400</v>
      </c>
      <c r="B26" s="626">
        <f t="shared" si="7"/>
        <v>1074707</v>
      </c>
      <c r="C26" s="262">
        <f t="shared" si="0"/>
        <v>0</v>
      </c>
      <c r="D26" s="305">
        <f t="shared" si="8"/>
        <v>0</v>
      </c>
      <c r="E26" s="305">
        <f t="shared" si="15"/>
        <v>1074707</v>
      </c>
      <c r="F26" s="626">
        <f t="shared" si="9"/>
        <v>157717</v>
      </c>
      <c r="G26" s="160">
        <f t="shared" si="1"/>
        <v>0</v>
      </c>
      <c r="H26" s="626">
        <f t="shared" si="10"/>
        <v>524705</v>
      </c>
      <c r="I26" s="161">
        <f t="shared" si="2"/>
        <v>0</v>
      </c>
      <c r="J26" s="626">
        <f t="shared" si="11"/>
        <v>392283</v>
      </c>
      <c r="K26" s="162">
        <f t="shared" si="3"/>
        <v>0</v>
      </c>
      <c r="L26" s="293">
        <f t="shared" si="17"/>
        <v>0</v>
      </c>
      <c r="M26" s="293">
        <f t="shared" si="18"/>
        <v>0</v>
      </c>
      <c r="N26" s="293">
        <f t="shared" si="19"/>
        <v>0</v>
      </c>
      <c r="O26" s="293">
        <f t="shared" si="12"/>
        <v>154.80303857058792</v>
      </c>
      <c r="P26" s="294">
        <f t="shared" si="13"/>
        <v>154.80303857058792</v>
      </c>
      <c r="Q26" s="294">
        <f>SUM(-tanks!AX28*tanks!$AU$37)</f>
        <v>0</v>
      </c>
      <c r="R26" s="294">
        <f t="shared" si="14"/>
        <v>154.80303857058792</v>
      </c>
      <c r="S26" s="296">
        <f>SUM(ELEC!N26)</f>
        <v>0</v>
      </c>
      <c r="T26" s="332">
        <f t="shared" si="16"/>
        <v>0</v>
      </c>
      <c r="V26" s="252">
        <f>W9</f>
        <v>392065</v>
      </c>
      <c r="W26" s="170">
        <f>J33</f>
        <v>392283</v>
      </c>
      <c r="X26" s="172" t="s">
        <v>199</v>
      </c>
      <c r="Y26" s="172">
        <v>80</v>
      </c>
      <c r="Z26" s="172">
        <v>1</v>
      </c>
      <c r="AA26" s="334">
        <f>(W26-V26)*Z26</f>
        <v>218</v>
      </c>
      <c r="AB26" s="334">
        <f>AA26*Y26</f>
        <v>17440</v>
      </c>
      <c r="AC26" s="247">
        <f>AC9</f>
        <v>1033333</v>
      </c>
      <c r="AD26" s="495">
        <f>SUM(K36)</f>
        <v>0.26946847960444992</v>
      </c>
    </row>
    <row r="27" spans="1:32" ht="20.100000000000001" customHeight="1">
      <c r="A27" s="163">
        <f>ELEC!C27</f>
        <v>44401</v>
      </c>
      <c r="B27" s="626">
        <f t="shared" si="7"/>
        <v>1074707</v>
      </c>
      <c r="C27" s="262">
        <f t="shared" si="0"/>
        <v>0</v>
      </c>
      <c r="D27" s="305">
        <f t="shared" si="8"/>
        <v>0</v>
      </c>
      <c r="E27" s="305">
        <f t="shared" si="15"/>
        <v>1074707</v>
      </c>
      <c r="F27" s="626">
        <f t="shared" si="9"/>
        <v>157717</v>
      </c>
      <c r="G27" s="160">
        <f t="shared" si="1"/>
        <v>0</v>
      </c>
      <c r="H27" s="626">
        <f t="shared" si="10"/>
        <v>524705</v>
      </c>
      <c r="I27" s="161">
        <f t="shared" si="2"/>
        <v>0</v>
      </c>
      <c r="J27" s="626">
        <f t="shared" si="11"/>
        <v>392283</v>
      </c>
      <c r="K27" s="162">
        <f t="shared" si="3"/>
        <v>0</v>
      </c>
      <c r="L27" s="293">
        <f t="shared" si="17"/>
        <v>0</v>
      </c>
      <c r="M27" s="293">
        <f t="shared" si="18"/>
        <v>0</v>
      </c>
      <c r="N27" s="293">
        <f t="shared" si="19"/>
        <v>0</v>
      </c>
      <c r="O27" s="293">
        <f t="shared" si="12"/>
        <v>154.80303857058792</v>
      </c>
      <c r="P27" s="294">
        <f t="shared" si="13"/>
        <v>154.80303857058792</v>
      </c>
      <c r="Q27" s="294">
        <f>SUM(-tanks!AX29*tanks!$AU$37)</f>
        <v>0</v>
      </c>
      <c r="R27" s="294">
        <f t="shared" si="14"/>
        <v>154.80303857058792</v>
      </c>
      <c r="S27" s="296">
        <f>SUM(ELEC!N27)</f>
        <v>0</v>
      </c>
      <c r="T27" s="332">
        <f t="shared" si="16"/>
        <v>0</v>
      </c>
      <c r="V27" s="252">
        <f>W10</f>
        <v>524114</v>
      </c>
      <c r="W27" s="170">
        <f>H33</f>
        <v>524705</v>
      </c>
      <c r="X27" s="172" t="s">
        <v>213</v>
      </c>
      <c r="Y27" s="172">
        <v>112</v>
      </c>
      <c r="Z27" s="172">
        <v>1</v>
      </c>
      <c r="AA27" s="334">
        <f>(W27-V27)*Z27</f>
        <v>591</v>
      </c>
      <c r="AB27" s="334">
        <f>SUM(AA27*Y27)</f>
        <v>66192</v>
      </c>
      <c r="AC27" s="247">
        <f>AC10</f>
        <v>6200000</v>
      </c>
      <c r="AD27" s="495">
        <f>SUM(I36)</f>
        <v>0.73053152039555003</v>
      </c>
    </row>
    <row r="28" spans="1:32" ht="20.100000000000001" customHeight="1">
      <c r="A28" s="163">
        <f>ELEC!C28</f>
        <v>44402</v>
      </c>
      <c r="B28" s="626">
        <f t="shared" si="7"/>
        <v>1074707</v>
      </c>
      <c r="C28" s="262">
        <f t="shared" si="0"/>
        <v>0</v>
      </c>
      <c r="D28" s="305">
        <f t="shared" si="8"/>
        <v>0</v>
      </c>
      <c r="E28" s="305">
        <f t="shared" si="15"/>
        <v>1074707</v>
      </c>
      <c r="F28" s="626">
        <f t="shared" si="9"/>
        <v>157717</v>
      </c>
      <c r="G28" s="160">
        <f t="shared" si="1"/>
        <v>0</v>
      </c>
      <c r="H28" s="626">
        <f t="shared" si="10"/>
        <v>524705</v>
      </c>
      <c r="I28" s="161">
        <f t="shared" si="2"/>
        <v>0</v>
      </c>
      <c r="J28" s="626">
        <f t="shared" si="11"/>
        <v>392283</v>
      </c>
      <c r="K28" s="162">
        <f t="shared" si="3"/>
        <v>0</v>
      </c>
      <c r="L28" s="293">
        <f t="shared" si="17"/>
        <v>0</v>
      </c>
      <c r="M28" s="293">
        <f t="shared" si="18"/>
        <v>0</v>
      </c>
      <c r="N28" s="293">
        <f t="shared" si="19"/>
        <v>0</v>
      </c>
      <c r="O28" s="293">
        <f t="shared" si="12"/>
        <v>154.80303857058792</v>
      </c>
      <c r="P28" s="294">
        <f t="shared" si="13"/>
        <v>154.80303857058792</v>
      </c>
      <c r="Q28" s="294">
        <f>SUM(-tanks!AX30*tanks!$AU$37)</f>
        <v>0</v>
      </c>
      <c r="R28" s="294">
        <f t="shared" si="14"/>
        <v>154.80303857058792</v>
      </c>
      <c r="S28" s="296">
        <f>SUM(ELEC!N28)</f>
        <v>0</v>
      </c>
      <c r="T28" s="332">
        <f t="shared" si="16"/>
        <v>0</v>
      </c>
      <c r="V28" s="252">
        <f>W11</f>
        <v>157717</v>
      </c>
      <c r="W28" s="170">
        <f>F33</f>
        <v>157717</v>
      </c>
      <c r="X28" s="172" t="s">
        <v>197</v>
      </c>
      <c r="Y28" s="172">
        <v>320</v>
      </c>
      <c r="Z28" s="172">
        <v>1</v>
      </c>
      <c r="AA28" s="334">
        <f>(W28-V28)*Z28</f>
        <v>0</v>
      </c>
      <c r="AB28" s="334">
        <f>SUM(AA28*Y28)</f>
        <v>0</v>
      </c>
      <c r="AC28" s="247">
        <f>AC11</f>
        <v>1000</v>
      </c>
      <c r="AD28" s="495">
        <f>SUM(G36)</f>
        <v>0</v>
      </c>
      <c r="AE28" s="40">
        <f>SUM(AB28*5%)</f>
        <v>0</v>
      </c>
      <c r="AF28" s="82">
        <f>SUM(AE28/7)*31</f>
        <v>0</v>
      </c>
    </row>
    <row r="29" spans="1:32" ht="20.100000000000001" customHeight="1">
      <c r="A29" s="163">
        <f>ELEC!C29</f>
        <v>44403</v>
      </c>
      <c r="B29" s="626">
        <f t="shared" si="7"/>
        <v>1074707</v>
      </c>
      <c r="C29" s="262">
        <f t="shared" si="0"/>
        <v>0</v>
      </c>
      <c r="D29" s="305">
        <f t="shared" si="8"/>
        <v>0</v>
      </c>
      <c r="E29" s="305">
        <f t="shared" si="15"/>
        <v>1074707</v>
      </c>
      <c r="F29" s="626">
        <f t="shared" si="9"/>
        <v>157717</v>
      </c>
      <c r="G29" s="160">
        <f t="shared" si="1"/>
        <v>0</v>
      </c>
      <c r="H29" s="626">
        <f t="shared" si="10"/>
        <v>524705</v>
      </c>
      <c r="I29" s="161">
        <f t="shared" si="2"/>
        <v>0</v>
      </c>
      <c r="J29" s="626">
        <f t="shared" si="11"/>
        <v>392283</v>
      </c>
      <c r="K29" s="162">
        <f t="shared" si="3"/>
        <v>0</v>
      </c>
      <c r="L29" s="293">
        <f t="shared" si="17"/>
        <v>0</v>
      </c>
      <c r="M29" s="293">
        <f t="shared" si="18"/>
        <v>0</v>
      </c>
      <c r="N29" s="293">
        <f t="shared" si="19"/>
        <v>0</v>
      </c>
      <c r="O29" s="293">
        <f t="shared" si="12"/>
        <v>154.80303857058792</v>
      </c>
      <c r="P29" s="294">
        <f t="shared" si="13"/>
        <v>154.80303857058792</v>
      </c>
      <c r="Q29" s="294">
        <f>SUM(-tanks!AX31*tanks!$AU$37)</f>
        <v>0</v>
      </c>
      <c r="R29" s="294">
        <f t="shared" si="14"/>
        <v>154.80303857058792</v>
      </c>
      <c r="S29" s="296">
        <f>SUM(ELEC!N29)</f>
        <v>0</v>
      </c>
      <c r="T29" s="332">
        <f t="shared" si="16"/>
        <v>0</v>
      </c>
      <c r="V29" s="213"/>
      <c r="W29" s="214"/>
      <c r="X29" s="214"/>
      <c r="Y29" s="215"/>
      <c r="Z29" s="3"/>
      <c r="AA29" s="334">
        <f>SUM(AA26:AA28)</f>
        <v>809</v>
      </c>
      <c r="AB29" s="334"/>
      <c r="AC29" s="247">
        <f>SUM(AC26:AC28)</f>
        <v>7234333</v>
      </c>
    </row>
    <row r="30" spans="1:32" ht="20.100000000000001" customHeight="1">
      <c r="A30" s="163">
        <f>ELEC!C30</f>
        <v>44404</v>
      </c>
      <c r="B30" s="626">
        <f t="shared" si="7"/>
        <v>1074707</v>
      </c>
      <c r="C30" s="262">
        <f t="shared" si="0"/>
        <v>0</v>
      </c>
      <c r="D30" s="305">
        <f t="shared" si="8"/>
        <v>0</v>
      </c>
      <c r="E30" s="305">
        <f t="shared" si="15"/>
        <v>1074707</v>
      </c>
      <c r="F30" s="626">
        <f t="shared" si="9"/>
        <v>157717</v>
      </c>
      <c r="G30" s="160">
        <f t="shared" si="1"/>
        <v>0</v>
      </c>
      <c r="H30" s="626">
        <f t="shared" si="10"/>
        <v>524705</v>
      </c>
      <c r="I30" s="161">
        <f t="shared" si="2"/>
        <v>0</v>
      </c>
      <c r="J30" s="626">
        <f t="shared" si="11"/>
        <v>392283</v>
      </c>
      <c r="K30" s="162">
        <f t="shared" si="3"/>
        <v>0</v>
      </c>
      <c r="L30" s="293">
        <f t="shared" si="17"/>
        <v>0</v>
      </c>
      <c r="M30" s="293">
        <f t="shared" si="18"/>
        <v>0</v>
      </c>
      <c r="N30" s="293">
        <f t="shared" si="19"/>
        <v>0</v>
      </c>
      <c r="O30" s="293">
        <f t="shared" si="12"/>
        <v>154.80303857058792</v>
      </c>
      <c r="P30" s="294">
        <f t="shared" si="13"/>
        <v>154.80303857058792</v>
      </c>
      <c r="Q30" s="294">
        <f>SUM(-tanks!AX32*tanks!$AU$37)</f>
        <v>0</v>
      </c>
      <c r="R30" s="294">
        <f t="shared" si="14"/>
        <v>154.80303857058792</v>
      </c>
      <c r="S30" s="296">
        <f>SUM(ELEC!N30)</f>
        <v>0</v>
      </c>
      <c r="T30" s="332">
        <f t="shared" si="16"/>
        <v>0</v>
      </c>
      <c r="V30" s="216" t="s">
        <v>316</v>
      </c>
      <c r="W30" s="438">
        <f>'General information '!F37</f>
        <v>0</v>
      </c>
      <c r="X30" s="217"/>
      <c r="Y30" s="218" t="s">
        <v>330</v>
      </c>
      <c r="Z30" s="3"/>
      <c r="AA30" s="334"/>
      <c r="AB30" s="334">
        <f>SUM(AB26:AB29)</f>
        <v>83632</v>
      </c>
      <c r="AC30" s="247"/>
    </row>
    <row r="31" spans="1:32" ht="20.100000000000001" customHeight="1">
      <c r="A31" s="163">
        <f>ELEC!C31</f>
        <v>44405</v>
      </c>
      <c r="B31" s="626">
        <f t="shared" si="7"/>
        <v>1074707</v>
      </c>
      <c r="C31" s="262">
        <f>SUM(B31-B30)</f>
        <v>0</v>
      </c>
      <c r="D31" s="305">
        <f t="shared" si="8"/>
        <v>0</v>
      </c>
      <c r="E31" s="305">
        <f>B30+D31</f>
        <v>1074707</v>
      </c>
      <c r="F31" s="626">
        <f t="shared" si="9"/>
        <v>157717</v>
      </c>
      <c r="G31" s="160">
        <f>F31-F30</f>
        <v>0</v>
      </c>
      <c r="H31" s="626">
        <f t="shared" si="10"/>
        <v>524705</v>
      </c>
      <c r="I31" s="161">
        <f>H31-H30</f>
        <v>0</v>
      </c>
      <c r="J31" s="626">
        <f t="shared" si="11"/>
        <v>392283</v>
      </c>
      <c r="K31" s="162">
        <f>J31-J30</f>
        <v>0</v>
      </c>
      <c r="L31" s="293">
        <f>SUM(G31*$Y$28)/1507.5</f>
        <v>0</v>
      </c>
      <c r="M31" s="293">
        <f>SUM(I31*$Y$27)/1507.5</f>
        <v>0</v>
      </c>
      <c r="N31" s="293">
        <f>SUM(K31*$Y$26)/1507.5</f>
        <v>0</v>
      </c>
      <c r="O31" s="293">
        <f t="shared" si="12"/>
        <v>154.80303857058792</v>
      </c>
      <c r="P31" s="294">
        <f>SUM(L31:O31)</f>
        <v>154.80303857058792</v>
      </c>
      <c r="Q31" s="294">
        <f>SUM(-tanks!AX33*tanks!$AU$37)</f>
        <v>0</v>
      </c>
      <c r="R31" s="294">
        <f>SUM(P31:Q31)</f>
        <v>154.80303857058792</v>
      </c>
      <c r="S31" s="296">
        <f>SUM(ELEC!N31)</f>
        <v>0</v>
      </c>
      <c r="T31" s="332">
        <f>IF(S31&gt;0,R31/S31,0)</f>
        <v>0</v>
      </c>
      <c r="V31" s="216"/>
      <c r="W31" s="539"/>
      <c r="X31" s="217"/>
      <c r="Y31" s="218"/>
      <c r="Z31" s="3"/>
      <c r="AA31" s="334"/>
      <c r="AB31" s="334"/>
      <c r="AC31" s="247"/>
    </row>
    <row r="32" spans="1:32" ht="20.100000000000001" customHeight="1">
      <c r="A32" s="163">
        <f>ELEC!C32</f>
        <v>44406</v>
      </c>
      <c r="B32" s="626">
        <f t="shared" si="7"/>
        <v>1074707</v>
      </c>
      <c r="C32" s="262">
        <f>SUM(B32-B31)</f>
        <v>0</v>
      </c>
      <c r="D32" s="305">
        <f t="shared" si="8"/>
        <v>0</v>
      </c>
      <c r="E32" s="305">
        <f>B31+D32</f>
        <v>1074707</v>
      </c>
      <c r="F32" s="626">
        <f t="shared" si="9"/>
        <v>157717</v>
      </c>
      <c r="G32" s="160">
        <f>F32-F31</f>
        <v>0</v>
      </c>
      <c r="H32" s="626">
        <f t="shared" si="10"/>
        <v>524705</v>
      </c>
      <c r="I32" s="161">
        <f>H32-H31</f>
        <v>0</v>
      </c>
      <c r="J32" s="626">
        <f t="shared" si="11"/>
        <v>392283</v>
      </c>
      <c r="K32" s="162">
        <f>J32-J31</f>
        <v>0</v>
      </c>
      <c r="L32" s="293">
        <f>SUM(G32*$Y$28)/1507.5</f>
        <v>0</v>
      </c>
      <c r="M32" s="293">
        <f>SUM(I32*$Y$27)/1507.5</f>
        <v>0</v>
      </c>
      <c r="N32" s="293">
        <f>SUM(K32*$Y$26)/1507.5</f>
        <v>0</v>
      </c>
      <c r="O32" s="293">
        <f t="shared" si="12"/>
        <v>154.80303857058792</v>
      </c>
      <c r="P32" s="294">
        <f>SUM(L32:O32)</f>
        <v>154.80303857058792</v>
      </c>
      <c r="Q32" s="294">
        <f>SUM(-tanks!AX34*tanks!$AU$37)</f>
        <v>0</v>
      </c>
      <c r="R32" s="294">
        <f>SUM(P32:Q32)</f>
        <v>154.80303857058792</v>
      </c>
      <c r="S32" s="296">
        <f>SUM(ELEC!N32)</f>
        <v>0</v>
      </c>
      <c r="T32" s="332">
        <f>IF(S32&gt;0,R32/S32,0)</f>
        <v>0</v>
      </c>
      <c r="V32" s="216"/>
      <c r="W32" s="539"/>
      <c r="X32" s="217"/>
      <c r="Y32" s="218"/>
      <c r="Z32" s="3"/>
      <c r="AA32" s="334"/>
      <c r="AB32" s="334"/>
      <c r="AC32" s="247"/>
    </row>
    <row r="33" spans="1:32" ht="20.100000000000001" customHeight="1">
      <c r="A33" s="163">
        <f>ELEC!C33</f>
        <v>44407</v>
      </c>
      <c r="B33" s="626">
        <f t="shared" si="7"/>
        <v>1074707</v>
      </c>
      <c r="C33" s="262">
        <f>SUM(B33-B32)</f>
        <v>0</v>
      </c>
      <c r="D33" s="305">
        <f t="shared" si="8"/>
        <v>0</v>
      </c>
      <c r="E33" s="305">
        <f>B32+D33</f>
        <v>1074707</v>
      </c>
      <c r="F33" s="626">
        <f t="shared" si="9"/>
        <v>157717</v>
      </c>
      <c r="G33" s="160">
        <f>F33-F32</f>
        <v>0</v>
      </c>
      <c r="H33" s="626">
        <f t="shared" si="10"/>
        <v>524705</v>
      </c>
      <c r="I33" s="161">
        <f>H33-H32</f>
        <v>0</v>
      </c>
      <c r="J33" s="626">
        <f t="shared" si="11"/>
        <v>392283</v>
      </c>
      <c r="K33" s="162">
        <f>J33-J32</f>
        <v>0</v>
      </c>
      <c r="L33" s="293">
        <f>SUM(G33*$Y$28)/1507.5</f>
        <v>0</v>
      </c>
      <c r="M33" s="293">
        <f>SUM(I33*$Y$27)/1507.5</f>
        <v>0</v>
      </c>
      <c r="N33" s="293">
        <f>SUM(K33*$Y$26)/1507.5</f>
        <v>0</v>
      </c>
      <c r="O33" s="293">
        <f t="shared" si="12"/>
        <v>154.80303857058792</v>
      </c>
      <c r="P33" s="294">
        <f>SUM(L33:O33)</f>
        <v>154.80303857058792</v>
      </c>
      <c r="Q33" s="294">
        <f>SUM(-tanks!AX35*tanks!$AU$37)</f>
        <v>0</v>
      </c>
      <c r="R33" s="294">
        <f>SUM(P33:Q33)</f>
        <v>154.80303857058792</v>
      </c>
      <c r="S33" s="296">
        <f>SUM(ELEC!N33)</f>
        <v>0</v>
      </c>
      <c r="T33" s="332">
        <f>IF(S33&gt;0,R33/S33,0)</f>
        <v>0</v>
      </c>
      <c r="V33" s="216" t="s">
        <v>317</v>
      </c>
      <c r="W33" s="578">
        <f>'Utility Cost '!B18</f>
        <v>71</v>
      </c>
      <c r="X33" s="222">
        <f>SUM(W33/A35)</f>
        <v>35.5</v>
      </c>
      <c r="Y33" s="258">
        <f>SUM(X33/1)</f>
        <v>35.5</v>
      </c>
      <c r="Z33" s="3"/>
      <c r="AA33" s="3"/>
      <c r="AB33" s="529">
        <f>SUM(AB30+AC33)</f>
        <v>7317965</v>
      </c>
      <c r="AC33" s="247">
        <f>SUM(AC29)</f>
        <v>7234333</v>
      </c>
    </row>
    <row r="34" spans="1:32" ht="20.100000000000001" customHeight="1">
      <c r="A34" s="163">
        <f>ELEC!C34</f>
        <v>44408</v>
      </c>
      <c r="B34" s="626">
        <f t="shared" si="7"/>
        <v>1074707</v>
      </c>
      <c r="C34" s="262">
        <f>SUM(B34-B33)</f>
        <v>0</v>
      </c>
      <c r="D34" s="305">
        <f t="shared" ref="D34" si="20">SUM(G34+I34+K34)</f>
        <v>0</v>
      </c>
      <c r="E34" s="305">
        <f>B33+D34</f>
        <v>1074707</v>
      </c>
      <c r="F34" s="626">
        <f t="shared" si="9"/>
        <v>157717</v>
      </c>
      <c r="G34" s="160">
        <f>F34-F33</f>
        <v>0</v>
      </c>
      <c r="H34" s="626">
        <f t="shared" si="10"/>
        <v>524705</v>
      </c>
      <c r="I34" s="161">
        <f>H34-H33</f>
        <v>0</v>
      </c>
      <c r="J34" s="626">
        <f t="shared" si="11"/>
        <v>392283</v>
      </c>
      <c r="K34" s="162">
        <f>J34-J33</f>
        <v>0</v>
      </c>
      <c r="L34" s="293">
        <f>SUM(G34*$Y$28)/1507.5</f>
        <v>0</v>
      </c>
      <c r="M34" s="293">
        <f>SUM(I34*$Y$27)/1507.5</f>
        <v>0</v>
      </c>
      <c r="N34" s="293">
        <f>SUM(K34*$Y$26)/1507.5</f>
        <v>0</v>
      </c>
      <c r="O34" s="293">
        <f t="shared" si="12"/>
        <v>154.80303857058792</v>
      </c>
      <c r="P34" s="294">
        <f>SUM(L34:O34)</f>
        <v>154.80303857058792</v>
      </c>
      <c r="Q34" s="294">
        <f>SUM(-tanks!AX36*tanks!$AU$37)</f>
        <v>0</v>
      </c>
      <c r="R34" s="294">
        <f>SUM(P34:Q34)</f>
        <v>154.80303857058792</v>
      </c>
      <c r="S34" s="296">
        <f>SUM(ELEC!N34)</f>
        <v>0</v>
      </c>
      <c r="T34" s="332">
        <f>IF(S34&gt;0,R34/S34,0)</f>
        <v>0</v>
      </c>
      <c r="V34" s="216" t="s">
        <v>317</v>
      </c>
      <c r="W34" s="578"/>
      <c r="X34" s="222"/>
      <c r="Y34" s="258"/>
      <c r="Z34" s="3"/>
      <c r="AA34" s="3"/>
      <c r="AB34" s="529">
        <f>SUM(AB31+AC34)</f>
        <v>0</v>
      </c>
      <c r="AC34" s="247">
        <f>SUM(AC30)</f>
        <v>0</v>
      </c>
    </row>
    <row r="35" spans="1:32" ht="15.75" thickBot="1">
      <c r="A35" s="526">
        <f>A37-COUNTIF(C4:C34,0)</f>
        <v>2</v>
      </c>
      <c r="C35" s="173">
        <f>SUM(C4:C34)/A35</f>
        <v>404.5</v>
      </c>
      <c r="D35" s="173"/>
      <c r="E35" s="173"/>
      <c r="F35" s="647"/>
      <c r="G35" s="647">
        <f>SUM(G4:G34)/A35</f>
        <v>0</v>
      </c>
      <c r="H35" s="173"/>
      <c r="I35" s="173">
        <f>SUM(I4:I34)/A35</f>
        <v>295.5</v>
      </c>
      <c r="K35" s="173">
        <f>SUM(K4:K34)/A35</f>
        <v>109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97"/>
      <c r="V35" s="226"/>
      <c r="W35" s="227"/>
      <c r="X35" s="227"/>
      <c r="Y35" s="227"/>
      <c r="Z35" s="3"/>
      <c r="AA35" s="45"/>
      <c r="AB35" s="288"/>
      <c r="AC35" s="558"/>
      <c r="AD35" s="591">
        <f>AC33/1507</f>
        <v>4800.4863968148638</v>
      </c>
    </row>
    <row r="36" spans="1:32" ht="15.75" thickBot="1">
      <c r="A36" s="210"/>
      <c r="C36" s="212">
        <f>SUM(G36:K36)</f>
        <v>1</v>
      </c>
      <c r="G36" s="225">
        <f>IF(C35&gt;0,G35/C35,0)</f>
        <v>0</v>
      </c>
      <c r="H36" s="212"/>
      <c r="I36" s="225">
        <f>SUM(I35/C35)</f>
        <v>0.73053152039555003</v>
      </c>
      <c r="J36" s="212"/>
      <c r="K36" s="225">
        <f>SUM(K35/C35)</f>
        <v>0.26946847960444992</v>
      </c>
      <c r="L36" s="225"/>
      <c r="M36" s="225"/>
      <c r="N36" s="225"/>
      <c r="O36" s="225"/>
      <c r="P36" s="225"/>
      <c r="Q36" s="225"/>
      <c r="R36" s="225"/>
      <c r="S36" s="298"/>
      <c r="V36" s="226"/>
      <c r="W36" s="227"/>
      <c r="X36" s="227"/>
      <c r="Y36" s="227"/>
      <c r="Z36" s="227"/>
      <c r="AA36" s="227" t="s">
        <v>215</v>
      </c>
      <c r="AB36" s="559">
        <f>SUM(AB33/1507.5)</f>
        <v>4854.3714759535651</v>
      </c>
      <c r="AC36" s="560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2"/>
      <c r="W37" s="219"/>
      <c r="X37" s="219"/>
      <c r="Y37" s="220"/>
      <c r="Z37" s="555"/>
      <c r="AA37" s="555"/>
      <c r="AB37" s="556"/>
      <c r="AC37" s="557"/>
    </row>
    <row r="38" spans="1:32">
      <c r="V38" s="217"/>
      <c r="W38" s="82"/>
      <c r="Z38" s="40"/>
      <c r="AA38" s="289"/>
      <c r="AB38" s="291">
        <f>SUM(AB36)</f>
        <v>4854.3714759535651</v>
      </c>
    </row>
    <row r="39" spans="1:32">
      <c r="V39" s="217"/>
      <c r="W39" s="82"/>
      <c r="X39" s="530"/>
      <c r="Z39" s="291"/>
      <c r="AA39" s="290"/>
      <c r="AB39" s="290"/>
    </row>
    <row r="40" spans="1:32">
      <c r="V40" s="17"/>
      <c r="W40" s="82"/>
      <c r="X40" s="530"/>
      <c r="Y40" s="82"/>
      <c r="Z40" s="291"/>
      <c r="AA40" s="101"/>
      <c r="AB40" s="344"/>
    </row>
    <row r="41" spans="1:32" ht="18.75">
      <c r="W41" s="82"/>
      <c r="Z41" s="273"/>
      <c r="AA41" s="290"/>
      <c r="AB41" s="343"/>
    </row>
    <row r="42" spans="1:32">
      <c r="D42" s="509"/>
      <c r="E42" s="509"/>
      <c r="F42" s="509"/>
      <c r="W42" s="82"/>
      <c r="Z42" s="292"/>
    </row>
    <row r="43" spans="1:32">
      <c r="Z43" s="290"/>
    </row>
    <row r="44" spans="1:32">
      <c r="V44" s="17"/>
      <c r="W44" s="17"/>
      <c r="X44" s="17"/>
      <c r="Y44" s="17"/>
      <c r="Z44" s="17"/>
      <c r="AA44" s="17"/>
      <c r="AB44" s="17"/>
      <c r="AC44" s="17"/>
      <c r="AD44" s="592"/>
      <c r="AE44" s="17"/>
      <c r="AF44" s="17"/>
    </row>
    <row r="45" spans="1:32">
      <c r="V45" s="531"/>
      <c r="W45" s="532"/>
      <c r="X45" s="17"/>
      <c r="Y45" s="17"/>
      <c r="Z45" s="533"/>
      <c r="AA45" s="17"/>
      <c r="AB45" s="713"/>
      <c r="AC45" s="713"/>
      <c r="AD45" s="592"/>
      <c r="AE45" s="17"/>
      <c r="AF45" s="17"/>
    </row>
    <row r="46" spans="1:32">
      <c r="V46" s="713"/>
      <c r="W46" s="713"/>
      <c r="X46" s="713"/>
      <c r="Y46" s="713"/>
      <c r="Z46" s="533"/>
      <c r="AA46" s="533"/>
      <c r="AB46" s="713"/>
      <c r="AC46" s="713"/>
      <c r="AD46" s="592"/>
      <c r="AE46" s="17"/>
      <c r="AF46" s="17"/>
    </row>
    <row r="47" spans="1:32">
      <c r="V47" s="713"/>
      <c r="W47" s="713"/>
      <c r="X47" s="713"/>
      <c r="Y47" s="713"/>
      <c r="Z47" s="713"/>
      <c r="AA47" s="713"/>
      <c r="AB47" s="713"/>
      <c r="AC47" s="713"/>
      <c r="AD47" s="592"/>
      <c r="AE47" s="17"/>
      <c r="AF47" s="17"/>
    </row>
    <row r="48" spans="1:32">
      <c r="V48" s="714"/>
      <c r="W48" s="714"/>
      <c r="X48" s="715"/>
      <c r="Y48" s="715"/>
      <c r="Z48" s="715"/>
      <c r="AA48" s="534"/>
      <c r="AB48" s="713"/>
      <c r="AC48" s="713"/>
      <c r="AD48" s="592"/>
      <c r="AE48" s="17"/>
      <c r="AF48" s="17"/>
    </row>
    <row r="49" spans="22:32">
      <c r="V49" s="531"/>
      <c r="W49" s="531"/>
      <c r="X49" s="531"/>
      <c r="Y49" s="531"/>
      <c r="Z49" s="531"/>
      <c r="AA49" s="531"/>
      <c r="AB49" s="531"/>
      <c r="AC49" s="535"/>
      <c r="AD49" s="592"/>
      <c r="AE49" s="17"/>
      <c r="AF49" s="17"/>
    </row>
    <row r="50" spans="22:32">
      <c r="V50" s="534"/>
      <c r="W50" s="534"/>
      <c r="X50" s="536"/>
      <c r="Y50" s="536"/>
      <c r="Z50" s="536"/>
      <c r="AA50" s="73"/>
      <c r="AB50" s="73"/>
      <c r="AC50" s="73"/>
      <c r="AD50" s="592"/>
      <c r="AE50" s="17"/>
      <c r="AF50" s="17"/>
    </row>
    <row r="51" spans="22:32">
      <c r="V51" s="534"/>
      <c r="W51" s="534"/>
      <c r="X51" s="536"/>
      <c r="Y51" s="536"/>
      <c r="Z51" s="536"/>
      <c r="AA51" s="73"/>
      <c r="AB51" s="73"/>
      <c r="AC51" s="73"/>
      <c r="AD51" s="592"/>
      <c r="AE51" s="17"/>
      <c r="AF51" s="17"/>
    </row>
    <row r="52" spans="22:32">
      <c r="V52" s="534"/>
      <c r="W52" s="534"/>
      <c r="X52" s="536"/>
      <c r="Y52" s="536"/>
      <c r="Z52" s="536"/>
      <c r="AA52" s="73"/>
      <c r="AB52" s="73"/>
      <c r="AC52" s="73"/>
      <c r="AD52" s="592"/>
      <c r="AE52" s="537"/>
      <c r="AF52" s="538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92"/>
      <c r="AE53" s="17"/>
      <c r="AF53" s="17"/>
    </row>
    <row r="54" spans="22:32">
      <c r="V54" s="217"/>
      <c r="W54" s="539"/>
      <c r="X54" s="217"/>
      <c r="Y54" s="217"/>
      <c r="Z54" s="17"/>
      <c r="AA54" s="73"/>
      <c r="AB54" s="265"/>
      <c r="AC54" s="73"/>
      <c r="AD54" s="592"/>
      <c r="AE54" s="17"/>
      <c r="AF54" s="17"/>
    </row>
    <row r="55" spans="22:32">
      <c r="V55" s="217"/>
      <c r="W55" s="217"/>
      <c r="X55" s="222"/>
      <c r="Y55" s="540"/>
      <c r="Z55" s="17"/>
      <c r="AA55" s="17"/>
      <c r="AB55" s="73"/>
      <c r="AC55" s="73"/>
      <c r="AD55" s="592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92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92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92"/>
      <c r="AE58" s="17"/>
      <c r="AF58" s="17"/>
    </row>
    <row r="59" spans="22:32">
      <c r="V59" s="17"/>
      <c r="W59" s="17"/>
      <c r="X59" s="17"/>
      <c r="Y59" s="17"/>
      <c r="Z59" s="17"/>
      <c r="AA59" s="541"/>
      <c r="AB59" s="542"/>
      <c r="AC59" s="543"/>
      <c r="AD59" s="592"/>
      <c r="AE59" s="17"/>
      <c r="AF59" s="17"/>
    </row>
    <row r="60" spans="22:32">
      <c r="V60" s="17"/>
      <c r="W60" s="17"/>
      <c r="X60" s="17"/>
      <c r="Y60" s="17"/>
      <c r="Z60" s="17"/>
      <c r="AA60" s="544"/>
      <c r="AB60" s="542"/>
      <c r="AC60" s="543"/>
      <c r="AD60" s="592"/>
      <c r="AE60" s="17"/>
      <c r="AF60" s="17"/>
    </row>
    <row r="61" spans="22:32">
      <c r="V61" s="17"/>
      <c r="W61" s="17"/>
      <c r="X61" s="17"/>
      <c r="Y61" s="17"/>
      <c r="Z61" s="17"/>
      <c r="AA61" s="17"/>
      <c r="AB61" s="542"/>
      <c r="AC61" s="543"/>
      <c r="AD61" s="592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45"/>
      <c r="AC62" s="17"/>
      <c r="AD62" s="592"/>
      <c r="AE62" s="17"/>
      <c r="AF62" s="17"/>
    </row>
    <row r="63" spans="22:32">
      <c r="V63" s="217"/>
      <c r="W63" s="538"/>
      <c r="X63" s="17"/>
      <c r="Y63" s="17"/>
      <c r="Z63" s="537"/>
      <c r="AA63" s="546"/>
      <c r="AB63" s="536"/>
      <c r="AC63" s="17"/>
      <c r="AD63" s="592"/>
      <c r="AE63" s="17"/>
      <c r="AF63" s="17"/>
    </row>
    <row r="64" spans="22:32">
      <c r="V64" s="217"/>
      <c r="W64" s="538"/>
      <c r="X64" s="17"/>
      <c r="Y64" s="17"/>
      <c r="Z64" s="418"/>
      <c r="AA64" s="536"/>
      <c r="AB64" s="536"/>
      <c r="AC64" s="17"/>
      <c r="AD64" s="592"/>
      <c r="AE64" s="17"/>
      <c r="AF64" s="17"/>
    </row>
    <row r="65" spans="22:32">
      <c r="V65" s="17"/>
      <c r="W65" s="538"/>
      <c r="X65" s="17"/>
      <c r="Y65" s="538"/>
      <c r="Z65" s="418"/>
      <c r="AA65" s="536"/>
      <c r="AB65" s="547"/>
      <c r="AC65" s="17"/>
      <c r="AD65" s="592"/>
      <c r="AE65" s="17"/>
      <c r="AF65" s="17"/>
    </row>
    <row r="66" spans="22:32" ht="18.75">
      <c r="V66" s="17"/>
      <c r="W66" s="538"/>
      <c r="X66" s="17"/>
      <c r="Y66" s="17"/>
      <c r="Z66" s="548"/>
      <c r="AA66" s="536"/>
      <c r="AB66" s="549"/>
      <c r="AC66" s="17"/>
      <c r="AD66" s="592"/>
      <c r="AE66" s="17"/>
      <c r="AF66" s="17"/>
    </row>
    <row r="67" spans="22:32">
      <c r="V67" s="17"/>
      <c r="W67" s="538"/>
      <c r="X67" s="17"/>
      <c r="Y67" s="17"/>
      <c r="Z67" s="73"/>
      <c r="AA67" s="17"/>
      <c r="AB67" s="17"/>
      <c r="AC67" s="17"/>
      <c r="AD67" s="592"/>
      <c r="AE67" s="17"/>
      <c r="AF67" s="17"/>
    </row>
    <row r="68" spans="22:32">
      <c r="V68" s="17"/>
      <c r="W68" s="17"/>
      <c r="X68" s="17"/>
      <c r="Y68" s="17"/>
      <c r="Z68" s="536"/>
      <c r="AA68" s="17"/>
      <c r="AB68" s="17"/>
      <c r="AC68" s="17"/>
      <c r="AD68" s="592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92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92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92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92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92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92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92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92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92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92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92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92"/>
      <c r="AE80" s="17"/>
      <c r="AF80" s="17"/>
    </row>
  </sheetData>
  <mergeCells count="14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topLeftCell="A13" zoomScale="70" zoomScaleNormal="70" workbookViewId="0">
      <selection activeCell="N48" sqref="N48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F12" sqref="F12"/>
    </sheetView>
  </sheetViews>
  <sheetFormatPr defaultRowHeight="15"/>
  <cols>
    <col min="1" max="1" width="11.7109375" style="476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716" t="s">
        <v>193</v>
      </c>
      <c r="B1" s="717"/>
      <c r="C1" s="717"/>
      <c r="D1" s="717"/>
      <c r="E1" s="717"/>
      <c r="F1" s="717"/>
      <c r="G1" s="717"/>
      <c r="H1" s="717"/>
      <c r="I1" s="717"/>
      <c r="J1" s="717"/>
      <c r="K1" s="717"/>
      <c r="L1" s="717"/>
      <c r="M1" s="717"/>
      <c r="N1" s="717"/>
      <c r="O1" s="718"/>
    </row>
    <row r="2" spans="1:15" ht="15.75" customHeight="1" thickBot="1">
      <c r="A2" s="719"/>
      <c r="B2" s="720"/>
      <c r="C2" s="720"/>
      <c r="D2" s="720"/>
      <c r="E2" s="720"/>
      <c r="F2" s="720"/>
      <c r="G2" s="720"/>
      <c r="H2" s="720"/>
      <c r="I2" s="720"/>
      <c r="J2" s="720"/>
      <c r="K2" s="720"/>
      <c r="L2" s="720"/>
      <c r="M2" s="720"/>
      <c r="N2" s="720"/>
      <c r="O2" s="721"/>
    </row>
    <row r="3" spans="1:15" ht="9" customHeight="1" thickBot="1">
      <c r="A3" s="473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74"/>
      <c r="B4" s="149" t="s">
        <v>387</v>
      </c>
      <c r="C4" s="150" t="s">
        <v>158</v>
      </c>
      <c r="D4" s="147" t="s">
        <v>160</v>
      </c>
      <c r="E4" s="151" t="s">
        <v>159</v>
      </c>
      <c r="F4" s="49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75">
        <f>ELEC!C3</f>
        <v>44377</v>
      </c>
      <c r="B5" s="352">
        <f>'[1]General information '!B35</f>
        <v>0</v>
      </c>
      <c r="C5" s="352">
        <f>'[1]General information '!C35</f>
        <v>0</v>
      </c>
      <c r="D5" s="352">
        <f>'[1]General information '!D35</f>
        <v>0</v>
      </c>
      <c r="E5" s="352">
        <f>'[1]General information '!E35</f>
        <v>0</v>
      </c>
      <c r="F5" s="352">
        <f>'[1]General information '!F35</f>
        <v>0</v>
      </c>
      <c r="G5" s="352">
        <f>'[1]General information '!G35</f>
        <v>0</v>
      </c>
      <c r="H5" s="352">
        <f>'[1]General information '!H35</f>
        <v>0</v>
      </c>
      <c r="I5" s="352">
        <f>'[1]General information '!I35</f>
        <v>0</v>
      </c>
      <c r="J5" s="352">
        <f>'[1]General information '!J35</f>
        <v>0</v>
      </c>
      <c r="K5" s="352">
        <f>'[1]General information '!K35</f>
        <v>0</v>
      </c>
      <c r="L5" s="352">
        <f>'[1]General information '!L35</f>
        <v>0</v>
      </c>
      <c r="M5" s="352">
        <f>'[1]General information '!M35</f>
        <v>0</v>
      </c>
      <c r="N5" s="352">
        <f>'[1]General information '!N35</f>
        <v>0</v>
      </c>
      <c r="O5" s="352">
        <f>'[1]General information '!O35</f>
        <v>0</v>
      </c>
    </row>
    <row r="6" spans="1:15">
      <c r="A6" s="475">
        <f>ELEC!C4</f>
        <v>44378</v>
      </c>
      <c r="B6" s="37"/>
      <c r="C6" s="37"/>
      <c r="D6" s="26">
        <f t="shared" ref="D6:D12" si="0">(C6+B6)/2</f>
        <v>0</v>
      </c>
      <c r="E6" s="336"/>
      <c r="F6" s="339">
        <v>0</v>
      </c>
      <c r="G6" s="239">
        <f t="shared" ref="G6:G12" si="1">F6*230</f>
        <v>0</v>
      </c>
      <c r="H6" s="3">
        <v>0</v>
      </c>
      <c r="I6" s="3">
        <v>0</v>
      </c>
      <c r="J6" s="37">
        <v>0</v>
      </c>
      <c r="K6" s="261">
        <f t="shared" ref="K6:K26" si="2">+J6+H6</f>
        <v>0</v>
      </c>
      <c r="L6" s="3"/>
      <c r="M6" s="3"/>
      <c r="N6" s="155"/>
      <c r="O6" s="3"/>
    </row>
    <row r="7" spans="1:15">
      <c r="A7" s="475">
        <f>ELEC!C5</f>
        <v>44379</v>
      </c>
      <c r="B7" s="37"/>
      <c r="C7" s="37"/>
      <c r="D7" s="26">
        <f t="shared" si="0"/>
        <v>0</v>
      </c>
      <c r="E7" s="336"/>
      <c r="F7" s="339">
        <v>0</v>
      </c>
      <c r="G7" s="239">
        <f t="shared" si="1"/>
        <v>0</v>
      </c>
      <c r="H7" s="3">
        <v>0</v>
      </c>
      <c r="I7" s="3">
        <v>0</v>
      </c>
      <c r="J7" s="37">
        <v>0</v>
      </c>
      <c r="K7" s="261">
        <f t="shared" si="2"/>
        <v>0</v>
      </c>
      <c r="L7" s="3"/>
      <c r="M7" s="3"/>
      <c r="N7" s="155"/>
      <c r="O7" s="3"/>
    </row>
    <row r="8" spans="1:15">
      <c r="A8" s="475">
        <f>ELEC!C6</f>
        <v>44380</v>
      </c>
      <c r="B8" s="37"/>
      <c r="C8" s="37"/>
      <c r="D8" s="26">
        <f t="shared" si="0"/>
        <v>0</v>
      </c>
      <c r="E8" s="336"/>
      <c r="F8" s="336">
        <v>0</v>
      </c>
      <c r="G8" s="239">
        <f t="shared" si="1"/>
        <v>0</v>
      </c>
      <c r="H8" s="3">
        <v>0</v>
      </c>
      <c r="I8" s="3">
        <v>0</v>
      </c>
      <c r="J8" s="37">
        <v>0</v>
      </c>
      <c r="K8" s="261">
        <f t="shared" si="2"/>
        <v>0</v>
      </c>
      <c r="L8" s="3"/>
      <c r="M8" s="170"/>
      <c r="N8" s="155"/>
      <c r="O8" s="3"/>
    </row>
    <row r="9" spans="1:15">
      <c r="A9" s="475">
        <f>ELEC!C7</f>
        <v>44381</v>
      </c>
      <c r="B9" s="37"/>
      <c r="C9" s="37"/>
      <c r="D9" s="26">
        <f>(C9+B9)/2</f>
        <v>0</v>
      </c>
      <c r="E9" s="390"/>
      <c r="F9" s="390">
        <v>0</v>
      </c>
      <c r="G9" s="239">
        <f>F9*230</f>
        <v>0</v>
      </c>
      <c r="H9" s="3">
        <v>0</v>
      </c>
      <c r="I9" s="3">
        <v>0</v>
      </c>
      <c r="J9" s="37">
        <v>0</v>
      </c>
      <c r="K9" s="261">
        <f>+J9+H9</f>
        <v>0</v>
      </c>
      <c r="L9" s="3"/>
      <c r="M9" s="3"/>
      <c r="N9" s="155"/>
      <c r="O9" s="3"/>
    </row>
    <row r="10" spans="1:15">
      <c r="A10" s="475">
        <f>ELEC!C8</f>
        <v>44382</v>
      </c>
      <c r="B10" s="37">
        <v>30</v>
      </c>
      <c r="C10" s="37">
        <v>27</v>
      </c>
      <c r="D10" s="26">
        <f t="shared" si="0"/>
        <v>28.5</v>
      </c>
      <c r="E10" s="350">
        <v>0.67</v>
      </c>
      <c r="F10" s="336">
        <v>0</v>
      </c>
      <c r="G10" s="239">
        <f t="shared" si="1"/>
        <v>0</v>
      </c>
      <c r="H10" s="3">
        <v>0</v>
      </c>
      <c r="I10" s="3">
        <v>0</v>
      </c>
      <c r="J10" s="37">
        <v>0</v>
      </c>
      <c r="K10" s="261">
        <f t="shared" si="2"/>
        <v>0</v>
      </c>
      <c r="L10" s="3"/>
      <c r="M10" s="3"/>
      <c r="N10" s="155"/>
      <c r="O10" s="3"/>
    </row>
    <row r="11" spans="1:15">
      <c r="A11" s="475">
        <f>ELEC!C9</f>
        <v>44383</v>
      </c>
      <c r="B11" s="37">
        <v>30</v>
      </c>
      <c r="C11" s="37">
        <v>27</v>
      </c>
      <c r="D11" s="26">
        <f t="shared" si="0"/>
        <v>28.5</v>
      </c>
      <c r="E11" s="390">
        <v>0.54</v>
      </c>
      <c r="F11" s="390">
        <v>0</v>
      </c>
      <c r="G11" s="239">
        <f t="shared" si="1"/>
        <v>0</v>
      </c>
      <c r="H11" s="3">
        <v>0</v>
      </c>
      <c r="I11" s="3">
        <v>0</v>
      </c>
      <c r="J11" s="37">
        <v>0</v>
      </c>
      <c r="K11" s="261">
        <f>+J11+H11</f>
        <v>0</v>
      </c>
      <c r="L11" s="3"/>
      <c r="M11" s="3"/>
      <c r="N11" s="155"/>
      <c r="O11" s="3"/>
    </row>
    <row r="12" spans="1:15">
      <c r="A12" s="475">
        <f>ELEC!C10</f>
        <v>44384</v>
      </c>
      <c r="B12" s="37">
        <v>30</v>
      </c>
      <c r="C12" s="37">
        <v>24</v>
      </c>
      <c r="D12" s="26">
        <f t="shared" si="0"/>
        <v>27</v>
      </c>
      <c r="E12" s="390">
        <v>0.7</v>
      </c>
      <c r="F12" s="390">
        <v>0</v>
      </c>
      <c r="G12" s="239">
        <f t="shared" si="1"/>
        <v>0</v>
      </c>
      <c r="H12" s="3">
        <v>0</v>
      </c>
      <c r="I12" s="3">
        <v>0</v>
      </c>
      <c r="J12" s="37">
        <v>0</v>
      </c>
      <c r="K12" s="261">
        <f t="shared" si="2"/>
        <v>0</v>
      </c>
      <c r="L12" s="3"/>
      <c r="M12" s="3"/>
      <c r="N12" s="155"/>
      <c r="O12" s="3"/>
    </row>
    <row r="13" spans="1:15">
      <c r="A13" s="475">
        <f>ELEC!C11</f>
        <v>44385</v>
      </c>
      <c r="B13" s="37"/>
      <c r="C13" s="37"/>
      <c r="D13" s="26">
        <f>(C13+B13)/2</f>
        <v>0</v>
      </c>
      <c r="E13" s="350"/>
      <c r="F13" s="390">
        <v>0</v>
      </c>
      <c r="G13" s="239">
        <f>F13*230</f>
        <v>0</v>
      </c>
      <c r="H13" s="3">
        <v>0</v>
      </c>
      <c r="I13" s="3">
        <v>0</v>
      </c>
      <c r="J13" s="37">
        <v>0</v>
      </c>
      <c r="K13" s="261">
        <f t="shared" si="2"/>
        <v>0</v>
      </c>
      <c r="L13" s="3"/>
      <c r="M13" s="3"/>
      <c r="N13" s="155"/>
      <c r="O13" s="3"/>
    </row>
    <row r="14" spans="1:15">
      <c r="A14" s="475">
        <f>ELEC!C12</f>
        <v>44386</v>
      </c>
      <c r="B14" s="37"/>
      <c r="C14" s="37"/>
      <c r="D14" s="26">
        <f t="shared" ref="D14:D33" si="3">(C14+B14)/2</f>
        <v>0</v>
      </c>
      <c r="E14" s="336"/>
      <c r="F14" s="390">
        <v>0</v>
      </c>
      <c r="G14" s="239">
        <f t="shared" ref="G14:G33" si="4">F14*230</f>
        <v>0</v>
      </c>
      <c r="H14" s="3">
        <v>0</v>
      </c>
      <c r="I14" s="3">
        <v>0</v>
      </c>
      <c r="J14" s="37">
        <v>0</v>
      </c>
      <c r="K14" s="261">
        <f t="shared" si="2"/>
        <v>0</v>
      </c>
      <c r="L14" s="3"/>
      <c r="M14" s="3"/>
      <c r="N14" s="155"/>
      <c r="O14" s="3"/>
    </row>
    <row r="15" spans="1:15">
      <c r="A15" s="475">
        <f>ELEC!C13</f>
        <v>44387</v>
      </c>
      <c r="B15" s="37"/>
      <c r="C15" s="37"/>
      <c r="D15" s="26">
        <f t="shared" si="3"/>
        <v>0</v>
      </c>
      <c r="E15" s="336"/>
      <c r="F15" s="336">
        <v>0</v>
      </c>
      <c r="G15" s="239">
        <f>F15*230</f>
        <v>0</v>
      </c>
      <c r="H15" s="3">
        <v>0</v>
      </c>
      <c r="I15" s="3">
        <v>0</v>
      </c>
      <c r="J15" s="37">
        <v>0</v>
      </c>
      <c r="K15" s="261">
        <f>+J15+H15</f>
        <v>0</v>
      </c>
      <c r="L15" s="3"/>
      <c r="M15" s="3"/>
      <c r="N15" s="155"/>
      <c r="O15" s="3"/>
    </row>
    <row r="16" spans="1:15">
      <c r="A16" s="475">
        <f>ELEC!C14</f>
        <v>44388</v>
      </c>
      <c r="B16" s="37"/>
      <c r="C16" s="37"/>
      <c r="D16" s="26">
        <f t="shared" si="3"/>
        <v>0</v>
      </c>
      <c r="E16" s="336"/>
      <c r="F16" s="336">
        <v>0</v>
      </c>
      <c r="G16" s="239">
        <f t="shared" si="4"/>
        <v>0</v>
      </c>
      <c r="H16" s="3">
        <v>0</v>
      </c>
      <c r="I16" s="3">
        <v>0</v>
      </c>
      <c r="J16" s="37">
        <v>0</v>
      </c>
      <c r="K16" s="261">
        <f>+J16+H16</f>
        <v>0</v>
      </c>
      <c r="L16" s="3"/>
      <c r="M16" s="3"/>
      <c r="N16" s="155"/>
      <c r="O16" s="3"/>
    </row>
    <row r="17" spans="1:15">
      <c r="A17" s="475">
        <f>ELEC!C15</f>
        <v>44389</v>
      </c>
      <c r="B17" s="37"/>
      <c r="C17" s="37"/>
      <c r="D17" s="26">
        <f t="shared" si="3"/>
        <v>0</v>
      </c>
      <c r="E17" s="336"/>
      <c r="F17" s="336">
        <v>0</v>
      </c>
      <c r="G17" s="239">
        <f t="shared" si="4"/>
        <v>0</v>
      </c>
      <c r="H17" s="3">
        <v>0</v>
      </c>
      <c r="I17" s="3">
        <v>0</v>
      </c>
      <c r="J17" s="37">
        <v>0</v>
      </c>
      <c r="K17" s="261">
        <f t="shared" si="2"/>
        <v>0</v>
      </c>
      <c r="L17" s="3"/>
      <c r="M17" s="3"/>
      <c r="N17" s="155"/>
      <c r="O17" s="3"/>
    </row>
    <row r="18" spans="1:15">
      <c r="A18" s="475">
        <f>ELEC!C16</f>
        <v>44390</v>
      </c>
      <c r="B18" s="37"/>
      <c r="C18" s="37"/>
      <c r="D18" s="26">
        <f t="shared" si="3"/>
        <v>0</v>
      </c>
      <c r="E18" s="423"/>
      <c r="F18" s="336">
        <v>0</v>
      </c>
      <c r="G18" s="239">
        <f t="shared" si="4"/>
        <v>0</v>
      </c>
      <c r="H18" s="3">
        <v>0</v>
      </c>
      <c r="I18" s="3">
        <v>0</v>
      </c>
      <c r="J18" s="37">
        <v>0</v>
      </c>
      <c r="K18" s="261">
        <f t="shared" si="2"/>
        <v>0</v>
      </c>
      <c r="L18" s="3"/>
      <c r="M18" s="3"/>
      <c r="N18" s="155"/>
      <c r="O18" s="3"/>
    </row>
    <row r="19" spans="1:15">
      <c r="A19" s="475">
        <f>ELEC!C17</f>
        <v>44391</v>
      </c>
      <c r="B19" s="37"/>
      <c r="C19" s="37"/>
      <c r="D19" s="26">
        <f t="shared" si="3"/>
        <v>0</v>
      </c>
      <c r="E19" s="336"/>
      <c r="F19" s="336">
        <v>0</v>
      </c>
      <c r="G19" s="239">
        <f t="shared" si="4"/>
        <v>0</v>
      </c>
      <c r="H19" s="3">
        <v>0</v>
      </c>
      <c r="I19" s="3">
        <v>0</v>
      </c>
      <c r="J19" s="37">
        <v>0</v>
      </c>
      <c r="K19" s="261">
        <f t="shared" si="2"/>
        <v>0</v>
      </c>
      <c r="L19" s="3"/>
      <c r="M19" s="3"/>
      <c r="N19" s="155"/>
      <c r="O19" s="3"/>
    </row>
    <row r="20" spans="1:15">
      <c r="A20" s="475">
        <f>ELEC!C18</f>
        <v>44392</v>
      </c>
      <c r="B20" s="37"/>
      <c r="C20" s="37"/>
      <c r="D20" s="26">
        <f t="shared" si="3"/>
        <v>0</v>
      </c>
      <c r="E20" s="336"/>
      <c r="F20" s="336">
        <v>0</v>
      </c>
      <c r="G20" s="239">
        <f t="shared" si="4"/>
        <v>0</v>
      </c>
      <c r="H20" s="3">
        <v>0</v>
      </c>
      <c r="I20" s="3">
        <v>0</v>
      </c>
      <c r="J20" s="37">
        <v>0</v>
      </c>
      <c r="K20" s="261">
        <f t="shared" si="2"/>
        <v>0</v>
      </c>
      <c r="L20" s="3"/>
      <c r="M20" s="3"/>
      <c r="N20" s="155"/>
      <c r="O20" s="3"/>
    </row>
    <row r="21" spans="1:15">
      <c r="A21" s="475">
        <f>ELEC!C19</f>
        <v>44393</v>
      </c>
      <c r="B21" s="37"/>
      <c r="C21" s="37"/>
      <c r="D21" s="26">
        <f>(C21+B21)/2</f>
        <v>0</v>
      </c>
      <c r="E21" s="336"/>
      <c r="F21" s="390">
        <v>0</v>
      </c>
      <c r="G21" s="239">
        <f t="shared" si="4"/>
        <v>0</v>
      </c>
      <c r="H21" s="3">
        <v>0</v>
      </c>
      <c r="I21" s="3">
        <v>0</v>
      </c>
      <c r="J21" s="37">
        <v>0</v>
      </c>
      <c r="K21" s="261">
        <f t="shared" si="2"/>
        <v>0</v>
      </c>
      <c r="L21" s="3"/>
      <c r="M21" s="3"/>
      <c r="N21" s="155"/>
      <c r="O21" s="3"/>
    </row>
    <row r="22" spans="1:15">
      <c r="A22" s="475">
        <f>ELEC!C20</f>
        <v>44394</v>
      </c>
      <c r="B22" s="37"/>
      <c r="C22" s="37"/>
      <c r="D22" s="26">
        <f t="shared" si="3"/>
        <v>0</v>
      </c>
      <c r="E22" s="336"/>
      <c r="F22" s="390">
        <v>0</v>
      </c>
      <c r="G22" s="239">
        <f t="shared" si="4"/>
        <v>0</v>
      </c>
      <c r="H22" s="3">
        <v>0</v>
      </c>
      <c r="I22" s="3">
        <v>0</v>
      </c>
      <c r="J22" s="37">
        <v>0</v>
      </c>
      <c r="K22" s="261">
        <f t="shared" si="2"/>
        <v>0</v>
      </c>
      <c r="L22" s="3"/>
      <c r="M22" s="3"/>
      <c r="N22" s="155"/>
      <c r="O22" s="3"/>
    </row>
    <row r="23" spans="1:15">
      <c r="A23" s="475">
        <f>ELEC!C21</f>
        <v>44395</v>
      </c>
      <c r="B23" s="37"/>
      <c r="C23" s="37"/>
      <c r="D23" s="26">
        <f>(C23+B23)/2</f>
        <v>0</v>
      </c>
      <c r="E23" s="336"/>
      <c r="F23" s="390">
        <v>0</v>
      </c>
      <c r="G23" s="239">
        <f t="shared" si="4"/>
        <v>0</v>
      </c>
      <c r="H23" s="3">
        <v>0</v>
      </c>
      <c r="I23" s="3">
        <v>0</v>
      </c>
      <c r="J23" s="37">
        <v>0</v>
      </c>
      <c r="K23" s="261">
        <f t="shared" si="2"/>
        <v>0</v>
      </c>
      <c r="L23" s="3"/>
      <c r="M23" s="3"/>
      <c r="N23" s="155"/>
      <c r="O23" s="3"/>
    </row>
    <row r="24" spans="1:15">
      <c r="A24" s="475">
        <f>ELEC!C22</f>
        <v>44396</v>
      </c>
      <c r="B24" s="37"/>
      <c r="C24" s="37"/>
      <c r="D24" s="26">
        <f>(C24+B24)/2</f>
        <v>0</v>
      </c>
      <c r="E24" s="390"/>
      <c r="F24" s="336">
        <v>0</v>
      </c>
      <c r="G24" s="239">
        <f t="shared" si="4"/>
        <v>0</v>
      </c>
      <c r="H24" s="3">
        <v>0</v>
      </c>
      <c r="I24" s="3">
        <v>0</v>
      </c>
      <c r="J24" s="37">
        <v>0</v>
      </c>
      <c r="K24" s="261">
        <f t="shared" si="2"/>
        <v>0</v>
      </c>
      <c r="L24" s="3"/>
      <c r="M24" s="3"/>
      <c r="N24" s="155"/>
      <c r="O24" s="3"/>
    </row>
    <row r="25" spans="1:15">
      <c r="A25" s="475">
        <f>ELEC!C23</f>
        <v>44397</v>
      </c>
      <c r="B25" s="37"/>
      <c r="C25" s="37"/>
      <c r="D25" s="26">
        <f t="shared" si="3"/>
        <v>0</v>
      </c>
      <c r="E25" s="336"/>
      <c r="F25" s="336">
        <v>0</v>
      </c>
      <c r="G25" s="239">
        <f t="shared" si="4"/>
        <v>0</v>
      </c>
      <c r="H25" s="3">
        <v>0</v>
      </c>
      <c r="I25" s="3">
        <v>0</v>
      </c>
      <c r="J25" s="37">
        <v>0</v>
      </c>
      <c r="K25" s="261">
        <f t="shared" si="2"/>
        <v>0</v>
      </c>
      <c r="L25" s="3"/>
      <c r="M25" s="3"/>
      <c r="N25" s="155"/>
      <c r="O25" s="3"/>
    </row>
    <row r="26" spans="1:15">
      <c r="A26" s="475">
        <f>ELEC!C24</f>
        <v>44398</v>
      </c>
      <c r="B26" s="37"/>
      <c r="C26" s="37"/>
      <c r="D26" s="26">
        <f>(C26+B26)/2</f>
        <v>0</v>
      </c>
      <c r="E26" s="336"/>
      <c r="F26" s="336">
        <v>0</v>
      </c>
      <c r="G26" s="239">
        <f t="shared" si="4"/>
        <v>0</v>
      </c>
      <c r="H26" s="3">
        <v>0</v>
      </c>
      <c r="I26" s="3">
        <v>0</v>
      </c>
      <c r="J26" s="37">
        <v>0</v>
      </c>
      <c r="K26" s="261">
        <f t="shared" si="2"/>
        <v>0</v>
      </c>
      <c r="L26" s="3"/>
      <c r="M26" s="3"/>
      <c r="N26" s="155"/>
      <c r="O26" s="3"/>
    </row>
    <row r="27" spans="1:15">
      <c r="A27" s="475">
        <f>ELEC!C25</f>
        <v>44399</v>
      </c>
      <c r="B27" s="37"/>
      <c r="C27" s="37"/>
      <c r="D27" s="26">
        <f t="shared" si="3"/>
        <v>0</v>
      </c>
      <c r="E27" s="390"/>
      <c r="F27" s="336">
        <v>0</v>
      </c>
      <c r="G27" s="239">
        <f t="shared" si="4"/>
        <v>0</v>
      </c>
      <c r="H27" s="3">
        <v>0</v>
      </c>
      <c r="I27" s="3">
        <v>0</v>
      </c>
      <c r="J27" s="37">
        <v>0</v>
      </c>
      <c r="K27" s="261">
        <f>+J27+H27+I27</f>
        <v>0</v>
      </c>
      <c r="L27" s="3"/>
      <c r="M27" s="3"/>
      <c r="N27" s="155"/>
      <c r="O27" s="3"/>
    </row>
    <row r="28" spans="1:15">
      <c r="A28" s="475">
        <f>ELEC!C26</f>
        <v>44400</v>
      </c>
      <c r="B28" s="37"/>
      <c r="C28" s="37"/>
      <c r="D28" s="26">
        <f t="shared" si="3"/>
        <v>0</v>
      </c>
      <c r="E28" s="390"/>
      <c r="F28" s="336">
        <v>0</v>
      </c>
      <c r="G28" s="239">
        <f t="shared" si="4"/>
        <v>0</v>
      </c>
      <c r="H28" s="3">
        <v>0</v>
      </c>
      <c r="I28" s="3">
        <v>0</v>
      </c>
      <c r="J28" s="37">
        <v>0</v>
      </c>
      <c r="K28" s="261">
        <f t="shared" ref="K28:K33" si="5">+J28+H28+I28</f>
        <v>0</v>
      </c>
      <c r="L28" s="3"/>
      <c r="M28" s="3"/>
      <c r="N28" s="155"/>
      <c r="O28" s="3"/>
    </row>
    <row r="29" spans="1:15">
      <c r="A29" s="475">
        <f>ELEC!C27</f>
        <v>44401</v>
      </c>
      <c r="B29" s="37"/>
      <c r="C29" s="37"/>
      <c r="D29" s="26">
        <f t="shared" si="3"/>
        <v>0</v>
      </c>
      <c r="E29" s="336"/>
      <c r="F29" s="336">
        <v>0</v>
      </c>
      <c r="G29" s="239">
        <f t="shared" si="4"/>
        <v>0</v>
      </c>
      <c r="H29" s="3">
        <v>0</v>
      </c>
      <c r="I29" s="3">
        <v>0</v>
      </c>
      <c r="J29" s="37">
        <v>0</v>
      </c>
      <c r="K29" s="261">
        <f t="shared" si="5"/>
        <v>0</v>
      </c>
      <c r="L29" s="3"/>
      <c r="M29" s="3"/>
      <c r="N29" s="155"/>
      <c r="O29" s="3"/>
    </row>
    <row r="30" spans="1:15">
      <c r="A30" s="475">
        <f>ELEC!C28</f>
        <v>44402</v>
      </c>
      <c r="B30" s="37"/>
      <c r="C30" s="37"/>
      <c r="D30" s="26">
        <f t="shared" si="3"/>
        <v>0</v>
      </c>
      <c r="E30" s="336"/>
      <c r="F30" s="390">
        <v>0</v>
      </c>
      <c r="G30" s="239">
        <f t="shared" si="4"/>
        <v>0</v>
      </c>
      <c r="H30" s="3">
        <v>0</v>
      </c>
      <c r="I30" s="3">
        <v>0</v>
      </c>
      <c r="J30" s="37">
        <v>0</v>
      </c>
      <c r="K30" s="261">
        <f t="shared" si="5"/>
        <v>0</v>
      </c>
      <c r="L30" s="3"/>
      <c r="M30" s="3"/>
      <c r="N30" s="155"/>
      <c r="O30" s="3"/>
    </row>
    <row r="31" spans="1:15">
      <c r="A31" s="475">
        <f>ELEC!C29</f>
        <v>44403</v>
      </c>
      <c r="B31" s="37"/>
      <c r="C31" s="37"/>
      <c r="D31" s="26">
        <f t="shared" si="3"/>
        <v>0</v>
      </c>
      <c r="E31" s="337"/>
      <c r="F31" s="277">
        <v>0</v>
      </c>
      <c r="G31" s="239">
        <f t="shared" si="4"/>
        <v>0</v>
      </c>
      <c r="H31" s="3">
        <v>0</v>
      </c>
      <c r="I31" s="3">
        <v>0</v>
      </c>
      <c r="J31" s="37">
        <v>0</v>
      </c>
      <c r="K31" s="261">
        <f t="shared" si="5"/>
        <v>0</v>
      </c>
      <c r="L31" s="3"/>
      <c r="M31" s="3"/>
      <c r="N31" s="155"/>
      <c r="O31" s="3"/>
    </row>
    <row r="32" spans="1:15">
      <c r="A32" s="475">
        <f>ELEC!C30</f>
        <v>44404</v>
      </c>
      <c r="B32" s="37"/>
      <c r="C32" s="37"/>
      <c r="D32" s="276">
        <f>(C32+B32)/2</f>
        <v>0</v>
      </c>
      <c r="E32" s="337"/>
      <c r="F32" s="338">
        <v>0</v>
      </c>
      <c r="G32" s="239">
        <f t="shared" si="4"/>
        <v>0</v>
      </c>
      <c r="H32" s="3">
        <v>0</v>
      </c>
      <c r="I32" s="3">
        <v>0</v>
      </c>
      <c r="J32" s="37">
        <v>0</v>
      </c>
      <c r="K32" s="261">
        <f t="shared" si="5"/>
        <v>0</v>
      </c>
      <c r="L32" s="3"/>
      <c r="M32" s="3"/>
      <c r="N32" s="155"/>
      <c r="O32" s="3"/>
    </row>
    <row r="33" spans="1:15">
      <c r="A33" s="475">
        <f>ELEC!C31</f>
        <v>44405</v>
      </c>
      <c r="B33" s="37"/>
      <c r="C33" s="37"/>
      <c r="D33" s="26">
        <f t="shared" si="3"/>
        <v>0</v>
      </c>
      <c r="E33" s="336"/>
      <c r="F33" s="338">
        <v>0</v>
      </c>
      <c r="G33" s="239">
        <f t="shared" si="4"/>
        <v>0</v>
      </c>
      <c r="H33" s="3">
        <v>0</v>
      </c>
      <c r="I33" s="3">
        <v>0</v>
      </c>
      <c r="J33" s="37">
        <v>0</v>
      </c>
      <c r="K33" s="261">
        <f t="shared" si="5"/>
        <v>0</v>
      </c>
      <c r="L33" s="3"/>
      <c r="M33" s="3"/>
      <c r="N33" s="155"/>
      <c r="O33" s="3"/>
    </row>
    <row r="34" spans="1:15">
      <c r="A34" s="475">
        <f>ELEC!C32</f>
        <v>44406</v>
      </c>
      <c r="B34" s="37"/>
      <c r="C34" s="37"/>
      <c r="D34" s="26">
        <f>(C34+B34)/2</f>
        <v>0</v>
      </c>
      <c r="E34" s="390"/>
      <c r="F34" s="338">
        <v>0</v>
      </c>
      <c r="G34" s="239">
        <f>F34*230</f>
        <v>0</v>
      </c>
      <c r="H34" s="3">
        <v>0</v>
      </c>
      <c r="I34" s="3">
        <v>0</v>
      </c>
      <c r="J34" s="37">
        <v>0</v>
      </c>
      <c r="K34" s="261">
        <f>+J34+H34+I34</f>
        <v>0</v>
      </c>
      <c r="L34" s="3"/>
      <c r="M34" s="3"/>
      <c r="N34" s="155"/>
      <c r="O34" s="3"/>
    </row>
    <row r="35" spans="1:15">
      <c r="A35" s="475">
        <f>ELEC!C33</f>
        <v>44407</v>
      </c>
      <c r="B35" s="37"/>
      <c r="C35" s="37"/>
      <c r="D35" s="26">
        <f>(C35+B35)/2</f>
        <v>0</v>
      </c>
      <c r="E35" s="390"/>
      <c r="F35" s="338">
        <v>0</v>
      </c>
      <c r="G35" s="239">
        <f>F35*230</f>
        <v>0</v>
      </c>
      <c r="H35" s="3">
        <v>0</v>
      </c>
      <c r="I35" s="3">
        <v>0</v>
      </c>
      <c r="J35" s="37">
        <v>0</v>
      </c>
      <c r="K35" s="261">
        <f>+J35+H35+I35</f>
        <v>0</v>
      </c>
      <c r="L35" s="3"/>
      <c r="M35" s="3"/>
      <c r="N35" s="155"/>
      <c r="O35" s="3"/>
    </row>
    <row r="36" spans="1:15">
      <c r="A36" s="475">
        <f>ELEC!C34</f>
        <v>44408</v>
      </c>
      <c r="B36" s="37"/>
      <c r="C36" s="37"/>
      <c r="D36" s="26">
        <f>(C36+B36)/2</f>
        <v>0</v>
      </c>
      <c r="E36" s="390"/>
      <c r="F36" s="338">
        <v>0</v>
      </c>
      <c r="G36" s="239">
        <f>F36*230</f>
        <v>0</v>
      </c>
      <c r="H36" s="3">
        <v>0</v>
      </c>
      <c r="I36" s="3">
        <v>0</v>
      </c>
      <c r="J36" s="37">
        <v>0</v>
      </c>
      <c r="K36" s="261">
        <f>+J36+H36+I36</f>
        <v>0</v>
      </c>
      <c r="L36" s="3"/>
      <c r="M36" s="3"/>
      <c r="N36" s="155"/>
      <c r="O36" s="3"/>
    </row>
    <row r="37" spans="1:15">
      <c r="D37" s="259"/>
      <c r="F37" s="520">
        <f>AVERAGE(F6:F36)</f>
        <v>0</v>
      </c>
      <c r="G37" s="203">
        <f>SUM(G6:G36)</f>
        <v>0</v>
      </c>
    </row>
    <row r="38" spans="1:15">
      <c r="D38" s="259">
        <f>SUM(D6:D36)/'EDl log'!A35</f>
        <v>42</v>
      </c>
      <c r="F38" s="211"/>
    </row>
    <row r="41" spans="1:15">
      <c r="I41" s="407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22</v>
      </c>
      <c r="G2" s="3">
        <f>WATER!C5+WATER!H5</f>
        <v>418</v>
      </c>
      <c r="H2" s="3">
        <f>WATER!L5</f>
        <v>0</v>
      </c>
      <c r="I2" s="15">
        <f>WATER!BC5+WATER!BD5+WATER!BE6-Sheet1!G2</f>
        <v>-366.59999999999997</v>
      </c>
      <c r="J2" s="9">
        <f>'B5'!A4</f>
        <v>44377</v>
      </c>
    </row>
    <row r="3" spans="1:10">
      <c r="A3" s="3">
        <f>ELEC!T5+ELEC!X3+ELEC!AB5</f>
        <v>22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44378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44379</v>
      </c>
    </row>
    <row r="5" spans="1:10">
      <c r="A5" s="3">
        <f>ELEC!T7+ELEC!X7+ELEC!AB7</f>
        <v>11</v>
      </c>
      <c r="B5" s="3">
        <f>ELEC!AF7</f>
        <v>2825</v>
      </c>
      <c r="C5" s="3">
        <f>ELEC!N7</f>
        <v>11907</v>
      </c>
      <c r="D5" s="3">
        <f t="shared" si="0"/>
        <v>6122.0000000001455</v>
      </c>
      <c r="E5" s="3">
        <f>ELEC!Q7</f>
        <v>5784.9999999998545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-94.600000000000009</v>
      </c>
      <c r="J5" s="9">
        <f>'B5'!A7</f>
        <v>44380</v>
      </c>
    </row>
    <row r="6" spans="1:10">
      <c r="A6" s="3">
        <f>ELEC!T8+ELEC!X8+ELEC!AB8</f>
        <v>8</v>
      </c>
      <c r="B6" s="3">
        <f>ELEC!AF8</f>
        <v>2115</v>
      </c>
      <c r="C6" s="3">
        <f>ELEC!N8</f>
        <v>4047</v>
      </c>
      <c r="D6" s="3">
        <f t="shared" si="0"/>
        <v>4047</v>
      </c>
      <c r="E6" s="3">
        <f>ELEC!Q25</f>
        <v>0</v>
      </c>
      <c r="F6" s="3">
        <f>GEN!Z6</f>
        <v>20</v>
      </c>
      <c r="G6" s="3">
        <f>WATER!C9+WATER!H9</f>
        <v>0</v>
      </c>
      <c r="H6" s="3">
        <f>WATER!L9</f>
        <v>0</v>
      </c>
      <c r="I6" s="15">
        <f>WATER!BC9+WATER!BD9+WATER!BE10-Sheet1!G6</f>
        <v>-52.7</v>
      </c>
      <c r="J6" s="9">
        <f>'B5'!A8</f>
        <v>44381</v>
      </c>
    </row>
    <row r="7" spans="1:10">
      <c r="A7" s="3">
        <f>ELEC!T9+ELEC!X9+ELEC!AB9</f>
        <v>21</v>
      </c>
      <c r="B7" s="3">
        <f>ELEC!AF9</f>
        <v>5076</v>
      </c>
      <c r="C7" s="3">
        <f>ELEC!N9</f>
        <v>15086</v>
      </c>
      <c r="D7" s="3">
        <f t="shared" si="0"/>
        <v>113.00000000186265</v>
      </c>
      <c r="E7" s="3">
        <f>ELEC!Q9</f>
        <v>14972.999999998137</v>
      </c>
      <c r="F7" s="3">
        <f>GEN!Z7</f>
        <v>6</v>
      </c>
      <c r="G7" s="3">
        <f>WATER!C10+WATER!H10</f>
        <v>0</v>
      </c>
      <c r="H7" s="3">
        <f>WATER!L10</f>
        <v>3</v>
      </c>
      <c r="I7" s="15">
        <f>WATER!BC10+WATER!BD10+WATER!BE11-Sheet1!G7</f>
        <v>220.89999999999998</v>
      </c>
      <c r="J7" s="9">
        <f>'B5'!A9</f>
        <v>44382</v>
      </c>
    </row>
    <row r="8" spans="1:10">
      <c r="A8" s="3">
        <f>ELEC!T10+ELEC!X10+ELEC!AB10</f>
        <v>21</v>
      </c>
      <c r="B8" s="3">
        <f>ELEC!AF10</f>
        <v>5037</v>
      </c>
      <c r="C8" s="3">
        <f>ELEC!N10</f>
        <v>15446</v>
      </c>
      <c r="D8" s="3">
        <f t="shared" si="0"/>
        <v>77.999999997788109</v>
      </c>
      <c r="E8" s="3">
        <f>ELEC!Q10</f>
        <v>15368.000000002212</v>
      </c>
      <c r="F8" s="3">
        <f>GEN!Z8</f>
        <v>23</v>
      </c>
      <c r="G8" s="3">
        <f>WATER!C11+WATER!H11</f>
        <v>179</v>
      </c>
      <c r="H8" s="3">
        <f>WATER!L11</f>
        <v>3</v>
      </c>
      <c r="I8" s="15">
        <f>WATER!BC11+WATER!BD11+WATER!BE12-Sheet1!G8</f>
        <v>-177.20000000000002</v>
      </c>
      <c r="J8" s="9">
        <f>'B5'!A10</f>
        <v>44383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22</v>
      </c>
      <c r="G9" s="3">
        <f>WATER!C12+WATER!H12</f>
        <v>0</v>
      </c>
      <c r="H9" s="3">
        <f>WATER!L12</f>
        <v>0</v>
      </c>
      <c r="I9" s="15">
        <f>WATER!BC12+WATER!BD12+WATER!BE13-Sheet1!G9</f>
        <v>-15.19999999999996</v>
      </c>
      <c r="J9" s="9">
        <f>'B5'!A11</f>
        <v>44384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44385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44386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44387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44388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44389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44390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44391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44392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44393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44394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44395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44396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44397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44398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44399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44400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44401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44402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44403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44404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44405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728"/>
      <c r="B1" s="726" t="s">
        <v>119</v>
      </c>
      <c r="C1" s="726" t="s">
        <v>118</v>
      </c>
      <c r="D1" s="730" t="s">
        <v>113</v>
      </c>
      <c r="E1" s="730" t="s">
        <v>114</v>
      </c>
      <c r="F1" s="731" t="s">
        <v>120</v>
      </c>
      <c r="G1" s="732" t="s">
        <v>75</v>
      </c>
      <c r="H1" s="723" t="s">
        <v>115</v>
      </c>
      <c r="I1" s="724" t="s">
        <v>116</v>
      </c>
      <c r="J1" s="723" t="s">
        <v>117</v>
      </c>
      <c r="K1" s="722" t="s">
        <v>121</v>
      </c>
      <c r="L1" s="722" t="s">
        <v>122</v>
      </c>
      <c r="M1" s="722" t="s">
        <v>123</v>
      </c>
      <c r="N1" s="722" t="s">
        <v>124</v>
      </c>
    </row>
    <row r="2" spans="1:14">
      <c r="A2" s="729"/>
      <c r="B2" s="727"/>
      <c r="C2" s="727"/>
      <c r="D2" s="730"/>
      <c r="E2" s="730"/>
      <c r="F2" s="731"/>
      <c r="G2" s="732"/>
      <c r="H2" s="723"/>
      <c r="I2" s="725"/>
      <c r="J2" s="723"/>
      <c r="K2" s="722"/>
      <c r="L2" s="722"/>
      <c r="M2" s="722"/>
      <c r="N2" s="722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0">
        <v>810</v>
      </c>
      <c r="C4" s="260">
        <v>-606.10000000000582</v>
      </c>
      <c r="D4" s="260">
        <v>1420.5021097047013</v>
      </c>
      <c r="E4" s="260">
        <v>1624.4021097046955</v>
      </c>
      <c r="F4" s="260">
        <v>106</v>
      </c>
      <c r="G4" s="260">
        <v>-58.399999999999977</v>
      </c>
      <c r="H4" s="260">
        <v>6284</v>
      </c>
      <c r="I4" s="260">
        <v>2398.9999999994325</v>
      </c>
      <c r="J4" s="260">
        <v>23932.000000000568</v>
      </c>
      <c r="K4" s="260">
        <v>0</v>
      </c>
      <c r="L4" s="260">
        <v>0</v>
      </c>
      <c r="M4" s="260">
        <v>0</v>
      </c>
      <c r="N4" s="260">
        <v>0</v>
      </c>
    </row>
    <row r="5" spans="1:14">
      <c r="A5" s="63">
        <f>'B5'!A5</f>
        <v>44378</v>
      </c>
      <c r="B5" s="76">
        <f>'B5'!V5</f>
        <v>0</v>
      </c>
      <c r="C5" s="76">
        <f>'B5'!AH5</f>
        <v>0</v>
      </c>
      <c r="D5" s="76">
        <f>GEN!AI3</f>
        <v>0</v>
      </c>
      <c r="E5" s="240">
        <f t="shared" ref="E5:E33" si="0">B5+C5+D5</f>
        <v>0</v>
      </c>
      <c r="F5" s="75">
        <f>WATER!L5</f>
        <v>0</v>
      </c>
      <c r="G5" s="78">
        <f>WATER!BG5</f>
        <v>177.40000000000003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44379</v>
      </c>
      <c r="B6" s="76">
        <f>'B5'!V6</f>
        <v>0</v>
      </c>
      <c r="C6" s="76">
        <f>'B5'!AH6</f>
        <v>0</v>
      </c>
      <c r="D6" s="76">
        <f>GEN!AI4</f>
        <v>0</v>
      </c>
      <c r="E6" s="240">
        <f t="shared" si="0"/>
        <v>0</v>
      </c>
      <c r="F6" s="75">
        <f>WATER!L6</f>
        <v>0</v>
      </c>
      <c r="G6" s="78">
        <f>WATER!BG6</f>
        <v>0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44380</v>
      </c>
      <c r="B7" s="76">
        <f>'B5'!V7</f>
        <v>0</v>
      </c>
      <c r="C7" s="76">
        <f>'B5'!AH7</f>
        <v>0</v>
      </c>
      <c r="D7" s="76">
        <f>GEN!AI5</f>
        <v>0</v>
      </c>
      <c r="E7" s="240">
        <f t="shared" si="0"/>
        <v>0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44381</v>
      </c>
      <c r="B8" s="76">
        <f>'B5'!V8</f>
        <v>117</v>
      </c>
      <c r="C8" s="76">
        <f>'B5'!AH8</f>
        <v>0</v>
      </c>
      <c r="D8" s="76">
        <f>GEN!AI6</f>
        <v>1488.966244725701</v>
      </c>
      <c r="E8" s="240">
        <f t="shared" si="0"/>
        <v>1605.966244725701</v>
      </c>
      <c r="F8" s="75">
        <f>WATER!L8</f>
        <v>0</v>
      </c>
      <c r="G8" s="78">
        <f>WATER!BG8</f>
        <v>0</v>
      </c>
      <c r="H8" s="79">
        <f>ELEC!AF7</f>
        <v>2825</v>
      </c>
      <c r="I8" s="79">
        <f>ELEC!Q7</f>
        <v>5784.9999999998545</v>
      </c>
      <c r="J8" s="79">
        <f>ELEC!R7</f>
        <v>6122.0000000001455</v>
      </c>
      <c r="K8" s="3"/>
      <c r="L8" s="3"/>
      <c r="M8" s="3"/>
      <c r="N8" s="3"/>
    </row>
    <row r="9" spans="1:14">
      <c r="A9" s="63">
        <f>'B5'!A9</f>
        <v>44382</v>
      </c>
      <c r="B9" s="76">
        <f>'B5'!V9</f>
        <v>52</v>
      </c>
      <c r="C9" s="76">
        <f>'B5'!AH9</f>
        <v>0</v>
      </c>
      <c r="D9" s="76">
        <f>GEN!AI7</f>
        <v>2517.7299578057127</v>
      </c>
      <c r="E9" s="240">
        <f t="shared" si="0"/>
        <v>2569.7299578057127</v>
      </c>
      <c r="F9" s="75">
        <f>WATER!L9</f>
        <v>0</v>
      </c>
      <c r="G9" s="78">
        <f>WATER!BG9</f>
        <v>-94.600000000000009</v>
      </c>
      <c r="H9" s="79">
        <f>ELEC!AF8</f>
        <v>2115</v>
      </c>
      <c r="I9" s="79">
        <f>ELEC!Q8</f>
        <v>9781.9999999992433</v>
      </c>
      <c r="J9" s="79">
        <f>ELEC!R8</f>
        <v>-5734.9999999992433</v>
      </c>
      <c r="K9" s="3"/>
      <c r="L9" s="3"/>
      <c r="M9" s="3"/>
      <c r="N9" s="3"/>
    </row>
    <row r="10" spans="1:14">
      <c r="A10" s="63">
        <f>'B5'!A10</f>
        <v>44383</v>
      </c>
      <c r="B10" s="76">
        <f>'B5'!V10</f>
        <v>164</v>
      </c>
      <c r="C10" s="76">
        <f>'B5'!AH10</f>
        <v>0</v>
      </c>
      <c r="D10" s="76">
        <f>GEN!AI8</f>
        <v>3853.8101265817995</v>
      </c>
      <c r="E10" s="240">
        <f t="shared" si="0"/>
        <v>4017.8101265817995</v>
      </c>
      <c r="F10" s="75">
        <f>WATER!L10</f>
        <v>3</v>
      </c>
      <c r="G10" s="78">
        <f>WATER!BG10</f>
        <v>32.900000000000006</v>
      </c>
      <c r="H10" s="79">
        <f>ELEC!AF9</f>
        <v>5076</v>
      </c>
      <c r="I10" s="79">
        <f>ELEC!Q9</f>
        <v>14972.999999998137</v>
      </c>
      <c r="J10" s="79">
        <f>ELEC!R9</f>
        <v>113.00000000186265</v>
      </c>
      <c r="K10" s="3"/>
      <c r="L10" s="3"/>
      <c r="M10" s="3"/>
      <c r="N10" s="3"/>
    </row>
    <row r="11" spans="1:14">
      <c r="A11" s="63">
        <f>'B5'!A11</f>
        <v>44384</v>
      </c>
      <c r="B11" s="76">
        <f>'B5'!V11</f>
        <v>45</v>
      </c>
      <c r="C11" s="76">
        <f>'B5'!AH11</f>
        <v>0</v>
      </c>
      <c r="D11" s="76">
        <f>GEN!AI9</f>
        <v>3955.4767932495147</v>
      </c>
      <c r="E11" s="240">
        <f t="shared" si="0"/>
        <v>4000.4767932495147</v>
      </c>
      <c r="F11" s="75">
        <f>WATER!L11</f>
        <v>3</v>
      </c>
      <c r="G11" s="78">
        <f>WATER!BG11</f>
        <v>61.999999999999943</v>
      </c>
      <c r="H11" s="79">
        <f>ELEC!AF10</f>
        <v>5037</v>
      </c>
      <c r="I11" s="79">
        <f>ELEC!Q10</f>
        <v>15368.000000002212</v>
      </c>
      <c r="J11" s="79">
        <f>ELEC!R10</f>
        <v>77.999999997788109</v>
      </c>
      <c r="K11" s="3"/>
      <c r="L11" s="3"/>
      <c r="M11" s="3"/>
      <c r="N11" s="3"/>
    </row>
    <row r="12" spans="1:14">
      <c r="A12" s="63">
        <f>'B5'!A12</f>
        <v>44385</v>
      </c>
      <c r="B12" s="76">
        <f>'B5'!V12</f>
        <v>0</v>
      </c>
      <c r="C12" s="76">
        <f>'B5'!AH12</f>
        <v>0</v>
      </c>
      <c r="D12" s="76">
        <f>GEN!AI10</f>
        <v>0</v>
      </c>
      <c r="E12" s="240">
        <f t="shared" si="0"/>
        <v>0</v>
      </c>
      <c r="F12" s="75">
        <f>WATER!L12</f>
        <v>0</v>
      </c>
      <c r="G12" s="78">
        <f>WATER!BG12</f>
        <v>-15.19999999999996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44386</v>
      </c>
      <c r="B13" s="76">
        <f>'B5'!V13</f>
        <v>0</v>
      </c>
      <c r="C13" s="76">
        <f>'B5'!AH13</f>
        <v>0</v>
      </c>
      <c r="D13" s="76">
        <f>GEN!AI11</f>
        <v>0</v>
      </c>
      <c r="E13" s="240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44387</v>
      </c>
      <c r="B14" s="76">
        <f>'B5'!V14</f>
        <v>0</v>
      </c>
      <c r="C14" s="76">
        <f>'B5'!AH14</f>
        <v>0</v>
      </c>
      <c r="D14" s="76">
        <f>GEN!AI12</f>
        <v>0</v>
      </c>
      <c r="E14" s="240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44388</v>
      </c>
      <c r="B15" s="76">
        <f>'B5'!V15</f>
        <v>0</v>
      </c>
      <c r="C15" s="76">
        <f>'B5'!AH15</f>
        <v>0</v>
      </c>
      <c r="D15" s="76">
        <f>GEN!AI13</f>
        <v>0</v>
      </c>
      <c r="E15" s="240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44389</v>
      </c>
      <c r="B16" s="76">
        <f>'B5'!V16</f>
        <v>0</v>
      </c>
      <c r="C16" s="76">
        <f>'B5'!AH16</f>
        <v>0</v>
      </c>
      <c r="D16" s="76">
        <f>GEN!AI14</f>
        <v>0</v>
      </c>
      <c r="E16" s="240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44390</v>
      </c>
      <c r="B17" s="76">
        <f>'B5'!V17</f>
        <v>0</v>
      </c>
      <c r="C17" s="76">
        <f>'B5'!AH17</f>
        <v>0</v>
      </c>
      <c r="D17" s="76">
        <f>GEN!AI15</f>
        <v>0</v>
      </c>
      <c r="E17" s="240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44391</v>
      </c>
      <c r="B18" s="76">
        <f>'B5'!V18</f>
        <v>0</v>
      </c>
      <c r="C18" s="76">
        <f>'B5'!AH18</f>
        <v>0</v>
      </c>
      <c r="D18" s="76">
        <f>GEN!AI16</f>
        <v>0</v>
      </c>
      <c r="E18" s="240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44392</v>
      </c>
      <c r="B19" s="76">
        <f>'B5'!V19</f>
        <v>0</v>
      </c>
      <c r="C19" s="76">
        <f>'B5'!AH19</f>
        <v>0</v>
      </c>
      <c r="D19" s="76">
        <f>GEN!AI17</f>
        <v>0</v>
      </c>
      <c r="E19" s="240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44393</v>
      </c>
      <c r="B20" s="76">
        <f>'B5'!V20</f>
        <v>0</v>
      </c>
      <c r="C20" s="76">
        <f>'B5'!AH20</f>
        <v>0</v>
      </c>
      <c r="D20" s="76">
        <f>GEN!AI18</f>
        <v>0</v>
      </c>
      <c r="E20" s="240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44394</v>
      </c>
      <c r="B21" s="76">
        <f>'B5'!V21</f>
        <v>0</v>
      </c>
      <c r="C21" s="76">
        <f>'B5'!AH21</f>
        <v>0</v>
      </c>
      <c r="D21" s="76">
        <f>GEN!AI19</f>
        <v>0</v>
      </c>
      <c r="E21" s="240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44395</v>
      </c>
      <c r="B22" s="76">
        <f>'B5'!V22</f>
        <v>0</v>
      </c>
      <c r="C22" s="76">
        <f>'B5'!AH22</f>
        <v>0</v>
      </c>
      <c r="D22" s="76">
        <f>GEN!AI20</f>
        <v>0</v>
      </c>
      <c r="E22" s="240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44396</v>
      </c>
      <c r="B23" s="76">
        <f>'B5'!V23</f>
        <v>0</v>
      </c>
      <c r="C23" s="76">
        <f>'B5'!AH23</f>
        <v>0</v>
      </c>
      <c r="D23" s="76">
        <f>GEN!AI21</f>
        <v>0</v>
      </c>
      <c r="E23" s="240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44397</v>
      </c>
      <c r="B24" s="76">
        <f>'B5'!V24</f>
        <v>0</v>
      </c>
      <c r="C24" s="76">
        <f>'B5'!AH24</f>
        <v>0</v>
      </c>
      <c r="D24" s="76">
        <f>GEN!AI22</f>
        <v>0</v>
      </c>
      <c r="E24" s="240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44398</v>
      </c>
      <c r="B25" s="76">
        <f>'B5'!V25</f>
        <v>0</v>
      </c>
      <c r="C25" s="76">
        <f>'B5'!AH25</f>
        <v>0</v>
      </c>
      <c r="D25" s="76">
        <f>GEN!AI23</f>
        <v>0</v>
      </c>
      <c r="E25" s="240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44399</v>
      </c>
      <c r="B26" s="76">
        <f>'B5'!V26</f>
        <v>0</v>
      </c>
      <c r="C26" s="76">
        <f>'B5'!AH26</f>
        <v>0</v>
      </c>
      <c r="D26" s="76">
        <f>GEN!AI24</f>
        <v>0</v>
      </c>
      <c r="E26" s="240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44400</v>
      </c>
      <c r="B27" s="76">
        <f>'B5'!V27</f>
        <v>0</v>
      </c>
      <c r="C27" s="76">
        <f>'B5'!AH27</f>
        <v>0</v>
      </c>
      <c r="D27" s="76">
        <f>GEN!AI25</f>
        <v>0</v>
      </c>
      <c r="E27" s="240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44401</v>
      </c>
      <c r="B28" s="76">
        <f>'B5'!V28</f>
        <v>0</v>
      </c>
      <c r="C28" s="76">
        <f>'B5'!AH28</f>
        <v>0</v>
      </c>
      <c r="D28" s="76">
        <f>GEN!AI26</f>
        <v>0</v>
      </c>
      <c r="E28" s="240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44402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44403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44404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44405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733" t="s">
        <v>151</v>
      </c>
      <c r="U3" s="733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0</v>
      </c>
      <c r="G5">
        <f t="shared" ref="G5:G37" si="1">F5*107</f>
        <v>0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1</v>
      </c>
      <c r="E10">
        <f t="shared" si="0"/>
        <v>90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H12" sqref="H12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82" customWidth="1"/>
    <col min="12" max="12" width="26.42578125" bestFit="1" customWidth="1"/>
    <col min="14" max="14" width="14.28515625" customWidth="1"/>
  </cols>
  <sheetData>
    <row r="1" spans="1:18" ht="39.75" customHeight="1" thickBot="1">
      <c r="A1" s="734" t="s">
        <v>51</v>
      </c>
      <c r="B1" s="746" t="s">
        <v>318</v>
      </c>
      <c r="C1" s="747"/>
      <c r="D1" s="749"/>
      <c r="E1" s="746" t="s">
        <v>319</v>
      </c>
      <c r="F1" s="747"/>
      <c r="G1" s="748"/>
      <c r="H1" s="743" t="s">
        <v>324</v>
      </c>
      <c r="I1" s="740" t="s">
        <v>325</v>
      </c>
      <c r="J1" s="737" t="s">
        <v>43</v>
      </c>
    </row>
    <row r="2" spans="1:18" ht="38.25" thickBot="1">
      <c r="A2" s="735"/>
      <c r="B2" s="255" t="s">
        <v>320</v>
      </c>
      <c r="C2" s="256" t="s">
        <v>321</v>
      </c>
      <c r="D2" s="232"/>
      <c r="E2" s="233">
        <v>3.5</v>
      </c>
      <c r="F2" s="257" t="s">
        <v>321</v>
      </c>
      <c r="G2" s="234"/>
      <c r="H2" s="744"/>
      <c r="I2" s="741"/>
      <c r="J2" s="738"/>
    </row>
    <row r="3" spans="1:18" ht="24" customHeight="1" thickBot="1">
      <c r="A3" s="736"/>
      <c r="B3" s="235" t="s">
        <v>328</v>
      </c>
      <c r="C3" s="236" t="s">
        <v>322</v>
      </c>
      <c r="D3" s="236" t="s">
        <v>329</v>
      </c>
      <c r="E3" s="237" t="s">
        <v>328</v>
      </c>
      <c r="F3" s="236" t="s">
        <v>322</v>
      </c>
      <c r="G3" s="237" t="s">
        <v>329</v>
      </c>
      <c r="H3" s="745"/>
      <c r="I3" s="742"/>
      <c r="J3" s="739"/>
    </row>
    <row r="4" spans="1:18" ht="19.5" thickBot="1">
      <c r="A4" s="241"/>
      <c r="B4" s="498"/>
      <c r="C4" s="498"/>
      <c r="D4" s="498"/>
      <c r="E4" s="498"/>
      <c r="F4" s="498"/>
      <c r="G4" s="498"/>
      <c r="H4" s="565">
        <v>0</v>
      </c>
      <c r="I4" s="242"/>
      <c r="J4" s="478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497">
        <f>'[1]Swimming Pool quality check '!A35</f>
        <v>44377</v>
      </c>
      <c r="B5" s="170">
        <f>'[1]Swimming Pool quality check '!B35</f>
        <v>1.5</v>
      </c>
      <c r="C5" s="170">
        <f>'[1]Swimming Pool quality check '!C35</f>
        <v>7.8</v>
      </c>
      <c r="D5" s="170">
        <f>'[1]Swimming Pool quality check '!D35</f>
        <v>0</v>
      </c>
      <c r="E5" s="170">
        <f>'[1]Swimming Pool quality check '!E35</f>
        <v>0</v>
      </c>
      <c r="F5" s="170">
        <f>'[1]Swimming Pool quality check '!F35</f>
        <v>0</v>
      </c>
      <c r="G5" s="170">
        <f>'[1]Swimming Pool quality check '!G35</f>
        <v>0</v>
      </c>
      <c r="H5" s="170">
        <f>'[1]Swimming Pool quality check '!$H$35</f>
        <v>6796</v>
      </c>
      <c r="I5" s="45">
        <f>'[9]Swimming Pool quality check '!I36</f>
        <v>0</v>
      </c>
      <c r="J5" s="507">
        <f>'[10]Swimming Pool quality check '!J36</f>
        <v>0.33333333333333398</v>
      </c>
      <c r="K5" s="403">
        <v>0</v>
      </c>
      <c r="L5" s="524">
        <f>A5</f>
        <v>44377</v>
      </c>
      <c r="M5" s="499">
        <v>6541</v>
      </c>
      <c r="N5" s="499">
        <f>'[6]Swimming Pool quality check '!N36</f>
        <v>642</v>
      </c>
      <c r="O5" s="499">
        <f>'[6]Swimming Pool quality check '!O36</f>
        <v>6836</v>
      </c>
    </row>
    <row r="6" spans="1:18" ht="15.75" customHeight="1" thickBot="1">
      <c r="A6" s="238">
        <f>ELEC!C4</f>
        <v>44378</v>
      </c>
      <c r="B6" s="252"/>
      <c r="C6" s="571"/>
      <c r="D6" s="170"/>
      <c r="E6" s="170"/>
      <c r="F6" s="170"/>
      <c r="G6" s="567"/>
      <c r="H6" s="568">
        <f>H5</f>
        <v>6796</v>
      </c>
      <c r="I6" s="499">
        <f>H6-H5</f>
        <v>0</v>
      </c>
      <c r="J6" s="479">
        <v>0.29166666666666669</v>
      </c>
      <c r="L6" s="99">
        <f t="shared" ref="L6:L33" si="0">A6</f>
        <v>44378</v>
      </c>
      <c r="M6" s="3">
        <f>M5</f>
        <v>6541</v>
      </c>
      <c r="N6" s="499"/>
      <c r="O6" s="499">
        <f>M6+N6</f>
        <v>6541</v>
      </c>
    </row>
    <row r="7" spans="1:18" ht="15.75" thickBot="1">
      <c r="A7" s="238">
        <f>ELEC!C5</f>
        <v>44379</v>
      </c>
      <c r="B7" s="252"/>
      <c r="C7" s="615"/>
      <c r="D7" s="170"/>
      <c r="E7" s="170"/>
      <c r="F7" s="170"/>
      <c r="G7" s="567"/>
      <c r="H7" s="568">
        <f t="shared" ref="H7:H36" si="1">H6</f>
        <v>6796</v>
      </c>
      <c r="I7" s="499">
        <f>H7-H6</f>
        <v>0</v>
      </c>
      <c r="J7" s="480">
        <v>0.29166666666666669</v>
      </c>
      <c r="L7" s="99">
        <f t="shared" si="0"/>
        <v>44379</v>
      </c>
      <c r="M7" s="3">
        <f t="shared" ref="M7:M36" si="2">M6</f>
        <v>6541</v>
      </c>
      <c r="N7" s="499"/>
      <c r="O7" s="499">
        <f t="shared" ref="O7:O33" si="3">M7+N7</f>
        <v>6541</v>
      </c>
    </row>
    <row r="8" spans="1:18" ht="15.75" thickBot="1">
      <c r="A8" s="238">
        <f>ELEC!C6</f>
        <v>44380</v>
      </c>
      <c r="B8" s="525"/>
      <c r="C8" s="571"/>
      <c r="D8" s="571"/>
      <c r="E8" s="571"/>
      <c r="F8" s="571"/>
      <c r="G8" s="568"/>
      <c r="H8" s="568">
        <f t="shared" si="1"/>
        <v>6796</v>
      </c>
      <c r="I8" s="499">
        <f t="shared" ref="I8:I33" si="4">H8-H7</f>
        <v>0</v>
      </c>
      <c r="J8" s="480">
        <v>0.29166666666666669</v>
      </c>
      <c r="L8" s="99">
        <f t="shared" si="0"/>
        <v>44380</v>
      </c>
      <c r="M8" s="3">
        <f t="shared" si="2"/>
        <v>6541</v>
      </c>
      <c r="N8" s="499"/>
      <c r="O8" s="499">
        <f t="shared" si="3"/>
        <v>6541</v>
      </c>
    </row>
    <row r="9" spans="1:18" ht="15.75" thickBot="1">
      <c r="A9" s="238">
        <f>ELEC!C7</f>
        <v>44381</v>
      </c>
      <c r="B9" s="525"/>
      <c r="C9" s="593"/>
      <c r="D9" s="170"/>
      <c r="E9" s="621"/>
      <c r="F9" s="621"/>
      <c r="G9" s="45"/>
      <c r="H9" s="568">
        <f t="shared" si="1"/>
        <v>6796</v>
      </c>
      <c r="I9" s="499">
        <f t="shared" si="4"/>
        <v>0</v>
      </c>
      <c r="J9" s="480">
        <v>0.25</v>
      </c>
      <c r="L9" s="99">
        <f t="shared" si="0"/>
        <v>44381</v>
      </c>
      <c r="M9" s="3">
        <f t="shared" si="2"/>
        <v>6541</v>
      </c>
      <c r="N9" s="499"/>
      <c r="O9" s="499">
        <f t="shared" si="3"/>
        <v>6541</v>
      </c>
    </row>
    <row r="10" spans="1:18" ht="15.75" thickBot="1">
      <c r="A10" s="238">
        <f>ELEC!C8</f>
        <v>44382</v>
      </c>
      <c r="B10" s="252">
        <v>1.8</v>
      </c>
      <c r="C10" s="572">
        <v>7.8</v>
      </c>
      <c r="D10" s="170">
        <v>0</v>
      </c>
      <c r="E10" s="170">
        <v>0</v>
      </c>
      <c r="F10" s="170">
        <v>0</v>
      </c>
      <c r="G10" s="564">
        <v>0</v>
      </c>
      <c r="H10" s="568">
        <v>6799</v>
      </c>
      <c r="I10" s="499">
        <f t="shared" si="4"/>
        <v>3</v>
      </c>
      <c r="J10" s="480">
        <v>0.29166666666666669</v>
      </c>
      <c r="L10" s="99">
        <f t="shared" si="0"/>
        <v>44382</v>
      </c>
      <c r="M10" s="3">
        <f t="shared" si="2"/>
        <v>6541</v>
      </c>
      <c r="N10" s="499"/>
      <c r="O10" s="499">
        <f t="shared" si="3"/>
        <v>6541</v>
      </c>
    </row>
    <row r="11" spans="1:18" ht="15.75" thickBot="1">
      <c r="A11" s="238">
        <f>ELEC!C9</f>
        <v>44383</v>
      </c>
      <c r="B11" s="252">
        <v>1.8</v>
      </c>
      <c r="C11" s="599">
        <v>7.8</v>
      </c>
      <c r="D11" s="170">
        <v>0</v>
      </c>
      <c r="E11" s="170">
        <v>0</v>
      </c>
      <c r="F11" s="170">
        <v>0</v>
      </c>
      <c r="G11" s="170">
        <v>0</v>
      </c>
      <c r="H11" s="568">
        <v>6802</v>
      </c>
      <c r="I11" s="499">
        <f t="shared" si="4"/>
        <v>3</v>
      </c>
      <c r="J11" s="480">
        <v>0.29166666666666669</v>
      </c>
      <c r="L11" s="99">
        <f t="shared" si="0"/>
        <v>44383</v>
      </c>
      <c r="M11" s="3">
        <f t="shared" si="2"/>
        <v>6541</v>
      </c>
      <c r="N11" s="499"/>
      <c r="O11" s="499">
        <f t="shared" si="3"/>
        <v>6541</v>
      </c>
    </row>
    <row r="12" spans="1:18" ht="16.5" thickBot="1">
      <c r="A12" s="238">
        <f>ELEC!C10</f>
        <v>44384</v>
      </c>
      <c r="B12" s="252">
        <v>1.6</v>
      </c>
      <c r="C12" s="579">
        <v>7.8</v>
      </c>
      <c r="D12" s="170">
        <v>0</v>
      </c>
      <c r="E12" s="170">
        <v>0</v>
      </c>
      <c r="F12" s="170">
        <v>0</v>
      </c>
      <c r="G12" s="525">
        <v>0</v>
      </c>
      <c r="H12" s="568">
        <f t="shared" si="1"/>
        <v>6802</v>
      </c>
      <c r="I12" s="499">
        <f t="shared" si="4"/>
        <v>0</v>
      </c>
      <c r="J12" s="480">
        <v>0.29166666666666669</v>
      </c>
      <c r="L12" s="99">
        <f t="shared" si="0"/>
        <v>44384</v>
      </c>
      <c r="M12" s="3">
        <f t="shared" si="2"/>
        <v>6541</v>
      </c>
      <c r="N12" s="499"/>
      <c r="O12" s="499">
        <f t="shared" si="3"/>
        <v>6541</v>
      </c>
      <c r="P12" s="432"/>
      <c r="Q12" s="354"/>
      <c r="R12" s="354"/>
    </row>
    <row r="13" spans="1:18" ht="15.75" thickBot="1">
      <c r="A13" s="238">
        <f>ELEC!C11</f>
        <v>44385</v>
      </c>
      <c r="B13" s="525"/>
      <c r="C13" s="525"/>
      <c r="D13" s="525"/>
      <c r="E13" s="525"/>
      <c r="F13" s="525"/>
      <c r="G13" s="525"/>
      <c r="H13" s="568">
        <f t="shared" si="1"/>
        <v>6802</v>
      </c>
      <c r="I13" s="499">
        <f t="shared" si="4"/>
        <v>0</v>
      </c>
      <c r="J13" s="480">
        <v>0.29166666666666669</v>
      </c>
      <c r="L13" s="99">
        <f t="shared" si="0"/>
        <v>44385</v>
      </c>
      <c r="M13" s="3">
        <f t="shared" si="2"/>
        <v>6541</v>
      </c>
      <c r="N13" s="499"/>
      <c r="O13" s="499">
        <f t="shared" si="3"/>
        <v>6541</v>
      </c>
    </row>
    <row r="14" spans="1:18" ht="15.75" thickBot="1">
      <c r="A14" s="238">
        <f>ELEC!C12</f>
        <v>44386</v>
      </c>
      <c r="B14" s="252"/>
      <c r="C14" s="602"/>
      <c r="D14" s="170"/>
      <c r="E14" s="170"/>
      <c r="F14" s="170"/>
      <c r="G14" s="170"/>
      <c r="H14" s="568">
        <f t="shared" si="1"/>
        <v>6802</v>
      </c>
      <c r="I14" s="499">
        <f t="shared" si="4"/>
        <v>0</v>
      </c>
      <c r="J14" s="480">
        <v>0.29166666666666669</v>
      </c>
      <c r="L14" s="99">
        <f t="shared" si="0"/>
        <v>44386</v>
      </c>
      <c r="M14" s="3">
        <f t="shared" si="2"/>
        <v>6541</v>
      </c>
      <c r="N14" s="499"/>
      <c r="O14" s="499">
        <f t="shared" si="3"/>
        <v>6541</v>
      </c>
    </row>
    <row r="15" spans="1:18" ht="15.75" thickBot="1">
      <c r="A15" s="238">
        <f>ELEC!C13</f>
        <v>44387</v>
      </c>
      <c r="B15" s="525"/>
      <c r="C15" s="571"/>
      <c r="D15" s="571"/>
      <c r="E15" s="571"/>
      <c r="F15" s="571"/>
      <c r="G15" s="566"/>
      <c r="H15" s="568">
        <f t="shared" si="1"/>
        <v>6802</v>
      </c>
      <c r="I15" s="499">
        <f t="shared" si="4"/>
        <v>0</v>
      </c>
      <c r="J15" s="480">
        <v>0.29166666666666669</v>
      </c>
      <c r="L15" s="99">
        <f t="shared" si="0"/>
        <v>44387</v>
      </c>
      <c r="M15" s="3">
        <f t="shared" si="2"/>
        <v>6541</v>
      </c>
      <c r="N15" s="499"/>
      <c r="O15" s="499">
        <f t="shared" si="3"/>
        <v>6541</v>
      </c>
    </row>
    <row r="16" spans="1:18" ht="15.75" thickBot="1">
      <c r="A16" s="238">
        <f>ELEC!C14</f>
        <v>44388</v>
      </c>
      <c r="B16" s="525"/>
      <c r="C16" s="571"/>
      <c r="D16" s="571"/>
      <c r="E16" s="571"/>
      <c r="F16" s="571"/>
      <c r="G16" s="566"/>
      <c r="H16" s="568">
        <f t="shared" si="1"/>
        <v>6802</v>
      </c>
      <c r="I16" s="499">
        <f t="shared" si="4"/>
        <v>0</v>
      </c>
      <c r="J16" s="480">
        <v>0.29166666666666669</v>
      </c>
      <c r="L16" s="99">
        <f t="shared" si="0"/>
        <v>44388</v>
      </c>
      <c r="M16" s="3">
        <f t="shared" si="2"/>
        <v>6541</v>
      </c>
      <c r="N16" s="499"/>
      <c r="O16" s="499">
        <f t="shared" si="3"/>
        <v>6541</v>
      </c>
    </row>
    <row r="17" spans="1:15" ht="15.75" thickBot="1">
      <c r="A17" s="238">
        <f>ELEC!C15</f>
        <v>44389</v>
      </c>
      <c r="B17" s="252"/>
      <c r="C17" s="580"/>
      <c r="D17" s="170"/>
      <c r="E17" s="170"/>
      <c r="F17" s="607"/>
      <c r="G17" s="606"/>
      <c r="H17" s="568">
        <f t="shared" si="1"/>
        <v>6802</v>
      </c>
      <c r="I17" s="499">
        <f t="shared" si="4"/>
        <v>0</v>
      </c>
      <c r="J17" s="480">
        <v>0.29166666666666669</v>
      </c>
      <c r="L17" s="99">
        <f t="shared" si="0"/>
        <v>44389</v>
      </c>
      <c r="M17" s="3">
        <f t="shared" si="2"/>
        <v>6541</v>
      </c>
      <c r="N17" s="499"/>
      <c r="O17" s="499">
        <f t="shared" si="3"/>
        <v>6541</v>
      </c>
    </row>
    <row r="18" spans="1:15" ht="15.75" thickBot="1">
      <c r="A18" s="238">
        <f>ELEC!C16</f>
        <v>44390</v>
      </c>
      <c r="B18" s="252"/>
      <c r="C18" s="581"/>
      <c r="D18" s="170"/>
      <c r="E18" s="170"/>
      <c r="F18" s="622"/>
      <c r="G18" s="609"/>
      <c r="H18" s="568">
        <f t="shared" si="1"/>
        <v>6802</v>
      </c>
      <c r="I18" s="499">
        <f t="shared" si="4"/>
        <v>0</v>
      </c>
      <c r="J18" s="480">
        <v>0.29166666666666669</v>
      </c>
      <c r="L18" s="99">
        <f t="shared" si="0"/>
        <v>44390</v>
      </c>
      <c r="M18" s="3">
        <f t="shared" si="2"/>
        <v>6541</v>
      </c>
      <c r="N18" s="499"/>
      <c r="O18" s="499">
        <f t="shared" si="3"/>
        <v>6541</v>
      </c>
    </row>
    <row r="19" spans="1:15" ht="15.75" thickBot="1">
      <c r="A19" s="238">
        <f>ELEC!C17</f>
        <v>44391</v>
      </c>
      <c r="B19" s="252"/>
      <c r="C19" s="582"/>
      <c r="D19" s="170"/>
      <c r="E19" s="170"/>
      <c r="F19" s="607"/>
      <c r="G19" s="606"/>
      <c r="H19" s="568">
        <f t="shared" si="1"/>
        <v>6802</v>
      </c>
      <c r="I19" s="499">
        <f t="shared" si="4"/>
        <v>0</v>
      </c>
      <c r="J19" s="480">
        <v>0.29166666666666669</v>
      </c>
      <c r="L19" s="99">
        <f t="shared" si="0"/>
        <v>44391</v>
      </c>
      <c r="M19" s="3">
        <f t="shared" si="2"/>
        <v>6541</v>
      </c>
      <c r="N19" s="499"/>
      <c r="O19" s="499">
        <f t="shared" si="3"/>
        <v>6541</v>
      </c>
    </row>
    <row r="20" spans="1:15" ht="15.75" thickBot="1">
      <c r="A20" s="238">
        <f>ELEC!C18</f>
        <v>44392</v>
      </c>
      <c r="B20" s="252"/>
      <c r="C20" s="623"/>
      <c r="D20" s="170"/>
      <c r="E20" s="170"/>
      <c r="F20" s="170"/>
      <c r="G20" s="606"/>
      <c r="H20" s="568">
        <f t="shared" si="1"/>
        <v>6802</v>
      </c>
      <c r="I20" s="499">
        <f t="shared" si="4"/>
        <v>0</v>
      </c>
      <c r="J20" s="480">
        <v>0.29166666666666669</v>
      </c>
      <c r="L20" s="99">
        <f t="shared" si="0"/>
        <v>44392</v>
      </c>
      <c r="M20" s="3">
        <f t="shared" si="2"/>
        <v>6541</v>
      </c>
      <c r="N20" s="499"/>
      <c r="O20" s="499">
        <f t="shared" si="3"/>
        <v>6541</v>
      </c>
    </row>
    <row r="21" spans="1:15" ht="15.75" thickBot="1">
      <c r="A21" s="238">
        <f>ELEC!C19</f>
        <v>44393</v>
      </c>
      <c r="B21" s="252"/>
      <c r="C21" s="603"/>
      <c r="D21" s="170"/>
      <c r="E21" s="170"/>
      <c r="F21" s="607"/>
      <c r="G21" s="609"/>
      <c r="H21" s="568">
        <f t="shared" si="1"/>
        <v>6802</v>
      </c>
      <c r="I21" s="499">
        <f t="shared" si="4"/>
        <v>0</v>
      </c>
      <c r="J21" s="562" t="s">
        <v>414</v>
      </c>
      <c r="L21" s="99">
        <f t="shared" si="0"/>
        <v>44393</v>
      </c>
      <c r="M21" s="3">
        <f t="shared" si="2"/>
        <v>6541</v>
      </c>
      <c r="N21" s="499"/>
      <c r="O21" s="499">
        <f t="shared" si="3"/>
        <v>6541</v>
      </c>
    </row>
    <row r="22" spans="1:15" ht="15.75" thickBot="1">
      <c r="A22" s="238">
        <f>ELEC!C20</f>
        <v>44394</v>
      </c>
      <c r="B22" s="252"/>
      <c r="C22" s="583"/>
      <c r="D22" s="584"/>
      <c r="E22" s="583"/>
      <c r="F22" s="607"/>
      <c r="G22" s="606"/>
      <c r="H22" s="568">
        <f t="shared" si="1"/>
        <v>6802</v>
      </c>
      <c r="I22" s="499">
        <f t="shared" si="4"/>
        <v>0</v>
      </c>
      <c r="J22" s="480">
        <v>0.29166666666666669</v>
      </c>
      <c r="L22" s="99">
        <f t="shared" si="0"/>
        <v>44394</v>
      </c>
      <c r="M22" s="3">
        <f t="shared" si="2"/>
        <v>6541</v>
      </c>
      <c r="N22" s="499"/>
      <c r="O22" s="499">
        <f t="shared" si="3"/>
        <v>6541</v>
      </c>
    </row>
    <row r="23" spans="1:15" ht="15.75" thickBot="1">
      <c r="A23" s="238">
        <f>ELEC!C21</f>
        <v>44395</v>
      </c>
      <c r="B23" s="252"/>
      <c r="C23" s="604"/>
      <c r="D23" s="605"/>
      <c r="E23" s="604"/>
      <c r="F23" s="607"/>
      <c r="G23" s="606"/>
      <c r="H23" s="568">
        <f t="shared" si="1"/>
        <v>6802</v>
      </c>
      <c r="I23" s="499">
        <f t="shared" si="4"/>
        <v>0</v>
      </c>
      <c r="J23" s="480">
        <v>0.29166666666666669</v>
      </c>
      <c r="L23" s="99">
        <f t="shared" si="0"/>
        <v>44395</v>
      </c>
      <c r="M23" s="3">
        <f t="shared" si="2"/>
        <v>6541</v>
      </c>
      <c r="N23" s="499"/>
      <c r="O23" s="499">
        <f t="shared" si="3"/>
        <v>6541</v>
      </c>
    </row>
    <row r="24" spans="1:15" ht="15.75" thickBot="1">
      <c r="A24" s="238">
        <f>ELEC!C22</f>
        <v>44396</v>
      </c>
      <c r="B24" s="252"/>
      <c r="C24" s="607"/>
      <c r="D24" s="608"/>
      <c r="E24" s="607"/>
      <c r="F24" s="607"/>
      <c r="G24" s="609"/>
      <c r="H24" s="568">
        <f t="shared" si="1"/>
        <v>6802</v>
      </c>
      <c r="I24" s="499">
        <f t="shared" si="4"/>
        <v>0</v>
      </c>
      <c r="J24" s="480">
        <v>0.29166666666666702</v>
      </c>
      <c r="L24" s="99">
        <f t="shared" si="0"/>
        <v>44396</v>
      </c>
      <c r="M24" s="3">
        <f t="shared" si="2"/>
        <v>6541</v>
      </c>
      <c r="N24" s="499"/>
      <c r="O24" s="499">
        <f t="shared" si="3"/>
        <v>6541</v>
      </c>
    </row>
    <row r="25" spans="1:15" ht="15.75" thickBot="1">
      <c r="A25" s="238">
        <f>ELEC!C23</f>
        <v>44397</v>
      </c>
      <c r="B25" s="563"/>
      <c r="C25" s="571"/>
      <c r="D25" s="170"/>
      <c r="E25" s="170"/>
      <c r="F25" s="170"/>
      <c r="G25" s="170"/>
      <c r="H25" s="568">
        <f t="shared" si="1"/>
        <v>6802</v>
      </c>
      <c r="I25" s="499">
        <f t="shared" si="4"/>
        <v>0</v>
      </c>
      <c r="J25" s="480">
        <v>0.29166666666666702</v>
      </c>
      <c r="L25" s="99">
        <f t="shared" si="0"/>
        <v>44397</v>
      </c>
      <c r="M25" s="3">
        <f t="shared" si="2"/>
        <v>6541</v>
      </c>
      <c r="N25" s="499"/>
      <c r="O25" s="499">
        <f t="shared" si="3"/>
        <v>6541</v>
      </c>
    </row>
    <row r="26" spans="1:15" ht="15.75" thickBot="1">
      <c r="A26" s="238">
        <f>ELEC!C24</f>
        <v>44398</v>
      </c>
      <c r="B26" s="252"/>
      <c r="C26" s="585"/>
      <c r="D26" s="586"/>
      <c r="E26" s="585"/>
      <c r="F26" s="585"/>
      <c r="G26" s="170"/>
      <c r="H26" s="568">
        <f t="shared" si="1"/>
        <v>6802</v>
      </c>
      <c r="I26" s="499">
        <f t="shared" si="4"/>
        <v>0</v>
      </c>
      <c r="J26" s="480">
        <v>0.29166666666666702</v>
      </c>
      <c r="L26" s="99">
        <f t="shared" si="0"/>
        <v>44398</v>
      </c>
      <c r="M26" s="3">
        <f t="shared" si="2"/>
        <v>6541</v>
      </c>
      <c r="N26" s="499"/>
      <c r="O26" s="499">
        <f t="shared" si="3"/>
        <v>6541</v>
      </c>
    </row>
    <row r="27" spans="1:15" ht="15.75" thickBot="1">
      <c r="A27" s="238">
        <f>ELEC!C25</f>
        <v>44399</v>
      </c>
      <c r="B27" s="170"/>
      <c r="C27" s="170"/>
      <c r="D27" s="624"/>
      <c r="E27" s="625"/>
      <c r="F27" s="625"/>
      <c r="G27" s="170"/>
      <c r="H27" s="568">
        <f t="shared" si="1"/>
        <v>6802</v>
      </c>
      <c r="I27" s="499">
        <f t="shared" si="4"/>
        <v>0</v>
      </c>
      <c r="J27" s="480">
        <v>0.29166666666666702</v>
      </c>
      <c r="L27" s="99">
        <f t="shared" si="0"/>
        <v>44399</v>
      </c>
      <c r="M27" s="3">
        <f t="shared" si="2"/>
        <v>6541</v>
      </c>
      <c r="N27" s="499"/>
      <c r="O27" s="499">
        <f t="shared" si="3"/>
        <v>6541</v>
      </c>
    </row>
    <row r="28" spans="1:15" ht="15.75" thickBot="1">
      <c r="A28" s="238">
        <f>ELEC!C26</f>
        <v>44400</v>
      </c>
      <c r="B28" s="170"/>
      <c r="C28" s="170"/>
      <c r="D28" s="624"/>
      <c r="E28" s="625"/>
      <c r="F28" s="625"/>
      <c r="G28" s="170"/>
      <c r="H28" s="568">
        <f t="shared" si="1"/>
        <v>6802</v>
      </c>
      <c r="I28" s="499">
        <f t="shared" si="4"/>
        <v>0</v>
      </c>
      <c r="J28" s="481">
        <v>0.29166666666666702</v>
      </c>
      <c r="L28" s="99">
        <f t="shared" si="0"/>
        <v>44400</v>
      </c>
      <c r="M28" s="3">
        <f t="shared" si="2"/>
        <v>6541</v>
      </c>
      <c r="N28" s="499"/>
      <c r="O28" s="499">
        <f t="shared" si="3"/>
        <v>6541</v>
      </c>
    </row>
    <row r="29" spans="1:15" ht="15.75" thickBot="1">
      <c r="A29" s="238">
        <f>ELEC!C27</f>
        <v>44401</v>
      </c>
      <c r="B29" s="252"/>
      <c r="C29" s="587"/>
      <c r="D29" s="588"/>
      <c r="E29" s="607"/>
      <c r="F29" s="607"/>
      <c r="G29" s="606"/>
      <c r="H29" s="568">
        <f t="shared" si="1"/>
        <v>6802</v>
      </c>
      <c r="I29" s="499">
        <f t="shared" si="4"/>
        <v>0</v>
      </c>
      <c r="J29" s="480">
        <v>0.29166666666666702</v>
      </c>
      <c r="L29" s="99">
        <f t="shared" si="0"/>
        <v>44401</v>
      </c>
      <c r="M29" s="3">
        <f t="shared" si="2"/>
        <v>6541</v>
      </c>
      <c r="N29" s="499"/>
      <c r="O29" s="499">
        <f t="shared" si="3"/>
        <v>6541</v>
      </c>
    </row>
    <row r="30" spans="1:15" ht="15.75" thickBot="1">
      <c r="A30" s="238">
        <f>ELEC!C28</f>
        <v>44402</v>
      </c>
      <c r="B30" s="252"/>
      <c r="C30" s="589"/>
      <c r="D30" s="590"/>
      <c r="E30" s="589"/>
      <c r="F30" s="589"/>
      <c r="G30" s="170"/>
      <c r="H30" s="568">
        <f t="shared" si="1"/>
        <v>6802</v>
      </c>
      <c r="I30" s="499">
        <f t="shared" si="4"/>
        <v>0</v>
      </c>
      <c r="J30" s="480">
        <v>0.29166666666666702</v>
      </c>
      <c r="L30" s="99">
        <f t="shared" si="0"/>
        <v>44402</v>
      </c>
      <c r="M30" s="3">
        <f t="shared" si="2"/>
        <v>6541</v>
      </c>
      <c r="N30" s="499"/>
      <c r="O30" s="499">
        <f t="shared" si="3"/>
        <v>6541</v>
      </c>
    </row>
    <row r="31" spans="1:15" ht="15.75" thickBot="1">
      <c r="A31" s="238">
        <f>ELEC!C29</f>
        <v>44403</v>
      </c>
      <c r="B31" s="252"/>
      <c r="C31" s="571"/>
      <c r="D31" s="170"/>
      <c r="E31" s="170"/>
      <c r="F31" s="170"/>
      <c r="G31" s="170"/>
      <c r="H31" s="568">
        <f t="shared" si="1"/>
        <v>6802</v>
      </c>
      <c r="I31" s="499">
        <f t="shared" si="4"/>
        <v>0</v>
      </c>
      <c r="J31" s="480">
        <v>0.29166666666666702</v>
      </c>
      <c r="L31" s="99">
        <f t="shared" si="0"/>
        <v>44403</v>
      </c>
      <c r="M31" s="3">
        <f t="shared" si="2"/>
        <v>6541</v>
      </c>
      <c r="N31" s="499"/>
      <c r="O31" s="499">
        <f t="shared" si="3"/>
        <v>6541</v>
      </c>
    </row>
    <row r="32" spans="1:15" ht="15.75" thickBot="1">
      <c r="A32" s="238">
        <f>ELEC!C30</f>
        <v>44404</v>
      </c>
      <c r="B32" s="170"/>
      <c r="C32" s="170"/>
      <c r="D32" s="170"/>
      <c r="E32" s="170"/>
      <c r="F32" s="170"/>
      <c r="G32" s="499"/>
      <c r="H32" s="568">
        <f t="shared" si="1"/>
        <v>6802</v>
      </c>
      <c r="I32" s="499">
        <f t="shared" si="4"/>
        <v>0</v>
      </c>
      <c r="J32" s="480">
        <v>0.29166666666666702</v>
      </c>
      <c r="L32" s="99">
        <f t="shared" si="0"/>
        <v>44404</v>
      </c>
      <c r="M32" s="3">
        <f t="shared" si="2"/>
        <v>6541</v>
      </c>
      <c r="N32" s="499"/>
      <c r="O32" s="499">
        <f t="shared" si="3"/>
        <v>6541</v>
      </c>
    </row>
    <row r="33" spans="1:15" ht="15.75" thickBot="1">
      <c r="A33" s="238">
        <f>ELEC!C31</f>
        <v>44405</v>
      </c>
      <c r="B33" s="170"/>
      <c r="C33" s="170"/>
      <c r="D33" s="170"/>
      <c r="E33" s="170"/>
      <c r="F33" s="170"/>
      <c r="G33" s="499"/>
      <c r="H33" s="568">
        <f t="shared" si="1"/>
        <v>6802</v>
      </c>
      <c r="I33" s="499">
        <f t="shared" si="4"/>
        <v>0</v>
      </c>
      <c r="J33" s="480">
        <v>0.29166666666666702</v>
      </c>
      <c r="L33" s="99">
        <f t="shared" si="0"/>
        <v>44405</v>
      </c>
      <c r="M33" s="3">
        <f t="shared" si="2"/>
        <v>6541</v>
      </c>
      <c r="N33" s="499"/>
      <c r="O33" s="499">
        <f t="shared" si="3"/>
        <v>6541</v>
      </c>
    </row>
    <row r="34" spans="1:15" ht="15.75" thickBot="1">
      <c r="A34" s="238">
        <f>ELEC!C32</f>
        <v>44406</v>
      </c>
      <c r="B34" s="170"/>
      <c r="C34" s="170"/>
      <c r="D34" s="170"/>
      <c r="E34" s="170"/>
      <c r="F34" s="170"/>
      <c r="G34" s="499"/>
      <c r="H34" s="568">
        <f t="shared" si="1"/>
        <v>6802</v>
      </c>
      <c r="I34" s="499">
        <f>H34-H33</f>
        <v>0</v>
      </c>
      <c r="J34" s="480">
        <v>0.33333333333333398</v>
      </c>
      <c r="L34" s="99">
        <f>A34</f>
        <v>44406</v>
      </c>
      <c r="M34" s="3">
        <f t="shared" si="2"/>
        <v>6541</v>
      </c>
      <c r="N34" s="499"/>
      <c r="O34" s="499">
        <f>M34+N34</f>
        <v>6541</v>
      </c>
    </row>
    <row r="35" spans="1:15" ht="15.75" thickBot="1">
      <c r="A35" s="238">
        <f>ELEC!C33</f>
        <v>44407</v>
      </c>
      <c r="B35" s="170"/>
      <c r="C35" s="170"/>
      <c r="D35" s="170"/>
      <c r="E35" s="170"/>
      <c r="F35" s="170"/>
      <c r="G35" s="499"/>
      <c r="H35" s="568">
        <f t="shared" si="1"/>
        <v>6802</v>
      </c>
      <c r="I35" s="499">
        <f>H35-H34</f>
        <v>0</v>
      </c>
      <c r="J35" s="480">
        <v>0.375000000000001</v>
      </c>
      <c r="L35" s="99">
        <f>A35</f>
        <v>44407</v>
      </c>
      <c r="M35" s="3">
        <f t="shared" si="2"/>
        <v>6541</v>
      </c>
      <c r="N35" s="499"/>
      <c r="O35" s="499">
        <f>M35+N35</f>
        <v>6541</v>
      </c>
    </row>
    <row r="36" spans="1:15">
      <c r="A36" s="238">
        <f>ELEC!C34</f>
        <v>44408</v>
      </c>
      <c r="B36" s="170"/>
      <c r="C36" s="170"/>
      <c r="D36" s="170"/>
      <c r="E36" s="170"/>
      <c r="F36" s="170"/>
      <c r="G36" s="499"/>
      <c r="H36" s="568">
        <f t="shared" si="1"/>
        <v>6802</v>
      </c>
      <c r="I36" s="499"/>
      <c r="J36" s="480"/>
      <c r="L36" s="99">
        <f>A36</f>
        <v>44408</v>
      </c>
      <c r="M36" s="3">
        <f t="shared" si="2"/>
        <v>6541</v>
      </c>
      <c r="N36" s="499"/>
      <c r="O36" s="499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37" zoomScale="80" zoomScaleNormal="80" workbookViewId="0">
      <selection activeCell="B48" sqref="B4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61" t="s">
        <v>161</v>
      </c>
      <c r="B1" s="761"/>
      <c r="C1" s="761"/>
      <c r="D1" s="761"/>
      <c r="E1" s="761"/>
      <c r="F1" s="761"/>
      <c r="G1" s="761"/>
      <c r="H1" s="761"/>
      <c r="I1" s="761"/>
      <c r="J1" s="761"/>
      <c r="K1" s="761"/>
      <c r="L1" s="761"/>
      <c r="M1" s="761"/>
      <c r="N1" s="761"/>
      <c r="O1" s="761"/>
      <c r="P1" s="761"/>
      <c r="Q1" s="761"/>
      <c r="R1" s="761"/>
      <c r="S1" s="761"/>
      <c r="T1" s="761"/>
      <c r="U1" s="761"/>
      <c r="V1" s="761"/>
      <c r="W1" s="761"/>
      <c r="X1" s="761"/>
    </row>
    <row r="2" spans="1:28" ht="19.5">
      <c r="A2" s="762"/>
      <c r="B2" s="762"/>
      <c r="C2" s="762"/>
      <c r="D2" s="762"/>
      <c r="E2" s="762"/>
      <c r="F2" s="762"/>
      <c r="G2" s="762"/>
      <c r="H2" s="762"/>
      <c r="I2" s="762"/>
      <c r="J2" s="762"/>
      <c r="K2" s="762"/>
      <c r="L2" s="762"/>
      <c r="M2" s="762"/>
      <c r="N2" s="762"/>
      <c r="O2" s="762"/>
      <c r="P2" s="762"/>
      <c r="Q2" s="762"/>
      <c r="R2" s="762"/>
      <c r="S2" s="762"/>
      <c r="T2" s="762"/>
      <c r="U2" s="762"/>
      <c r="V2" s="762"/>
      <c r="W2" s="762"/>
      <c r="X2" s="762"/>
    </row>
    <row r="3" spans="1:28" ht="19.5">
      <c r="A3" s="762" t="s">
        <v>162</v>
      </c>
      <c r="B3" s="762"/>
      <c r="C3" s="762"/>
      <c r="D3" s="762"/>
      <c r="E3" s="762"/>
      <c r="F3" s="762"/>
      <c r="G3" s="762"/>
      <c r="H3" s="762"/>
      <c r="I3" s="762"/>
      <c r="J3" s="762"/>
      <c r="K3" s="762"/>
      <c r="L3" s="762"/>
      <c r="M3" s="762"/>
      <c r="N3" s="762"/>
      <c r="O3" s="762"/>
      <c r="P3" s="762"/>
      <c r="Q3" s="762"/>
      <c r="R3" s="762"/>
      <c r="S3" s="762"/>
      <c r="T3" s="762"/>
      <c r="U3" s="762"/>
      <c r="V3" s="762"/>
      <c r="W3" s="762"/>
      <c r="X3" s="762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62" t="s">
        <v>408</v>
      </c>
      <c r="B5" s="762"/>
      <c r="C5" s="762"/>
      <c r="D5" s="762"/>
      <c r="E5" s="762"/>
      <c r="F5" s="762"/>
      <c r="G5" s="762"/>
      <c r="H5" s="762"/>
      <c r="I5" s="762"/>
      <c r="J5" s="762"/>
      <c r="K5" s="762"/>
      <c r="L5" s="762"/>
      <c r="M5" s="762"/>
      <c r="N5" s="762"/>
      <c r="O5" s="762"/>
      <c r="P5" s="762"/>
      <c r="Q5" s="762"/>
      <c r="R5" s="762"/>
      <c r="S5" s="762"/>
      <c r="T5" s="762"/>
      <c r="U5" s="762"/>
      <c r="V5" s="762"/>
      <c r="W5" s="762"/>
      <c r="X5" s="762"/>
    </row>
    <row r="6" spans="1:28" ht="15.75" thickBot="1">
      <c r="A6" s="763"/>
      <c r="B6" s="763"/>
      <c r="C6" s="763"/>
      <c r="D6" s="763"/>
      <c r="E6" s="763"/>
      <c r="F6" s="763"/>
      <c r="G6" s="763"/>
      <c r="H6" s="763"/>
      <c r="I6" s="763"/>
      <c r="J6" s="763"/>
      <c r="K6" s="763"/>
      <c r="L6" s="763"/>
      <c r="M6" s="763"/>
      <c r="N6" s="763"/>
      <c r="O6" s="763"/>
      <c r="P6" s="763"/>
      <c r="Q6" s="763"/>
      <c r="R6" s="763"/>
      <c r="S6" s="763"/>
      <c r="T6" s="763"/>
      <c r="U6" s="763"/>
      <c r="V6" s="763"/>
      <c r="W6" s="763"/>
      <c r="X6" s="763"/>
    </row>
    <row r="7" spans="1:28" ht="15.75" thickBot="1">
      <c r="A7" s="751" t="s">
        <v>163</v>
      </c>
      <c r="B7" s="752"/>
      <c r="C7" s="753" t="s">
        <v>164</v>
      </c>
      <c r="D7" s="754"/>
      <c r="E7" s="754"/>
      <c r="F7" s="754"/>
      <c r="G7" s="754"/>
      <c r="H7" s="754"/>
      <c r="I7" s="754"/>
      <c r="J7" s="754"/>
      <c r="K7" s="755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9">
        <f>'[11]Degree Days 2020'!B10</f>
        <v>20</v>
      </c>
      <c r="C10" s="269">
        <f>'[11]Degree Days 2020'!C10</f>
        <v>15</v>
      </c>
      <c r="D10" s="269">
        <f>'[11]Degree Days 2020'!D10</f>
        <v>-0.80000000000000071</v>
      </c>
      <c r="E10" s="269">
        <f>'[11]Degree Days 2020'!E10</f>
        <v>1</v>
      </c>
      <c r="F10" s="269">
        <f>'[11]Degree Days 2020'!F10</f>
        <v>21</v>
      </c>
      <c r="G10" s="269">
        <f>'[11]Degree Days 2020'!G10</f>
        <v>16</v>
      </c>
      <c r="H10" s="269">
        <f>'[11]Degree Days 2020'!H10</f>
        <v>0.19999999999999929</v>
      </c>
      <c r="I10" s="269">
        <f>'[11]Degree Days 2020'!I10</f>
        <v>1</v>
      </c>
      <c r="J10" s="269">
        <f>'[11]Degree Days 2020'!J10</f>
        <v>18</v>
      </c>
      <c r="K10" s="269">
        <f>'[11]Degree Days 2020'!K10</f>
        <v>14</v>
      </c>
      <c r="L10" s="269">
        <f>'[11]Degree Days 2020'!L10</f>
        <v>-2.3000000000000007</v>
      </c>
      <c r="M10" s="269">
        <f>'[12]Degree Days 2020'!M10</f>
        <v>1</v>
      </c>
      <c r="N10" s="269">
        <f>'[13]General information '!B6</f>
        <v>17</v>
      </c>
      <c r="O10" s="269">
        <f>'[13]General information '!C6</f>
        <v>12</v>
      </c>
      <c r="P10" s="269">
        <f>(N10+O10)/2-18.3</f>
        <v>-3.8000000000000007</v>
      </c>
      <c r="Q10" s="521">
        <v>1</v>
      </c>
      <c r="R10" s="269">
        <f>'[4]Degree Days 2020'!R10</f>
        <v>26</v>
      </c>
      <c r="S10" s="269">
        <f>'[4]Degree Days 2020'!S10</f>
        <v>21</v>
      </c>
      <c r="T10" s="269">
        <f>(R10+S10)/2-18.3</f>
        <v>5.1999999999999993</v>
      </c>
      <c r="U10" s="521">
        <v>1</v>
      </c>
      <c r="V10" s="269">
        <f>'[1]Degree Days 2020'!V10</f>
        <v>27</v>
      </c>
      <c r="W10" s="269">
        <f>'[1]Degree Days 2020'!W10</f>
        <v>21</v>
      </c>
      <c r="X10" s="269">
        <f>(V10+W10)/2-18.3</f>
        <v>5.6999999999999993</v>
      </c>
      <c r="Z10" t="s">
        <v>165</v>
      </c>
      <c r="AA10" s="269">
        <f>'[11]Degree Days 2020'!AA10</f>
        <v>-92.59999999999998</v>
      </c>
      <c r="AB10" s="269">
        <f>'[11]Degree Days 2020'!AB10</f>
        <v>2.7999999999999936</v>
      </c>
    </row>
    <row r="11" spans="1:28">
      <c r="A11" s="117">
        <v>2</v>
      </c>
      <c r="B11" s="269">
        <f>'[11]Degree Days 2020'!B11</f>
        <v>21</v>
      </c>
      <c r="C11" s="269">
        <f>'[11]Degree Days 2020'!C11</f>
        <v>15</v>
      </c>
      <c r="D11" s="269">
        <f>'[11]Degree Days 2020'!D11</f>
        <v>-0.30000000000000071</v>
      </c>
      <c r="E11" s="269">
        <f>'[11]Degree Days 2020'!E11</f>
        <v>2</v>
      </c>
      <c r="F11" s="269">
        <f>'[11]Degree Days 2020'!F11</f>
        <v>23</v>
      </c>
      <c r="G11" s="269">
        <f>'[11]Degree Days 2020'!G11</f>
        <v>17</v>
      </c>
      <c r="H11" s="269">
        <f>'[11]Degree Days 2020'!H11</f>
        <v>1.6999999999999993</v>
      </c>
      <c r="I11" s="269">
        <f>'[11]Degree Days 2020'!I11</f>
        <v>2</v>
      </c>
      <c r="J11" s="269">
        <f>'[11]Degree Days 2020'!J11</f>
        <v>18</v>
      </c>
      <c r="K11" s="269">
        <f>'[11]Degree Days 2020'!K11</f>
        <v>13</v>
      </c>
      <c r="L11" s="269">
        <f>'[11]Degree Days 2020'!L11</f>
        <v>-2.8000000000000007</v>
      </c>
      <c r="M11" s="269">
        <f>'[12]Degree Days 2020'!M11</f>
        <v>2</v>
      </c>
      <c r="N11" s="269">
        <f>'[13]General information '!B7</f>
        <v>15</v>
      </c>
      <c r="O11" s="269">
        <f>'[13]General information '!C7</f>
        <v>12</v>
      </c>
      <c r="P11" s="269">
        <f t="shared" ref="P11:P39" si="0">(N11+O11)/2-18.3</f>
        <v>-4.8000000000000007</v>
      </c>
      <c r="Q11" s="521">
        <v>2</v>
      </c>
      <c r="R11" s="269">
        <f>'[4]Degree Days 2020'!R11</f>
        <v>25</v>
      </c>
      <c r="S11" s="269">
        <f>'[4]Degree Days 2020'!S11</f>
        <v>21</v>
      </c>
      <c r="T11" s="269">
        <f t="shared" ref="T11:T40" si="1">(R11+S11)/2-18.3</f>
        <v>4.6999999999999993</v>
      </c>
      <c r="U11" s="521">
        <v>2</v>
      </c>
      <c r="V11" s="269">
        <f>'[1]Degree Days 2020'!V11</f>
        <v>26</v>
      </c>
      <c r="W11" s="269">
        <f>'[1]Degree Days 2020'!W11</f>
        <v>22</v>
      </c>
      <c r="X11" s="269">
        <f t="shared" ref="X11:X39" si="2">(V11+W11)/2-18.3</f>
        <v>5.6999999999999993</v>
      </c>
      <c r="Z11" t="s">
        <v>169</v>
      </c>
      <c r="AA11" s="269">
        <f>'[11]Degree Days 2020'!AA11</f>
        <v>-75.899999999999977</v>
      </c>
      <c r="AB11" s="269">
        <f>'[11]Degree Days 2020'!AB11</f>
        <v>6.4999999999999964</v>
      </c>
    </row>
    <row r="12" spans="1:28">
      <c r="A12" s="117">
        <v>3</v>
      </c>
      <c r="B12" s="269">
        <f>'[11]Degree Days 2020'!B12</f>
        <v>21</v>
      </c>
      <c r="C12" s="269">
        <f>'[11]Degree Days 2020'!C12</f>
        <v>16</v>
      </c>
      <c r="D12" s="269">
        <f>'[11]Degree Days 2020'!D12</f>
        <v>0.19999999999999929</v>
      </c>
      <c r="E12" s="269">
        <f>'[11]Degree Days 2020'!E12</f>
        <v>3</v>
      </c>
      <c r="F12" s="269">
        <f>'[11]Degree Days 2020'!F12</f>
        <v>20</v>
      </c>
      <c r="G12" s="269">
        <f>'[11]Degree Days 2020'!G12</f>
        <v>15</v>
      </c>
      <c r="H12" s="269">
        <f>'[11]Degree Days 2020'!H12</f>
        <v>-0.80000000000000071</v>
      </c>
      <c r="I12" s="269">
        <f>'[11]Degree Days 2020'!I12</f>
        <v>3</v>
      </c>
      <c r="J12" s="269">
        <f>'[11]Degree Days 2020'!J12</f>
        <v>18</v>
      </c>
      <c r="K12" s="269">
        <f>'[11]Degree Days 2020'!K12</f>
        <v>13</v>
      </c>
      <c r="L12" s="269">
        <f>'[11]Degree Days 2020'!L12</f>
        <v>-2.8000000000000007</v>
      </c>
      <c r="M12" s="269">
        <f>'[12]Degree Days 2020'!M12</f>
        <v>3</v>
      </c>
      <c r="N12" s="269">
        <f>'[13]General information '!B8</f>
        <v>19</v>
      </c>
      <c r="O12" s="269">
        <f>'[13]General information '!C8</f>
        <v>15</v>
      </c>
      <c r="P12" s="269">
        <f t="shared" si="0"/>
        <v>-1.3000000000000007</v>
      </c>
      <c r="Q12" s="521">
        <v>3</v>
      </c>
      <c r="R12" s="269">
        <f>'[4]Degree Days 2020'!R12</f>
        <v>26</v>
      </c>
      <c r="S12" s="269">
        <f>'[4]Degree Days 2020'!S12</f>
        <v>22</v>
      </c>
      <c r="T12" s="269">
        <f t="shared" si="1"/>
        <v>5.6999999999999993</v>
      </c>
      <c r="U12" s="521">
        <v>3</v>
      </c>
      <c r="V12" s="269">
        <f>'[1]Degree Days 2020'!V12</f>
        <v>26</v>
      </c>
      <c r="W12" s="269">
        <f>'[1]Degree Days 2020'!W12</f>
        <v>23</v>
      </c>
      <c r="X12" s="269">
        <f t="shared" si="2"/>
        <v>6.1999999999999993</v>
      </c>
      <c r="Z12" t="s">
        <v>170</v>
      </c>
      <c r="AA12" s="269">
        <f>'[11]Degree Days 2020'!AA12</f>
        <v>-56.899999999999991</v>
      </c>
      <c r="AB12" s="269">
        <f>'[11]Degree Days 2020'!AB12</f>
        <v>11.499999999999996</v>
      </c>
    </row>
    <row r="13" spans="1:28">
      <c r="A13" s="117">
        <v>4</v>
      </c>
      <c r="B13" s="269">
        <f>'[11]Degree Days 2020'!B13</f>
        <v>22</v>
      </c>
      <c r="C13" s="269">
        <f>'[11]Degree Days 2020'!C13</f>
        <v>15</v>
      </c>
      <c r="D13" s="269">
        <f>'[11]Degree Days 2020'!D13</f>
        <v>0.19999999999999929</v>
      </c>
      <c r="E13" s="269">
        <f>'[11]Degree Days 2020'!E13</f>
        <v>4</v>
      </c>
      <c r="F13" s="269">
        <f>'[11]Degree Days 2020'!F13</f>
        <v>20</v>
      </c>
      <c r="G13" s="269">
        <f>'[11]Degree Days 2020'!G13</f>
        <v>15</v>
      </c>
      <c r="H13" s="269">
        <f>'[11]Degree Days 2020'!H13</f>
        <v>-0.80000000000000071</v>
      </c>
      <c r="I13" s="269">
        <f>'[11]Degree Days 2020'!I13</f>
        <v>4</v>
      </c>
      <c r="J13" s="269">
        <f>'[11]Degree Days 2020'!J13</f>
        <v>18</v>
      </c>
      <c r="K13" s="269">
        <f>'[11]Degree Days 2020'!K13</f>
        <v>13</v>
      </c>
      <c r="L13" s="269">
        <f>'[11]Degree Days 2020'!L13</f>
        <v>-2.8000000000000007</v>
      </c>
      <c r="M13" s="269">
        <f>'[12]Degree Days 2020'!M13</f>
        <v>4</v>
      </c>
      <c r="N13" s="269">
        <f>'[13]General information '!B9</f>
        <v>18</v>
      </c>
      <c r="O13" s="269">
        <f>'[13]General information '!C9</f>
        <v>15</v>
      </c>
      <c r="P13" s="269">
        <f t="shared" si="0"/>
        <v>-1.8000000000000007</v>
      </c>
      <c r="Q13" s="521">
        <v>4</v>
      </c>
      <c r="R13" s="269">
        <f>'[4]Degree Days 2020'!R13</f>
        <v>26</v>
      </c>
      <c r="S13" s="269">
        <f>'[4]Degree Days 2020'!S13</f>
        <v>19</v>
      </c>
      <c r="T13" s="269">
        <f t="shared" si="1"/>
        <v>4.1999999999999993</v>
      </c>
      <c r="U13" s="521">
        <v>4</v>
      </c>
      <c r="V13" s="269">
        <f>'[1]Degree Days 2020'!V13</f>
        <v>27</v>
      </c>
      <c r="W13" s="269">
        <f>'[1]Degree Days 2020'!W13</f>
        <v>23</v>
      </c>
      <c r="X13" s="269">
        <f t="shared" si="2"/>
        <v>6.6999999999999993</v>
      </c>
      <c r="Z13" t="s">
        <v>171</v>
      </c>
      <c r="AA13" s="269">
        <f>N43</f>
        <v>-30.300000000000008</v>
      </c>
      <c r="AB13" s="269">
        <f>O43</f>
        <v>55.300000000000026</v>
      </c>
    </row>
    <row r="14" spans="1:28">
      <c r="A14" s="117">
        <v>5</v>
      </c>
      <c r="B14" s="269">
        <f>'[11]Degree Days 2020'!B14</f>
        <v>22</v>
      </c>
      <c r="C14" s="269">
        <f>'[11]Degree Days 2020'!C14</f>
        <v>16</v>
      </c>
      <c r="D14" s="269">
        <f>'[11]Degree Days 2020'!D14</f>
        <v>0.69999999999999929</v>
      </c>
      <c r="E14" s="269">
        <f>'[11]Degree Days 2020'!E14</f>
        <v>5</v>
      </c>
      <c r="F14" s="269">
        <f>'[11]Degree Days 2020'!F14</f>
        <v>20</v>
      </c>
      <c r="G14" s="269">
        <f>'[11]Degree Days 2020'!G14</f>
        <v>15</v>
      </c>
      <c r="H14" s="269">
        <f>'[11]Degree Days 2020'!H14</f>
        <v>-0.80000000000000071</v>
      </c>
      <c r="I14" s="269">
        <f>'[11]Degree Days 2020'!I14</f>
        <v>5</v>
      </c>
      <c r="J14" s="269">
        <f>'[11]Degree Days 2020'!J14</f>
        <v>19</v>
      </c>
      <c r="K14" s="269">
        <f>'[11]Degree Days 2020'!K14</f>
        <v>12</v>
      </c>
      <c r="L14" s="269">
        <f>'[11]Degree Days 2020'!L14</f>
        <v>-2.8000000000000007</v>
      </c>
      <c r="M14" s="269">
        <f>'[12]Degree Days 2020'!M14</f>
        <v>5</v>
      </c>
      <c r="N14" s="269">
        <f>'[13]General information '!B10</f>
        <v>19</v>
      </c>
      <c r="O14" s="269">
        <f>'[13]General information '!C10</f>
        <v>15</v>
      </c>
      <c r="P14" s="269">
        <f t="shared" si="0"/>
        <v>-1.3000000000000007</v>
      </c>
      <c r="Q14" s="521">
        <v>5</v>
      </c>
      <c r="R14" s="269">
        <f>'[4]Degree Days 2020'!R14</f>
        <v>24</v>
      </c>
      <c r="S14" s="269">
        <f>'[4]Degree Days 2020'!S14</f>
        <v>22</v>
      </c>
      <c r="T14" s="269">
        <f t="shared" si="1"/>
        <v>4.6999999999999993</v>
      </c>
      <c r="U14" s="521">
        <v>5</v>
      </c>
      <c r="V14" s="269">
        <f>'[1]Degree Days 2020'!V14</f>
        <v>26</v>
      </c>
      <c r="W14" s="269">
        <f>'[1]Degree Days 2020'!W14</f>
        <v>20</v>
      </c>
      <c r="X14" s="269">
        <f t="shared" si="2"/>
        <v>4.6999999999999993</v>
      </c>
      <c r="Z14" t="s">
        <v>172</v>
      </c>
      <c r="AA14" s="269">
        <f>R43</f>
        <v>0</v>
      </c>
      <c r="AB14" s="269">
        <f>S43</f>
        <v>157.19999999999999</v>
      </c>
    </row>
    <row r="15" spans="1:28">
      <c r="A15" s="117">
        <v>6</v>
      </c>
      <c r="B15" s="269">
        <f>'[11]Degree Days 2020'!B15</f>
        <v>22</v>
      </c>
      <c r="C15" s="269">
        <f>'[11]Degree Days 2020'!C15</f>
        <v>15</v>
      </c>
      <c r="D15" s="269">
        <f>'[11]Degree Days 2020'!D15</f>
        <v>0.19999999999999929</v>
      </c>
      <c r="E15" s="269">
        <f>'[11]Degree Days 2020'!E15</f>
        <v>6</v>
      </c>
      <c r="F15" s="269">
        <f>'[11]Degree Days 2020'!F15</f>
        <v>19</v>
      </c>
      <c r="G15" s="269">
        <f>'[11]Degree Days 2020'!G15</f>
        <v>15</v>
      </c>
      <c r="H15" s="269">
        <f>'[11]Degree Days 2020'!H15</f>
        <v>-1.3000000000000007</v>
      </c>
      <c r="I15" s="269">
        <f>'[11]Degree Days 2020'!I15</f>
        <v>6</v>
      </c>
      <c r="J15" s="269">
        <f>'[11]Degree Days 2020'!J15</f>
        <v>18</v>
      </c>
      <c r="K15" s="269">
        <f>'[11]Degree Days 2020'!K15</f>
        <v>14</v>
      </c>
      <c r="L15" s="269">
        <f>'[11]Degree Days 2020'!L15</f>
        <v>-2.3000000000000007</v>
      </c>
      <c r="M15" s="269">
        <f>'[12]Degree Days 2020'!M15</f>
        <v>6</v>
      </c>
      <c r="N15" s="269">
        <f>'[13]General information '!B11</f>
        <v>30</v>
      </c>
      <c r="O15" s="269">
        <f>'[13]General information '!C11</f>
        <v>15</v>
      </c>
      <c r="P15" s="269">
        <f t="shared" si="0"/>
        <v>4.1999999999999993</v>
      </c>
      <c r="Q15" s="521">
        <v>6</v>
      </c>
      <c r="R15" s="269">
        <f>'[4]Degree Days 2020'!R15</f>
        <v>24</v>
      </c>
      <c r="S15" s="269">
        <f>'[4]Degree Days 2020'!S15</f>
        <v>20</v>
      </c>
      <c r="T15" s="269">
        <f t="shared" si="1"/>
        <v>3.6999999999999993</v>
      </c>
      <c r="U15" s="521">
        <v>6</v>
      </c>
      <c r="V15" s="269">
        <f>'[1]Degree Days 2020'!V15</f>
        <v>26</v>
      </c>
      <c r="W15" s="269">
        <f>'[1]Degree Days 2020'!W15</f>
        <v>22</v>
      </c>
      <c r="X15" s="269">
        <f t="shared" si="2"/>
        <v>5.6999999999999993</v>
      </c>
      <c r="Z15" t="s">
        <v>173</v>
      </c>
      <c r="AA15" s="269"/>
      <c r="AB15" s="269"/>
    </row>
    <row r="16" spans="1:28">
      <c r="A16" s="117">
        <v>7</v>
      </c>
      <c r="B16" s="269">
        <f>'[11]Degree Days 2020'!B16</f>
        <v>20</v>
      </c>
      <c r="C16" s="269">
        <f>'[11]Degree Days 2020'!C16</f>
        <v>14</v>
      </c>
      <c r="D16" s="269">
        <f>'[11]Degree Days 2020'!D16</f>
        <v>-1.3000000000000007</v>
      </c>
      <c r="E16" s="269">
        <f>'[11]Degree Days 2020'!E16</f>
        <v>7</v>
      </c>
      <c r="F16" s="269">
        <f>'[11]Degree Days 2020'!F16</f>
        <v>21</v>
      </c>
      <c r="G16" s="269">
        <f>'[11]Degree Days 2020'!G16</f>
        <v>17</v>
      </c>
      <c r="H16" s="269">
        <f>'[11]Degree Days 2020'!H16</f>
        <v>0.69999999999999929</v>
      </c>
      <c r="I16" s="269">
        <f>'[11]Degree Days 2020'!I16</f>
        <v>7</v>
      </c>
      <c r="J16" s="269">
        <f>'[11]Degree Days 2020'!J16</f>
        <v>19</v>
      </c>
      <c r="K16" s="269">
        <f>'[11]Degree Days 2020'!K16</f>
        <v>14</v>
      </c>
      <c r="L16" s="269">
        <f>'[11]Degree Days 2020'!L16</f>
        <v>-1.8000000000000007</v>
      </c>
      <c r="M16" s="269">
        <f>'[12]Degree Days 2020'!M16</f>
        <v>7</v>
      </c>
      <c r="N16" s="269">
        <f>'[13]General information '!B12</f>
        <v>24</v>
      </c>
      <c r="O16" s="269">
        <f>'[13]General information '!C12</f>
        <v>19</v>
      </c>
      <c r="P16" s="269">
        <f t="shared" si="0"/>
        <v>3.1999999999999993</v>
      </c>
      <c r="Q16" s="521">
        <v>7</v>
      </c>
      <c r="R16" s="269">
        <f>'[4]Degree Days 2020'!R16</f>
        <v>25</v>
      </c>
      <c r="S16" s="269">
        <f>'[4]Degree Days 2020'!S16</f>
        <v>21</v>
      </c>
      <c r="T16" s="269">
        <f t="shared" si="1"/>
        <v>4.6999999999999993</v>
      </c>
      <c r="U16" s="521">
        <v>7</v>
      </c>
      <c r="V16" s="269">
        <f>'[1]Degree Days 2020'!V16</f>
        <v>27</v>
      </c>
      <c r="W16" s="269">
        <f>'[1]Degree Days 2020'!W16</f>
        <v>23</v>
      </c>
      <c r="X16" s="269">
        <f t="shared" si="2"/>
        <v>6.6999999999999993</v>
      </c>
      <c r="Z16" t="s">
        <v>176</v>
      </c>
      <c r="AA16" s="269"/>
      <c r="AB16" s="269"/>
    </row>
    <row r="17" spans="1:28">
      <c r="A17" s="117">
        <v>8</v>
      </c>
      <c r="B17" s="269">
        <f>'[11]Degree Days 2020'!B17</f>
        <v>21</v>
      </c>
      <c r="C17" s="269">
        <f>'[11]Degree Days 2020'!C17</f>
        <v>14</v>
      </c>
      <c r="D17" s="269">
        <f>'[11]Degree Days 2020'!D17</f>
        <v>-0.80000000000000071</v>
      </c>
      <c r="E17" s="269">
        <f>'[11]Degree Days 2020'!E17</f>
        <v>8</v>
      </c>
      <c r="F17" s="269">
        <f>'[11]Degree Days 2020'!F17</f>
        <v>23</v>
      </c>
      <c r="G17" s="269">
        <f>'[11]Degree Days 2020'!G17</f>
        <v>19</v>
      </c>
      <c r="H17" s="269">
        <f>'[11]Degree Days 2020'!H17</f>
        <v>2.6999999999999993</v>
      </c>
      <c r="I17" s="269">
        <f>'[11]Degree Days 2020'!I17</f>
        <v>8</v>
      </c>
      <c r="J17" s="269">
        <f>'[11]Degree Days 2020'!J17</f>
        <v>20</v>
      </c>
      <c r="K17" s="269">
        <f>'[11]Degree Days 2020'!K17</f>
        <v>16</v>
      </c>
      <c r="L17" s="269">
        <f>'[11]Degree Days 2020'!L17</f>
        <v>-0.30000000000000071</v>
      </c>
      <c r="M17" s="269">
        <f>'[12]Degree Days 2020'!M17</f>
        <v>8</v>
      </c>
      <c r="N17" s="269">
        <f>'[13]General information '!B13</f>
        <v>20</v>
      </c>
      <c r="O17" s="269">
        <f>'[13]General information '!C13</f>
        <v>17</v>
      </c>
      <c r="P17" s="269">
        <f t="shared" si="0"/>
        <v>0.19999999999999929</v>
      </c>
      <c r="Q17" s="521">
        <v>8</v>
      </c>
      <c r="R17" s="269">
        <f>'[4]Degree Days 2020'!R17</f>
        <v>29</v>
      </c>
      <c r="S17" s="269">
        <f>'[4]Degree Days 2020'!S17</f>
        <v>20</v>
      </c>
      <c r="T17" s="269">
        <f t="shared" si="1"/>
        <v>6.1999999999999993</v>
      </c>
      <c r="U17" s="521">
        <v>8</v>
      </c>
      <c r="V17" s="269">
        <f>'[1]Degree Days 2020'!V17</f>
        <v>27</v>
      </c>
      <c r="W17" s="269">
        <f>'[1]Degree Days 2020'!W17</f>
        <v>23</v>
      </c>
      <c r="X17" s="269">
        <f t="shared" si="2"/>
        <v>6.6999999999999993</v>
      </c>
      <c r="Z17" t="s">
        <v>177</v>
      </c>
      <c r="AA17" s="269"/>
      <c r="AB17" s="269"/>
    </row>
    <row r="18" spans="1:28">
      <c r="A18" s="117">
        <v>9</v>
      </c>
      <c r="B18" s="269">
        <f>'[11]Degree Days 2020'!B18</f>
        <v>22</v>
      </c>
      <c r="C18" s="269">
        <f>'[11]Degree Days 2020'!C18</f>
        <v>15</v>
      </c>
      <c r="D18" s="269">
        <f>'[11]Degree Days 2020'!D18</f>
        <v>0.19999999999999929</v>
      </c>
      <c r="E18" s="269">
        <f>'[11]Degree Days 2020'!E18</f>
        <v>9</v>
      </c>
      <c r="F18" s="269">
        <f>'[11]Degree Days 2020'!F18</f>
        <v>21</v>
      </c>
      <c r="G18" s="269">
        <f>'[11]Degree Days 2020'!G18</f>
        <v>18</v>
      </c>
      <c r="H18" s="269">
        <f>'[11]Degree Days 2020'!H18</f>
        <v>1.1999999999999993</v>
      </c>
      <c r="I18" s="269">
        <f>'[11]Degree Days 2020'!I18</f>
        <v>9</v>
      </c>
      <c r="J18" s="269">
        <f>'[11]Degree Days 2020'!J18</f>
        <v>23</v>
      </c>
      <c r="K18" s="269">
        <f>'[11]Degree Days 2020'!K18</f>
        <v>17</v>
      </c>
      <c r="L18" s="269">
        <f>'[11]Degree Days 2020'!L18</f>
        <v>1.6999999999999993</v>
      </c>
      <c r="M18" s="269">
        <f>'[12]Degree Days 2020'!M18</f>
        <v>9</v>
      </c>
      <c r="N18" s="269">
        <f>'[13]General information '!B14</f>
        <v>20</v>
      </c>
      <c r="O18" s="269">
        <f>'[13]General information '!C14</f>
        <v>16</v>
      </c>
      <c r="P18" s="269">
        <f t="shared" si="0"/>
        <v>-0.30000000000000071</v>
      </c>
      <c r="Q18" s="521">
        <v>9</v>
      </c>
      <c r="R18" s="269">
        <f>'[4]Degree Days 2020'!R18</f>
        <v>28</v>
      </c>
      <c r="S18" s="269">
        <f>'[4]Degree Days 2020'!S18</f>
        <v>21</v>
      </c>
      <c r="T18" s="269">
        <f t="shared" si="1"/>
        <v>6.1999999999999993</v>
      </c>
      <c r="U18" s="521">
        <v>9</v>
      </c>
      <c r="V18" s="269">
        <f>'[1]Degree Days 2020'!V18</f>
        <v>27</v>
      </c>
      <c r="W18" s="269">
        <f>'[1]Degree Days 2020'!W18</f>
        <v>22</v>
      </c>
      <c r="X18" s="269">
        <f t="shared" si="2"/>
        <v>6.1999999999999993</v>
      </c>
      <c r="Z18" t="s">
        <v>178</v>
      </c>
      <c r="AA18" s="269"/>
      <c r="AB18" s="269"/>
    </row>
    <row r="19" spans="1:28">
      <c r="A19" s="117">
        <v>10</v>
      </c>
      <c r="B19" s="269">
        <f>'[11]Degree Days 2020'!B19</f>
        <v>22</v>
      </c>
      <c r="C19" s="269">
        <f>'[11]Degree Days 2020'!C19</f>
        <v>15</v>
      </c>
      <c r="D19" s="269">
        <f>'[11]Degree Days 2020'!D19</f>
        <v>0.19999999999999929</v>
      </c>
      <c r="E19" s="269">
        <f>'[11]Degree Days 2020'!E19</f>
        <v>10</v>
      </c>
      <c r="F19" s="269">
        <f>'[11]Degree Days 2020'!F19</f>
        <v>19</v>
      </c>
      <c r="G19" s="269">
        <f>'[11]Degree Days 2020'!G19</f>
        <v>14</v>
      </c>
      <c r="H19" s="269">
        <f>'[11]Degree Days 2020'!H19</f>
        <v>-1.8000000000000007</v>
      </c>
      <c r="I19" s="269">
        <f>'[11]Degree Days 2020'!I19</f>
        <v>10</v>
      </c>
      <c r="J19" s="269">
        <f>'[11]Degree Days 2020'!J19</f>
        <v>19</v>
      </c>
      <c r="K19" s="269">
        <f>'[11]Degree Days 2020'!K19</f>
        <v>13</v>
      </c>
      <c r="L19" s="269">
        <f>'[11]Degree Days 2020'!L19</f>
        <v>-2.3000000000000007</v>
      </c>
      <c r="M19" s="269">
        <f>'[12]Degree Days 2020'!M19</f>
        <v>10</v>
      </c>
      <c r="N19" s="269">
        <f>'[13]General information '!B15</f>
        <v>16</v>
      </c>
      <c r="O19" s="269">
        <f>'[13]General information '!C15</f>
        <v>14</v>
      </c>
      <c r="P19" s="269">
        <f t="shared" si="0"/>
        <v>-3.3000000000000007</v>
      </c>
      <c r="Q19" s="521">
        <v>10</v>
      </c>
      <c r="R19" s="269">
        <f>'[4]Degree Days 2020'!R19</f>
        <v>24</v>
      </c>
      <c r="S19" s="269">
        <f>'[4]Degree Days 2020'!S19</f>
        <v>20</v>
      </c>
      <c r="T19" s="269">
        <f t="shared" si="1"/>
        <v>3.6999999999999993</v>
      </c>
      <c r="U19" s="521">
        <v>10</v>
      </c>
      <c r="V19" s="269">
        <f>'[1]Degree Days 2020'!V19</f>
        <v>27</v>
      </c>
      <c r="W19" s="269">
        <f>'[1]Degree Days 2020'!W19</f>
        <v>23</v>
      </c>
      <c r="X19" s="269">
        <f t="shared" si="2"/>
        <v>6.6999999999999993</v>
      </c>
      <c r="Z19" t="s">
        <v>179</v>
      </c>
      <c r="AA19" s="269"/>
      <c r="AB19" s="269"/>
    </row>
    <row r="20" spans="1:28">
      <c r="A20" s="117">
        <v>11</v>
      </c>
      <c r="B20" s="269">
        <f>'[11]Degree Days 2020'!B20</f>
        <v>22</v>
      </c>
      <c r="C20" s="269">
        <f>'[11]Degree Days 2020'!C20</f>
        <v>16</v>
      </c>
      <c r="D20" s="269">
        <f>'[11]Degree Days 2020'!D20</f>
        <v>0.69999999999999929</v>
      </c>
      <c r="E20" s="269">
        <f>'[11]Degree Days 2020'!E20</f>
        <v>11</v>
      </c>
      <c r="F20" s="269">
        <f>'[11]Degree Days 2020'!F20</f>
        <v>18</v>
      </c>
      <c r="G20" s="269">
        <f>'[11]Degree Days 2020'!G20</f>
        <v>13</v>
      </c>
      <c r="H20" s="269">
        <f>'[11]Degree Days 2020'!H20</f>
        <v>-2.8000000000000007</v>
      </c>
      <c r="I20" s="269">
        <f>'[11]Degree Days 2020'!I20</f>
        <v>11</v>
      </c>
      <c r="J20" s="269">
        <f>'[11]Degree Days 2020'!J20</f>
        <v>17</v>
      </c>
      <c r="K20" s="269">
        <f>'[11]Degree Days 2020'!K20</f>
        <v>12</v>
      </c>
      <c r="L20" s="269">
        <f>'[11]Degree Days 2020'!L20</f>
        <v>-3.8000000000000007</v>
      </c>
      <c r="M20" s="269">
        <f>'[12]Degree Days 2020'!M20</f>
        <v>11</v>
      </c>
      <c r="N20" s="269">
        <f>'[13]General information '!B16</f>
        <v>17</v>
      </c>
      <c r="O20" s="269">
        <f>'[13]General information '!C16</f>
        <v>12</v>
      </c>
      <c r="P20" s="269">
        <f t="shared" si="0"/>
        <v>-3.8000000000000007</v>
      </c>
      <c r="Q20" s="521">
        <v>11</v>
      </c>
      <c r="R20" s="269">
        <f>'[4]Degree Days 2020'!R20</f>
        <v>24</v>
      </c>
      <c r="S20" s="269">
        <f>'[4]Degree Days 2020'!S20</f>
        <v>18</v>
      </c>
      <c r="T20" s="269">
        <f t="shared" si="1"/>
        <v>2.6999999999999993</v>
      </c>
      <c r="U20" s="521">
        <v>11</v>
      </c>
      <c r="V20" s="269">
        <f>'[1]Degree Days 2020'!V20</f>
        <v>27</v>
      </c>
      <c r="W20" s="269">
        <f>'[1]Degree Days 2020'!W20</f>
        <v>25</v>
      </c>
      <c r="X20" s="269">
        <f t="shared" si="2"/>
        <v>7.6999999999999993</v>
      </c>
      <c r="Z20" t="s">
        <v>180</v>
      </c>
      <c r="AA20" s="269"/>
      <c r="AB20" s="269"/>
    </row>
    <row r="21" spans="1:28">
      <c r="A21" s="117">
        <v>12</v>
      </c>
      <c r="B21" s="269">
        <f>'[11]Degree Days 2020'!B21</f>
        <v>24</v>
      </c>
      <c r="C21" s="269">
        <f>'[11]Degree Days 2020'!C21</f>
        <v>13</v>
      </c>
      <c r="D21" s="269">
        <f>'[11]Degree Days 2020'!D21</f>
        <v>0.19999999999999929</v>
      </c>
      <c r="E21" s="269">
        <f>'[11]Degree Days 2020'!E21</f>
        <v>12</v>
      </c>
      <c r="F21" s="269">
        <f>'[11]Degree Days 2020'!F21</f>
        <v>18</v>
      </c>
      <c r="G21" s="269">
        <f>'[11]Degree Days 2020'!G21</f>
        <v>13</v>
      </c>
      <c r="H21" s="269">
        <f>'[11]Degree Days 2020'!H21</f>
        <v>-2.8000000000000007</v>
      </c>
      <c r="I21" s="269">
        <f>'[11]Degree Days 2020'!I21</f>
        <v>12</v>
      </c>
      <c r="J21" s="269">
        <f>'[11]Degree Days 2020'!J21</f>
        <v>18</v>
      </c>
      <c r="K21" s="269">
        <f>'[11]Degree Days 2020'!K21</f>
        <v>13</v>
      </c>
      <c r="L21" s="269">
        <f>'[11]Degree Days 2020'!L21</f>
        <v>-2.8000000000000007</v>
      </c>
      <c r="M21" s="269">
        <f>'[12]Degree Days 2020'!M21</f>
        <v>12</v>
      </c>
      <c r="N21" s="269">
        <f>'[13]General information '!B17</f>
        <v>16</v>
      </c>
      <c r="O21" s="269">
        <f>'[13]General information '!C17</f>
        <v>13</v>
      </c>
      <c r="P21" s="269">
        <f t="shared" si="0"/>
        <v>-3.8000000000000007</v>
      </c>
      <c r="Q21" s="521">
        <v>12</v>
      </c>
      <c r="R21" s="269">
        <f>'[4]Degree Days 2020'!R21</f>
        <v>25</v>
      </c>
      <c r="S21" s="269">
        <f>'[4]Degree Days 2020'!S21</f>
        <v>19</v>
      </c>
      <c r="T21" s="269">
        <f t="shared" si="1"/>
        <v>3.6999999999999993</v>
      </c>
      <c r="U21" s="521">
        <v>12</v>
      </c>
      <c r="V21" s="269">
        <f>'[1]Degree Days 2020'!V21</f>
        <v>27</v>
      </c>
      <c r="W21" s="269">
        <f>'[1]Degree Days 2020'!W21</f>
        <v>22</v>
      </c>
      <c r="X21" s="269">
        <f t="shared" si="2"/>
        <v>6.1999999999999993</v>
      </c>
      <c r="Z21" t="s">
        <v>181</v>
      </c>
      <c r="AA21" s="134">
        <f>SUM(B54)</f>
        <v>30</v>
      </c>
      <c r="AB21" s="134">
        <f>SUM(C54)</f>
        <v>24</v>
      </c>
    </row>
    <row r="22" spans="1:28">
      <c r="A22" s="117">
        <v>13</v>
      </c>
      <c r="B22" s="269">
        <f>'[11]Degree Days 2020'!B22</f>
        <v>18</v>
      </c>
      <c r="C22" s="269">
        <f>'[11]Degree Days 2020'!C22</f>
        <v>12</v>
      </c>
      <c r="D22" s="269">
        <f>'[11]Degree Days 2020'!D22</f>
        <v>-3.3000000000000007</v>
      </c>
      <c r="E22" s="269">
        <f>'[11]Degree Days 2020'!E22</f>
        <v>13</v>
      </c>
      <c r="F22" s="269">
        <f>'[11]Degree Days 2020'!F22</f>
        <v>19</v>
      </c>
      <c r="G22" s="269">
        <f>'[11]Degree Days 2020'!G22</f>
        <v>14</v>
      </c>
      <c r="H22" s="269">
        <f>'[11]Degree Days 2020'!H22</f>
        <v>-1.8000000000000007</v>
      </c>
      <c r="I22" s="269">
        <f>'[11]Degree Days 2020'!I22</f>
        <v>13</v>
      </c>
      <c r="J22" s="269">
        <f>'[11]Degree Days 2020'!J22</f>
        <v>18</v>
      </c>
      <c r="K22" s="269">
        <f>'[11]Degree Days 2020'!K22</f>
        <v>16</v>
      </c>
      <c r="L22" s="269">
        <f>'[11]Degree Days 2020'!L22</f>
        <v>-1.3000000000000007</v>
      </c>
      <c r="M22" s="269">
        <f>'[12]Degree Days 2020'!M22</f>
        <v>13</v>
      </c>
      <c r="N22" s="269">
        <f>'[13]General information '!B18</f>
        <v>18</v>
      </c>
      <c r="O22" s="269">
        <f>'[13]General information '!C18</f>
        <v>11</v>
      </c>
      <c r="P22" s="269">
        <f t="shared" si="0"/>
        <v>-3.8000000000000007</v>
      </c>
      <c r="Q22" s="521">
        <v>13</v>
      </c>
      <c r="R22" s="269">
        <f>'[4]Degree Days 2020'!R22</f>
        <v>24</v>
      </c>
      <c r="S22" s="269">
        <f>'[4]Degree Days 2020'!S22</f>
        <v>18</v>
      </c>
      <c r="T22" s="269">
        <f t="shared" si="1"/>
        <v>2.6999999999999993</v>
      </c>
      <c r="U22" s="521">
        <v>13</v>
      </c>
      <c r="V22" s="269">
        <f>'[1]Degree Days 2020'!V22</f>
        <v>26</v>
      </c>
      <c r="W22" s="269">
        <f>'[1]Degree Days 2020'!W22</f>
        <v>21</v>
      </c>
      <c r="X22" s="269">
        <f t="shared" si="2"/>
        <v>5.1999999999999993</v>
      </c>
    </row>
    <row r="23" spans="1:28">
      <c r="A23" s="117">
        <v>14</v>
      </c>
      <c r="B23" s="269">
        <f>'[11]Degree Days 2020'!B23</f>
        <v>17</v>
      </c>
      <c r="C23" s="269">
        <f>'[11]Degree Days 2020'!C23</f>
        <v>12</v>
      </c>
      <c r="D23" s="269">
        <f>'[11]Degree Days 2020'!D23</f>
        <v>-3.8000000000000007</v>
      </c>
      <c r="E23" s="269">
        <f>'[11]Degree Days 2020'!E23</f>
        <v>14</v>
      </c>
      <c r="F23" s="269">
        <f>'[11]Degree Days 2020'!F23</f>
        <v>18</v>
      </c>
      <c r="G23" s="269">
        <f>'[11]Degree Days 2020'!G23</f>
        <v>13</v>
      </c>
      <c r="H23" s="269">
        <f>'[11]Degree Days 2020'!H23</f>
        <v>-2.8000000000000007</v>
      </c>
      <c r="I23" s="269">
        <f>'[11]Degree Days 2020'!I23</f>
        <v>14</v>
      </c>
      <c r="J23" s="269">
        <f>'[11]Degree Days 2020'!J23</f>
        <v>19</v>
      </c>
      <c r="K23" s="269">
        <f>'[11]Degree Days 2020'!K23</f>
        <v>15</v>
      </c>
      <c r="L23" s="269">
        <f>'[11]Degree Days 2020'!L23</f>
        <v>-1.3000000000000007</v>
      </c>
      <c r="M23" s="269">
        <f>'[12]Degree Days 2020'!M23</f>
        <v>14</v>
      </c>
      <c r="N23" s="269">
        <f>'[13]General information '!B19</f>
        <v>20</v>
      </c>
      <c r="O23" s="269">
        <f>'[13]General information '!C19</f>
        <v>12</v>
      </c>
      <c r="P23" s="269">
        <f t="shared" si="0"/>
        <v>-2.3000000000000007</v>
      </c>
      <c r="Q23" s="521">
        <v>14</v>
      </c>
      <c r="R23" s="269">
        <f>'[4]Degree Days 2020'!R23</f>
        <v>24</v>
      </c>
      <c r="S23" s="269">
        <f>'[4]Degree Days 2020'!S23</f>
        <v>21</v>
      </c>
      <c r="T23" s="269">
        <f t="shared" si="1"/>
        <v>4.1999999999999993</v>
      </c>
      <c r="U23" s="521">
        <v>14</v>
      </c>
      <c r="V23" s="269">
        <f>'[1]Degree Days 2020'!V23</f>
        <v>26</v>
      </c>
      <c r="W23" s="269">
        <f>'[1]Degree Days 2020'!W23</f>
        <v>20</v>
      </c>
      <c r="X23" s="269">
        <f t="shared" si="2"/>
        <v>4.6999999999999993</v>
      </c>
      <c r="AA23" s="134">
        <f>SUM(AA10:AA22)</f>
        <v>-225.69999999999993</v>
      </c>
      <c r="AB23" s="134">
        <f>SUM(AB10:AB22)</f>
        <v>257.3</v>
      </c>
    </row>
    <row r="24" spans="1:28">
      <c r="A24" s="117">
        <v>15</v>
      </c>
      <c r="B24" s="269">
        <f>'[11]Degree Days 2020'!B24</f>
        <v>19</v>
      </c>
      <c r="C24" s="269">
        <f>'[11]Degree Days 2020'!C24</f>
        <v>13</v>
      </c>
      <c r="D24" s="269">
        <f>'[11]Degree Days 2020'!D24</f>
        <v>-2.3000000000000007</v>
      </c>
      <c r="E24" s="269">
        <f>'[11]Degree Days 2020'!E24</f>
        <v>15</v>
      </c>
      <c r="F24" s="269">
        <f>'[11]Degree Days 2020'!F24</f>
        <v>18</v>
      </c>
      <c r="G24" s="269">
        <f>'[11]Degree Days 2020'!G24</f>
        <v>12</v>
      </c>
      <c r="H24" s="269">
        <f>'[11]Degree Days 2020'!H24</f>
        <v>-3.3000000000000007</v>
      </c>
      <c r="I24" s="269">
        <f>'[11]Degree Days 2020'!I24</f>
        <v>15</v>
      </c>
      <c r="J24" s="269">
        <f>'[11]Degree Days 2020'!J24</f>
        <v>19</v>
      </c>
      <c r="K24" s="269">
        <f>'[11]Degree Days 2020'!K24</f>
        <v>15</v>
      </c>
      <c r="L24" s="269">
        <f>'[11]Degree Days 2020'!L24</f>
        <v>-1.3000000000000007</v>
      </c>
      <c r="M24" s="269">
        <f>'[12]Degree Days 2020'!M24</f>
        <v>15</v>
      </c>
      <c r="N24" s="269">
        <f>'[13]General information '!B20</f>
        <v>24</v>
      </c>
      <c r="O24" s="269">
        <f>'[13]General information '!C20</f>
        <v>14</v>
      </c>
      <c r="P24" s="269">
        <f t="shared" si="0"/>
        <v>0.69999999999999929</v>
      </c>
      <c r="Q24" s="521">
        <v>15</v>
      </c>
      <c r="R24" s="269">
        <f>'[4]Degree Days 2020'!R24</f>
        <v>25</v>
      </c>
      <c r="S24" s="269">
        <f>'[4]Degree Days 2020'!S24</f>
        <v>22</v>
      </c>
      <c r="T24" s="269">
        <f t="shared" si="1"/>
        <v>5.1999999999999993</v>
      </c>
      <c r="U24" s="521">
        <v>15</v>
      </c>
      <c r="V24" s="269">
        <f>'[1]Degree Days 2020'!V24</f>
        <v>27</v>
      </c>
      <c r="W24" s="269">
        <f>'[1]Degree Days 2020'!W24</f>
        <v>22</v>
      </c>
      <c r="X24" s="269">
        <f t="shared" si="2"/>
        <v>6.1999999999999993</v>
      </c>
    </row>
    <row r="25" spans="1:28">
      <c r="A25" s="117">
        <v>16</v>
      </c>
      <c r="B25" s="269">
        <f>'[11]Degree Days 2020'!B25</f>
        <v>15</v>
      </c>
      <c r="C25" s="269">
        <f>'[11]Degree Days 2020'!C25</f>
        <v>9</v>
      </c>
      <c r="D25" s="269">
        <f>'[11]Degree Days 2020'!D25</f>
        <v>-6.3000000000000007</v>
      </c>
      <c r="E25" s="269">
        <f>'[11]Degree Days 2020'!E25</f>
        <v>16</v>
      </c>
      <c r="F25" s="269">
        <f>'[11]Degree Days 2020'!F25</f>
        <v>11</v>
      </c>
      <c r="G25" s="269">
        <f>'[11]Degree Days 2020'!G25</f>
        <v>7</v>
      </c>
      <c r="H25" s="269">
        <f>'[11]Degree Days 2020'!H25</f>
        <v>-9.3000000000000007</v>
      </c>
      <c r="I25" s="269">
        <f>'[11]Degree Days 2020'!I25</f>
        <v>16</v>
      </c>
      <c r="J25" s="269">
        <f>'[11]Degree Days 2020'!J25</f>
        <v>19</v>
      </c>
      <c r="K25" s="269">
        <f>'[11]Degree Days 2020'!K25</f>
        <v>14</v>
      </c>
      <c r="L25" s="269">
        <f>'[11]Degree Days 2020'!L25</f>
        <v>-1.8000000000000007</v>
      </c>
      <c r="M25" s="269">
        <f>'[12]Degree Days 2020'!M25</f>
        <v>16</v>
      </c>
      <c r="N25" s="269">
        <f>'[13]General information '!B21</f>
        <v>26</v>
      </c>
      <c r="O25" s="269">
        <f>'[13]General information '!C21</f>
        <v>17</v>
      </c>
      <c r="P25" s="269">
        <f t="shared" si="0"/>
        <v>3.1999999999999993</v>
      </c>
      <c r="Q25" s="521">
        <v>16</v>
      </c>
      <c r="R25" s="269">
        <f>'[4]Degree Days 2020'!R25</f>
        <v>24</v>
      </c>
      <c r="S25" s="269">
        <f>'[4]Degree Days 2020'!S25</f>
        <v>19</v>
      </c>
      <c r="T25" s="269">
        <f t="shared" si="1"/>
        <v>3.1999999999999993</v>
      </c>
      <c r="U25" s="521">
        <v>16</v>
      </c>
      <c r="V25" s="269">
        <f>'[1]Degree Days 2020'!V25</f>
        <v>27</v>
      </c>
      <c r="W25" s="269">
        <f>'[1]Degree Days 2020'!W25</f>
        <v>23</v>
      </c>
      <c r="X25" s="269">
        <f t="shared" si="2"/>
        <v>6.6999999999999993</v>
      </c>
    </row>
    <row r="26" spans="1:28">
      <c r="A26" s="117">
        <v>17</v>
      </c>
      <c r="B26" s="269">
        <f>'[11]Degree Days 2020'!B26</f>
        <v>15</v>
      </c>
      <c r="C26" s="269">
        <f>'[11]Degree Days 2020'!C26</f>
        <v>12</v>
      </c>
      <c r="D26" s="269">
        <f>'[11]Degree Days 2020'!D26</f>
        <v>-4.8000000000000007</v>
      </c>
      <c r="E26" s="269">
        <f>'[11]Degree Days 2020'!E26</f>
        <v>17</v>
      </c>
      <c r="F26" s="269">
        <f>'[11]Degree Days 2020'!F26</f>
        <v>13</v>
      </c>
      <c r="G26" s="269">
        <f>'[11]Degree Days 2020'!G26</f>
        <v>7</v>
      </c>
      <c r="H26" s="269">
        <f>'[11]Degree Days 2020'!H26</f>
        <v>-8.3000000000000007</v>
      </c>
      <c r="I26" s="269">
        <f>'[11]Degree Days 2020'!I26</f>
        <v>17</v>
      </c>
      <c r="J26" s="269">
        <f>'[11]Degree Days 2020'!J26</f>
        <v>20</v>
      </c>
      <c r="K26" s="269">
        <f>'[11]Degree Days 2020'!K26</f>
        <v>15</v>
      </c>
      <c r="L26" s="269">
        <f>'[11]Degree Days 2020'!L26</f>
        <v>-0.80000000000000071</v>
      </c>
      <c r="M26" s="269">
        <f>'[12]Degree Days 2020'!M26</f>
        <v>17</v>
      </c>
      <c r="N26" s="269">
        <f>'[13]General information '!B22</f>
        <v>27</v>
      </c>
      <c r="O26" s="269">
        <f>'[13]General information '!C22</f>
        <v>17</v>
      </c>
      <c r="P26" s="269">
        <f t="shared" si="0"/>
        <v>3.6999999999999993</v>
      </c>
      <c r="Q26" s="521">
        <v>17</v>
      </c>
      <c r="R26" s="269">
        <f>'[4]Degree Days 2020'!R26</f>
        <v>25</v>
      </c>
      <c r="S26" s="269">
        <f>'[4]Degree Days 2020'!S26</f>
        <v>20</v>
      </c>
      <c r="T26" s="269">
        <f t="shared" si="1"/>
        <v>4.1999999999999993</v>
      </c>
      <c r="U26" s="521">
        <v>17</v>
      </c>
      <c r="V26" s="269">
        <f>'[1]Degree Days 2020'!V26</f>
        <v>26</v>
      </c>
      <c r="W26" s="269">
        <f>'[1]Degree Days 2020'!W26</f>
        <v>23</v>
      </c>
      <c r="X26" s="269">
        <f t="shared" si="2"/>
        <v>6.1999999999999993</v>
      </c>
    </row>
    <row r="27" spans="1:28">
      <c r="A27" s="117">
        <v>18</v>
      </c>
      <c r="B27" s="269">
        <f>'[11]Degree Days 2020'!B27</f>
        <v>14</v>
      </c>
      <c r="C27" s="269">
        <f>'[11]Degree Days 2020'!C27</f>
        <v>8</v>
      </c>
      <c r="D27" s="269">
        <f>'[11]Degree Days 2020'!D27</f>
        <v>-7.3000000000000007</v>
      </c>
      <c r="E27" s="269">
        <f>'[11]Degree Days 2020'!E27</f>
        <v>18</v>
      </c>
      <c r="F27" s="269">
        <f>'[11]Degree Days 2020'!F27</f>
        <v>13</v>
      </c>
      <c r="G27" s="269">
        <f>'[11]Degree Days 2020'!G27</f>
        <v>7</v>
      </c>
      <c r="H27" s="269">
        <f>'[11]Degree Days 2020'!H27</f>
        <v>-8.3000000000000007</v>
      </c>
      <c r="I27" s="269">
        <f>'[11]Degree Days 2020'!I27</f>
        <v>18</v>
      </c>
      <c r="J27" s="269">
        <f>'[11]Degree Days 2020'!J27</f>
        <v>20</v>
      </c>
      <c r="K27" s="269">
        <f>'[11]Degree Days 2020'!K27</f>
        <v>15</v>
      </c>
      <c r="L27" s="269">
        <f>'[11]Degree Days 2020'!L27</f>
        <v>-0.80000000000000071</v>
      </c>
      <c r="M27" s="269">
        <f>'[12]Degree Days 2020'!M27</f>
        <v>18</v>
      </c>
      <c r="N27" s="269">
        <f>'[13]General information '!B23</f>
        <v>32</v>
      </c>
      <c r="O27" s="269">
        <f>'[13]General information '!C23</f>
        <v>19</v>
      </c>
      <c r="P27" s="269">
        <f t="shared" si="0"/>
        <v>7.1999999999999993</v>
      </c>
      <c r="Q27" s="521">
        <v>18</v>
      </c>
      <c r="R27" s="269">
        <f>'[4]Degree Days 2020'!R27</f>
        <v>32</v>
      </c>
      <c r="S27" s="269">
        <f>'[4]Degree Days 2020'!S27</f>
        <v>14</v>
      </c>
      <c r="T27" s="269">
        <f t="shared" si="1"/>
        <v>4.6999999999999993</v>
      </c>
      <c r="U27" s="521">
        <v>18</v>
      </c>
      <c r="V27" s="269">
        <f>'[1]Degree Days 2020'!V27</f>
        <v>27</v>
      </c>
      <c r="W27" s="269">
        <f>'[1]Degree Days 2020'!W27</f>
        <v>23</v>
      </c>
      <c r="X27" s="269">
        <f t="shared" si="2"/>
        <v>6.6999999999999993</v>
      </c>
    </row>
    <row r="28" spans="1:28">
      <c r="A28" s="117">
        <v>19</v>
      </c>
      <c r="B28" s="269">
        <f>'[11]Degree Days 2020'!B28</f>
        <v>17</v>
      </c>
      <c r="C28" s="269">
        <f>'[11]Degree Days 2020'!C28</f>
        <v>10</v>
      </c>
      <c r="D28" s="269">
        <f>'[11]Degree Days 2020'!D28</f>
        <v>-4.8000000000000007</v>
      </c>
      <c r="E28" s="269">
        <f>'[11]Degree Days 2020'!E28</f>
        <v>19</v>
      </c>
      <c r="F28" s="269">
        <f>'[11]Degree Days 2020'!F28</f>
        <v>14</v>
      </c>
      <c r="G28" s="269">
        <f>'[11]Degree Days 2020'!G28</f>
        <v>7</v>
      </c>
      <c r="H28" s="269">
        <f>'[11]Degree Days 2020'!H28</f>
        <v>-7.8000000000000007</v>
      </c>
      <c r="I28" s="269">
        <f>'[11]Degree Days 2020'!I28</f>
        <v>19</v>
      </c>
      <c r="J28" s="269">
        <f>'[11]Degree Days 2020'!J28</f>
        <v>19</v>
      </c>
      <c r="K28" s="269">
        <f>'[11]Degree Days 2020'!K28</f>
        <v>17</v>
      </c>
      <c r="L28" s="269">
        <f>'[11]Degree Days 2020'!L28</f>
        <v>-0.30000000000000071</v>
      </c>
      <c r="M28" s="269">
        <f>'[12]Degree Days 2020'!M28</f>
        <v>19</v>
      </c>
      <c r="N28" s="269">
        <f>'[13]General information '!B24</f>
        <v>33</v>
      </c>
      <c r="O28" s="269">
        <f>'[13]General information '!C24</f>
        <v>24</v>
      </c>
      <c r="P28" s="269">
        <f t="shared" si="0"/>
        <v>10.199999999999999</v>
      </c>
      <c r="Q28" s="521">
        <v>19</v>
      </c>
      <c r="R28" s="269">
        <f>'[4]Degree Days 2020'!R28</f>
        <v>26</v>
      </c>
      <c r="S28" s="269">
        <f>'[4]Degree Days 2020'!S28</f>
        <v>20</v>
      </c>
      <c r="T28" s="269">
        <f t="shared" si="1"/>
        <v>4.6999999999999993</v>
      </c>
      <c r="U28" s="521">
        <v>19</v>
      </c>
      <c r="V28" s="269">
        <f>'[1]Degree Days 2020'!V28</f>
        <v>28</v>
      </c>
      <c r="W28" s="269">
        <f>'[1]Degree Days 2020'!W28</f>
        <v>25</v>
      </c>
      <c r="X28" s="269">
        <f t="shared" si="2"/>
        <v>8.1999999999999993</v>
      </c>
    </row>
    <row r="29" spans="1:28">
      <c r="A29" s="117">
        <v>20</v>
      </c>
      <c r="B29" s="269">
        <f>'[11]Degree Days 2020'!B29</f>
        <v>17</v>
      </c>
      <c r="C29" s="269">
        <f>'[11]Degree Days 2020'!C29</f>
        <v>10</v>
      </c>
      <c r="D29" s="269">
        <f>'[11]Degree Days 2020'!D29</f>
        <v>-4.8000000000000007</v>
      </c>
      <c r="E29" s="269">
        <f>'[11]Degree Days 2020'!E29</f>
        <v>20</v>
      </c>
      <c r="F29" s="269">
        <f>'[11]Degree Days 2020'!F29</f>
        <v>19</v>
      </c>
      <c r="G29" s="269">
        <f>'[11]Degree Days 2020'!G29</f>
        <v>14</v>
      </c>
      <c r="H29" s="269">
        <f>'[11]Degree Days 2020'!H29</f>
        <v>-1.8000000000000007</v>
      </c>
      <c r="I29" s="269">
        <f>'[11]Degree Days 2020'!I29</f>
        <v>20</v>
      </c>
      <c r="J29" s="269">
        <f>'[11]Degree Days 2020'!J29</f>
        <v>21</v>
      </c>
      <c r="K29" s="269">
        <f>'[11]Degree Days 2020'!K29</f>
        <v>18</v>
      </c>
      <c r="L29" s="269">
        <f>'[11]Degree Days 2020'!L29</f>
        <v>1.1999999999999993</v>
      </c>
      <c r="M29" s="269">
        <f>'[12]Degree Days 2020'!M29</f>
        <v>20</v>
      </c>
      <c r="N29" s="269">
        <f>'[13]General information '!B25</f>
        <v>22</v>
      </c>
      <c r="O29" s="269">
        <f>'[13]General information '!C25</f>
        <v>15</v>
      </c>
      <c r="P29" s="269">
        <f t="shared" si="0"/>
        <v>0.19999999999999929</v>
      </c>
      <c r="Q29" s="521">
        <v>20</v>
      </c>
      <c r="R29" s="269">
        <f>'[4]Degree Days 2020'!R29</f>
        <v>26</v>
      </c>
      <c r="S29" s="269">
        <f>'[4]Degree Days 2020'!S29</f>
        <v>21</v>
      </c>
      <c r="T29" s="269">
        <f t="shared" si="1"/>
        <v>5.1999999999999993</v>
      </c>
      <c r="U29" s="521">
        <v>20</v>
      </c>
      <c r="V29" s="269">
        <f>'[1]Degree Days 2020'!V29</f>
        <v>27</v>
      </c>
      <c r="W29" s="269">
        <f>'[1]Degree Days 2020'!W29</f>
        <v>24</v>
      </c>
      <c r="X29" s="269">
        <f t="shared" si="2"/>
        <v>7.1999999999999993</v>
      </c>
    </row>
    <row r="30" spans="1:28">
      <c r="A30" s="117">
        <v>21</v>
      </c>
      <c r="B30" s="269">
        <f>'[11]Degree Days 2020'!B30</f>
        <v>16</v>
      </c>
      <c r="C30" s="269">
        <f>'[11]Degree Days 2020'!C30</f>
        <v>9</v>
      </c>
      <c r="D30" s="269">
        <f>'[11]Degree Days 2020'!D30</f>
        <v>-5.8000000000000007</v>
      </c>
      <c r="E30" s="269">
        <f>'[11]Degree Days 2020'!E30</f>
        <v>21</v>
      </c>
      <c r="F30" s="269">
        <f>'[11]Degree Days 2020'!F30</f>
        <v>18</v>
      </c>
      <c r="G30" s="269">
        <f>'[11]Degree Days 2020'!G30</f>
        <v>13</v>
      </c>
      <c r="H30" s="269">
        <f>'[11]Degree Days 2020'!H30</f>
        <v>-2.8000000000000007</v>
      </c>
      <c r="I30" s="269">
        <f>'[11]Degree Days 2020'!I30</f>
        <v>21</v>
      </c>
      <c r="J30" s="269">
        <f>'[11]Degree Days 2020'!J30</f>
        <v>23</v>
      </c>
      <c r="K30" s="269">
        <f>'[11]Degree Days 2020'!K30</f>
        <v>14</v>
      </c>
      <c r="L30" s="269">
        <f>'[11]Degree Days 2020'!L30</f>
        <v>0.19999999999999929</v>
      </c>
      <c r="M30" s="269">
        <f>'[12]Degree Days 2020'!M30</f>
        <v>21</v>
      </c>
      <c r="N30" s="269">
        <f>'[13]General information '!B26</f>
        <v>21</v>
      </c>
      <c r="O30" s="269">
        <f>'[13]General information '!C26</f>
        <v>17</v>
      </c>
      <c r="P30" s="269">
        <f t="shared" si="0"/>
        <v>0.69999999999999929</v>
      </c>
      <c r="Q30" s="521">
        <v>21</v>
      </c>
      <c r="R30" s="269">
        <f>'[4]Degree Days 2020'!R30</f>
        <v>25</v>
      </c>
      <c r="S30" s="269">
        <f>'[4]Degree Days 2020'!S30</f>
        <v>24</v>
      </c>
      <c r="T30" s="269">
        <f t="shared" si="1"/>
        <v>6.1999999999999993</v>
      </c>
      <c r="U30" s="521">
        <v>21</v>
      </c>
      <c r="V30" s="269">
        <f>'[1]Degree Days 2020'!V30</f>
        <v>27</v>
      </c>
      <c r="W30" s="269">
        <f>'[1]Degree Days 2020'!W30</f>
        <v>24</v>
      </c>
      <c r="X30" s="269">
        <f t="shared" si="2"/>
        <v>7.1999999999999993</v>
      </c>
    </row>
    <row r="31" spans="1:28">
      <c r="A31" s="117">
        <v>22</v>
      </c>
      <c r="B31" s="269">
        <f>'[11]Degree Days 2020'!B31</f>
        <v>17</v>
      </c>
      <c r="C31" s="269">
        <f>'[11]Degree Days 2020'!C31</f>
        <v>10</v>
      </c>
      <c r="D31" s="269">
        <f>'[11]Degree Days 2020'!D31</f>
        <v>-4.8000000000000007</v>
      </c>
      <c r="E31" s="269">
        <f>'[11]Degree Days 2020'!E31</f>
        <v>22</v>
      </c>
      <c r="F31" s="269">
        <f>'[11]Degree Days 2020'!F31</f>
        <v>21</v>
      </c>
      <c r="G31" s="269">
        <f>'[11]Degree Days 2020'!G31</f>
        <v>12</v>
      </c>
      <c r="H31" s="269">
        <f>'[11]Degree Days 2020'!H31</f>
        <v>-1.8000000000000007</v>
      </c>
      <c r="I31" s="269">
        <f>'[11]Degree Days 2020'!I31</f>
        <v>22</v>
      </c>
      <c r="J31" s="269">
        <f>'[11]Degree Days 2020'!J31</f>
        <v>26</v>
      </c>
      <c r="K31" s="269">
        <f>'[11]Degree Days 2020'!K31</f>
        <v>14</v>
      </c>
      <c r="L31" s="269">
        <f>'[11]Degree Days 2020'!L31</f>
        <v>1.6999999999999993</v>
      </c>
      <c r="M31" s="269">
        <f>'[12]Degree Days 2020'!M31</f>
        <v>22</v>
      </c>
      <c r="N31" s="269">
        <f>'[13]General information '!B27</f>
        <v>21</v>
      </c>
      <c r="O31" s="269">
        <f>'[13]General information '!C27</f>
        <v>18</v>
      </c>
      <c r="P31" s="269">
        <f t="shared" si="0"/>
        <v>1.1999999999999993</v>
      </c>
      <c r="Q31" s="521">
        <v>22</v>
      </c>
      <c r="R31" s="269">
        <f>'[4]Degree Days 2020'!R31</f>
        <v>26</v>
      </c>
      <c r="S31" s="269">
        <f>'[4]Degree Days 2020'!S31</f>
        <v>23</v>
      </c>
      <c r="T31" s="269">
        <f t="shared" si="1"/>
        <v>6.1999999999999993</v>
      </c>
      <c r="U31" s="521">
        <v>22</v>
      </c>
      <c r="V31" s="269">
        <f>'[1]Degree Days 2020'!V31</f>
        <v>26</v>
      </c>
      <c r="W31" s="269">
        <f>'[1]Degree Days 2020'!W31</f>
        <v>22</v>
      </c>
      <c r="X31" s="269">
        <f t="shared" si="2"/>
        <v>5.6999999999999993</v>
      </c>
    </row>
    <row r="32" spans="1:28">
      <c r="A32" s="117">
        <v>23</v>
      </c>
      <c r="B32" s="269">
        <f>'[11]Degree Days 2020'!B32</f>
        <v>18</v>
      </c>
      <c r="C32" s="269">
        <f>'[11]Degree Days 2020'!C32</f>
        <v>12</v>
      </c>
      <c r="D32" s="269">
        <f>'[11]Degree Days 2020'!D32</f>
        <v>-3.3000000000000007</v>
      </c>
      <c r="E32" s="269">
        <f>'[11]Degree Days 2020'!E32</f>
        <v>23</v>
      </c>
      <c r="F32" s="269">
        <f>'[11]Degree Days 2020'!F32</f>
        <v>19</v>
      </c>
      <c r="G32" s="269">
        <f>'[11]Degree Days 2020'!G32</f>
        <v>13</v>
      </c>
      <c r="H32" s="269">
        <f>'[11]Degree Days 2020'!H32</f>
        <v>-2.3000000000000007</v>
      </c>
      <c r="I32" s="269">
        <f>'[11]Degree Days 2020'!I32</f>
        <v>23</v>
      </c>
      <c r="J32" s="269">
        <f>'[11]Degree Days 2020'!J32</f>
        <v>33</v>
      </c>
      <c r="K32" s="269">
        <f>'[11]Degree Days 2020'!K32</f>
        <v>17</v>
      </c>
      <c r="L32" s="269">
        <f>'[11]Degree Days 2020'!L32</f>
        <v>6.6999999999999993</v>
      </c>
      <c r="M32" s="269">
        <f>'[12]Degree Days 2020'!M32</f>
        <v>23</v>
      </c>
      <c r="N32" s="269">
        <f>'[13]General information '!B28</f>
        <v>20</v>
      </c>
      <c r="O32" s="269">
        <f>'[13]General information '!C28</f>
        <v>18</v>
      </c>
      <c r="P32" s="269">
        <f t="shared" si="0"/>
        <v>0.69999999999999929</v>
      </c>
      <c r="Q32" s="521">
        <v>23</v>
      </c>
      <c r="R32" s="269">
        <f>'[4]Degree Days 2020'!R32</f>
        <v>25</v>
      </c>
      <c r="S32" s="269">
        <f>'[4]Degree Days 2020'!S32</f>
        <v>22</v>
      </c>
      <c r="T32" s="269">
        <f t="shared" si="1"/>
        <v>5.1999999999999993</v>
      </c>
      <c r="U32" s="521">
        <v>23</v>
      </c>
      <c r="V32" s="269">
        <f>'[1]Degree Days 2020'!V32</f>
        <v>28</v>
      </c>
      <c r="W32" s="269">
        <f>'[1]Degree Days 2020'!W32</f>
        <v>26</v>
      </c>
      <c r="X32" s="269">
        <f t="shared" si="2"/>
        <v>8.6999999999999993</v>
      </c>
    </row>
    <row r="33" spans="1:24">
      <c r="A33" s="117">
        <v>24</v>
      </c>
      <c r="B33" s="269">
        <f>'[11]Degree Days 2020'!B33</f>
        <v>17</v>
      </c>
      <c r="C33" s="269">
        <f>'[11]Degree Days 2020'!C33</f>
        <v>11</v>
      </c>
      <c r="D33" s="269">
        <f>'[11]Degree Days 2020'!D33</f>
        <v>-4.3000000000000007</v>
      </c>
      <c r="E33" s="269">
        <f>'[11]Degree Days 2020'!E33</f>
        <v>24</v>
      </c>
      <c r="F33" s="269">
        <f>'[11]Degree Days 2020'!F33</f>
        <v>19</v>
      </c>
      <c r="G33" s="269">
        <f>'[11]Degree Days 2020'!G33</f>
        <v>12</v>
      </c>
      <c r="H33" s="269">
        <f>'[11]Degree Days 2020'!H33</f>
        <v>-2.8000000000000007</v>
      </c>
      <c r="I33" s="269">
        <f>'[11]Degree Days 2020'!I33</f>
        <v>24</v>
      </c>
      <c r="J33" s="269">
        <f>'[11]Degree Days 2020'!J33</f>
        <v>15</v>
      </c>
      <c r="K33" s="269">
        <f>'[11]Degree Days 2020'!K33</f>
        <v>12</v>
      </c>
      <c r="L33" s="269">
        <f>'[11]Degree Days 2020'!L33</f>
        <v>-4.8000000000000007</v>
      </c>
      <c r="M33" s="269">
        <f>'[12]Degree Days 2020'!M33</f>
        <v>24</v>
      </c>
      <c r="N33" s="269">
        <f>'[13]General information '!B29</f>
        <v>24</v>
      </c>
      <c r="O33" s="269">
        <f>'[13]General information '!C29</f>
        <v>18</v>
      </c>
      <c r="P33" s="269">
        <f t="shared" si="0"/>
        <v>2.6999999999999993</v>
      </c>
      <c r="Q33" s="521">
        <v>24</v>
      </c>
      <c r="R33" s="269">
        <f>'[4]Degree Days 2020'!R33</f>
        <v>26</v>
      </c>
      <c r="S33" s="269">
        <f>'[4]Degree Days 2020'!S33</f>
        <v>23</v>
      </c>
      <c r="T33" s="269">
        <f t="shared" si="1"/>
        <v>6.1999999999999993</v>
      </c>
      <c r="U33" s="521">
        <v>24</v>
      </c>
      <c r="V33" s="269">
        <f>'[1]Degree Days 2020'!V33</f>
        <v>28</v>
      </c>
      <c r="W33" s="269">
        <f>'[1]Degree Days 2020'!W33</f>
        <v>25</v>
      </c>
      <c r="X33" s="269">
        <f t="shared" si="2"/>
        <v>8.1999999999999993</v>
      </c>
    </row>
    <row r="34" spans="1:24">
      <c r="A34" s="117">
        <v>25</v>
      </c>
      <c r="B34" s="269">
        <f>'[11]Degree Days 2020'!B34</f>
        <v>21</v>
      </c>
      <c r="C34" s="269">
        <f>'[11]Degree Days 2020'!C34</f>
        <v>12</v>
      </c>
      <c r="D34" s="269">
        <f>'[11]Degree Days 2020'!D34</f>
        <v>-1.8000000000000007</v>
      </c>
      <c r="E34" s="269">
        <f>'[11]Degree Days 2020'!E34</f>
        <v>25</v>
      </c>
      <c r="F34" s="269">
        <f>'[11]Degree Days 2020'!F34</f>
        <v>18</v>
      </c>
      <c r="G34" s="269">
        <f>'[11]Degree Days 2020'!G34</f>
        <v>13</v>
      </c>
      <c r="H34" s="269">
        <f>'[11]Degree Days 2020'!H34</f>
        <v>-2.8000000000000007</v>
      </c>
      <c r="I34" s="269">
        <f>'[11]Degree Days 2020'!I34</f>
        <v>25</v>
      </c>
      <c r="J34" s="269">
        <f>'[11]Degree Days 2020'!J34</f>
        <v>15</v>
      </c>
      <c r="K34" s="269">
        <f>'[11]Degree Days 2020'!K34</f>
        <v>12</v>
      </c>
      <c r="L34" s="269">
        <f>'[11]Degree Days 2020'!L34</f>
        <v>-4.8000000000000007</v>
      </c>
      <c r="M34" s="269">
        <f>'[12]Degree Days 2020'!M34</f>
        <v>25</v>
      </c>
      <c r="N34" s="269">
        <f>'[13]General information '!B30</f>
        <v>23</v>
      </c>
      <c r="O34" s="269">
        <f>'[13]General information '!C30</f>
        <v>18</v>
      </c>
      <c r="P34" s="269">
        <f t="shared" si="0"/>
        <v>2.1999999999999993</v>
      </c>
      <c r="Q34" s="521">
        <v>25</v>
      </c>
      <c r="R34" s="269">
        <f>'[4]Degree Days 2020'!R34</f>
        <v>27</v>
      </c>
      <c r="S34" s="269">
        <f>'[4]Degree Days 2020'!S34</f>
        <v>22</v>
      </c>
      <c r="T34" s="269">
        <f t="shared" si="1"/>
        <v>6.1999999999999993</v>
      </c>
      <c r="U34" s="521">
        <v>25</v>
      </c>
      <c r="V34" s="269">
        <f>'[1]Degree Days 2020'!V34</f>
        <v>29</v>
      </c>
      <c r="W34" s="269">
        <f>'[1]Degree Days 2020'!W34</f>
        <v>27</v>
      </c>
      <c r="X34" s="269">
        <f t="shared" si="2"/>
        <v>9.6999999999999993</v>
      </c>
    </row>
    <row r="35" spans="1:24">
      <c r="A35" s="117">
        <v>26</v>
      </c>
      <c r="B35" s="269">
        <f>'[11]Degree Days 2020'!B35</f>
        <v>18</v>
      </c>
      <c r="C35" s="269">
        <f>'[11]Degree Days 2020'!C35</f>
        <v>11</v>
      </c>
      <c r="D35" s="269">
        <f>'[11]Degree Days 2020'!D35</f>
        <v>-3.8000000000000007</v>
      </c>
      <c r="E35" s="269">
        <f>'[11]Degree Days 2020'!E35</f>
        <v>26</v>
      </c>
      <c r="F35" s="269">
        <f>'[11]Degree Days 2020'!F35</f>
        <v>18</v>
      </c>
      <c r="G35" s="269">
        <f>'[11]Degree Days 2020'!G35</f>
        <v>13</v>
      </c>
      <c r="H35" s="269">
        <f>'[11]Degree Days 2020'!H35</f>
        <v>-2.8000000000000007</v>
      </c>
      <c r="I35" s="269">
        <f>'[11]Degree Days 2020'!I35</f>
        <v>26</v>
      </c>
      <c r="J35" s="269">
        <f>'[11]Degree Days 2020'!J35</f>
        <v>16</v>
      </c>
      <c r="K35" s="269">
        <f>'[11]Degree Days 2020'!K35</f>
        <v>10</v>
      </c>
      <c r="L35" s="269">
        <f>'[11]Degree Days 2020'!L35</f>
        <v>-5.3000000000000007</v>
      </c>
      <c r="M35" s="269">
        <f>'[12]Degree Days 2020'!M35</f>
        <v>26</v>
      </c>
      <c r="N35" s="269">
        <f>'[13]General information '!B31</f>
        <v>22</v>
      </c>
      <c r="O35" s="269">
        <f>'[13]General information '!C31</f>
        <v>16</v>
      </c>
      <c r="P35" s="269">
        <f t="shared" si="0"/>
        <v>0.69999999999999929</v>
      </c>
      <c r="Q35" s="521">
        <v>26</v>
      </c>
      <c r="R35" s="269">
        <f>'[4]Degree Days 2020'!R35</f>
        <v>26</v>
      </c>
      <c r="S35" s="269">
        <f>'[4]Degree Days 2020'!S35</f>
        <v>23</v>
      </c>
      <c r="T35" s="269">
        <f t="shared" si="1"/>
        <v>6.1999999999999993</v>
      </c>
      <c r="U35" s="521">
        <v>26</v>
      </c>
      <c r="V35" s="269">
        <f>'[1]Degree Days 2020'!V35</f>
        <v>30</v>
      </c>
      <c r="W35" s="269">
        <f>'[1]Degree Days 2020'!W35</f>
        <v>28</v>
      </c>
      <c r="X35" s="269">
        <f t="shared" si="2"/>
        <v>10.7</v>
      </c>
    </row>
    <row r="36" spans="1:24">
      <c r="A36" s="117">
        <v>27</v>
      </c>
      <c r="B36" s="269">
        <f>'[11]Degree Days 2020'!B36</f>
        <v>14</v>
      </c>
      <c r="C36" s="269">
        <f>'[11]Degree Days 2020'!C36</f>
        <v>10</v>
      </c>
      <c r="D36" s="269">
        <f>'[11]Degree Days 2020'!D36</f>
        <v>-6.3000000000000007</v>
      </c>
      <c r="E36" s="269">
        <f>'[11]Degree Days 2020'!E36</f>
        <v>27</v>
      </c>
      <c r="F36" s="269">
        <f>'[11]Degree Days 2020'!F36</f>
        <v>18</v>
      </c>
      <c r="G36" s="269">
        <f>'[11]Degree Days 2020'!G36</f>
        <v>13</v>
      </c>
      <c r="H36" s="269">
        <f>'[11]Degree Days 2020'!H36</f>
        <v>-2.8000000000000007</v>
      </c>
      <c r="I36" s="269">
        <f>'[11]Degree Days 2020'!I36</f>
        <v>27</v>
      </c>
      <c r="J36" s="269">
        <f>'[11]Degree Days 2020'!J36</f>
        <v>17</v>
      </c>
      <c r="K36" s="269">
        <f>'[11]Degree Days 2020'!K36</f>
        <v>11</v>
      </c>
      <c r="L36" s="269">
        <f>'[11]Degree Days 2020'!L36</f>
        <v>-4.3000000000000007</v>
      </c>
      <c r="M36" s="269">
        <f>'[12]Degree Days 2020'!M36</f>
        <v>27</v>
      </c>
      <c r="N36" s="269">
        <f>'[13]General information '!B32</f>
        <v>22</v>
      </c>
      <c r="O36" s="269">
        <f>'[13]General information '!C32</f>
        <v>18</v>
      </c>
      <c r="P36" s="269">
        <f t="shared" si="0"/>
        <v>1.6999999999999993</v>
      </c>
      <c r="Q36" s="521">
        <v>27</v>
      </c>
      <c r="R36" s="269">
        <f>'[4]Degree Days 2020'!R36</f>
        <v>25</v>
      </c>
      <c r="S36" s="269">
        <f>'[4]Degree Days 2020'!S36</f>
        <v>22</v>
      </c>
      <c r="T36" s="269">
        <f t="shared" si="1"/>
        <v>5.1999999999999993</v>
      </c>
      <c r="U36" s="521">
        <v>27</v>
      </c>
      <c r="V36" s="269">
        <f>'[1]Degree Days 2020'!V36</f>
        <v>30</v>
      </c>
      <c r="W36" s="269">
        <f>'[1]Degree Days 2020'!W36</f>
        <v>28</v>
      </c>
      <c r="X36" s="269">
        <f t="shared" si="2"/>
        <v>10.7</v>
      </c>
    </row>
    <row r="37" spans="1:24">
      <c r="A37" s="117">
        <v>28</v>
      </c>
      <c r="B37" s="269">
        <f>'[11]Degree Days 2020'!B37</f>
        <v>14</v>
      </c>
      <c r="C37" s="269">
        <f>'[11]Degree Days 2020'!C37</f>
        <v>10</v>
      </c>
      <c r="D37" s="269">
        <f>'[11]Degree Days 2020'!D37</f>
        <v>-6.3000000000000007</v>
      </c>
      <c r="E37" s="269">
        <f>'[11]Degree Days 2020'!E37</f>
        <v>28</v>
      </c>
      <c r="F37" s="269">
        <f>'[11]Degree Days 2020'!F37</f>
        <v>17</v>
      </c>
      <c r="G37" s="269">
        <f>'[11]Degree Days 2020'!G37</f>
        <v>13</v>
      </c>
      <c r="H37" s="269">
        <f>'[11]Degree Days 2020'!H37</f>
        <v>-3.3000000000000007</v>
      </c>
      <c r="I37" s="269">
        <f>'[11]Degree Days 2020'!I37</f>
        <v>28</v>
      </c>
      <c r="J37" s="269">
        <f>'[11]Degree Days 2020'!J37</f>
        <v>17</v>
      </c>
      <c r="K37" s="269">
        <f>'[11]Degree Days 2020'!K37</f>
        <v>13</v>
      </c>
      <c r="L37" s="269">
        <f>'[11]Degree Days 2020'!L37</f>
        <v>-3.3000000000000007</v>
      </c>
      <c r="M37" s="269">
        <f>'[12]Degree Days 2020'!M37</f>
        <v>28</v>
      </c>
      <c r="N37" s="269">
        <f>'[13]General information '!B33</f>
        <v>26</v>
      </c>
      <c r="O37" s="269">
        <f>'[13]General information '!C33</f>
        <v>16</v>
      </c>
      <c r="P37" s="269">
        <f t="shared" si="0"/>
        <v>2.6999999999999993</v>
      </c>
      <c r="Q37" s="521">
        <v>28</v>
      </c>
      <c r="R37" s="269">
        <f>'[4]Degree Days 2020'!R37</f>
        <v>26</v>
      </c>
      <c r="S37" s="269">
        <f>'[4]Degree Days 2020'!S37</f>
        <v>23</v>
      </c>
      <c r="T37" s="269">
        <f t="shared" si="1"/>
        <v>6.1999999999999993</v>
      </c>
      <c r="U37" s="521">
        <v>28</v>
      </c>
      <c r="V37" s="269">
        <f>'[1]Degree Days 2020'!V37</f>
        <v>31</v>
      </c>
      <c r="W37" s="269">
        <f>'[1]Degree Days 2020'!W37</f>
        <v>28</v>
      </c>
      <c r="X37" s="269">
        <f t="shared" si="2"/>
        <v>11.2</v>
      </c>
    </row>
    <row r="38" spans="1:24">
      <c r="A38" s="117">
        <v>29</v>
      </c>
      <c r="B38" s="269">
        <f>'[11]Degree Days 2020'!B38</f>
        <v>16</v>
      </c>
      <c r="C38" s="269">
        <f>'[11]Degree Days 2020'!C38</f>
        <v>12</v>
      </c>
      <c r="D38" s="269">
        <f>'[11]Degree Days 2020'!D38</f>
        <v>-4.3000000000000007</v>
      </c>
      <c r="E38" s="269"/>
      <c r="F38" s="269"/>
      <c r="G38" s="269"/>
      <c r="H38" s="269"/>
      <c r="I38" s="269">
        <f>'[11]Degree Days 2020'!I38</f>
        <v>29</v>
      </c>
      <c r="J38" s="269">
        <f>'[11]Degree Days 2020'!J38</f>
        <v>17</v>
      </c>
      <c r="K38" s="269">
        <f>'[11]Degree Days 2020'!K38</f>
        <v>14</v>
      </c>
      <c r="L38" s="269">
        <f>'[11]Degree Days 2020'!L38</f>
        <v>-2.8000000000000007</v>
      </c>
      <c r="M38" s="269">
        <f>'[12]Degree Days 2020'!M38</f>
        <v>29</v>
      </c>
      <c r="N38" s="269">
        <f>'[13]General information '!B34</f>
        <v>29</v>
      </c>
      <c r="O38" s="269">
        <f>'[13]General information '!C34</f>
        <v>18</v>
      </c>
      <c r="P38" s="269">
        <f t="shared" si="0"/>
        <v>5.1999999999999993</v>
      </c>
      <c r="Q38" s="521">
        <v>29</v>
      </c>
      <c r="R38" s="269">
        <f>'[4]Degree Days 2020'!R38</f>
        <v>27</v>
      </c>
      <c r="S38" s="269">
        <f>'[4]Degree Days 2020'!S38</f>
        <v>22</v>
      </c>
      <c r="T38" s="269">
        <f t="shared" si="1"/>
        <v>6.1999999999999993</v>
      </c>
      <c r="U38" s="521">
        <v>29</v>
      </c>
      <c r="V38" s="269">
        <f>'[1]Degree Days 2020'!V38</f>
        <v>30</v>
      </c>
      <c r="W38" s="269">
        <f>'[1]Degree Days 2020'!W38</f>
        <v>28</v>
      </c>
      <c r="X38" s="269">
        <f t="shared" si="2"/>
        <v>10.7</v>
      </c>
    </row>
    <row r="39" spans="1:24">
      <c r="A39" s="117">
        <v>30</v>
      </c>
      <c r="B39" s="269">
        <f>'[11]Degree Days 2020'!B39</f>
        <v>10</v>
      </c>
      <c r="C39" s="269">
        <f>'[11]Degree Days 2020'!C39</f>
        <v>4</v>
      </c>
      <c r="D39" s="269">
        <f>'[11]Degree Days 2020'!D39</f>
        <v>-11.3</v>
      </c>
      <c r="E39" s="269"/>
      <c r="F39" s="269"/>
      <c r="G39" s="269"/>
      <c r="H39" s="269"/>
      <c r="I39" s="269">
        <f>'[11]Degree Days 2020'!I39</f>
        <v>30</v>
      </c>
      <c r="J39" s="269">
        <f>'[11]Degree Days 2020'!J39</f>
        <v>19</v>
      </c>
      <c r="K39" s="269">
        <f>'[11]Degree Days 2020'!K39</f>
        <v>13</v>
      </c>
      <c r="L39" s="269">
        <f>'[11]Degree Days 2020'!L39</f>
        <v>-2.3000000000000007</v>
      </c>
      <c r="M39" s="269">
        <f>'[12]Degree Days 2020'!M39</f>
        <v>30</v>
      </c>
      <c r="N39" s="269">
        <f>'[13]General information '!B35</f>
        <v>25</v>
      </c>
      <c r="O39" s="269">
        <f>'[13]General information '!C35</f>
        <v>21</v>
      </c>
      <c r="P39" s="269">
        <f t="shared" si="0"/>
        <v>4.6999999999999993</v>
      </c>
      <c r="Q39" s="521">
        <v>30</v>
      </c>
      <c r="R39" s="269">
        <f>'[4]Degree Days 2020'!R39</f>
        <v>27</v>
      </c>
      <c r="S39" s="269">
        <f>'[4]Degree Days 2020'!S39</f>
        <v>23</v>
      </c>
      <c r="T39" s="269">
        <f t="shared" si="1"/>
        <v>6.6999999999999993</v>
      </c>
      <c r="U39" s="521">
        <v>30</v>
      </c>
      <c r="V39" s="269">
        <f>'[1]Degree Days 2020'!V39</f>
        <v>0</v>
      </c>
      <c r="W39" s="269">
        <f>'[1]Degree Days 2020'!W39</f>
        <v>0</v>
      </c>
      <c r="X39" s="269">
        <f t="shared" si="2"/>
        <v>-18.3</v>
      </c>
    </row>
    <row r="40" spans="1:24">
      <c r="A40" s="117">
        <v>31</v>
      </c>
      <c r="B40" s="269">
        <f>'[11]Degree Days 2020'!B40</f>
        <v>21</v>
      </c>
      <c r="C40" s="269">
        <f>'[11]Degree Days 2020'!C40</f>
        <v>16</v>
      </c>
      <c r="D40" s="269">
        <f>'[11]Degree Days 2020'!D40</f>
        <v>0.19999999999999929</v>
      </c>
      <c r="E40" s="269"/>
      <c r="F40" s="269"/>
      <c r="G40" s="269"/>
      <c r="H40" s="269"/>
      <c r="I40" s="269">
        <f>'[11]Degree Days 2020'!I40</f>
        <v>31</v>
      </c>
      <c r="J40" s="269">
        <f>'[11]Degree Days 2020'!J40</f>
        <v>18</v>
      </c>
      <c r="K40" s="269">
        <f>'[11]Degree Days 2020'!K40</f>
        <v>13</v>
      </c>
      <c r="L40" s="269">
        <f>'[11]Degree Days 2020'!L40</f>
        <v>-2.8000000000000007</v>
      </c>
      <c r="M40" s="269"/>
      <c r="N40" s="269"/>
      <c r="O40" s="269"/>
      <c r="P40" s="269"/>
      <c r="Q40" s="521">
        <v>31</v>
      </c>
      <c r="R40" s="269">
        <f>'[4]Degree Days 2020'!R40</f>
        <v>27</v>
      </c>
      <c r="S40" s="269">
        <f>'[4]Degree Days 2020'!S40</f>
        <v>24</v>
      </c>
      <c r="T40" s="269">
        <f t="shared" si="1"/>
        <v>7.1999999999999993</v>
      </c>
      <c r="U40" s="269"/>
      <c r="V40" s="269"/>
      <c r="W40" s="269"/>
      <c r="X40" s="269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'[9]Degree Days 2020'!B43</f>
        <v>-92.59999999999998</v>
      </c>
      <c r="C43" s="119">
        <f>'[9]Degree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-18.3</v>
      </c>
      <c r="W43" s="119">
        <f>SUMIF(X10:X39,"&gt;0")</f>
        <v>208.79999999999993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9">
        <f>'General information '!B6</f>
        <v>0</v>
      </c>
      <c r="C48" s="269">
        <f>'General information '!C6</f>
        <v>0</v>
      </c>
      <c r="D48" s="119">
        <f t="shared" ref="D48:D56" si="3">(B48+C48)/2-18.3</f>
        <v>-18.3</v>
      </c>
      <c r="E48" s="117">
        <v>1</v>
      </c>
      <c r="F48" s="269"/>
      <c r="G48" s="269"/>
      <c r="H48" s="119">
        <f t="shared" ref="H48:H78" si="4">(F48+G48)/2-18.3</f>
        <v>-18.3</v>
      </c>
      <c r="I48" s="117">
        <v>1</v>
      </c>
      <c r="J48" s="269"/>
      <c r="K48" s="269"/>
      <c r="L48" s="119">
        <f>(J48+K48)/2-18.3</f>
        <v>-18.3</v>
      </c>
      <c r="M48" s="117">
        <v>1</v>
      </c>
      <c r="N48" s="269"/>
      <c r="O48" s="269"/>
      <c r="P48" s="119">
        <f>(N48+O48)/2-18.3</f>
        <v>-18.3</v>
      </c>
      <c r="Q48" s="117">
        <v>1</v>
      </c>
      <c r="R48" s="269"/>
      <c r="S48" s="269"/>
      <c r="T48" s="119">
        <f>(R48+S48)/2-18.3</f>
        <v>-18.3</v>
      </c>
      <c r="U48" s="117">
        <v>1</v>
      </c>
      <c r="V48" s="269"/>
      <c r="W48" s="269"/>
      <c r="X48" s="119">
        <f t="shared" ref="X48:X78" si="5">(V48+W48)/2-18.3</f>
        <v>-18.3</v>
      </c>
    </row>
    <row r="49" spans="1:24">
      <c r="A49" s="117">
        <v>2</v>
      </c>
      <c r="B49" s="269">
        <f>'General information '!B7</f>
        <v>0</v>
      </c>
      <c r="C49" s="269">
        <f>'General information '!C7</f>
        <v>0</v>
      </c>
      <c r="D49" s="119">
        <f t="shared" si="3"/>
        <v>-18.3</v>
      </c>
      <c r="E49" s="117">
        <v>2</v>
      </c>
      <c r="F49" s="269"/>
      <c r="G49" s="269"/>
      <c r="H49" s="119">
        <f t="shared" si="4"/>
        <v>-18.3</v>
      </c>
      <c r="I49" s="117">
        <v>2</v>
      </c>
      <c r="J49" s="269"/>
      <c r="K49" s="269"/>
      <c r="L49" s="119">
        <f t="shared" ref="L49:L77" si="6">(J49+K49)/2-18.3</f>
        <v>-18.3</v>
      </c>
      <c r="M49" s="117">
        <v>2</v>
      </c>
      <c r="N49" s="269"/>
      <c r="O49" s="269"/>
      <c r="P49" s="119">
        <f t="shared" ref="P49:P78" si="7">(N49+O49)/2-18.3</f>
        <v>-18.3</v>
      </c>
      <c r="Q49" s="117">
        <v>2</v>
      </c>
      <c r="R49" s="269"/>
      <c r="S49" s="269"/>
      <c r="T49" s="119">
        <f t="shared" ref="T49:T77" si="8">(R49+S49)/2-18.3</f>
        <v>-18.3</v>
      </c>
      <c r="U49" s="117">
        <v>2</v>
      </c>
      <c r="V49" s="269"/>
      <c r="W49" s="269"/>
      <c r="X49" s="119">
        <f t="shared" si="5"/>
        <v>-18.3</v>
      </c>
    </row>
    <row r="50" spans="1:24">
      <c r="A50" s="117">
        <v>3</v>
      </c>
      <c r="B50" s="269">
        <f>'General information '!B8</f>
        <v>0</v>
      </c>
      <c r="C50" s="269">
        <f>'General information '!C8</f>
        <v>0</v>
      </c>
      <c r="D50" s="119">
        <f t="shared" si="3"/>
        <v>-18.3</v>
      </c>
      <c r="E50" s="117">
        <v>3</v>
      </c>
      <c r="F50" s="269"/>
      <c r="G50" s="269"/>
      <c r="H50" s="119">
        <f t="shared" si="4"/>
        <v>-18.3</v>
      </c>
      <c r="I50" s="117">
        <v>3</v>
      </c>
      <c r="J50" s="269"/>
      <c r="K50" s="269"/>
      <c r="L50" s="119">
        <f t="shared" si="6"/>
        <v>-18.3</v>
      </c>
      <c r="M50" s="117">
        <v>3</v>
      </c>
      <c r="N50" s="269"/>
      <c r="O50" s="269"/>
      <c r="P50" s="119">
        <f t="shared" si="7"/>
        <v>-18.3</v>
      </c>
      <c r="Q50" s="117">
        <v>3</v>
      </c>
      <c r="R50" s="269"/>
      <c r="S50" s="269"/>
      <c r="T50" s="119">
        <f t="shared" si="8"/>
        <v>-18.3</v>
      </c>
      <c r="U50" s="117">
        <v>3</v>
      </c>
      <c r="V50" s="269"/>
      <c r="W50" s="269"/>
      <c r="X50" s="119">
        <f t="shared" si="5"/>
        <v>-18.3</v>
      </c>
    </row>
    <row r="51" spans="1:24">
      <c r="A51" s="117">
        <v>4</v>
      </c>
      <c r="B51" s="269">
        <f>'General information '!B9</f>
        <v>0</v>
      </c>
      <c r="C51" s="269">
        <f>'General information '!C9</f>
        <v>0</v>
      </c>
      <c r="D51" s="119">
        <f t="shared" si="3"/>
        <v>-18.3</v>
      </c>
      <c r="E51" s="117">
        <v>4</v>
      </c>
      <c r="F51" s="269"/>
      <c r="G51" s="269"/>
      <c r="H51" s="119">
        <f t="shared" si="4"/>
        <v>-18.3</v>
      </c>
      <c r="I51" s="117">
        <v>4</v>
      </c>
      <c r="J51" s="269"/>
      <c r="K51" s="269"/>
      <c r="L51" s="119">
        <f t="shared" si="6"/>
        <v>-18.3</v>
      </c>
      <c r="M51" s="117">
        <v>4</v>
      </c>
      <c r="N51" s="269"/>
      <c r="O51" s="269"/>
      <c r="P51" s="119">
        <f t="shared" si="7"/>
        <v>-18.3</v>
      </c>
      <c r="Q51" s="117">
        <v>4</v>
      </c>
      <c r="R51" s="269"/>
      <c r="S51" s="269"/>
      <c r="T51" s="119">
        <f t="shared" si="8"/>
        <v>-18.3</v>
      </c>
      <c r="U51" s="117">
        <v>4</v>
      </c>
      <c r="V51" s="269"/>
      <c r="W51" s="269"/>
      <c r="X51" s="119">
        <f t="shared" si="5"/>
        <v>-18.3</v>
      </c>
    </row>
    <row r="52" spans="1:24">
      <c r="A52" s="117">
        <v>5</v>
      </c>
      <c r="B52" s="269">
        <f>'General information '!B10</f>
        <v>30</v>
      </c>
      <c r="C52" s="269">
        <f>'General information '!C10</f>
        <v>27</v>
      </c>
      <c r="D52" s="119">
        <f t="shared" si="3"/>
        <v>10.199999999999999</v>
      </c>
      <c r="E52" s="117">
        <v>5</v>
      </c>
      <c r="F52" s="269"/>
      <c r="G52" s="269"/>
      <c r="H52" s="119">
        <f t="shared" si="4"/>
        <v>-18.3</v>
      </c>
      <c r="I52" s="117">
        <v>5</v>
      </c>
      <c r="J52" s="269"/>
      <c r="K52" s="269"/>
      <c r="L52" s="119">
        <f t="shared" si="6"/>
        <v>-18.3</v>
      </c>
      <c r="M52" s="117">
        <v>5</v>
      </c>
      <c r="N52" s="269"/>
      <c r="O52" s="269"/>
      <c r="P52" s="119">
        <f t="shared" si="7"/>
        <v>-18.3</v>
      </c>
      <c r="Q52" s="117">
        <v>5</v>
      </c>
      <c r="R52" s="269"/>
      <c r="S52" s="269"/>
      <c r="T52" s="119">
        <f t="shared" si="8"/>
        <v>-18.3</v>
      </c>
      <c r="U52" s="117">
        <v>5</v>
      </c>
      <c r="V52" s="269"/>
      <c r="W52" s="269"/>
      <c r="X52" s="119">
        <f t="shared" si="5"/>
        <v>-18.3</v>
      </c>
    </row>
    <row r="53" spans="1:24">
      <c r="A53" s="117">
        <v>6</v>
      </c>
      <c r="B53" s="269">
        <f>'General information '!B11</f>
        <v>30</v>
      </c>
      <c r="C53" s="269">
        <f>'General information '!C11</f>
        <v>27</v>
      </c>
      <c r="D53" s="119">
        <f t="shared" si="3"/>
        <v>10.199999999999999</v>
      </c>
      <c r="E53" s="117">
        <v>6</v>
      </c>
      <c r="F53" s="269"/>
      <c r="G53" s="269"/>
      <c r="H53" s="119">
        <f t="shared" si="4"/>
        <v>-18.3</v>
      </c>
      <c r="I53" s="117">
        <v>6</v>
      </c>
      <c r="J53" s="269"/>
      <c r="K53" s="269"/>
      <c r="L53" s="119">
        <f t="shared" si="6"/>
        <v>-18.3</v>
      </c>
      <c r="M53" s="117">
        <v>6</v>
      </c>
      <c r="N53" s="269"/>
      <c r="O53" s="269"/>
      <c r="P53" s="119">
        <f t="shared" si="7"/>
        <v>-18.3</v>
      </c>
      <c r="Q53" s="117">
        <v>6</v>
      </c>
      <c r="R53" s="269"/>
      <c r="S53" s="269"/>
      <c r="T53" s="119">
        <f t="shared" si="8"/>
        <v>-18.3</v>
      </c>
      <c r="U53" s="117">
        <v>6</v>
      </c>
      <c r="V53" s="269"/>
      <c r="W53" s="269"/>
      <c r="X53" s="119">
        <f t="shared" si="5"/>
        <v>-18.3</v>
      </c>
    </row>
    <row r="54" spans="1:24">
      <c r="A54" s="117">
        <v>7</v>
      </c>
      <c r="B54" s="269">
        <f>'General information '!B12</f>
        <v>30</v>
      </c>
      <c r="C54" s="269">
        <f>'General information '!C12</f>
        <v>24</v>
      </c>
      <c r="D54" s="119">
        <f t="shared" si="3"/>
        <v>8.6999999999999993</v>
      </c>
      <c r="E54" s="117">
        <v>7</v>
      </c>
      <c r="F54" s="269"/>
      <c r="G54" s="269"/>
      <c r="H54" s="119">
        <f t="shared" si="4"/>
        <v>-18.3</v>
      </c>
      <c r="I54" s="117">
        <v>7</v>
      </c>
      <c r="J54" s="269"/>
      <c r="K54" s="269"/>
      <c r="L54" s="119">
        <f t="shared" si="6"/>
        <v>-18.3</v>
      </c>
      <c r="M54" s="117">
        <v>7</v>
      </c>
      <c r="N54" s="269"/>
      <c r="O54" s="269"/>
      <c r="P54" s="119">
        <f t="shared" si="7"/>
        <v>-18.3</v>
      </c>
      <c r="Q54" s="117">
        <v>7</v>
      </c>
      <c r="R54" s="269"/>
      <c r="S54" s="269"/>
      <c r="T54" s="119">
        <f t="shared" si="8"/>
        <v>-18.3</v>
      </c>
      <c r="U54" s="117">
        <v>7</v>
      </c>
      <c r="V54" s="269"/>
      <c r="W54" s="269"/>
      <c r="X54" s="119">
        <f t="shared" si="5"/>
        <v>-18.3</v>
      </c>
    </row>
    <row r="55" spans="1:24">
      <c r="A55" s="117">
        <v>8</v>
      </c>
      <c r="B55" s="269">
        <f>'General information '!B13</f>
        <v>0</v>
      </c>
      <c r="C55" s="269">
        <f>'General information '!C13</f>
        <v>0</v>
      </c>
      <c r="D55" s="119">
        <f t="shared" si="3"/>
        <v>-18.3</v>
      </c>
      <c r="E55" s="117">
        <v>8</v>
      </c>
      <c r="F55" s="269"/>
      <c r="G55" s="269"/>
      <c r="H55" s="119">
        <f t="shared" si="4"/>
        <v>-18.3</v>
      </c>
      <c r="I55" s="117">
        <v>8</v>
      </c>
      <c r="J55" s="269"/>
      <c r="K55" s="269"/>
      <c r="L55" s="119">
        <f t="shared" si="6"/>
        <v>-18.3</v>
      </c>
      <c r="M55" s="117">
        <v>8</v>
      </c>
      <c r="N55" s="269"/>
      <c r="O55" s="269"/>
      <c r="P55" s="119">
        <f t="shared" si="7"/>
        <v>-18.3</v>
      </c>
      <c r="Q55" s="117">
        <v>8</v>
      </c>
      <c r="R55" s="269"/>
      <c r="S55" s="269"/>
      <c r="T55" s="119">
        <f t="shared" si="8"/>
        <v>-18.3</v>
      </c>
      <c r="U55" s="117">
        <v>8</v>
      </c>
      <c r="V55" s="269"/>
      <c r="W55" s="269"/>
      <c r="X55" s="119">
        <f t="shared" si="5"/>
        <v>-18.3</v>
      </c>
    </row>
    <row r="56" spans="1:24">
      <c r="A56" s="117">
        <v>9</v>
      </c>
      <c r="B56" s="269">
        <f>'General information '!B14</f>
        <v>0</v>
      </c>
      <c r="C56" s="269">
        <f>'General information '!C14</f>
        <v>0</v>
      </c>
      <c r="D56" s="119">
        <f t="shared" si="3"/>
        <v>-18.3</v>
      </c>
      <c r="E56" s="117">
        <v>9</v>
      </c>
      <c r="F56" s="269"/>
      <c r="G56" s="269"/>
      <c r="H56" s="119">
        <f t="shared" si="4"/>
        <v>-18.3</v>
      </c>
      <c r="I56" s="117">
        <v>9</v>
      </c>
      <c r="J56" s="269"/>
      <c r="K56" s="269"/>
      <c r="L56" s="119">
        <f t="shared" si="6"/>
        <v>-18.3</v>
      </c>
      <c r="M56" s="117">
        <v>9</v>
      </c>
      <c r="N56" s="269"/>
      <c r="O56" s="269"/>
      <c r="P56" s="119">
        <f t="shared" si="7"/>
        <v>-18.3</v>
      </c>
      <c r="Q56" s="117">
        <v>9</v>
      </c>
      <c r="R56" s="269"/>
      <c r="S56" s="269"/>
      <c r="T56" s="119">
        <f t="shared" si="8"/>
        <v>-18.3</v>
      </c>
      <c r="U56" s="117">
        <v>9</v>
      </c>
      <c r="V56" s="269"/>
      <c r="W56" s="269"/>
      <c r="X56" s="119">
        <f t="shared" si="5"/>
        <v>-18.3</v>
      </c>
    </row>
    <row r="57" spans="1:24">
      <c r="A57" s="117">
        <v>10</v>
      </c>
      <c r="B57" s="269">
        <f>'General information '!B15</f>
        <v>0</v>
      </c>
      <c r="C57" s="269">
        <f>'General information '!C15</f>
        <v>0</v>
      </c>
      <c r="D57" s="119">
        <f t="shared" ref="D57:D78" si="9">(B57+C57)/2-18.3</f>
        <v>-18.3</v>
      </c>
      <c r="E57" s="117">
        <v>10</v>
      </c>
      <c r="F57" s="269"/>
      <c r="G57" s="269"/>
      <c r="H57" s="119">
        <f t="shared" si="4"/>
        <v>-18.3</v>
      </c>
      <c r="I57" s="117">
        <v>10</v>
      </c>
      <c r="J57" s="269"/>
      <c r="K57" s="269"/>
      <c r="L57" s="119">
        <f t="shared" si="6"/>
        <v>-18.3</v>
      </c>
      <c r="M57" s="117">
        <v>10</v>
      </c>
      <c r="N57" s="269"/>
      <c r="O57" s="269"/>
      <c r="P57" s="119">
        <f t="shared" si="7"/>
        <v>-18.3</v>
      </c>
      <c r="Q57" s="117">
        <v>10</v>
      </c>
      <c r="R57" s="269"/>
      <c r="S57" s="269"/>
      <c r="T57" s="119">
        <f t="shared" si="8"/>
        <v>-18.3</v>
      </c>
      <c r="U57" s="117">
        <v>10</v>
      </c>
      <c r="V57" s="269"/>
      <c r="W57" s="269"/>
      <c r="X57" s="119">
        <f t="shared" si="5"/>
        <v>-18.3</v>
      </c>
    </row>
    <row r="58" spans="1:24">
      <c r="A58" s="117">
        <v>11</v>
      </c>
      <c r="B58" s="269">
        <f>'General information '!B16</f>
        <v>0</v>
      </c>
      <c r="C58" s="269">
        <f>'General information '!C16</f>
        <v>0</v>
      </c>
      <c r="D58" s="119">
        <f t="shared" si="9"/>
        <v>-18.3</v>
      </c>
      <c r="E58" s="117">
        <v>11</v>
      </c>
      <c r="F58" s="269"/>
      <c r="G58" s="269"/>
      <c r="H58" s="119">
        <f t="shared" si="4"/>
        <v>-18.3</v>
      </c>
      <c r="I58" s="117">
        <v>11</v>
      </c>
      <c r="J58" s="269"/>
      <c r="K58" s="269"/>
      <c r="L58" s="119">
        <f t="shared" si="6"/>
        <v>-18.3</v>
      </c>
      <c r="M58" s="117">
        <v>11</v>
      </c>
      <c r="N58" s="269"/>
      <c r="O58" s="269"/>
      <c r="P58" s="119">
        <f t="shared" si="7"/>
        <v>-18.3</v>
      </c>
      <c r="Q58" s="117">
        <v>11</v>
      </c>
      <c r="R58" s="269"/>
      <c r="S58" s="269"/>
      <c r="T58" s="119">
        <f t="shared" si="8"/>
        <v>-18.3</v>
      </c>
      <c r="U58" s="117">
        <v>11</v>
      </c>
      <c r="V58" s="269"/>
      <c r="W58" s="269"/>
      <c r="X58" s="119">
        <f t="shared" si="5"/>
        <v>-18.3</v>
      </c>
    </row>
    <row r="59" spans="1:24">
      <c r="A59" s="117">
        <v>12</v>
      </c>
      <c r="B59" s="269">
        <f>'General information '!B17</f>
        <v>0</v>
      </c>
      <c r="C59" s="269">
        <f>'General information '!C17</f>
        <v>0</v>
      </c>
      <c r="D59" s="119">
        <f t="shared" si="9"/>
        <v>-18.3</v>
      </c>
      <c r="E59" s="117">
        <v>12</v>
      </c>
      <c r="F59" s="269"/>
      <c r="G59" s="269"/>
      <c r="H59" s="119">
        <f t="shared" si="4"/>
        <v>-18.3</v>
      </c>
      <c r="I59" s="117">
        <v>12</v>
      </c>
      <c r="J59" s="269"/>
      <c r="K59" s="269"/>
      <c r="L59" s="119">
        <f t="shared" si="6"/>
        <v>-18.3</v>
      </c>
      <c r="M59" s="117">
        <v>12</v>
      </c>
      <c r="N59" s="269"/>
      <c r="O59" s="269"/>
      <c r="P59" s="119">
        <f t="shared" si="7"/>
        <v>-18.3</v>
      </c>
      <c r="Q59" s="117">
        <v>12</v>
      </c>
      <c r="R59" s="269"/>
      <c r="S59" s="269"/>
      <c r="T59" s="119">
        <f t="shared" si="8"/>
        <v>-18.3</v>
      </c>
      <c r="U59" s="117">
        <v>12</v>
      </c>
      <c r="V59" s="269"/>
      <c r="W59" s="269"/>
      <c r="X59" s="119">
        <f t="shared" si="5"/>
        <v>-18.3</v>
      </c>
    </row>
    <row r="60" spans="1:24">
      <c r="A60" s="117">
        <v>13</v>
      </c>
      <c r="B60" s="269">
        <f>'General information '!B18</f>
        <v>0</v>
      </c>
      <c r="C60" s="269">
        <f>'General information '!C18</f>
        <v>0</v>
      </c>
      <c r="D60" s="119">
        <f t="shared" si="9"/>
        <v>-18.3</v>
      </c>
      <c r="E60" s="117">
        <v>13</v>
      </c>
      <c r="F60" s="269"/>
      <c r="G60" s="269"/>
      <c r="H60" s="119">
        <f t="shared" si="4"/>
        <v>-18.3</v>
      </c>
      <c r="I60" s="117">
        <v>13</v>
      </c>
      <c r="J60" s="269"/>
      <c r="K60" s="269"/>
      <c r="L60" s="119">
        <f t="shared" si="6"/>
        <v>-18.3</v>
      </c>
      <c r="M60" s="117">
        <v>13</v>
      </c>
      <c r="N60" s="269"/>
      <c r="O60" s="269"/>
      <c r="P60" s="119">
        <f t="shared" si="7"/>
        <v>-18.3</v>
      </c>
      <c r="Q60" s="117">
        <v>13</v>
      </c>
      <c r="R60" s="269"/>
      <c r="S60" s="269"/>
      <c r="T60" s="119">
        <f t="shared" si="8"/>
        <v>-18.3</v>
      </c>
      <c r="U60" s="117">
        <v>13</v>
      </c>
      <c r="V60" s="269"/>
      <c r="W60" s="269"/>
      <c r="X60" s="119">
        <f t="shared" si="5"/>
        <v>-18.3</v>
      </c>
    </row>
    <row r="61" spans="1:24">
      <c r="A61" s="117">
        <v>14</v>
      </c>
      <c r="B61" s="269">
        <f>'General information '!B19</f>
        <v>0</v>
      </c>
      <c r="C61" s="269">
        <f>'General information '!C19</f>
        <v>0</v>
      </c>
      <c r="D61" s="119">
        <f t="shared" si="9"/>
        <v>-18.3</v>
      </c>
      <c r="E61" s="117">
        <v>14</v>
      </c>
      <c r="F61" s="269"/>
      <c r="G61" s="269"/>
      <c r="H61" s="119">
        <f t="shared" si="4"/>
        <v>-18.3</v>
      </c>
      <c r="I61" s="117">
        <v>14</v>
      </c>
      <c r="J61" s="269"/>
      <c r="K61" s="269"/>
      <c r="L61" s="119">
        <f t="shared" si="6"/>
        <v>-18.3</v>
      </c>
      <c r="M61" s="117">
        <v>14</v>
      </c>
      <c r="N61" s="269"/>
      <c r="O61" s="269"/>
      <c r="P61" s="119">
        <f t="shared" si="7"/>
        <v>-18.3</v>
      </c>
      <c r="Q61" s="117">
        <v>14</v>
      </c>
      <c r="R61" s="269"/>
      <c r="S61" s="269"/>
      <c r="T61" s="119">
        <f t="shared" si="8"/>
        <v>-18.3</v>
      </c>
      <c r="U61" s="117">
        <v>14</v>
      </c>
      <c r="V61" s="269"/>
      <c r="W61" s="269"/>
      <c r="X61" s="119">
        <f t="shared" si="5"/>
        <v>-18.3</v>
      </c>
    </row>
    <row r="62" spans="1:24">
      <c r="A62" s="117">
        <v>15</v>
      </c>
      <c r="B62" s="269">
        <f>'General information '!B20</f>
        <v>0</v>
      </c>
      <c r="C62" s="269">
        <f>'General information '!C20</f>
        <v>0</v>
      </c>
      <c r="D62" s="119">
        <f t="shared" si="9"/>
        <v>-18.3</v>
      </c>
      <c r="E62" s="117">
        <v>15</v>
      </c>
      <c r="F62" s="269"/>
      <c r="G62" s="269"/>
      <c r="H62" s="119">
        <f t="shared" si="4"/>
        <v>-18.3</v>
      </c>
      <c r="I62" s="117">
        <v>15</v>
      </c>
      <c r="J62" s="269"/>
      <c r="K62" s="269"/>
      <c r="L62" s="119">
        <f t="shared" si="6"/>
        <v>-18.3</v>
      </c>
      <c r="M62" s="117">
        <v>15</v>
      </c>
      <c r="N62" s="269"/>
      <c r="O62" s="269"/>
      <c r="P62" s="119">
        <f t="shared" si="7"/>
        <v>-18.3</v>
      </c>
      <c r="Q62" s="117">
        <v>15</v>
      </c>
      <c r="R62" s="269"/>
      <c r="S62" s="269"/>
      <c r="T62" s="119">
        <f t="shared" si="8"/>
        <v>-18.3</v>
      </c>
      <c r="U62" s="117">
        <v>15</v>
      </c>
      <c r="V62" s="269"/>
      <c r="W62" s="269"/>
      <c r="X62" s="119">
        <f t="shared" si="5"/>
        <v>-18.3</v>
      </c>
    </row>
    <row r="63" spans="1:24">
      <c r="A63" s="117">
        <v>16</v>
      </c>
      <c r="B63" s="269">
        <f>'General information '!B21</f>
        <v>0</v>
      </c>
      <c r="C63" s="269">
        <f>'General information '!C21</f>
        <v>0</v>
      </c>
      <c r="D63" s="119">
        <f t="shared" si="9"/>
        <v>-18.3</v>
      </c>
      <c r="E63" s="117">
        <v>16</v>
      </c>
      <c r="F63" s="269"/>
      <c r="G63" s="269"/>
      <c r="H63" s="119">
        <f t="shared" si="4"/>
        <v>-18.3</v>
      </c>
      <c r="I63" s="117">
        <v>16</v>
      </c>
      <c r="J63" s="269"/>
      <c r="K63" s="269"/>
      <c r="L63" s="119">
        <f t="shared" si="6"/>
        <v>-18.3</v>
      </c>
      <c r="M63" s="117">
        <v>16</v>
      </c>
      <c r="N63" s="269"/>
      <c r="O63" s="269"/>
      <c r="P63" s="119">
        <f t="shared" si="7"/>
        <v>-18.3</v>
      </c>
      <c r="Q63" s="117">
        <v>16</v>
      </c>
      <c r="R63" s="269"/>
      <c r="S63" s="269"/>
      <c r="T63" s="119">
        <f t="shared" si="8"/>
        <v>-18.3</v>
      </c>
      <c r="U63" s="117">
        <v>16</v>
      </c>
      <c r="V63" s="269"/>
      <c r="W63" s="269"/>
      <c r="X63" s="119">
        <f t="shared" si="5"/>
        <v>-18.3</v>
      </c>
    </row>
    <row r="64" spans="1:24">
      <c r="A64" s="117">
        <v>17</v>
      </c>
      <c r="B64" s="269">
        <f>'General information '!B22</f>
        <v>0</v>
      </c>
      <c r="C64" s="269">
        <f>'General information '!C22</f>
        <v>0</v>
      </c>
      <c r="D64" s="119">
        <f t="shared" si="9"/>
        <v>-18.3</v>
      </c>
      <c r="E64" s="117">
        <v>17</v>
      </c>
      <c r="F64" s="269"/>
      <c r="G64" s="269"/>
      <c r="H64" s="119">
        <f t="shared" si="4"/>
        <v>-18.3</v>
      </c>
      <c r="I64" s="117">
        <v>17</v>
      </c>
      <c r="J64" s="269"/>
      <c r="K64" s="269"/>
      <c r="L64" s="119">
        <f t="shared" si="6"/>
        <v>-18.3</v>
      </c>
      <c r="M64" s="117">
        <v>17</v>
      </c>
      <c r="N64" s="269"/>
      <c r="O64" s="269"/>
      <c r="P64" s="119">
        <f t="shared" si="7"/>
        <v>-18.3</v>
      </c>
      <c r="Q64" s="117">
        <v>17</v>
      </c>
      <c r="R64" s="269"/>
      <c r="S64" s="269"/>
      <c r="T64" s="119">
        <f t="shared" si="8"/>
        <v>-18.3</v>
      </c>
      <c r="U64" s="117">
        <v>17</v>
      </c>
      <c r="V64" s="269"/>
      <c r="W64" s="269"/>
      <c r="X64" s="119">
        <f t="shared" si="5"/>
        <v>-18.3</v>
      </c>
    </row>
    <row r="65" spans="1:24">
      <c r="A65" s="117">
        <v>18</v>
      </c>
      <c r="B65" s="269">
        <f>'General information '!B23</f>
        <v>0</v>
      </c>
      <c r="C65" s="269">
        <f>'General information '!C23</f>
        <v>0</v>
      </c>
      <c r="D65" s="119">
        <f t="shared" si="9"/>
        <v>-18.3</v>
      </c>
      <c r="E65" s="117">
        <v>18</v>
      </c>
      <c r="F65" s="269"/>
      <c r="G65" s="269"/>
      <c r="H65" s="119">
        <f t="shared" si="4"/>
        <v>-18.3</v>
      </c>
      <c r="I65" s="117">
        <v>18</v>
      </c>
      <c r="J65" s="269"/>
      <c r="K65" s="269"/>
      <c r="L65" s="119">
        <f t="shared" si="6"/>
        <v>-18.3</v>
      </c>
      <c r="M65" s="117">
        <v>18</v>
      </c>
      <c r="N65" s="269"/>
      <c r="O65" s="269"/>
      <c r="P65" s="119">
        <f t="shared" si="7"/>
        <v>-18.3</v>
      </c>
      <c r="Q65" s="117">
        <v>18</v>
      </c>
      <c r="R65" s="269"/>
      <c r="S65" s="269"/>
      <c r="T65" s="119">
        <f t="shared" si="8"/>
        <v>-18.3</v>
      </c>
      <c r="U65" s="117">
        <v>18</v>
      </c>
      <c r="V65" s="269"/>
      <c r="W65" s="269"/>
      <c r="X65" s="119">
        <f t="shared" si="5"/>
        <v>-18.3</v>
      </c>
    </row>
    <row r="66" spans="1:24">
      <c r="A66" s="117">
        <v>19</v>
      </c>
      <c r="B66" s="269">
        <f>'General information '!B24</f>
        <v>0</v>
      </c>
      <c r="C66" s="269">
        <f>'General information '!C24</f>
        <v>0</v>
      </c>
      <c r="D66" s="119">
        <f t="shared" si="9"/>
        <v>-18.3</v>
      </c>
      <c r="E66" s="117">
        <v>19</v>
      </c>
      <c r="F66" s="269"/>
      <c r="G66" s="269"/>
      <c r="H66" s="119">
        <f t="shared" si="4"/>
        <v>-18.3</v>
      </c>
      <c r="I66" s="117">
        <v>19</v>
      </c>
      <c r="J66" s="269"/>
      <c r="K66" s="269"/>
      <c r="L66" s="119">
        <f t="shared" si="6"/>
        <v>-18.3</v>
      </c>
      <c r="M66" s="117">
        <v>19</v>
      </c>
      <c r="N66" s="269"/>
      <c r="O66" s="269"/>
      <c r="P66" s="119">
        <f t="shared" si="7"/>
        <v>-18.3</v>
      </c>
      <c r="Q66" s="117">
        <v>19</v>
      </c>
      <c r="R66" s="269"/>
      <c r="S66" s="269"/>
      <c r="T66" s="119">
        <f t="shared" si="8"/>
        <v>-18.3</v>
      </c>
      <c r="U66" s="117">
        <v>19</v>
      </c>
      <c r="V66" s="269"/>
      <c r="W66" s="269"/>
      <c r="X66" s="119">
        <f t="shared" si="5"/>
        <v>-18.3</v>
      </c>
    </row>
    <row r="67" spans="1:24">
      <c r="A67" s="117">
        <v>20</v>
      </c>
      <c r="B67" s="269">
        <f>'General information '!B25</f>
        <v>0</v>
      </c>
      <c r="C67" s="269">
        <f>'General information '!C25</f>
        <v>0</v>
      </c>
      <c r="D67" s="119">
        <f t="shared" si="9"/>
        <v>-18.3</v>
      </c>
      <c r="E67" s="117">
        <v>20</v>
      </c>
      <c r="F67" s="269"/>
      <c r="G67" s="269"/>
      <c r="H67" s="119">
        <f t="shared" si="4"/>
        <v>-18.3</v>
      </c>
      <c r="I67" s="117">
        <v>20</v>
      </c>
      <c r="J67" s="269"/>
      <c r="K67" s="269"/>
      <c r="L67" s="119">
        <f t="shared" si="6"/>
        <v>-18.3</v>
      </c>
      <c r="M67" s="117">
        <v>20</v>
      </c>
      <c r="N67" s="269"/>
      <c r="O67" s="269"/>
      <c r="P67" s="119">
        <f t="shared" si="7"/>
        <v>-18.3</v>
      </c>
      <c r="Q67" s="117">
        <v>20</v>
      </c>
      <c r="R67" s="269"/>
      <c r="S67" s="269"/>
      <c r="T67" s="119">
        <f t="shared" si="8"/>
        <v>-18.3</v>
      </c>
      <c r="U67" s="117">
        <v>20</v>
      </c>
      <c r="V67" s="269"/>
      <c r="W67" s="269"/>
      <c r="X67" s="119">
        <f t="shared" si="5"/>
        <v>-18.3</v>
      </c>
    </row>
    <row r="68" spans="1:24">
      <c r="A68" s="117">
        <v>21</v>
      </c>
      <c r="B68" s="269">
        <f>'General information '!B26</f>
        <v>0</v>
      </c>
      <c r="C68" s="269">
        <f>'General information '!C26</f>
        <v>0</v>
      </c>
      <c r="D68" s="119">
        <f t="shared" si="9"/>
        <v>-18.3</v>
      </c>
      <c r="E68" s="117">
        <v>21</v>
      </c>
      <c r="F68" s="269"/>
      <c r="G68" s="269"/>
      <c r="H68" s="119">
        <f t="shared" si="4"/>
        <v>-18.3</v>
      </c>
      <c r="I68" s="117">
        <v>21</v>
      </c>
      <c r="J68" s="269"/>
      <c r="K68" s="269"/>
      <c r="L68" s="119">
        <f t="shared" si="6"/>
        <v>-18.3</v>
      </c>
      <c r="M68" s="117">
        <v>21</v>
      </c>
      <c r="N68" s="269"/>
      <c r="O68" s="269"/>
      <c r="P68" s="119">
        <f t="shared" si="7"/>
        <v>-18.3</v>
      </c>
      <c r="Q68" s="117">
        <v>21</v>
      </c>
      <c r="R68" s="269"/>
      <c r="S68" s="269"/>
      <c r="T68" s="119">
        <f t="shared" si="8"/>
        <v>-18.3</v>
      </c>
      <c r="U68" s="117">
        <v>21</v>
      </c>
      <c r="V68" s="269"/>
      <c r="W68" s="269"/>
      <c r="X68" s="119">
        <f t="shared" si="5"/>
        <v>-18.3</v>
      </c>
    </row>
    <row r="69" spans="1:24">
      <c r="A69" s="117">
        <v>22</v>
      </c>
      <c r="B69" s="269">
        <f>'General information '!B27</f>
        <v>0</v>
      </c>
      <c r="C69" s="269">
        <f>'General information '!C27</f>
        <v>0</v>
      </c>
      <c r="D69" s="119">
        <f t="shared" si="9"/>
        <v>-18.3</v>
      </c>
      <c r="E69" s="117">
        <v>22</v>
      </c>
      <c r="F69" s="269"/>
      <c r="G69" s="269"/>
      <c r="H69" s="119">
        <f t="shared" si="4"/>
        <v>-18.3</v>
      </c>
      <c r="I69" s="117">
        <v>22</v>
      </c>
      <c r="J69" s="269"/>
      <c r="K69" s="269"/>
      <c r="L69" s="119">
        <f t="shared" si="6"/>
        <v>-18.3</v>
      </c>
      <c r="M69" s="117">
        <v>22</v>
      </c>
      <c r="N69" s="269"/>
      <c r="O69" s="269"/>
      <c r="P69" s="119">
        <f t="shared" si="7"/>
        <v>-18.3</v>
      </c>
      <c r="Q69" s="117">
        <v>22</v>
      </c>
      <c r="R69" s="269"/>
      <c r="S69" s="269"/>
      <c r="T69" s="119">
        <f>(R69+S69)/2-18.3</f>
        <v>-18.3</v>
      </c>
      <c r="U69" s="117">
        <v>22</v>
      </c>
      <c r="V69" s="269"/>
      <c r="W69" s="269"/>
      <c r="X69" s="119">
        <f t="shared" si="5"/>
        <v>-18.3</v>
      </c>
    </row>
    <row r="70" spans="1:24">
      <c r="A70" s="117">
        <v>23</v>
      </c>
      <c r="B70" s="269">
        <f>'General information '!B28</f>
        <v>0</v>
      </c>
      <c r="C70" s="269">
        <f>'General information '!C28</f>
        <v>0</v>
      </c>
      <c r="D70" s="119">
        <f t="shared" si="9"/>
        <v>-18.3</v>
      </c>
      <c r="E70" s="117">
        <v>23</v>
      </c>
      <c r="F70" s="269"/>
      <c r="G70" s="269"/>
      <c r="H70" s="119">
        <f t="shared" si="4"/>
        <v>-18.3</v>
      </c>
      <c r="I70" s="117">
        <v>23</v>
      </c>
      <c r="J70" s="269"/>
      <c r="K70" s="269"/>
      <c r="L70" s="119">
        <f t="shared" si="6"/>
        <v>-18.3</v>
      </c>
      <c r="M70" s="117">
        <v>23</v>
      </c>
      <c r="N70" s="269"/>
      <c r="O70" s="269"/>
      <c r="P70" s="119">
        <f t="shared" si="7"/>
        <v>-18.3</v>
      </c>
      <c r="Q70" s="117">
        <v>23</v>
      </c>
      <c r="R70" s="269"/>
      <c r="S70" s="269"/>
      <c r="T70" s="119">
        <f t="shared" si="8"/>
        <v>-18.3</v>
      </c>
      <c r="U70" s="117">
        <v>23</v>
      </c>
      <c r="V70" s="269"/>
      <c r="W70" s="269"/>
      <c r="X70" s="119">
        <f t="shared" si="5"/>
        <v>-18.3</v>
      </c>
    </row>
    <row r="71" spans="1:24">
      <c r="A71" s="117">
        <v>24</v>
      </c>
      <c r="B71" s="269">
        <f>'General information '!B29</f>
        <v>0</v>
      </c>
      <c r="C71" s="269">
        <f>'General information '!C29</f>
        <v>0</v>
      </c>
      <c r="D71" s="119">
        <f t="shared" si="9"/>
        <v>-18.3</v>
      </c>
      <c r="E71" s="117">
        <v>24</v>
      </c>
      <c r="F71" s="269"/>
      <c r="G71" s="269"/>
      <c r="H71" s="119">
        <f t="shared" si="4"/>
        <v>-18.3</v>
      </c>
      <c r="I71" s="117">
        <v>24</v>
      </c>
      <c r="J71" s="269"/>
      <c r="K71" s="269"/>
      <c r="L71" s="119">
        <f t="shared" si="6"/>
        <v>-18.3</v>
      </c>
      <c r="M71" s="117">
        <v>24</v>
      </c>
      <c r="N71" s="269"/>
      <c r="O71" s="269"/>
      <c r="P71" s="119">
        <f t="shared" si="7"/>
        <v>-18.3</v>
      </c>
      <c r="Q71" s="117">
        <v>24</v>
      </c>
      <c r="R71" s="269"/>
      <c r="S71" s="269"/>
      <c r="T71" s="119">
        <f t="shared" si="8"/>
        <v>-18.3</v>
      </c>
      <c r="U71" s="117">
        <v>24</v>
      </c>
      <c r="V71" s="269"/>
      <c r="W71" s="269"/>
      <c r="X71" s="119">
        <f t="shared" si="5"/>
        <v>-18.3</v>
      </c>
    </row>
    <row r="72" spans="1:24">
      <c r="A72" s="117">
        <v>25</v>
      </c>
      <c r="B72" s="269">
        <f>'General information '!B30</f>
        <v>0</v>
      </c>
      <c r="C72" s="269">
        <f>'General information '!C30</f>
        <v>0</v>
      </c>
      <c r="D72" s="119">
        <f t="shared" si="9"/>
        <v>-18.3</v>
      </c>
      <c r="E72" s="117">
        <v>25</v>
      </c>
      <c r="F72" s="269"/>
      <c r="G72" s="269"/>
      <c r="H72" s="119">
        <f t="shared" si="4"/>
        <v>-18.3</v>
      </c>
      <c r="I72" s="117">
        <v>25</v>
      </c>
      <c r="J72" s="269"/>
      <c r="K72" s="269"/>
      <c r="L72" s="119">
        <f t="shared" si="6"/>
        <v>-18.3</v>
      </c>
      <c r="M72" s="117">
        <v>25</v>
      </c>
      <c r="N72" s="269"/>
      <c r="O72" s="269"/>
      <c r="P72" s="119">
        <f t="shared" si="7"/>
        <v>-18.3</v>
      </c>
      <c r="Q72" s="117">
        <v>25</v>
      </c>
      <c r="R72" s="269"/>
      <c r="S72" s="269"/>
      <c r="T72" s="119">
        <f t="shared" si="8"/>
        <v>-18.3</v>
      </c>
      <c r="U72" s="117">
        <v>25</v>
      </c>
      <c r="V72" s="269"/>
      <c r="W72" s="269"/>
      <c r="X72" s="119">
        <f t="shared" si="5"/>
        <v>-18.3</v>
      </c>
    </row>
    <row r="73" spans="1:24">
      <c r="A73" s="117">
        <v>26</v>
      </c>
      <c r="B73" s="269">
        <f>'General information '!B31</f>
        <v>0</v>
      </c>
      <c r="C73" s="269">
        <f>'General information '!C31</f>
        <v>0</v>
      </c>
      <c r="D73" s="119">
        <f t="shared" si="9"/>
        <v>-18.3</v>
      </c>
      <c r="E73" s="117">
        <v>26</v>
      </c>
      <c r="F73" s="269"/>
      <c r="G73" s="269"/>
      <c r="H73" s="119">
        <f t="shared" si="4"/>
        <v>-18.3</v>
      </c>
      <c r="I73" s="117">
        <v>26</v>
      </c>
      <c r="J73" s="269"/>
      <c r="K73" s="269"/>
      <c r="L73" s="119">
        <f t="shared" si="6"/>
        <v>-18.3</v>
      </c>
      <c r="M73" s="117">
        <v>26</v>
      </c>
      <c r="N73" s="269"/>
      <c r="O73" s="269"/>
      <c r="P73" s="119">
        <f t="shared" si="7"/>
        <v>-18.3</v>
      </c>
      <c r="Q73" s="117">
        <v>26</v>
      </c>
      <c r="R73" s="269"/>
      <c r="S73" s="269"/>
      <c r="T73" s="119">
        <f t="shared" si="8"/>
        <v>-18.3</v>
      </c>
      <c r="U73" s="117">
        <v>26</v>
      </c>
      <c r="V73" s="269"/>
      <c r="W73" s="269"/>
      <c r="X73" s="119">
        <f t="shared" si="5"/>
        <v>-18.3</v>
      </c>
    </row>
    <row r="74" spans="1:24">
      <c r="A74" s="117">
        <v>27</v>
      </c>
      <c r="B74" s="269">
        <f>'General information '!B32</f>
        <v>0</v>
      </c>
      <c r="C74" s="269">
        <f>'General information '!C32</f>
        <v>0</v>
      </c>
      <c r="D74" s="119">
        <f t="shared" si="9"/>
        <v>-18.3</v>
      </c>
      <c r="E74" s="117">
        <v>27</v>
      </c>
      <c r="F74" s="269"/>
      <c r="G74" s="269"/>
      <c r="H74" s="119">
        <f t="shared" si="4"/>
        <v>-18.3</v>
      </c>
      <c r="I74" s="117">
        <v>27</v>
      </c>
      <c r="J74" s="269"/>
      <c r="K74" s="269"/>
      <c r="L74" s="119">
        <f t="shared" si="6"/>
        <v>-18.3</v>
      </c>
      <c r="M74" s="117">
        <v>27</v>
      </c>
      <c r="N74" s="269"/>
      <c r="O74" s="269"/>
      <c r="P74" s="119">
        <f t="shared" si="7"/>
        <v>-18.3</v>
      </c>
      <c r="Q74" s="117">
        <v>27</v>
      </c>
      <c r="R74" s="269"/>
      <c r="S74" s="269"/>
      <c r="T74" s="119">
        <f t="shared" si="8"/>
        <v>-18.3</v>
      </c>
      <c r="U74" s="117">
        <v>27</v>
      </c>
      <c r="V74" s="269"/>
      <c r="W74" s="269"/>
      <c r="X74" s="119">
        <f t="shared" si="5"/>
        <v>-18.3</v>
      </c>
    </row>
    <row r="75" spans="1:24">
      <c r="A75" s="117">
        <v>28</v>
      </c>
      <c r="B75" s="269">
        <f>'General information '!B33</f>
        <v>0</v>
      </c>
      <c r="C75" s="269">
        <f>'General information '!C33</f>
        <v>0</v>
      </c>
      <c r="D75" s="119">
        <f t="shared" si="9"/>
        <v>-18.3</v>
      </c>
      <c r="E75" s="117">
        <v>28</v>
      </c>
      <c r="F75" s="269"/>
      <c r="G75" s="269"/>
      <c r="H75" s="119">
        <f t="shared" si="4"/>
        <v>-18.3</v>
      </c>
      <c r="I75" s="117">
        <v>28</v>
      </c>
      <c r="J75" s="269"/>
      <c r="K75" s="269"/>
      <c r="L75" s="119">
        <f t="shared" si="6"/>
        <v>-18.3</v>
      </c>
      <c r="M75" s="117">
        <v>28</v>
      </c>
      <c r="N75" s="269"/>
      <c r="O75" s="269"/>
      <c r="P75" s="119">
        <f t="shared" si="7"/>
        <v>-18.3</v>
      </c>
      <c r="Q75" s="117">
        <v>28</v>
      </c>
      <c r="R75" s="269"/>
      <c r="S75" s="269"/>
      <c r="T75" s="119">
        <f t="shared" si="8"/>
        <v>-18.3</v>
      </c>
      <c r="U75" s="117">
        <v>28</v>
      </c>
      <c r="V75" s="269"/>
      <c r="W75" s="269"/>
      <c r="X75" s="119">
        <f t="shared" si="5"/>
        <v>-18.3</v>
      </c>
    </row>
    <row r="76" spans="1:24">
      <c r="A76" s="117">
        <v>29</v>
      </c>
      <c r="B76" s="269">
        <f>'General information '!B34</f>
        <v>0</v>
      </c>
      <c r="C76" s="269">
        <f>'General information '!C34</f>
        <v>0</v>
      </c>
      <c r="D76" s="119">
        <f t="shared" si="9"/>
        <v>-18.3</v>
      </c>
      <c r="E76" s="117">
        <v>29</v>
      </c>
      <c r="F76" s="269"/>
      <c r="G76" s="269"/>
      <c r="H76" s="119">
        <f t="shared" si="4"/>
        <v>-18.3</v>
      </c>
      <c r="I76" s="117">
        <v>29</v>
      </c>
      <c r="J76" s="269"/>
      <c r="K76" s="269"/>
      <c r="L76" s="119">
        <f t="shared" si="6"/>
        <v>-18.3</v>
      </c>
      <c r="M76" s="117">
        <v>29</v>
      </c>
      <c r="N76" s="269"/>
      <c r="O76" s="269"/>
      <c r="P76" s="119">
        <f t="shared" si="7"/>
        <v>-18.3</v>
      </c>
      <c r="Q76" s="117">
        <v>29</v>
      </c>
      <c r="R76" s="269"/>
      <c r="S76" s="269"/>
      <c r="T76" s="119">
        <f t="shared" si="8"/>
        <v>-18.3</v>
      </c>
      <c r="U76" s="117">
        <v>29</v>
      </c>
      <c r="V76" s="269"/>
      <c r="W76" s="269"/>
      <c r="X76" s="119">
        <f t="shared" si="5"/>
        <v>-18.3</v>
      </c>
    </row>
    <row r="77" spans="1:24">
      <c r="A77" s="117">
        <v>30</v>
      </c>
      <c r="B77" s="269">
        <f>'General information '!B35</f>
        <v>0</v>
      </c>
      <c r="C77" s="269">
        <f>'General information '!C35</f>
        <v>0</v>
      </c>
      <c r="D77" s="119">
        <f t="shared" si="9"/>
        <v>-18.3</v>
      </c>
      <c r="E77" s="117">
        <v>30</v>
      </c>
      <c r="F77" s="269"/>
      <c r="G77" s="269"/>
      <c r="H77" s="119">
        <f t="shared" si="4"/>
        <v>-18.3</v>
      </c>
      <c r="I77" s="117">
        <v>30</v>
      </c>
      <c r="J77" s="269"/>
      <c r="K77" s="269"/>
      <c r="L77" s="119">
        <f t="shared" si="6"/>
        <v>-18.3</v>
      </c>
      <c r="M77" s="117">
        <v>30</v>
      </c>
      <c r="N77" s="269"/>
      <c r="O77" s="269"/>
      <c r="P77" s="119">
        <f t="shared" si="7"/>
        <v>-18.3</v>
      </c>
      <c r="Q77" s="117">
        <v>30</v>
      </c>
      <c r="R77" s="269"/>
      <c r="S77" s="269"/>
      <c r="T77" s="119">
        <f t="shared" si="8"/>
        <v>-18.3</v>
      </c>
      <c r="U77" s="117">
        <v>30</v>
      </c>
      <c r="V77" s="269"/>
      <c r="W77" s="269"/>
      <c r="X77" s="119">
        <f t="shared" si="5"/>
        <v>-18.3</v>
      </c>
    </row>
    <row r="78" spans="1:24">
      <c r="A78" s="120">
        <v>31</v>
      </c>
      <c r="B78" s="269">
        <f>'General information '!B36</f>
        <v>0</v>
      </c>
      <c r="C78" s="269">
        <f>'General information '!C36</f>
        <v>0</v>
      </c>
      <c r="D78" s="119">
        <f t="shared" si="9"/>
        <v>-18.3</v>
      </c>
      <c r="E78" s="120">
        <v>31</v>
      </c>
      <c r="F78" s="269"/>
      <c r="G78" s="269"/>
      <c r="H78" s="119">
        <f t="shared" si="4"/>
        <v>-18.3</v>
      </c>
      <c r="I78" s="120"/>
      <c r="J78" s="269"/>
      <c r="K78" s="269"/>
      <c r="L78" s="122"/>
      <c r="M78" s="120">
        <v>31</v>
      </c>
      <c r="N78" s="269"/>
      <c r="O78" s="269"/>
      <c r="P78" s="122">
        <f t="shared" si="7"/>
        <v>-18.3</v>
      </c>
      <c r="Q78" s="120"/>
      <c r="R78" s="269"/>
      <c r="S78" s="269"/>
      <c r="T78" s="122"/>
      <c r="U78" s="120">
        <v>31</v>
      </c>
      <c r="V78" s="269"/>
      <c r="W78" s="269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-512.4000000000002</v>
      </c>
      <c r="C81" s="119">
        <f>SUMIF(D48:D78,"&gt;0")</f>
        <v>29.099999999999998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56" t="s">
        <v>174</v>
      </c>
      <c r="O84" s="756" t="s">
        <v>175</v>
      </c>
      <c r="P84" s="134"/>
      <c r="T84" s="134"/>
      <c r="X84" s="134"/>
    </row>
    <row r="85" spans="1:24" ht="20.25" thickBot="1">
      <c r="D85" s="134"/>
      <c r="I85" s="758" t="s">
        <v>182</v>
      </c>
      <c r="J85" s="759"/>
      <c r="K85" s="759"/>
      <c r="L85" s="759"/>
      <c r="N85" s="757"/>
      <c r="O85" s="757"/>
      <c r="P85" s="134"/>
      <c r="R85" s="17"/>
      <c r="S85" s="17"/>
      <c r="T85" s="140"/>
      <c r="U85" s="141"/>
      <c r="X85" s="134"/>
    </row>
    <row r="86" spans="1:24" ht="18.75" thickBot="1">
      <c r="D86" s="134"/>
      <c r="I86" s="760" t="s">
        <v>183</v>
      </c>
      <c r="J86" s="760"/>
      <c r="K86" s="760"/>
      <c r="L86" s="760"/>
      <c r="N86" s="142">
        <f>B43+F43+J43+N43+R43+V43+B81+F81+J81+N81+R81+V81</f>
        <v>-3594.2000000000007</v>
      </c>
      <c r="O86" s="142">
        <f>C43+G43+K43+O43+S43+W43+C81+G81+K81+O81+S81+W81</f>
        <v>471.19999999999993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50"/>
      <c r="C88" s="750"/>
      <c r="D88" s="750"/>
      <c r="E88" s="750"/>
      <c r="F88" s="750"/>
      <c r="G88" s="750"/>
      <c r="H88" s="750"/>
      <c r="I88" s="750"/>
      <c r="J88" s="750"/>
      <c r="K88" s="750"/>
      <c r="L88" s="750"/>
      <c r="M88" s="750"/>
      <c r="N88" s="750"/>
      <c r="O88" s="750"/>
      <c r="P88" s="750"/>
      <c r="Q88" s="750"/>
      <c r="R88" s="750"/>
      <c r="S88" s="750"/>
      <c r="T88" s="750"/>
      <c r="U88" s="750"/>
      <c r="V88" s="750"/>
      <c r="W88" s="750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D17" sqref="D17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64" t="s">
        <v>216</v>
      </c>
      <c r="B2" s="764"/>
      <c r="C2" s="764"/>
      <c r="D2" s="764"/>
      <c r="E2" s="764"/>
      <c r="F2" s="764"/>
      <c r="G2" s="764"/>
      <c r="H2" s="764"/>
      <c r="I2" s="764"/>
    </row>
    <row r="3" spans="1:11">
      <c r="A3" s="193">
        <v>44381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log'!A35</f>
        <v>2</v>
      </c>
      <c r="G4" s="195">
        <v>30</v>
      </c>
      <c r="H4" s="195"/>
      <c r="I4" s="195"/>
    </row>
    <row r="5" spans="1:11">
      <c r="A5" s="243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4" t="s">
        <v>226</v>
      </c>
      <c r="G5" s="246" t="s">
        <v>334</v>
      </c>
      <c r="H5" s="246" t="s">
        <v>333</v>
      </c>
      <c r="I5" s="194" t="s">
        <v>232</v>
      </c>
      <c r="K5" s="425"/>
    </row>
    <row r="6" spans="1:11">
      <c r="A6" s="184" t="s">
        <v>217</v>
      </c>
      <c r="B6" s="346">
        <f>WATER!C37</f>
        <v>0</v>
      </c>
      <c r="C6" s="325">
        <v>1.66</v>
      </c>
      <c r="D6" s="184">
        <f>SUM(C6*B6)*D4</f>
        <v>0</v>
      </c>
      <c r="E6" s="431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61">
        <v>0</v>
      </c>
      <c r="J6" s="273"/>
    </row>
    <row r="7" spans="1:11">
      <c r="A7" s="184" t="s">
        <v>218</v>
      </c>
      <c r="B7" s="346">
        <f>WATER!H37</f>
        <v>179</v>
      </c>
      <c r="C7" s="184">
        <v>8200</v>
      </c>
      <c r="D7" s="187">
        <f>SUM(C7)*D4</f>
        <v>12361500</v>
      </c>
      <c r="E7" s="185">
        <f>SUM(I7/G4)</f>
        <v>273.33333333333331</v>
      </c>
      <c r="F7" s="185">
        <f>SUM(E7*F4)</f>
        <v>546.66666666666663</v>
      </c>
      <c r="G7" s="500">
        <v>8200</v>
      </c>
      <c r="H7" s="189">
        <f>'[14]Budget 2021'!$C$15</f>
        <v>8200</v>
      </c>
      <c r="I7" s="185">
        <f>'[14]Budget 2021'!$C$15</f>
        <v>8200</v>
      </c>
      <c r="J7" s="273"/>
    </row>
    <row r="8" spans="1:11">
      <c r="A8" s="190" t="s">
        <v>219</v>
      </c>
      <c r="B8" s="347">
        <f>tanks!AT37</f>
        <v>19770</v>
      </c>
      <c r="C8" s="484">
        <f>SUM(tanks!AU37)</f>
        <v>1.4700000000000002</v>
      </c>
      <c r="D8" s="191">
        <f>SUM(B8*C8)*D4</f>
        <v>43810814.250000007</v>
      </c>
      <c r="E8" s="192">
        <f>SUM(D8/D4/F4)</f>
        <v>14530.950000000003</v>
      </c>
      <c r="F8" s="192">
        <f>SUM(E8*F4)</f>
        <v>29061.900000000005</v>
      </c>
      <c r="G8" s="500">
        <f>E8*$G$4</f>
        <v>435928.50000000006</v>
      </c>
      <c r="H8" s="189">
        <v>31000</v>
      </c>
      <c r="I8" s="192">
        <v>31000</v>
      </c>
      <c r="J8" s="273"/>
    </row>
    <row r="9" spans="1:11">
      <c r="A9" s="2" t="s">
        <v>413</v>
      </c>
      <c r="B9" s="348">
        <f>'B5'!AV36</f>
        <v>0</v>
      </c>
      <c r="C9" s="345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00">
        <f>E9*$G$4</f>
        <v>0</v>
      </c>
      <c r="H9" s="189">
        <v>0</v>
      </c>
      <c r="I9" s="189">
        <v>0</v>
      </c>
      <c r="J9" s="273"/>
    </row>
    <row r="10" spans="1:11">
      <c r="A10" s="181" t="s">
        <v>220</v>
      </c>
      <c r="B10" s="349">
        <f>'EDl log'!AA29</f>
        <v>809</v>
      </c>
      <c r="C10" s="181"/>
      <c r="D10" s="183">
        <f>'EDl log'!AB33</f>
        <v>7317965</v>
      </c>
      <c r="E10" s="182">
        <f>SUM(D10/D4/F4)</f>
        <v>2427.1857379767825</v>
      </c>
      <c r="F10" s="182">
        <f>SUM(E10*F4)</f>
        <v>4854.3714759535651</v>
      </c>
      <c r="G10" s="500">
        <f>E10*$G$4</f>
        <v>72815.572139303476</v>
      </c>
      <c r="H10" s="189">
        <v>19000</v>
      </c>
      <c r="I10" s="275">
        <v>19000</v>
      </c>
      <c r="J10" s="273"/>
      <c r="K10" s="273"/>
    </row>
    <row r="11" spans="1:11">
      <c r="I11" s="273"/>
      <c r="J11" s="273"/>
      <c r="K11" s="273"/>
    </row>
    <row r="12" spans="1:11" ht="42.75" customHeight="1">
      <c r="E12" s="424">
        <f>SUM(E6:E11)</f>
        <v>17231.469071310119</v>
      </c>
      <c r="F12" s="180">
        <f>SUM(F6:F10)</f>
        <v>34462.938142620238</v>
      </c>
      <c r="G12" s="179">
        <f>SUM(G6:G10)</f>
        <v>516944.07213930355</v>
      </c>
      <c r="H12" s="179">
        <f>SUM(H6:H11)</f>
        <v>58200</v>
      </c>
      <c r="I12" s="221">
        <f>SUM(I6:I11)</f>
        <v>58200</v>
      </c>
      <c r="J12" s="273"/>
    </row>
    <row r="13" spans="1:11" ht="30">
      <c r="A13" s="3"/>
      <c r="B13" s="175" t="s">
        <v>226</v>
      </c>
      <c r="C13" s="416" t="s">
        <v>384</v>
      </c>
      <c r="D13" s="416" t="s">
        <v>388</v>
      </c>
      <c r="E13" s="416" t="s">
        <v>385</v>
      </c>
      <c r="F13" s="416" t="s">
        <v>409</v>
      </c>
      <c r="G13" s="418"/>
      <c r="H13" s="17"/>
      <c r="I13" s="17"/>
      <c r="J13" s="17"/>
    </row>
    <row r="14" spans="1:11">
      <c r="A14" s="444" t="s">
        <v>302</v>
      </c>
      <c r="B14" s="97">
        <f>'Degree Days 2020'!W43</f>
        <v>208.79999999999993</v>
      </c>
      <c r="C14" s="429">
        <f>'[15]Utility Cost '!B14</f>
        <v>0</v>
      </c>
      <c r="D14" s="170"/>
      <c r="E14" s="170">
        <f>B14-C14</f>
        <v>208.79999999999993</v>
      </c>
      <c r="F14" s="499">
        <v>0</v>
      </c>
      <c r="G14" s="418"/>
      <c r="H14" s="419">
        <f>SUM(G12-H12)</f>
        <v>458744.07213930355</v>
      </c>
      <c r="I14" s="419">
        <f>SUM(G12-I12)</f>
        <v>458744.07213930355</v>
      </c>
    </row>
    <row r="15" spans="1:11">
      <c r="A15" s="444" t="s">
        <v>303</v>
      </c>
      <c r="B15" s="97">
        <f>'Degree Days 2020'!V43</f>
        <v>-18.3</v>
      </c>
      <c r="C15" s="429">
        <f>'[15]Utility Cost '!B15</f>
        <v>275.69999999999987</v>
      </c>
      <c r="D15" s="170"/>
      <c r="E15" s="170">
        <f>B15-C15</f>
        <v>-293.99999999999989</v>
      </c>
      <c r="F15" s="499">
        <v>0</v>
      </c>
      <c r="G15" s="418"/>
      <c r="H15" s="17"/>
      <c r="I15" s="17"/>
      <c r="J15" s="17"/>
    </row>
    <row r="16" spans="1:11">
      <c r="A16" s="444" t="s">
        <v>304</v>
      </c>
      <c r="B16" s="551">
        <f>'General information '!D38</f>
        <v>42</v>
      </c>
      <c r="C16" s="429">
        <f>'[15]Utility Cost '!B16</f>
        <v>26.274193548387096</v>
      </c>
      <c r="D16" s="428"/>
      <c r="E16" s="429">
        <f>B16-C16</f>
        <v>15.725806451612904</v>
      </c>
      <c r="F16" s="519">
        <v>0</v>
      </c>
      <c r="G16" s="418"/>
      <c r="H16" s="17"/>
      <c r="I16" s="17"/>
      <c r="J16" s="17"/>
    </row>
    <row r="17" spans="1:10">
      <c r="A17" s="511" t="s">
        <v>316</v>
      </c>
      <c r="B17" s="514">
        <f>'General information '!F37</f>
        <v>0</v>
      </c>
      <c r="C17" s="513">
        <f>'[15]Utility Cost '!B17</f>
        <v>0.16777096774193551</v>
      </c>
      <c r="D17" s="471">
        <v>0</v>
      </c>
      <c r="E17" s="513">
        <f>B17-C17</f>
        <v>-0.16777096774193551</v>
      </c>
      <c r="F17" s="517">
        <f>B17-D17</f>
        <v>0</v>
      </c>
      <c r="G17" s="17"/>
      <c r="H17" s="17"/>
      <c r="I17" s="17"/>
      <c r="J17" s="17"/>
    </row>
    <row r="18" spans="1:10">
      <c r="A18" s="512" t="s">
        <v>386</v>
      </c>
      <c r="B18" s="516">
        <f>GEN!Z34</f>
        <v>71</v>
      </c>
      <c r="C18" s="429">
        <f>'[15]Utility Cost '!B18</f>
        <v>563</v>
      </c>
      <c r="D18" s="426">
        <f>'[16]Other Fuel Calculation 2021'!$G$116</f>
        <v>202.66666666666666</v>
      </c>
      <c r="E18" s="515">
        <f>B18-C18</f>
        <v>-492</v>
      </c>
      <c r="F18" s="518">
        <f>B18-D18</f>
        <v>-131.66666666666666</v>
      </c>
    </row>
    <row r="19" spans="1:10">
      <c r="A19" s="512" t="s">
        <v>410</v>
      </c>
      <c r="B19" s="510">
        <f>SUM(B18/$F$4)</f>
        <v>35.5</v>
      </c>
      <c r="C19" s="429">
        <f>'[15]Utility Cost '!B19</f>
        <v>18.161290322580644</v>
      </c>
      <c r="D19" s="427"/>
      <c r="E19" s="427"/>
      <c r="F19" s="49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1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2021-07-08T04:41:00Z</dcterms:modified>
</cp:coreProperties>
</file>