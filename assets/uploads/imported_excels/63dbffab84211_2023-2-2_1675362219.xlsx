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EF6B3408-29A7-40D1-B0F7-2201EED940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" sheetId="7" r:id="rId6"/>
  </sheets>
  <externalReferences>
    <externalReference r:id="rId7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7" l="1"/>
  <c r="H21" i="7"/>
  <c r="E4" i="1"/>
  <c r="E5" i="1"/>
  <c r="E6" i="1"/>
  <c r="E7" i="1"/>
  <c r="E8" i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H9" i="7"/>
  <c r="I9" i="7"/>
  <c r="E9" i="7"/>
  <c r="C34" i="9"/>
  <c r="C33" i="9"/>
  <c r="C32" i="9"/>
  <c r="H35" i="7"/>
  <c r="G32" i="6"/>
  <c r="H4" i="7"/>
  <c r="G2" i="6"/>
  <c r="H16" i="7"/>
  <c r="G13" i="6"/>
  <c r="H15" i="7"/>
  <c r="G12" i="6"/>
  <c r="H10" i="7"/>
  <c r="G7" i="6"/>
  <c r="H25" i="7"/>
  <c r="G22" i="6"/>
  <c r="H29" i="7"/>
  <c r="G26" i="6"/>
  <c r="H31" i="7"/>
  <c r="G28" i="6"/>
  <c r="H33" i="7"/>
  <c r="G30" i="6"/>
  <c r="H34" i="7"/>
  <c r="G31" i="6"/>
  <c r="L34" i="9"/>
  <c r="L34" i="8"/>
  <c r="E14" i="7"/>
  <c r="I34" i="7"/>
  <c r="E34" i="7"/>
  <c r="E33" i="7"/>
  <c r="E31" i="7"/>
  <c r="E30" i="7"/>
  <c r="C26" i="8"/>
  <c r="C27" i="8"/>
  <c r="H24" i="7"/>
  <c r="G21" i="6"/>
  <c r="H19" i="7"/>
  <c r="G16" i="6"/>
  <c r="H20" i="7"/>
  <c r="G17" i="6"/>
  <c r="G18" i="6"/>
  <c r="I10" i="7"/>
  <c r="H7" i="6"/>
  <c r="E10" i="7"/>
  <c r="C27" i="10"/>
  <c r="C25" i="10"/>
  <c r="C24" i="10"/>
  <c r="E15" i="9"/>
  <c r="E14" i="9"/>
  <c r="I33" i="7"/>
  <c r="C11" i="1"/>
  <c r="H11" i="7"/>
  <c r="G8" i="6"/>
  <c r="H12" i="7"/>
  <c r="G9" i="6"/>
  <c r="H13" i="7"/>
  <c r="G10" i="6"/>
  <c r="H14" i="7"/>
  <c r="G11" i="6"/>
  <c r="H17" i="7"/>
  <c r="G14" i="6"/>
  <c r="E34" i="1"/>
  <c r="C34" i="1"/>
  <c r="L34" i="1"/>
  <c r="I32" i="6"/>
  <c r="I34" i="1"/>
  <c r="E33" i="1"/>
  <c r="C33" i="1"/>
  <c r="L33" i="1"/>
  <c r="I31" i="6"/>
  <c r="I33" i="1"/>
  <c r="E32" i="1"/>
  <c r="C32" i="1"/>
  <c r="L32" i="1"/>
  <c r="I30" i="6"/>
  <c r="I32" i="1"/>
  <c r="E31" i="1"/>
  <c r="C31" i="1"/>
  <c r="L31" i="1"/>
  <c r="I29" i="6"/>
  <c r="I31" i="1"/>
  <c r="E30" i="1"/>
  <c r="C30" i="1"/>
  <c r="L30" i="1"/>
  <c r="I28" i="6"/>
  <c r="I30" i="1"/>
  <c r="E29" i="1"/>
  <c r="C29" i="1"/>
  <c r="L29" i="1"/>
  <c r="I27" i="6"/>
  <c r="I29" i="1"/>
  <c r="E28" i="1"/>
  <c r="C28" i="1"/>
  <c r="L28" i="1"/>
  <c r="I26" i="6"/>
  <c r="I28" i="1"/>
  <c r="E27" i="1"/>
  <c r="C27" i="1"/>
  <c r="L27" i="1"/>
  <c r="I25" i="6"/>
  <c r="I27" i="1"/>
  <c r="E26" i="1"/>
  <c r="C26" i="1"/>
  <c r="L26" i="1"/>
  <c r="I24" i="6"/>
  <c r="I26" i="1"/>
  <c r="E25" i="1"/>
  <c r="C25" i="1"/>
  <c r="L25" i="1"/>
  <c r="I23" i="6"/>
  <c r="I25" i="1"/>
  <c r="E24" i="1"/>
  <c r="C24" i="1"/>
  <c r="L24" i="1"/>
  <c r="I22" i="6"/>
  <c r="I24" i="1"/>
  <c r="E23" i="1"/>
  <c r="C23" i="1"/>
  <c r="L23" i="1"/>
  <c r="I21" i="6"/>
  <c r="I23" i="1"/>
  <c r="E22" i="1"/>
  <c r="C22" i="1"/>
  <c r="L22" i="1"/>
  <c r="I20" i="6"/>
  <c r="I22" i="1"/>
  <c r="E21" i="1"/>
  <c r="C21" i="1"/>
  <c r="L21" i="1"/>
  <c r="I19" i="6"/>
  <c r="I21" i="1"/>
  <c r="E20" i="1"/>
  <c r="C20" i="1"/>
  <c r="L20" i="1"/>
  <c r="I18" i="6"/>
  <c r="I20" i="1"/>
  <c r="E19" i="1"/>
  <c r="C19" i="1"/>
  <c r="L19" i="1"/>
  <c r="I17" i="6"/>
  <c r="I19" i="1"/>
  <c r="E18" i="1"/>
  <c r="C18" i="1"/>
  <c r="L18" i="1"/>
  <c r="I16" i="6"/>
  <c r="I18" i="1"/>
  <c r="E17" i="1"/>
  <c r="C17" i="1"/>
  <c r="L17" i="1"/>
  <c r="I15" i="6"/>
  <c r="I17" i="1"/>
  <c r="E16" i="1"/>
  <c r="C16" i="1"/>
  <c r="L16" i="1"/>
  <c r="I14" i="6"/>
  <c r="I16" i="1"/>
  <c r="E15" i="1"/>
  <c r="C15" i="1"/>
  <c r="L15" i="1"/>
  <c r="I13" i="6"/>
  <c r="I15" i="1"/>
  <c r="E14" i="1"/>
  <c r="C14" i="1"/>
  <c r="L14" i="1"/>
  <c r="I12" i="6"/>
  <c r="I14" i="1"/>
  <c r="E13" i="1"/>
  <c r="C13" i="1"/>
  <c r="L13" i="1"/>
  <c r="I11" i="6"/>
  <c r="I13" i="1"/>
  <c r="E12" i="1"/>
  <c r="C12" i="1"/>
  <c r="L12" i="1"/>
  <c r="I10" i="6"/>
  <c r="I12" i="1"/>
  <c r="E11" i="1"/>
  <c r="I11" i="1"/>
  <c r="E10" i="1"/>
  <c r="C10" i="1"/>
  <c r="L10" i="1"/>
  <c r="I8" i="6"/>
  <c r="I10" i="1"/>
  <c r="E9" i="1"/>
  <c r="C9" i="1"/>
  <c r="L9" i="1"/>
  <c r="I7" i="6"/>
  <c r="I9" i="1"/>
  <c r="C8" i="1"/>
  <c r="L8" i="1"/>
  <c r="I6" i="6"/>
  <c r="I8" i="1"/>
  <c r="C7" i="1"/>
  <c r="L7" i="1"/>
  <c r="I5" i="6"/>
  <c r="I7" i="1"/>
  <c r="C6" i="1"/>
  <c r="L6" i="1"/>
  <c r="I4" i="6"/>
  <c r="I6" i="1"/>
  <c r="C5" i="1"/>
  <c r="L5" i="1"/>
  <c r="I3" i="6"/>
  <c r="I5" i="1"/>
  <c r="C4" i="1"/>
  <c r="L4" i="1"/>
  <c r="I2" i="6"/>
  <c r="A37" i="8"/>
  <c r="F36" i="8"/>
  <c r="J35" i="8"/>
  <c r="I35" i="8"/>
  <c r="J34" i="8"/>
  <c r="I34" i="8"/>
  <c r="E33" i="8"/>
  <c r="C33" i="8"/>
  <c r="L33" i="8"/>
  <c r="J33" i="8"/>
  <c r="E32" i="8"/>
  <c r="C32" i="8"/>
  <c r="L32" i="8"/>
  <c r="J32" i="8"/>
  <c r="E31" i="8"/>
  <c r="C31" i="8"/>
  <c r="L31" i="8"/>
  <c r="J31" i="8"/>
  <c r="E30" i="8"/>
  <c r="C30" i="8"/>
  <c r="L30" i="8"/>
  <c r="J30" i="8"/>
  <c r="E29" i="8"/>
  <c r="C29" i="8"/>
  <c r="L29" i="8"/>
  <c r="J29" i="8"/>
  <c r="E28" i="8"/>
  <c r="C28" i="8"/>
  <c r="L28" i="8"/>
  <c r="J28" i="8"/>
  <c r="E27" i="8"/>
  <c r="J27" i="8"/>
  <c r="E26" i="8"/>
  <c r="J26" i="8"/>
  <c r="E25" i="8"/>
  <c r="C25" i="8"/>
  <c r="L25" i="8"/>
  <c r="J25" i="8"/>
  <c r="E24" i="8"/>
  <c r="C24" i="8"/>
  <c r="L24" i="8"/>
  <c r="J24" i="8"/>
  <c r="E23" i="8"/>
  <c r="C23" i="8"/>
  <c r="L23" i="8"/>
  <c r="J23" i="8"/>
  <c r="E22" i="8"/>
  <c r="C22" i="8"/>
  <c r="L22" i="8"/>
  <c r="J22" i="8"/>
  <c r="E21" i="8"/>
  <c r="C21" i="8"/>
  <c r="L21" i="8"/>
  <c r="J21" i="8"/>
  <c r="E20" i="8"/>
  <c r="C20" i="8"/>
  <c r="L20" i="8"/>
  <c r="J20" i="8"/>
  <c r="E19" i="8"/>
  <c r="C19" i="8"/>
  <c r="L19" i="8"/>
  <c r="J19" i="8"/>
  <c r="E18" i="8"/>
  <c r="C18" i="8"/>
  <c r="L18" i="8"/>
  <c r="J18" i="8"/>
  <c r="E17" i="8"/>
  <c r="C17" i="8"/>
  <c r="L17" i="8"/>
  <c r="J17" i="8"/>
  <c r="E16" i="8"/>
  <c r="C16" i="8"/>
  <c r="L16" i="8"/>
  <c r="J16" i="8"/>
  <c r="E15" i="8"/>
  <c r="C15" i="8"/>
  <c r="L15" i="8"/>
  <c r="J15" i="8"/>
  <c r="E14" i="8"/>
  <c r="C14" i="8"/>
  <c r="L14" i="8"/>
  <c r="J14" i="8"/>
  <c r="E13" i="8"/>
  <c r="C13" i="8"/>
  <c r="L13" i="8"/>
  <c r="J13" i="8"/>
  <c r="E12" i="8"/>
  <c r="C12" i="8"/>
  <c r="L12" i="8"/>
  <c r="J12" i="8"/>
  <c r="E11" i="8"/>
  <c r="C11" i="8"/>
  <c r="L11" i="8"/>
  <c r="J11" i="8"/>
  <c r="E10" i="8"/>
  <c r="C10" i="8"/>
  <c r="L10" i="8"/>
  <c r="J10" i="8"/>
  <c r="E9" i="8"/>
  <c r="C9" i="8"/>
  <c r="L9" i="8"/>
  <c r="J9" i="8"/>
  <c r="E8" i="8"/>
  <c r="C8" i="8"/>
  <c r="L8" i="8"/>
  <c r="J8" i="8"/>
  <c r="E7" i="8"/>
  <c r="C7" i="8"/>
  <c r="L7" i="8"/>
  <c r="J7" i="8"/>
  <c r="E6" i="8"/>
  <c r="C6" i="8"/>
  <c r="L6" i="8"/>
  <c r="J6" i="8"/>
  <c r="E5" i="8"/>
  <c r="C5" i="8"/>
  <c r="L5" i="8"/>
  <c r="J5" i="8"/>
  <c r="E4" i="8"/>
  <c r="C4" i="8"/>
  <c r="L4" i="8"/>
  <c r="A37" i="9"/>
  <c r="F36" i="9"/>
  <c r="J35" i="9"/>
  <c r="I35" i="9"/>
  <c r="J34" i="9"/>
  <c r="I34" i="9"/>
  <c r="E33" i="9"/>
  <c r="L33" i="9"/>
  <c r="J33" i="9"/>
  <c r="E32" i="9"/>
  <c r="L32" i="9"/>
  <c r="J32" i="9"/>
  <c r="E31" i="9"/>
  <c r="C31" i="9"/>
  <c r="L31" i="9"/>
  <c r="J31" i="9"/>
  <c r="E30" i="9"/>
  <c r="C30" i="9"/>
  <c r="L30" i="9"/>
  <c r="J30" i="9"/>
  <c r="E29" i="9"/>
  <c r="C29" i="9"/>
  <c r="L29" i="9"/>
  <c r="J29" i="9"/>
  <c r="E28" i="9"/>
  <c r="C28" i="9"/>
  <c r="L28" i="9"/>
  <c r="J28" i="9"/>
  <c r="E27" i="9"/>
  <c r="C27" i="9"/>
  <c r="L27" i="9"/>
  <c r="J27" i="9"/>
  <c r="E26" i="9"/>
  <c r="C26" i="9"/>
  <c r="L26" i="9"/>
  <c r="J26" i="9"/>
  <c r="E25" i="9"/>
  <c r="C25" i="9"/>
  <c r="L25" i="9"/>
  <c r="J25" i="9"/>
  <c r="E24" i="9"/>
  <c r="C24" i="9"/>
  <c r="L24" i="9"/>
  <c r="J24" i="9"/>
  <c r="E23" i="9"/>
  <c r="C23" i="9"/>
  <c r="L23" i="9"/>
  <c r="J23" i="9"/>
  <c r="E22" i="9"/>
  <c r="C22" i="9"/>
  <c r="L22" i="9"/>
  <c r="J22" i="9"/>
  <c r="E21" i="9"/>
  <c r="C21" i="9"/>
  <c r="L21" i="9"/>
  <c r="J21" i="9"/>
  <c r="E20" i="9"/>
  <c r="C20" i="9"/>
  <c r="L20" i="9"/>
  <c r="J20" i="9"/>
  <c r="E19" i="9"/>
  <c r="C19" i="9"/>
  <c r="L19" i="9"/>
  <c r="J19" i="9"/>
  <c r="E18" i="9"/>
  <c r="C18" i="9"/>
  <c r="L18" i="9"/>
  <c r="J18" i="9"/>
  <c r="E17" i="9"/>
  <c r="C17" i="9"/>
  <c r="L17" i="9"/>
  <c r="J17" i="9"/>
  <c r="E16" i="9"/>
  <c r="C16" i="9"/>
  <c r="L16" i="9"/>
  <c r="J16" i="9"/>
  <c r="C15" i="9"/>
  <c r="L15" i="9"/>
  <c r="J15" i="9"/>
  <c r="C14" i="9"/>
  <c r="L14" i="9"/>
  <c r="J14" i="9"/>
  <c r="E13" i="9"/>
  <c r="C13" i="9"/>
  <c r="L13" i="9"/>
  <c r="J13" i="9"/>
  <c r="E12" i="9"/>
  <c r="C12" i="9"/>
  <c r="L12" i="9"/>
  <c r="J12" i="9"/>
  <c r="E11" i="9"/>
  <c r="C11" i="9"/>
  <c r="L11" i="9"/>
  <c r="J11" i="9"/>
  <c r="E10" i="9"/>
  <c r="C10" i="9"/>
  <c r="L10" i="9"/>
  <c r="J10" i="9"/>
  <c r="E9" i="9"/>
  <c r="C9" i="9"/>
  <c r="L9" i="9"/>
  <c r="J9" i="9"/>
  <c r="E8" i="9"/>
  <c r="C8" i="9"/>
  <c r="L8" i="9"/>
  <c r="J8" i="9"/>
  <c r="E7" i="9"/>
  <c r="C7" i="9"/>
  <c r="L7" i="9"/>
  <c r="J7" i="9"/>
  <c r="E6" i="9"/>
  <c r="C6" i="9"/>
  <c r="L6" i="9"/>
  <c r="J6" i="9"/>
  <c r="E5" i="9"/>
  <c r="C5" i="9"/>
  <c r="L5" i="9"/>
  <c r="J5" i="9"/>
  <c r="E4" i="9"/>
  <c r="C4" i="9"/>
  <c r="L4" i="9"/>
  <c r="A37" i="10"/>
  <c r="F36" i="10"/>
  <c r="J35" i="10"/>
  <c r="I35" i="10"/>
  <c r="E34" i="10"/>
  <c r="C34" i="10"/>
  <c r="L34" i="10"/>
  <c r="J34" i="10"/>
  <c r="E33" i="10"/>
  <c r="C33" i="10"/>
  <c r="L33" i="10"/>
  <c r="J33" i="10"/>
  <c r="E32" i="10"/>
  <c r="C32" i="10"/>
  <c r="L32" i="10"/>
  <c r="J32" i="10"/>
  <c r="E31" i="10"/>
  <c r="C31" i="10"/>
  <c r="L31" i="10"/>
  <c r="J31" i="10"/>
  <c r="E30" i="10"/>
  <c r="C30" i="10"/>
  <c r="L30" i="10"/>
  <c r="J30" i="10"/>
  <c r="E29" i="10"/>
  <c r="C29" i="10"/>
  <c r="L29" i="10"/>
  <c r="J29" i="10"/>
  <c r="E28" i="10"/>
  <c r="C28" i="10"/>
  <c r="L28" i="10"/>
  <c r="J28" i="10"/>
  <c r="E27" i="10"/>
  <c r="J27" i="10"/>
  <c r="E26" i="10"/>
  <c r="C26" i="10"/>
  <c r="L26" i="10"/>
  <c r="J26" i="10"/>
  <c r="E25" i="10"/>
  <c r="J25" i="10"/>
  <c r="E24" i="10"/>
  <c r="J24" i="10"/>
  <c r="E23" i="10"/>
  <c r="C23" i="10"/>
  <c r="L23" i="10"/>
  <c r="J23" i="10"/>
  <c r="E22" i="10"/>
  <c r="C22" i="10"/>
  <c r="L22" i="10"/>
  <c r="J22" i="10"/>
  <c r="E21" i="10"/>
  <c r="C21" i="10"/>
  <c r="L21" i="10"/>
  <c r="J21" i="10"/>
  <c r="E20" i="10"/>
  <c r="C20" i="10"/>
  <c r="L20" i="10"/>
  <c r="J20" i="10"/>
  <c r="C19" i="10"/>
  <c r="L19" i="10"/>
  <c r="J19" i="10"/>
  <c r="C18" i="10"/>
  <c r="L18" i="10"/>
  <c r="J18" i="10"/>
  <c r="C17" i="10"/>
  <c r="L17" i="10"/>
  <c r="J17" i="10"/>
  <c r="C16" i="10"/>
  <c r="L16" i="10"/>
  <c r="J16" i="10"/>
  <c r="C15" i="10"/>
  <c r="L15" i="10"/>
  <c r="J15" i="10"/>
  <c r="C14" i="10"/>
  <c r="L14" i="10"/>
  <c r="J14" i="10"/>
  <c r="C13" i="10"/>
  <c r="L13" i="10"/>
  <c r="J13" i="10"/>
  <c r="C12" i="10"/>
  <c r="L12" i="10"/>
  <c r="J12" i="10"/>
  <c r="C11" i="10"/>
  <c r="L11" i="10"/>
  <c r="J11" i="10"/>
  <c r="C10" i="10"/>
  <c r="L10" i="10"/>
  <c r="J10" i="10"/>
  <c r="C9" i="10"/>
  <c r="L9" i="10"/>
  <c r="J9" i="10"/>
  <c r="C8" i="10"/>
  <c r="L8" i="10"/>
  <c r="J8" i="10"/>
  <c r="C7" i="10"/>
  <c r="L7" i="10"/>
  <c r="J7" i="10"/>
  <c r="C6" i="10"/>
  <c r="L6" i="10"/>
  <c r="J6" i="10"/>
  <c r="C5" i="10"/>
  <c r="L5" i="10"/>
  <c r="J5" i="10"/>
  <c r="C4" i="10"/>
  <c r="L4" i="10"/>
  <c r="H6" i="7"/>
  <c r="G4" i="6"/>
  <c r="H7" i="7"/>
  <c r="G5" i="6"/>
  <c r="H8" i="7"/>
  <c r="G6" i="6"/>
  <c r="I6" i="7"/>
  <c r="H4" i="6"/>
  <c r="I7" i="7"/>
  <c r="I8" i="7"/>
  <c r="I11" i="7"/>
  <c r="I12" i="7"/>
  <c r="I13" i="7"/>
  <c r="I14" i="7"/>
  <c r="I15" i="7"/>
  <c r="I16" i="7"/>
  <c r="I17" i="7"/>
  <c r="I35" i="7"/>
  <c r="E35" i="7"/>
  <c r="H32" i="7"/>
  <c r="G29" i="6"/>
  <c r="I32" i="7"/>
  <c r="E32" i="7"/>
  <c r="I31" i="7"/>
  <c r="H30" i="7"/>
  <c r="G27" i="6"/>
  <c r="I30" i="7"/>
  <c r="I29" i="7"/>
  <c r="E29" i="7"/>
  <c r="H28" i="7"/>
  <c r="G25" i="6"/>
  <c r="I28" i="7"/>
  <c r="E28" i="7"/>
  <c r="H27" i="7"/>
  <c r="G24" i="6"/>
  <c r="I27" i="7"/>
  <c r="E27" i="7"/>
  <c r="H26" i="7"/>
  <c r="G23" i="6"/>
  <c r="I26" i="7"/>
  <c r="E26" i="7"/>
  <c r="I25" i="7"/>
  <c r="E25" i="7"/>
  <c r="I24" i="7"/>
  <c r="E24" i="7"/>
  <c r="H23" i="7"/>
  <c r="G20" i="6"/>
  <c r="I23" i="7"/>
  <c r="E23" i="7"/>
  <c r="H22" i="7"/>
  <c r="G19" i="6"/>
  <c r="I22" i="7"/>
  <c r="E22" i="7"/>
  <c r="I21" i="7"/>
  <c r="E21" i="7"/>
  <c r="I20" i="7"/>
  <c r="E20" i="7"/>
  <c r="I19" i="7"/>
  <c r="E19" i="7"/>
  <c r="H18" i="7"/>
  <c r="G15" i="6"/>
  <c r="I18" i="7"/>
  <c r="E18" i="7"/>
  <c r="E17" i="7"/>
  <c r="E16" i="7"/>
  <c r="E15" i="7"/>
  <c r="E13" i="7"/>
  <c r="E12" i="7"/>
  <c r="E11" i="7"/>
  <c r="E8" i="7"/>
  <c r="E7" i="7"/>
  <c r="E6" i="7"/>
  <c r="H5" i="7"/>
  <c r="G3" i="6"/>
  <c r="I5" i="7"/>
  <c r="E5" i="7"/>
  <c r="E4" i="7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1" i="6"/>
  <c r="H10" i="6"/>
  <c r="H9" i="6"/>
  <c r="H6" i="6"/>
  <c r="H5" i="6"/>
  <c r="H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H12" i="6"/>
  <c r="H8" i="6"/>
  <c r="C35" i="1"/>
  <c r="I4" i="1"/>
  <c r="E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C37" i="8"/>
  <c r="C36" i="8"/>
  <c r="J4" i="8"/>
  <c r="E36" i="8"/>
  <c r="I36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C36" i="9"/>
  <c r="J4" i="9"/>
  <c r="E36" i="9"/>
  <c r="I36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C36" i="10"/>
  <c r="J4" i="10"/>
  <c r="E36" i="10"/>
  <c r="I36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H35" i="1"/>
  <c r="I35" i="1"/>
  <c r="J2" i="6"/>
  <c r="J36" i="8"/>
  <c r="J36" i="9"/>
  <c r="J36" i="10"/>
  <c r="I4" i="7"/>
  <c r="I36" i="7"/>
  <c r="H2" i="6"/>
  <c r="E28" i="6"/>
  <c r="F28" i="6"/>
  <c r="E27" i="6"/>
  <c r="F27" i="6"/>
  <c r="E26" i="6"/>
  <c r="F26" i="6"/>
  <c r="L27" i="10"/>
  <c r="L25" i="10"/>
  <c r="L24" i="10"/>
  <c r="E23" i="6"/>
  <c r="F23" i="6"/>
  <c r="E21" i="6"/>
  <c r="F21" i="6"/>
  <c r="E22" i="6"/>
  <c r="F22" i="6"/>
  <c r="L27" i="8"/>
  <c r="E25" i="6"/>
  <c r="F25" i="6"/>
  <c r="L26" i="8"/>
  <c r="E24" i="6"/>
  <c r="F24" i="6"/>
  <c r="E31" i="6"/>
  <c r="F31" i="6"/>
  <c r="E30" i="6"/>
  <c r="F30" i="6"/>
  <c r="E29" i="6"/>
  <c r="F29" i="6"/>
  <c r="L11" i="1"/>
  <c r="I9" i="6"/>
  <c r="E2" i="6"/>
  <c r="F2" i="6"/>
  <c r="E3" i="6"/>
  <c r="F3" i="6"/>
  <c r="E4" i="6"/>
  <c r="F4" i="6"/>
  <c r="E5" i="6"/>
  <c r="F5" i="6"/>
  <c r="E6" i="6"/>
  <c r="F6" i="6"/>
  <c r="E7" i="6"/>
  <c r="F7" i="6"/>
  <c r="E8" i="6"/>
  <c r="F8" i="6"/>
  <c r="E9" i="6"/>
  <c r="F9" i="6"/>
  <c r="E10" i="6"/>
  <c r="F10" i="6"/>
  <c r="E11" i="6"/>
  <c r="F11" i="6"/>
  <c r="E12" i="6"/>
  <c r="F12" i="6"/>
  <c r="E13" i="6"/>
  <c r="F13" i="6"/>
  <c r="E14" i="6"/>
  <c r="F14" i="6"/>
  <c r="E15" i="6"/>
  <c r="F15" i="6"/>
  <c r="E16" i="6"/>
  <c r="F16" i="6"/>
  <c r="E17" i="6"/>
  <c r="F17" i="6"/>
  <c r="E18" i="6"/>
  <c r="F18" i="6"/>
  <c r="E19" i="6"/>
  <c r="F19" i="6"/>
  <c r="E20" i="6"/>
  <c r="F20" i="6"/>
  <c r="E32" i="6"/>
  <c r="F32" i="6"/>
  <c r="H36" i="7"/>
  <c r="H32" i="6"/>
</calcChain>
</file>

<file path=xl/sharedStrings.xml><?xml version="1.0" encoding="utf-8"?>
<sst xmlns="http://schemas.openxmlformats.org/spreadsheetml/2006/main" count="288" uniqueCount="69">
  <si>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</si>
  <si>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</si>
  <si>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</si>
  <si>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</si>
  <si>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</si>
  <si>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</si>
  <si>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</si>
  <si>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</si>
  <si>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</si>
  <si>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</si>
  <si>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</si>
  <si>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</si>
  <si>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</si>
  <si>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</si>
  <si>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</si>
  <si>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</si>
  <si>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</si>
  <si>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</si>
  <si>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</si>
  <si>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</si>
  <si>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</si>
  <si>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</si>
  <si>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</si>
  <si>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</si>
  <si>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</si>
  <si>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Fair</t>
  </si>
  <si>
    <t>Isolate Rain</t>
  </si>
  <si>
    <t>Cloudy</t>
  </si>
  <si>
    <t>Total</t>
  </si>
  <si>
    <t>PLEASE MAKE SURE TO KEY IN THE OCCUPANCY AND WEATHER FOR THE DAY!</t>
  </si>
  <si>
    <t>f</t>
  </si>
  <si>
    <t>Rain</t>
  </si>
  <si>
    <t>Hot</t>
  </si>
  <si>
    <t>Daily Water Consumption</t>
  </si>
  <si>
    <t>Meter Reading (Main)</t>
  </si>
  <si>
    <t>Consumption</t>
  </si>
  <si>
    <t>Meter Reading Landscape</t>
  </si>
  <si>
    <t>Remarks</t>
  </si>
  <si>
    <t>(m3)</t>
  </si>
  <si>
    <t>Daily Diesel Consumption</t>
  </si>
  <si>
    <t>BOILER</t>
  </si>
  <si>
    <t>TIME</t>
  </si>
  <si>
    <t>TOTAL</t>
  </si>
  <si>
    <t>Meter Reading</t>
  </si>
  <si>
    <t>Diesel in/Litre</t>
  </si>
  <si>
    <t>NO</t>
  </si>
  <si>
    <t>START</t>
  </si>
  <si>
    <t>STOP</t>
  </si>
  <si>
    <t>HRS</t>
  </si>
  <si>
    <t>(L)</t>
  </si>
  <si>
    <t>CF Last Month</t>
  </si>
  <si>
    <t>Diesel In</t>
  </si>
  <si>
    <t>Watersport</t>
  </si>
  <si>
    <t>Balance (Litre)</t>
  </si>
  <si>
    <t>Date : 01/1/2023</t>
  </si>
  <si>
    <t xml:space="preserve"> Outside tank</t>
  </si>
  <si>
    <t>length        :  452 cm</t>
  </si>
  <si>
    <t>Diameter   :  196 cm</t>
  </si>
  <si>
    <t>Fill Depth   :   75 cm</t>
  </si>
  <si>
    <t>Total           :  4800  Litre</t>
  </si>
  <si>
    <t>Inside Tank</t>
  </si>
  <si>
    <t>Length       :  121.5 cm</t>
  </si>
  <si>
    <t xml:space="preserve">  Inside Tank</t>
  </si>
  <si>
    <t>Width         :  121.5 cm</t>
  </si>
  <si>
    <t>Width         :  121 cm</t>
  </si>
  <si>
    <t>Height        :  122.5 cm</t>
  </si>
  <si>
    <t>Fill Depth   :   70 cm</t>
  </si>
  <si>
    <t xml:space="preserve">Total           :  </t>
  </si>
  <si>
    <t>Total Fuel Oil (Liter)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</si>
</sst>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#,##0.0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1"/>
      <color rgb="FF444444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27">
    <xf numFmtId="0" fontId="0" fillId="0" borderId="0" xfId="0"/>
    <xf numFmtId="0" fontId="0" fillId="0" borderId="0" xfId="0" applyAlignment="1">
      <alignment horizontal="center"/>
    </xf>
    <xf numFmtId="165" fontId="3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5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" fillId="0" borderId="0" xfId="2"/>
    <xf numFmtId="0" fontId="1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7" fillId="0" borderId="1" xfId="2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center"/>
    </xf>
    <xf numFmtId="0" fontId="0" fillId="5" borderId="4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 applyProtection="1">
      <alignment horizontal="center"/>
      <protection locked="0"/>
    </xf>
    <xf numFmtId="3" fontId="1" fillId="2" borderId="1" xfId="0" applyNumberFormat="1" applyFont="1" applyFill="1" applyBorder="1" applyAlignment="1" applyProtection="1">
      <alignment horizontal="center"/>
      <protection locked="0"/>
    </xf>
    <xf numFmtId="3" fontId="0" fillId="2" borderId="3" xfId="0" applyNumberFormat="1" applyFill="1" applyBorder="1" applyAlignment="1" applyProtection="1">
      <alignment horizontal="center"/>
      <protection locked="0"/>
    </xf>
    <xf numFmtId="165" fontId="0" fillId="0" borderId="2" xfId="0" applyNumberFormat="1" applyBorder="1" applyAlignment="1">
      <alignment horizontal="center"/>
    </xf>
    <xf numFmtId="9" fontId="0" fillId="2" borderId="1" xfId="0" applyNumberFormat="1" applyFill="1" applyBorder="1" applyAlignment="1" applyProtection="1">
      <alignment horizontal="center"/>
      <protection locked="0"/>
    </xf>
    <xf numFmtId="9" fontId="0" fillId="2" borderId="5" xfId="0" applyNumberForma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top"/>
      <protection locked="0"/>
    </xf>
    <xf numFmtId="3" fontId="0" fillId="0" borderId="1" xfId="0" applyNumberFormat="1" applyBorder="1" applyAlignment="1">
      <alignment horizontal="center" vertical="top"/>
    </xf>
    <xf numFmtId="39" fontId="0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9" fontId="6" fillId="2" borderId="1" xfId="0" applyNumberFormat="1" applyFont="1" applyFill="1" applyBorder="1" applyAlignment="1" applyProtection="1">
      <alignment horizontal="center"/>
      <protection locked="0"/>
    </xf>
    <xf numFmtId="166" fontId="0" fillId="6" borderId="0" xfId="0" applyNumberFormat="1" applyFill="1" applyAlignment="1">
      <alignment horizontal="center"/>
    </xf>
    <xf numFmtId="0" fontId="0" fillId="6" borderId="0" xfId="0" applyFill="1"/>
    <xf numFmtId="0" fontId="2" fillId="0" borderId="6" xfId="0" applyFont="1" applyBorder="1" applyAlignment="1">
      <alignment horizontal="center"/>
    </xf>
    <xf numFmtId="39" fontId="2" fillId="0" borderId="6" xfId="1" applyNumberFormat="1" applyFont="1" applyBorder="1" applyAlignment="1">
      <alignment horizontal="center"/>
    </xf>
    <xf numFmtId="39" fontId="2" fillId="0" borderId="6" xfId="1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6" fontId="1" fillId="3" borderId="6" xfId="0" applyNumberFormat="1" applyFont="1" applyFill="1" applyBorder="1" applyAlignment="1">
      <alignment horizontal="center"/>
    </xf>
    <xf numFmtId="166" fontId="1" fillId="3" borderId="6" xfId="0" applyNumberFormat="1" applyFont="1" applyFill="1" applyBorder="1" applyAlignment="1" applyProtection="1">
      <alignment horizontal="center"/>
      <protection locked="0"/>
    </xf>
    <xf numFmtId="166" fontId="1" fillId="0" borderId="6" xfId="0" applyNumberFormat="1" applyFont="1" applyBorder="1" applyAlignment="1">
      <alignment horizontal="center"/>
    </xf>
    <xf numFmtId="39" fontId="0" fillId="0" borderId="6" xfId="1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166" fontId="0" fillId="3" borderId="6" xfId="0" applyNumberFormat="1" applyFill="1" applyBorder="1" applyAlignment="1">
      <alignment horizontal="center"/>
    </xf>
    <xf numFmtId="166" fontId="0" fillId="3" borderId="6" xfId="0" applyNumberFormat="1" applyFill="1" applyBorder="1" applyAlignment="1" applyProtection="1">
      <alignment horizontal="center"/>
      <protection locked="0"/>
    </xf>
    <xf numFmtId="166" fontId="0" fillId="0" borderId="6" xfId="0" applyNumberFormat="1" applyBorder="1" applyAlignment="1">
      <alignment horizontal="center"/>
    </xf>
    <xf numFmtId="166" fontId="1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65" fontId="3" fillId="0" borderId="7" xfId="0" applyNumberFormat="1" applyFont="1" applyBorder="1"/>
    <xf numFmtId="0" fontId="2" fillId="0" borderId="8" xfId="0" applyFont="1" applyBorder="1" applyAlignment="1">
      <alignment horizontal="center"/>
    </xf>
    <xf numFmtId="39" fontId="2" fillId="0" borderId="8" xfId="1" applyNumberFormat="1" applyFont="1" applyBorder="1" applyAlignment="1">
      <alignment horizontal="center"/>
    </xf>
    <xf numFmtId="39" fontId="2" fillId="0" borderId="8" xfId="1" applyNumberFormat="1" applyFont="1" applyFill="1" applyBorder="1" applyAlignment="1">
      <alignment horizontal="center"/>
    </xf>
    <xf numFmtId="166" fontId="2" fillId="0" borderId="9" xfId="0" applyNumberFormat="1" applyFont="1" applyBorder="1" applyAlignment="1">
      <alignment horizontal="center" wrapText="1"/>
    </xf>
    <xf numFmtId="165" fontId="0" fillId="0" borderId="10" xfId="0" applyNumberFormat="1" applyBorder="1"/>
    <xf numFmtId="166" fontId="2" fillId="0" borderId="11" xfId="0" applyNumberFormat="1" applyFon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12" fillId="6" borderId="11" xfId="0" applyNumberFormat="1" applyFont="1" applyFill="1" applyBorder="1" applyAlignment="1" applyProtection="1">
      <alignment horizontal="center"/>
      <protection locked="0"/>
    </xf>
    <xf numFmtId="166" fontId="0" fillId="6" borderId="11" xfId="0" applyNumberFormat="1" applyFill="1" applyBorder="1" applyAlignment="1" applyProtection="1">
      <alignment horizontal="center"/>
      <protection locked="0"/>
    </xf>
    <xf numFmtId="166" fontId="1" fillId="6" borderId="11" xfId="0" applyNumberFormat="1" applyFont="1" applyFill="1" applyBorder="1" applyAlignment="1" applyProtection="1">
      <alignment horizontal="center"/>
      <protection locked="0"/>
    </xf>
    <xf numFmtId="166" fontId="12" fillId="6" borderId="11" xfId="0" applyNumberFormat="1" applyFont="1" applyFill="1" applyBorder="1" applyAlignment="1">
      <alignment horizontal="center"/>
    </xf>
    <xf numFmtId="166" fontId="1" fillId="4" borderId="11" xfId="0" applyNumberFormat="1" applyFont="1" applyFill="1" applyBorder="1" applyAlignment="1" applyProtection="1">
      <alignment horizontal="center"/>
      <protection locked="0"/>
    </xf>
    <xf numFmtId="166" fontId="1" fillId="0" borderId="11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39" fontId="0" fillId="0" borderId="13" xfId="1" applyNumberFormat="1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0" fontId="0" fillId="0" borderId="13" xfId="0" applyBorder="1"/>
    <xf numFmtId="39" fontId="2" fillId="0" borderId="13" xfId="1" applyNumberFormat="1" applyFont="1" applyBorder="1" applyAlignment="1">
      <alignment horizontal="center"/>
    </xf>
    <xf numFmtId="166" fontId="11" fillId="5" borderId="14" xfId="0" quotePrefix="1" applyNumberFormat="1" applyFont="1" applyFill="1" applyBorder="1" applyAlignment="1">
      <alignment horizontal="center"/>
    </xf>
    <xf numFmtId="0" fontId="12" fillId="0" borderId="15" xfId="0" applyFont="1" applyBorder="1"/>
    <xf numFmtId="0" fontId="12" fillId="0" borderId="18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7" xfId="0" applyBorder="1"/>
    <xf numFmtId="0" fontId="0" fillId="0" borderId="19" xfId="0" applyBorder="1"/>
    <xf numFmtId="0" fontId="0" fillId="0" borderId="18" xfId="0" applyBorder="1"/>
    <xf numFmtId="39" fontId="2" fillId="0" borderId="2" xfId="1" applyNumberFormat="1" applyFont="1" applyFill="1" applyBorder="1" applyAlignment="1">
      <alignment horizontal="center"/>
    </xf>
    <xf numFmtId="0" fontId="0" fillId="0" borderId="6" xfId="0" applyBorder="1"/>
    <xf numFmtId="39" fontId="0" fillId="0" borderId="2" xfId="1" applyNumberFormat="1" applyFont="1" applyBorder="1" applyAlignment="1">
      <alignment horizontal="center"/>
    </xf>
    <xf numFmtId="0" fontId="12" fillId="0" borderId="0" xfId="0" applyFont="1"/>
    <xf numFmtId="0" fontId="12" fillId="0" borderId="16" xfId="0" applyFont="1" applyBorder="1"/>
    <xf numFmtId="3" fontId="0" fillId="0" borderId="0" xfId="0" applyNumberFormat="1"/>
    <xf numFmtId="0" fontId="12" fillId="0" borderId="19" xfId="0" applyFont="1" applyBorder="1"/>
    <xf numFmtId="1" fontId="2" fillId="0" borderId="2" xfId="0" applyNumberFormat="1" applyFont="1" applyBorder="1"/>
    <xf numFmtId="3" fontId="1" fillId="0" borderId="1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0" fillId="2" borderId="23" xfId="0" applyNumberFormat="1" applyFill="1" applyBorder="1" applyAlignment="1" applyProtection="1">
      <alignment horizontal="center"/>
      <protection locked="0"/>
    </xf>
    <xf numFmtId="166" fontId="11" fillId="6" borderId="11" xfId="0" quotePrefix="1" applyNumberFormat="1" applyFont="1" applyFill="1" applyBorder="1" applyAlignment="1">
      <alignment horizontal="center"/>
    </xf>
    <xf numFmtId="166" fontId="12" fillId="6" borderId="0" xfId="0" applyNumberFormat="1" applyFont="1" applyFill="1" applyAlignment="1">
      <alignment horizontal="center"/>
    </xf>
    <xf numFmtId="166" fontId="0" fillId="6" borderId="18" xfId="0" applyNumberFormat="1" applyFill="1" applyBorder="1" applyAlignment="1">
      <alignment horizontal="center"/>
    </xf>
    <xf numFmtId="166" fontId="0" fillId="7" borderId="18" xfId="0" applyNumberFormat="1" applyFill="1" applyBorder="1" applyAlignment="1">
      <alignment horizontal="center"/>
    </xf>
    <xf numFmtId="166" fontId="12" fillId="6" borderId="18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4" borderId="0" xfId="0" applyFill="1"/>
    <xf numFmtId="0" fontId="0" fillId="4" borderId="0" xfId="0" applyFill="1" applyAlignment="1">
      <alignment horizontal="center" vertical="center"/>
    </xf>
    <xf numFmtId="166" fontId="1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wrapText="1"/>
    </xf>
    <xf numFmtId="165" fontId="0" fillId="4" borderId="0" xfId="0" applyNumberFormat="1" applyFill="1" applyAlignment="1">
      <alignment horizontal="center"/>
    </xf>
    <xf numFmtId="166" fontId="1" fillId="4" borderId="0" xfId="0" applyNumberFormat="1" applyFont="1" applyFill="1" applyAlignment="1" applyProtection="1">
      <alignment horizontal="center"/>
      <protection locked="0"/>
    </xf>
    <xf numFmtId="166" fontId="1" fillId="4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166" fontId="13" fillId="4" borderId="0" xfId="0" quotePrefix="1" applyNumberFormat="1" applyFont="1" applyFill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166" fontId="0" fillId="6" borderId="0" xfId="0" applyNumberFormat="1" applyFill="1" applyAlignment="1">
      <alignment horizontal="center"/>
    </xf>
    <xf numFmtId="166" fontId="12" fillId="6" borderId="18" xfId="0" applyNumberFormat="1" applyFont="1" applyFill="1" applyBorder="1" applyAlignment="1">
      <alignment horizontal="left"/>
    </xf>
    <xf numFmtId="166" fontId="12" fillId="6" borderId="0" xfId="0" applyNumberFormat="1" applyFont="1" applyFill="1" applyAlignment="1">
      <alignment horizontal="left"/>
    </xf>
    <xf numFmtId="166" fontId="2" fillId="4" borderId="0" xfId="0" applyNumberFormat="1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2" sqref="G2"/>
    </sheetView>
  </sheetViews>
  <sheetFormatPr defaultColWidth="9.109375" defaultRowHeight="13.2" x14ac:dyDescent="0.25"/>
  <cols>
    <col min="1" max="1" width="12.6640625" style="23" bestFit="1" customWidth="1"/>
    <col min="2" max="4" width="9.109375" style="23"/>
    <col min="5" max="5" width="14.33203125" style="23" customWidth="1"/>
    <col min="6" max="6" width="12.109375" style="23" customWidth="1"/>
    <col min="7" max="7" width="9.109375" style="23"/>
    <col min="8" max="8" width="19.33203125" style="23" customWidth="1"/>
    <col min="9" max="9" width="13.5546875" style="23" customWidth="1"/>
    <col min="10" max="10" width="11.33203125" style="23" customWidth="1"/>
    <col min="11" max="16384" width="9.109375" style="23"/>
  </cols>
  <sheetData>
    <row r="1" spans="1:12" ht="57.6" x14ac:dyDescent="0.25">
      <c r="A1" s="18" t="s">
        <v>0</v>
      </c>
      <c r="B1" s="18" t="s">
        <v>1</v>
      </c>
      <c r="C1" s="19" t="s">
        <v>2</v>
      </c>
      <c r="D1" s="18" t="s">
        <v>3</v>
      </c>
      <c r="E1" s="20" t="s">
        <v>4</v>
      </c>
      <c r="F1" s="21" t="s">
        <v>5</v>
      </c>
      <c r="G1" s="20" t="s">
        <v>68</v>
      </c>
      <c r="H1" s="21" t="s">
        <v>6</v>
      </c>
      <c r="I1" s="20" t="s">
        <v>7</v>
      </c>
      <c r="J1" s="22" t="s">
        <v>8</v>
      </c>
      <c r="K1" s="20" t="s">
        <v>9</v>
      </c>
      <c r="L1" s="20" t="s">
        <v>10</v>
      </c>
    </row>
    <row r="2" spans="1:12" ht="14.4" x14ac:dyDescent="0.3">
      <c r="A2" s="24" t="s">
        <v>11</v>
      </c>
      <c r="B2" s="25">
        <v>1</v>
      </c>
      <c r="C2" s="26">
        <v>1</v>
      </c>
      <c r="D2" s="25">
        <v>2023</v>
      </c>
      <c r="E2" s="27">
        <f>'B16'!L4+'B16 ext'!L4+'B17'!L4</f>
        <v>17224</v>
      </c>
      <c r="F2" s="29">
        <f>('B16'!J4+'B16 ext'!J4+'B17'!J4)/TOTAL!E2</f>
        <v>0.25248438225731534</v>
      </c>
      <c r="G2" s="27">
        <f>'Diesel Reading '!H4</f>
        <v>549.19999999995343</v>
      </c>
      <c r="H2" s="28">
        <f>'Diesel Reading '!I4/'Diesel Reading '!H4</f>
        <v>2.84</v>
      </c>
      <c r="I2" s="27">
        <f>'Water Reading'!L4</f>
        <v>10</v>
      </c>
      <c r="J2" s="29">
        <f>'Water Reading'!I4/'Water Reading'!H4</f>
        <v>1.35</v>
      </c>
      <c r="K2" s="27">
        <v>68</v>
      </c>
      <c r="L2" s="27"/>
    </row>
    <row r="3" spans="1:12" ht="14.4" x14ac:dyDescent="0.3">
      <c r="A3" s="24" t="s">
        <v>11</v>
      </c>
      <c r="B3" s="25">
        <f>B2+1</f>
        <v>2</v>
      </c>
      <c r="C3" s="26">
        <v>1</v>
      </c>
      <c r="D3" s="25">
        <v>2023</v>
      </c>
      <c r="E3" s="27">
        <f>'B16'!L5+'B16 ext'!L5+'B17'!L5</f>
        <v>18321</v>
      </c>
      <c r="F3" s="29">
        <f>('B16'!J5+'B16 ext'!J5+'B17'!J5)/TOTAL!E3</f>
        <v>0.25268429670869491</v>
      </c>
      <c r="G3" s="27">
        <f>'Diesel Reading '!H5</f>
        <v>513.30000000004657</v>
      </c>
      <c r="H3" s="28">
        <f>'Diesel Reading '!I5/'Diesel Reading '!H5</f>
        <v>2.84</v>
      </c>
      <c r="I3" s="27">
        <f>'Water Reading'!L5</f>
        <v>13</v>
      </c>
      <c r="J3" s="29">
        <f>'Water Reading'!I5/'Water Reading'!H5</f>
        <v>1.35</v>
      </c>
      <c r="K3" s="27">
        <v>68</v>
      </c>
      <c r="L3" s="27"/>
    </row>
    <row r="4" spans="1:12" ht="14.4" x14ac:dyDescent="0.3">
      <c r="A4" s="24" t="s">
        <v>11</v>
      </c>
      <c r="B4" s="25">
        <f t="shared" ref="B4:B31" si="0">B3+1</f>
        <v>3</v>
      </c>
      <c r="C4" s="26">
        <v>1</v>
      </c>
      <c r="D4" s="25">
        <v>2023</v>
      </c>
      <c r="E4" s="27">
        <f>'B16'!L6+'B16 ext'!L6+'B17'!L6</f>
        <v>22995</v>
      </c>
      <c r="F4" s="29">
        <f>('B16'!J6+'B16 ext'!J6+'B17'!J6)/TOTAL!E4</f>
        <v>0.23796190476190474</v>
      </c>
      <c r="G4" s="27">
        <f>'Diesel Reading '!H6</f>
        <v>556.30000000004657</v>
      </c>
      <c r="H4" s="28">
        <f>'Diesel Reading '!I6/'Diesel Reading '!H6</f>
        <v>2.84</v>
      </c>
      <c r="I4" s="27">
        <f>'Water Reading'!L6</f>
        <v>17</v>
      </c>
      <c r="J4" s="29">
        <f>'Water Reading'!I6/'Water Reading'!H6</f>
        <v>1.35</v>
      </c>
      <c r="K4" s="27">
        <v>69</v>
      </c>
      <c r="L4" s="27"/>
    </row>
    <row r="5" spans="1:12" ht="14.4" x14ac:dyDescent="0.3">
      <c r="A5" s="24" t="s">
        <v>11</v>
      </c>
      <c r="B5" s="25">
        <f t="shared" si="0"/>
        <v>4</v>
      </c>
      <c r="C5" s="26">
        <v>1</v>
      </c>
      <c r="D5" s="25">
        <v>2023</v>
      </c>
      <c r="E5" s="27">
        <f>'B16'!L7+'B16 ext'!L7+'B17'!L7</f>
        <v>18930</v>
      </c>
      <c r="F5" s="29">
        <f>('B16'!J7+'B16 ext'!J7+'B17'!J7)/TOTAL!E5</f>
        <v>0.25016148969889063</v>
      </c>
      <c r="G5" s="27">
        <f>'Diesel Reading '!H7</f>
        <v>538</v>
      </c>
      <c r="H5" s="28">
        <f>'Diesel Reading '!I7/'Diesel Reading '!H7</f>
        <v>2.84</v>
      </c>
      <c r="I5" s="27">
        <f>'Water Reading'!L7</f>
        <v>24</v>
      </c>
      <c r="J5" s="29">
        <f>'Water Reading'!I7/'Water Reading'!H7</f>
        <v>1.3500000000000003</v>
      </c>
      <c r="K5" s="27">
        <v>50</v>
      </c>
      <c r="L5" s="27"/>
    </row>
    <row r="6" spans="1:12" ht="14.4" x14ac:dyDescent="0.3">
      <c r="A6" s="24" t="s">
        <v>11</v>
      </c>
      <c r="B6" s="25">
        <f t="shared" si="0"/>
        <v>5</v>
      </c>
      <c r="C6" s="26">
        <v>1</v>
      </c>
      <c r="D6" s="25">
        <v>2023</v>
      </c>
      <c r="E6" s="27">
        <f>'B16'!L8+'B16 ext'!L8+'B17'!L8</f>
        <v>18824</v>
      </c>
      <c r="F6" s="29">
        <f>('B16'!J8+'B16 ext'!J8+'B17'!J8)/TOTAL!E6</f>
        <v>0.24939412452188692</v>
      </c>
      <c r="G6" s="27">
        <f>'Diesel Reading '!H8</f>
        <v>571.89999999990687</v>
      </c>
      <c r="H6" s="28">
        <f>'Diesel Reading '!I8/'Diesel Reading '!H8</f>
        <v>2.84</v>
      </c>
      <c r="I6" s="27">
        <f>'Water Reading'!L8</f>
        <v>4</v>
      </c>
      <c r="J6" s="29">
        <f>'Water Reading'!I8/'Water Reading'!H8</f>
        <v>1.35</v>
      </c>
      <c r="K6" s="27">
        <v>54</v>
      </c>
      <c r="L6" s="27"/>
    </row>
    <row r="7" spans="1:12" ht="14.4" x14ac:dyDescent="0.3">
      <c r="A7" s="24" t="s">
        <v>11</v>
      </c>
      <c r="B7" s="25">
        <f t="shared" si="0"/>
        <v>6</v>
      </c>
      <c r="C7" s="26">
        <v>1</v>
      </c>
      <c r="D7" s="25">
        <v>2023</v>
      </c>
      <c r="E7" s="27">
        <f>'B16'!L9+'B16 ext'!L9+'B17'!L9</f>
        <v>13865</v>
      </c>
      <c r="F7" s="29">
        <f>('B16'!J9+'B16 ext'!J9+'B17'!J9)/TOTAL!E7</f>
        <v>0.26439098449332854</v>
      </c>
      <c r="G7" s="27">
        <f>'Diesel Reading '!H10</f>
        <v>601.10000000009313</v>
      </c>
      <c r="H7" s="28">
        <f>'Diesel Reading '!I10/'Diesel Reading '!H10</f>
        <v>2.84</v>
      </c>
      <c r="I7" s="27">
        <f>'Water Reading'!L9</f>
        <v>0</v>
      </c>
      <c r="J7" s="29" t="e">
        <f>'Water Reading'!I9/'Water Reading'!H9</f>
        <v>#DIV/0!</v>
      </c>
      <c r="K7" s="27">
        <v>67</v>
      </c>
      <c r="L7" s="27"/>
    </row>
    <row r="8" spans="1:12" ht="14.4" x14ac:dyDescent="0.3">
      <c r="A8" s="24" t="s">
        <v>11</v>
      </c>
      <c r="B8" s="25">
        <f t="shared" si="0"/>
        <v>7</v>
      </c>
      <c r="C8" s="26">
        <v>1</v>
      </c>
      <c r="D8" s="25">
        <v>2023</v>
      </c>
      <c r="E8" s="27">
        <f>'B16'!L10+'B16 ext'!L10+'B17'!L10</f>
        <v>16824</v>
      </c>
      <c r="F8" s="29">
        <f>('B16'!J10+'B16 ext'!J10+'B17'!J10)/TOTAL!E8</f>
        <v>0.25306508559201135</v>
      </c>
      <c r="G8" s="27">
        <f>'Diesel Reading '!H11</f>
        <v>534</v>
      </c>
      <c r="H8" s="28">
        <f>'Diesel Reading '!I11/'Diesel Reading '!H11</f>
        <v>2.84</v>
      </c>
      <c r="I8" s="27">
        <f>'Water Reading'!L10</f>
        <v>13</v>
      </c>
      <c r="J8" s="29">
        <f>'Water Reading'!I10/'Water Reading'!H10</f>
        <v>1.35</v>
      </c>
      <c r="K8" s="27">
        <v>68</v>
      </c>
      <c r="L8" s="27"/>
    </row>
    <row r="9" spans="1:12" ht="14.4" x14ac:dyDescent="0.3">
      <c r="A9" s="24" t="s">
        <v>11</v>
      </c>
      <c r="B9" s="25">
        <f t="shared" si="0"/>
        <v>8</v>
      </c>
      <c r="C9" s="26">
        <v>1</v>
      </c>
      <c r="D9" s="25">
        <v>2023</v>
      </c>
      <c r="E9" s="27">
        <f>'B16'!L11+'B16 ext'!L11+'B17'!L11</f>
        <v>21348</v>
      </c>
      <c r="F9" s="29">
        <f>('B16'!J11+'B16 ext'!J11+'B17'!J11)/TOTAL!E9</f>
        <v>0.23780874086565487</v>
      </c>
      <c r="G9" s="27">
        <f>'Diesel Reading '!H12</f>
        <v>563.69999999995343</v>
      </c>
      <c r="H9" s="28">
        <f>'Diesel Reading '!I12/'Diesel Reading '!H12</f>
        <v>2.84</v>
      </c>
      <c r="I9" s="27">
        <f>'Water Reading'!L11</f>
        <v>4</v>
      </c>
      <c r="J9" s="29">
        <f>'Water Reading'!I11/'Water Reading'!H11</f>
        <v>1.35</v>
      </c>
      <c r="K9" s="27">
        <v>58</v>
      </c>
      <c r="L9" s="27"/>
    </row>
    <row r="10" spans="1:12" ht="14.4" x14ac:dyDescent="0.3">
      <c r="A10" s="24" t="s">
        <v>11</v>
      </c>
      <c r="B10" s="25">
        <f t="shared" si="0"/>
        <v>9</v>
      </c>
      <c r="C10" s="26">
        <v>1</v>
      </c>
      <c r="D10" s="25">
        <v>2023</v>
      </c>
      <c r="E10" s="27">
        <f>'B16'!L12+'B16 ext'!L12+'B17'!L12</f>
        <v>17916</v>
      </c>
      <c r="F10" s="29">
        <f>('B16'!J12+'B16 ext'!J12+'B17'!J12)/TOTAL!E10</f>
        <v>0.25135314802411252</v>
      </c>
      <c r="G10" s="27">
        <f>'Diesel Reading '!H13</f>
        <v>541.69999999995343</v>
      </c>
      <c r="H10" s="28">
        <f>'Diesel Reading '!I13/'Diesel Reading '!H13</f>
        <v>2.84</v>
      </c>
      <c r="I10" s="27">
        <f>'Water Reading'!L12</f>
        <v>12</v>
      </c>
      <c r="J10" s="29">
        <f>'Water Reading'!I12/'Water Reading'!H12</f>
        <v>1.3500000000000003</v>
      </c>
      <c r="K10" s="27">
        <v>46</v>
      </c>
      <c r="L10" s="27"/>
    </row>
    <row r="11" spans="1:12" ht="14.4" x14ac:dyDescent="0.3">
      <c r="A11" s="24" t="s">
        <v>11</v>
      </c>
      <c r="B11" s="25">
        <f t="shared" si="0"/>
        <v>10</v>
      </c>
      <c r="C11" s="26">
        <v>1</v>
      </c>
      <c r="D11" s="25">
        <v>2023</v>
      </c>
      <c r="E11" s="27">
        <f>'B16'!L13+'B16 ext'!L13+'B17'!L13</f>
        <v>18312</v>
      </c>
      <c r="F11" s="29">
        <f>('B16'!J13+'B16 ext'!J13+'B17'!J13)/TOTAL!E11</f>
        <v>0.24766005897771953</v>
      </c>
      <c r="G11" s="27">
        <f>'Diesel Reading '!H14</f>
        <v>594.79999999981374</v>
      </c>
      <c r="H11" s="28">
        <f>'Diesel Reading '!I14/'Diesel Reading '!H14</f>
        <v>2.84</v>
      </c>
      <c r="I11" s="27">
        <f>'Water Reading'!L13</f>
        <v>23</v>
      </c>
      <c r="J11" s="29">
        <f>'Water Reading'!I13/'Water Reading'!H13</f>
        <v>1.35</v>
      </c>
      <c r="K11" s="27">
        <v>50</v>
      </c>
      <c r="L11" s="27"/>
    </row>
    <row r="12" spans="1:12" ht="14.4" x14ac:dyDescent="0.3">
      <c r="A12" s="24" t="s">
        <v>11</v>
      </c>
      <c r="B12" s="25">
        <f t="shared" si="0"/>
        <v>11</v>
      </c>
      <c r="C12" s="26">
        <v>1</v>
      </c>
      <c r="D12" s="25">
        <v>2023</v>
      </c>
      <c r="E12" s="27">
        <f>'B16'!L14+'B16 ext'!L14+'B17'!L14</f>
        <v>17739</v>
      </c>
      <c r="F12" s="29">
        <f>('B16'!J14+'B16 ext'!J14+'B17'!J14)/TOTAL!E12</f>
        <v>0.25245171655673937</v>
      </c>
      <c r="G12" s="27">
        <f>'Diesel Reading '!H15</f>
        <v>262.30000000004657</v>
      </c>
      <c r="H12" s="28">
        <f>'Diesel Reading '!I15/'Diesel Reading '!H15</f>
        <v>2.84</v>
      </c>
      <c r="I12" s="27">
        <f>'Water Reading'!L14</f>
        <v>17</v>
      </c>
      <c r="J12" s="29">
        <f>'Water Reading'!I14/'Water Reading'!H14</f>
        <v>1.35</v>
      </c>
      <c r="K12" s="27">
        <v>55</v>
      </c>
      <c r="L12" s="27"/>
    </row>
    <row r="13" spans="1:12" ht="14.4" x14ac:dyDescent="0.3">
      <c r="A13" s="24" t="s">
        <v>11</v>
      </c>
      <c r="B13" s="25">
        <f t="shared" si="0"/>
        <v>12</v>
      </c>
      <c r="C13" s="26">
        <v>1</v>
      </c>
      <c r="D13" s="25">
        <v>2023</v>
      </c>
      <c r="E13" s="27">
        <f>'B16'!L15+'B16 ext'!L15+'B17'!L15</f>
        <v>19317</v>
      </c>
      <c r="F13" s="29">
        <f>('B16'!J15+'B16 ext'!J15+'B17'!J15)/TOTAL!E13</f>
        <v>0.24729367914272402</v>
      </c>
      <c r="G13" s="27">
        <f>'Diesel Reading '!H16</f>
        <v>438.30000000004657</v>
      </c>
      <c r="H13" s="28">
        <f>'Diesel Reading '!I16/'Diesel Reading '!H16</f>
        <v>2.84</v>
      </c>
      <c r="I13" s="27">
        <f>'Water Reading'!L15</f>
        <v>11</v>
      </c>
      <c r="J13" s="29">
        <f>'Water Reading'!I15/'Water Reading'!H15</f>
        <v>1.35</v>
      </c>
      <c r="K13" s="27">
        <v>64</v>
      </c>
      <c r="L13" s="27"/>
    </row>
    <row r="14" spans="1:12" ht="14.4" x14ac:dyDescent="0.3">
      <c r="A14" s="24" t="s">
        <v>11</v>
      </c>
      <c r="B14" s="25">
        <f t="shared" si="0"/>
        <v>13</v>
      </c>
      <c r="C14" s="26">
        <v>1</v>
      </c>
      <c r="D14" s="25">
        <v>2023</v>
      </c>
      <c r="E14" s="27">
        <f>'B16'!L16+'B16 ext'!L16+'B17'!L16</f>
        <v>14643</v>
      </c>
      <c r="F14" s="29">
        <f>('B16'!J16+'B16 ext'!J16+'B17'!J16)/TOTAL!E14</f>
        <v>0.27397623437820118</v>
      </c>
      <c r="G14" s="27">
        <f>'Diesel Reading '!H17</f>
        <v>441.80000000004657</v>
      </c>
      <c r="H14" s="28">
        <f>'Diesel Reading '!I17/'Diesel Reading '!H17</f>
        <v>2.84</v>
      </c>
      <c r="I14" s="27">
        <f>'Water Reading'!L16</f>
        <v>15</v>
      </c>
      <c r="J14" s="29">
        <f>'Water Reading'!I16/'Water Reading'!H16</f>
        <v>1.35</v>
      </c>
      <c r="K14" s="27">
        <v>69</v>
      </c>
      <c r="L14" s="27"/>
    </row>
    <row r="15" spans="1:12" ht="14.4" x14ac:dyDescent="0.3">
      <c r="A15" s="24" t="s">
        <v>11</v>
      </c>
      <c r="B15" s="25">
        <f t="shared" si="0"/>
        <v>14</v>
      </c>
      <c r="C15" s="26">
        <v>1</v>
      </c>
      <c r="D15" s="25">
        <v>2023</v>
      </c>
      <c r="E15" s="27">
        <f>'B16'!L17+'B16 ext'!L17+'B17'!L17</f>
        <v>19496</v>
      </c>
      <c r="F15" s="29">
        <f>('B16'!J17+'B16 ext'!J17+'B17'!J17)/TOTAL!E15</f>
        <v>0.24747384078785392</v>
      </c>
      <c r="G15" s="27">
        <f>'Diesel Reading '!H18</f>
        <v>445.39999999990687</v>
      </c>
      <c r="H15" s="28">
        <f>'Diesel Reading '!I18/'Diesel Reading '!H18</f>
        <v>2.84</v>
      </c>
      <c r="I15" s="27">
        <f>'Water Reading'!L17</f>
        <v>21</v>
      </c>
      <c r="J15" s="29">
        <f>'Water Reading'!I17/'Water Reading'!H17</f>
        <v>1.35</v>
      </c>
      <c r="K15" s="27">
        <v>60</v>
      </c>
      <c r="L15" s="27"/>
    </row>
    <row r="16" spans="1:12" ht="14.4" x14ac:dyDescent="0.3">
      <c r="A16" s="24" t="s">
        <v>11</v>
      </c>
      <c r="B16" s="25">
        <f t="shared" si="0"/>
        <v>15</v>
      </c>
      <c r="C16" s="26">
        <v>1</v>
      </c>
      <c r="D16" s="25">
        <v>2023</v>
      </c>
      <c r="E16" s="27">
        <f>'B16'!L18+'B16 ext'!L18+'B17'!L18</f>
        <v>19670</v>
      </c>
      <c r="F16" s="29">
        <f>('B16'!J18+'B16 ext'!J18+'B17'!J18)/TOTAL!E16</f>
        <v>0.25054667005592268</v>
      </c>
      <c r="G16" s="27">
        <f>'Diesel Reading '!H19</f>
        <v>461.80000000004657</v>
      </c>
      <c r="H16" s="28">
        <f>'Diesel Reading '!I19/'Diesel Reading '!H19</f>
        <v>2.84</v>
      </c>
      <c r="I16" s="27">
        <f>'Water Reading'!L18</f>
        <v>10</v>
      </c>
      <c r="J16" s="29">
        <f>'Water Reading'!I18/'Water Reading'!H18</f>
        <v>1.35</v>
      </c>
      <c r="K16" s="27">
        <v>39</v>
      </c>
      <c r="L16" s="27"/>
    </row>
    <row r="17" spans="1:12" ht="14.4" x14ac:dyDescent="0.3">
      <c r="A17" s="24" t="s">
        <v>11</v>
      </c>
      <c r="B17" s="25">
        <f t="shared" si="0"/>
        <v>16</v>
      </c>
      <c r="C17" s="26">
        <v>1</v>
      </c>
      <c r="D17" s="25">
        <v>2023</v>
      </c>
      <c r="E17" s="27">
        <f>'B16'!L19+'B16 ext'!L19+'B17'!L19</f>
        <v>18342</v>
      </c>
      <c r="F17" s="29">
        <f>('B16'!J19+'B16 ext'!J19+'B17'!J19)/TOTAL!E17</f>
        <v>0.25064295060516845</v>
      </c>
      <c r="G17" s="27">
        <f>'Diesel Reading '!H20</f>
        <v>402.19999999995343</v>
      </c>
      <c r="H17" s="28">
        <f>'Diesel Reading '!I20/'Diesel Reading '!H20</f>
        <v>2.84</v>
      </c>
      <c r="I17" s="27">
        <f>'Water Reading'!L19</f>
        <v>0</v>
      </c>
      <c r="J17" s="29" t="e">
        <f>'Water Reading'!I19/'Water Reading'!H19</f>
        <v>#DIV/0!</v>
      </c>
      <c r="K17" s="27">
        <v>53</v>
      </c>
      <c r="L17" s="27"/>
    </row>
    <row r="18" spans="1:12" ht="14.4" x14ac:dyDescent="0.3">
      <c r="A18" s="24" t="s">
        <v>11</v>
      </c>
      <c r="B18" s="25">
        <f t="shared" si="0"/>
        <v>17</v>
      </c>
      <c r="C18" s="26">
        <v>1</v>
      </c>
      <c r="D18" s="25">
        <v>2023</v>
      </c>
      <c r="E18" s="27">
        <f>'B16'!L20+'B16 ext'!L20+'B17'!L20</f>
        <v>18407</v>
      </c>
      <c r="F18" s="29">
        <f>('B16'!J20+'B16 ext'!J20+'B17'!J20)/TOTAL!E18</f>
        <v>0.24854365187157057</v>
      </c>
      <c r="G18" s="27">
        <f>'Diesel Reading '!H21</f>
        <v>285.20000000018626</v>
      </c>
      <c r="H18" s="28">
        <f>'Diesel Reading '!I21/'Diesel Reading '!H21</f>
        <v>2.84</v>
      </c>
      <c r="I18" s="27">
        <f>'Water Reading'!L20</f>
        <v>3</v>
      </c>
      <c r="J18" s="29">
        <f>'Water Reading'!I20/'Water Reading'!H20</f>
        <v>1.3500000000000003</v>
      </c>
      <c r="K18" s="27">
        <v>46</v>
      </c>
      <c r="L18" s="27"/>
    </row>
    <row r="19" spans="1:12" ht="14.4" x14ac:dyDescent="0.3">
      <c r="A19" s="24" t="s">
        <v>11</v>
      </c>
      <c r="B19" s="25">
        <f t="shared" si="0"/>
        <v>18</v>
      </c>
      <c r="C19" s="26">
        <v>1</v>
      </c>
      <c r="D19" s="25">
        <v>2023</v>
      </c>
      <c r="E19" s="27">
        <f>'B16'!L21+'B16 ext'!L21+'B17'!L21</f>
        <v>17402</v>
      </c>
      <c r="F19" s="29">
        <f>('B16'!J21+'B16 ext'!J21+'B17'!J21)/TOTAL!E19</f>
        <v>0.2513742098609355</v>
      </c>
      <c r="G19" s="27">
        <f>'Diesel Reading '!H22</f>
        <v>290.79999999981374</v>
      </c>
      <c r="H19" s="28">
        <f>'Diesel Reading '!I22/'Diesel Reading '!H22</f>
        <v>2.84</v>
      </c>
      <c r="I19" s="27">
        <f>'Water Reading'!L21</f>
        <v>69</v>
      </c>
      <c r="J19" s="29">
        <f>'Water Reading'!I21/'Water Reading'!H21</f>
        <v>1.35</v>
      </c>
      <c r="K19" s="27">
        <v>41</v>
      </c>
      <c r="L19" s="27"/>
    </row>
    <row r="20" spans="1:12" ht="14.4" x14ac:dyDescent="0.3">
      <c r="A20" s="24" t="s">
        <v>11</v>
      </c>
      <c r="B20" s="25">
        <f t="shared" si="0"/>
        <v>19</v>
      </c>
      <c r="C20" s="26">
        <v>1</v>
      </c>
      <c r="D20" s="25">
        <v>2023</v>
      </c>
      <c r="E20" s="27">
        <f>'B16'!L22+'B16 ext'!L22+'B17'!L22</f>
        <v>17791</v>
      </c>
      <c r="F20" s="29">
        <f>('B16'!J22+'B16 ext'!J22+'B17'!J22)/TOTAL!E20</f>
        <v>0.25036569051767743</v>
      </c>
      <c r="G20" s="27">
        <f>'Diesel Reading '!H23</f>
        <v>384.20000000018626</v>
      </c>
      <c r="H20" s="28">
        <f>'Diesel Reading '!I23/'Diesel Reading '!H23</f>
        <v>2.8400000000000003</v>
      </c>
      <c r="I20" s="27">
        <f>'Water Reading'!L22</f>
        <v>26</v>
      </c>
      <c r="J20" s="29">
        <f>'Water Reading'!I22/'Water Reading'!H22</f>
        <v>1.35</v>
      </c>
      <c r="K20" s="27">
        <v>38</v>
      </c>
      <c r="L20" s="27"/>
    </row>
    <row r="21" spans="1:12" ht="14.4" x14ac:dyDescent="0.3">
      <c r="A21" s="24" t="s">
        <v>11</v>
      </c>
      <c r="B21" s="25">
        <f t="shared" si="0"/>
        <v>20</v>
      </c>
      <c r="C21" s="26">
        <v>1</v>
      </c>
      <c r="D21" s="25">
        <v>2023</v>
      </c>
      <c r="E21" s="27">
        <f>'B16'!L23+'B16 ext'!L23+'B17'!L23</f>
        <v>18589</v>
      </c>
      <c r="F21" s="29">
        <f>('B16'!J23+'B16 ext'!J23+'B17'!J23)/TOTAL!E21</f>
        <v>0.24786707192425625</v>
      </c>
      <c r="G21" s="27">
        <f>'Diesel Reading '!H24</f>
        <v>368.39999999990687</v>
      </c>
      <c r="H21" s="28">
        <f>'Diesel Reading '!I24/'Diesel Reading '!H24</f>
        <v>2.84</v>
      </c>
      <c r="I21" s="27">
        <f>'Water Reading'!L23</f>
        <v>11</v>
      </c>
      <c r="J21" s="29">
        <f>'Water Reading'!I23/'Water Reading'!H23</f>
        <v>1.35</v>
      </c>
      <c r="K21" s="27">
        <v>47</v>
      </c>
      <c r="L21" s="27"/>
    </row>
    <row r="22" spans="1:12" ht="14.4" x14ac:dyDescent="0.3">
      <c r="A22" s="24" t="s">
        <v>11</v>
      </c>
      <c r="B22" s="25">
        <f t="shared" si="0"/>
        <v>21</v>
      </c>
      <c r="C22" s="26">
        <v>1</v>
      </c>
      <c r="D22" s="25">
        <v>2023</v>
      </c>
      <c r="E22" s="27">
        <f>'B16'!L24+'B16 ext'!L24+'B17'!L24</f>
        <v>19287</v>
      </c>
      <c r="F22" s="29">
        <f>('B16'!J24+'B16 ext'!J24+'B17'!J24)/TOTAL!E22</f>
        <v>0.2488648312334733</v>
      </c>
      <c r="G22" s="27">
        <f>'Diesel Reading '!H25</f>
        <v>385</v>
      </c>
      <c r="H22" s="28">
        <f>'Diesel Reading '!I25/'Diesel Reading '!H25</f>
        <v>2.84</v>
      </c>
      <c r="I22" s="27">
        <f>'Water Reading'!L24</f>
        <v>7</v>
      </c>
      <c r="J22" s="29">
        <f>'Water Reading'!I24/'Water Reading'!H24</f>
        <v>1.35</v>
      </c>
      <c r="K22" s="27">
        <v>65</v>
      </c>
      <c r="L22" s="27"/>
    </row>
    <row r="23" spans="1:12" ht="14.4" x14ac:dyDescent="0.3">
      <c r="A23" s="24" t="s">
        <v>11</v>
      </c>
      <c r="B23" s="25">
        <f t="shared" si="0"/>
        <v>22</v>
      </c>
      <c r="C23" s="26">
        <v>1</v>
      </c>
      <c r="D23" s="25">
        <v>2023</v>
      </c>
      <c r="E23" s="27">
        <f>'B16'!L25+'B16 ext'!L25+'B17'!L25</f>
        <v>19062</v>
      </c>
      <c r="F23" s="29">
        <f>('B16'!J25+'B16 ext'!J25+'B17'!J25)/TOTAL!E23</f>
        <v>0.25352722694365754</v>
      </c>
      <c r="G23" s="27">
        <f>'Diesel Reading '!H26</f>
        <v>384.30000000004657</v>
      </c>
      <c r="H23" s="28">
        <f>'Diesel Reading '!I26/'Diesel Reading '!H26</f>
        <v>2.84</v>
      </c>
      <c r="I23" s="27">
        <f>'Water Reading'!L25</f>
        <v>15</v>
      </c>
      <c r="J23" s="29">
        <f>'Water Reading'!I25/'Water Reading'!H25</f>
        <v>1.3500000000000003</v>
      </c>
      <c r="K23" s="27">
        <v>74</v>
      </c>
      <c r="L23" s="27"/>
    </row>
    <row r="24" spans="1:12" ht="14.4" x14ac:dyDescent="0.3">
      <c r="A24" s="24" t="s">
        <v>11</v>
      </c>
      <c r="B24" s="25">
        <f t="shared" si="0"/>
        <v>23</v>
      </c>
      <c r="C24" s="26">
        <v>1</v>
      </c>
      <c r="D24" s="25">
        <v>2023</v>
      </c>
      <c r="E24" s="27">
        <f>'B16'!L26+'B16 ext'!L26+'B17'!L26</f>
        <v>19947</v>
      </c>
      <c r="F24" s="29">
        <f>('B16'!J26+'B16 ext'!J26+'B17'!J26)/TOTAL!E24</f>
        <v>0.24760550458715591</v>
      </c>
      <c r="G24" s="27">
        <f>'Diesel Reading '!H27</f>
        <v>402.19999999995343</v>
      </c>
      <c r="H24" s="28">
        <f>'Diesel Reading '!I27/'Diesel Reading '!H27</f>
        <v>2.84</v>
      </c>
      <c r="I24" s="27">
        <f>'Water Reading'!L26</f>
        <v>15</v>
      </c>
      <c r="J24" s="29">
        <f>'Water Reading'!I26/'Water Reading'!H26</f>
        <v>1.35</v>
      </c>
      <c r="K24" s="27">
        <v>78</v>
      </c>
      <c r="L24" s="27"/>
    </row>
    <row r="25" spans="1:12" ht="14.4" x14ac:dyDescent="0.3">
      <c r="A25" s="24" t="s">
        <v>11</v>
      </c>
      <c r="B25" s="25">
        <f t="shared" si="0"/>
        <v>24</v>
      </c>
      <c r="C25" s="26">
        <v>1</v>
      </c>
      <c r="D25" s="25">
        <v>2023</v>
      </c>
      <c r="E25" s="27">
        <f>'B16'!L27+'B16 ext'!L27+'B17'!L27</f>
        <v>19164</v>
      </c>
      <c r="F25" s="29">
        <f>('B16'!J27+'B16 ext'!J27+'B17'!J27)/TOTAL!E25</f>
        <v>0.25028757044458361</v>
      </c>
      <c r="G25" s="27">
        <f>'Diesel Reading '!H28</f>
        <v>398.60000000009313</v>
      </c>
      <c r="H25" s="28">
        <f>'Diesel Reading '!I28/'Diesel Reading '!H28</f>
        <v>2.8400000000000003</v>
      </c>
      <c r="I25" s="27">
        <f>'Water Reading'!L27</f>
        <v>14</v>
      </c>
      <c r="J25" s="29">
        <f>'Water Reading'!I27/'Water Reading'!H27</f>
        <v>1.35</v>
      </c>
      <c r="K25" s="27">
        <v>74</v>
      </c>
      <c r="L25" s="27"/>
    </row>
    <row r="26" spans="1:12" ht="14.4" x14ac:dyDescent="0.3">
      <c r="A26" s="24" t="s">
        <v>11</v>
      </c>
      <c r="B26" s="25">
        <f>B25+1</f>
        <v>25</v>
      </c>
      <c r="C26" s="26">
        <v>1</v>
      </c>
      <c r="D26" s="25">
        <v>2023</v>
      </c>
      <c r="E26" s="27">
        <f>'B16'!L28+'B16 ext'!L28+'B17'!L28</f>
        <v>19648</v>
      </c>
      <c r="F26" s="29">
        <f>('B16'!J28+'B16 ext'!J28+'B17'!J28)/TOTAL!E26</f>
        <v>0.24957822679153094</v>
      </c>
      <c r="G26" s="27">
        <f>'Diesel Reading '!H29</f>
        <v>347.29999999981374</v>
      </c>
      <c r="H26" s="28">
        <f>'Diesel Reading '!I29/'Diesel Reading '!H29</f>
        <v>2.84</v>
      </c>
      <c r="I26" s="27">
        <f>'Water Reading'!L28</f>
        <v>22</v>
      </c>
      <c r="J26" s="29">
        <f>'Water Reading'!I28/'Water Reading'!H28</f>
        <v>1.35</v>
      </c>
      <c r="K26" s="27">
        <v>73</v>
      </c>
      <c r="L26" s="27"/>
    </row>
    <row r="27" spans="1:12" ht="14.4" x14ac:dyDescent="0.3">
      <c r="A27" s="24" t="s">
        <v>11</v>
      </c>
      <c r="B27" s="25">
        <f t="shared" si="0"/>
        <v>26</v>
      </c>
      <c r="C27" s="26">
        <v>1</v>
      </c>
      <c r="D27" s="25">
        <v>2023</v>
      </c>
      <c r="E27" s="27">
        <f>'B16'!L29+'B16 ext'!L29+'B17'!L29</f>
        <v>19985</v>
      </c>
      <c r="F27" s="29">
        <f>('B16'!J29+'B16 ext'!J29+'B17'!J29)/TOTAL!E27</f>
        <v>0.24897087815861893</v>
      </c>
      <c r="G27" s="27">
        <f>'Diesel Reading '!H30</f>
        <v>361.10000000009313</v>
      </c>
      <c r="H27" s="28">
        <f>'Diesel Reading '!I30/'Diesel Reading '!H30</f>
        <v>2.8400000000000003</v>
      </c>
      <c r="I27" s="27">
        <f>'Water Reading'!L29</f>
        <v>20</v>
      </c>
      <c r="J27" s="29">
        <f>'Water Reading'!I29/'Water Reading'!H29</f>
        <v>1.35</v>
      </c>
      <c r="K27" s="27">
        <v>69</v>
      </c>
      <c r="L27" s="27"/>
    </row>
    <row r="28" spans="1:12" ht="14.4" x14ac:dyDescent="0.3">
      <c r="A28" s="24" t="s">
        <v>11</v>
      </c>
      <c r="B28" s="25">
        <f t="shared" si="0"/>
        <v>27</v>
      </c>
      <c r="C28" s="26">
        <v>1</v>
      </c>
      <c r="D28" s="25">
        <v>2023</v>
      </c>
      <c r="E28" s="27">
        <f>'B16'!L30+'B16 ext'!L30+'B17'!L30</f>
        <v>19684</v>
      </c>
      <c r="F28" s="29">
        <f>('B16'!J30+'B16 ext'!J30+'B17'!J30)/TOTAL!E28</f>
        <v>0.24994172932330827</v>
      </c>
      <c r="G28" s="27">
        <f>'Diesel Reading '!H31</f>
        <v>397.5</v>
      </c>
      <c r="H28" s="28">
        <f>'Diesel Reading '!I31/'Diesel Reading '!H31</f>
        <v>2.84</v>
      </c>
      <c r="I28" s="27">
        <f>'Water Reading'!L30</f>
        <v>23</v>
      </c>
      <c r="J28" s="29">
        <f>'Water Reading'!I30/'Water Reading'!H30</f>
        <v>1.35</v>
      </c>
      <c r="K28" s="27">
        <v>61</v>
      </c>
      <c r="L28" s="27"/>
    </row>
    <row r="29" spans="1:12" ht="14.4" x14ac:dyDescent="0.3">
      <c r="A29" s="24" t="s">
        <v>11</v>
      </c>
      <c r="B29" s="25">
        <f t="shared" si="0"/>
        <v>28</v>
      </c>
      <c r="C29" s="26">
        <v>1</v>
      </c>
      <c r="D29" s="25">
        <v>2023</v>
      </c>
      <c r="E29" s="27">
        <f>'B16'!L31+'B16 ext'!L31+'B17'!L31</f>
        <v>19693</v>
      </c>
      <c r="F29" s="29">
        <f>('B16'!J31+'B16 ext'!J31+'B17'!J31)/TOTAL!E29</f>
        <v>0.24671812319098152</v>
      </c>
      <c r="G29" s="27">
        <f>'Diesel Reading '!H32</f>
        <v>355.19999999995343</v>
      </c>
      <c r="H29" s="28">
        <f>'Diesel Reading '!I32/'Diesel Reading '!H32</f>
        <v>2.84</v>
      </c>
      <c r="I29" s="27">
        <f>'Water Reading'!L31</f>
        <v>34</v>
      </c>
      <c r="J29" s="29">
        <f>'Water Reading'!I31/'Water Reading'!H31</f>
        <v>1.35</v>
      </c>
      <c r="K29" s="27">
        <v>58</v>
      </c>
      <c r="L29" s="27"/>
    </row>
    <row r="30" spans="1:12" ht="14.4" x14ac:dyDescent="0.3">
      <c r="A30" s="24" t="s">
        <v>11</v>
      </c>
      <c r="B30" s="25">
        <f t="shared" si="0"/>
        <v>29</v>
      </c>
      <c r="C30" s="26">
        <v>1</v>
      </c>
      <c r="D30" s="25">
        <v>2023</v>
      </c>
      <c r="E30" s="27">
        <f>'B16'!L32+'B16 ext'!L32+'B17'!L32</f>
        <v>17929</v>
      </c>
      <c r="F30" s="29">
        <f>('B16'!J32+'B16 ext'!J32+'B17'!J32)/TOTAL!E30</f>
        <v>0.24785699146633941</v>
      </c>
      <c r="G30" s="27">
        <f>'Diesel Reading '!H33</f>
        <v>330.4000000001397</v>
      </c>
      <c r="H30" s="28">
        <f>'Diesel Reading '!I33/'Diesel Reading '!H33</f>
        <v>2.84</v>
      </c>
      <c r="I30" s="27">
        <f>'Water Reading'!L32</f>
        <v>14</v>
      </c>
      <c r="J30" s="29">
        <f>'Water Reading'!I32/'Water Reading'!H32</f>
        <v>1.35</v>
      </c>
      <c r="K30" s="27">
        <v>40</v>
      </c>
      <c r="L30" s="27"/>
    </row>
    <row r="31" spans="1:12" ht="14.4" x14ac:dyDescent="0.3">
      <c r="A31" s="24" t="s">
        <v>11</v>
      </c>
      <c r="B31" s="25">
        <f t="shared" si="0"/>
        <v>30</v>
      </c>
      <c r="C31" s="26">
        <v>1</v>
      </c>
      <c r="D31" s="25">
        <v>2023</v>
      </c>
      <c r="E31" s="27">
        <f>'B16'!L33+'B16 ext'!L33+'B17'!L33</f>
        <v>18315</v>
      </c>
      <c r="F31" s="29">
        <f>('B16'!J33+'B16 ext'!J33+'B17'!J33)/TOTAL!E31</f>
        <v>0.24996363636363636</v>
      </c>
      <c r="G31" s="27">
        <f>'Diesel Reading '!H34</f>
        <v>331.5999999998603</v>
      </c>
      <c r="H31" s="28" t="e">
        <f>'Diesel Reading '!I35/'Diesel Reading '!H35</f>
        <v>#DIV/0!</v>
      </c>
      <c r="I31" s="27">
        <f>'Water Reading'!L33</f>
        <v>19</v>
      </c>
      <c r="J31" s="29">
        <f>'Water Reading'!I33/'Water Reading'!H33</f>
        <v>1.35</v>
      </c>
      <c r="K31" s="27">
        <v>40</v>
      </c>
      <c r="L31" s="27"/>
    </row>
    <row r="32" spans="1:12" ht="14.4" x14ac:dyDescent="0.3">
      <c r="A32" s="24" t="s">
        <v>11</v>
      </c>
      <c r="B32" s="25">
        <v>31</v>
      </c>
      <c r="C32" s="26">
        <v>1</v>
      </c>
      <c r="D32" s="25">
        <v>2023</v>
      </c>
      <c r="E32" s="27">
        <f>'B16'!L34+'B16 ext'!L34+'B17'!L34</f>
        <v>0</v>
      </c>
      <c r="F32" s="29" t="e">
        <f>('B16'!J34+'B16 ext'!J34+'B17'!J34)/TOTAL!E32</f>
        <v>#DIV/0!</v>
      </c>
      <c r="G32" s="27">
        <f>'Diesel Reading '!H35</f>
        <v>0</v>
      </c>
      <c r="H32" s="28">
        <f>'Diesel Reading '!I36/'Diesel Reading '!H36</f>
        <v>2.84</v>
      </c>
      <c r="I32" s="27">
        <f>'Water Reading'!L34</f>
        <v>0</v>
      </c>
      <c r="J32" s="29" t="e">
        <f>'Water Reading'!I34/'Water Reading'!H34</f>
        <v>#DIV/0!</v>
      </c>
      <c r="K32" s="27">
        <v>50</v>
      </c>
      <c r="L3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9"/>
  <sheetViews>
    <sheetView topLeftCell="A16" zoomScaleNormal="100" workbookViewId="0">
      <selection activeCell="E31" sqref="E31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0.33203125" style="1" bestFit="1" customWidth="1"/>
    <col min="5" max="5" width="18.88671875" style="1" customWidth="1"/>
    <col min="6" max="6" width="14.6640625" style="1" customWidth="1"/>
    <col min="7" max="7" width="11.33203125" customWidth="1"/>
    <col min="8" max="8" width="11.6640625" customWidth="1"/>
    <col min="9" max="9" width="19.109375" style="1" bestFit="1" customWidth="1"/>
    <col min="10" max="10" width="10.109375" style="14" bestFit="1" customWidth="1"/>
  </cols>
  <sheetData>
    <row r="1" spans="1:12" ht="17.399999999999999" x14ac:dyDescent="0.3">
      <c r="A1" s="6" t="s">
        <v>12</v>
      </c>
    </row>
    <row r="2" spans="1:12" ht="17.399999999999999" x14ac:dyDescent="0.3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2" x14ac:dyDescent="0.25">
      <c r="A3" s="3"/>
      <c r="B3" s="7" t="s">
        <v>20</v>
      </c>
      <c r="C3" s="7" t="s">
        <v>20</v>
      </c>
      <c r="D3" s="7" t="s">
        <v>21</v>
      </c>
      <c r="E3" s="7" t="s">
        <v>21</v>
      </c>
      <c r="F3" s="34" t="s">
        <v>20</v>
      </c>
      <c r="G3" s="7" t="s">
        <v>22</v>
      </c>
      <c r="H3" s="11"/>
      <c r="I3" s="7" t="s">
        <v>23</v>
      </c>
      <c r="J3" s="15" t="s">
        <v>24</v>
      </c>
    </row>
    <row r="4" spans="1:12" x14ac:dyDescent="0.25">
      <c r="A4" s="5">
        <v>44927</v>
      </c>
      <c r="B4" s="10">
        <v>5150</v>
      </c>
      <c r="C4" s="8">
        <f>IF(B5-B4 &lt; 0,0,B5-B4)</f>
        <v>5342</v>
      </c>
      <c r="D4" s="10">
        <v>2851</v>
      </c>
      <c r="E4" s="8">
        <f>IF(D5-D4 &lt; 0,0,D5-D4)</f>
        <v>2765</v>
      </c>
      <c r="F4" s="10">
        <v>438</v>
      </c>
      <c r="G4" s="38">
        <v>0.74</v>
      </c>
      <c r="H4" s="12" t="s">
        <v>25</v>
      </c>
      <c r="I4" s="8">
        <f>+E4+C4</f>
        <v>8107</v>
      </c>
      <c r="J4" s="16">
        <f>(C4*0.288)+(E4*0.177)</f>
        <v>2027.9009999999998</v>
      </c>
      <c r="L4" s="97">
        <f>C4+E4</f>
        <v>8107</v>
      </c>
    </row>
    <row r="5" spans="1:12" x14ac:dyDescent="0.25">
      <c r="A5" s="5">
        <v>44928</v>
      </c>
      <c r="B5" s="10">
        <v>10492</v>
      </c>
      <c r="C5" s="8">
        <f t="shared" ref="C5:C33" si="0">IF(B6-B5 &lt; 0,0,B6-B5)</f>
        <v>5657</v>
      </c>
      <c r="D5" s="10">
        <v>5616</v>
      </c>
      <c r="E5" s="8">
        <f t="shared" ref="E5:E33" si="1">IF(D6-D5 &lt; 0,0,D6-D5)</f>
        <v>2935</v>
      </c>
      <c r="F5" s="10">
        <v>469</v>
      </c>
      <c r="G5" s="38">
        <v>0.74</v>
      </c>
      <c r="H5" s="12" t="s">
        <v>25</v>
      </c>
      <c r="I5" s="8">
        <f t="shared" ref="I5:I35" si="2">+E5+C5</f>
        <v>8592</v>
      </c>
      <c r="J5" s="16">
        <f t="shared" ref="J5:J35" si="3">(C5*0.288)+(E5*0.177)</f>
        <v>2148.7109999999998</v>
      </c>
      <c r="L5" s="97">
        <f t="shared" ref="L5:L34" si="4">C5+E5</f>
        <v>8592</v>
      </c>
    </row>
    <row r="6" spans="1:12" x14ac:dyDescent="0.25">
      <c r="A6" s="5">
        <v>44929</v>
      </c>
      <c r="B6" s="10">
        <v>16149</v>
      </c>
      <c r="C6" s="8">
        <f t="shared" si="0"/>
        <v>5509</v>
      </c>
      <c r="D6" s="10">
        <v>8551</v>
      </c>
      <c r="E6" s="8">
        <f t="shared" si="1"/>
        <v>5939</v>
      </c>
      <c r="F6" s="10">
        <v>490</v>
      </c>
      <c r="G6" s="38">
        <v>0.75</v>
      </c>
      <c r="H6" s="12" t="s">
        <v>25</v>
      </c>
      <c r="I6" s="8">
        <f t="shared" si="2"/>
        <v>11448</v>
      </c>
      <c r="J6" s="16">
        <f t="shared" si="3"/>
        <v>2637.7950000000001</v>
      </c>
      <c r="L6" s="97">
        <f t="shared" si="4"/>
        <v>11448</v>
      </c>
    </row>
    <row r="7" spans="1:12" x14ac:dyDescent="0.25">
      <c r="A7" s="5">
        <v>44930</v>
      </c>
      <c r="B7" s="10">
        <v>21658</v>
      </c>
      <c r="C7" s="8">
        <f t="shared" si="0"/>
        <v>5591</v>
      </c>
      <c r="D7" s="10">
        <v>14490</v>
      </c>
      <c r="E7" s="8">
        <f t="shared" si="1"/>
        <v>3109</v>
      </c>
      <c r="F7" s="10">
        <v>475</v>
      </c>
      <c r="G7" s="38">
        <v>0.54</v>
      </c>
      <c r="H7" s="12" t="s">
        <v>25</v>
      </c>
      <c r="I7" s="8">
        <f t="shared" si="2"/>
        <v>8700</v>
      </c>
      <c r="J7" s="16">
        <f t="shared" si="3"/>
        <v>2160.5009999999997</v>
      </c>
      <c r="L7" s="97">
        <f t="shared" si="4"/>
        <v>8700</v>
      </c>
    </row>
    <row r="8" spans="1:12" x14ac:dyDescent="0.25">
      <c r="A8" s="5">
        <v>44931</v>
      </c>
      <c r="B8" s="10">
        <v>27249</v>
      </c>
      <c r="C8" s="8">
        <f t="shared" si="0"/>
        <v>5680</v>
      </c>
      <c r="D8" s="10">
        <v>17599</v>
      </c>
      <c r="E8" s="8">
        <f t="shared" si="1"/>
        <v>3031</v>
      </c>
      <c r="F8" s="10">
        <v>475</v>
      </c>
      <c r="G8" s="38">
        <v>0.59</v>
      </c>
      <c r="H8" s="12" t="s">
        <v>25</v>
      </c>
      <c r="I8" s="8">
        <f t="shared" si="2"/>
        <v>8711</v>
      </c>
      <c r="J8" s="16">
        <f t="shared" si="3"/>
        <v>2172.3269999999998</v>
      </c>
      <c r="L8" s="97">
        <f t="shared" si="4"/>
        <v>8711</v>
      </c>
    </row>
    <row r="9" spans="1:12" x14ac:dyDescent="0.25">
      <c r="A9" s="5">
        <v>44932</v>
      </c>
      <c r="B9" s="10">
        <v>32929</v>
      </c>
      <c r="C9" s="8">
        <f t="shared" si="0"/>
        <v>5072</v>
      </c>
      <c r="D9" s="10">
        <v>20630</v>
      </c>
      <c r="E9" s="8">
        <f t="shared" si="1"/>
        <v>578</v>
      </c>
      <c r="F9" s="10">
        <v>475</v>
      </c>
      <c r="G9" s="38">
        <v>0.73</v>
      </c>
      <c r="H9" s="12" t="s">
        <v>25</v>
      </c>
      <c r="I9" s="8">
        <f t="shared" si="2"/>
        <v>5650</v>
      </c>
      <c r="J9" s="16">
        <f t="shared" si="3"/>
        <v>1563.0419999999999</v>
      </c>
      <c r="L9" s="97">
        <f t="shared" si="4"/>
        <v>5650</v>
      </c>
    </row>
    <row r="10" spans="1:12" x14ac:dyDescent="0.25">
      <c r="A10" s="5">
        <v>44933</v>
      </c>
      <c r="B10" s="10">
        <v>38001</v>
      </c>
      <c r="C10" s="8">
        <f t="shared" si="0"/>
        <v>5445</v>
      </c>
      <c r="D10" s="10">
        <v>21208</v>
      </c>
      <c r="E10" s="8">
        <f t="shared" si="1"/>
        <v>2621</v>
      </c>
      <c r="F10" s="10">
        <v>493</v>
      </c>
      <c r="G10" s="39">
        <v>0.74</v>
      </c>
      <c r="H10" s="12" t="s">
        <v>25</v>
      </c>
      <c r="I10" s="8">
        <f t="shared" si="2"/>
        <v>8066</v>
      </c>
      <c r="J10" s="16">
        <f t="shared" si="3"/>
        <v>2032.0769999999998</v>
      </c>
      <c r="L10" s="97">
        <f t="shared" si="4"/>
        <v>8066</v>
      </c>
    </row>
    <row r="11" spans="1:12" x14ac:dyDescent="0.25">
      <c r="A11" s="5">
        <v>44934</v>
      </c>
      <c r="B11" s="10">
        <v>43446</v>
      </c>
      <c r="C11" s="8">
        <f t="shared" si="0"/>
        <v>5602</v>
      </c>
      <c r="D11" s="10">
        <v>23829</v>
      </c>
      <c r="E11" s="8">
        <f t="shared" si="1"/>
        <v>5917</v>
      </c>
      <c r="F11" s="10">
        <v>493</v>
      </c>
      <c r="G11" s="38">
        <v>0.63</v>
      </c>
      <c r="H11" s="12" t="s">
        <v>26</v>
      </c>
      <c r="I11" s="8">
        <f t="shared" si="2"/>
        <v>11519</v>
      </c>
      <c r="J11" s="16">
        <f t="shared" si="3"/>
        <v>2660.6849999999999</v>
      </c>
      <c r="L11" s="97">
        <f t="shared" si="4"/>
        <v>11519</v>
      </c>
    </row>
    <row r="12" spans="1:12" x14ac:dyDescent="0.25">
      <c r="A12" s="5">
        <v>44935</v>
      </c>
      <c r="B12" s="10">
        <v>49048</v>
      </c>
      <c r="C12" s="8">
        <f t="shared" si="0"/>
        <v>5675</v>
      </c>
      <c r="D12" s="10">
        <v>29746</v>
      </c>
      <c r="E12" s="8">
        <f t="shared" si="1"/>
        <v>3068</v>
      </c>
      <c r="F12" s="10">
        <v>475</v>
      </c>
      <c r="G12" s="38">
        <v>0.5</v>
      </c>
      <c r="H12" s="12" t="s">
        <v>27</v>
      </c>
      <c r="I12" s="8">
        <f t="shared" si="2"/>
        <v>8743</v>
      </c>
      <c r="J12" s="16">
        <f t="shared" si="3"/>
        <v>2177.4359999999997</v>
      </c>
      <c r="L12" s="97">
        <f t="shared" si="4"/>
        <v>8743</v>
      </c>
    </row>
    <row r="13" spans="1:12" x14ac:dyDescent="0.25">
      <c r="A13" s="5">
        <v>44936</v>
      </c>
      <c r="B13" s="10">
        <v>54723</v>
      </c>
      <c r="C13" s="8">
        <f t="shared" si="0"/>
        <v>5396</v>
      </c>
      <c r="D13" s="10">
        <v>32814</v>
      </c>
      <c r="E13" s="8">
        <f t="shared" si="1"/>
        <v>2992</v>
      </c>
      <c r="F13" s="10">
        <v>475</v>
      </c>
      <c r="G13" s="38">
        <v>0.54</v>
      </c>
      <c r="H13" s="12" t="s">
        <v>27</v>
      </c>
      <c r="I13" s="8">
        <f t="shared" si="2"/>
        <v>8388</v>
      </c>
      <c r="J13" s="16">
        <f t="shared" si="3"/>
        <v>2083.6319999999996</v>
      </c>
      <c r="L13" s="97">
        <f t="shared" si="4"/>
        <v>8388</v>
      </c>
    </row>
    <row r="14" spans="1:12" x14ac:dyDescent="0.25">
      <c r="A14" s="5">
        <v>44937</v>
      </c>
      <c r="B14" s="10">
        <v>60119</v>
      </c>
      <c r="C14" s="8">
        <f t="shared" si="0"/>
        <v>5684</v>
      </c>
      <c r="D14" s="10">
        <v>35806</v>
      </c>
      <c r="E14" s="8">
        <f t="shared" si="1"/>
        <v>3115</v>
      </c>
      <c r="F14" s="10">
        <v>475</v>
      </c>
      <c r="G14" s="38">
        <v>0.6</v>
      </c>
      <c r="H14" s="12" t="s">
        <v>25</v>
      </c>
      <c r="I14" s="8">
        <f t="shared" si="2"/>
        <v>8799</v>
      </c>
      <c r="J14" s="16">
        <f t="shared" si="3"/>
        <v>2188.3469999999998</v>
      </c>
      <c r="L14" s="97">
        <f t="shared" si="4"/>
        <v>8799</v>
      </c>
    </row>
    <row r="15" spans="1:12" x14ac:dyDescent="0.25">
      <c r="A15" s="5">
        <v>44938</v>
      </c>
      <c r="B15" s="10">
        <v>65803</v>
      </c>
      <c r="C15" s="8">
        <f t="shared" si="0"/>
        <v>5619</v>
      </c>
      <c r="D15" s="10">
        <v>38921</v>
      </c>
      <c r="E15" s="8">
        <f t="shared" si="1"/>
        <v>3337</v>
      </c>
      <c r="F15" s="10">
        <v>475</v>
      </c>
      <c r="G15" s="38">
        <v>0.7</v>
      </c>
      <c r="H15" s="12" t="s">
        <v>25</v>
      </c>
      <c r="I15" s="8">
        <f t="shared" si="2"/>
        <v>8956</v>
      </c>
      <c r="J15" s="16">
        <f t="shared" si="3"/>
        <v>2208.9209999999998</v>
      </c>
      <c r="L15" s="97">
        <f t="shared" si="4"/>
        <v>8956</v>
      </c>
    </row>
    <row r="16" spans="1:12" x14ac:dyDescent="0.25">
      <c r="A16" s="5">
        <v>44939</v>
      </c>
      <c r="B16" s="10">
        <v>71422</v>
      </c>
      <c r="C16" s="8">
        <f t="shared" si="0"/>
        <v>6023</v>
      </c>
      <c r="D16" s="10">
        <v>42258</v>
      </c>
      <c r="E16" s="8">
        <f t="shared" si="1"/>
        <v>243</v>
      </c>
      <c r="F16" s="10">
        <v>475</v>
      </c>
      <c r="G16" s="38">
        <v>0.75</v>
      </c>
      <c r="H16" s="12" t="s">
        <v>26</v>
      </c>
      <c r="I16" s="8">
        <f t="shared" si="2"/>
        <v>6266</v>
      </c>
      <c r="J16" s="16">
        <f t="shared" si="3"/>
        <v>1777.6349999999998</v>
      </c>
      <c r="L16" s="97">
        <f t="shared" si="4"/>
        <v>6266</v>
      </c>
    </row>
    <row r="17" spans="1:12" x14ac:dyDescent="0.25">
      <c r="A17" s="5">
        <v>44940</v>
      </c>
      <c r="B17" s="10">
        <v>77445</v>
      </c>
      <c r="C17" s="8">
        <f t="shared" si="0"/>
        <v>5531</v>
      </c>
      <c r="D17" s="10">
        <v>42501</v>
      </c>
      <c r="E17" s="8">
        <f t="shared" si="1"/>
        <v>3411</v>
      </c>
      <c r="F17" s="10">
        <v>493</v>
      </c>
      <c r="G17" s="38">
        <v>0.65</v>
      </c>
      <c r="H17" s="12" t="s">
        <v>25</v>
      </c>
      <c r="I17" s="8">
        <f t="shared" si="2"/>
        <v>8942</v>
      </c>
      <c r="J17" s="16">
        <f t="shared" si="3"/>
        <v>2196.6749999999997</v>
      </c>
      <c r="L17" s="97">
        <f t="shared" si="4"/>
        <v>8942</v>
      </c>
    </row>
    <row r="18" spans="1:12" x14ac:dyDescent="0.25">
      <c r="A18" s="5">
        <v>44941</v>
      </c>
      <c r="B18" s="10">
        <v>82976</v>
      </c>
      <c r="C18" s="8">
        <f t="shared" si="0"/>
        <v>6042</v>
      </c>
      <c r="D18" s="10">
        <v>45912</v>
      </c>
      <c r="E18" s="8">
        <f t="shared" si="1"/>
        <v>3265</v>
      </c>
      <c r="F18" s="10">
        <v>493</v>
      </c>
      <c r="G18" s="38">
        <v>0.42</v>
      </c>
      <c r="H18" s="12" t="s">
        <v>25</v>
      </c>
      <c r="I18" s="8">
        <f t="shared" si="2"/>
        <v>9307</v>
      </c>
      <c r="J18" s="16">
        <f t="shared" si="3"/>
        <v>2318.0009999999997</v>
      </c>
      <c r="L18" s="97">
        <f t="shared" si="4"/>
        <v>9307</v>
      </c>
    </row>
    <row r="19" spans="1:12" x14ac:dyDescent="0.25">
      <c r="A19" s="5">
        <v>44942</v>
      </c>
      <c r="B19" s="10">
        <v>89018</v>
      </c>
      <c r="C19" s="8">
        <f t="shared" si="0"/>
        <v>5650</v>
      </c>
      <c r="D19" s="10">
        <v>49177</v>
      </c>
      <c r="E19" s="8">
        <f t="shared" si="1"/>
        <v>3174</v>
      </c>
      <c r="F19" s="10">
        <v>520</v>
      </c>
      <c r="G19" s="38">
        <v>0.57999999999999996</v>
      </c>
      <c r="H19" s="12" t="s">
        <v>25</v>
      </c>
      <c r="I19" s="8">
        <f t="shared" si="2"/>
        <v>8824</v>
      </c>
      <c r="J19" s="16">
        <f t="shared" si="3"/>
        <v>2188.9979999999996</v>
      </c>
      <c r="L19" s="97">
        <f t="shared" si="4"/>
        <v>8824</v>
      </c>
    </row>
    <row r="20" spans="1:12" x14ac:dyDescent="0.25">
      <c r="A20" s="5">
        <v>44943</v>
      </c>
      <c r="B20" s="10">
        <v>94668</v>
      </c>
      <c r="C20" s="8">
        <f t="shared" si="0"/>
        <v>5654</v>
      </c>
      <c r="D20" s="10">
        <v>52351</v>
      </c>
      <c r="E20" s="8">
        <f t="shared" si="1"/>
        <v>3062</v>
      </c>
      <c r="F20" s="12">
        <v>520</v>
      </c>
      <c r="G20" s="38">
        <v>0.5</v>
      </c>
      <c r="H20" s="12" t="s">
        <v>25</v>
      </c>
      <c r="I20" s="8">
        <f t="shared" si="2"/>
        <v>8716</v>
      </c>
      <c r="J20" s="16">
        <f t="shared" si="3"/>
        <v>2170.326</v>
      </c>
      <c r="L20" s="97">
        <f t="shared" si="4"/>
        <v>8716</v>
      </c>
    </row>
    <row r="21" spans="1:12" x14ac:dyDescent="0.25">
      <c r="A21" s="5">
        <v>44944</v>
      </c>
      <c r="B21" s="10">
        <v>100322</v>
      </c>
      <c r="C21" s="8">
        <f t="shared" si="0"/>
        <v>5485</v>
      </c>
      <c r="D21" s="10">
        <v>55413</v>
      </c>
      <c r="E21" s="8">
        <f t="shared" si="1"/>
        <v>3136</v>
      </c>
      <c r="F21" s="12">
        <v>520</v>
      </c>
      <c r="G21" s="38">
        <v>0.45</v>
      </c>
      <c r="H21" s="12" t="s">
        <v>25</v>
      </c>
      <c r="I21" s="8">
        <f t="shared" si="2"/>
        <v>8621</v>
      </c>
      <c r="J21" s="16">
        <f t="shared" si="3"/>
        <v>2134.752</v>
      </c>
      <c r="L21" s="97">
        <f t="shared" si="4"/>
        <v>8621</v>
      </c>
    </row>
    <row r="22" spans="1:12" x14ac:dyDescent="0.25">
      <c r="A22" s="5">
        <v>44945</v>
      </c>
      <c r="B22" s="10">
        <v>105807</v>
      </c>
      <c r="C22" s="8">
        <f t="shared" si="0"/>
        <v>5273</v>
      </c>
      <c r="D22" s="10">
        <v>58549</v>
      </c>
      <c r="E22" s="8">
        <f t="shared" si="1"/>
        <v>2886</v>
      </c>
      <c r="F22" s="12">
        <v>520</v>
      </c>
      <c r="G22" s="38">
        <v>0.41</v>
      </c>
      <c r="H22" s="12" t="s">
        <v>25</v>
      </c>
      <c r="I22" s="8">
        <f t="shared" si="2"/>
        <v>8159</v>
      </c>
      <c r="J22" s="16">
        <f t="shared" si="3"/>
        <v>2029.4459999999997</v>
      </c>
      <c r="L22" s="97">
        <f t="shared" si="4"/>
        <v>8159</v>
      </c>
    </row>
    <row r="23" spans="1:12" x14ac:dyDescent="0.25">
      <c r="A23" s="5">
        <v>44946</v>
      </c>
      <c r="B23" s="10">
        <v>111080</v>
      </c>
      <c r="C23" s="8">
        <f t="shared" si="0"/>
        <v>5280</v>
      </c>
      <c r="D23" s="10">
        <v>61435</v>
      </c>
      <c r="E23" s="8">
        <f t="shared" si="1"/>
        <v>3002</v>
      </c>
      <c r="F23" s="10">
        <v>520</v>
      </c>
      <c r="G23" s="38">
        <v>0.51</v>
      </c>
      <c r="H23" s="12" t="s">
        <v>25</v>
      </c>
      <c r="I23" s="8">
        <f t="shared" si="2"/>
        <v>8282</v>
      </c>
      <c r="J23" s="16">
        <f t="shared" si="3"/>
        <v>2051.9939999999997</v>
      </c>
      <c r="L23" s="97">
        <f t="shared" si="4"/>
        <v>8282</v>
      </c>
    </row>
    <row r="24" spans="1:12" x14ac:dyDescent="0.25">
      <c r="A24" s="5">
        <v>44947</v>
      </c>
      <c r="B24" s="10">
        <v>116360</v>
      </c>
      <c r="C24" s="8">
        <f t="shared" si="0"/>
        <v>5750</v>
      </c>
      <c r="D24" s="10">
        <v>64437</v>
      </c>
      <c r="E24" s="8">
        <f t="shared" si="1"/>
        <v>3366</v>
      </c>
      <c r="F24" s="10">
        <v>520</v>
      </c>
      <c r="G24" s="38">
        <v>0.71</v>
      </c>
      <c r="H24" s="12" t="s">
        <v>25</v>
      </c>
      <c r="I24" s="8">
        <f t="shared" si="2"/>
        <v>9116</v>
      </c>
      <c r="J24" s="16">
        <f t="shared" si="3"/>
        <v>2251.7819999999997</v>
      </c>
      <c r="L24" s="97">
        <f t="shared" si="4"/>
        <v>9116</v>
      </c>
    </row>
    <row r="25" spans="1:12" x14ac:dyDescent="0.25">
      <c r="A25" s="5">
        <v>44948</v>
      </c>
      <c r="B25" s="10">
        <v>122110</v>
      </c>
      <c r="C25" s="8">
        <f t="shared" si="0"/>
        <v>5993</v>
      </c>
      <c r="D25" s="10">
        <v>67803</v>
      </c>
      <c r="E25" s="8">
        <f t="shared" si="1"/>
        <v>2902</v>
      </c>
      <c r="F25" s="10">
        <v>520</v>
      </c>
      <c r="G25" s="38">
        <v>0.8</v>
      </c>
      <c r="H25" s="12" t="s">
        <v>25</v>
      </c>
      <c r="I25" s="8">
        <f t="shared" si="2"/>
        <v>8895</v>
      </c>
      <c r="J25" s="16">
        <f t="shared" si="3"/>
        <v>2239.6379999999999</v>
      </c>
      <c r="L25" s="97">
        <f t="shared" si="4"/>
        <v>8895</v>
      </c>
    </row>
    <row r="26" spans="1:12" x14ac:dyDescent="0.25">
      <c r="A26" s="5">
        <v>44949</v>
      </c>
      <c r="B26" s="10">
        <v>128103</v>
      </c>
      <c r="C26" s="8">
        <f>IF(B27-B26 &lt; 0,0,B27-B26)</f>
        <v>5816</v>
      </c>
      <c r="D26" s="10">
        <v>70705</v>
      </c>
      <c r="E26" s="8">
        <f t="shared" si="1"/>
        <v>3499</v>
      </c>
      <c r="F26" s="10">
        <v>534</v>
      </c>
      <c r="G26" s="47">
        <v>0.85</v>
      </c>
      <c r="H26" s="12" t="s">
        <v>25</v>
      </c>
      <c r="I26" s="8">
        <f t="shared" si="2"/>
        <v>9315</v>
      </c>
      <c r="J26" s="16">
        <f t="shared" si="3"/>
        <v>2294.3309999999997</v>
      </c>
      <c r="L26" s="97">
        <f t="shared" si="4"/>
        <v>9315</v>
      </c>
    </row>
    <row r="27" spans="1:12" x14ac:dyDescent="0.25">
      <c r="A27" s="5">
        <v>44950</v>
      </c>
      <c r="B27" s="10">
        <v>133919</v>
      </c>
      <c r="C27" s="8">
        <f>IF(B28-B27 &lt; 0,0,B28-B27)</f>
        <v>5718</v>
      </c>
      <c r="D27" s="10">
        <v>74204</v>
      </c>
      <c r="E27" s="8">
        <f t="shared" si="1"/>
        <v>3310</v>
      </c>
      <c r="F27" s="10">
        <v>534</v>
      </c>
      <c r="G27" s="38">
        <v>0.8</v>
      </c>
      <c r="H27" s="12" t="s">
        <v>25</v>
      </c>
      <c r="I27" s="8">
        <f t="shared" si="2"/>
        <v>9028</v>
      </c>
      <c r="J27" s="16">
        <f t="shared" si="3"/>
        <v>2232.654</v>
      </c>
      <c r="L27" s="97">
        <f t="shared" si="4"/>
        <v>9028</v>
      </c>
    </row>
    <row r="28" spans="1:12" x14ac:dyDescent="0.25">
      <c r="A28" s="5">
        <v>44951</v>
      </c>
      <c r="B28" s="10">
        <v>139637</v>
      </c>
      <c r="C28" s="8">
        <f t="shared" si="0"/>
        <v>5920</v>
      </c>
      <c r="D28" s="10">
        <v>77514</v>
      </c>
      <c r="E28" s="8">
        <f t="shared" si="1"/>
        <v>3376</v>
      </c>
      <c r="F28" s="10">
        <v>534</v>
      </c>
      <c r="G28" s="38">
        <v>0.79</v>
      </c>
      <c r="H28" s="12" t="s">
        <v>25</v>
      </c>
      <c r="I28" s="8">
        <f t="shared" si="2"/>
        <v>9296</v>
      </c>
      <c r="J28" s="16">
        <f t="shared" si="3"/>
        <v>2302.5119999999997</v>
      </c>
      <c r="L28" s="97">
        <f t="shared" si="4"/>
        <v>9296</v>
      </c>
    </row>
    <row r="29" spans="1:12" x14ac:dyDescent="0.25">
      <c r="A29" s="5">
        <v>44952</v>
      </c>
      <c r="B29" s="10">
        <v>145557</v>
      </c>
      <c r="C29" s="8">
        <f t="shared" si="0"/>
        <v>5943</v>
      </c>
      <c r="D29" s="10">
        <v>80890</v>
      </c>
      <c r="E29" s="8">
        <f t="shared" si="1"/>
        <v>3469</v>
      </c>
      <c r="F29" s="10">
        <v>534</v>
      </c>
      <c r="G29" s="38">
        <v>0.75</v>
      </c>
      <c r="H29" s="12" t="s">
        <v>25</v>
      </c>
      <c r="I29" s="8">
        <f t="shared" si="2"/>
        <v>9412</v>
      </c>
      <c r="J29" s="16">
        <f t="shared" si="3"/>
        <v>2325.5969999999998</v>
      </c>
      <c r="L29" s="97">
        <f t="shared" si="4"/>
        <v>9412</v>
      </c>
    </row>
    <row r="30" spans="1:12" x14ac:dyDescent="0.25">
      <c r="A30" s="5">
        <v>44953</v>
      </c>
      <c r="B30" s="10">
        <v>151500</v>
      </c>
      <c r="C30" s="8">
        <f t="shared" si="0"/>
        <v>5814</v>
      </c>
      <c r="D30" s="10">
        <v>84359</v>
      </c>
      <c r="E30" s="8">
        <f t="shared" si="1"/>
        <v>3312</v>
      </c>
      <c r="F30" s="10">
        <v>534</v>
      </c>
      <c r="G30" s="38">
        <v>0.66</v>
      </c>
      <c r="H30" s="12" t="s">
        <v>25</v>
      </c>
      <c r="I30" s="8">
        <f t="shared" si="2"/>
        <v>9126</v>
      </c>
      <c r="J30" s="16">
        <f t="shared" si="3"/>
        <v>2260.6559999999999</v>
      </c>
      <c r="L30" s="97">
        <f t="shared" si="4"/>
        <v>9126</v>
      </c>
    </row>
    <row r="31" spans="1:12" x14ac:dyDescent="0.25">
      <c r="A31" s="5">
        <v>44954</v>
      </c>
      <c r="B31" s="10">
        <v>157314</v>
      </c>
      <c r="C31" s="8">
        <f t="shared" si="0"/>
        <v>5610</v>
      </c>
      <c r="D31" s="10">
        <v>87671</v>
      </c>
      <c r="E31" s="8">
        <f t="shared" si="1"/>
        <v>3465</v>
      </c>
      <c r="F31" s="10">
        <v>534</v>
      </c>
      <c r="G31" s="38">
        <v>0.63</v>
      </c>
      <c r="H31" s="12" t="s">
        <v>25</v>
      </c>
      <c r="I31" s="8">
        <f t="shared" si="2"/>
        <v>9075</v>
      </c>
      <c r="J31" s="16">
        <f t="shared" si="3"/>
        <v>2228.9849999999997</v>
      </c>
      <c r="L31" s="97">
        <f t="shared" si="4"/>
        <v>9075</v>
      </c>
    </row>
    <row r="32" spans="1:12" x14ac:dyDescent="0.25">
      <c r="A32" s="5">
        <v>44955</v>
      </c>
      <c r="B32" s="10">
        <v>162924</v>
      </c>
      <c r="C32" s="8">
        <f t="shared" si="0"/>
        <v>5149</v>
      </c>
      <c r="D32" s="10">
        <v>91136</v>
      </c>
      <c r="E32" s="8">
        <f t="shared" si="1"/>
        <v>3082</v>
      </c>
      <c r="F32" s="10">
        <v>534</v>
      </c>
      <c r="G32" s="38">
        <v>0.43</v>
      </c>
      <c r="H32" s="12" t="s">
        <v>25</v>
      </c>
      <c r="I32" s="8">
        <f t="shared" si="2"/>
        <v>8231</v>
      </c>
      <c r="J32" s="16">
        <f t="shared" si="3"/>
        <v>2028.4259999999999</v>
      </c>
      <c r="L32" s="97">
        <f t="shared" si="4"/>
        <v>8231</v>
      </c>
    </row>
    <row r="33" spans="1:12" x14ac:dyDescent="0.25">
      <c r="A33" s="5">
        <v>44956</v>
      </c>
      <c r="B33" s="10">
        <v>168073</v>
      </c>
      <c r="C33" s="8">
        <f t="shared" si="0"/>
        <v>5378</v>
      </c>
      <c r="D33" s="10">
        <v>94218</v>
      </c>
      <c r="E33" s="8">
        <f t="shared" si="1"/>
        <v>3028</v>
      </c>
      <c r="F33" s="10">
        <v>534</v>
      </c>
      <c r="G33" s="38">
        <v>0.43</v>
      </c>
      <c r="H33" s="12" t="s">
        <v>25</v>
      </c>
      <c r="I33" s="8">
        <f t="shared" si="2"/>
        <v>8406</v>
      </c>
      <c r="J33" s="16">
        <f t="shared" si="3"/>
        <v>2084.8199999999997</v>
      </c>
      <c r="L33" s="97">
        <f t="shared" si="4"/>
        <v>8406</v>
      </c>
    </row>
    <row r="34" spans="1:12" x14ac:dyDescent="0.25">
      <c r="A34" s="5">
        <v>44957</v>
      </c>
      <c r="B34" s="36">
        <v>173451</v>
      </c>
      <c r="C34" s="8">
        <v>0</v>
      </c>
      <c r="D34" s="10">
        <v>97246</v>
      </c>
      <c r="E34" s="8">
        <v>0</v>
      </c>
      <c r="F34" s="10">
        <v>534</v>
      </c>
      <c r="G34" s="38">
        <v>0.54</v>
      </c>
      <c r="H34" s="12" t="s">
        <v>25</v>
      </c>
      <c r="I34" s="8">
        <f t="shared" si="2"/>
        <v>0</v>
      </c>
      <c r="J34" s="16">
        <f t="shared" si="3"/>
        <v>0</v>
      </c>
      <c r="L34" s="97">
        <f t="shared" si="4"/>
        <v>0</v>
      </c>
    </row>
    <row r="35" spans="1:12" x14ac:dyDescent="0.25">
      <c r="A35" s="37"/>
      <c r="B35" s="10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2" x14ac:dyDescent="0.25">
      <c r="A36" s="118" t="s">
        <v>28</v>
      </c>
      <c r="B36" s="119"/>
      <c r="C36" s="9">
        <f>SUM(C4:C34)</f>
        <v>168301</v>
      </c>
      <c r="D36" s="9"/>
      <c r="E36" s="9">
        <f>SUM(E4:E34)</f>
        <v>94395</v>
      </c>
      <c r="F36" s="9">
        <f>MAX(F4:F34)</f>
        <v>534</v>
      </c>
      <c r="G36" s="11"/>
      <c r="H36" s="11"/>
      <c r="I36" s="8">
        <f>+E36+C36</f>
        <v>262696</v>
      </c>
      <c r="J36" s="16">
        <f>(C36*0.288)+(E36*0.177)</f>
        <v>65178.602999999996</v>
      </c>
    </row>
    <row r="37" spans="1:12" x14ac:dyDescent="0.25">
      <c r="A37" s="17">
        <f>COUNT(A4:A34)</f>
        <v>31</v>
      </c>
      <c r="C37" s="1">
        <f>COUNTIF(C4:C34,"&gt;0")</f>
        <v>30</v>
      </c>
      <c r="G37" s="1"/>
    </row>
    <row r="39" spans="1:12" ht="15.6" x14ac:dyDescent="0.3">
      <c r="A39" s="13" t="s">
        <v>29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40"/>
  <sheetViews>
    <sheetView topLeftCell="A11" zoomScaleNormal="100" workbookViewId="0">
      <selection activeCell="F18" sqref="F18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0.33203125" style="1" bestFit="1" customWidth="1"/>
    <col min="5" max="5" width="18.88671875" style="1" customWidth="1"/>
    <col min="6" max="6" width="14.6640625" style="1" customWidth="1"/>
    <col min="7" max="7" width="11.33203125" customWidth="1"/>
    <col min="8" max="8" width="13.88671875" customWidth="1"/>
    <col min="9" max="9" width="19.109375" style="1" bestFit="1" customWidth="1"/>
    <col min="10" max="10" width="10.109375" style="14" bestFit="1" customWidth="1"/>
  </cols>
  <sheetData>
    <row r="1" spans="1:12" ht="17.399999999999999" x14ac:dyDescent="0.3">
      <c r="A1" s="6" t="s">
        <v>12</v>
      </c>
    </row>
    <row r="2" spans="1:12" ht="17.399999999999999" x14ac:dyDescent="0.3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2" x14ac:dyDescent="0.25">
      <c r="A3" s="3"/>
      <c r="B3" s="7" t="s">
        <v>20</v>
      </c>
      <c r="C3" s="7" t="s">
        <v>20</v>
      </c>
      <c r="D3" s="7" t="s">
        <v>21</v>
      </c>
      <c r="E3" s="7" t="s">
        <v>21</v>
      </c>
      <c r="F3" s="34" t="s">
        <v>20</v>
      </c>
      <c r="G3" s="7" t="s">
        <v>22</v>
      </c>
      <c r="H3" s="11"/>
      <c r="I3" s="7" t="s">
        <v>23</v>
      </c>
      <c r="J3" s="15" t="s">
        <v>24</v>
      </c>
    </row>
    <row r="4" spans="1:12" x14ac:dyDescent="0.25">
      <c r="A4" s="5">
        <v>44927</v>
      </c>
      <c r="B4" s="10">
        <v>2401</v>
      </c>
      <c r="C4" s="8">
        <f>IF(B5-B4 &lt; 0,0,B5-B4)</f>
        <v>2482</v>
      </c>
      <c r="D4" s="10">
        <v>642</v>
      </c>
      <c r="E4" s="8">
        <f t="shared" ref="E4:E33" si="0">IF(D5-D4 &lt; 0,0,D5-D4)</f>
        <v>693</v>
      </c>
      <c r="F4" s="10">
        <v>227</v>
      </c>
      <c r="G4" s="38">
        <v>0.74</v>
      </c>
      <c r="H4" s="12" t="s">
        <v>25</v>
      </c>
      <c r="I4" s="8">
        <f>+E4+C4</f>
        <v>3175</v>
      </c>
      <c r="J4" s="16">
        <f>(C4*0.288)+(E4*0.177)</f>
        <v>837.47699999999986</v>
      </c>
      <c r="L4" s="97">
        <f>C4+E4</f>
        <v>3175</v>
      </c>
    </row>
    <row r="5" spans="1:12" x14ac:dyDescent="0.25">
      <c r="A5" s="5">
        <v>44928</v>
      </c>
      <c r="B5" s="10">
        <v>4883</v>
      </c>
      <c r="C5" s="8">
        <f t="shared" ref="C5:C31" si="1">IF(B6-B5 &lt; 0,0,B6-B5)</f>
        <v>2576</v>
      </c>
      <c r="D5" s="10">
        <v>1335</v>
      </c>
      <c r="E5" s="8">
        <f t="shared" si="0"/>
        <v>758</v>
      </c>
      <c r="F5" s="10">
        <v>227</v>
      </c>
      <c r="G5" s="38">
        <v>0.74</v>
      </c>
      <c r="H5" s="12" t="s">
        <v>25</v>
      </c>
      <c r="I5" s="8">
        <f t="shared" ref="I5:I35" si="2">+E5+C5</f>
        <v>3334</v>
      </c>
      <c r="J5" s="16">
        <f t="shared" ref="J5:J35" si="3">(C5*0.288)+(E5*0.177)</f>
        <v>876.05399999999986</v>
      </c>
      <c r="L5" s="97">
        <f t="shared" ref="L5:L34" si="4">C5+E5</f>
        <v>3334</v>
      </c>
    </row>
    <row r="6" spans="1:12" x14ac:dyDescent="0.25">
      <c r="A6" s="5">
        <v>44929</v>
      </c>
      <c r="B6" s="10">
        <v>7459</v>
      </c>
      <c r="C6" s="8">
        <f t="shared" si="1"/>
        <v>2561</v>
      </c>
      <c r="D6" s="10">
        <v>2093</v>
      </c>
      <c r="E6" s="8">
        <f t="shared" si="0"/>
        <v>1578</v>
      </c>
      <c r="F6" s="10">
        <v>245</v>
      </c>
      <c r="G6" s="38">
        <v>0.75</v>
      </c>
      <c r="H6" s="12" t="s">
        <v>25</v>
      </c>
      <c r="I6" s="8">
        <f t="shared" si="2"/>
        <v>4139</v>
      </c>
      <c r="J6" s="16">
        <f t="shared" si="3"/>
        <v>1016.874</v>
      </c>
      <c r="L6" s="97">
        <f t="shared" si="4"/>
        <v>4139</v>
      </c>
    </row>
    <row r="7" spans="1:12" x14ac:dyDescent="0.25">
      <c r="A7" s="5">
        <v>44930</v>
      </c>
      <c r="B7" s="10">
        <v>10020</v>
      </c>
      <c r="C7" s="8">
        <f t="shared" si="1"/>
        <v>2607</v>
      </c>
      <c r="D7" s="10">
        <v>3671</v>
      </c>
      <c r="E7" s="8">
        <f t="shared" si="0"/>
        <v>981</v>
      </c>
      <c r="F7" s="10">
        <v>245</v>
      </c>
      <c r="G7" s="38">
        <v>0.54</v>
      </c>
      <c r="H7" s="12" t="s">
        <v>25</v>
      </c>
      <c r="I7" s="8">
        <f t="shared" si="2"/>
        <v>3588</v>
      </c>
      <c r="J7" s="16">
        <f t="shared" si="3"/>
        <v>924.45299999999997</v>
      </c>
      <c r="L7" s="97">
        <f t="shared" si="4"/>
        <v>3588</v>
      </c>
    </row>
    <row r="8" spans="1:12" x14ac:dyDescent="0.25">
      <c r="A8" s="5">
        <v>44931</v>
      </c>
      <c r="B8" s="10">
        <v>12627</v>
      </c>
      <c r="C8" s="8">
        <f t="shared" si="1"/>
        <v>2519</v>
      </c>
      <c r="D8" s="10">
        <v>4652</v>
      </c>
      <c r="E8" s="8">
        <f t="shared" si="0"/>
        <v>707</v>
      </c>
      <c r="F8" s="10">
        <v>245</v>
      </c>
      <c r="G8" s="38">
        <v>0.59</v>
      </c>
      <c r="H8" s="12" t="s">
        <v>25</v>
      </c>
      <c r="I8" s="8">
        <f t="shared" si="2"/>
        <v>3226</v>
      </c>
      <c r="J8" s="16">
        <f t="shared" si="3"/>
        <v>850.61099999999999</v>
      </c>
      <c r="L8" s="97">
        <f t="shared" si="4"/>
        <v>3226</v>
      </c>
    </row>
    <row r="9" spans="1:12" x14ac:dyDescent="0.25">
      <c r="A9" s="5">
        <v>44932</v>
      </c>
      <c r="B9" s="10">
        <v>15146</v>
      </c>
      <c r="C9" s="8">
        <f t="shared" si="1"/>
        <v>2445</v>
      </c>
      <c r="D9" s="10">
        <v>5359</v>
      </c>
      <c r="E9" s="8">
        <f t="shared" si="0"/>
        <v>207</v>
      </c>
      <c r="F9" s="10">
        <v>245</v>
      </c>
      <c r="G9" s="38">
        <v>0.73</v>
      </c>
      <c r="H9" s="12" t="s">
        <v>25</v>
      </c>
      <c r="I9" s="8">
        <f t="shared" si="2"/>
        <v>2652</v>
      </c>
      <c r="J9" s="16">
        <f t="shared" si="3"/>
        <v>740.79899999999998</v>
      </c>
      <c r="L9" s="97">
        <f t="shared" si="4"/>
        <v>2652</v>
      </c>
    </row>
    <row r="10" spans="1:12" x14ac:dyDescent="0.25">
      <c r="A10" s="5">
        <v>44933</v>
      </c>
      <c r="B10" s="10">
        <v>17591</v>
      </c>
      <c r="C10" s="8">
        <f t="shared" si="1"/>
        <v>2505</v>
      </c>
      <c r="D10" s="10">
        <v>5566</v>
      </c>
      <c r="E10" s="8">
        <f t="shared" si="0"/>
        <v>720</v>
      </c>
      <c r="F10" s="10">
        <v>245</v>
      </c>
      <c r="G10" s="39">
        <v>0.74</v>
      </c>
      <c r="H10" s="12" t="s">
        <v>25</v>
      </c>
      <c r="I10" s="8">
        <f t="shared" si="2"/>
        <v>3225</v>
      </c>
      <c r="J10" s="16">
        <f t="shared" si="3"/>
        <v>848.87999999999988</v>
      </c>
      <c r="L10" s="97">
        <f t="shared" si="4"/>
        <v>3225</v>
      </c>
    </row>
    <row r="11" spans="1:12" x14ac:dyDescent="0.25">
      <c r="A11" s="5">
        <v>44934</v>
      </c>
      <c r="B11" s="10">
        <v>20096</v>
      </c>
      <c r="C11" s="8">
        <f t="shared" si="1"/>
        <v>2424</v>
      </c>
      <c r="D11" s="10">
        <v>6286</v>
      </c>
      <c r="E11" s="8">
        <f t="shared" si="0"/>
        <v>1367</v>
      </c>
      <c r="F11" s="10">
        <v>245</v>
      </c>
      <c r="G11" s="38">
        <v>0.63</v>
      </c>
      <c r="H11" s="12" t="s">
        <v>26</v>
      </c>
      <c r="I11" s="8">
        <f t="shared" si="2"/>
        <v>3791</v>
      </c>
      <c r="J11" s="16">
        <f t="shared" si="3"/>
        <v>940.07099999999991</v>
      </c>
      <c r="L11" s="97">
        <f t="shared" si="4"/>
        <v>3791</v>
      </c>
    </row>
    <row r="12" spans="1:12" x14ac:dyDescent="0.25">
      <c r="A12" s="5">
        <v>44935</v>
      </c>
      <c r="B12" s="10">
        <v>22520</v>
      </c>
      <c r="C12" s="8">
        <f t="shared" si="1"/>
        <v>2418</v>
      </c>
      <c r="D12" s="10">
        <v>7653</v>
      </c>
      <c r="E12" s="8">
        <f t="shared" si="0"/>
        <v>776</v>
      </c>
      <c r="F12" s="10">
        <v>245</v>
      </c>
      <c r="G12" s="38">
        <v>0.5</v>
      </c>
      <c r="H12" s="12" t="s">
        <v>27</v>
      </c>
      <c r="I12" s="8">
        <f t="shared" si="2"/>
        <v>3194</v>
      </c>
      <c r="J12" s="16">
        <f t="shared" si="3"/>
        <v>833.73599999999988</v>
      </c>
      <c r="L12" s="97">
        <f t="shared" si="4"/>
        <v>3194</v>
      </c>
    </row>
    <row r="13" spans="1:12" x14ac:dyDescent="0.25">
      <c r="A13" s="5">
        <v>44936</v>
      </c>
      <c r="B13" s="10">
        <v>24938</v>
      </c>
      <c r="C13" s="8">
        <f t="shared" si="1"/>
        <v>2402</v>
      </c>
      <c r="D13" s="10">
        <v>8429</v>
      </c>
      <c r="E13" s="8">
        <f t="shared" si="0"/>
        <v>800</v>
      </c>
      <c r="F13" s="10">
        <v>245</v>
      </c>
      <c r="G13" s="38">
        <v>0.54</v>
      </c>
      <c r="H13" s="12" t="s">
        <v>27</v>
      </c>
      <c r="I13" s="8">
        <f t="shared" si="2"/>
        <v>3202</v>
      </c>
      <c r="J13" s="16">
        <f t="shared" si="3"/>
        <v>833.37599999999998</v>
      </c>
      <c r="L13" s="97">
        <f t="shared" si="4"/>
        <v>3202</v>
      </c>
    </row>
    <row r="14" spans="1:12" x14ac:dyDescent="0.25">
      <c r="A14" s="5">
        <v>44937</v>
      </c>
      <c r="B14" s="10">
        <v>27340</v>
      </c>
      <c r="C14" s="8">
        <f t="shared" si="1"/>
        <v>2475</v>
      </c>
      <c r="D14" s="10">
        <v>9229</v>
      </c>
      <c r="E14" s="8">
        <f>IF(D15-D14 &lt; 0,0,D15-D14)</f>
        <v>849</v>
      </c>
      <c r="F14" s="10">
        <v>245</v>
      </c>
      <c r="G14" s="38">
        <v>0.6</v>
      </c>
      <c r="H14" s="12" t="s">
        <v>25</v>
      </c>
      <c r="I14" s="8">
        <f t="shared" si="2"/>
        <v>3324</v>
      </c>
      <c r="J14" s="16">
        <f t="shared" si="3"/>
        <v>863.07299999999998</v>
      </c>
      <c r="L14" s="97">
        <f t="shared" si="4"/>
        <v>3324</v>
      </c>
    </row>
    <row r="15" spans="1:12" x14ac:dyDescent="0.25">
      <c r="A15" s="5">
        <v>44938</v>
      </c>
      <c r="B15" s="10">
        <v>29815</v>
      </c>
      <c r="C15" s="8">
        <f t="shared" si="1"/>
        <v>2596</v>
      </c>
      <c r="D15" s="10">
        <v>10078</v>
      </c>
      <c r="E15" s="8">
        <f>IF(D16-D15 &lt; 0,0,D16-D15)</f>
        <v>861</v>
      </c>
      <c r="F15" s="10">
        <v>245</v>
      </c>
      <c r="G15" s="38">
        <v>0.7</v>
      </c>
      <c r="H15" s="12" t="s">
        <v>25</v>
      </c>
      <c r="I15" s="8">
        <f t="shared" si="2"/>
        <v>3457</v>
      </c>
      <c r="J15" s="16">
        <f t="shared" si="3"/>
        <v>900.04499999999985</v>
      </c>
      <c r="L15" s="97">
        <f t="shared" si="4"/>
        <v>3457</v>
      </c>
    </row>
    <row r="16" spans="1:12" x14ac:dyDescent="0.25">
      <c r="A16" s="5">
        <v>44939</v>
      </c>
      <c r="B16" s="10">
        <v>32411</v>
      </c>
      <c r="C16" s="8">
        <f t="shared" si="1"/>
        <v>2592</v>
      </c>
      <c r="D16" s="10">
        <v>10939</v>
      </c>
      <c r="E16" s="8">
        <f t="shared" si="0"/>
        <v>97</v>
      </c>
      <c r="F16" s="10">
        <v>245</v>
      </c>
      <c r="G16" s="38">
        <v>0.75</v>
      </c>
      <c r="H16" s="12" t="s">
        <v>26</v>
      </c>
      <c r="I16" s="8">
        <f t="shared" si="2"/>
        <v>2689</v>
      </c>
      <c r="J16" s="16">
        <f t="shared" si="3"/>
        <v>763.66499999999996</v>
      </c>
      <c r="L16" s="97">
        <f t="shared" si="4"/>
        <v>2689</v>
      </c>
    </row>
    <row r="17" spans="1:12" x14ac:dyDescent="0.25">
      <c r="A17" s="5">
        <v>44940</v>
      </c>
      <c r="B17" s="10">
        <v>35003</v>
      </c>
      <c r="C17" s="8">
        <f t="shared" si="1"/>
        <v>2548</v>
      </c>
      <c r="D17" s="10">
        <v>11036</v>
      </c>
      <c r="E17" s="8">
        <f t="shared" si="0"/>
        <v>870</v>
      </c>
      <c r="F17" s="10">
        <v>245</v>
      </c>
      <c r="G17" s="38">
        <v>0.65</v>
      </c>
      <c r="H17" s="12" t="s">
        <v>25</v>
      </c>
      <c r="I17" s="8">
        <f t="shared" si="2"/>
        <v>3418</v>
      </c>
      <c r="J17" s="16">
        <f t="shared" si="3"/>
        <v>887.81399999999996</v>
      </c>
      <c r="L17" s="97">
        <f t="shared" si="4"/>
        <v>3418</v>
      </c>
    </row>
    <row r="18" spans="1:12" x14ac:dyDescent="0.25">
      <c r="A18" s="5">
        <v>44941</v>
      </c>
      <c r="B18" s="10">
        <v>37551</v>
      </c>
      <c r="C18" s="8">
        <f t="shared" si="1"/>
        <v>2492</v>
      </c>
      <c r="D18" s="10">
        <v>11906</v>
      </c>
      <c r="E18" s="8">
        <f t="shared" si="0"/>
        <v>856</v>
      </c>
      <c r="F18" s="10">
        <v>245</v>
      </c>
      <c r="G18" s="38">
        <v>0.42</v>
      </c>
      <c r="H18" s="12" t="s">
        <v>25</v>
      </c>
      <c r="I18" s="8">
        <f t="shared" si="2"/>
        <v>3348</v>
      </c>
      <c r="J18" s="16">
        <f t="shared" si="3"/>
        <v>869.20799999999986</v>
      </c>
      <c r="L18" s="97">
        <f t="shared" si="4"/>
        <v>3348</v>
      </c>
    </row>
    <row r="19" spans="1:12" x14ac:dyDescent="0.25">
      <c r="A19" s="5">
        <v>44942</v>
      </c>
      <c r="B19" s="10">
        <v>40043</v>
      </c>
      <c r="C19" s="8">
        <f t="shared" si="1"/>
        <v>2370</v>
      </c>
      <c r="D19" s="10">
        <v>12762</v>
      </c>
      <c r="E19" s="8">
        <f t="shared" si="0"/>
        <v>737</v>
      </c>
      <c r="F19" s="10">
        <v>245</v>
      </c>
      <c r="G19" s="38">
        <v>0.57999999999999996</v>
      </c>
      <c r="H19" s="12" t="s">
        <v>25</v>
      </c>
      <c r="I19" s="8">
        <f t="shared" si="2"/>
        <v>3107</v>
      </c>
      <c r="J19" s="16">
        <f t="shared" si="3"/>
        <v>813.0089999999999</v>
      </c>
      <c r="L19" s="97">
        <f t="shared" si="4"/>
        <v>3107</v>
      </c>
    </row>
    <row r="20" spans="1:12" x14ac:dyDescent="0.25">
      <c r="A20" s="5">
        <v>44943</v>
      </c>
      <c r="B20" s="10">
        <v>42413</v>
      </c>
      <c r="C20" s="8">
        <f t="shared" si="1"/>
        <v>2241</v>
      </c>
      <c r="D20" s="10">
        <v>13499</v>
      </c>
      <c r="E20" s="8">
        <f t="shared" si="0"/>
        <v>721</v>
      </c>
      <c r="F20" s="10">
        <v>245</v>
      </c>
      <c r="G20" s="38">
        <v>0.5</v>
      </c>
      <c r="H20" s="12" t="s">
        <v>25</v>
      </c>
      <c r="I20" s="8">
        <f t="shared" si="2"/>
        <v>2962</v>
      </c>
      <c r="J20" s="16">
        <f t="shared" si="3"/>
        <v>773.02499999999986</v>
      </c>
      <c r="L20" s="97">
        <f t="shared" si="4"/>
        <v>2962</v>
      </c>
    </row>
    <row r="21" spans="1:12" x14ac:dyDescent="0.25">
      <c r="A21" s="5">
        <v>44944</v>
      </c>
      <c r="B21" s="10">
        <v>44654</v>
      </c>
      <c r="C21" s="8">
        <f t="shared" si="1"/>
        <v>2306</v>
      </c>
      <c r="D21" s="10">
        <v>14220</v>
      </c>
      <c r="E21" s="8">
        <f t="shared" si="0"/>
        <v>726</v>
      </c>
      <c r="F21" s="10">
        <v>245</v>
      </c>
      <c r="G21" s="38">
        <v>0.45</v>
      </c>
      <c r="H21" s="12" t="s">
        <v>25</v>
      </c>
      <c r="I21" s="8">
        <f t="shared" si="2"/>
        <v>3032</v>
      </c>
      <c r="J21" s="16">
        <f t="shared" si="3"/>
        <v>792.62999999999988</v>
      </c>
      <c r="L21" s="97">
        <f t="shared" si="4"/>
        <v>3032</v>
      </c>
    </row>
    <row r="22" spans="1:12" x14ac:dyDescent="0.25">
      <c r="A22" s="5">
        <v>44945</v>
      </c>
      <c r="B22" s="10">
        <v>46960</v>
      </c>
      <c r="C22" s="8">
        <f t="shared" si="1"/>
        <v>2278</v>
      </c>
      <c r="D22" s="10">
        <v>14946</v>
      </c>
      <c r="E22" s="8">
        <f t="shared" si="0"/>
        <v>700</v>
      </c>
      <c r="F22" s="10">
        <v>245</v>
      </c>
      <c r="G22" s="38">
        <v>0.41</v>
      </c>
      <c r="H22" s="12" t="s">
        <v>25</v>
      </c>
      <c r="I22" s="8">
        <f t="shared" si="2"/>
        <v>2978</v>
      </c>
      <c r="J22" s="16">
        <f t="shared" si="3"/>
        <v>779.96399999999994</v>
      </c>
      <c r="L22" s="97">
        <f t="shared" si="4"/>
        <v>2978</v>
      </c>
    </row>
    <row r="23" spans="1:12" x14ac:dyDescent="0.25">
      <c r="A23" s="5">
        <v>44946</v>
      </c>
      <c r="B23" s="10">
        <v>49238</v>
      </c>
      <c r="C23" s="8">
        <f t="shared" si="1"/>
        <v>2400</v>
      </c>
      <c r="D23" s="10">
        <v>15646</v>
      </c>
      <c r="E23" s="8">
        <f t="shared" si="0"/>
        <v>711</v>
      </c>
      <c r="F23" s="10">
        <v>245</v>
      </c>
      <c r="G23" s="38">
        <v>0.51</v>
      </c>
      <c r="H23" s="12" t="s">
        <v>25</v>
      </c>
      <c r="I23" s="8">
        <f t="shared" si="2"/>
        <v>3111</v>
      </c>
      <c r="J23" s="16">
        <f t="shared" si="3"/>
        <v>817.04699999999991</v>
      </c>
      <c r="L23" s="97">
        <f t="shared" si="4"/>
        <v>3111</v>
      </c>
    </row>
    <row r="24" spans="1:12" x14ac:dyDescent="0.25">
      <c r="A24" s="5">
        <v>44947</v>
      </c>
      <c r="B24" s="10">
        <v>51638</v>
      </c>
      <c r="C24" s="8">
        <f t="shared" si="1"/>
        <v>2488</v>
      </c>
      <c r="D24" s="10">
        <v>16357</v>
      </c>
      <c r="E24" s="8">
        <f t="shared" si="0"/>
        <v>828</v>
      </c>
      <c r="F24" s="10">
        <v>245</v>
      </c>
      <c r="G24" s="38">
        <v>0.71</v>
      </c>
      <c r="H24" s="12" t="s">
        <v>25</v>
      </c>
      <c r="I24" s="8">
        <f t="shared" si="2"/>
        <v>3316</v>
      </c>
      <c r="J24" s="16">
        <f t="shared" si="3"/>
        <v>863.09999999999991</v>
      </c>
      <c r="L24" s="97">
        <f t="shared" si="4"/>
        <v>3316</v>
      </c>
    </row>
    <row r="25" spans="1:12" x14ac:dyDescent="0.25">
      <c r="A25" s="5">
        <v>44948</v>
      </c>
      <c r="B25" s="10">
        <v>54126</v>
      </c>
      <c r="C25" s="8">
        <f t="shared" si="1"/>
        <v>2501</v>
      </c>
      <c r="D25" s="10">
        <v>17185</v>
      </c>
      <c r="E25" s="8">
        <f t="shared" si="0"/>
        <v>736</v>
      </c>
      <c r="F25" s="10">
        <v>245</v>
      </c>
      <c r="G25" s="38">
        <v>0.8</v>
      </c>
      <c r="H25" s="12" t="s">
        <v>25</v>
      </c>
      <c r="I25" s="8">
        <f t="shared" si="2"/>
        <v>3237</v>
      </c>
      <c r="J25" s="16">
        <f t="shared" si="3"/>
        <v>850.56</v>
      </c>
      <c r="L25" s="97">
        <f t="shared" si="4"/>
        <v>3237</v>
      </c>
    </row>
    <row r="26" spans="1:12" x14ac:dyDescent="0.25">
      <c r="A26" s="5">
        <v>44949</v>
      </c>
      <c r="B26" s="10">
        <v>56627</v>
      </c>
      <c r="C26" s="8">
        <f t="shared" si="1"/>
        <v>2473</v>
      </c>
      <c r="D26" s="10">
        <v>17921</v>
      </c>
      <c r="E26" s="8">
        <f t="shared" si="0"/>
        <v>874</v>
      </c>
      <c r="F26" s="10">
        <v>245</v>
      </c>
      <c r="G26" s="47">
        <v>0.85</v>
      </c>
      <c r="H26" s="12" t="s">
        <v>25</v>
      </c>
      <c r="I26" s="8">
        <f t="shared" si="2"/>
        <v>3347</v>
      </c>
      <c r="J26" s="16">
        <f t="shared" si="3"/>
        <v>866.92199999999991</v>
      </c>
      <c r="L26" s="97">
        <f t="shared" si="4"/>
        <v>3347</v>
      </c>
    </row>
    <row r="27" spans="1:12" x14ac:dyDescent="0.25">
      <c r="A27" s="5">
        <v>44950</v>
      </c>
      <c r="B27" s="10">
        <v>59100</v>
      </c>
      <c r="C27" s="8">
        <f t="shared" si="1"/>
        <v>2487</v>
      </c>
      <c r="D27" s="10">
        <v>18795</v>
      </c>
      <c r="E27" s="8">
        <f t="shared" si="0"/>
        <v>746</v>
      </c>
      <c r="F27" s="10">
        <v>245</v>
      </c>
      <c r="G27" s="38">
        <v>0.8</v>
      </c>
      <c r="H27" s="12" t="s">
        <v>25</v>
      </c>
      <c r="I27" s="8">
        <f t="shared" si="2"/>
        <v>3233</v>
      </c>
      <c r="J27" s="16">
        <f t="shared" si="3"/>
        <v>848.298</v>
      </c>
      <c r="L27" s="97">
        <f t="shared" si="4"/>
        <v>3233</v>
      </c>
    </row>
    <row r="28" spans="1:12" x14ac:dyDescent="0.25">
      <c r="A28" s="5">
        <v>44951</v>
      </c>
      <c r="B28" s="10">
        <v>61587</v>
      </c>
      <c r="C28" s="8">
        <f t="shared" si="1"/>
        <v>2458</v>
      </c>
      <c r="D28" s="10">
        <v>19541</v>
      </c>
      <c r="E28" s="8">
        <f t="shared" si="0"/>
        <v>830</v>
      </c>
      <c r="F28" s="10">
        <v>245</v>
      </c>
      <c r="G28" s="38">
        <v>0.79</v>
      </c>
      <c r="H28" s="12" t="s">
        <v>25</v>
      </c>
      <c r="I28" s="8">
        <f t="shared" si="2"/>
        <v>3288</v>
      </c>
      <c r="J28" s="16">
        <f t="shared" si="3"/>
        <v>854.81399999999996</v>
      </c>
      <c r="L28" s="97">
        <f t="shared" si="4"/>
        <v>3288</v>
      </c>
    </row>
    <row r="29" spans="1:12" x14ac:dyDescent="0.25">
      <c r="A29" s="5">
        <v>44952</v>
      </c>
      <c r="B29" s="10">
        <v>64045</v>
      </c>
      <c r="C29" s="8">
        <f t="shared" si="1"/>
        <v>2496</v>
      </c>
      <c r="D29" s="10">
        <v>20371</v>
      </c>
      <c r="E29" s="8">
        <f t="shared" si="0"/>
        <v>813</v>
      </c>
      <c r="F29" s="10">
        <v>245</v>
      </c>
      <c r="G29" s="38">
        <v>0.75</v>
      </c>
      <c r="H29" s="12" t="s">
        <v>25</v>
      </c>
      <c r="I29" s="8">
        <f t="shared" si="2"/>
        <v>3309</v>
      </c>
      <c r="J29" s="16">
        <f t="shared" si="3"/>
        <v>862.74899999999991</v>
      </c>
      <c r="L29" s="97">
        <f t="shared" si="4"/>
        <v>3309</v>
      </c>
    </row>
    <row r="30" spans="1:12" x14ac:dyDescent="0.25">
      <c r="A30" s="5">
        <v>44953</v>
      </c>
      <c r="B30" s="10">
        <v>66541</v>
      </c>
      <c r="C30" s="8">
        <f t="shared" si="1"/>
        <v>2682</v>
      </c>
      <c r="D30" s="10">
        <v>21184</v>
      </c>
      <c r="E30" s="8">
        <f t="shared" si="0"/>
        <v>843</v>
      </c>
      <c r="F30" s="10">
        <v>245</v>
      </c>
      <c r="G30" s="38">
        <v>0.66</v>
      </c>
      <c r="H30" s="12" t="s">
        <v>25</v>
      </c>
      <c r="I30" s="8">
        <f t="shared" si="2"/>
        <v>3525</v>
      </c>
      <c r="J30" s="16">
        <f t="shared" si="3"/>
        <v>921.62699999999995</v>
      </c>
      <c r="L30" s="97">
        <f t="shared" si="4"/>
        <v>3525</v>
      </c>
    </row>
    <row r="31" spans="1:12" x14ac:dyDescent="0.25">
      <c r="A31" s="5">
        <v>44954</v>
      </c>
      <c r="B31" s="10">
        <v>69223</v>
      </c>
      <c r="C31" s="8">
        <f t="shared" si="1"/>
        <v>2481</v>
      </c>
      <c r="D31" s="10">
        <v>22027</v>
      </c>
      <c r="E31" s="8">
        <f t="shared" si="0"/>
        <v>890</v>
      </c>
      <c r="F31" s="10">
        <v>245</v>
      </c>
      <c r="G31" s="38">
        <v>0.63</v>
      </c>
      <c r="H31" s="12" t="s">
        <v>25</v>
      </c>
      <c r="I31" s="8">
        <f t="shared" si="2"/>
        <v>3371</v>
      </c>
      <c r="J31" s="16">
        <f t="shared" si="3"/>
        <v>872.05799999999988</v>
      </c>
      <c r="L31" s="97">
        <f t="shared" si="4"/>
        <v>3371</v>
      </c>
    </row>
    <row r="32" spans="1:12" x14ac:dyDescent="0.25">
      <c r="A32" s="5">
        <v>44955</v>
      </c>
      <c r="B32" s="10">
        <v>71704</v>
      </c>
      <c r="C32" s="8">
        <f>IF(B33-B32 &lt; 0,0,B33-B32)</f>
        <v>2377</v>
      </c>
      <c r="D32" s="10">
        <v>22917</v>
      </c>
      <c r="E32" s="8">
        <f t="shared" si="0"/>
        <v>817</v>
      </c>
      <c r="F32" s="10">
        <v>245</v>
      </c>
      <c r="G32" s="38">
        <v>0.43</v>
      </c>
      <c r="H32" s="12" t="s">
        <v>25</v>
      </c>
      <c r="I32" s="8">
        <f t="shared" si="2"/>
        <v>3194</v>
      </c>
      <c r="J32" s="16">
        <f t="shared" si="3"/>
        <v>829.18499999999995</v>
      </c>
      <c r="L32" s="97">
        <f t="shared" si="4"/>
        <v>3194</v>
      </c>
    </row>
    <row r="33" spans="1:12" x14ac:dyDescent="0.25">
      <c r="A33" s="5">
        <v>44956</v>
      </c>
      <c r="B33" s="10">
        <v>74081</v>
      </c>
      <c r="C33" s="8">
        <f>IF(B34-B33 &lt; 0,0,B34-B33)</f>
        <v>2372</v>
      </c>
      <c r="D33" s="10">
        <v>23734</v>
      </c>
      <c r="E33" s="8">
        <f t="shared" si="0"/>
        <v>822</v>
      </c>
      <c r="F33" s="10">
        <v>245</v>
      </c>
      <c r="G33" s="38">
        <v>0.43</v>
      </c>
      <c r="H33" s="12" t="s">
        <v>25</v>
      </c>
      <c r="I33" s="8">
        <f t="shared" si="2"/>
        <v>3194</v>
      </c>
      <c r="J33" s="16">
        <f t="shared" si="3"/>
        <v>828.63</v>
      </c>
      <c r="L33" s="97">
        <f t="shared" si="4"/>
        <v>3194</v>
      </c>
    </row>
    <row r="34" spans="1:12" x14ac:dyDescent="0.25">
      <c r="A34" s="5">
        <v>44957</v>
      </c>
      <c r="B34" s="10">
        <v>76453</v>
      </c>
      <c r="C34" s="8">
        <f>IF(B35-B34 &lt; 0,0,B35-B34)</f>
        <v>0</v>
      </c>
      <c r="D34" s="10">
        <v>24556</v>
      </c>
      <c r="E34" s="8">
        <v>0</v>
      </c>
      <c r="F34" s="10">
        <v>245</v>
      </c>
      <c r="G34" s="38">
        <v>0.54</v>
      </c>
      <c r="H34" s="12" t="s">
        <v>25</v>
      </c>
      <c r="I34" s="8">
        <f t="shared" si="2"/>
        <v>0</v>
      </c>
      <c r="J34" s="16">
        <f t="shared" si="3"/>
        <v>0</v>
      </c>
      <c r="L34" s="97">
        <f t="shared" si="4"/>
        <v>0</v>
      </c>
    </row>
    <row r="35" spans="1:12" x14ac:dyDescent="0.25">
      <c r="A35" s="5"/>
      <c r="B35" s="36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2" ht="13.5" customHeight="1" x14ac:dyDescent="0.25">
      <c r="A36" s="118"/>
      <c r="B36" s="119"/>
      <c r="C36" s="9">
        <f>SUM(C4:C35)</f>
        <v>74052</v>
      </c>
      <c r="D36" s="9"/>
      <c r="E36" s="9">
        <f>SUM(E4:E35)</f>
        <v>23914</v>
      </c>
      <c r="F36" s="9">
        <f>MAX(F4:F34)</f>
        <v>245</v>
      </c>
      <c r="G36" s="11"/>
      <c r="H36" s="11"/>
      <c r="I36" s="8">
        <f>+E36+C36</f>
        <v>97966</v>
      </c>
      <c r="J36" s="16">
        <f>(C36*0.288)+(E36*0.177)</f>
        <v>25559.753999999997</v>
      </c>
    </row>
    <row r="37" spans="1:12" x14ac:dyDescent="0.25">
      <c r="A37" s="4">
        <f>COUNT(A4:A34)</f>
        <v>31</v>
      </c>
      <c r="G37" s="1"/>
      <c r="H37" t="s">
        <v>30</v>
      </c>
    </row>
    <row r="38" spans="1:12" x14ac:dyDescent="0.25">
      <c r="H38" t="s">
        <v>31</v>
      </c>
    </row>
    <row r="39" spans="1:12" ht="15.6" x14ac:dyDescent="0.3">
      <c r="A39" s="13" t="s">
        <v>29</v>
      </c>
      <c r="H39" t="s">
        <v>32</v>
      </c>
    </row>
    <row r="40" spans="1:12" x14ac:dyDescent="0.25">
      <c r="H40" t="s">
        <v>27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0"/>
  <sheetViews>
    <sheetView zoomScaleNormal="100" workbookViewId="0">
      <selection activeCell="H14" sqref="H14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0.33203125" style="1" bestFit="1" customWidth="1"/>
    <col min="5" max="5" width="18.88671875" style="1" customWidth="1"/>
    <col min="6" max="6" width="14.6640625" style="1" customWidth="1"/>
    <col min="7" max="7" width="11.33203125" customWidth="1"/>
    <col min="8" max="8" width="18.6640625" style="40" customWidth="1"/>
    <col min="9" max="9" width="19.109375" style="1" bestFit="1" customWidth="1"/>
    <col min="10" max="10" width="10.109375" style="14" bestFit="1" customWidth="1"/>
  </cols>
  <sheetData>
    <row r="1" spans="1:12" ht="17.399999999999999" x14ac:dyDescent="0.3">
      <c r="A1" s="6" t="s">
        <v>12</v>
      </c>
    </row>
    <row r="2" spans="1:12" ht="17.399999999999999" x14ac:dyDescent="0.3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2" x14ac:dyDescent="0.25">
      <c r="A3" s="3"/>
      <c r="B3" s="7" t="s">
        <v>20</v>
      </c>
      <c r="C3" s="7" t="s">
        <v>20</v>
      </c>
      <c r="D3" s="7"/>
      <c r="E3" s="7" t="s">
        <v>21</v>
      </c>
      <c r="F3" s="34" t="s">
        <v>20</v>
      </c>
      <c r="G3" s="7" t="s">
        <v>22</v>
      </c>
      <c r="H3" s="41"/>
      <c r="I3" s="7" t="s">
        <v>23</v>
      </c>
      <c r="J3" s="15" t="s">
        <v>24</v>
      </c>
    </row>
    <row r="4" spans="1:12" x14ac:dyDescent="0.25">
      <c r="A4" s="5">
        <v>44927</v>
      </c>
      <c r="B4" s="10">
        <v>4088</v>
      </c>
      <c r="C4" s="8">
        <f>IF(B5-B4 &lt; 0,0,B5-B4)</f>
        <v>3889</v>
      </c>
      <c r="D4" s="10">
        <v>2001</v>
      </c>
      <c r="E4" s="8">
        <f>IF(D5-D4 &lt; 0,0,D5-D4)</f>
        <v>2053</v>
      </c>
      <c r="F4" s="10">
        <v>343</v>
      </c>
      <c r="G4" s="38">
        <v>0.74</v>
      </c>
      <c r="H4" s="12" t="s">
        <v>25</v>
      </c>
      <c r="I4" s="8">
        <f>+E4+C4</f>
        <v>5942</v>
      </c>
      <c r="J4" s="16">
        <f>(C4*0.288)+(E4*0.177)</f>
        <v>1483.413</v>
      </c>
      <c r="L4" s="97">
        <f>C4+E4</f>
        <v>5942</v>
      </c>
    </row>
    <row r="5" spans="1:12" x14ac:dyDescent="0.25">
      <c r="A5" s="5">
        <v>44928</v>
      </c>
      <c r="B5" s="10">
        <v>7977</v>
      </c>
      <c r="C5" s="8">
        <f t="shared" ref="C5:C34" si="0">IF(B6-B5 &lt; 0,0,B6-B5)</f>
        <v>4259</v>
      </c>
      <c r="D5" s="10">
        <v>4054</v>
      </c>
      <c r="E5" s="8">
        <f t="shared" ref="E5:E34" si="1">IF(D6-D5 &lt; 0,0,D6-D5)</f>
        <v>2136</v>
      </c>
      <c r="F5" s="10">
        <v>343</v>
      </c>
      <c r="G5" s="38">
        <v>0.74</v>
      </c>
      <c r="H5" s="12" t="s">
        <v>25</v>
      </c>
      <c r="I5" s="8">
        <f>+E5+C5</f>
        <v>6395</v>
      </c>
      <c r="J5" s="16">
        <f t="shared" ref="J5:J35" si="2">(C5*0.288)+(E5*0.177)</f>
        <v>1604.6639999999998</v>
      </c>
      <c r="L5" s="97">
        <f t="shared" ref="L5:L34" si="3">C5+E5</f>
        <v>6395</v>
      </c>
    </row>
    <row r="6" spans="1:12" s="46" customFormat="1" ht="11.25" customHeight="1" x14ac:dyDescent="0.25">
      <c r="A6" s="5">
        <v>44929</v>
      </c>
      <c r="B6" s="43">
        <v>12236</v>
      </c>
      <c r="C6" s="44">
        <f t="shared" si="0"/>
        <v>4559</v>
      </c>
      <c r="D6" s="43">
        <v>6190</v>
      </c>
      <c r="E6" s="44">
        <f t="shared" si="1"/>
        <v>2849</v>
      </c>
      <c r="F6" s="43">
        <v>383</v>
      </c>
      <c r="G6" s="38">
        <v>0.75</v>
      </c>
      <c r="H6" s="12" t="s">
        <v>25</v>
      </c>
      <c r="I6" s="44">
        <f>+E6+C6</f>
        <v>7408</v>
      </c>
      <c r="J6" s="45">
        <f t="shared" si="2"/>
        <v>1817.2649999999999</v>
      </c>
      <c r="L6" s="97">
        <f t="shared" si="3"/>
        <v>7408</v>
      </c>
    </row>
    <row r="7" spans="1:12" x14ac:dyDescent="0.25">
      <c r="A7" s="5">
        <v>44930</v>
      </c>
      <c r="B7" s="10">
        <v>16795</v>
      </c>
      <c r="C7" s="8">
        <f t="shared" si="0"/>
        <v>4279</v>
      </c>
      <c r="D7" s="10">
        <v>9039</v>
      </c>
      <c r="E7" s="8">
        <f t="shared" si="1"/>
        <v>2363</v>
      </c>
      <c r="F7" s="12">
        <v>364</v>
      </c>
      <c r="G7" s="38">
        <v>0.54</v>
      </c>
      <c r="H7" s="12" t="s">
        <v>25</v>
      </c>
      <c r="I7" s="8">
        <f t="shared" ref="I7:I35" si="4">+E7+C7</f>
        <v>6642</v>
      </c>
      <c r="J7" s="16">
        <f t="shared" si="2"/>
        <v>1650.6029999999998</v>
      </c>
      <c r="L7" s="97">
        <f t="shared" si="3"/>
        <v>6642</v>
      </c>
    </row>
    <row r="8" spans="1:12" x14ac:dyDescent="0.25">
      <c r="A8" s="5">
        <v>44931</v>
      </c>
      <c r="B8" s="10">
        <v>21074</v>
      </c>
      <c r="C8" s="8">
        <f t="shared" si="0"/>
        <v>4078</v>
      </c>
      <c r="D8" s="10">
        <v>11402</v>
      </c>
      <c r="E8" s="8">
        <f t="shared" si="1"/>
        <v>2809</v>
      </c>
      <c r="F8" s="12">
        <v>364</v>
      </c>
      <c r="G8" s="38">
        <v>0.59</v>
      </c>
      <c r="H8" s="12" t="s">
        <v>25</v>
      </c>
      <c r="I8" s="8">
        <f t="shared" si="4"/>
        <v>6887</v>
      </c>
      <c r="J8" s="16">
        <f t="shared" si="2"/>
        <v>1671.6569999999999</v>
      </c>
      <c r="L8" s="97">
        <f t="shared" si="3"/>
        <v>6887</v>
      </c>
    </row>
    <row r="9" spans="1:12" x14ac:dyDescent="0.25">
      <c r="A9" s="5">
        <v>44932</v>
      </c>
      <c r="B9" s="10">
        <v>25152</v>
      </c>
      <c r="C9" s="8">
        <f t="shared" si="0"/>
        <v>3399</v>
      </c>
      <c r="D9" s="10">
        <v>14211</v>
      </c>
      <c r="E9" s="8">
        <f t="shared" si="1"/>
        <v>2164</v>
      </c>
      <c r="F9" s="10">
        <v>364</v>
      </c>
      <c r="G9" s="38">
        <v>0.73</v>
      </c>
      <c r="H9" s="12" t="s">
        <v>25</v>
      </c>
      <c r="I9" s="8">
        <f t="shared" si="4"/>
        <v>5563</v>
      </c>
      <c r="J9" s="16">
        <f t="shared" si="2"/>
        <v>1361.9399999999998</v>
      </c>
      <c r="L9" s="97">
        <f t="shared" si="3"/>
        <v>5563</v>
      </c>
    </row>
    <row r="10" spans="1:12" x14ac:dyDescent="0.25">
      <c r="A10" s="5">
        <v>44933</v>
      </c>
      <c r="B10" s="10">
        <v>28551</v>
      </c>
      <c r="C10" s="8">
        <f t="shared" si="0"/>
        <v>3579</v>
      </c>
      <c r="D10" s="10">
        <v>16375</v>
      </c>
      <c r="E10" s="8">
        <f t="shared" si="1"/>
        <v>1954</v>
      </c>
      <c r="F10" s="10">
        <v>383</v>
      </c>
      <c r="G10" s="39">
        <v>0.74</v>
      </c>
      <c r="H10" s="12" t="s">
        <v>25</v>
      </c>
      <c r="I10" s="8">
        <f t="shared" si="4"/>
        <v>5533</v>
      </c>
      <c r="J10" s="16">
        <f t="shared" si="2"/>
        <v>1376.61</v>
      </c>
      <c r="L10" s="97">
        <f t="shared" si="3"/>
        <v>5533</v>
      </c>
    </row>
    <row r="11" spans="1:12" x14ac:dyDescent="0.25">
      <c r="A11" s="5">
        <v>44934</v>
      </c>
      <c r="B11" s="10">
        <v>32130</v>
      </c>
      <c r="C11" s="8">
        <f t="shared" si="0"/>
        <v>3669</v>
      </c>
      <c r="D11" s="10">
        <v>18329</v>
      </c>
      <c r="E11" s="8">
        <f t="shared" si="1"/>
        <v>2369</v>
      </c>
      <c r="F11" s="10">
        <v>383</v>
      </c>
      <c r="G11" s="38">
        <v>0.63</v>
      </c>
      <c r="H11" s="12" t="s">
        <v>26</v>
      </c>
      <c r="I11" s="8">
        <f t="shared" si="4"/>
        <v>6038</v>
      </c>
      <c r="J11" s="16">
        <f t="shared" si="2"/>
        <v>1475.9850000000001</v>
      </c>
      <c r="L11" s="97">
        <f t="shared" si="3"/>
        <v>6038</v>
      </c>
    </row>
    <row r="12" spans="1:12" x14ac:dyDescent="0.25">
      <c r="A12" s="5">
        <v>44935</v>
      </c>
      <c r="B12" s="10">
        <v>35799</v>
      </c>
      <c r="C12" s="8">
        <f t="shared" si="0"/>
        <v>3908</v>
      </c>
      <c r="D12" s="10">
        <v>20698</v>
      </c>
      <c r="E12" s="8">
        <f t="shared" si="1"/>
        <v>2071</v>
      </c>
      <c r="F12" s="10">
        <v>364</v>
      </c>
      <c r="G12" s="38">
        <v>0.5</v>
      </c>
      <c r="H12" s="12" t="s">
        <v>27</v>
      </c>
      <c r="I12" s="8">
        <f t="shared" si="4"/>
        <v>5979</v>
      </c>
      <c r="J12" s="16">
        <f t="shared" si="2"/>
        <v>1492.0709999999999</v>
      </c>
      <c r="L12" s="97">
        <f t="shared" si="3"/>
        <v>5979</v>
      </c>
    </row>
    <row r="13" spans="1:12" x14ac:dyDescent="0.25">
      <c r="A13" s="5">
        <v>44936</v>
      </c>
      <c r="B13" s="10">
        <v>39707</v>
      </c>
      <c r="C13" s="8">
        <f t="shared" si="0"/>
        <v>3859</v>
      </c>
      <c r="D13" s="10">
        <v>22769</v>
      </c>
      <c r="E13" s="8">
        <f t="shared" si="1"/>
        <v>2863</v>
      </c>
      <c r="F13" s="10">
        <v>364</v>
      </c>
      <c r="G13" s="38">
        <v>0.54</v>
      </c>
      <c r="H13" s="12" t="s">
        <v>27</v>
      </c>
      <c r="I13" s="8">
        <f t="shared" si="4"/>
        <v>6722</v>
      </c>
      <c r="J13" s="16">
        <f t="shared" si="2"/>
        <v>1618.1429999999998</v>
      </c>
      <c r="L13" s="97">
        <f t="shared" si="3"/>
        <v>6722</v>
      </c>
    </row>
    <row r="14" spans="1:12" x14ac:dyDescent="0.25">
      <c r="A14" s="5">
        <v>44937</v>
      </c>
      <c r="B14" s="10">
        <v>43566</v>
      </c>
      <c r="C14" s="8">
        <f t="shared" si="0"/>
        <v>3899</v>
      </c>
      <c r="D14" s="10">
        <v>25632</v>
      </c>
      <c r="E14" s="8">
        <f t="shared" si="1"/>
        <v>1717</v>
      </c>
      <c r="F14" s="10">
        <v>364</v>
      </c>
      <c r="G14" s="38">
        <v>0.6</v>
      </c>
      <c r="H14" s="12" t="s">
        <v>25</v>
      </c>
      <c r="I14" s="8">
        <f t="shared" si="4"/>
        <v>5616</v>
      </c>
      <c r="J14" s="16">
        <f t="shared" si="2"/>
        <v>1426.8209999999999</v>
      </c>
      <c r="L14" s="97">
        <f t="shared" si="3"/>
        <v>5616</v>
      </c>
    </row>
    <row r="15" spans="1:12" x14ac:dyDescent="0.25">
      <c r="A15" s="5">
        <v>44938</v>
      </c>
      <c r="B15" s="10">
        <v>47465</v>
      </c>
      <c r="C15" s="8">
        <f t="shared" si="0"/>
        <v>4018</v>
      </c>
      <c r="D15" s="10">
        <v>27349</v>
      </c>
      <c r="E15" s="8">
        <f t="shared" si="1"/>
        <v>2886</v>
      </c>
      <c r="F15" s="10">
        <v>364</v>
      </c>
      <c r="G15" s="38">
        <v>0.7</v>
      </c>
      <c r="H15" s="12" t="s">
        <v>25</v>
      </c>
      <c r="I15" s="8">
        <f t="shared" si="4"/>
        <v>6904</v>
      </c>
      <c r="J15" s="16">
        <f t="shared" si="2"/>
        <v>1668.0059999999999</v>
      </c>
      <c r="L15" s="97">
        <f t="shared" si="3"/>
        <v>6904</v>
      </c>
    </row>
    <row r="16" spans="1:12" x14ac:dyDescent="0.25">
      <c r="A16" s="5">
        <v>44939</v>
      </c>
      <c r="B16" s="10">
        <v>51483</v>
      </c>
      <c r="C16" s="8">
        <f t="shared" si="0"/>
        <v>4178</v>
      </c>
      <c r="D16" s="10">
        <v>30235</v>
      </c>
      <c r="E16" s="8">
        <f t="shared" si="1"/>
        <v>1510</v>
      </c>
      <c r="F16" s="10">
        <v>364</v>
      </c>
      <c r="G16" s="38">
        <v>0.75</v>
      </c>
      <c r="H16" s="12" t="s">
        <v>26</v>
      </c>
      <c r="I16" s="8">
        <f t="shared" si="4"/>
        <v>5688</v>
      </c>
      <c r="J16" s="16">
        <f t="shared" si="2"/>
        <v>1470.5339999999999</v>
      </c>
      <c r="L16" s="97">
        <f t="shared" si="3"/>
        <v>5688</v>
      </c>
    </row>
    <row r="17" spans="1:12" x14ac:dyDescent="0.25">
      <c r="A17" s="5">
        <v>44940</v>
      </c>
      <c r="B17" s="10">
        <v>55661</v>
      </c>
      <c r="C17" s="8">
        <f t="shared" si="0"/>
        <v>4299</v>
      </c>
      <c r="D17" s="10">
        <v>31745</v>
      </c>
      <c r="E17" s="8">
        <f t="shared" si="1"/>
        <v>2837</v>
      </c>
      <c r="F17" s="10">
        <v>383</v>
      </c>
      <c r="G17" s="38">
        <v>0.65</v>
      </c>
      <c r="H17" s="12" t="s">
        <v>25</v>
      </c>
      <c r="I17" s="8">
        <f t="shared" si="4"/>
        <v>7136</v>
      </c>
      <c r="J17" s="16">
        <f t="shared" si="2"/>
        <v>1740.261</v>
      </c>
      <c r="L17" s="97">
        <f t="shared" si="3"/>
        <v>7136</v>
      </c>
    </row>
    <row r="18" spans="1:12" x14ac:dyDescent="0.25">
      <c r="A18" s="5">
        <v>44941</v>
      </c>
      <c r="B18" s="10">
        <v>59960</v>
      </c>
      <c r="C18" s="8">
        <f t="shared" si="0"/>
        <v>4499</v>
      </c>
      <c r="D18" s="10">
        <v>34582</v>
      </c>
      <c r="E18" s="8">
        <f t="shared" si="1"/>
        <v>2516</v>
      </c>
      <c r="F18" s="10">
        <v>383</v>
      </c>
      <c r="G18" s="38">
        <v>0.42</v>
      </c>
      <c r="H18" s="12" t="s">
        <v>25</v>
      </c>
      <c r="I18" s="8">
        <f t="shared" si="4"/>
        <v>7015</v>
      </c>
      <c r="J18" s="16">
        <f t="shared" si="2"/>
        <v>1741.0439999999999</v>
      </c>
      <c r="L18" s="97">
        <f t="shared" si="3"/>
        <v>7015</v>
      </c>
    </row>
    <row r="19" spans="1:12" x14ac:dyDescent="0.25">
      <c r="A19" s="5">
        <v>44942</v>
      </c>
      <c r="B19" s="10">
        <v>64459</v>
      </c>
      <c r="C19" s="8">
        <f t="shared" si="0"/>
        <v>4149</v>
      </c>
      <c r="D19" s="10">
        <v>37098</v>
      </c>
      <c r="E19" s="8">
        <f t="shared" si="1"/>
        <v>2262</v>
      </c>
      <c r="F19" s="10">
        <v>383</v>
      </c>
      <c r="G19" s="38">
        <v>0.57999999999999996</v>
      </c>
      <c r="H19" s="12" t="s">
        <v>25</v>
      </c>
      <c r="I19" s="8">
        <f t="shared" si="4"/>
        <v>6411</v>
      </c>
      <c r="J19" s="16">
        <f t="shared" si="2"/>
        <v>1595.2859999999998</v>
      </c>
      <c r="L19" s="97">
        <f t="shared" si="3"/>
        <v>6411</v>
      </c>
    </row>
    <row r="20" spans="1:12" x14ac:dyDescent="0.25">
      <c r="A20" s="5">
        <v>44943</v>
      </c>
      <c r="B20" s="10">
        <v>68608</v>
      </c>
      <c r="C20" s="8">
        <f t="shared" si="0"/>
        <v>3969</v>
      </c>
      <c r="D20" s="10">
        <v>39360</v>
      </c>
      <c r="E20" s="8">
        <f t="shared" si="1"/>
        <v>2760</v>
      </c>
      <c r="F20" s="10">
        <v>383</v>
      </c>
      <c r="G20" s="38">
        <v>0.5</v>
      </c>
      <c r="H20" s="12" t="s">
        <v>25</v>
      </c>
      <c r="I20" s="8">
        <f t="shared" si="4"/>
        <v>6729</v>
      </c>
      <c r="J20" s="16">
        <f t="shared" si="2"/>
        <v>1631.5919999999999</v>
      </c>
      <c r="L20" s="97">
        <f t="shared" si="3"/>
        <v>6729</v>
      </c>
    </row>
    <row r="21" spans="1:12" x14ac:dyDescent="0.25">
      <c r="A21" s="5">
        <v>44944</v>
      </c>
      <c r="B21" s="10">
        <v>72577</v>
      </c>
      <c r="C21" s="8">
        <f t="shared" si="0"/>
        <v>3869</v>
      </c>
      <c r="D21" s="10">
        <v>42120</v>
      </c>
      <c r="E21" s="8">
        <f t="shared" si="1"/>
        <v>1880</v>
      </c>
      <c r="F21" s="10">
        <v>383</v>
      </c>
      <c r="G21" s="38">
        <v>0.45</v>
      </c>
      <c r="H21" s="12" t="s">
        <v>25</v>
      </c>
      <c r="I21" s="8">
        <f t="shared" si="4"/>
        <v>5749</v>
      </c>
      <c r="J21" s="16">
        <f t="shared" si="2"/>
        <v>1447.0319999999999</v>
      </c>
      <c r="L21" s="97">
        <f t="shared" si="3"/>
        <v>5749</v>
      </c>
    </row>
    <row r="22" spans="1:12" x14ac:dyDescent="0.25">
      <c r="A22" s="5">
        <v>44945</v>
      </c>
      <c r="B22" s="10">
        <v>76446</v>
      </c>
      <c r="C22" s="8">
        <f t="shared" si="0"/>
        <v>4208</v>
      </c>
      <c r="D22" s="10">
        <v>44000</v>
      </c>
      <c r="E22" s="8">
        <f t="shared" si="1"/>
        <v>2446</v>
      </c>
      <c r="F22" s="10">
        <v>383</v>
      </c>
      <c r="G22" s="38">
        <v>0.41</v>
      </c>
      <c r="H22" s="12" t="s">
        <v>25</v>
      </c>
      <c r="I22" s="8">
        <f t="shared" si="4"/>
        <v>6654</v>
      </c>
      <c r="J22" s="16">
        <f t="shared" si="2"/>
        <v>1644.846</v>
      </c>
      <c r="L22" s="97">
        <f t="shared" si="3"/>
        <v>6654</v>
      </c>
    </row>
    <row r="23" spans="1:12" x14ac:dyDescent="0.25">
      <c r="A23" s="5">
        <v>44946</v>
      </c>
      <c r="B23" s="10">
        <v>80654</v>
      </c>
      <c r="C23" s="8">
        <f t="shared" si="0"/>
        <v>4188</v>
      </c>
      <c r="D23" s="10">
        <v>46446</v>
      </c>
      <c r="E23" s="8">
        <f t="shared" si="1"/>
        <v>3008</v>
      </c>
      <c r="F23" s="10">
        <v>383</v>
      </c>
      <c r="G23" s="38">
        <v>0.51</v>
      </c>
      <c r="H23" s="12" t="s">
        <v>25</v>
      </c>
      <c r="I23" s="8">
        <f t="shared" si="4"/>
        <v>7196</v>
      </c>
      <c r="J23" s="16">
        <f t="shared" si="2"/>
        <v>1738.56</v>
      </c>
      <c r="L23" s="97">
        <f t="shared" si="3"/>
        <v>7196</v>
      </c>
    </row>
    <row r="24" spans="1:12" x14ac:dyDescent="0.25">
      <c r="A24" s="5">
        <v>44947</v>
      </c>
      <c r="B24" s="10">
        <v>84842</v>
      </c>
      <c r="C24" s="8">
        <f>IF(B25-B24 &lt; 0,0,B25-B24)</f>
        <v>4249</v>
      </c>
      <c r="D24" s="10">
        <v>49454</v>
      </c>
      <c r="E24" s="8">
        <f t="shared" si="1"/>
        <v>2606</v>
      </c>
      <c r="F24" s="10">
        <v>383</v>
      </c>
      <c r="G24" s="38">
        <v>0.71</v>
      </c>
      <c r="H24" s="12" t="s">
        <v>25</v>
      </c>
      <c r="I24" s="8">
        <f t="shared" si="4"/>
        <v>6855</v>
      </c>
      <c r="J24" s="16">
        <f t="shared" si="2"/>
        <v>1684.9739999999999</v>
      </c>
      <c r="L24" s="97">
        <f t="shared" si="3"/>
        <v>6855</v>
      </c>
    </row>
    <row r="25" spans="1:12" x14ac:dyDescent="0.25">
      <c r="A25" s="5">
        <v>44948</v>
      </c>
      <c r="B25" s="35">
        <v>89091</v>
      </c>
      <c r="C25" s="8">
        <f>IF(B26-B25 &lt; 0,0,B26-B25)</f>
        <v>4648</v>
      </c>
      <c r="D25" s="10">
        <v>52060</v>
      </c>
      <c r="E25" s="8">
        <f t="shared" si="1"/>
        <v>2282</v>
      </c>
      <c r="F25" s="10">
        <v>383</v>
      </c>
      <c r="G25" s="38">
        <v>0.8</v>
      </c>
      <c r="H25" s="12" t="s">
        <v>25</v>
      </c>
      <c r="I25" s="8">
        <f t="shared" si="4"/>
        <v>6930</v>
      </c>
      <c r="J25" s="16">
        <f t="shared" si="2"/>
        <v>1742.5379999999998</v>
      </c>
      <c r="L25" s="97">
        <f t="shared" si="3"/>
        <v>6930</v>
      </c>
    </row>
    <row r="26" spans="1:12" x14ac:dyDescent="0.25">
      <c r="A26" s="5">
        <v>44949</v>
      </c>
      <c r="B26" s="10">
        <v>93739</v>
      </c>
      <c r="C26" s="8">
        <f t="shared" si="0"/>
        <v>4399</v>
      </c>
      <c r="D26" s="10">
        <v>54342</v>
      </c>
      <c r="E26" s="8">
        <f t="shared" si="1"/>
        <v>2886</v>
      </c>
      <c r="F26" s="10">
        <v>383</v>
      </c>
      <c r="G26" s="47">
        <v>0.85</v>
      </c>
      <c r="H26" s="12" t="s">
        <v>25</v>
      </c>
      <c r="I26" s="8">
        <f t="shared" si="4"/>
        <v>7285</v>
      </c>
      <c r="J26" s="16">
        <f t="shared" si="2"/>
        <v>1777.7339999999997</v>
      </c>
      <c r="L26" s="97">
        <f t="shared" si="3"/>
        <v>7285</v>
      </c>
    </row>
    <row r="27" spans="1:12" x14ac:dyDescent="0.25">
      <c r="A27" s="5">
        <v>44950</v>
      </c>
      <c r="B27" s="10">
        <v>98138</v>
      </c>
      <c r="C27" s="8">
        <f>IF(B28-B27 &lt; 0,0,B28-B27)</f>
        <v>4448</v>
      </c>
      <c r="D27" s="10">
        <v>57228</v>
      </c>
      <c r="E27" s="8">
        <f t="shared" si="1"/>
        <v>2455</v>
      </c>
      <c r="F27" s="10">
        <v>383</v>
      </c>
      <c r="G27" s="38">
        <v>0.8</v>
      </c>
      <c r="H27" s="12" t="s">
        <v>25</v>
      </c>
      <c r="I27" s="8">
        <f t="shared" si="4"/>
        <v>6903</v>
      </c>
      <c r="J27" s="16">
        <f t="shared" si="2"/>
        <v>1715.5589999999997</v>
      </c>
      <c r="L27" s="97">
        <f t="shared" si="3"/>
        <v>6903</v>
      </c>
    </row>
    <row r="28" spans="1:12" x14ac:dyDescent="0.25">
      <c r="A28" s="5">
        <v>44951</v>
      </c>
      <c r="B28" s="10">
        <v>102586</v>
      </c>
      <c r="C28" s="8">
        <f t="shared" si="0"/>
        <v>4469</v>
      </c>
      <c r="D28" s="10">
        <v>59683</v>
      </c>
      <c r="E28" s="8">
        <f t="shared" si="1"/>
        <v>2595</v>
      </c>
      <c r="F28" s="10">
        <v>383</v>
      </c>
      <c r="G28" s="38">
        <v>0.79</v>
      </c>
      <c r="H28" s="12" t="s">
        <v>25</v>
      </c>
      <c r="I28" s="8">
        <f t="shared" si="4"/>
        <v>7064</v>
      </c>
      <c r="J28" s="16">
        <f t="shared" si="2"/>
        <v>1746.3869999999999</v>
      </c>
      <c r="L28" s="97">
        <f t="shared" si="3"/>
        <v>7064</v>
      </c>
    </row>
    <row r="29" spans="1:12" x14ac:dyDescent="0.25">
      <c r="A29" s="5">
        <v>44952</v>
      </c>
      <c r="B29" s="10">
        <v>107055</v>
      </c>
      <c r="C29" s="8">
        <f t="shared" si="0"/>
        <v>4519</v>
      </c>
      <c r="D29" s="10">
        <v>62278</v>
      </c>
      <c r="E29" s="8">
        <f t="shared" si="1"/>
        <v>2745</v>
      </c>
      <c r="F29" s="10">
        <v>343</v>
      </c>
      <c r="G29" s="38">
        <v>0.75</v>
      </c>
      <c r="H29" s="12" t="s">
        <v>25</v>
      </c>
      <c r="I29" s="8">
        <f t="shared" si="4"/>
        <v>7264</v>
      </c>
      <c r="J29" s="16">
        <f t="shared" si="2"/>
        <v>1787.337</v>
      </c>
      <c r="L29" s="97">
        <f t="shared" si="3"/>
        <v>7264</v>
      </c>
    </row>
    <row r="30" spans="1:12" x14ac:dyDescent="0.25">
      <c r="A30" s="5">
        <v>44953</v>
      </c>
      <c r="B30" s="10">
        <v>111574</v>
      </c>
      <c r="C30" s="8">
        <f t="shared" si="0"/>
        <v>4439</v>
      </c>
      <c r="D30" s="10">
        <v>65023</v>
      </c>
      <c r="E30" s="8">
        <f t="shared" si="1"/>
        <v>2594</v>
      </c>
      <c r="F30" s="10">
        <v>384</v>
      </c>
      <c r="G30" s="38">
        <v>0.66</v>
      </c>
      <c r="H30" s="12" t="s">
        <v>25</v>
      </c>
      <c r="I30" s="8">
        <f t="shared" si="4"/>
        <v>7033</v>
      </c>
      <c r="J30" s="16">
        <f t="shared" si="2"/>
        <v>1737.57</v>
      </c>
      <c r="L30" s="97">
        <f t="shared" si="3"/>
        <v>7033</v>
      </c>
    </row>
    <row r="31" spans="1:12" x14ac:dyDescent="0.25">
      <c r="A31" s="5">
        <v>44954</v>
      </c>
      <c r="B31" s="10">
        <v>116013</v>
      </c>
      <c r="C31" s="8">
        <f t="shared" si="0"/>
        <v>4278</v>
      </c>
      <c r="D31" s="10">
        <v>67617</v>
      </c>
      <c r="E31" s="8">
        <f t="shared" si="1"/>
        <v>2969</v>
      </c>
      <c r="F31" s="10">
        <v>384</v>
      </c>
      <c r="G31" s="38">
        <v>0.63</v>
      </c>
      <c r="H31" s="12" t="s">
        <v>25</v>
      </c>
      <c r="I31" s="8">
        <f t="shared" si="4"/>
        <v>7247</v>
      </c>
      <c r="J31" s="16">
        <f t="shared" si="2"/>
        <v>1757.5769999999998</v>
      </c>
      <c r="L31" s="97">
        <f t="shared" si="3"/>
        <v>7247</v>
      </c>
    </row>
    <row r="32" spans="1:12" x14ac:dyDescent="0.25">
      <c r="A32" s="5">
        <v>44955</v>
      </c>
      <c r="B32" s="10">
        <v>120291</v>
      </c>
      <c r="C32" s="8">
        <f t="shared" si="0"/>
        <v>3919</v>
      </c>
      <c r="D32" s="10">
        <v>70586</v>
      </c>
      <c r="E32" s="8">
        <f t="shared" si="1"/>
        <v>2585</v>
      </c>
      <c r="F32" s="10">
        <v>384</v>
      </c>
      <c r="G32" s="38">
        <v>0.43</v>
      </c>
      <c r="H32" s="12" t="s">
        <v>25</v>
      </c>
      <c r="I32" s="8">
        <f t="shared" si="4"/>
        <v>6504</v>
      </c>
      <c r="J32" s="16">
        <f t="shared" si="2"/>
        <v>1586.2170000000001</v>
      </c>
      <c r="L32" s="97">
        <f t="shared" si="3"/>
        <v>6504</v>
      </c>
    </row>
    <row r="33" spans="1:12" x14ac:dyDescent="0.25">
      <c r="A33" s="5">
        <v>44956</v>
      </c>
      <c r="B33" s="10">
        <v>124210</v>
      </c>
      <c r="C33" s="8">
        <f t="shared" si="0"/>
        <v>4289</v>
      </c>
      <c r="D33" s="10">
        <v>73171</v>
      </c>
      <c r="E33" s="8">
        <f t="shared" si="1"/>
        <v>2426</v>
      </c>
      <c r="F33" s="10">
        <v>384</v>
      </c>
      <c r="G33" s="38">
        <v>0.43</v>
      </c>
      <c r="H33" s="12" t="s">
        <v>25</v>
      </c>
      <c r="I33" s="8">
        <f t="shared" si="4"/>
        <v>6715</v>
      </c>
      <c r="J33" s="16">
        <f t="shared" si="2"/>
        <v>1664.634</v>
      </c>
      <c r="L33" s="97">
        <f t="shared" si="3"/>
        <v>6715</v>
      </c>
    </row>
    <row r="34" spans="1:12" x14ac:dyDescent="0.25">
      <c r="A34" s="5">
        <v>44957</v>
      </c>
      <c r="B34" s="10">
        <v>128499</v>
      </c>
      <c r="C34" s="8">
        <f t="shared" si="0"/>
        <v>0</v>
      </c>
      <c r="D34" s="10">
        <v>75597</v>
      </c>
      <c r="E34" s="8">
        <f t="shared" si="1"/>
        <v>0</v>
      </c>
      <c r="F34" s="10">
        <v>384</v>
      </c>
      <c r="G34" s="38">
        <v>0.54</v>
      </c>
      <c r="H34" s="12" t="s">
        <v>25</v>
      </c>
      <c r="I34" s="8">
        <f t="shared" si="4"/>
        <v>0</v>
      </c>
      <c r="J34" s="16">
        <f t="shared" si="2"/>
        <v>0</v>
      </c>
      <c r="L34" s="97">
        <f t="shared" si="3"/>
        <v>0</v>
      </c>
    </row>
    <row r="35" spans="1:12" x14ac:dyDescent="0.25">
      <c r="A35" s="5"/>
      <c r="B35" s="36"/>
      <c r="C35" s="8"/>
      <c r="D35" s="10"/>
      <c r="E35" s="8"/>
      <c r="F35" s="10"/>
      <c r="G35" s="12"/>
      <c r="H35" s="42"/>
      <c r="I35" s="8">
        <f t="shared" si="4"/>
        <v>0</v>
      </c>
      <c r="J35" s="16">
        <f t="shared" si="2"/>
        <v>0</v>
      </c>
    </row>
    <row r="36" spans="1:12" x14ac:dyDescent="0.25">
      <c r="A36" s="118"/>
      <c r="B36" s="119"/>
      <c r="C36" s="9">
        <f>SUM(C4:C35)</f>
        <v>124411</v>
      </c>
      <c r="D36" s="9"/>
      <c r="E36" s="9">
        <f>SUM(E4:E35)</f>
        <v>73596</v>
      </c>
      <c r="F36" s="9">
        <f>MAX(F4:F34)</f>
        <v>384</v>
      </c>
      <c r="G36" s="11"/>
      <c r="H36" s="41"/>
      <c r="I36" s="8">
        <f>+E36+C36</f>
        <v>198007</v>
      </c>
      <c r="J36" s="16">
        <f>(C36*0.288)+(E36*0.177)</f>
        <v>48856.859999999993</v>
      </c>
    </row>
    <row r="37" spans="1:12" x14ac:dyDescent="0.25">
      <c r="A37" s="4">
        <f>COUNT(A4:A34)</f>
        <v>31</v>
      </c>
      <c r="G37" s="1"/>
    </row>
    <row r="38" spans="1:12" x14ac:dyDescent="0.25">
      <c r="H38" s="40" t="s">
        <v>31</v>
      </c>
    </row>
    <row r="39" spans="1:12" ht="15.6" x14ac:dyDescent="0.3">
      <c r="A39" s="13" t="s">
        <v>29</v>
      </c>
      <c r="H39" s="40" t="s">
        <v>32</v>
      </c>
    </row>
    <row r="40" spans="1:12" x14ac:dyDescent="0.25">
      <c r="H40" s="40" t="s">
        <v>27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8"/>
  <sheetViews>
    <sheetView topLeftCell="A11" zoomScale="90" zoomScaleNormal="90" workbookViewId="0">
      <selection activeCell="H16" sqref="H16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5.6640625" style="1" bestFit="1" customWidth="1"/>
    <col min="5" max="5" width="18.88671875" style="1" customWidth="1"/>
    <col min="6" max="6" width="11.33203125" customWidth="1"/>
    <col min="7" max="7" width="11.6640625" customWidth="1"/>
    <col min="8" max="8" width="19.109375" style="1" bestFit="1" customWidth="1"/>
    <col min="9" max="9" width="13.33203125" style="14" customWidth="1"/>
    <col min="10" max="10" width="15.109375" bestFit="1" customWidth="1"/>
  </cols>
  <sheetData>
    <row r="1" spans="1:12" ht="17.399999999999999" x14ac:dyDescent="0.3">
      <c r="A1" s="6" t="s">
        <v>33</v>
      </c>
    </row>
    <row r="2" spans="1:12" ht="17.399999999999999" x14ac:dyDescent="0.3">
      <c r="A2" s="2"/>
      <c r="B2" s="7" t="s">
        <v>34</v>
      </c>
      <c r="C2" s="7" t="s">
        <v>35</v>
      </c>
      <c r="D2" s="7" t="s">
        <v>36</v>
      </c>
      <c r="E2" s="7" t="s">
        <v>35</v>
      </c>
      <c r="F2" s="7" t="s">
        <v>16</v>
      </c>
      <c r="G2" s="7" t="s">
        <v>17</v>
      </c>
      <c r="H2" s="7" t="s">
        <v>18</v>
      </c>
      <c r="I2" s="92" t="s">
        <v>19</v>
      </c>
      <c r="J2" s="120" t="s">
        <v>37</v>
      </c>
    </row>
    <row r="3" spans="1:12" x14ac:dyDescent="0.25">
      <c r="A3" s="3"/>
      <c r="B3" s="7" t="s">
        <v>38</v>
      </c>
      <c r="C3" s="7" t="s">
        <v>38</v>
      </c>
      <c r="D3" s="7" t="s">
        <v>38</v>
      </c>
      <c r="E3" s="7" t="s">
        <v>38</v>
      </c>
      <c r="F3" s="7" t="s">
        <v>22</v>
      </c>
      <c r="G3" s="11"/>
      <c r="H3" s="7" t="s">
        <v>38</v>
      </c>
      <c r="I3" s="92" t="s">
        <v>24</v>
      </c>
      <c r="J3" s="120"/>
    </row>
    <row r="4" spans="1:12" x14ac:dyDescent="0.25">
      <c r="A4" s="5">
        <v>44927</v>
      </c>
      <c r="B4" s="10">
        <v>525936</v>
      </c>
      <c r="C4" s="8">
        <f t="shared" ref="C4:C6" si="0">IF(B5-B4&lt;0,0,B5-B4)</f>
        <v>0</v>
      </c>
      <c r="D4" s="10">
        <v>3802</v>
      </c>
      <c r="E4" s="8">
        <f t="shared" ref="E4:E6" si="1">IF(D5-D4&lt;0,0,D5-D4)</f>
        <v>10</v>
      </c>
      <c r="F4" s="38">
        <v>0.74</v>
      </c>
      <c r="G4" s="12" t="s">
        <v>25</v>
      </c>
      <c r="H4" s="8">
        <f>+E4+C4</f>
        <v>10</v>
      </c>
      <c r="I4" s="94">
        <f>(C4*1.35)+(E4*1.35)</f>
        <v>13.5</v>
      </c>
      <c r="J4" s="93"/>
      <c r="L4" s="97">
        <f>C4+E4</f>
        <v>10</v>
      </c>
    </row>
    <row r="5" spans="1:12" x14ac:dyDescent="0.25">
      <c r="A5" s="5">
        <v>44928</v>
      </c>
      <c r="B5" s="10">
        <v>525936</v>
      </c>
      <c r="C5" s="8">
        <f t="shared" si="0"/>
        <v>0</v>
      </c>
      <c r="D5" s="10">
        <v>3812</v>
      </c>
      <c r="E5" s="8">
        <f t="shared" si="1"/>
        <v>13</v>
      </c>
      <c r="F5" s="38">
        <v>0.74</v>
      </c>
      <c r="G5" s="12" t="s">
        <v>25</v>
      </c>
      <c r="H5" s="8">
        <f t="shared" ref="H5:H34" si="2">+E5+C5</f>
        <v>13</v>
      </c>
      <c r="I5" s="94">
        <f t="shared" ref="I5:I34" si="3">(C5*1.35)+(E5*1.35)</f>
        <v>17.55</v>
      </c>
      <c r="J5" s="93"/>
      <c r="L5" s="97">
        <f t="shared" ref="L5:L34" si="4">C5+E5</f>
        <v>13</v>
      </c>
    </row>
    <row r="6" spans="1:12" x14ac:dyDescent="0.25">
      <c r="A6" s="5">
        <v>44929</v>
      </c>
      <c r="B6" s="10">
        <v>525936</v>
      </c>
      <c r="C6" s="8">
        <f t="shared" si="0"/>
        <v>0</v>
      </c>
      <c r="D6" s="10">
        <v>3825</v>
      </c>
      <c r="E6" s="8">
        <f t="shared" si="1"/>
        <v>17</v>
      </c>
      <c r="F6" s="38">
        <v>0.75</v>
      </c>
      <c r="G6" s="12" t="s">
        <v>25</v>
      </c>
      <c r="H6" s="8">
        <f t="shared" si="2"/>
        <v>17</v>
      </c>
      <c r="I6" s="94">
        <f>(C6*1.35)+(E6*1.35)</f>
        <v>22.950000000000003</v>
      </c>
      <c r="J6" s="93"/>
      <c r="L6" s="97">
        <f t="shared" si="4"/>
        <v>17</v>
      </c>
    </row>
    <row r="7" spans="1:12" x14ac:dyDescent="0.25">
      <c r="A7" s="5">
        <v>44930</v>
      </c>
      <c r="B7" s="10">
        <v>525936</v>
      </c>
      <c r="C7" s="8">
        <f>IF(B8-B7&lt;0,0,B8-B7)</f>
        <v>21</v>
      </c>
      <c r="D7" s="10">
        <v>3842</v>
      </c>
      <c r="E7" s="8">
        <f>IF(D8-D7&lt;0,0,D8-D7)</f>
        <v>3</v>
      </c>
      <c r="F7" s="38">
        <v>0.54</v>
      </c>
      <c r="G7" s="12" t="s">
        <v>25</v>
      </c>
      <c r="H7" s="8">
        <f t="shared" si="2"/>
        <v>24</v>
      </c>
      <c r="I7" s="94">
        <f t="shared" si="3"/>
        <v>32.400000000000006</v>
      </c>
      <c r="J7" s="93"/>
      <c r="L7" s="97">
        <f t="shared" si="4"/>
        <v>24</v>
      </c>
    </row>
    <row r="8" spans="1:12" x14ac:dyDescent="0.25">
      <c r="A8" s="5">
        <v>44931</v>
      </c>
      <c r="B8" s="10">
        <v>525957</v>
      </c>
      <c r="C8" s="8">
        <f>IF(B9-B8&lt;0,0,B9-B8)</f>
        <v>0</v>
      </c>
      <c r="D8" s="10">
        <v>3845</v>
      </c>
      <c r="E8" s="8">
        <f>IF(D9-D8&lt;0,0,D9-D8)</f>
        <v>4</v>
      </c>
      <c r="F8" s="38">
        <v>0.59</v>
      </c>
      <c r="G8" s="12" t="s">
        <v>25</v>
      </c>
      <c r="H8" s="8">
        <f t="shared" si="2"/>
        <v>4</v>
      </c>
      <c r="I8" s="94">
        <f t="shared" si="3"/>
        <v>5.4</v>
      </c>
      <c r="J8" s="93"/>
      <c r="L8" s="97">
        <f t="shared" si="4"/>
        <v>4</v>
      </c>
    </row>
    <row r="9" spans="1:12" x14ac:dyDescent="0.25">
      <c r="A9" s="5">
        <v>44932</v>
      </c>
      <c r="B9" s="10">
        <v>525957</v>
      </c>
      <c r="C9" s="8">
        <f t="shared" ref="C9:C34" si="5">IF(B10-B9&lt;0,0,B10-B9)</f>
        <v>0</v>
      </c>
      <c r="D9" s="10">
        <v>3849</v>
      </c>
      <c r="E9" s="8">
        <f t="shared" ref="E9:E34" si="6">IF(D10-D9&lt;0,0,D10-D9)</f>
        <v>0</v>
      </c>
      <c r="F9" s="38">
        <v>0.73</v>
      </c>
      <c r="G9" s="12" t="s">
        <v>25</v>
      </c>
      <c r="H9" s="8">
        <f t="shared" si="2"/>
        <v>0</v>
      </c>
      <c r="I9" s="94">
        <f t="shared" si="3"/>
        <v>0</v>
      </c>
      <c r="J9" s="93"/>
      <c r="L9" s="97">
        <f t="shared" si="4"/>
        <v>0</v>
      </c>
    </row>
    <row r="10" spans="1:12" x14ac:dyDescent="0.25">
      <c r="A10" s="5">
        <v>44933</v>
      </c>
      <c r="B10" s="10">
        <v>525957</v>
      </c>
      <c r="C10" s="8">
        <f t="shared" si="5"/>
        <v>10</v>
      </c>
      <c r="D10" s="10">
        <v>3849</v>
      </c>
      <c r="E10" s="8">
        <f t="shared" si="6"/>
        <v>3</v>
      </c>
      <c r="F10" s="39">
        <v>0.74</v>
      </c>
      <c r="G10" s="12" t="s">
        <v>25</v>
      </c>
      <c r="H10" s="8">
        <f t="shared" si="2"/>
        <v>13</v>
      </c>
      <c r="I10" s="94">
        <f t="shared" si="3"/>
        <v>17.55</v>
      </c>
      <c r="J10" s="93"/>
      <c r="L10" s="97">
        <f t="shared" si="4"/>
        <v>13</v>
      </c>
    </row>
    <row r="11" spans="1:12" x14ac:dyDescent="0.25">
      <c r="A11" s="5">
        <v>44934</v>
      </c>
      <c r="B11" s="10">
        <v>525967</v>
      </c>
      <c r="C11" s="8">
        <f>IF(B12-B11&lt;0,0,B12-B11)</f>
        <v>0</v>
      </c>
      <c r="D11" s="10">
        <v>3852</v>
      </c>
      <c r="E11" s="8">
        <f t="shared" si="6"/>
        <v>4</v>
      </c>
      <c r="F11" s="38">
        <v>0.63</v>
      </c>
      <c r="G11" s="12" t="s">
        <v>26</v>
      </c>
      <c r="H11" s="8">
        <f t="shared" si="2"/>
        <v>4</v>
      </c>
      <c r="I11" s="94">
        <f t="shared" si="3"/>
        <v>5.4</v>
      </c>
      <c r="J11" s="93"/>
      <c r="L11" s="97">
        <f t="shared" si="4"/>
        <v>4</v>
      </c>
    </row>
    <row r="12" spans="1:12" x14ac:dyDescent="0.25">
      <c r="A12" s="5">
        <v>44935</v>
      </c>
      <c r="B12" s="10">
        <v>525967</v>
      </c>
      <c r="C12" s="8">
        <f t="shared" si="5"/>
        <v>0</v>
      </c>
      <c r="D12" s="10">
        <v>3856</v>
      </c>
      <c r="E12" s="8">
        <f t="shared" si="6"/>
        <v>12</v>
      </c>
      <c r="F12" s="38">
        <v>0.5</v>
      </c>
      <c r="G12" s="12" t="s">
        <v>27</v>
      </c>
      <c r="H12" s="8">
        <f t="shared" si="2"/>
        <v>12</v>
      </c>
      <c r="I12" s="94">
        <f t="shared" si="3"/>
        <v>16.200000000000003</v>
      </c>
      <c r="J12" s="93"/>
      <c r="L12" s="97">
        <f t="shared" si="4"/>
        <v>12</v>
      </c>
    </row>
    <row r="13" spans="1:12" x14ac:dyDescent="0.25">
      <c r="A13" s="5">
        <v>44936</v>
      </c>
      <c r="B13" s="10">
        <v>525967</v>
      </c>
      <c r="C13" s="8">
        <f t="shared" si="5"/>
        <v>0</v>
      </c>
      <c r="D13" s="10">
        <v>3868</v>
      </c>
      <c r="E13" s="8">
        <f t="shared" si="6"/>
        <v>23</v>
      </c>
      <c r="F13" s="38">
        <v>0.54</v>
      </c>
      <c r="G13" s="12" t="s">
        <v>27</v>
      </c>
      <c r="H13" s="8">
        <f t="shared" si="2"/>
        <v>23</v>
      </c>
      <c r="I13" s="94">
        <f t="shared" si="3"/>
        <v>31.05</v>
      </c>
      <c r="J13" s="93"/>
      <c r="L13" s="97">
        <f t="shared" si="4"/>
        <v>23</v>
      </c>
    </row>
    <row r="14" spans="1:12" x14ac:dyDescent="0.25">
      <c r="A14" s="5">
        <v>44937</v>
      </c>
      <c r="B14" s="10">
        <v>525967</v>
      </c>
      <c r="C14" s="8">
        <f t="shared" si="5"/>
        <v>0</v>
      </c>
      <c r="D14" s="10">
        <v>3891</v>
      </c>
      <c r="E14" s="8">
        <f t="shared" si="6"/>
        <v>17</v>
      </c>
      <c r="F14" s="38">
        <v>0.6</v>
      </c>
      <c r="G14" s="12" t="s">
        <v>25</v>
      </c>
      <c r="H14" s="8">
        <f t="shared" si="2"/>
        <v>17</v>
      </c>
      <c r="I14" s="94">
        <f t="shared" si="3"/>
        <v>22.950000000000003</v>
      </c>
      <c r="J14" s="93"/>
      <c r="L14" s="97">
        <f t="shared" si="4"/>
        <v>17</v>
      </c>
    </row>
    <row r="15" spans="1:12" x14ac:dyDescent="0.25">
      <c r="A15" s="5">
        <v>44938</v>
      </c>
      <c r="B15" s="10">
        <v>525967</v>
      </c>
      <c r="C15" s="8">
        <f t="shared" si="5"/>
        <v>0</v>
      </c>
      <c r="D15" s="10">
        <v>3908</v>
      </c>
      <c r="E15" s="8">
        <f t="shared" si="6"/>
        <v>11</v>
      </c>
      <c r="F15" s="38">
        <v>0.7</v>
      </c>
      <c r="G15" s="12" t="s">
        <v>25</v>
      </c>
      <c r="H15" s="8">
        <f t="shared" si="2"/>
        <v>11</v>
      </c>
      <c r="I15" s="94">
        <f t="shared" si="3"/>
        <v>14.850000000000001</v>
      </c>
      <c r="J15" s="93"/>
      <c r="L15" s="97">
        <f t="shared" si="4"/>
        <v>11</v>
      </c>
    </row>
    <row r="16" spans="1:12" x14ac:dyDescent="0.25">
      <c r="A16" s="5">
        <v>44939</v>
      </c>
      <c r="B16" s="10">
        <v>525967</v>
      </c>
      <c r="C16" s="8">
        <f t="shared" si="5"/>
        <v>0</v>
      </c>
      <c r="D16" s="10">
        <v>3919</v>
      </c>
      <c r="E16" s="8">
        <f t="shared" si="6"/>
        <v>15</v>
      </c>
      <c r="F16" s="38">
        <v>0.75</v>
      </c>
      <c r="G16" s="12" t="s">
        <v>26</v>
      </c>
      <c r="H16" s="8">
        <f t="shared" si="2"/>
        <v>15</v>
      </c>
      <c r="I16" s="94">
        <f t="shared" si="3"/>
        <v>20.25</v>
      </c>
      <c r="J16" s="93"/>
      <c r="L16" s="97">
        <f t="shared" si="4"/>
        <v>15</v>
      </c>
    </row>
    <row r="17" spans="1:12" x14ac:dyDescent="0.25">
      <c r="A17" s="5">
        <v>44940</v>
      </c>
      <c r="B17" s="10">
        <v>525967</v>
      </c>
      <c r="C17" s="8">
        <f t="shared" si="5"/>
        <v>20</v>
      </c>
      <c r="D17" s="10">
        <v>3934</v>
      </c>
      <c r="E17" s="8">
        <f t="shared" si="6"/>
        <v>1</v>
      </c>
      <c r="F17" s="38">
        <v>0.65</v>
      </c>
      <c r="G17" s="12" t="s">
        <v>25</v>
      </c>
      <c r="H17" s="8">
        <f t="shared" si="2"/>
        <v>21</v>
      </c>
      <c r="I17" s="94">
        <f t="shared" si="3"/>
        <v>28.35</v>
      </c>
      <c r="J17" s="93"/>
      <c r="L17" s="97">
        <f t="shared" si="4"/>
        <v>21</v>
      </c>
    </row>
    <row r="18" spans="1:12" x14ac:dyDescent="0.25">
      <c r="A18" s="5">
        <v>44941</v>
      </c>
      <c r="B18" s="10">
        <v>525987</v>
      </c>
      <c r="C18" s="8">
        <f t="shared" si="5"/>
        <v>9</v>
      </c>
      <c r="D18" s="10">
        <v>3935</v>
      </c>
      <c r="E18" s="8">
        <f t="shared" si="6"/>
        <v>1</v>
      </c>
      <c r="F18" s="38">
        <v>0.42</v>
      </c>
      <c r="G18" s="12" t="s">
        <v>25</v>
      </c>
      <c r="H18" s="8">
        <f t="shared" si="2"/>
        <v>10</v>
      </c>
      <c r="I18" s="94">
        <f t="shared" si="3"/>
        <v>13.5</v>
      </c>
      <c r="J18" s="93"/>
      <c r="L18" s="97">
        <f t="shared" si="4"/>
        <v>10</v>
      </c>
    </row>
    <row r="19" spans="1:12" x14ac:dyDescent="0.25">
      <c r="A19" s="5">
        <v>44942</v>
      </c>
      <c r="B19" s="10">
        <v>525996</v>
      </c>
      <c r="C19" s="8">
        <f t="shared" si="5"/>
        <v>0</v>
      </c>
      <c r="D19" s="10">
        <v>3936</v>
      </c>
      <c r="E19" s="8">
        <f t="shared" si="6"/>
        <v>0</v>
      </c>
      <c r="F19" s="38">
        <v>0.57999999999999996</v>
      </c>
      <c r="G19" s="12" t="s">
        <v>25</v>
      </c>
      <c r="H19" s="8">
        <f t="shared" si="2"/>
        <v>0</v>
      </c>
      <c r="I19" s="94">
        <f t="shared" si="3"/>
        <v>0</v>
      </c>
      <c r="J19" s="93"/>
      <c r="L19" s="97">
        <f t="shared" si="4"/>
        <v>0</v>
      </c>
    </row>
    <row r="20" spans="1:12" x14ac:dyDescent="0.25">
      <c r="A20" s="5">
        <v>44943</v>
      </c>
      <c r="B20" s="10">
        <v>525996</v>
      </c>
      <c r="C20" s="8">
        <f t="shared" si="5"/>
        <v>1</v>
      </c>
      <c r="D20" s="10">
        <v>3936</v>
      </c>
      <c r="E20" s="8">
        <f t="shared" si="6"/>
        <v>2</v>
      </c>
      <c r="F20" s="38">
        <v>0.5</v>
      </c>
      <c r="G20" s="12" t="s">
        <v>25</v>
      </c>
      <c r="H20" s="8">
        <f t="shared" si="2"/>
        <v>3</v>
      </c>
      <c r="I20" s="94">
        <f t="shared" si="3"/>
        <v>4.0500000000000007</v>
      </c>
      <c r="J20" s="93"/>
      <c r="L20" s="97">
        <f t="shared" si="4"/>
        <v>3</v>
      </c>
    </row>
    <row r="21" spans="1:12" x14ac:dyDescent="0.25">
      <c r="A21" s="5">
        <v>44944</v>
      </c>
      <c r="B21" s="10">
        <v>525997</v>
      </c>
      <c r="C21" s="8">
        <f t="shared" si="5"/>
        <v>3</v>
      </c>
      <c r="D21" s="10">
        <v>3938</v>
      </c>
      <c r="E21" s="8">
        <f t="shared" si="6"/>
        <v>66</v>
      </c>
      <c r="F21" s="38">
        <v>0.45</v>
      </c>
      <c r="G21" s="12" t="s">
        <v>25</v>
      </c>
      <c r="H21" s="8">
        <f t="shared" si="2"/>
        <v>69</v>
      </c>
      <c r="I21" s="94">
        <f t="shared" si="3"/>
        <v>93.15</v>
      </c>
      <c r="J21" s="93"/>
      <c r="L21" s="97">
        <f t="shared" si="4"/>
        <v>69</v>
      </c>
    </row>
    <row r="22" spans="1:12" x14ac:dyDescent="0.25">
      <c r="A22" s="5">
        <v>44945</v>
      </c>
      <c r="B22" s="10">
        <v>526000</v>
      </c>
      <c r="C22" s="8">
        <f t="shared" si="5"/>
        <v>6</v>
      </c>
      <c r="D22" s="10">
        <v>4004</v>
      </c>
      <c r="E22" s="8">
        <f t="shared" si="6"/>
        <v>20</v>
      </c>
      <c r="F22" s="38">
        <v>0.41</v>
      </c>
      <c r="G22" s="12" t="s">
        <v>25</v>
      </c>
      <c r="H22" s="8">
        <f t="shared" si="2"/>
        <v>26</v>
      </c>
      <c r="I22" s="94">
        <f t="shared" si="3"/>
        <v>35.1</v>
      </c>
      <c r="J22" s="93"/>
      <c r="L22" s="97">
        <f t="shared" si="4"/>
        <v>26</v>
      </c>
    </row>
    <row r="23" spans="1:12" x14ac:dyDescent="0.25">
      <c r="A23" s="5">
        <v>44946</v>
      </c>
      <c r="B23" s="10">
        <v>526006</v>
      </c>
      <c r="C23" s="8">
        <f t="shared" si="5"/>
        <v>0</v>
      </c>
      <c r="D23" s="10">
        <v>4024</v>
      </c>
      <c r="E23" s="8">
        <f t="shared" si="6"/>
        <v>11</v>
      </c>
      <c r="F23" s="38">
        <v>0.51</v>
      </c>
      <c r="G23" s="12" t="s">
        <v>25</v>
      </c>
      <c r="H23" s="8">
        <f t="shared" si="2"/>
        <v>11</v>
      </c>
      <c r="I23" s="94">
        <f t="shared" si="3"/>
        <v>14.850000000000001</v>
      </c>
      <c r="J23" s="93"/>
      <c r="L23" s="97">
        <f t="shared" si="4"/>
        <v>11</v>
      </c>
    </row>
    <row r="24" spans="1:12" x14ac:dyDescent="0.25">
      <c r="A24" s="5">
        <v>44947</v>
      </c>
      <c r="B24" s="10">
        <v>526006</v>
      </c>
      <c r="C24" s="8">
        <f t="shared" si="5"/>
        <v>0</v>
      </c>
      <c r="D24" s="10">
        <v>4035</v>
      </c>
      <c r="E24" s="8">
        <f t="shared" si="6"/>
        <v>7</v>
      </c>
      <c r="F24" s="38">
        <v>0.71</v>
      </c>
      <c r="G24" s="12" t="s">
        <v>25</v>
      </c>
      <c r="H24" s="8">
        <f t="shared" si="2"/>
        <v>7</v>
      </c>
      <c r="I24" s="94">
        <f t="shared" si="3"/>
        <v>9.4500000000000011</v>
      </c>
      <c r="J24" s="93"/>
      <c r="L24" s="97">
        <f t="shared" si="4"/>
        <v>7</v>
      </c>
    </row>
    <row r="25" spans="1:12" x14ac:dyDescent="0.25">
      <c r="A25" s="5">
        <v>44948</v>
      </c>
      <c r="B25" s="10">
        <v>526006</v>
      </c>
      <c r="C25" s="8">
        <f t="shared" si="5"/>
        <v>1</v>
      </c>
      <c r="D25" s="10">
        <v>4042</v>
      </c>
      <c r="E25" s="8">
        <f t="shared" si="6"/>
        <v>14</v>
      </c>
      <c r="F25" s="38">
        <v>0.8</v>
      </c>
      <c r="G25" s="12" t="s">
        <v>25</v>
      </c>
      <c r="H25" s="8">
        <f t="shared" si="2"/>
        <v>15</v>
      </c>
      <c r="I25" s="94">
        <f t="shared" si="3"/>
        <v>20.250000000000004</v>
      </c>
      <c r="J25" s="93"/>
      <c r="L25" s="97">
        <f t="shared" si="4"/>
        <v>15</v>
      </c>
    </row>
    <row r="26" spans="1:12" x14ac:dyDescent="0.25">
      <c r="A26" s="5">
        <v>44949</v>
      </c>
      <c r="B26" s="10">
        <v>526007</v>
      </c>
      <c r="C26" s="8">
        <f t="shared" si="5"/>
        <v>0</v>
      </c>
      <c r="D26" s="10">
        <v>4056</v>
      </c>
      <c r="E26" s="8">
        <f t="shared" si="6"/>
        <v>15</v>
      </c>
      <c r="F26" s="47">
        <v>0.85</v>
      </c>
      <c r="G26" s="12" t="s">
        <v>25</v>
      </c>
      <c r="H26" s="8">
        <f t="shared" si="2"/>
        <v>15</v>
      </c>
      <c r="I26" s="94">
        <f t="shared" si="3"/>
        <v>20.25</v>
      </c>
      <c r="J26" s="93"/>
      <c r="L26" s="97">
        <f t="shared" si="4"/>
        <v>15</v>
      </c>
    </row>
    <row r="27" spans="1:12" x14ac:dyDescent="0.25">
      <c r="A27" s="5">
        <v>44950</v>
      </c>
      <c r="B27" s="10">
        <v>526007</v>
      </c>
      <c r="C27" s="8">
        <f t="shared" si="5"/>
        <v>0</v>
      </c>
      <c r="D27" s="10">
        <v>4071</v>
      </c>
      <c r="E27" s="8">
        <f t="shared" si="6"/>
        <v>14</v>
      </c>
      <c r="F27" s="38">
        <v>0.8</v>
      </c>
      <c r="G27" s="12" t="s">
        <v>25</v>
      </c>
      <c r="H27" s="8">
        <f t="shared" si="2"/>
        <v>14</v>
      </c>
      <c r="I27" s="94">
        <f t="shared" si="3"/>
        <v>18.900000000000002</v>
      </c>
      <c r="J27" s="93"/>
      <c r="L27" s="97">
        <f t="shared" si="4"/>
        <v>14</v>
      </c>
    </row>
    <row r="28" spans="1:12" x14ac:dyDescent="0.25">
      <c r="A28" s="5">
        <v>44951</v>
      </c>
      <c r="B28" s="10">
        <v>526007</v>
      </c>
      <c r="C28" s="8">
        <f t="shared" si="5"/>
        <v>0</v>
      </c>
      <c r="D28" s="10">
        <v>4085</v>
      </c>
      <c r="E28" s="8">
        <f t="shared" si="6"/>
        <v>22</v>
      </c>
      <c r="F28" s="38">
        <v>0.79</v>
      </c>
      <c r="G28" s="12" t="s">
        <v>25</v>
      </c>
      <c r="H28" s="8">
        <f t="shared" si="2"/>
        <v>22</v>
      </c>
      <c r="I28" s="94">
        <f t="shared" si="3"/>
        <v>29.700000000000003</v>
      </c>
      <c r="J28" s="93"/>
      <c r="L28" s="97">
        <f t="shared" si="4"/>
        <v>22</v>
      </c>
    </row>
    <row r="29" spans="1:12" x14ac:dyDescent="0.25">
      <c r="A29" s="5">
        <v>44952</v>
      </c>
      <c r="B29" s="10">
        <v>526007</v>
      </c>
      <c r="C29" s="8">
        <f t="shared" si="5"/>
        <v>0</v>
      </c>
      <c r="D29" s="10">
        <v>4107</v>
      </c>
      <c r="E29" s="8">
        <f t="shared" si="6"/>
        <v>20</v>
      </c>
      <c r="F29" s="38">
        <v>0.75</v>
      </c>
      <c r="G29" s="12" t="s">
        <v>25</v>
      </c>
      <c r="H29" s="8">
        <f t="shared" si="2"/>
        <v>20</v>
      </c>
      <c r="I29" s="94">
        <f t="shared" si="3"/>
        <v>27</v>
      </c>
      <c r="J29" s="93"/>
      <c r="L29" s="97">
        <f t="shared" si="4"/>
        <v>20</v>
      </c>
    </row>
    <row r="30" spans="1:12" x14ac:dyDescent="0.25">
      <c r="A30" s="5">
        <v>44953</v>
      </c>
      <c r="B30" s="10">
        <v>526007</v>
      </c>
      <c r="C30" s="8">
        <f t="shared" si="5"/>
        <v>0</v>
      </c>
      <c r="D30" s="10">
        <v>4127</v>
      </c>
      <c r="E30" s="8">
        <f t="shared" si="6"/>
        <v>23</v>
      </c>
      <c r="F30" s="38">
        <v>0.66</v>
      </c>
      <c r="G30" s="12" t="s">
        <v>25</v>
      </c>
      <c r="H30" s="8">
        <f t="shared" si="2"/>
        <v>23</v>
      </c>
      <c r="I30" s="94">
        <f t="shared" si="3"/>
        <v>31.05</v>
      </c>
      <c r="J30" s="93"/>
      <c r="L30" s="97">
        <f t="shared" si="4"/>
        <v>23</v>
      </c>
    </row>
    <row r="31" spans="1:12" x14ac:dyDescent="0.25">
      <c r="A31" s="5">
        <v>44954</v>
      </c>
      <c r="B31" s="10">
        <v>526007</v>
      </c>
      <c r="C31" s="8">
        <f t="shared" si="5"/>
        <v>0</v>
      </c>
      <c r="D31" s="10">
        <v>4150</v>
      </c>
      <c r="E31" s="8">
        <f t="shared" si="6"/>
        <v>34</v>
      </c>
      <c r="F31" s="38">
        <v>0.63</v>
      </c>
      <c r="G31" s="12" t="s">
        <v>25</v>
      </c>
      <c r="H31" s="8">
        <f t="shared" si="2"/>
        <v>34</v>
      </c>
      <c r="I31" s="94">
        <f t="shared" si="3"/>
        <v>45.900000000000006</v>
      </c>
      <c r="J31" s="93"/>
      <c r="L31" s="97">
        <f t="shared" si="4"/>
        <v>34</v>
      </c>
    </row>
    <row r="32" spans="1:12" x14ac:dyDescent="0.25">
      <c r="A32" s="5">
        <v>44955</v>
      </c>
      <c r="B32" s="10">
        <v>526007</v>
      </c>
      <c r="C32" s="8">
        <f t="shared" si="5"/>
        <v>0</v>
      </c>
      <c r="D32" s="10">
        <v>4184</v>
      </c>
      <c r="E32" s="8">
        <f t="shared" si="6"/>
        <v>14</v>
      </c>
      <c r="F32" s="38">
        <v>0.43</v>
      </c>
      <c r="G32" s="12" t="s">
        <v>25</v>
      </c>
      <c r="H32" s="8">
        <f t="shared" si="2"/>
        <v>14</v>
      </c>
      <c r="I32" s="94">
        <f t="shared" si="3"/>
        <v>18.900000000000002</v>
      </c>
      <c r="J32" s="93"/>
      <c r="L32" s="97">
        <f t="shared" si="4"/>
        <v>14</v>
      </c>
    </row>
    <row r="33" spans="1:12" x14ac:dyDescent="0.25">
      <c r="A33" s="5">
        <v>44956</v>
      </c>
      <c r="B33" s="10">
        <v>526007</v>
      </c>
      <c r="C33" s="8">
        <f t="shared" si="5"/>
        <v>0</v>
      </c>
      <c r="D33" s="10">
        <v>4198</v>
      </c>
      <c r="E33" s="8">
        <f t="shared" si="6"/>
        <v>19</v>
      </c>
      <c r="F33" s="38">
        <v>0.43</v>
      </c>
      <c r="G33" s="12" t="s">
        <v>25</v>
      </c>
      <c r="H33" s="8">
        <f t="shared" si="2"/>
        <v>19</v>
      </c>
      <c r="I33" s="94">
        <f t="shared" si="3"/>
        <v>25.650000000000002</v>
      </c>
      <c r="J33" s="93"/>
      <c r="L33" s="97">
        <f t="shared" si="4"/>
        <v>19</v>
      </c>
    </row>
    <row r="34" spans="1:12" x14ac:dyDescent="0.25">
      <c r="A34" s="5">
        <v>44957</v>
      </c>
      <c r="B34" s="102">
        <v>526007</v>
      </c>
      <c r="C34" s="8">
        <f t="shared" si="5"/>
        <v>0</v>
      </c>
      <c r="D34" s="10">
        <v>4217</v>
      </c>
      <c r="E34" s="8">
        <f t="shared" si="6"/>
        <v>0</v>
      </c>
      <c r="F34" s="38">
        <v>0.54</v>
      </c>
      <c r="G34" s="12" t="s">
        <v>25</v>
      </c>
      <c r="H34" s="8">
        <f t="shared" si="2"/>
        <v>0</v>
      </c>
      <c r="I34" s="94">
        <f t="shared" si="3"/>
        <v>0</v>
      </c>
      <c r="J34" s="93"/>
      <c r="L34" s="97">
        <f t="shared" si="4"/>
        <v>0</v>
      </c>
    </row>
    <row r="35" spans="1:12" x14ac:dyDescent="0.25">
      <c r="A35" s="99"/>
      <c r="B35" s="58"/>
      <c r="C35" s="101">
        <f>SUM(C4:C34)</f>
        <v>71</v>
      </c>
      <c r="D35" s="100"/>
      <c r="E35" s="9">
        <f>SUM(E4:E34)</f>
        <v>415</v>
      </c>
      <c r="F35" s="11"/>
      <c r="G35" s="11"/>
      <c r="H35" s="8">
        <f>SUM(H4:H34)</f>
        <v>486</v>
      </c>
      <c r="I35" s="94">
        <f>SUM(I4:I34)</f>
        <v>656.09999999999991</v>
      </c>
      <c r="J35" s="93"/>
    </row>
    <row r="36" spans="1:12" x14ac:dyDescent="0.25">
      <c r="A36" s="17"/>
      <c r="F36" s="1"/>
    </row>
    <row r="38" spans="1:12" ht="15.6" x14ac:dyDescent="0.3">
      <c r="A38" s="13" t="s">
        <v>29</v>
      </c>
    </row>
  </sheetData>
  <mergeCells count="1">
    <mergeCell ref="J2:J3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70"/>
  <sheetViews>
    <sheetView zoomScale="85" workbookViewId="0">
      <selection activeCell="V38" sqref="V38"/>
    </sheetView>
  </sheetViews>
  <sheetFormatPr defaultRowHeight="13.2" x14ac:dyDescent="0.25"/>
  <cols>
    <col min="1" max="1" width="14" style="4" customWidth="1"/>
    <col min="2" max="2" width="12.109375" style="1" customWidth="1"/>
    <col min="3" max="3" width="12.5546875" style="1" customWidth="1"/>
    <col min="4" max="4" width="12.5546875" customWidth="1"/>
    <col min="5" max="5" width="9.44140625" style="14" customWidth="1"/>
    <col min="6" max="6" width="15.5546875" style="30" customWidth="1"/>
    <col min="7" max="7" width="16.6640625" style="30" customWidth="1"/>
    <col min="8" max="8" width="13.6640625" style="30" customWidth="1"/>
    <col min="9" max="9" width="11" style="30" customWidth="1"/>
    <col min="10" max="10" width="9" style="30" customWidth="1"/>
    <col min="14" max="14" width="10.44140625" customWidth="1"/>
    <col min="15" max="15" width="14" customWidth="1"/>
    <col min="16" max="16" width="13.88671875" customWidth="1"/>
    <col min="17" max="17" width="12.5546875" customWidth="1"/>
    <col min="18" max="18" width="14" style="1" customWidth="1"/>
    <col min="19" max="19" width="11" customWidth="1"/>
  </cols>
  <sheetData>
    <row r="1" spans="1:18" ht="17.399999999999999" x14ac:dyDescent="0.3">
      <c r="A1" s="6" t="s">
        <v>39</v>
      </c>
    </row>
    <row r="2" spans="1:18" ht="24.75" customHeight="1" x14ac:dyDescent="0.3">
      <c r="A2" s="64"/>
      <c r="B2" s="65" t="s">
        <v>40</v>
      </c>
      <c r="C2" s="65" t="s">
        <v>41</v>
      </c>
      <c r="D2" s="65" t="s">
        <v>41</v>
      </c>
      <c r="E2" s="66" t="s">
        <v>42</v>
      </c>
      <c r="F2" s="65" t="s">
        <v>43</v>
      </c>
      <c r="G2" s="65" t="s">
        <v>43</v>
      </c>
      <c r="H2" s="65" t="s">
        <v>35</v>
      </c>
      <c r="I2" s="67" t="s">
        <v>19</v>
      </c>
      <c r="J2" s="68" t="s">
        <v>44</v>
      </c>
      <c r="K2" s="31"/>
      <c r="M2" s="109"/>
      <c r="N2" s="126"/>
      <c r="O2" s="126"/>
      <c r="P2" s="126"/>
      <c r="Q2" s="126"/>
      <c r="R2" s="126"/>
    </row>
    <row r="3" spans="1:18" x14ac:dyDescent="0.25">
      <c r="A3" s="69"/>
      <c r="B3" s="50" t="s">
        <v>45</v>
      </c>
      <c r="C3" s="50" t="s">
        <v>46</v>
      </c>
      <c r="D3" s="50" t="s">
        <v>47</v>
      </c>
      <c r="E3" s="51" t="s">
        <v>48</v>
      </c>
      <c r="F3" s="50" t="s">
        <v>46</v>
      </c>
      <c r="G3" s="50" t="s">
        <v>47</v>
      </c>
      <c r="H3" s="50" t="s">
        <v>49</v>
      </c>
      <c r="I3" s="52" t="s">
        <v>24</v>
      </c>
      <c r="J3" s="70"/>
      <c r="K3" s="31"/>
      <c r="M3" s="109"/>
      <c r="N3" s="110"/>
      <c r="O3" s="110"/>
      <c r="P3" s="111"/>
      <c r="Q3" s="111"/>
      <c r="R3" s="112"/>
    </row>
    <row r="4" spans="1:18" x14ac:dyDescent="0.25">
      <c r="A4" s="71">
        <v>44927</v>
      </c>
      <c r="B4" s="53">
        <v>1</v>
      </c>
      <c r="C4" s="53">
        <v>8.3000000000000007</v>
      </c>
      <c r="D4" s="53">
        <v>22</v>
      </c>
      <c r="E4" s="54">
        <f>D4-C4</f>
        <v>13.7</v>
      </c>
      <c r="F4" s="55">
        <v>1744418.2</v>
      </c>
      <c r="G4" s="56">
        <v>1744967.4</v>
      </c>
      <c r="H4" s="54">
        <f>G4-F4</f>
        <v>549.19999999995343</v>
      </c>
      <c r="I4" s="57">
        <f>(H4*[1]Summary!$C$6)</f>
        <v>1559.7279999998677</v>
      </c>
      <c r="J4" s="103">
        <v>5025.7</v>
      </c>
      <c r="K4" s="124" t="s">
        <v>50</v>
      </c>
      <c r="L4" s="125"/>
      <c r="M4" s="109"/>
      <c r="N4" s="113"/>
      <c r="O4" s="114"/>
      <c r="P4" s="115"/>
      <c r="Q4" s="115"/>
      <c r="R4" s="116"/>
    </row>
    <row r="5" spans="1:18" x14ac:dyDescent="0.25">
      <c r="A5" s="71">
        <v>44928</v>
      </c>
      <c r="B5" s="53">
        <v>1</v>
      </c>
      <c r="C5" s="58">
        <v>8.3000000000000007</v>
      </c>
      <c r="D5" s="58">
        <v>21</v>
      </c>
      <c r="E5" s="54">
        <f>D5-C5</f>
        <v>12.7</v>
      </c>
      <c r="F5" s="55">
        <v>1744967.4</v>
      </c>
      <c r="G5" s="56">
        <v>1745480.7</v>
      </c>
      <c r="H5" s="59">
        <f t="shared" ref="H5:H35" si="0">G5-F5</f>
        <v>513.30000000004657</v>
      </c>
      <c r="I5" s="57">
        <f>(H5*[1]Summary!$C$6)</f>
        <v>1457.7720000001323</v>
      </c>
      <c r="J5" s="72"/>
      <c r="K5" s="48"/>
      <c r="L5" s="49"/>
      <c r="M5" s="109"/>
      <c r="N5" s="113"/>
      <c r="O5" s="114"/>
      <c r="P5" s="115"/>
      <c r="Q5" s="115"/>
      <c r="R5" s="116"/>
    </row>
    <row r="6" spans="1:18" x14ac:dyDescent="0.25">
      <c r="A6" s="71">
        <v>44929</v>
      </c>
      <c r="B6" s="58">
        <v>1</v>
      </c>
      <c r="C6" s="58">
        <v>8.3000000000000007</v>
      </c>
      <c r="D6" s="58">
        <v>22</v>
      </c>
      <c r="E6" s="54">
        <f t="shared" ref="E6:E35" si="1">D6-C6</f>
        <v>13.7</v>
      </c>
      <c r="F6" s="60">
        <v>1745480.7</v>
      </c>
      <c r="G6" s="61">
        <v>1746037</v>
      </c>
      <c r="H6" s="59">
        <f t="shared" si="0"/>
        <v>556.30000000004657</v>
      </c>
      <c r="I6" s="57">
        <f>(H6*[1]Summary!$C$6)</f>
        <v>1579.8920000001322</v>
      </c>
      <c r="J6" s="73"/>
      <c r="K6" s="105"/>
      <c r="L6" s="48"/>
      <c r="M6" s="109"/>
      <c r="N6" s="113"/>
      <c r="O6" s="114"/>
      <c r="P6" s="115"/>
      <c r="Q6" s="115"/>
      <c r="R6" s="116"/>
    </row>
    <row r="7" spans="1:18" x14ac:dyDescent="0.25">
      <c r="A7" s="71">
        <v>44930</v>
      </c>
      <c r="B7" s="58">
        <v>1</v>
      </c>
      <c r="C7" s="58">
        <v>8.3000000000000007</v>
      </c>
      <c r="D7" s="58">
        <v>22</v>
      </c>
      <c r="E7" s="54">
        <f t="shared" si="1"/>
        <v>13.7</v>
      </c>
      <c r="F7" s="55">
        <v>1746037</v>
      </c>
      <c r="G7" s="56">
        <v>1746575</v>
      </c>
      <c r="H7" s="59">
        <f t="shared" si="0"/>
        <v>538</v>
      </c>
      <c r="I7" s="57">
        <f>(H7*[1]Summary!$C$6)</f>
        <v>1527.9199999999998</v>
      </c>
      <c r="J7" s="72"/>
      <c r="K7" s="107"/>
      <c r="L7" s="104"/>
      <c r="M7" s="109"/>
      <c r="N7" s="113"/>
      <c r="O7" s="114"/>
      <c r="P7" s="115"/>
      <c r="Q7" s="115"/>
      <c r="R7" s="116"/>
    </row>
    <row r="8" spans="1:18" x14ac:dyDescent="0.25">
      <c r="A8" s="71">
        <v>44931</v>
      </c>
      <c r="B8" s="53">
        <v>1</v>
      </c>
      <c r="C8" s="53">
        <v>8.3000000000000007</v>
      </c>
      <c r="D8" s="53">
        <v>22</v>
      </c>
      <c r="E8" s="54">
        <f t="shared" si="1"/>
        <v>13.7</v>
      </c>
      <c r="F8" s="55">
        <v>1747059.8</v>
      </c>
      <c r="G8" s="56">
        <v>1747631.7</v>
      </c>
      <c r="H8" s="54">
        <f t="shared" si="0"/>
        <v>571.89999999990687</v>
      </c>
      <c r="I8" s="57">
        <f>(H8*[1]Summary!$C$6)</f>
        <v>1624.1959999997355</v>
      </c>
      <c r="J8" s="74">
        <v>5460</v>
      </c>
      <c r="K8" s="106" t="s">
        <v>51</v>
      </c>
      <c r="L8" s="48"/>
      <c r="M8" s="109"/>
      <c r="N8" s="113"/>
      <c r="O8" s="114"/>
      <c r="P8" s="115"/>
      <c r="Q8" s="115"/>
      <c r="R8" s="116"/>
    </row>
    <row r="9" spans="1:18" x14ac:dyDescent="0.25">
      <c r="A9" s="71">
        <v>44932</v>
      </c>
      <c r="B9" s="53">
        <v>1</v>
      </c>
      <c r="C9" s="53">
        <v>8.3000000000000007</v>
      </c>
      <c r="D9" s="53">
        <v>22</v>
      </c>
      <c r="E9" s="54">
        <f t="shared" ref="E9" si="2">D9-C9</f>
        <v>13.7</v>
      </c>
      <c r="F9" s="55">
        <v>1747059.8</v>
      </c>
      <c r="G9" s="56">
        <v>1747631.7</v>
      </c>
      <c r="H9" s="54">
        <f t="shared" ref="H9" si="3">G9-F9</f>
        <v>571.89999999990687</v>
      </c>
      <c r="I9" s="57">
        <f>(H9*[1]Summary!$C$6)</f>
        <v>1624.1959999997355</v>
      </c>
      <c r="J9" s="74"/>
      <c r="K9" s="105"/>
      <c r="L9" s="48"/>
      <c r="M9" s="109"/>
      <c r="N9" s="113"/>
      <c r="O9" s="114"/>
      <c r="P9" s="115"/>
      <c r="Q9" s="115"/>
      <c r="R9" s="116"/>
    </row>
    <row r="10" spans="1:18" x14ac:dyDescent="0.25">
      <c r="A10" s="71">
        <v>44933</v>
      </c>
      <c r="B10" s="53">
        <v>1</v>
      </c>
      <c r="C10" s="53">
        <v>8.3000000000000007</v>
      </c>
      <c r="D10" s="53">
        <v>22</v>
      </c>
      <c r="E10" s="54">
        <f t="shared" si="1"/>
        <v>13.7</v>
      </c>
      <c r="F10" s="55">
        <v>1747631.7</v>
      </c>
      <c r="G10" s="62">
        <v>1748232.8</v>
      </c>
      <c r="H10" s="54">
        <f>G10-F10</f>
        <v>601.10000000009313</v>
      </c>
      <c r="I10" s="57">
        <f>(H10*[1]Summary!$C$6)</f>
        <v>1707.1240000002645</v>
      </c>
      <c r="J10" s="74"/>
      <c r="K10" s="48"/>
      <c r="L10" s="48"/>
      <c r="M10" s="109"/>
      <c r="N10" s="113"/>
      <c r="O10" s="114"/>
      <c r="P10" s="115"/>
      <c r="Q10" s="115"/>
      <c r="R10" s="116"/>
    </row>
    <row r="11" spans="1:18" x14ac:dyDescent="0.25">
      <c r="A11" s="71">
        <v>44934</v>
      </c>
      <c r="B11" s="53">
        <v>1</v>
      </c>
      <c r="C11" s="53">
        <v>8.3000000000000007</v>
      </c>
      <c r="D11" s="53">
        <v>22</v>
      </c>
      <c r="E11" s="54">
        <f t="shared" si="1"/>
        <v>13.7</v>
      </c>
      <c r="F11" s="55">
        <v>1748232.8</v>
      </c>
      <c r="G11" s="62">
        <v>1748766.8</v>
      </c>
      <c r="H11" s="54">
        <f t="shared" si="0"/>
        <v>534</v>
      </c>
      <c r="I11" s="57">
        <f>(H11*[1]Summary!$C$6)</f>
        <v>1516.56</v>
      </c>
      <c r="J11" s="74"/>
      <c r="K11" s="105"/>
      <c r="L11" s="48"/>
      <c r="M11" s="109"/>
      <c r="N11" s="113"/>
      <c r="O11" s="114"/>
      <c r="P11" s="115"/>
      <c r="Q11" s="115"/>
      <c r="R11" s="116"/>
    </row>
    <row r="12" spans="1:18" x14ac:dyDescent="0.25">
      <c r="A12" s="71">
        <v>44935</v>
      </c>
      <c r="B12" s="53">
        <v>1</v>
      </c>
      <c r="C12" s="58">
        <v>8.3000000000000007</v>
      </c>
      <c r="D12" s="58">
        <v>21</v>
      </c>
      <c r="E12" s="54">
        <f t="shared" si="1"/>
        <v>12.7</v>
      </c>
      <c r="F12" s="55">
        <v>1748766.8</v>
      </c>
      <c r="G12" s="62">
        <v>1749330.5</v>
      </c>
      <c r="H12" s="54">
        <f t="shared" si="0"/>
        <v>563.69999999995343</v>
      </c>
      <c r="I12" s="57">
        <f>(H12*[1]Summary!$C$6)</f>
        <v>1600.9079999998676</v>
      </c>
      <c r="J12" s="74"/>
      <c r="K12" s="105"/>
      <c r="L12" s="48"/>
      <c r="M12" s="109"/>
      <c r="N12" s="113"/>
      <c r="O12" s="114"/>
      <c r="P12" s="115"/>
      <c r="Q12" s="115"/>
      <c r="R12" s="116"/>
    </row>
    <row r="13" spans="1:18" x14ac:dyDescent="0.25">
      <c r="A13" s="71">
        <v>44936</v>
      </c>
      <c r="B13" s="53">
        <v>1</v>
      </c>
      <c r="C13" s="53">
        <v>8.3000000000000007</v>
      </c>
      <c r="D13" s="53">
        <v>21</v>
      </c>
      <c r="E13" s="54">
        <f t="shared" si="1"/>
        <v>12.7</v>
      </c>
      <c r="F13" s="55">
        <v>1749330.5</v>
      </c>
      <c r="G13" s="62">
        <v>1749872.2</v>
      </c>
      <c r="H13" s="54">
        <f t="shared" si="0"/>
        <v>541.69999999995343</v>
      </c>
      <c r="I13" s="57">
        <f>(H13*[1]Summary!$C$6)</f>
        <v>1538.4279999998678</v>
      </c>
      <c r="J13" s="74"/>
      <c r="K13" s="105"/>
      <c r="L13" s="48"/>
      <c r="M13" s="109"/>
      <c r="N13" s="113"/>
      <c r="O13" s="114"/>
      <c r="P13" s="115"/>
      <c r="Q13" s="115"/>
      <c r="R13" s="116"/>
    </row>
    <row r="14" spans="1:18" x14ac:dyDescent="0.25">
      <c r="A14" s="71">
        <v>44937</v>
      </c>
      <c r="B14" s="53">
        <v>2</v>
      </c>
      <c r="C14" s="53">
        <v>8.3000000000000007</v>
      </c>
      <c r="D14" s="53">
        <v>21.5</v>
      </c>
      <c r="E14" s="54">
        <f t="shared" si="1"/>
        <v>13.2</v>
      </c>
      <c r="F14" s="55">
        <v>1626055.1</v>
      </c>
      <c r="G14" s="62">
        <v>1626649.9</v>
      </c>
      <c r="H14" s="54">
        <f t="shared" si="0"/>
        <v>594.79999999981374</v>
      </c>
      <c r="I14" s="57">
        <f>(H14*[1]Summary!$C$6)</f>
        <v>1689.2319999994709</v>
      </c>
      <c r="J14" s="74"/>
      <c r="K14" s="105"/>
      <c r="L14" s="48"/>
      <c r="M14" s="109"/>
      <c r="N14" s="113"/>
      <c r="O14" s="114"/>
      <c r="P14" s="115"/>
      <c r="Q14" s="115"/>
      <c r="R14" s="116"/>
    </row>
    <row r="15" spans="1:18" x14ac:dyDescent="0.25">
      <c r="A15" s="71">
        <v>44938</v>
      </c>
      <c r="B15" s="53">
        <v>2</v>
      </c>
      <c r="C15" s="53">
        <v>8.3000000000000007</v>
      </c>
      <c r="D15" s="53">
        <v>21</v>
      </c>
      <c r="E15" s="54">
        <f t="shared" si="1"/>
        <v>12.7</v>
      </c>
      <c r="F15" s="55">
        <v>1626649.9</v>
      </c>
      <c r="G15" s="62">
        <v>1626912.2</v>
      </c>
      <c r="H15" s="54">
        <f>G15-F15</f>
        <v>262.30000000004657</v>
      </c>
      <c r="I15" s="57">
        <f>(H15*[1]Summary!$C$6)</f>
        <v>744.93200000013223</v>
      </c>
      <c r="J15" s="74"/>
      <c r="K15" s="105"/>
      <c r="L15" s="48"/>
      <c r="M15" s="109"/>
      <c r="N15" s="113"/>
      <c r="O15" s="114"/>
      <c r="P15" s="115"/>
      <c r="Q15" s="115"/>
      <c r="R15" s="116"/>
    </row>
    <row r="16" spans="1:18" x14ac:dyDescent="0.25">
      <c r="A16" s="71">
        <v>44939</v>
      </c>
      <c r="B16" s="53">
        <v>2</v>
      </c>
      <c r="C16" s="53">
        <v>8.3000000000000007</v>
      </c>
      <c r="D16" s="53">
        <v>21</v>
      </c>
      <c r="E16" s="54">
        <f t="shared" si="1"/>
        <v>12.7</v>
      </c>
      <c r="F16" s="55">
        <v>1626912.2</v>
      </c>
      <c r="G16" s="62">
        <v>1627350.5</v>
      </c>
      <c r="H16" s="54">
        <f>G16-F16</f>
        <v>438.30000000004657</v>
      </c>
      <c r="I16" s="57">
        <f>(H16*[1]Summary!$C$6)</f>
        <v>1244.7720000001323</v>
      </c>
      <c r="J16" s="74">
        <v>5460</v>
      </c>
      <c r="K16" s="106" t="s">
        <v>51</v>
      </c>
      <c r="L16" s="49"/>
      <c r="M16" s="109"/>
      <c r="N16" s="113"/>
      <c r="O16" s="114"/>
      <c r="P16" s="115"/>
      <c r="Q16" s="115"/>
      <c r="R16" s="116"/>
    </row>
    <row r="17" spans="1:18" x14ac:dyDescent="0.25">
      <c r="A17" s="71">
        <v>44940</v>
      </c>
      <c r="B17" s="53">
        <v>1</v>
      </c>
      <c r="C17" s="53">
        <v>8.3000000000000007</v>
      </c>
      <c r="D17" s="53">
        <v>21</v>
      </c>
      <c r="E17" s="54">
        <f t="shared" si="1"/>
        <v>12.7</v>
      </c>
      <c r="F17" s="55">
        <v>1749872.8</v>
      </c>
      <c r="G17" s="62">
        <v>1750314.6</v>
      </c>
      <c r="H17" s="54">
        <f>G17-F17</f>
        <v>441.80000000004657</v>
      </c>
      <c r="I17" s="57">
        <f>(H17*[1]Summary!$C$6)</f>
        <v>1254.7120000001321</v>
      </c>
      <c r="J17" s="74"/>
      <c r="K17" s="48"/>
      <c r="L17" s="49"/>
      <c r="M17" s="109"/>
      <c r="N17" s="113"/>
      <c r="O17" s="114"/>
      <c r="P17" s="115"/>
      <c r="Q17" s="115"/>
      <c r="R17" s="116"/>
    </row>
    <row r="18" spans="1:18" x14ac:dyDescent="0.25">
      <c r="A18" s="71">
        <v>44941</v>
      </c>
      <c r="B18" s="63">
        <v>2</v>
      </c>
      <c r="C18" s="63">
        <v>8.3000000000000007</v>
      </c>
      <c r="D18" s="63">
        <v>20</v>
      </c>
      <c r="E18" s="54">
        <f t="shared" si="1"/>
        <v>11.7</v>
      </c>
      <c r="F18" s="55">
        <v>1627350.5</v>
      </c>
      <c r="G18" s="62">
        <v>1627795.9</v>
      </c>
      <c r="H18" s="54">
        <f t="shared" si="0"/>
        <v>445.39999999990687</v>
      </c>
      <c r="I18" s="57">
        <f>(H18*[1]Summary!$C$6)</f>
        <v>1264.9359999997355</v>
      </c>
      <c r="J18" s="74"/>
      <c r="K18" s="48"/>
      <c r="L18" s="49"/>
      <c r="M18" s="109"/>
      <c r="N18" s="113"/>
      <c r="O18" s="114"/>
      <c r="P18" s="115"/>
      <c r="Q18" s="115"/>
      <c r="R18" s="116"/>
    </row>
    <row r="19" spans="1:18" x14ac:dyDescent="0.25">
      <c r="A19" s="71">
        <v>44942</v>
      </c>
      <c r="B19" s="63">
        <v>2</v>
      </c>
      <c r="C19" s="63">
        <v>8.3000000000000007</v>
      </c>
      <c r="D19" s="63">
        <v>20</v>
      </c>
      <c r="E19" s="54">
        <f t="shared" si="1"/>
        <v>11.7</v>
      </c>
      <c r="F19" s="55">
        <v>1627795.9</v>
      </c>
      <c r="G19" s="62">
        <v>1628257.7</v>
      </c>
      <c r="H19" s="54">
        <f>G19-F19</f>
        <v>461.80000000004657</v>
      </c>
      <c r="I19" s="57">
        <f>(H19*[1]Summary!$C$6)</f>
        <v>1311.5120000001323</v>
      </c>
      <c r="J19" s="74"/>
      <c r="K19" s="105"/>
      <c r="L19" s="48"/>
      <c r="M19" s="109"/>
      <c r="N19" s="113"/>
      <c r="O19" s="114"/>
      <c r="P19" s="115"/>
      <c r="Q19" s="115"/>
      <c r="R19" s="116"/>
    </row>
    <row r="20" spans="1:18" x14ac:dyDescent="0.25">
      <c r="A20" s="71">
        <v>44943</v>
      </c>
      <c r="B20" s="63">
        <v>2</v>
      </c>
      <c r="C20" s="63">
        <v>8.3000000000000007</v>
      </c>
      <c r="D20" s="63">
        <v>20</v>
      </c>
      <c r="E20" s="54">
        <f t="shared" si="1"/>
        <v>11.7</v>
      </c>
      <c r="F20" s="55">
        <v>1628257.7</v>
      </c>
      <c r="G20" s="62">
        <v>1628659.9</v>
      </c>
      <c r="H20" s="54">
        <f t="shared" si="0"/>
        <v>402.19999999995343</v>
      </c>
      <c r="I20" s="57">
        <f>(H20*[1]Summary!$C$6)</f>
        <v>1142.2479999998677</v>
      </c>
      <c r="J20" s="74"/>
      <c r="K20" s="105"/>
      <c r="L20" s="48"/>
      <c r="M20" s="109"/>
      <c r="N20" s="113"/>
      <c r="O20" s="114"/>
      <c r="P20" s="115"/>
      <c r="Q20" s="115"/>
      <c r="R20" s="116"/>
    </row>
    <row r="21" spans="1:18" x14ac:dyDescent="0.25">
      <c r="A21" s="71">
        <v>44944</v>
      </c>
      <c r="B21" s="63">
        <v>2</v>
      </c>
      <c r="C21" s="63">
        <v>8.3000000000000007</v>
      </c>
      <c r="D21" s="63">
        <v>18</v>
      </c>
      <c r="E21" s="54">
        <f t="shared" si="1"/>
        <v>9.6999999999999993</v>
      </c>
      <c r="F21" s="55">
        <v>1628659.9</v>
      </c>
      <c r="G21" s="62">
        <v>1628945.1</v>
      </c>
      <c r="H21" s="54">
        <f t="shared" si="0"/>
        <v>285.20000000018626</v>
      </c>
      <c r="I21" s="57">
        <f>(H21*[1]Summary!$C$6)</f>
        <v>809.96800000052895</v>
      </c>
      <c r="J21" s="74">
        <v>-100</v>
      </c>
      <c r="K21" s="48" t="s">
        <v>52</v>
      </c>
      <c r="L21" s="49"/>
      <c r="M21" s="109"/>
      <c r="N21" s="113"/>
      <c r="O21" s="114"/>
      <c r="P21" s="115"/>
      <c r="Q21" s="115"/>
      <c r="R21" s="116"/>
    </row>
    <row r="22" spans="1:18" x14ac:dyDescent="0.25">
      <c r="A22" s="71">
        <v>44945</v>
      </c>
      <c r="B22" s="63">
        <v>2</v>
      </c>
      <c r="C22" s="63">
        <v>8.3000000000000007</v>
      </c>
      <c r="D22" s="63">
        <v>18</v>
      </c>
      <c r="E22" s="54">
        <f t="shared" si="1"/>
        <v>9.6999999999999993</v>
      </c>
      <c r="F22" s="54">
        <v>1628945.1</v>
      </c>
      <c r="G22" s="62">
        <v>1629235.9</v>
      </c>
      <c r="H22" s="54">
        <f>G22-F22</f>
        <v>290.79999999981374</v>
      </c>
      <c r="I22" s="57">
        <f>(H22*[1]Summary!$C$6)</f>
        <v>825.87199999947097</v>
      </c>
      <c r="J22" s="75"/>
      <c r="K22" s="48"/>
      <c r="L22" s="49"/>
      <c r="M22" s="109"/>
      <c r="N22" s="113"/>
      <c r="O22" s="114"/>
      <c r="P22" s="115"/>
      <c r="Q22" s="115"/>
      <c r="R22" s="116"/>
    </row>
    <row r="23" spans="1:18" x14ac:dyDescent="0.25">
      <c r="A23" s="71">
        <v>44946</v>
      </c>
      <c r="B23" s="63">
        <v>2</v>
      </c>
      <c r="C23" s="63">
        <v>8.3000000000000007</v>
      </c>
      <c r="D23" s="63">
        <v>18</v>
      </c>
      <c r="E23" s="54">
        <f t="shared" si="1"/>
        <v>9.6999999999999993</v>
      </c>
      <c r="F23" s="54">
        <v>1629235.9</v>
      </c>
      <c r="G23" s="62">
        <v>1629620.1</v>
      </c>
      <c r="H23" s="54">
        <f t="shared" si="0"/>
        <v>384.20000000018626</v>
      </c>
      <c r="I23" s="57">
        <f>(H23*[1]Summary!$C$6)</f>
        <v>1091.128000000529</v>
      </c>
      <c r="J23" s="74"/>
      <c r="K23" s="48"/>
      <c r="L23" s="49"/>
      <c r="M23" s="109"/>
      <c r="N23" s="113"/>
      <c r="O23" s="114"/>
      <c r="P23" s="115"/>
      <c r="Q23" s="115"/>
      <c r="R23" s="116"/>
    </row>
    <row r="24" spans="1:18" x14ac:dyDescent="0.25">
      <c r="A24" s="71">
        <v>44947</v>
      </c>
      <c r="B24" s="63">
        <v>2</v>
      </c>
      <c r="C24" s="63">
        <v>8.3000000000000007</v>
      </c>
      <c r="D24" s="63">
        <v>20</v>
      </c>
      <c r="E24" s="54">
        <f t="shared" si="1"/>
        <v>11.7</v>
      </c>
      <c r="F24" s="54">
        <v>1629620.1</v>
      </c>
      <c r="G24" s="62">
        <v>1629988.5</v>
      </c>
      <c r="H24" s="54">
        <f>G24-F24</f>
        <v>368.39999999990687</v>
      </c>
      <c r="I24" s="57">
        <f>(H24*[1]Summary!$C$6)</f>
        <v>1046.2559999997354</v>
      </c>
      <c r="J24" s="74"/>
      <c r="K24" s="48"/>
      <c r="L24" s="49"/>
      <c r="M24" s="109"/>
      <c r="N24" s="113"/>
      <c r="O24" s="114"/>
      <c r="P24" s="115"/>
      <c r="Q24" s="115"/>
      <c r="R24" s="116"/>
    </row>
    <row r="25" spans="1:18" x14ac:dyDescent="0.25">
      <c r="A25" s="71">
        <v>44948</v>
      </c>
      <c r="B25" s="63">
        <v>2</v>
      </c>
      <c r="C25" s="63">
        <v>8.3000000000000007</v>
      </c>
      <c r="D25" s="63">
        <v>20</v>
      </c>
      <c r="E25" s="54">
        <f t="shared" si="1"/>
        <v>11.7</v>
      </c>
      <c r="F25" s="54">
        <v>1629988.5</v>
      </c>
      <c r="G25" s="62">
        <v>1630373.5</v>
      </c>
      <c r="H25" s="54">
        <f t="shared" si="0"/>
        <v>385</v>
      </c>
      <c r="I25" s="57">
        <f>(H25*[1]Summary!$C$6)</f>
        <v>1093.3999999999999</v>
      </c>
      <c r="J25" s="74"/>
      <c r="K25" s="48"/>
      <c r="L25" s="49"/>
      <c r="M25" s="109"/>
      <c r="N25" s="113"/>
      <c r="O25" s="114"/>
      <c r="P25" s="115"/>
      <c r="Q25" s="115"/>
      <c r="R25" s="116"/>
    </row>
    <row r="26" spans="1:18" x14ac:dyDescent="0.25">
      <c r="A26" s="71">
        <v>44949</v>
      </c>
      <c r="B26" s="63">
        <v>2</v>
      </c>
      <c r="C26" s="63">
        <v>8.3000000000000007</v>
      </c>
      <c r="D26" s="63">
        <v>20</v>
      </c>
      <c r="E26" s="54">
        <f t="shared" si="1"/>
        <v>11.7</v>
      </c>
      <c r="F26" s="55">
        <v>1630373.5</v>
      </c>
      <c r="G26" s="62">
        <v>1630757.8</v>
      </c>
      <c r="H26" s="54">
        <f t="shared" si="0"/>
        <v>384.30000000004657</v>
      </c>
      <c r="I26" s="57">
        <f>(H26*[1]Summary!$C$6)</f>
        <v>1091.4120000001321</v>
      </c>
      <c r="J26" s="74"/>
      <c r="K26" s="48"/>
      <c r="L26" s="49"/>
      <c r="M26" s="109"/>
      <c r="N26" s="113"/>
      <c r="O26" s="114"/>
      <c r="P26" s="115"/>
      <c r="Q26" s="115"/>
      <c r="R26" s="116"/>
    </row>
    <row r="27" spans="1:18" x14ac:dyDescent="0.25">
      <c r="A27" s="71">
        <v>44950</v>
      </c>
      <c r="B27" s="63">
        <v>2</v>
      </c>
      <c r="C27" s="63">
        <v>8.3000000000000007</v>
      </c>
      <c r="D27" s="63">
        <v>20</v>
      </c>
      <c r="E27" s="54">
        <f t="shared" si="1"/>
        <v>11.7</v>
      </c>
      <c r="F27" s="55">
        <v>1630757.8</v>
      </c>
      <c r="G27" s="62">
        <v>1631160</v>
      </c>
      <c r="H27" s="54">
        <f t="shared" si="0"/>
        <v>402.19999999995343</v>
      </c>
      <c r="I27" s="57">
        <f>(H27*[1]Summary!$C$6)</f>
        <v>1142.2479999998677</v>
      </c>
      <c r="J27" s="74"/>
      <c r="K27" s="105"/>
      <c r="L27" s="48"/>
      <c r="M27" s="109"/>
      <c r="N27" s="113"/>
      <c r="O27" s="114"/>
      <c r="P27" s="115"/>
      <c r="Q27" s="115"/>
      <c r="R27" s="116"/>
    </row>
    <row r="28" spans="1:18" x14ac:dyDescent="0.25">
      <c r="A28" s="71">
        <v>44951</v>
      </c>
      <c r="B28" s="63">
        <v>2</v>
      </c>
      <c r="C28" s="63">
        <v>8.3000000000000007</v>
      </c>
      <c r="D28" s="63">
        <v>20</v>
      </c>
      <c r="E28" s="54">
        <f t="shared" si="1"/>
        <v>11.7</v>
      </c>
      <c r="F28" s="55">
        <v>1631160</v>
      </c>
      <c r="G28" s="62">
        <v>1631558.6</v>
      </c>
      <c r="H28" s="54">
        <f t="shared" si="0"/>
        <v>398.60000000009313</v>
      </c>
      <c r="I28" s="57">
        <f>(H28*[1]Summary!$C$6)</f>
        <v>1132.0240000002646</v>
      </c>
      <c r="J28" s="74"/>
      <c r="K28" s="107"/>
      <c r="L28" s="104"/>
      <c r="M28" s="109"/>
      <c r="N28" s="113"/>
      <c r="O28" s="114"/>
      <c r="P28" s="115"/>
      <c r="Q28" s="115"/>
      <c r="R28" s="116"/>
    </row>
    <row r="29" spans="1:18" x14ac:dyDescent="0.25">
      <c r="A29" s="71">
        <v>44952</v>
      </c>
      <c r="B29" s="63">
        <v>2</v>
      </c>
      <c r="C29" s="63">
        <v>8.3000000000000007</v>
      </c>
      <c r="D29" s="63">
        <v>20</v>
      </c>
      <c r="E29" s="54">
        <f t="shared" si="1"/>
        <v>11.7</v>
      </c>
      <c r="F29" s="55">
        <v>1631558.6</v>
      </c>
      <c r="G29" s="62">
        <v>1631905.9</v>
      </c>
      <c r="H29" s="54">
        <f t="shared" si="0"/>
        <v>347.29999999981374</v>
      </c>
      <c r="I29" s="57">
        <f>(H29*[1]Summary!$C$6)</f>
        <v>986.33199999947101</v>
      </c>
      <c r="J29" s="74"/>
      <c r="K29" s="48"/>
      <c r="L29" s="49"/>
      <c r="M29" s="109"/>
      <c r="N29" s="113"/>
      <c r="O29" s="114"/>
      <c r="P29" s="115"/>
      <c r="Q29" s="115"/>
      <c r="R29" s="116"/>
    </row>
    <row r="30" spans="1:18" x14ac:dyDescent="0.25">
      <c r="A30" s="71">
        <v>44953</v>
      </c>
      <c r="B30" s="63"/>
      <c r="C30" s="63"/>
      <c r="D30" s="63"/>
      <c r="E30" s="54">
        <f>D30-C30</f>
        <v>0</v>
      </c>
      <c r="F30" s="55">
        <v>1631905.9</v>
      </c>
      <c r="G30" s="62">
        <v>1632267</v>
      </c>
      <c r="H30" s="54">
        <f t="shared" si="0"/>
        <v>361.10000000009313</v>
      </c>
      <c r="I30" s="57">
        <f>(H30*[1]Summary!$C$6)</f>
        <v>1025.5240000002646</v>
      </c>
      <c r="J30" s="74">
        <v>-100</v>
      </c>
      <c r="K30" s="48" t="s">
        <v>52</v>
      </c>
      <c r="L30" s="49"/>
      <c r="M30" s="109"/>
      <c r="N30" s="113"/>
      <c r="O30" s="114"/>
      <c r="P30" s="115"/>
      <c r="Q30" s="115"/>
      <c r="R30" s="116"/>
    </row>
    <row r="31" spans="1:18" x14ac:dyDescent="0.25">
      <c r="A31" s="71">
        <v>44954</v>
      </c>
      <c r="B31" s="53">
        <v>2</v>
      </c>
      <c r="C31" s="53">
        <v>8.3000000000000007</v>
      </c>
      <c r="D31" s="53">
        <v>20</v>
      </c>
      <c r="E31" s="54">
        <f>D31-C31</f>
        <v>11.7</v>
      </c>
      <c r="F31" s="55">
        <v>1632267</v>
      </c>
      <c r="G31" s="56">
        <v>1632664.5</v>
      </c>
      <c r="H31" s="54">
        <f>G31-F31</f>
        <v>397.5</v>
      </c>
      <c r="I31" s="57">
        <f>(H31*[1]Summary!$C$6)</f>
        <v>1128.8999999999999</v>
      </c>
      <c r="J31" s="74"/>
      <c r="K31" s="123"/>
      <c r="L31" s="123"/>
      <c r="M31" s="109"/>
      <c r="N31" s="113"/>
      <c r="O31" s="114"/>
      <c r="P31" s="115"/>
      <c r="Q31" s="115"/>
      <c r="R31" s="116"/>
    </row>
    <row r="32" spans="1:18" x14ac:dyDescent="0.25">
      <c r="A32" s="71">
        <v>44955</v>
      </c>
      <c r="B32" s="53">
        <v>2</v>
      </c>
      <c r="C32" s="53">
        <v>8.3000000000000007</v>
      </c>
      <c r="D32" s="53">
        <v>20</v>
      </c>
      <c r="E32" s="54">
        <f t="shared" si="1"/>
        <v>11.7</v>
      </c>
      <c r="F32" s="55">
        <v>1632664.5</v>
      </c>
      <c r="G32" s="56">
        <v>1633019.7</v>
      </c>
      <c r="H32" s="54">
        <f t="shared" si="0"/>
        <v>355.19999999995343</v>
      </c>
      <c r="I32" s="57">
        <f>(H32*[1]Summary!$C$6)</f>
        <v>1008.7679999998677</v>
      </c>
      <c r="J32" s="74"/>
      <c r="K32" s="48"/>
      <c r="L32" s="49"/>
      <c r="M32" s="109"/>
      <c r="N32" s="113"/>
      <c r="O32" s="114"/>
      <c r="P32" s="115"/>
      <c r="Q32" s="115"/>
      <c r="R32" s="116"/>
    </row>
    <row r="33" spans="1:19" x14ac:dyDescent="0.25">
      <c r="A33" s="71">
        <v>44956</v>
      </c>
      <c r="B33" s="53">
        <v>2</v>
      </c>
      <c r="C33" s="53">
        <v>8.3000000000000007</v>
      </c>
      <c r="D33" s="53">
        <v>20</v>
      </c>
      <c r="E33" s="54">
        <f>D33-C33</f>
        <v>11.7</v>
      </c>
      <c r="F33" s="55">
        <v>1633019.7</v>
      </c>
      <c r="G33" s="56">
        <v>1633350.1</v>
      </c>
      <c r="H33" s="54">
        <f>G33-F33</f>
        <v>330.4000000001397</v>
      </c>
      <c r="I33" s="57">
        <f>(H33*[1]Summary!$C$6)</f>
        <v>938.33600000039667</v>
      </c>
      <c r="J33" s="74"/>
      <c r="K33" s="48"/>
      <c r="L33" s="49"/>
      <c r="M33" s="109"/>
      <c r="N33" s="113"/>
      <c r="O33" s="114"/>
      <c r="P33" s="115"/>
      <c r="Q33" s="115"/>
      <c r="R33" s="116"/>
    </row>
    <row r="34" spans="1:19" x14ac:dyDescent="0.25">
      <c r="A34" s="71">
        <v>44957</v>
      </c>
      <c r="B34" s="53">
        <v>2</v>
      </c>
      <c r="C34" s="53">
        <v>8.3000000000000007</v>
      </c>
      <c r="D34" s="53">
        <v>20</v>
      </c>
      <c r="E34" s="54">
        <f>D34-C34</f>
        <v>11.7</v>
      </c>
      <c r="F34" s="55">
        <v>1633350.1</v>
      </c>
      <c r="G34" s="56">
        <v>1633681.7</v>
      </c>
      <c r="H34" s="54">
        <f>G34-F34</f>
        <v>331.5999999998603</v>
      </c>
      <c r="I34" s="57">
        <f>(H34*[1]Summary!$C$6)</f>
        <v>941.74399999960326</v>
      </c>
      <c r="J34" s="76"/>
      <c r="K34" s="30"/>
      <c r="M34" s="109"/>
      <c r="N34" s="113"/>
      <c r="O34" s="114"/>
      <c r="P34" s="115"/>
      <c r="Q34" s="115"/>
      <c r="R34" s="116"/>
    </row>
    <row r="35" spans="1:19" x14ac:dyDescent="0.25">
      <c r="A35" s="71"/>
      <c r="B35" s="53"/>
      <c r="C35" s="53"/>
      <c r="D35" s="53"/>
      <c r="E35" s="54">
        <f t="shared" si="1"/>
        <v>0</v>
      </c>
      <c r="F35" s="55"/>
      <c r="G35" s="56"/>
      <c r="H35" s="54">
        <f t="shared" si="0"/>
        <v>0</v>
      </c>
      <c r="I35" s="57">
        <f>(H35*[1]Summary!$C$6)</f>
        <v>0</v>
      </c>
      <c r="J35" s="77"/>
      <c r="K35" s="30"/>
      <c r="M35" s="109"/>
      <c r="N35" s="109"/>
      <c r="O35" s="114"/>
      <c r="P35" s="115"/>
      <c r="Q35" s="115"/>
      <c r="R35" s="116"/>
    </row>
    <row r="36" spans="1:19" ht="26.4" x14ac:dyDescent="0.3">
      <c r="A36" s="121" t="s">
        <v>28</v>
      </c>
      <c r="B36" s="122"/>
      <c r="C36" s="78"/>
      <c r="D36" s="78"/>
      <c r="E36" s="79"/>
      <c r="F36" s="80"/>
      <c r="G36" s="81"/>
      <c r="H36" s="82">
        <f>SUM(H4:H35)</f>
        <v>13609.499999999767</v>
      </c>
      <c r="I36" s="82">
        <f>SUM(I4:I35)</f>
        <v>38650.979999999334</v>
      </c>
      <c r="J36" s="83">
        <f>SUM(J4:J35)-H36</f>
        <v>2136.2000000002336</v>
      </c>
      <c r="K36" s="32" t="s">
        <v>53</v>
      </c>
      <c r="L36" s="33"/>
      <c r="M36" s="109"/>
      <c r="N36" s="109"/>
      <c r="O36" s="109"/>
      <c r="P36" s="109"/>
      <c r="Q36" s="117"/>
      <c r="R36" s="117"/>
      <c r="S36" s="108"/>
    </row>
    <row r="37" spans="1:19" x14ac:dyDescent="0.25">
      <c r="A37" s="17"/>
      <c r="D37" s="1"/>
      <c r="M37" s="109"/>
      <c r="N37" s="109"/>
      <c r="O37" s="109"/>
      <c r="P37" s="109"/>
      <c r="Q37" s="109"/>
      <c r="R37" s="116"/>
    </row>
    <row r="57" spans="1:4" x14ac:dyDescent="0.25">
      <c r="A57" s="95" t="s">
        <v>54</v>
      </c>
      <c r="B57"/>
      <c r="C57"/>
    </row>
    <row r="58" spans="1:4" x14ac:dyDescent="0.25">
      <c r="A58" s="84"/>
      <c r="B58" s="96" t="s">
        <v>55</v>
      </c>
      <c r="C58" s="96"/>
      <c r="D58" s="89"/>
    </row>
    <row r="59" spans="1:4" x14ac:dyDescent="0.25">
      <c r="A59" s="85"/>
      <c r="B59" s="95"/>
      <c r="C59" s="95" t="s">
        <v>56</v>
      </c>
      <c r="D59" s="90"/>
    </row>
    <row r="60" spans="1:4" x14ac:dyDescent="0.25">
      <c r="A60" s="85"/>
      <c r="B60" s="95"/>
      <c r="C60" s="95" t="s">
        <v>57</v>
      </c>
      <c r="D60" s="90"/>
    </row>
    <row r="61" spans="1:4" x14ac:dyDescent="0.25">
      <c r="A61" s="85"/>
      <c r="B61" s="95"/>
      <c r="C61" s="95" t="s">
        <v>58</v>
      </c>
      <c r="D61" s="90"/>
    </row>
    <row r="62" spans="1:4" x14ac:dyDescent="0.25">
      <c r="A62" s="85"/>
      <c r="B62" s="95"/>
      <c r="C62" s="95" t="s">
        <v>59</v>
      </c>
      <c r="D62" s="90"/>
    </row>
    <row r="63" spans="1:4" x14ac:dyDescent="0.25">
      <c r="A63" s="85"/>
      <c r="B63"/>
      <c r="C63"/>
      <c r="D63" s="90"/>
    </row>
    <row r="64" spans="1:4" x14ac:dyDescent="0.25">
      <c r="A64" s="85"/>
      <c r="B64" s="95" t="s">
        <v>60</v>
      </c>
      <c r="C64" s="95" t="s">
        <v>61</v>
      </c>
      <c r="D64" s="90"/>
    </row>
    <row r="65" spans="1:4" x14ac:dyDescent="0.25">
      <c r="A65" s="85"/>
      <c r="B65" s="95" t="s">
        <v>62</v>
      </c>
      <c r="C65" s="95" t="s">
        <v>63</v>
      </c>
      <c r="D65" s="90"/>
    </row>
    <row r="66" spans="1:4" x14ac:dyDescent="0.25">
      <c r="A66" s="85"/>
      <c r="B66" s="95"/>
      <c r="C66" s="95" t="s">
        <v>64</v>
      </c>
      <c r="D66" s="90"/>
    </row>
    <row r="67" spans="1:4" x14ac:dyDescent="0.25">
      <c r="A67" s="91"/>
      <c r="B67" s="95"/>
      <c r="C67" s="95" t="s">
        <v>65</v>
      </c>
      <c r="D67" s="90"/>
    </row>
    <row r="68" spans="1:4" x14ac:dyDescent="0.25">
      <c r="A68" s="91"/>
      <c r="B68" s="95"/>
      <c r="C68" s="95" t="s">
        <v>66</v>
      </c>
      <c r="D68" s="98"/>
    </row>
    <row r="69" spans="1:4" x14ac:dyDescent="0.25">
      <c r="A69" s="91"/>
      <c r="B69"/>
      <c r="C69" s="95" t="s">
        <v>67</v>
      </c>
      <c r="D69" s="90"/>
    </row>
    <row r="70" spans="1:4" x14ac:dyDescent="0.25">
      <c r="A70" s="86"/>
      <c r="B70" s="87"/>
      <c r="C70" s="87"/>
      <c r="D70" s="88"/>
    </row>
  </sheetData>
  <mergeCells count="4">
    <mergeCell ref="A36:B36"/>
    <mergeCell ref="K31:L31"/>
    <mergeCell ref="K4:L4"/>
    <mergeCell ref="N2:R2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Khoury</cp:lastModifiedBy>
  <cp:revision/>
  <dcterms:created xsi:type="dcterms:W3CDTF">2010-04-20T02:02:44Z</dcterms:created>
  <dcterms:modified xsi:type="dcterms:W3CDTF">2023-02-02T18:23:14Z</dcterms:modified>
  <cp:category/>
  <cp:contentStatus/>
</cp:coreProperties>
</file>