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l\Downloads\"/>
    </mc:Choice>
  </mc:AlternateContent>
  <xr:revisionPtr revIDLastSave="0" documentId="13_ncr:1_{641D6BF4-7587-49FB-A028-E5F7B29D187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3" i="3"/>
  <c r="F24" i="3"/>
  <c r="F25" i="3"/>
  <c r="F26" i="3"/>
  <c r="F27" i="3"/>
  <c r="F28" i="3"/>
  <c r="F29" i="3"/>
  <c r="F30" i="3"/>
  <c r="F31" i="3"/>
  <c r="F32" i="3"/>
  <c r="E32" i="1" s="1"/>
  <c r="L32" i="1"/>
  <c r="K32" i="1"/>
  <c r="I32" i="1"/>
  <c r="G32" i="1"/>
  <c r="B32" i="1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E32" i="3"/>
  <c r="B32" i="3"/>
  <c r="H25" i="3" l="1"/>
  <c r="I25" i="3"/>
  <c r="J25" i="3"/>
  <c r="H26" i="3"/>
  <c r="I26" i="3"/>
  <c r="J26" i="3"/>
  <c r="H27" i="3"/>
  <c r="I27" i="3"/>
  <c r="J27" i="3"/>
  <c r="H28" i="3"/>
  <c r="I28" i="3"/>
  <c r="J28" i="3"/>
  <c r="H29" i="3"/>
  <c r="I29" i="3"/>
  <c r="J29" i="3"/>
  <c r="H30" i="3"/>
  <c r="I30" i="3"/>
  <c r="J30" i="3"/>
  <c r="H31" i="3"/>
  <c r="I31" i="3"/>
  <c r="J31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K9" i="3" l="1"/>
  <c r="K22" i="1"/>
  <c r="K23" i="1"/>
  <c r="K24" i="1"/>
  <c r="K25" i="1"/>
  <c r="K26" i="1"/>
  <c r="K27" i="1"/>
  <c r="K28" i="1"/>
  <c r="K29" i="1"/>
  <c r="K30" i="1"/>
  <c r="K31" i="1"/>
  <c r="Q27" i="3"/>
  <c r="M28" i="3"/>
  <c r="G28" i="1" s="1"/>
  <c r="E28" i="3"/>
  <c r="L25" i="3"/>
  <c r="E22" i="3"/>
  <c r="F22" i="3"/>
  <c r="H22" i="3"/>
  <c r="I22" i="3"/>
  <c r="J22" i="3"/>
  <c r="L22" i="3"/>
  <c r="M22" i="3"/>
  <c r="G22" i="1"/>
  <c r="N22" i="3"/>
  <c r="I22" i="1" s="1"/>
  <c r="O22" i="3"/>
  <c r="P22" i="3"/>
  <c r="Q22" i="3"/>
  <c r="R22" i="3"/>
  <c r="S22" i="3"/>
  <c r="X22" i="3"/>
  <c r="Y22" i="3"/>
  <c r="L22" i="1" s="1"/>
  <c r="E23" i="3"/>
  <c r="H23" i="3"/>
  <c r="I23" i="3"/>
  <c r="J23" i="3"/>
  <c r="L23" i="3"/>
  <c r="M23" i="3"/>
  <c r="G23" i="1" s="1"/>
  <c r="N23" i="3"/>
  <c r="I23" i="1" s="1"/>
  <c r="O23" i="3"/>
  <c r="P23" i="3"/>
  <c r="Q23" i="3"/>
  <c r="R23" i="3"/>
  <c r="S23" i="3"/>
  <c r="X23" i="3"/>
  <c r="Y23" i="3"/>
  <c r="L23" i="1" s="1"/>
  <c r="E24" i="3"/>
  <c r="H24" i="3"/>
  <c r="I24" i="3"/>
  <c r="J24" i="3"/>
  <c r="M24" i="3"/>
  <c r="G24" i="1" s="1"/>
  <c r="O24" i="3"/>
  <c r="P24" i="3"/>
  <c r="Q24" i="3"/>
  <c r="R24" i="3"/>
  <c r="S24" i="3"/>
  <c r="X24" i="3"/>
  <c r="Y24" i="3"/>
  <c r="L24" i="1" s="1"/>
  <c r="E25" i="3"/>
  <c r="E25" i="1" s="1"/>
  <c r="M25" i="3"/>
  <c r="G25" i="1" s="1"/>
  <c r="O25" i="3"/>
  <c r="P25" i="3"/>
  <c r="Q25" i="3"/>
  <c r="R25" i="3"/>
  <c r="S25" i="3"/>
  <c r="X25" i="3"/>
  <c r="Y25" i="3"/>
  <c r="L25" i="1"/>
  <c r="E26" i="3"/>
  <c r="L26" i="3"/>
  <c r="M26" i="3"/>
  <c r="G26" i="1" s="1"/>
  <c r="N26" i="3"/>
  <c r="I26" i="1" s="1"/>
  <c r="O26" i="3"/>
  <c r="P26" i="3"/>
  <c r="Q26" i="3"/>
  <c r="R26" i="3"/>
  <c r="S26" i="3"/>
  <c r="X26" i="3"/>
  <c r="Y26" i="3"/>
  <c r="L26" i="1" s="1"/>
  <c r="E27" i="3"/>
  <c r="L27" i="3"/>
  <c r="N27" i="3"/>
  <c r="I27" i="1" s="1"/>
  <c r="O27" i="3"/>
  <c r="P27" i="3"/>
  <c r="R27" i="3"/>
  <c r="S27" i="3"/>
  <c r="X27" i="3"/>
  <c r="Y27" i="3"/>
  <c r="E28" i="1"/>
  <c r="L28" i="3"/>
  <c r="N28" i="3"/>
  <c r="I28" i="1" s="1"/>
  <c r="O28" i="3"/>
  <c r="P28" i="3"/>
  <c r="R28" i="3"/>
  <c r="S28" i="3"/>
  <c r="X28" i="3"/>
  <c r="Y28" i="3"/>
  <c r="L28" i="1" s="1"/>
  <c r="E29" i="3"/>
  <c r="E29" i="1"/>
  <c r="L29" i="3"/>
  <c r="M29" i="3"/>
  <c r="G29" i="1" s="1"/>
  <c r="N29" i="3"/>
  <c r="I29" i="1" s="1"/>
  <c r="O29" i="3"/>
  <c r="P29" i="3"/>
  <c r="Q29" i="3"/>
  <c r="R29" i="3"/>
  <c r="S29" i="3"/>
  <c r="X29" i="3"/>
  <c r="Y29" i="3"/>
  <c r="L29" i="1" s="1"/>
  <c r="E30" i="3"/>
  <c r="K30" i="3"/>
  <c r="L30" i="3"/>
  <c r="M30" i="3"/>
  <c r="G30" i="1" s="1"/>
  <c r="N30" i="3"/>
  <c r="I30" i="1" s="1"/>
  <c r="O30" i="3"/>
  <c r="P30" i="3"/>
  <c r="Q30" i="3"/>
  <c r="R30" i="3"/>
  <c r="S30" i="3"/>
  <c r="X30" i="3"/>
  <c r="Y30" i="3"/>
  <c r="L24" i="3"/>
  <c r="Q20" i="3"/>
  <c r="L20" i="3"/>
  <c r="P6" i="3"/>
  <c r="S6" i="3"/>
  <c r="O5" i="3"/>
  <c r="M6" i="3"/>
  <c r="L6" i="3"/>
  <c r="M3" i="3"/>
  <c r="L3" i="3"/>
  <c r="F3" i="3"/>
  <c r="E3" i="3"/>
  <c r="F4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31" i="3"/>
  <c r="E2" i="3"/>
  <c r="G2" i="3"/>
  <c r="H2" i="3"/>
  <c r="I2" i="3"/>
  <c r="J2" i="3"/>
  <c r="L2" i="3"/>
  <c r="M2" i="3"/>
  <c r="O2" i="3"/>
  <c r="P2" i="3"/>
  <c r="Q2" i="3"/>
  <c r="R2" i="3"/>
  <c r="S2" i="3"/>
  <c r="X2" i="3"/>
  <c r="Y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3" i="3"/>
  <c r="I3" i="3"/>
  <c r="J3" i="3"/>
  <c r="O3" i="3"/>
  <c r="P3" i="3"/>
  <c r="Q3" i="3"/>
  <c r="R3" i="3"/>
  <c r="S3" i="3"/>
  <c r="X3" i="3"/>
  <c r="Y3" i="3"/>
  <c r="H4" i="3"/>
  <c r="I4" i="3"/>
  <c r="N4" i="3"/>
  <c r="P4" i="3"/>
  <c r="Q4" i="3"/>
  <c r="R4" i="3"/>
  <c r="S4" i="3"/>
  <c r="X4" i="3"/>
  <c r="Y4" i="3"/>
  <c r="H5" i="3"/>
  <c r="I5" i="3"/>
  <c r="P5" i="3"/>
  <c r="X5" i="3"/>
  <c r="Y5" i="3"/>
  <c r="H6" i="3"/>
  <c r="I6" i="3"/>
  <c r="X6" i="3"/>
  <c r="Y6" i="3"/>
  <c r="H7" i="3"/>
  <c r="I7" i="3"/>
  <c r="L7" i="3"/>
  <c r="M7" i="3"/>
  <c r="N7" i="3"/>
  <c r="O7" i="3"/>
  <c r="P7" i="3"/>
  <c r="Q7" i="3"/>
  <c r="R7" i="3"/>
  <c r="S7" i="3"/>
  <c r="X7" i="3"/>
  <c r="Y7" i="3"/>
  <c r="H8" i="3"/>
  <c r="I8" i="3"/>
  <c r="L8" i="3"/>
  <c r="M8" i="3"/>
  <c r="N8" i="3"/>
  <c r="O8" i="3"/>
  <c r="P8" i="3"/>
  <c r="Q8" i="3"/>
  <c r="R8" i="3"/>
  <c r="S8" i="3"/>
  <c r="X8" i="3"/>
  <c r="Y8" i="3"/>
  <c r="H9" i="3"/>
  <c r="I9" i="3"/>
  <c r="L9" i="3"/>
  <c r="M9" i="3"/>
  <c r="N9" i="3"/>
  <c r="O9" i="3"/>
  <c r="P9" i="3"/>
  <c r="Q9" i="3"/>
  <c r="R9" i="3"/>
  <c r="S9" i="3"/>
  <c r="X9" i="3"/>
  <c r="Y9" i="3"/>
  <c r="H10" i="3"/>
  <c r="I10" i="3"/>
  <c r="L10" i="3"/>
  <c r="M10" i="3"/>
  <c r="O10" i="3"/>
  <c r="P10" i="3"/>
  <c r="Q10" i="3"/>
  <c r="R10" i="3"/>
  <c r="S10" i="3"/>
  <c r="X10" i="3"/>
  <c r="Y10" i="3"/>
  <c r="H11" i="3"/>
  <c r="I11" i="3"/>
  <c r="L11" i="3"/>
  <c r="M11" i="3"/>
  <c r="O11" i="3"/>
  <c r="P11" i="3"/>
  <c r="Q11" i="3"/>
  <c r="R11" i="3"/>
  <c r="S11" i="3"/>
  <c r="X11" i="3"/>
  <c r="Y11" i="3"/>
  <c r="H12" i="3"/>
  <c r="I12" i="3"/>
  <c r="L12" i="3"/>
  <c r="M12" i="3"/>
  <c r="O12" i="3"/>
  <c r="P12" i="3"/>
  <c r="Q12" i="3"/>
  <c r="R12" i="3"/>
  <c r="S12" i="3"/>
  <c r="X12" i="3"/>
  <c r="Y12" i="3"/>
  <c r="H13" i="3"/>
  <c r="I13" i="3"/>
  <c r="L13" i="3"/>
  <c r="M13" i="3"/>
  <c r="N13" i="3"/>
  <c r="O13" i="3"/>
  <c r="P13" i="3"/>
  <c r="Q13" i="3"/>
  <c r="R13" i="3"/>
  <c r="S13" i="3"/>
  <c r="X13" i="3"/>
  <c r="Y13" i="3"/>
  <c r="H14" i="3"/>
  <c r="I14" i="3"/>
  <c r="L14" i="3"/>
  <c r="M14" i="3"/>
  <c r="O14" i="3"/>
  <c r="P14" i="3"/>
  <c r="Q14" i="3"/>
  <c r="R14" i="3"/>
  <c r="S14" i="3"/>
  <c r="X14" i="3"/>
  <c r="Y14" i="3"/>
  <c r="H15" i="3"/>
  <c r="I15" i="3"/>
  <c r="L15" i="3"/>
  <c r="M15" i="3"/>
  <c r="O15" i="3"/>
  <c r="P15" i="3"/>
  <c r="Q15" i="3"/>
  <c r="R15" i="3"/>
  <c r="S15" i="3"/>
  <c r="X15" i="3"/>
  <c r="Y15" i="3"/>
  <c r="H16" i="3"/>
  <c r="I16" i="3"/>
  <c r="J16" i="3"/>
  <c r="L16" i="3"/>
  <c r="M16" i="3"/>
  <c r="N16" i="3"/>
  <c r="O16" i="3"/>
  <c r="P16" i="3"/>
  <c r="Q16" i="3"/>
  <c r="R16" i="3"/>
  <c r="S16" i="3"/>
  <c r="X16" i="3"/>
  <c r="Y16" i="3"/>
  <c r="H17" i="3"/>
  <c r="I17" i="3"/>
  <c r="J17" i="3"/>
  <c r="L17" i="3"/>
  <c r="M17" i="3"/>
  <c r="N17" i="3"/>
  <c r="O17" i="3"/>
  <c r="P17" i="3"/>
  <c r="Q17" i="3"/>
  <c r="R17" i="3"/>
  <c r="S17" i="3"/>
  <c r="X17" i="3"/>
  <c r="Y17" i="3"/>
  <c r="H18" i="3"/>
  <c r="I18" i="3"/>
  <c r="L18" i="3"/>
  <c r="M18" i="3"/>
  <c r="N18" i="3"/>
  <c r="O18" i="3"/>
  <c r="P18" i="3"/>
  <c r="Q18" i="3"/>
  <c r="R18" i="3"/>
  <c r="S18" i="3"/>
  <c r="X18" i="3"/>
  <c r="Y18" i="3"/>
  <c r="H19" i="3"/>
  <c r="I19" i="3"/>
  <c r="M19" i="3"/>
  <c r="O19" i="3"/>
  <c r="P19" i="3"/>
  <c r="R19" i="3"/>
  <c r="S19" i="3"/>
  <c r="X19" i="3"/>
  <c r="Y19" i="3"/>
  <c r="H20" i="3"/>
  <c r="I20" i="3"/>
  <c r="M20" i="3"/>
  <c r="O20" i="3"/>
  <c r="P20" i="3"/>
  <c r="R20" i="3"/>
  <c r="S20" i="3"/>
  <c r="X20" i="3"/>
  <c r="Y20" i="3"/>
  <c r="H21" i="3"/>
  <c r="I21" i="3"/>
  <c r="L21" i="3"/>
  <c r="M21" i="3"/>
  <c r="N21" i="3"/>
  <c r="O21" i="3"/>
  <c r="P21" i="3"/>
  <c r="Q21" i="3"/>
  <c r="R21" i="3"/>
  <c r="S21" i="3"/>
  <c r="X21" i="3"/>
  <c r="Y21" i="3"/>
  <c r="L30" i="1"/>
  <c r="L31" i="3"/>
  <c r="M31" i="3"/>
  <c r="G31" i="1" s="1"/>
  <c r="N31" i="3"/>
  <c r="I31" i="1" s="1"/>
  <c r="O31" i="3"/>
  <c r="P31" i="3"/>
  <c r="Q31" i="3"/>
  <c r="R31" i="3"/>
  <c r="S31" i="3"/>
  <c r="X31" i="3"/>
  <c r="Y31" i="3"/>
  <c r="L31" i="1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L27" i="1"/>
  <c r="N3" i="3"/>
  <c r="N2" i="3"/>
  <c r="J18" i="3"/>
  <c r="J19" i="3"/>
  <c r="J20" i="3"/>
  <c r="J21" i="3"/>
  <c r="J4" i="3"/>
  <c r="J5" i="3"/>
  <c r="J6" i="3"/>
  <c r="J7" i="3"/>
  <c r="J8" i="3"/>
  <c r="J9" i="3"/>
  <c r="J10" i="3"/>
  <c r="J11" i="3"/>
  <c r="J12" i="3"/>
  <c r="J13" i="3"/>
  <c r="J14" i="3"/>
  <c r="J15" i="3"/>
  <c r="M4" i="3"/>
  <c r="K2" i="3"/>
  <c r="L5" i="3"/>
  <c r="O6" i="3"/>
  <c r="M5" i="3"/>
  <c r="L4" i="3"/>
  <c r="S5" i="3"/>
  <c r="E4" i="3"/>
  <c r="O4" i="3"/>
  <c r="Q28" i="3"/>
  <c r="K31" i="3"/>
  <c r="K18" i="3"/>
  <c r="R6" i="3"/>
  <c r="R5" i="3"/>
  <c r="N20" i="3"/>
  <c r="N19" i="3"/>
  <c r="E6" i="3"/>
  <c r="E5" i="3"/>
  <c r="F6" i="3"/>
  <c r="F5" i="3"/>
  <c r="N6" i="3"/>
  <c r="N5" i="3"/>
  <c r="Q5" i="3"/>
  <c r="Q6" i="3"/>
  <c r="N25" i="3"/>
  <c r="I25" i="1" s="1"/>
  <c r="N24" i="3"/>
  <c r="I24" i="1"/>
  <c r="Q19" i="3"/>
  <c r="L19" i="3"/>
  <c r="M27" i="3"/>
  <c r="G27" i="1"/>
  <c r="K19" i="3"/>
  <c r="K20" i="3"/>
  <c r="K6" i="3"/>
  <c r="K8" i="3"/>
  <c r="K7" i="3"/>
  <c r="K21" i="3"/>
  <c r="K22" i="3"/>
  <c r="K23" i="3"/>
  <c r="K24" i="3"/>
  <c r="K25" i="3"/>
  <c r="K26" i="3"/>
  <c r="K27" i="3"/>
  <c r="K28" i="3"/>
  <c r="K29" i="3"/>
  <c r="N15" i="3"/>
  <c r="N14" i="3"/>
  <c r="N10" i="3"/>
  <c r="N12" i="3"/>
  <c r="K11" i="3"/>
  <c r="K10" i="3"/>
  <c r="E31" i="1" l="1"/>
  <c r="K3" i="3"/>
  <c r="K12" i="3"/>
  <c r="N11" i="3"/>
  <c r="E22" i="1"/>
  <c r="E27" i="1"/>
  <c r="E26" i="1"/>
  <c r="E24" i="1"/>
  <c r="E23" i="1"/>
  <c r="E30" i="1"/>
  <c r="K5" i="3" l="1"/>
  <c r="K4" i="3"/>
  <c r="K13" i="3"/>
  <c r="K14" i="3" l="1"/>
  <c r="K15" i="3" l="1"/>
  <c r="K17" i="3" l="1"/>
  <c r="K16" i="3"/>
</calcChain>
</file>

<file path=xl/sharedStrings.xml><?xml version="1.0" encoding="utf-8"?>
<sst xmlns="http://schemas.openxmlformats.org/spreadsheetml/2006/main" count="193" uniqueCount="86">
  <si>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</si>
  <si>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</si>
  <si>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</si>
  <si>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</si>
  <si>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</si>
  <si>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</si>
  <si>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</si>
  <si>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</si>
  <si>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</si>
  <si>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</si>
  <si>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</si>
  <si>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</si>
  <si>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</si>
  <si>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</si>
  <si>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</si>
  <si>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</si>
  <si>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</si>
  <si>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</si>
  <si>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</si>
  <si>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</si>
  <si>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</si>
  <si>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Engineer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</si>
  <si>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</si>
  <si>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</si>
  <si>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</si>
  <si>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</si>
  <si>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</si>
  <si>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</si>
  <si>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</si>
  <si>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</si>
  <si>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</si>
  <si>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</si>
  <si>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</si>
  <si>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CL02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</si>
  <si>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</si>
  <si>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</si>
  <si>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</si>
  <si>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</si>
  <si>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</si>
  <si>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</si>
  <si>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</si>
  <si>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</si>
  <si>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</si>
  <si>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</si>
  <si>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</si>
  <si>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</si>
  <si>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</si>
  <si>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</si>
  <si>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</si>
  <si>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</si>
  <si>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</si>
  <si>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CL02- m3</t>
  </si>
  <si>
    <t>LTHW East- m3</t>
  </si>
  <si>
    <t>Chilled make-up- m3</t>
  </si>
  <si>
    <t>LTHW SPA- m3</t>
  </si>
  <si>
    <t>Room Night</t>
  </si>
  <si>
    <t>Guest</t>
  </si>
  <si>
    <t>10890</t>
  </si>
  <si>
    <t>11000</t>
  </si>
  <si>
    <t>10550</t>
  </si>
  <si>
    <t>10690</t>
  </si>
  <si>
    <t>11200</t>
  </si>
  <si>
    <t>11390</t>
  </si>
  <si>
    <t>11530</t>
  </si>
  <si>
    <t>11490</t>
  </si>
  <si>
    <t>11770</t>
  </si>
  <si>
    <t>11720</t>
  </si>
  <si>
    <t>11040</t>
  </si>
  <si>
    <t>190</t>
  </si>
  <si>
    <t>189</t>
  </si>
  <si>
    <t>257</t>
  </si>
  <si>
    <t>217</t>
  </si>
  <si>
    <t>194</t>
  </si>
  <si>
    <t>1429</t>
  </si>
  <si>
    <t>1616</t>
  </si>
  <si>
    <t>1486</t>
  </si>
  <si>
    <t>1355</t>
  </si>
  <si>
    <t>1613</t>
  </si>
  <si>
    <t>1575</t>
  </si>
  <si>
    <t>1695</t>
  </si>
  <si>
    <t>1611</t>
  </si>
  <si>
    <t>1609</t>
  </si>
  <si>
    <t>1574</t>
  </si>
  <si>
    <t>1639</t>
  </si>
  <si>
    <t>1697</t>
  </si>
  <si>
    <t>1585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</si>
</sst>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2" xfId="1" applyBorder="1"/>
    <xf numFmtId="165" fontId="0" fillId="0" borderId="0" xfId="0" applyNumberFormat="1"/>
    <xf numFmtId="0" fontId="0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/>
    <xf numFmtId="0" fontId="1" fillId="0" borderId="3" xfId="1" applyBorder="1"/>
    <xf numFmtId="2" fontId="0" fillId="0" borderId="0" xfId="0" applyNumberFormat="1"/>
    <xf numFmtId="165" fontId="6" fillId="0" borderId="4" xfId="1" applyNumberFormat="1" applyFont="1" applyBorder="1" applyAlignment="1">
      <alignment horizontal="center"/>
    </xf>
    <xf numFmtId="165" fontId="2" fillId="0" borderId="4" xfId="1" applyNumberFormat="1" applyFont="1" applyBorder="1" applyAlignment="1">
      <alignment horizontal="center"/>
    </xf>
    <xf numFmtId="165" fontId="2" fillId="2" borderId="3" xfId="1" applyNumberFormat="1" applyFont="1" applyFill="1" applyBorder="1" applyAlignment="1">
      <alignment horizontal="center" wrapText="1"/>
    </xf>
    <xf numFmtId="165" fontId="0" fillId="2" borderId="3" xfId="0" applyNumberFormat="1" applyFill="1" applyBorder="1" applyAlignment="1">
      <alignment horizontal="center"/>
    </xf>
    <xf numFmtId="0" fontId="0" fillId="0" borderId="3" xfId="0" applyBorder="1"/>
    <xf numFmtId="0" fontId="2" fillId="3" borderId="3" xfId="1" applyFont="1" applyFill="1" applyBorder="1" applyAlignment="1">
      <alignment horizontal="center" wrapText="1"/>
    </xf>
    <xf numFmtId="0" fontId="1" fillId="3" borderId="3" xfId="1" applyFill="1" applyBorder="1" applyAlignment="1">
      <alignment horizontal="center"/>
    </xf>
    <xf numFmtId="0" fontId="0" fillId="2" borderId="3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1" fillId="0" borderId="0" xfId="1"/>
    <xf numFmtId="0" fontId="1" fillId="0" borderId="3" xfId="1" applyBorder="1" applyAlignment="1">
      <alignment horizontal="right"/>
    </xf>
    <xf numFmtId="165" fontId="2" fillId="0" borderId="5" xfId="1" applyNumberFormat="1" applyFont="1" applyBorder="1" applyAlignment="1">
      <alignment horizontal="center" wrapText="1"/>
    </xf>
    <xf numFmtId="165" fontId="2" fillId="0" borderId="6" xfId="1" applyNumberFormat="1" applyFont="1" applyBorder="1" applyAlignment="1">
      <alignment horizontal="center" wrapText="1"/>
    </xf>
    <xf numFmtId="165" fontId="1" fillId="0" borderId="7" xfId="1" applyNumberForma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7" fillId="0" borderId="3" xfId="1" applyFont="1" applyBorder="1" applyAlignment="1">
      <alignment horizontal="center" wrapText="1"/>
    </xf>
    <xf numFmtId="0" fontId="6" fillId="2" borderId="3" xfId="1" applyFont="1" applyFill="1" applyBorder="1" applyAlignment="1">
      <alignment horizontal="center" wrapText="1"/>
    </xf>
    <xf numFmtId="0" fontId="7" fillId="2" borderId="3" xfId="1" applyFont="1" applyFill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2" fillId="4" borderId="3" xfId="1" applyFont="1" applyFill="1" applyBorder="1" applyAlignment="1">
      <alignment horizontal="center" wrapText="1"/>
    </xf>
    <xf numFmtId="0" fontId="1" fillId="4" borderId="3" xfId="1" applyFill="1" applyBorder="1" applyAlignment="1">
      <alignment horizontal="center"/>
    </xf>
    <xf numFmtId="0" fontId="2" fillId="3" borderId="3" xfId="1" applyFont="1" applyFill="1" applyBorder="1" applyAlignment="1">
      <alignment horizontal="center" wrapText="1"/>
    </xf>
    <xf numFmtId="0" fontId="1" fillId="3" borderId="3" xfId="1" applyFill="1" applyBorder="1" applyAlignment="1">
      <alignment horizontal="center"/>
    </xf>
    <xf numFmtId="0" fontId="1" fillId="3" borderId="3" xfId="1" applyFill="1" applyBorder="1" applyAlignment="1">
      <alignment horizontal="center" wrapText="1"/>
    </xf>
    <xf numFmtId="2" fontId="2" fillId="3" borderId="3" xfId="1" applyNumberFormat="1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3"/>
  <sheetViews>
    <sheetView tabSelected="1" workbookViewId="0">
      <selection activeCell="A3" sqref="A3"/>
    </sheetView>
  </sheetViews>
  <sheetFormatPr defaultColWidth="11.54296875" defaultRowHeight="14.5" x14ac:dyDescent="0.35"/>
  <cols>
    <col min="1" max="1" width="18.26953125" style="3" customWidth="1"/>
    <col min="2" max="3" width="11.54296875" style="2"/>
    <col min="4" max="4" width="13.453125" style="2" customWidth="1"/>
    <col min="5" max="5" width="12.54296875" style="1" customWidth="1"/>
    <col min="6" max="6" width="12.54296875" style="13" customWidth="1"/>
    <col min="7" max="7" width="11.54296875" style="1"/>
    <col min="8" max="8" width="11.54296875" style="13"/>
    <col min="9" max="9" width="11.54296875" style="1"/>
    <col min="10" max="10" width="11.54296875" style="15"/>
    <col min="11" max="24" width="11.54296875" style="1"/>
  </cols>
  <sheetData>
    <row r="1" spans="1:24" s="3" customFormat="1" ht="43.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5">
      <c r="A2" s="3" t="s">
        <v>42</v>
      </c>
      <c r="B2" s="2">
        <v>1</v>
      </c>
      <c r="C2" s="2">
        <v>10</v>
      </c>
      <c r="D2" s="2">
        <v>2019</v>
      </c>
      <c r="E2" s="4" t="s">
        <v>57</v>
      </c>
      <c r="F2" s="12">
        <v>0.14199999999999999</v>
      </c>
      <c r="G2" s="4" t="s">
        <v>73</v>
      </c>
      <c r="H2" s="12">
        <v>0.21</v>
      </c>
      <c r="I2" s="4" t="s">
        <v>68</v>
      </c>
      <c r="J2" s="13">
        <v>2.06</v>
      </c>
      <c r="K2">
        <v>42</v>
      </c>
      <c r="L2">
        <v>70</v>
      </c>
    </row>
    <row r="3" spans="1:24" x14ac:dyDescent="0.35">
      <c r="A3" s="3" t="s">
        <v>42</v>
      </c>
      <c r="B3" s="2">
        <f>B2+1</f>
        <v>2</v>
      </c>
      <c r="C3" s="2">
        <v>10</v>
      </c>
      <c r="D3" s="2">
        <v>2019</v>
      </c>
      <c r="E3" s="4" t="s">
        <v>58</v>
      </c>
      <c r="F3" s="12">
        <v>0.14199999999999999</v>
      </c>
      <c r="G3" s="4" t="s">
        <v>74</v>
      </c>
      <c r="H3" s="12">
        <v>0.21</v>
      </c>
      <c r="I3" s="4" t="s">
        <v>68</v>
      </c>
      <c r="J3" s="13">
        <v>2.06</v>
      </c>
      <c r="K3">
        <v>53</v>
      </c>
      <c r="L3">
        <v>92</v>
      </c>
    </row>
    <row r="4" spans="1:24" x14ac:dyDescent="0.35">
      <c r="A4" s="3" t="s">
        <v>42</v>
      </c>
      <c r="B4" s="2">
        <f t="shared" ref="B4:B32" si="0">B3+1</f>
        <v>3</v>
      </c>
      <c r="C4" s="2">
        <v>10</v>
      </c>
      <c r="D4" s="2">
        <v>2019</v>
      </c>
      <c r="E4" s="4" t="s">
        <v>59</v>
      </c>
      <c r="F4" s="12">
        <v>0.14199999999999999</v>
      </c>
      <c r="G4" s="4" t="s">
        <v>75</v>
      </c>
      <c r="H4" s="12">
        <v>0.21</v>
      </c>
      <c r="I4" s="4" t="s">
        <v>68</v>
      </c>
      <c r="J4" s="13">
        <v>2.06</v>
      </c>
      <c r="K4">
        <v>128</v>
      </c>
      <c r="L4">
        <v>159</v>
      </c>
    </row>
    <row r="5" spans="1:24" x14ac:dyDescent="0.35">
      <c r="A5" s="3" t="s">
        <v>42</v>
      </c>
      <c r="B5" s="2">
        <f t="shared" si="0"/>
        <v>4</v>
      </c>
      <c r="C5" s="2">
        <v>10</v>
      </c>
      <c r="D5" s="2">
        <v>2019</v>
      </c>
      <c r="E5" s="4" t="s">
        <v>60</v>
      </c>
      <c r="F5" s="12">
        <v>0.14199999999999999</v>
      </c>
      <c r="G5" s="4" t="s">
        <v>76</v>
      </c>
      <c r="H5" s="12">
        <v>0.21</v>
      </c>
      <c r="I5" s="4" t="s">
        <v>68</v>
      </c>
      <c r="J5" s="13">
        <v>2.06</v>
      </c>
      <c r="K5">
        <v>118</v>
      </c>
      <c r="L5">
        <v>184</v>
      </c>
    </row>
    <row r="6" spans="1:24" x14ac:dyDescent="0.35">
      <c r="A6" s="3" t="s">
        <v>42</v>
      </c>
      <c r="B6" s="2">
        <f t="shared" si="0"/>
        <v>5</v>
      </c>
      <c r="C6" s="2">
        <v>10</v>
      </c>
      <c r="D6" s="2">
        <v>2019</v>
      </c>
      <c r="E6" s="4" t="s">
        <v>61</v>
      </c>
      <c r="F6" s="12">
        <v>0.14199999999999999</v>
      </c>
      <c r="G6" s="4" t="s">
        <v>77</v>
      </c>
      <c r="H6" s="12">
        <v>0.21</v>
      </c>
      <c r="I6" s="4" t="s">
        <v>69</v>
      </c>
      <c r="J6" s="13">
        <v>2.06</v>
      </c>
      <c r="K6">
        <v>114</v>
      </c>
      <c r="L6">
        <v>196</v>
      </c>
    </row>
    <row r="7" spans="1:24" x14ac:dyDescent="0.35">
      <c r="A7" s="3" t="s">
        <v>42</v>
      </c>
      <c r="B7" s="2">
        <f t="shared" si="0"/>
        <v>6</v>
      </c>
      <c r="C7" s="2">
        <v>10</v>
      </c>
      <c r="D7" s="2">
        <v>2019</v>
      </c>
      <c r="E7" s="4" t="s">
        <v>62</v>
      </c>
      <c r="F7" s="12">
        <v>0.14199999999999999</v>
      </c>
      <c r="G7" s="4" t="s">
        <v>78</v>
      </c>
      <c r="H7" s="12">
        <v>0.21</v>
      </c>
      <c r="I7" s="4" t="s">
        <v>70</v>
      </c>
      <c r="J7" s="13">
        <v>2.06</v>
      </c>
      <c r="K7">
        <v>85</v>
      </c>
      <c r="L7">
        <v>123</v>
      </c>
    </row>
    <row r="8" spans="1:24" x14ac:dyDescent="0.35">
      <c r="A8" s="3" t="s">
        <v>42</v>
      </c>
      <c r="B8" s="2">
        <f t="shared" si="0"/>
        <v>7</v>
      </c>
      <c r="C8" s="2">
        <v>10</v>
      </c>
      <c r="D8" s="2">
        <v>2019</v>
      </c>
      <c r="E8" s="4" t="s">
        <v>63</v>
      </c>
      <c r="F8" s="12">
        <v>0.14199999999999999</v>
      </c>
      <c r="G8" s="4" t="s">
        <v>79</v>
      </c>
      <c r="H8" s="12">
        <v>0.21</v>
      </c>
      <c r="I8" s="4" t="s">
        <v>71</v>
      </c>
      <c r="J8" s="13">
        <v>2.06</v>
      </c>
      <c r="K8">
        <v>128</v>
      </c>
      <c r="L8">
        <v>147</v>
      </c>
    </row>
    <row r="9" spans="1:24" x14ac:dyDescent="0.35">
      <c r="A9" s="3" t="s">
        <v>42</v>
      </c>
      <c r="B9" s="2">
        <f t="shared" si="0"/>
        <v>8</v>
      </c>
      <c r="C9" s="2">
        <v>10</v>
      </c>
      <c r="D9" s="2">
        <v>2019</v>
      </c>
      <c r="E9" s="4" t="s">
        <v>64</v>
      </c>
      <c r="F9" s="12">
        <v>0.14199999999999999</v>
      </c>
      <c r="G9" s="4" t="s">
        <v>80</v>
      </c>
      <c r="H9" s="12">
        <v>0.21</v>
      </c>
      <c r="I9" s="4" t="s">
        <v>68</v>
      </c>
      <c r="J9" s="13">
        <v>2.06</v>
      </c>
      <c r="K9">
        <v>129</v>
      </c>
      <c r="L9">
        <v>151</v>
      </c>
    </row>
    <row r="10" spans="1:24" x14ac:dyDescent="0.35">
      <c r="A10" s="3" t="s">
        <v>42</v>
      </c>
      <c r="B10" s="2">
        <f t="shared" si="0"/>
        <v>9</v>
      </c>
      <c r="C10" s="2">
        <v>10</v>
      </c>
      <c r="D10" s="2">
        <v>2019</v>
      </c>
      <c r="E10" s="4" t="s">
        <v>62</v>
      </c>
      <c r="F10" s="12">
        <v>0.14199999999999999</v>
      </c>
      <c r="G10" s="4" t="s">
        <v>81</v>
      </c>
      <c r="H10" s="12">
        <v>0.21</v>
      </c>
      <c r="I10" s="4" t="s">
        <v>68</v>
      </c>
      <c r="J10" s="13">
        <v>2.06</v>
      </c>
      <c r="K10">
        <v>122</v>
      </c>
      <c r="L10">
        <v>147</v>
      </c>
    </row>
    <row r="11" spans="1:24" x14ac:dyDescent="0.35">
      <c r="A11" s="3" t="s">
        <v>42</v>
      </c>
      <c r="B11" s="2">
        <f t="shared" si="0"/>
        <v>10</v>
      </c>
      <c r="C11" s="2">
        <v>10</v>
      </c>
      <c r="D11" s="2">
        <v>2019</v>
      </c>
      <c r="E11" s="4" t="s">
        <v>65</v>
      </c>
      <c r="F11" s="12">
        <v>0.14199999999999999</v>
      </c>
      <c r="G11" s="4" t="s">
        <v>82</v>
      </c>
      <c r="H11" s="12">
        <v>0.21</v>
      </c>
      <c r="I11" s="4" t="s">
        <v>68</v>
      </c>
      <c r="J11" s="13">
        <v>2.06</v>
      </c>
      <c r="K11">
        <v>91</v>
      </c>
      <c r="L11">
        <v>124</v>
      </c>
    </row>
    <row r="12" spans="1:24" x14ac:dyDescent="0.35">
      <c r="A12" s="3" t="s">
        <v>42</v>
      </c>
      <c r="B12" s="2">
        <f t="shared" si="0"/>
        <v>11</v>
      </c>
      <c r="C12" s="2">
        <v>10</v>
      </c>
      <c r="D12" s="2">
        <v>2019</v>
      </c>
      <c r="E12" s="4" t="s">
        <v>66</v>
      </c>
      <c r="F12" s="12">
        <v>0.14199999999999999</v>
      </c>
      <c r="G12" s="4" t="s">
        <v>83</v>
      </c>
      <c r="H12" s="12">
        <v>0.21</v>
      </c>
      <c r="I12" s="4" t="s">
        <v>68</v>
      </c>
      <c r="J12" s="13">
        <v>2.06</v>
      </c>
      <c r="K12">
        <v>73</v>
      </c>
      <c r="L12">
        <v>164</v>
      </c>
    </row>
    <row r="13" spans="1:24" x14ac:dyDescent="0.35">
      <c r="A13" s="3" t="s">
        <v>42</v>
      </c>
      <c r="B13" s="2">
        <f t="shared" si="0"/>
        <v>12</v>
      </c>
      <c r="C13" s="2">
        <v>10</v>
      </c>
      <c r="D13" s="2">
        <v>2019</v>
      </c>
      <c r="E13" s="4" t="s">
        <v>67</v>
      </c>
      <c r="F13" s="12">
        <v>0.14199999999999999</v>
      </c>
      <c r="G13" s="4" t="s">
        <v>84</v>
      </c>
      <c r="H13" s="12">
        <v>0.21</v>
      </c>
      <c r="I13" s="4" t="s">
        <v>68</v>
      </c>
      <c r="J13" s="13">
        <v>2.06</v>
      </c>
      <c r="K13">
        <v>95</v>
      </c>
      <c r="L13">
        <v>241</v>
      </c>
    </row>
    <row r="14" spans="1:24" x14ac:dyDescent="0.35">
      <c r="A14" s="3" t="s">
        <v>42</v>
      </c>
      <c r="B14" s="2">
        <f t="shared" si="0"/>
        <v>13</v>
      </c>
      <c r="C14" s="2">
        <v>10</v>
      </c>
      <c r="D14" s="2">
        <v>2019</v>
      </c>
      <c r="E14" s="4" t="s">
        <v>57</v>
      </c>
      <c r="F14" s="12">
        <v>0.14199999999999999</v>
      </c>
      <c r="G14" s="4" t="s">
        <v>85</v>
      </c>
      <c r="H14" s="12">
        <v>0.21</v>
      </c>
      <c r="I14" s="4" t="s">
        <v>72</v>
      </c>
      <c r="J14" s="13">
        <v>2.06</v>
      </c>
      <c r="K14">
        <v>50</v>
      </c>
      <c r="L14">
        <v>127</v>
      </c>
    </row>
    <row r="15" spans="1:24" x14ac:dyDescent="0.35">
      <c r="A15" s="3" t="s">
        <v>42</v>
      </c>
      <c r="B15" s="2">
        <f t="shared" si="0"/>
        <v>14</v>
      </c>
      <c r="C15" s="2">
        <v>10</v>
      </c>
      <c r="D15" s="2">
        <v>2019</v>
      </c>
      <c r="E15" s="4" t="s">
        <v>63</v>
      </c>
      <c r="F15" s="12">
        <v>0.14199999999999999</v>
      </c>
      <c r="G15" s="4" t="s">
        <v>79</v>
      </c>
      <c r="H15" s="12">
        <v>0.21</v>
      </c>
      <c r="I15" s="4" t="s">
        <v>71</v>
      </c>
      <c r="J15" s="13">
        <v>2.06</v>
      </c>
      <c r="K15">
        <v>128</v>
      </c>
      <c r="L15">
        <v>147</v>
      </c>
    </row>
    <row r="16" spans="1:24" x14ac:dyDescent="0.35">
      <c r="A16" s="3" t="s">
        <v>42</v>
      </c>
      <c r="B16" s="2">
        <f t="shared" si="0"/>
        <v>15</v>
      </c>
      <c r="C16" s="2">
        <v>10</v>
      </c>
      <c r="D16" s="2">
        <v>2019</v>
      </c>
      <c r="E16" s="4" t="s">
        <v>64</v>
      </c>
      <c r="F16" s="12">
        <v>0.14199999999999999</v>
      </c>
      <c r="G16" s="4" t="s">
        <v>80</v>
      </c>
      <c r="H16" s="12">
        <v>0.21</v>
      </c>
      <c r="I16" s="4" t="s">
        <v>68</v>
      </c>
      <c r="J16" s="13">
        <v>2.06</v>
      </c>
      <c r="K16">
        <v>129</v>
      </c>
      <c r="L16">
        <v>151</v>
      </c>
    </row>
    <row r="17" spans="1:12" x14ac:dyDescent="0.35">
      <c r="A17" s="3" t="s">
        <v>42</v>
      </c>
      <c r="B17" s="2">
        <f t="shared" si="0"/>
        <v>16</v>
      </c>
      <c r="C17" s="2">
        <v>10</v>
      </c>
      <c r="D17" s="2">
        <v>2019</v>
      </c>
      <c r="E17" s="4" t="s">
        <v>62</v>
      </c>
      <c r="F17" s="12">
        <v>0.14199999999999999</v>
      </c>
      <c r="G17" s="4" t="s">
        <v>81</v>
      </c>
      <c r="H17" s="12">
        <v>0.21</v>
      </c>
      <c r="I17" s="4" t="s">
        <v>68</v>
      </c>
      <c r="J17" s="13">
        <v>2.06</v>
      </c>
      <c r="K17">
        <v>122</v>
      </c>
      <c r="L17">
        <v>147</v>
      </c>
    </row>
    <row r="18" spans="1:12" x14ac:dyDescent="0.35">
      <c r="A18" s="3" t="s">
        <v>42</v>
      </c>
      <c r="B18" s="2">
        <f t="shared" si="0"/>
        <v>17</v>
      </c>
      <c r="C18" s="2">
        <v>10</v>
      </c>
      <c r="D18" s="2">
        <v>2019</v>
      </c>
      <c r="E18" s="4" t="s">
        <v>65</v>
      </c>
      <c r="F18" s="12">
        <v>0.14199999999999999</v>
      </c>
      <c r="G18" s="4" t="s">
        <v>82</v>
      </c>
      <c r="H18" s="12">
        <v>0.21</v>
      </c>
      <c r="I18" s="4" t="s">
        <v>68</v>
      </c>
      <c r="J18" s="13">
        <v>2.06</v>
      </c>
      <c r="K18">
        <v>91</v>
      </c>
      <c r="L18">
        <v>124</v>
      </c>
    </row>
    <row r="19" spans="1:12" x14ac:dyDescent="0.35">
      <c r="A19" s="3" t="s">
        <v>42</v>
      </c>
      <c r="B19" s="2">
        <f t="shared" si="0"/>
        <v>18</v>
      </c>
      <c r="C19" s="2">
        <v>10</v>
      </c>
      <c r="D19" s="2">
        <v>2019</v>
      </c>
      <c r="E19" s="4" t="s">
        <v>66</v>
      </c>
      <c r="F19" s="12">
        <v>0.14199999999999999</v>
      </c>
      <c r="G19" s="4" t="s">
        <v>83</v>
      </c>
      <c r="H19" s="12">
        <v>0.21</v>
      </c>
      <c r="I19" s="4" t="s">
        <v>68</v>
      </c>
      <c r="J19" s="13">
        <v>2.06</v>
      </c>
      <c r="K19">
        <v>73</v>
      </c>
      <c r="L19">
        <v>164</v>
      </c>
    </row>
    <row r="20" spans="1:12" x14ac:dyDescent="0.35">
      <c r="A20" s="3" t="s">
        <v>42</v>
      </c>
      <c r="B20" s="2">
        <f t="shared" si="0"/>
        <v>19</v>
      </c>
      <c r="C20" s="2">
        <v>10</v>
      </c>
      <c r="D20" s="2">
        <v>2019</v>
      </c>
      <c r="E20" s="4" t="s">
        <v>67</v>
      </c>
      <c r="F20" s="12">
        <v>0.14199999999999999</v>
      </c>
      <c r="G20" s="4" t="s">
        <v>84</v>
      </c>
      <c r="H20" s="12">
        <v>0.21</v>
      </c>
      <c r="I20" s="4" t="s">
        <v>68</v>
      </c>
      <c r="J20" s="13">
        <v>2.06</v>
      </c>
      <c r="K20">
        <v>95</v>
      </c>
      <c r="L20">
        <v>241</v>
      </c>
    </row>
    <row r="21" spans="1:12" x14ac:dyDescent="0.35">
      <c r="A21" s="3" t="s">
        <v>42</v>
      </c>
      <c r="B21" s="2">
        <f t="shared" si="0"/>
        <v>20</v>
      </c>
      <c r="C21" s="2">
        <v>10</v>
      </c>
      <c r="D21" s="2">
        <v>2019</v>
      </c>
      <c r="E21" s="4" t="s">
        <v>57</v>
      </c>
      <c r="F21" s="12">
        <v>0.14199999999999999</v>
      </c>
      <c r="G21" s="4" t="s">
        <v>85</v>
      </c>
      <c r="H21" s="12">
        <v>0.21</v>
      </c>
      <c r="I21" s="4" t="s">
        <v>72</v>
      </c>
      <c r="J21" s="13">
        <v>2.06</v>
      </c>
      <c r="K21">
        <v>50</v>
      </c>
      <c r="L21">
        <v>127</v>
      </c>
    </row>
    <row r="22" spans="1:12" x14ac:dyDescent="0.35">
      <c r="A22" s="3" t="s">
        <v>42</v>
      </c>
      <c r="B22" s="2">
        <f t="shared" si="0"/>
        <v>21</v>
      </c>
      <c r="C22" s="2">
        <v>10</v>
      </c>
      <c r="D22" s="2">
        <v>2019</v>
      </c>
      <c r="E22" s="4">
        <f>Submetering!E22+Submetering!F22</f>
        <v>0</v>
      </c>
      <c r="F22" s="12">
        <v>0.14199999999999999</v>
      </c>
      <c r="G22" s="4">
        <f>Submetering!M22</f>
        <v>0</v>
      </c>
      <c r="H22" s="12">
        <v>0.21</v>
      </c>
      <c r="I22" s="4">
        <f>Submetering!N22</f>
        <v>0</v>
      </c>
      <c r="J22" s="13">
        <v>2.06</v>
      </c>
      <c r="K22" s="4">
        <f>'Hampshire Daily'!B25</f>
        <v>0</v>
      </c>
      <c r="L22" s="4">
        <f>Submetering!Y22</f>
        <v>0</v>
      </c>
    </row>
    <row r="23" spans="1:12" x14ac:dyDescent="0.35">
      <c r="A23" s="3" t="s">
        <v>42</v>
      </c>
      <c r="B23" s="2">
        <f t="shared" si="0"/>
        <v>22</v>
      </c>
      <c r="C23" s="2">
        <v>10</v>
      </c>
      <c r="D23" s="2">
        <v>2019</v>
      </c>
      <c r="E23" s="4">
        <f>Submetering!E23+Submetering!F23</f>
        <v>0</v>
      </c>
      <c r="F23" s="12">
        <v>0.14199999999999999</v>
      </c>
      <c r="G23" s="4">
        <f>Submetering!M23</f>
        <v>0</v>
      </c>
      <c r="H23" s="12">
        <v>0.21</v>
      </c>
      <c r="I23" s="4">
        <f>Submetering!N23</f>
        <v>0</v>
      </c>
      <c r="J23" s="13">
        <v>2.06</v>
      </c>
      <c r="K23" s="4">
        <f>'Hampshire Daily'!B26</f>
        <v>0</v>
      </c>
      <c r="L23" s="4">
        <f>Submetering!Y23</f>
        <v>0</v>
      </c>
    </row>
    <row r="24" spans="1:12" x14ac:dyDescent="0.35">
      <c r="A24" s="3" t="s">
        <v>42</v>
      </c>
      <c r="B24" s="2">
        <f t="shared" si="0"/>
        <v>23</v>
      </c>
      <c r="C24" s="2">
        <v>10</v>
      </c>
      <c r="D24" s="2">
        <v>2019</v>
      </c>
      <c r="E24" s="4">
        <f>Submetering!E24+Submetering!F24</f>
        <v>0</v>
      </c>
      <c r="F24" s="12">
        <v>0.14199999999999999</v>
      </c>
      <c r="G24" s="4">
        <f>Submetering!M24</f>
        <v>0</v>
      </c>
      <c r="H24" s="12">
        <v>0.21</v>
      </c>
      <c r="I24" s="4">
        <f>Submetering!N24</f>
        <v>0</v>
      </c>
      <c r="J24" s="13">
        <v>2.06</v>
      </c>
      <c r="K24" s="4">
        <f>'Hampshire Daily'!B27</f>
        <v>0</v>
      </c>
      <c r="L24" s="4">
        <f>Submetering!Y24</f>
        <v>0</v>
      </c>
    </row>
    <row r="25" spans="1:12" x14ac:dyDescent="0.35">
      <c r="A25" s="3" t="s">
        <v>42</v>
      </c>
      <c r="B25" s="2">
        <f t="shared" si="0"/>
        <v>24</v>
      </c>
      <c r="C25" s="2">
        <v>10</v>
      </c>
      <c r="D25" s="2">
        <v>2019</v>
      </c>
      <c r="E25" s="4">
        <f>Submetering!E25+Submetering!F25</f>
        <v>0</v>
      </c>
      <c r="F25" s="12">
        <v>0.14199999999999999</v>
      </c>
      <c r="G25" s="4">
        <f>Submetering!M25</f>
        <v>0</v>
      </c>
      <c r="H25" s="12">
        <v>0.21</v>
      </c>
      <c r="I25" s="4">
        <f>Submetering!N25</f>
        <v>0</v>
      </c>
      <c r="J25" s="13">
        <v>2.06</v>
      </c>
      <c r="K25" s="4">
        <f>'Hampshire Daily'!B28</f>
        <v>0</v>
      </c>
      <c r="L25" s="4">
        <f>Submetering!Y25</f>
        <v>0</v>
      </c>
    </row>
    <row r="26" spans="1:12" x14ac:dyDescent="0.35">
      <c r="A26" s="3" t="s">
        <v>42</v>
      </c>
      <c r="B26" s="2">
        <f>B25+1</f>
        <v>25</v>
      </c>
      <c r="C26" s="2">
        <v>10</v>
      </c>
      <c r="D26" s="2">
        <v>2019</v>
      </c>
      <c r="E26" s="4">
        <f>Submetering!E26+Submetering!F26</f>
        <v>0</v>
      </c>
      <c r="F26" s="12">
        <v>0.14199999999999999</v>
      </c>
      <c r="G26" s="4">
        <f>Submetering!M26</f>
        <v>0</v>
      </c>
      <c r="H26" s="12">
        <v>0.21</v>
      </c>
      <c r="I26" s="4">
        <f>Submetering!N26</f>
        <v>0</v>
      </c>
      <c r="J26" s="13">
        <v>2.06</v>
      </c>
      <c r="K26" s="4">
        <f>'Hampshire Daily'!B29</f>
        <v>0</v>
      </c>
      <c r="L26" s="4">
        <f>Submetering!Y26</f>
        <v>0</v>
      </c>
    </row>
    <row r="27" spans="1:12" x14ac:dyDescent="0.35">
      <c r="A27" s="3" t="s">
        <v>42</v>
      </c>
      <c r="B27" s="2">
        <f t="shared" si="0"/>
        <v>26</v>
      </c>
      <c r="C27" s="2">
        <v>10</v>
      </c>
      <c r="D27" s="2">
        <v>2019</v>
      </c>
      <c r="E27" s="4">
        <f>Submetering!E27+Submetering!F27</f>
        <v>0</v>
      </c>
      <c r="F27" s="12">
        <v>0.14199999999999999</v>
      </c>
      <c r="G27" s="4">
        <f>Submetering!M27</f>
        <v>0</v>
      </c>
      <c r="H27" s="12">
        <v>0.21</v>
      </c>
      <c r="I27" s="4">
        <f>Submetering!N27</f>
        <v>0</v>
      </c>
      <c r="J27" s="13">
        <v>2.06</v>
      </c>
      <c r="K27" s="4">
        <f>'Hampshire Daily'!B30</f>
        <v>0</v>
      </c>
      <c r="L27" s="4">
        <f>Submetering!Y27</f>
        <v>0</v>
      </c>
    </row>
    <row r="28" spans="1:12" x14ac:dyDescent="0.35">
      <c r="A28" s="3" t="s">
        <v>42</v>
      </c>
      <c r="B28" s="2">
        <f t="shared" si="0"/>
        <v>27</v>
      </c>
      <c r="C28" s="2">
        <v>10</v>
      </c>
      <c r="D28" s="2">
        <v>2019</v>
      </c>
      <c r="E28" s="4">
        <f>Submetering!E28+Submetering!F28</f>
        <v>0</v>
      </c>
      <c r="F28" s="12">
        <v>0.14199999999999999</v>
      </c>
      <c r="G28" s="4">
        <f>Submetering!M28</f>
        <v>0</v>
      </c>
      <c r="H28" s="12">
        <v>0.21</v>
      </c>
      <c r="I28" s="4">
        <f>Submetering!N28</f>
        <v>0</v>
      </c>
      <c r="J28" s="13">
        <v>2.06</v>
      </c>
      <c r="K28" s="4">
        <f>'Hampshire Daily'!B31</f>
        <v>0</v>
      </c>
      <c r="L28" s="4">
        <f>Submetering!Y28</f>
        <v>0</v>
      </c>
    </row>
    <row r="29" spans="1:12" x14ac:dyDescent="0.35">
      <c r="A29" s="3" t="s">
        <v>42</v>
      </c>
      <c r="B29" s="2">
        <f t="shared" si="0"/>
        <v>28</v>
      </c>
      <c r="C29" s="2">
        <v>10</v>
      </c>
      <c r="D29" s="2">
        <v>2019</v>
      </c>
      <c r="E29" s="4">
        <f>Submetering!E29+Submetering!F29</f>
        <v>0</v>
      </c>
      <c r="F29" s="12">
        <v>0.14199999999999999</v>
      </c>
      <c r="G29" s="4">
        <f>Submetering!M29</f>
        <v>0</v>
      </c>
      <c r="H29" s="12">
        <v>0.21</v>
      </c>
      <c r="I29" s="4">
        <f>Submetering!N29</f>
        <v>0</v>
      </c>
      <c r="J29" s="13">
        <v>2.06</v>
      </c>
      <c r="K29" s="4">
        <f>'Hampshire Daily'!B32</f>
        <v>0</v>
      </c>
      <c r="L29" s="4">
        <f>Submetering!Y29</f>
        <v>0</v>
      </c>
    </row>
    <row r="30" spans="1:12" x14ac:dyDescent="0.35">
      <c r="A30" s="3" t="s">
        <v>42</v>
      </c>
      <c r="B30" s="2">
        <f t="shared" si="0"/>
        <v>29</v>
      </c>
      <c r="C30" s="2">
        <v>10</v>
      </c>
      <c r="D30" s="2">
        <v>2019</v>
      </c>
      <c r="E30" s="4">
        <f>Submetering!E30+Submetering!F30</f>
        <v>0</v>
      </c>
      <c r="F30" s="12">
        <v>0.14199999999999999</v>
      </c>
      <c r="G30" s="4">
        <f>Submetering!M30</f>
        <v>0</v>
      </c>
      <c r="H30" s="12">
        <v>0.21</v>
      </c>
      <c r="I30" s="4">
        <f>Submetering!N30</f>
        <v>0</v>
      </c>
      <c r="J30" s="13">
        <v>2.06</v>
      </c>
      <c r="K30" s="4">
        <f>'Hampshire Daily'!B33</f>
        <v>0</v>
      </c>
      <c r="L30" s="4">
        <f>Submetering!Y30</f>
        <v>0</v>
      </c>
    </row>
    <row r="31" spans="1:12" x14ac:dyDescent="0.35">
      <c r="A31" s="3" t="s">
        <v>42</v>
      </c>
      <c r="B31" s="2">
        <f t="shared" si="0"/>
        <v>30</v>
      </c>
      <c r="C31" s="2">
        <v>10</v>
      </c>
      <c r="D31" s="2">
        <v>2019</v>
      </c>
      <c r="E31" s="4">
        <f>Submetering!E31+Submetering!F31</f>
        <v>0</v>
      </c>
      <c r="F31" s="12">
        <v>0.14199999999999999</v>
      </c>
      <c r="G31" s="4">
        <f>Submetering!M31</f>
        <v>0</v>
      </c>
      <c r="H31" s="12">
        <v>0.21</v>
      </c>
      <c r="I31" s="4">
        <f>Submetering!N31</f>
        <v>0</v>
      </c>
      <c r="J31" s="13">
        <v>2.06</v>
      </c>
      <c r="K31" s="4">
        <f>'Hampshire Daily'!B34</f>
        <v>0</v>
      </c>
      <c r="L31" s="4">
        <f>Submetering!Y31</f>
        <v>0</v>
      </c>
    </row>
    <row r="32" spans="1:12" x14ac:dyDescent="0.35">
      <c r="A32" s="3" t="s">
        <v>42</v>
      </c>
      <c r="B32" s="2">
        <f t="shared" si="0"/>
        <v>31</v>
      </c>
      <c r="C32" s="2">
        <v>10</v>
      </c>
      <c r="D32" s="2">
        <v>2019</v>
      </c>
      <c r="E32" s="4">
        <f>Submetering!E32+Submetering!F32</f>
        <v>0</v>
      </c>
      <c r="F32" s="12">
        <v>0.14199999999999999</v>
      </c>
      <c r="G32" s="4">
        <f>Submetering!M32</f>
        <v>0</v>
      </c>
      <c r="H32" s="12">
        <v>0.21</v>
      </c>
      <c r="I32" s="4">
        <f>Submetering!N32</f>
        <v>0</v>
      </c>
      <c r="J32" s="13">
        <v>2.06</v>
      </c>
      <c r="K32" s="4">
        <f>'Hampshire Daily'!B35</f>
        <v>0</v>
      </c>
      <c r="L32" s="4">
        <f>Submetering!Y32</f>
        <v>0</v>
      </c>
    </row>
    <row r="33" spans="5:5" x14ac:dyDescent="0.35">
      <c r="E33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E32"/>
  <sheetViews>
    <sheetView zoomScaleNormal="100" workbookViewId="0">
      <pane xSplit="2" ySplit="1" topLeftCell="C16" activePane="bottomRight" state="frozen"/>
      <selection pane="topRight" activeCell="C1" sqref="C1"/>
      <selection pane="bottomLeft" activeCell="A2" sqref="A2"/>
      <selection pane="bottomRight" activeCell="G2" sqref="G2:G32"/>
    </sheetView>
  </sheetViews>
  <sheetFormatPr defaultColWidth="11.54296875" defaultRowHeight="14.5" x14ac:dyDescent="0.35"/>
  <cols>
    <col min="1" max="1" width="13.7265625" style="3" customWidth="1"/>
    <col min="2" max="2" width="11.54296875" style="1" customWidth="1"/>
    <col min="3" max="3" width="11.54296875" style="18"/>
    <col min="4" max="4" width="13.453125" style="1" customWidth="1"/>
    <col min="5" max="22" width="12.54296875" style="4" customWidth="1"/>
    <col min="23" max="24" width="11.54296875" style="1"/>
    <col min="25" max="25" width="11.54296875" style="4"/>
  </cols>
  <sheetData>
    <row r="1" spans="1:31" s="3" customFormat="1" ht="43.5" x14ac:dyDescent="0.35">
      <c r="A1" s="8" t="s">
        <v>0</v>
      </c>
      <c r="B1" s="8" t="s">
        <v>1</v>
      </c>
      <c r="C1" s="6" t="s">
        <v>2</v>
      </c>
      <c r="D1" s="8" t="s">
        <v>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  <c r="J1" s="9" t="s">
        <v>39</v>
      </c>
      <c r="K1" s="9" t="s">
        <v>40</v>
      </c>
      <c r="L1" s="9" t="s">
        <v>41</v>
      </c>
      <c r="M1" s="9" t="s">
        <v>44</v>
      </c>
      <c r="N1" s="9" t="s">
        <v>45</v>
      </c>
      <c r="O1" s="9" t="s">
        <v>46</v>
      </c>
      <c r="P1" s="9" t="s">
        <v>47</v>
      </c>
      <c r="Q1" s="9" t="s">
        <v>48</v>
      </c>
      <c r="R1" s="9" t="s">
        <v>49</v>
      </c>
      <c r="S1" s="9" t="s">
        <v>50</v>
      </c>
      <c r="T1" s="9" t="s">
        <v>51</v>
      </c>
      <c r="U1" s="9" t="s">
        <v>54</v>
      </c>
      <c r="V1" s="9" t="s">
        <v>52</v>
      </c>
      <c r="W1" s="10" t="s">
        <v>53</v>
      </c>
      <c r="X1" s="10" t="s">
        <v>8</v>
      </c>
      <c r="Y1" s="9" t="s">
        <v>9</v>
      </c>
    </row>
    <row r="2" spans="1:31" x14ac:dyDescent="0.35">
      <c r="A2" s="3" t="s">
        <v>42</v>
      </c>
      <c r="B2" s="1">
        <v>1</v>
      </c>
      <c r="C2" s="18">
        <v>10</v>
      </c>
      <c r="D2" s="1">
        <v>2019</v>
      </c>
      <c r="E2" s="4" t="str">
        <f>IF(('Hampshire Daily'!D5-'Hampshire Daily'!D4&lt;0), "0",('Hampshire Daily'!D5-'Hampshire Daily'!D4)*10)</f>
        <v>0</v>
      </c>
      <c r="F2" s="4" t="str">
        <f>IF(('Hampshire Daily'!F5-'Hampshire Daily'!F4&lt;0), "0",('Hampshire Daily'!F5-'Hampshire Daily'!F4)*10)</f>
        <v>0</v>
      </c>
      <c r="G2" s="4" t="str">
        <f>IF(('Hampshire Daily'!H5-'Hampshire Daily'!H4&lt;0), "0",'Hampshire Daily'!H5-'Hampshire Daily'!H4)</f>
        <v>0</v>
      </c>
      <c r="H2" s="4" t="str">
        <f>IF(('Hampshire Daily'!I5-'Hampshire Daily'!I4&lt;0), "0",'Hampshire Daily'!I5-'Hampshire Daily'!I4)</f>
        <v>0</v>
      </c>
      <c r="I2" s="4" t="str">
        <f>IF(('Hampshire Daily'!J5-'Hampshire Daily'!J4&lt;0), "0",'Hampshire Daily'!J5-'Hampshire Daily'!J4)</f>
        <v>0</v>
      </c>
      <c r="J2" s="4" t="str">
        <f>IF(('Hampshire Daily'!K5-'Hampshire Daily'!K4&lt;0), "0",'Hampshire Daily'!K5-'Hampshire Daily'!K4)</f>
        <v>0</v>
      </c>
      <c r="K2" s="4" t="str">
        <f>IF(('Hampshire Daily'!L5-'Hampshire Daily'!L4&lt;0), "0",'Hampshire Daily'!L5-'Hampshire Daily'!L4)</f>
        <v>0</v>
      </c>
      <c r="L2" s="4" t="str">
        <f>IF(('Hampshire Daily'!M5-'Hampshire Daily'!M4&lt;0), "0",'Hampshire Daily'!M5-'Hampshire Daily'!M4)</f>
        <v>0</v>
      </c>
      <c r="M2" s="4" t="str">
        <f>IF(('Hampshire Daily'!N5-'Hampshire Daily'!N4&lt;0), "0",'Hampshire Daily'!N5-'Hampshire Daily'!N4)</f>
        <v>0</v>
      </c>
      <c r="N2" s="4" t="str">
        <f>IF(('Hampshire Daily'!O5-'Hampshire Daily'!O4&lt;0), "0",'Hampshire Daily'!O5-'Hampshire Daily'!O4)</f>
        <v>0</v>
      </c>
      <c r="O2" s="4" t="str">
        <f>IF(('Hampshire Daily'!P5-'Hampshire Daily'!P4&lt;0), "0",'Hampshire Daily'!P5-'Hampshire Daily'!P4)</f>
        <v>0</v>
      </c>
      <c r="P2" s="4" t="str">
        <f>IF(('Hampshire Daily'!Q5-'Hampshire Daily'!Q4&lt;0), "0",'Hampshire Daily'!Q5-'Hampshire Daily'!Q4)</f>
        <v>0</v>
      </c>
      <c r="Q2" s="4" t="str">
        <f>IF(('Hampshire Daily'!R5-'Hampshire Daily'!R4&lt;0), "0",'Hampshire Daily'!R5-'Hampshire Daily'!R4)</f>
        <v>0</v>
      </c>
      <c r="R2" s="4" t="str">
        <f>IF(('Hampshire Daily'!U5-'Hampshire Daily'!U4&lt;0), "0",'Hampshire Daily'!U5-'Hampshire Daily'!U4)</f>
        <v>0</v>
      </c>
      <c r="S2" s="4" t="str">
        <f>IF(('Hampshire Daily'!V5-'Hampshire Daily'!V4&lt;0), "0",'Hampshire Daily'!V5-'Hampshire Daily'!V4)</f>
        <v>0</v>
      </c>
      <c r="T2" s="4">
        <f>IF(('Hampshire Daily'!W5-'Hampshire Daily'!W4&lt;0), "0",'Hampshire Daily'!W5-'Hampshire Daily'!W4)</f>
        <v>0</v>
      </c>
      <c r="U2" s="4" t="str">
        <f>IF(('Hampshire Daily'!X5-'Hampshire Daily'!X4&lt;0), "0",'Hampshire Daily'!X5-'Hampshire Daily'!X4)</f>
        <v>0</v>
      </c>
      <c r="V2" s="4" t="str">
        <f>IF(('Hampshire Daily'!Y5-'Hampshire Daily'!Y4&lt;0), "0",'Hampshire Daily'!Y5-'Hampshire Daily'!Y4)</f>
        <v>0</v>
      </c>
      <c r="W2" s="4" t="str">
        <f>IF(('Hampshire Daily'!Z5-'Hampshire Daily'!Z4&lt;0), "0",'Hampshire Daily'!Z5-'Hampshire Daily'!Z4)</f>
        <v>0</v>
      </c>
      <c r="X2" s="4">
        <f>'Hampshire Daily'!B5</f>
        <v>0</v>
      </c>
      <c r="Y2" s="4">
        <f>'Hampshire Daily'!C5</f>
        <v>0</v>
      </c>
    </row>
    <row r="3" spans="1:31" x14ac:dyDescent="0.35">
      <c r="A3" s="3" t="s">
        <v>42</v>
      </c>
      <c r="B3" s="1">
        <f>B2+1</f>
        <v>2</v>
      </c>
      <c r="C3" s="18">
        <v>10</v>
      </c>
      <c r="D3" s="1">
        <v>2019</v>
      </c>
      <c r="E3" s="4">
        <f>IF(('Hampshire Daily'!D6-'Hampshire Daily'!D5&lt;0), "0",('Hampshire Daily'!D6-'Hampshire Daily'!D5)*10)</f>
        <v>0</v>
      </c>
      <c r="F3" s="4">
        <f>IF(('Hampshire Daily'!F6-'Hampshire Daily'!F5&lt;0), "0",('Hampshire Daily'!F6-'Hampshire Daily'!F5)*10)</f>
        <v>0</v>
      </c>
      <c r="G3" s="4">
        <f>IF(('Hampshire Daily'!H6-'Hampshire Daily'!H5&lt;0), "0",'Hampshire Daily'!H6-'Hampshire Daily'!H5)</f>
        <v>0</v>
      </c>
      <c r="H3" s="4">
        <f>IF(('Hampshire Daily'!I6-'Hampshire Daily'!I5&lt;0), "0",'Hampshire Daily'!I6-'Hampshire Daily'!I5)</f>
        <v>0</v>
      </c>
      <c r="I3" s="4">
        <f>IF(('Hampshire Daily'!J6-'Hampshire Daily'!J5&lt;0), "0",'Hampshire Daily'!J6-'Hampshire Daily'!J5)</f>
        <v>0</v>
      </c>
      <c r="J3" s="4">
        <f>IF(('Hampshire Daily'!K6-'Hampshire Daily'!K5&lt;0), "0",'Hampshire Daily'!K6-'Hampshire Daily'!K5)</f>
        <v>0</v>
      </c>
      <c r="K3" s="19">
        <f>IF(('Hampshire Daily'!L6-'Hampshire Daily'!L5&lt;0), "0",'Hampshire Daily'!L6-'Hampshire Daily'!L5)</f>
        <v>0</v>
      </c>
      <c r="L3" s="19">
        <f>IF(('Hampshire Daily'!M6-'Hampshire Daily'!M5&lt;0), "0",'Hampshire Daily'!M6-'Hampshire Daily'!M5)</f>
        <v>0</v>
      </c>
      <c r="M3" s="19">
        <f>IF(('Hampshire Daily'!N6-'Hampshire Daily'!N5&lt;0), "0",'Hampshire Daily'!N6-'Hampshire Daily'!N5)</f>
        <v>0</v>
      </c>
      <c r="N3" s="4">
        <f>IF(('Hampshire Daily'!O6-'Hampshire Daily'!O5&lt;0), "0",'Hampshire Daily'!O6-'Hampshire Daily'!O5)</f>
        <v>0</v>
      </c>
      <c r="O3" s="4">
        <f>IF(('Hampshire Daily'!P6-'Hampshire Daily'!P5&lt;0), "0",'Hampshire Daily'!P6-'Hampshire Daily'!P5)</f>
        <v>0</v>
      </c>
      <c r="P3" s="4">
        <f>IF(('Hampshire Daily'!Q6-'Hampshire Daily'!Q5&lt;0), "0",'Hampshire Daily'!Q6-'Hampshire Daily'!Q5)</f>
        <v>0</v>
      </c>
      <c r="Q3" s="4">
        <f>IF(('Hampshire Daily'!R6-'Hampshire Daily'!R5&lt;0), "0",'Hampshire Daily'!R6-'Hampshire Daily'!R5)</f>
        <v>0</v>
      </c>
      <c r="R3" s="4">
        <f>IF(('Hampshire Daily'!U6-'Hampshire Daily'!U5&lt;0), "0",'Hampshire Daily'!U6-'Hampshire Daily'!U5)</f>
        <v>0</v>
      </c>
      <c r="S3" s="4">
        <f>IF(('Hampshire Daily'!V6-'Hampshire Daily'!V5&lt;0), "0",'Hampshire Daily'!V6-'Hampshire Daily'!V5)</f>
        <v>0</v>
      </c>
      <c r="T3" s="4">
        <f>IF(('Hampshire Daily'!W6-'Hampshire Daily'!W5&lt;0), "0",'Hampshire Daily'!W6-'Hampshire Daily'!W5)</f>
        <v>0</v>
      </c>
      <c r="U3" s="4">
        <f>IF(('Hampshire Daily'!X6-'Hampshire Daily'!X5&lt;0), "0",'Hampshire Daily'!X6-'Hampshire Daily'!X5)</f>
        <v>0</v>
      </c>
      <c r="V3" s="4">
        <f>IF(('Hampshire Daily'!Y6-'Hampshire Daily'!Y5&lt;0), "0",'Hampshire Daily'!Y6-'Hampshire Daily'!Y5)</f>
        <v>0</v>
      </c>
      <c r="W3" s="4">
        <f>IF(('Hampshire Daily'!Z6-'Hampshire Daily'!Z5&lt;0), "0",'Hampshire Daily'!Z6-'Hampshire Daily'!Z5)</f>
        <v>0</v>
      </c>
      <c r="X3" s="4">
        <f>'Hampshire Daily'!B6</f>
        <v>0</v>
      </c>
      <c r="Y3" s="4">
        <f>'Hampshire Daily'!C6</f>
        <v>0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</row>
    <row r="4" spans="1:31" x14ac:dyDescent="0.35">
      <c r="A4" s="3" t="s">
        <v>42</v>
      </c>
      <c r="B4" s="1">
        <f t="shared" ref="B4:B32" si="0">B3+1</f>
        <v>3</v>
      </c>
      <c r="C4" s="18">
        <v>10</v>
      </c>
      <c r="D4" s="1">
        <v>2019</v>
      </c>
      <c r="E4" s="4">
        <f>IF(('Hampshire Daily'!D7-'Hampshire Daily'!D6&lt;0), "0",('Hampshire Daily'!D7-'Hampshire Daily'!D6)*10)</f>
        <v>0</v>
      </c>
      <c r="F4" s="4">
        <f>IF(('Hampshire Daily'!F7-'Hampshire Daily'!F6&lt;0), "0",('Hampshire Daily'!F7-'Hampshire Daily'!F6)*10)</f>
        <v>0</v>
      </c>
      <c r="G4" s="4">
        <f>IF(('Hampshire Daily'!H7-'Hampshire Daily'!H6&lt;0), "0",'Hampshire Daily'!H7-'Hampshire Daily'!H6)</f>
        <v>0</v>
      </c>
      <c r="H4" s="4">
        <f>IF(('Hampshire Daily'!I7-'Hampshire Daily'!I6&lt;0), "0",'Hampshire Daily'!I7-'Hampshire Daily'!I6)</f>
        <v>0</v>
      </c>
      <c r="I4" s="4">
        <f>IF(('Hampshire Daily'!J7-'Hampshire Daily'!J6&lt;0), "0",'Hampshire Daily'!J7-'Hampshire Daily'!J6)</f>
        <v>0</v>
      </c>
      <c r="J4" s="4">
        <f>IF(('Hampshire Daily'!K7-'Hampshire Daily'!K6&lt;0), "0",'Hampshire Daily'!K7-'Hampshire Daily'!K6)</f>
        <v>0</v>
      </c>
      <c r="K4" s="19">
        <f>IF(('Hampshire Daily'!L7-'Hampshire Daily'!L6&lt;0), "0",'Hampshire Daily'!L7-'Hampshire Daily'!L6)</f>
        <v>0</v>
      </c>
      <c r="L4" s="4">
        <f>IF(('Hampshire Daily'!M7-'Hampshire Daily'!M6&lt;0), "0",'Hampshire Daily'!M7-'Hampshire Daily'!M6)</f>
        <v>0</v>
      </c>
      <c r="M4" s="4">
        <f>IF(('Hampshire Daily'!N7-'Hampshire Daily'!N6&lt;0), "0",'Hampshire Daily'!N7-'Hampshire Daily'!N6)</f>
        <v>0</v>
      </c>
      <c r="N4" s="4">
        <f>IF(('Hampshire Daily'!O7-'Hampshire Daily'!O6&lt;0), "0",'Hampshire Daily'!O7-'Hampshire Daily'!O6)</f>
        <v>0</v>
      </c>
      <c r="O4" s="4">
        <f>IF(('Hampshire Daily'!P7-'Hampshire Daily'!P6&lt;0), "0",'Hampshire Daily'!P7-'Hampshire Daily'!P6)</f>
        <v>0</v>
      </c>
      <c r="P4" s="4">
        <f>IF(('Hampshire Daily'!Q7-'Hampshire Daily'!Q6&lt;0), "0",'Hampshire Daily'!Q7-'Hampshire Daily'!Q6)</f>
        <v>0</v>
      </c>
      <c r="Q4" s="4">
        <f>IF(('Hampshire Daily'!R7-'Hampshire Daily'!R6&lt;0), "0",'Hampshire Daily'!R7-'Hampshire Daily'!R6)</f>
        <v>0</v>
      </c>
      <c r="R4" s="4">
        <f>IF(('Hampshire Daily'!U7-'Hampshire Daily'!U6&lt;0), "0",'Hampshire Daily'!U7-'Hampshire Daily'!U6)</f>
        <v>0</v>
      </c>
      <c r="S4" s="4">
        <f>IF(('Hampshire Daily'!V7-'Hampshire Daily'!V6&lt;0), "0",'Hampshire Daily'!V7-'Hampshire Daily'!V6)</f>
        <v>0</v>
      </c>
      <c r="T4" s="4">
        <f>IF(('Hampshire Daily'!W7-'Hampshire Daily'!W6&lt;0), "0",'Hampshire Daily'!W7-'Hampshire Daily'!W6)</f>
        <v>0</v>
      </c>
      <c r="U4" s="4">
        <f>IF(('Hampshire Daily'!X7-'Hampshire Daily'!X6&lt;0), "0",'Hampshire Daily'!X7-'Hampshire Daily'!X6)</f>
        <v>0</v>
      </c>
      <c r="V4" s="4">
        <f>IF(('Hampshire Daily'!Y7-'Hampshire Daily'!Y6&lt;0), "0",'Hampshire Daily'!Y7-'Hampshire Daily'!Y6)</f>
        <v>0</v>
      </c>
      <c r="W4" s="4">
        <f>IF(('Hampshire Daily'!Z7-'Hampshire Daily'!Z6&lt;0), "0",'Hampshire Daily'!Z7-'Hampshire Daily'!Z6)</f>
        <v>0</v>
      </c>
      <c r="X4" s="4">
        <f>'Hampshire Daily'!B7</f>
        <v>0</v>
      </c>
      <c r="Y4" s="4">
        <f>'Hampshire Daily'!C7</f>
        <v>0</v>
      </c>
      <c r="AB4" t="s">
        <v>43</v>
      </c>
    </row>
    <row r="5" spans="1:31" x14ac:dyDescent="0.35">
      <c r="A5" s="3" t="s">
        <v>42</v>
      </c>
      <c r="B5" s="1">
        <f t="shared" si="0"/>
        <v>4</v>
      </c>
      <c r="C5" s="18">
        <v>10</v>
      </c>
      <c r="D5" s="1">
        <v>2019</v>
      </c>
      <c r="E5" s="4">
        <f>IF(('Hampshire Daily'!D8-'Hampshire Daily'!D7&lt;0), "0",('Hampshire Daily'!D8-'Hampshire Daily'!D7)*10)</f>
        <v>0</v>
      </c>
      <c r="F5" s="4">
        <f>IF(('Hampshire Daily'!F8-'Hampshire Daily'!F7&lt;0), "0",('Hampshire Daily'!F8-'Hampshire Daily'!F7)*10)</f>
        <v>0</v>
      </c>
      <c r="G5" s="4">
        <f>IF(('Hampshire Daily'!H8-'Hampshire Daily'!H7&lt;0), "0",'Hampshire Daily'!H8-'Hampshire Daily'!H7)</f>
        <v>0</v>
      </c>
      <c r="H5" s="4">
        <f>IF(('Hampshire Daily'!I8-'Hampshire Daily'!I7&lt;0), "0",'Hampshire Daily'!I8-'Hampshire Daily'!I7)</f>
        <v>0</v>
      </c>
      <c r="I5" s="4">
        <f>IF(('Hampshire Daily'!J8-'Hampshire Daily'!J7&lt;0), "0",'Hampshire Daily'!J8-'Hampshire Daily'!J7)</f>
        <v>0</v>
      </c>
      <c r="J5" s="4">
        <f>IF(('Hampshire Daily'!K8-'Hampshire Daily'!K7&lt;0), "0",'Hampshire Daily'!K8-'Hampshire Daily'!K7)</f>
        <v>0</v>
      </c>
      <c r="K5" s="19">
        <f>IF(('Hampshire Daily'!L8-'Hampshire Daily'!L7&lt;0), "0",'Hampshire Daily'!L8-'Hampshire Daily'!L7)</f>
        <v>0</v>
      </c>
      <c r="L5" s="4">
        <f>IF(('Hampshire Daily'!M8-'Hampshire Daily'!M7&lt;0), "0",'Hampshire Daily'!M8-'Hampshire Daily'!M7)</f>
        <v>0</v>
      </c>
      <c r="M5" s="4">
        <f>IF(('Hampshire Daily'!N8-'Hampshire Daily'!N7&lt;0), "0",'Hampshire Daily'!N8-'Hampshire Daily'!N7)</f>
        <v>0</v>
      </c>
      <c r="N5" s="4">
        <f>IF(('Hampshire Daily'!O8-'Hampshire Daily'!O7&lt;0), "0",'Hampshire Daily'!O8-'Hampshire Daily'!O7)</f>
        <v>0</v>
      </c>
      <c r="O5" s="4">
        <f>IF(('Hampshire Daily'!P8-'Hampshire Daily'!P7&lt;0), "0",'Hampshire Daily'!P8-'Hampshire Daily'!P7)</f>
        <v>0</v>
      </c>
      <c r="P5" s="4">
        <f>IF(('Hampshire Daily'!Q8-'Hampshire Daily'!Q7&lt;0), "0",'Hampshire Daily'!Q8-'Hampshire Daily'!Q7)</f>
        <v>0</v>
      </c>
      <c r="Q5" s="4">
        <f>IF(('Hampshire Daily'!R8-'Hampshire Daily'!R7&lt;0), "0",'Hampshire Daily'!R8-'Hampshire Daily'!R7)</f>
        <v>0</v>
      </c>
      <c r="R5" s="4">
        <f>IF(('Hampshire Daily'!U8-'Hampshire Daily'!U7&lt;0), "0",'Hampshire Daily'!U8-'Hampshire Daily'!U7)</f>
        <v>0</v>
      </c>
      <c r="S5" s="4">
        <f>IF(('Hampshire Daily'!V8-'Hampshire Daily'!V7&lt;0), "0",'Hampshire Daily'!V8-'Hampshire Daily'!V7)</f>
        <v>0</v>
      </c>
      <c r="T5" s="4">
        <f>IF(('Hampshire Daily'!W8-'Hampshire Daily'!W7&lt;0), "0",'Hampshire Daily'!W8-'Hampshire Daily'!W7)</f>
        <v>0</v>
      </c>
      <c r="U5" s="4">
        <f>IF(('Hampshire Daily'!X8-'Hampshire Daily'!X7&lt;0), "0",'Hampshire Daily'!X8-'Hampshire Daily'!X7)</f>
        <v>0</v>
      </c>
      <c r="V5" s="4">
        <f>IF(('Hampshire Daily'!Y8-'Hampshire Daily'!Y7&lt;0), "0",'Hampshire Daily'!Y8-'Hampshire Daily'!Y7)</f>
        <v>0</v>
      </c>
      <c r="W5" s="4">
        <f>IF(('Hampshire Daily'!Z8-'Hampshire Daily'!Z7&lt;0), "0",'Hampshire Daily'!Z8-'Hampshire Daily'!Z7)</f>
        <v>0</v>
      </c>
      <c r="X5" s="4">
        <f>'Hampshire Daily'!B8</f>
        <v>0</v>
      </c>
      <c r="Y5" s="4">
        <f>'Hampshire Daily'!C8</f>
        <v>0</v>
      </c>
    </row>
    <row r="6" spans="1:31" x14ac:dyDescent="0.35">
      <c r="A6" s="3" t="s">
        <v>42</v>
      </c>
      <c r="B6" s="1">
        <f t="shared" si="0"/>
        <v>5</v>
      </c>
      <c r="C6" s="18">
        <v>10</v>
      </c>
      <c r="D6" s="1">
        <v>2019</v>
      </c>
      <c r="E6" s="4">
        <f>IF(('Hampshire Daily'!D9-'Hampshire Daily'!D8&lt;0), "0",('Hampshire Daily'!D9-'Hampshire Daily'!D8)*10)</f>
        <v>0</v>
      </c>
      <c r="F6" s="4">
        <f>IF(('Hampshire Daily'!F9-'Hampshire Daily'!F8&lt;0), "0",('Hampshire Daily'!F9-'Hampshire Daily'!F8)*10)</f>
        <v>0</v>
      </c>
      <c r="G6" s="4">
        <f>IF(('Hampshire Daily'!H9-'Hampshire Daily'!H8&lt;0), "0",'Hampshire Daily'!H9-'Hampshire Daily'!H8)</f>
        <v>0</v>
      </c>
      <c r="H6" s="4">
        <f>IF(('Hampshire Daily'!I9-'Hampshire Daily'!I8&lt;0), "0",'Hampshire Daily'!I9-'Hampshire Daily'!I8)</f>
        <v>0</v>
      </c>
      <c r="I6" s="4">
        <f>IF(('Hampshire Daily'!J9-'Hampshire Daily'!J8&lt;0), "0",'Hampshire Daily'!J9-'Hampshire Daily'!J8)</f>
        <v>0</v>
      </c>
      <c r="J6" s="4">
        <f>IF(('Hampshire Daily'!K9-'Hampshire Daily'!K8&lt;0), "0",'Hampshire Daily'!K9-'Hampshire Daily'!K8)</f>
        <v>0</v>
      </c>
      <c r="K6" s="4">
        <f>IF(('Hampshire Daily'!L9-'Hampshire Daily'!L8&lt;0), "0",'Hampshire Daily'!L9-'Hampshire Daily'!L8)</f>
        <v>0</v>
      </c>
      <c r="L6" s="4">
        <f>IF(('Hampshire Daily'!M9-'Hampshire Daily'!M8&lt;0), "0",'Hampshire Daily'!M9-'Hampshire Daily'!M8)</f>
        <v>0</v>
      </c>
      <c r="M6" s="4">
        <f>IF(('Hampshire Daily'!N9-'Hampshire Daily'!N8&lt;0), "0",'Hampshire Daily'!N9-'Hampshire Daily'!N8)</f>
        <v>0</v>
      </c>
      <c r="N6" s="4">
        <f>IF(('Hampshire Daily'!O9-'Hampshire Daily'!O8&lt;0), "0",'Hampshire Daily'!O9-'Hampshire Daily'!O8)</f>
        <v>0</v>
      </c>
      <c r="O6" s="4">
        <f>IF(('Hampshire Daily'!P9-'Hampshire Daily'!P8&lt;0), "0",'Hampshire Daily'!P9-'Hampshire Daily'!P8)</f>
        <v>0</v>
      </c>
      <c r="P6" s="4">
        <f>IF(('Hampshire Daily'!Q9-'Hampshire Daily'!Q8&lt;0), "0",'Hampshire Daily'!Q9-'Hampshire Daily'!Q8)</f>
        <v>0</v>
      </c>
      <c r="Q6" s="4">
        <f>IF(('Hampshire Daily'!R9-'Hampshire Daily'!R8&lt;0), "0",'Hampshire Daily'!R9-'Hampshire Daily'!R8)</f>
        <v>0</v>
      </c>
      <c r="R6" s="4">
        <f>IF(('Hampshire Daily'!U9-'Hampshire Daily'!U8&lt;0), "0",'Hampshire Daily'!U9-'Hampshire Daily'!U8)</f>
        <v>0</v>
      </c>
      <c r="S6" s="4">
        <f>IF(('Hampshire Daily'!V9-'Hampshire Daily'!V8&lt;0), "0",'Hampshire Daily'!V9-'Hampshire Daily'!V8)</f>
        <v>0</v>
      </c>
      <c r="T6" s="4">
        <f>IF(('Hampshire Daily'!W9-'Hampshire Daily'!W8&lt;0), "0",'Hampshire Daily'!W9-'Hampshire Daily'!W8)</f>
        <v>0</v>
      </c>
      <c r="U6" s="4">
        <f>IF(('Hampshire Daily'!X9-'Hampshire Daily'!X8&lt;0), "0",'Hampshire Daily'!X9-'Hampshire Daily'!X8)</f>
        <v>0</v>
      </c>
      <c r="V6" s="4">
        <f>IF(('Hampshire Daily'!Y9-'Hampshire Daily'!Y8&lt;0), "0",'Hampshire Daily'!Y9-'Hampshire Daily'!Y8)</f>
        <v>0</v>
      </c>
      <c r="W6" s="4">
        <f>IF(('Hampshire Daily'!Z9-'Hampshire Daily'!Z8&lt;0), "0",'Hampshire Daily'!Z9-'Hampshire Daily'!Z8)</f>
        <v>0</v>
      </c>
      <c r="X6" s="4">
        <f>'Hampshire Daily'!B9</f>
        <v>0</v>
      </c>
      <c r="Y6" s="4">
        <f>'Hampshire Daily'!C9</f>
        <v>0</v>
      </c>
    </row>
    <row r="7" spans="1:31" x14ac:dyDescent="0.35">
      <c r="A7" s="3" t="s">
        <v>42</v>
      </c>
      <c r="B7" s="1">
        <f t="shared" si="0"/>
        <v>6</v>
      </c>
      <c r="C7" s="18">
        <v>10</v>
      </c>
      <c r="D7" s="1">
        <v>2019</v>
      </c>
      <c r="E7" s="4">
        <f>IF(('Hampshire Daily'!D10-'Hampshire Daily'!D9&lt;0), "0",('Hampshire Daily'!D10-'Hampshire Daily'!D9)*10)</f>
        <v>0</v>
      </c>
      <c r="F7" s="4">
        <f>IF(('Hampshire Daily'!F10-'Hampshire Daily'!F9&lt;0), "0",('Hampshire Daily'!F10-'Hampshire Daily'!F9)*10)</f>
        <v>0</v>
      </c>
      <c r="G7" s="4">
        <f>IF(('Hampshire Daily'!H10-'Hampshire Daily'!H9&lt;0), "0",'Hampshire Daily'!H10-'Hampshire Daily'!H9)</f>
        <v>0</v>
      </c>
      <c r="H7" s="4">
        <f>IF(('Hampshire Daily'!I10-'Hampshire Daily'!I9&lt;0), "0",'Hampshire Daily'!I10-'Hampshire Daily'!I9)</f>
        <v>0</v>
      </c>
      <c r="I7" s="4">
        <f>IF(('Hampshire Daily'!J10-'Hampshire Daily'!J9&lt;0), "0",'Hampshire Daily'!J10-'Hampshire Daily'!J9)</f>
        <v>0</v>
      </c>
      <c r="J7" s="4">
        <f>IF(('Hampshire Daily'!K10-'Hampshire Daily'!K9&lt;0), "0",'Hampshire Daily'!K10-'Hampshire Daily'!K9)</f>
        <v>0</v>
      </c>
      <c r="K7" s="4">
        <f>IF(('Hampshire Daily'!L10-'Hampshire Daily'!L9&lt;0), "0",'Hampshire Daily'!L10-'Hampshire Daily'!L9)</f>
        <v>0</v>
      </c>
      <c r="L7" s="4">
        <f>IF(('Hampshire Daily'!M10-'Hampshire Daily'!M9&lt;0), "0",'Hampshire Daily'!M10-'Hampshire Daily'!M9)</f>
        <v>0</v>
      </c>
      <c r="M7" s="4">
        <f>IF(('Hampshire Daily'!N10-'Hampshire Daily'!N9&lt;0), "0",'Hampshire Daily'!N10-'Hampshire Daily'!N9)</f>
        <v>0</v>
      </c>
      <c r="N7" s="4">
        <f>IF(('Hampshire Daily'!O10-'Hampshire Daily'!O9&lt;0), "0",'Hampshire Daily'!O10-'Hampshire Daily'!O9)</f>
        <v>0</v>
      </c>
      <c r="O7" s="4">
        <f>IF(('Hampshire Daily'!P10-'Hampshire Daily'!P9&lt;0), "0",'Hampshire Daily'!P10-'Hampshire Daily'!P9)</f>
        <v>0</v>
      </c>
      <c r="P7" s="4">
        <f>IF(('Hampshire Daily'!Q10-'Hampshire Daily'!Q9&lt;0), "0",'Hampshire Daily'!Q10-'Hampshire Daily'!Q9)</f>
        <v>0</v>
      </c>
      <c r="Q7" s="4">
        <f>IF(('Hampshire Daily'!R10-'Hampshire Daily'!R9&lt;0), "0",'Hampshire Daily'!R10-'Hampshire Daily'!R9)</f>
        <v>0</v>
      </c>
      <c r="R7" s="4">
        <f>IF(('Hampshire Daily'!U10-'Hampshire Daily'!U9&lt;0), "0",'Hampshire Daily'!U10-'Hampshire Daily'!U9)</f>
        <v>0</v>
      </c>
      <c r="S7" s="4">
        <f>IF(('Hampshire Daily'!V10-'Hampshire Daily'!V9&lt;0), "0",'Hampshire Daily'!V10-'Hampshire Daily'!V9)</f>
        <v>0</v>
      </c>
      <c r="T7" s="4">
        <f>IF(('Hampshire Daily'!W10-'Hampshire Daily'!W9&lt;0), "0",'Hampshire Daily'!W10-'Hampshire Daily'!W9)</f>
        <v>0</v>
      </c>
      <c r="U7" s="4">
        <f>IF(('Hampshire Daily'!X10-'Hampshire Daily'!X9&lt;0), "0",'Hampshire Daily'!X10-'Hampshire Daily'!X9)</f>
        <v>0</v>
      </c>
      <c r="V7" s="4">
        <f>IF(('Hampshire Daily'!Y10-'Hampshire Daily'!Y9&lt;0), "0",'Hampshire Daily'!Y10-'Hampshire Daily'!Y9)</f>
        <v>0</v>
      </c>
      <c r="W7" s="4">
        <f>IF(('Hampshire Daily'!Z10-'Hampshire Daily'!Z9&lt;0), "0",'Hampshire Daily'!Z10-'Hampshire Daily'!Z9)</f>
        <v>0</v>
      </c>
      <c r="X7" s="4">
        <f>'Hampshire Daily'!B10</f>
        <v>0</v>
      </c>
      <c r="Y7" s="4">
        <f>'Hampshire Daily'!C10</f>
        <v>0</v>
      </c>
    </row>
    <row r="8" spans="1:31" x14ac:dyDescent="0.35">
      <c r="A8" s="3" t="s">
        <v>42</v>
      </c>
      <c r="B8" s="1">
        <f t="shared" si="0"/>
        <v>7</v>
      </c>
      <c r="C8" s="18">
        <v>10</v>
      </c>
      <c r="D8" s="1">
        <v>2019</v>
      </c>
      <c r="E8" s="4">
        <f>IF(('Hampshire Daily'!D11-'Hampshire Daily'!D10&lt;0), "0",('Hampshire Daily'!D11-'Hampshire Daily'!D10)*10)</f>
        <v>0</v>
      </c>
      <c r="F8" s="4">
        <f>IF(('Hampshire Daily'!F11-'Hampshire Daily'!F10&lt;0), "0",('Hampshire Daily'!F11-'Hampshire Daily'!F10)*10)</f>
        <v>0</v>
      </c>
      <c r="G8" s="4">
        <f>IF(('Hampshire Daily'!H11-'Hampshire Daily'!H10&lt;0), "0",'Hampshire Daily'!H11-'Hampshire Daily'!H10)</f>
        <v>0</v>
      </c>
      <c r="H8" s="4">
        <f>IF(('Hampshire Daily'!I11-'Hampshire Daily'!I10&lt;0), "0",'Hampshire Daily'!I11-'Hampshire Daily'!I10)</f>
        <v>0</v>
      </c>
      <c r="I8" s="4">
        <f>IF(('Hampshire Daily'!J11-'Hampshire Daily'!J10&lt;0), "0",'Hampshire Daily'!J11-'Hampshire Daily'!J10)</f>
        <v>0</v>
      </c>
      <c r="J8" s="4">
        <f>IF(('Hampshire Daily'!K11-'Hampshire Daily'!K10&lt;0), "0",'Hampshire Daily'!K11-'Hampshire Daily'!K10)</f>
        <v>0</v>
      </c>
      <c r="K8" s="4">
        <f>IF(('Hampshire Daily'!L11-'Hampshire Daily'!L10&lt;0), "0",'Hampshire Daily'!L11-'Hampshire Daily'!L10)</f>
        <v>0</v>
      </c>
      <c r="L8" s="4">
        <f>IF(('Hampshire Daily'!M11-'Hampshire Daily'!M10&lt;0), "0",'Hampshire Daily'!M11-'Hampshire Daily'!M10)</f>
        <v>0</v>
      </c>
      <c r="M8" s="19">
        <f>IF(('Hampshire Daily'!N11-'Hampshire Daily'!N10&lt;0), "0",'Hampshire Daily'!N11-'Hampshire Daily'!N10)</f>
        <v>0</v>
      </c>
      <c r="N8" s="4">
        <f>IF(('Hampshire Daily'!O11-'Hampshire Daily'!O10&lt;0), "0",'Hampshire Daily'!O11-'Hampshire Daily'!O10)</f>
        <v>0</v>
      </c>
      <c r="O8" s="4">
        <f>IF(('Hampshire Daily'!P11-'Hampshire Daily'!P10&lt;0), "0",'Hampshire Daily'!P11-'Hampshire Daily'!P10)</f>
        <v>0</v>
      </c>
      <c r="P8" s="4">
        <f>IF(('Hampshire Daily'!Q11-'Hampshire Daily'!Q10&lt;0), "0",'Hampshire Daily'!Q11-'Hampshire Daily'!Q10)</f>
        <v>0</v>
      </c>
      <c r="Q8" s="4">
        <f>IF(('Hampshire Daily'!R11-'Hampshire Daily'!R10&lt;0), "0",'Hampshire Daily'!R11-'Hampshire Daily'!R10)</f>
        <v>0</v>
      </c>
      <c r="R8" s="4">
        <f>IF(('Hampshire Daily'!U11-'Hampshire Daily'!U10&lt;0), "0",'Hampshire Daily'!U11-'Hampshire Daily'!U10)</f>
        <v>0</v>
      </c>
      <c r="S8" s="4">
        <f>IF(('Hampshire Daily'!V11-'Hampshire Daily'!V10&lt;0), "0",'Hampshire Daily'!V11-'Hampshire Daily'!V10)</f>
        <v>0</v>
      </c>
      <c r="T8" s="4">
        <f>IF(('Hampshire Daily'!W11-'Hampshire Daily'!W10&lt;0), "0",'Hampshire Daily'!W11-'Hampshire Daily'!W10)</f>
        <v>0</v>
      </c>
      <c r="U8" s="4">
        <f>IF(('Hampshire Daily'!X11-'Hampshire Daily'!X10&lt;0), "0",'Hampshire Daily'!X11-'Hampshire Daily'!X10)</f>
        <v>0</v>
      </c>
      <c r="V8" s="4">
        <f>IF(('Hampshire Daily'!Y11-'Hampshire Daily'!Y10&lt;0), "0",'Hampshire Daily'!Y11-'Hampshire Daily'!Y10)</f>
        <v>0</v>
      </c>
      <c r="W8" s="4">
        <f>IF(('Hampshire Daily'!Z11-'Hampshire Daily'!Z10&lt;0), "0",'Hampshire Daily'!Z11-'Hampshire Daily'!Z10)</f>
        <v>0</v>
      </c>
      <c r="X8" s="4">
        <f>'Hampshire Daily'!B11</f>
        <v>0</v>
      </c>
      <c r="Y8" s="4">
        <f>'Hampshire Daily'!C11</f>
        <v>0</v>
      </c>
    </row>
    <row r="9" spans="1:31" x14ac:dyDescent="0.35">
      <c r="A9" s="3" t="s">
        <v>42</v>
      </c>
      <c r="B9" s="1">
        <f t="shared" si="0"/>
        <v>8</v>
      </c>
      <c r="C9" s="18">
        <v>10</v>
      </c>
      <c r="D9" s="1">
        <v>2019</v>
      </c>
      <c r="E9" s="4">
        <f>IF(('Hampshire Daily'!D12-'Hampshire Daily'!D11&lt;0), "0",('Hampshire Daily'!D12-'Hampshire Daily'!D11)*10)</f>
        <v>0</v>
      </c>
      <c r="F9" s="4">
        <f>IF(('Hampshire Daily'!F12-'Hampshire Daily'!F11&lt;0), "0",('Hampshire Daily'!F12-'Hampshire Daily'!F11)*10)</f>
        <v>0</v>
      </c>
      <c r="G9" s="4">
        <f>IF(('Hampshire Daily'!H12-'Hampshire Daily'!H11&lt;0), "0",'Hampshire Daily'!H12-'Hampshire Daily'!H11)</f>
        <v>0</v>
      </c>
      <c r="H9" s="4">
        <f>IF(('Hampshire Daily'!I12-'Hampshire Daily'!I11&lt;0), "0",'Hampshire Daily'!I12-'Hampshire Daily'!I11)</f>
        <v>0</v>
      </c>
      <c r="I9" s="4">
        <f>IF(('Hampshire Daily'!J12-'Hampshire Daily'!J11&lt;0), "0",'Hampshire Daily'!J12-'Hampshire Daily'!J11)</f>
        <v>0</v>
      </c>
      <c r="J9" s="4">
        <f>IF(('Hampshire Daily'!K12-'Hampshire Daily'!K11&lt;0), "0",'Hampshire Daily'!K12-'Hampshire Daily'!K11)</f>
        <v>0</v>
      </c>
      <c r="K9" s="19">
        <f>IF(('Hampshire Daily'!L12-'Hampshire Daily'!L11&lt;0), "0",'Hampshire Daily'!L12-'Hampshire Daily'!L11)</f>
        <v>0</v>
      </c>
      <c r="L9" s="4">
        <f>IF(('Hampshire Daily'!M12-'Hampshire Daily'!M11&lt;0), "0",'Hampshire Daily'!M12-'Hampshire Daily'!M11)</f>
        <v>0</v>
      </c>
      <c r="M9" s="4">
        <f>IF(('Hampshire Daily'!N12-'Hampshire Daily'!N11&lt;0), "0",'Hampshire Daily'!N12-'Hampshire Daily'!N11)</f>
        <v>0</v>
      </c>
      <c r="N9" s="4">
        <f>IF(('Hampshire Daily'!O12-'Hampshire Daily'!O11&lt;0), "0",'Hampshire Daily'!O12-'Hampshire Daily'!O11)</f>
        <v>0</v>
      </c>
      <c r="O9" s="4">
        <f>IF(('Hampshire Daily'!P12-'Hampshire Daily'!P11&lt;0), "0",'Hampshire Daily'!P12-'Hampshire Daily'!P11)</f>
        <v>0</v>
      </c>
      <c r="P9" s="4">
        <f>IF(('Hampshire Daily'!Q12-'Hampshire Daily'!Q11&lt;0), "0",'Hampshire Daily'!Q12-'Hampshire Daily'!Q11)</f>
        <v>0</v>
      </c>
      <c r="Q9" s="4">
        <f>IF(('Hampshire Daily'!R12-'Hampshire Daily'!R11&lt;0), "0",'Hampshire Daily'!R12-'Hampshire Daily'!R11)</f>
        <v>0</v>
      </c>
      <c r="R9" s="4">
        <f>IF(('Hampshire Daily'!U12-'Hampshire Daily'!U11&lt;0), "0",'Hampshire Daily'!U12-'Hampshire Daily'!U11)</f>
        <v>0</v>
      </c>
      <c r="S9" s="4">
        <f>IF(('Hampshire Daily'!V12-'Hampshire Daily'!V11&lt;0), "0",'Hampshire Daily'!V12-'Hampshire Daily'!V11)</f>
        <v>0</v>
      </c>
      <c r="T9" s="4">
        <f>IF(('Hampshire Daily'!W12-'Hampshire Daily'!W11&lt;0), "0",'Hampshire Daily'!W12-'Hampshire Daily'!W11)</f>
        <v>0</v>
      </c>
      <c r="U9" s="4">
        <f>IF(('Hampshire Daily'!X12-'Hampshire Daily'!X11&lt;0), "0",'Hampshire Daily'!X12-'Hampshire Daily'!X11)</f>
        <v>0</v>
      </c>
      <c r="V9" s="4">
        <f>IF(('Hampshire Daily'!Y12-'Hampshire Daily'!Y11&lt;0), "0",'Hampshire Daily'!Y12-'Hampshire Daily'!Y11)</f>
        <v>0</v>
      </c>
      <c r="W9" s="4">
        <f>IF(('Hampshire Daily'!Z12-'Hampshire Daily'!Z11&lt;0), "0",'Hampshire Daily'!Z12-'Hampshire Daily'!Z11)</f>
        <v>0</v>
      </c>
      <c r="X9" s="4">
        <f>'Hampshire Daily'!B12</f>
        <v>0</v>
      </c>
      <c r="Y9" s="4">
        <f>'Hampshire Daily'!C12</f>
        <v>0</v>
      </c>
    </row>
    <row r="10" spans="1:31" x14ac:dyDescent="0.35">
      <c r="A10" s="3" t="s">
        <v>42</v>
      </c>
      <c r="B10" s="1">
        <f t="shared" si="0"/>
        <v>9</v>
      </c>
      <c r="C10" s="18">
        <v>10</v>
      </c>
      <c r="D10" s="1">
        <v>2019</v>
      </c>
      <c r="E10" s="4">
        <f>IF(('Hampshire Daily'!D13-'Hampshire Daily'!D12&lt;0), "0",('Hampshire Daily'!D13-'Hampshire Daily'!D12)*10)</f>
        <v>0</v>
      </c>
      <c r="F10" s="4">
        <f>IF(('Hampshire Daily'!F13-'Hampshire Daily'!F12&lt;0), "0",('Hampshire Daily'!F13-'Hampshire Daily'!F12)*10)</f>
        <v>0</v>
      </c>
      <c r="G10" s="4">
        <f>IF(('Hampshire Daily'!H13-'Hampshire Daily'!H12&lt;0), "0",'Hampshire Daily'!H13-'Hampshire Daily'!H12)</f>
        <v>0</v>
      </c>
      <c r="H10" s="4">
        <f>IF(('Hampshire Daily'!I13-'Hampshire Daily'!I12&lt;0), "0",'Hampshire Daily'!I13-'Hampshire Daily'!I12)</f>
        <v>0</v>
      </c>
      <c r="I10" s="4">
        <f>IF(('Hampshire Daily'!J13-'Hampshire Daily'!J12&lt;0), "0",'Hampshire Daily'!J13-'Hampshire Daily'!J12)</f>
        <v>0</v>
      </c>
      <c r="J10" s="4">
        <f>IF(('Hampshire Daily'!K13-'Hampshire Daily'!K12&lt;0), "0",'Hampshire Daily'!K13-'Hampshire Daily'!K12)</f>
        <v>0</v>
      </c>
      <c r="K10" s="4">
        <f>IF(('Hampshire Daily'!L13-'Hampshire Daily'!L12&lt;0), "0",'Hampshire Daily'!L13-'Hampshire Daily'!L12)</f>
        <v>0</v>
      </c>
      <c r="L10" s="4">
        <f>IF(('Hampshire Daily'!M13-'Hampshire Daily'!M12&lt;0), "0",'Hampshire Daily'!M13-'Hampshire Daily'!M12)</f>
        <v>0</v>
      </c>
      <c r="M10" s="4">
        <f>IF(('Hampshire Daily'!N13-'Hampshire Daily'!N12&lt;0), "0",'Hampshire Daily'!N13-'Hampshire Daily'!N12)</f>
        <v>0</v>
      </c>
      <c r="N10" s="4">
        <f>IF(('Hampshire Daily'!O13-'Hampshire Daily'!O12&lt;0), "0",'Hampshire Daily'!O13-'Hampshire Daily'!O12)</f>
        <v>0</v>
      </c>
      <c r="O10" s="4">
        <f>IF(('Hampshire Daily'!P13-'Hampshire Daily'!P12&lt;0), "0",'Hampshire Daily'!P13-'Hampshire Daily'!P12)</f>
        <v>0</v>
      </c>
      <c r="P10" s="4">
        <f>IF(('Hampshire Daily'!Q13-'Hampshire Daily'!Q12&lt;0), "0",'Hampshire Daily'!Q13-'Hampshire Daily'!Q12)</f>
        <v>0</v>
      </c>
      <c r="Q10" s="4">
        <f>IF(('Hampshire Daily'!R13-'Hampshire Daily'!R12&lt;0), "0",'Hampshire Daily'!R13-'Hampshire Daily'!R12)</f>
        <v>0</v>
      </c>
      <c r="R10" s="4">
        <f>IF(('Hampshire Daily'!U13-'Hampshire Daily'!U12&lt;0), "0",'Hampshire Daily'!U13-'Hampshire Daily'!U12)</f>
        <v>0</v>
      </c>
      <c r="S10" s="4">
        <f>IF(('Hampshire Daily'!V13-'Hampshire Daily'!V12&lt;0), "0",'Hampshire Daily'!V13-'Hampshire Daily'!V12)</f>
        <v>0</v>
      </c>
      <c r="T10" s="4">
        <f>IF(('Hampshire Daily'!W13-'Hampshire Daily'!W12&lt;0), "0",'Hampshire Daily'!W13-'Hampshire Daily'!W12)</f>
        <v>0</v>
      </c>
      <c r="U10" s="4">
        <f>IF(('Hampshire Daily'!X13-'Hampshire Daily'!X12&lt;0), "0",'Hampshire Daily'!X13-'Hampshire Daily'!X12)</f>
        <v>0</v>
      </c>
      <c r="V10" s="4">
        <f>IF(('Hampshire Daily'!Y13-'Hampshire Daily'!Y12&lt;0), "0",'Hampshire Daily'!Y13-'Hampshire Daily'!Y12)</f>
        <v>0</v>
      </c>
      <c r="W10" s="4">
        <f>IF(('Hampshire Daily'!Z13-'Hampshire Daily'!Z12&lt;0), "0",'Hampshire Daily'!Z13-'Hampshire Daily'!Z12)</f>
        <v>0</v>
      </c>
      <c r="X10" s="4">
        <f>'Hampshire Daily'!B13</f>
        <v>0</v>
      </c>
      <c r="Y10" s="4">
        <f>'Hampshire Daily'!C13</f>
        <v>0</v>
      </c>
    </row>
    <row r="11" spans="1:31" x14ac:dyDescent="0.35">
      <c r="A11" s="3" t="s">
        <v>42</v>
      </c>
      <c r="B11" s="1">
        <f t="shared" si="0"/>
        <v>10</v>
      </c>
      <c r="C11" s="18">
        <v>10</v>
      </c>
      <c r="D11" s="1">
        <v>2019</v>
      </c>
      <c r="E11" s="4">
        <f>IF(('Hampshire Daily'!D14-'Hampshire Daily'!D13&lt;0), "0",('Hampshire Daily'!D14-'Hampshire Daily'!D13)*10)</f>
        <v>0</v>
      </c>
      <c r="F11" s="4">
        <f>IF(('Hampshire Daily'!F14-'Hampshire Daily'!F13&lt;0), "0",('Hampshire Daily'!F14-'Hampshire Daily'!F13)*10)</f>
        <v>0</v>
      </c>
      <c r="G11" s="4">
        <f>IF(('Hampshire Daily'!H14-'Hampshire Daily'!H13&lt;0), "0",'Hampshire Daily'!H14-'Hampshire Daily'!H13)</f>
        <v>0</v>
      </c>
      <c r="H11" s="4">
        <f>IF(('Hampshire Daily'!I14-'Hampshire Daily'!I13&lt;0), "0",'Hampshire Daily'!I14-'Hampshire Daily'!I13)</f>
        <v>0</v>
      </c>
      <c r="I11" s="4">
        <f>IF(('Hampshire Daily'!J14-'Hampshire Daily'!J13&lt;0), "0",'Hampshire Daily'!J14-'Hampshire Daily'!J13)</f>
        <v>0</v>
      </c>
      <c r="J11" s="4">
        <f>IF(('Hampshire Daily'!K14-'Hampshire Daily'!K13&lt;0), "0",'Hampshire Daily'!K14-'Hampshire Daily'!K13)</f>
        <v>0</v>
      </c>
      <c r="K11" s="4">
        <f>IF(('Hampshire Daily'!L14-'Hampshire Daily'!L13&lt;0), "0",'Hampshire Daily'!L14-'Hampshire Daily'!L13)</f>
        <v>0</v>
      </c>
      <c r="L11" s="4">
        <f>IF(('Hampshire Daily'!M14-'Hampshire Daily'!M13&lt;0), "0",'Hampshire Daily'!M14-'Hampshire Daily'!M13)</f>
        <v>0</v>
      </c>
      <c r="M11" s="4">
        <f>IF(('Hampshire Daily'!N14-'Hampshire Daily'!N13&lt;0), "0",'Hampshire Daily'!N14-'Hampshire Daily'!N13)</f>
        <v>0</v>
      </c>
      <c r="N11" s="4">
        <f>IF(('Hampshire Daily'!O14-'Hampshire Daily'!O13&lt;0), "0",'Hampshire Daily'!O14-'Hampshire Daily'!O13)</f>
        <v>0</v>
      </c>
      <c r="O11" s="4">
        <f>IF(('Hampshire Daily'!P14-'Hampshire Daily'!P13&lt;0), "0",'Hampshire Daily'!P14-'Hampshire Daily'!P13)</f>
        <v>0</v>
      </c>
      <c r="P11" s="4">
        <f>IF(('Hampshire Daily'!Q14-'Hampshire Daily'!Q13&lt;0), "0",'Hampshire Daily'!Q14-'Hampshire Daily'!Q13)</f>
        <v>0</v>
      </c>
      <c r="Q11" s="4">
        <f>IF(('Hampshire Daily'!R14-'Hampshire Daily'!R13&lt;0), "0",'Hampshire Daily'!R14-'Hampshire Daily'!R13)</f>
        <v>0</v>
      </c>
      <c r="R11" s="4">
        <f>IF(('Hampshire Daily'!U14-'Hampshire Daily'!U13&lt;0), "0",'Hampshire Daily'!U14-'Hampshire Daily'!U13)</f>
        <v>0</v>
      </c>
      <c r="S11" s="4">
        <f>IF(('Hampshire Daily'!V14-'Hampshire Daily'!V13&lt;0), "0",'Hampshire Daily'!V14-'Hampshire Daily'!V13)</f>
        <v>0</v>
      </c>
      <c r="T11" s="4">
        <f>IF(('Hampshire Daily'!W14-'Hampshire Daily'!W13&lt;0), "0",'Hampshire Daily'!W14-'Hampshire Daily'!W13)</f>
        <v>0</v>
      </c>
      <c r="U11" s="4">
        <f>IF(('Hampshire Daily'!X14-'Hampshire Daily'!X13&lt;0), "0",'Hampshire Daily'!X14-'Hampshire Daily'!X13)</f>
        <v>0</v>
      </c>
      <c r="V11" s="4">
        <f>IF(('Hampshire Daily'!Y14-'Hampshire Daily'!Y13&lt;0), "0",'Hampshire Daily'!Y14-'Hampshire Daily'!Y13)</f>
        <v>0</v>
      </c>
      <c r="W11" s="4">
        <f>IF(('Hampshire Daily'!Z14-'Hampshire Daily'!Z13&lt;0), "0",'Hampshire Daily'!Z14-'Hampshire Daily'!Z13)</f>
        <v>0</v>
      </c>
      <c r="X11" s="4">
        <f>'Hampshire Daily'!B14</f>
        <v>0</v>
      </c>
      <c r="Y11" s="4">
        <f>'Hampshire Daily'!C14</f>
        <v>0</v>
      </c>
    </row>
    <row r="12" spans="1:31" x14ac:dyDescent="0.35">
      <c r="A12" s="3" t="s">
        <v>42</v>
      </c>
      <c r="B12" s="1">
        <f t="shared" si="0"/>
        <v>11</v>
      </c>
      <c r="C12" s="18">
        <v>10</v>
      </c>
      <c r="D12" s="1">
        <v>2019</v>
      </c>
      <c r="E12" s="4">
        <f>IF(('Hampshire Daily'!D15-'Hampshire Daily'!D14&lt;0), "0",('Hampshire Daily'!D15-'Hampshire Daily'!D14)*10)</f>
        <v>0</v>
      </c>
      <c r="F12" s="4">
        <f>IF(('Hampshire Daily'!F15-'Hampshire Daily'!F14&lt;0), "0",('Hampshire Daily'!F15-'Hampshire Daily'!F14)*10)</f>
        <v>0</v>
      </c>
      <c r="G12" s="4">
        <f>IF(('Hampshire Daily'!H15-'Hampshire Daily'!H14&lt;0), "0",'Hampshire Daily'!H15-'Hampshire Daily'!H14)</f>
        <v>0</v>
      </c>
      <c r="H12" s="4">
        <f>IF(('Hampshire Daily'!I15-'Hampshire Daily'!I14&lt;0), "0",'Hampshire Daily'!I15-'Hampshire Daily'!I14)</f>
        <v>0</v>
      </c>
      <c r="I12" s="4">
        <f>IF(('Hampshire Daily'!J15-'Hampshire Daily'!J14&lt;0), "0",'Hampshire Daily'!J15-'Hampshire Daily'!J14)</f>
        <v>0</v>
      </c>
      <c r="J12" s="4">
        <f>IF(('Hampshire Daily'!K15-'Hampshire Daily'!K14&lt;0), "0",'Hampshire Daily'!K15-'Hampshire Daily'!K14)</f>
        <v>0</v>
      </c>
      <c r="K12" s="4">
        <f>IF(('Hampshire Daily'!L15-'Hampshire Daily'!L14&lt;0), "0",'Hampshire Daily'!L15-'Hampshire Daily'!L14)</f>
        <v>0</v>
      </c>
      <c r="L12" s="4">
        <f>IF(('Hampshire Daily'!M15-'Hampshire Daily'!M14&lt;0), "0",'Hampshire Daily'!M15-'Hampshire Daily'!M14)</f>
        <v>0</v>
      </c>
      <c r="M12" s="4">
        <f>IF(('Hampshire Daily'!N15-'Hampshire Daily'!N14&lt;0), "0",'Hampshire Daily'!N15-'Hampshire Daily'!N14)</f>
        <v>0</v>
      </c>
      <c r="N12" s="4">
        <f>IF(('Hampshire Daily'!O15-'Hampshire Daily'!O14&lt;0), "0",'Hampshire Daily'!O15-'Hampshire Daily'!O14)</f>
        <v>0</v>
      </c>
      <c r="O12" s="4">
        <f>IF(('Hampshire Daily'!P15-'Hampshire Daily'!P14&lt;0), "0",'Hampshire Daily'!P15-'Hampshire Daily'!P14)</f>
        <v>0</v>
      </c>
      <c r="P12" s="4">
        <f>IF(('Hampshire Daily'!Q15-'Hampshire Daily'!Q14&lt;0), "0",'Hampshire Daily'!Q15-'Hampshire Daily'!Q14)</f>
        <v>0</v>
      </c>
      <c r="Q12" s="4">
        <f>IF(('Hampshire Daily'!R15-'Hampshire Daily'!R14&lt;0), "0",'Hampshire Daily'!R15-'Hampshire Daily'!R14)</f>
        <v>0</v>
      </c>
      <c r="R12" s="4">
        <f>IF(('Hampshire Daily'!U15-'Hampshire Daily'!U14&lt;0), "0",'Hampshire Daily'!U15-'Hampshire Daily'!U14)</f>
        <v>0</v>
      </c>
      <c r="S12" s="4">
        <f>IF(('Hampshire Daily'!V15-'Hampshire Daily'!V14&lt;0), "0",'Hampshire Daily'!V15-'Hampshire Daily'!V14)</f>
        <v>0</v>
      </c>
      <c r="T12" s="4">
        <f>IF(('Hampshire Daily'!W15-'Hampshire Daily'!W14&lt;0), "0",'Hampshire Daily'!W15-'Hampshire Daily'!W14)</f>
        <v>0</v>
      </c>
      <c r="U12" s="4">
        <f>IF(('Hampshire Daily'!X15-'Hampshire Daily'!X14&lt;0), "0",'Hampshire Daily'!X15-'Hampshire Daily'!X14)</f>
        <v>0</v>
      </c>
      <c r="V12" s="4">
        <f>IF(('Hampshire Daily'!Y15-'Hampshire Daily'!Y14&lt;0), "0",'Hampshire Daily'!Y15-'Hampshire Daily'!Y14)</f>
        <v>0</v>
      </c>
      <c r="W12" s="4">
        <f>IF(('Hampshire Daily'!Z15-'Hampshire Daily'!Z14&lt;0), "0",'Hampshire Daily'!Z15-'Hampshire Daily'!Z14)</f>
        <v>0</v>
      </c>
      <c r="X12" s="4">
        <f>'Hampshire Daily'!B15</f>
        <v>0</v>
      </c>
      <c r="Y12" s="4">
        <f>'Hampshire Daily'!C15</f>
        <v>0</v>
      </c>
    </row>
    <row r="13" spans="1:31" x14ac:dyDescent="0.35">
      <c r="A13" s="3" t="s">
        <v>42</v>
      </c>
      <c r="B13" s="1">
        <f t="shared" si="0"/>
        <v>12</v>
      </c>
      <c r="C13" s="18">
        <v>10</v>
      </c>
      <c r="D13" s="1">
        <v>2019</v>
      </c>
      <c r="E13" s="4">
        <f>IF(('Hampshire Daily'!D16-'Hampshire Daily'!D15&lt;0), "0",('Hampshire Daily'!D16-'Hampshire Daily'!D15)*10)</f>
        <v>0</v>
      </c>
      <c r="F13" s="4">
        <f>IF(('Hampshire Daily'!F16-'Hampshire Daily'!F15&lt;0), "0",('Hampshire Daily'!F16-'Hampshire Daily'!F15)*10)</f>
        <v>0</v>
      </c>
      <c r="G13" s="4">
        <f>IF(('Hampshire Daily'!H16-'Hampshire Daily'!H15&lt;0), "0",'Hampshire Daily'!H16-'Hampshire Daily'!H15)</f>
        <v>0</v>
      </c>
      <c r="H13" s="4">
        <f>IF(('Hampshire Daily'!I16-'Hampshire Daily'!I15&lt;0), "0",'Hampshire Daily'!I16-'Hampshire Daily'!I15)</f>
        <v>0</v>
      </c>
      <c r="I13" s="4">
        <f>IF(('Hampshire Daily'!J16-'Hampshire Daily'!J15&lt;0), "0",'Hampshire Daily'!J16-'Hampshire Daily'!J15)</f>
        <v>0</v>
      </c>
      <c r="J13" s="4">
        <f>IF(('Hampshire Daily'!K16-'Hampshire Daily'!K15&lt;0), "0",'Hampshire Daily'!K16-'Hampshire Daily'!K15)</f>
        <v>0</v>
      </c>
      <c r="K13" s="4">
        <f>IF(('Hampshire Daily'!L16-'Hampshire Daily'!L15&lt;0), "0",'Hampshire Daily'!L16-'Hampshire Daily'!L15)</f>
        <v>0</v>
      </c>
      <c r="L13" s="4">
        <f>IF(('Hampshire Daily'!M16-'Hampshire Daily'!M15&lt;0), "0",'Hampshire Daily'!M16-'Hampshire Daily'!M15)</f>
        <v>0</v>
      </c>
      <c r="M13" s="4">
        <f>IF(('Hampshire Daily'!N16-'Hampshire Daily'!N15&lt;0), "0",'Hampshire Daily'!N16-'Hampshire Daily'!N15)</f>
        <v>0</v>
      </c>
      <c r="N13" s="4">
        <f>IF(('Hampshire Daily'!O16-'Hampshire Daily'!O15&lt;0), "0",'Hampshire Daily'!O16-'Hampshire Daily'!O15)</f>
        <v>0</v>
      </c>
      <c r="O13" s="4">
        <f>IF(('Hampshire Daily'!P16-'Hampshire Daily'!P15&lt;0), "0",'Hampshire Daily'!P16-'Hampshire Daily'!P15)</f>
        <v>0</v>
      </c>
      <c r="P13" s="4">
        <f>IF(('Hampshire Daily'!Q16-'Hampshire Daily'!Q15&lt;0), "0",'Hampshire Daily'!Q16-'Hampshire Daily'!Q15)</f>
        <v>0</v>
      </c>
      <c r="Q13" s="4">
        <f>IF(('Hampshire Daily'!R16-'Hampshire Daily'!R15&lt;0), "0",'Hampshire Daily'!R16-'Hampshire Daily'!R15)</f>
        <v>0</v>
      </c>
      <c r="R13" s="4">
        <f>IF(('Hampshire Daily'!U16-'Hampshire Daily'!U15&lt;0), "0",'Hampshire Daily'!U16-'Hampshire Daily'!U15)</f>
        <v>0</v>
      </c>
      <c r="S13" s="4">
        <f>IF(('Hampshire Daily'!V16-'Hampshire Daily'!V15&lt;0), "0",'Hampshire Daily'!V16-'Hampshire Daily'!V15)</f>
        <v>0</v>
      </c>
      <c r="T13" s="4">
        <f>IF(('Hampshire Daily'!W16-'Hampshire Daily'!W15&lt;0), "0",'Hampshire Daily'!W16-'Hampshire Daily'!W15)</f>
        <v>0</v>
      </c>
      <c r="U13" s="4">
        <f>IF(('Hampshire Daily'!X16-'Hampshire Daily'!X15&lt;0), "0",'Hampshire Daily'!X16-'Hampshire Daily'!X15)</f>
        <v>0</v>
      </c>
      <c r="V13" s="4">
        <f>IF(('Hampshire Daily'!Y16-'Hampshire Daily'!Y15&lt;0), "0",'Hampshire Daily'!Y16-'Hampshire Daily'!Y15)</f>
        <v>0</v>
      </c>
      <c r="W13" s="4">
        <f>IF(('Hampshire Daily'!Z16-'Hampshire Daily'!Z15&lt;0), "0",'Hampshire Daily'!Z16-'Hampshire Daily'!Z15)</f>
        <v>0</v>
      </c>
      <c r="X13" s="4">
        <f>'Hampshire Daily'!B16</f>
        <v>0</v>
      </c>
      <c r="Y13" s="4">
        <f>'Hampshire Daily'!C16</f>
        <v>0</v>
      </c>
    </row>
    <row r="14" spans="1:31" x14ac:dyDescent="0.35">
      <c r="A14" s="3" t="s">
        <v>42</v>
      </c>
      <c r="B14" s="1">
        <f t="shared" si="0"/>
        <v>13</v>
      </c>
      <c r="C14" s="18">
        <v>10</v>
      </c>
      <c r="D14" s="1">
        <v>2019</v>
      </c>
      <c r="E14" s="4">
        <f>IF(('Hampshire Daily'!D17-'Hampshire Daily'!D16&lt;0), "0",('Hampshire Daily'!D17-'Hampshire Daily'!D16)*10)</f>
        <v>0</v>
      </c>
      <c r="F14" s="4">
        <f>IF(('Hampshire Daily'!F17-'Hampshire Daily'!F16&lt;0), "0",('Hampshire Daily'!F17-'Hampshire Daily'!F16)*10)</f>
        <v>0</v>
      </c>
      <c r="G14" s="4">
        <f>IF(('Hampshire Daily'!H17-'Hampshire Daily'!H16&lt;0), "0",'Hampshire Daily'!H17-'Hampshire Daily'!H16)</f>
        <v>0</v>
      </c>
      <c r="H14" s="4">
        <f>IF(('Hampshire Daily'!I17-'Hampshire Daily'!I16&lt;0), "0",'Hampshire Daily'!I17-'Hampshire Daily'!I16)</f>
        <v>0</v>
      </c>
      <c r="I14" s="4">
        <f>IF(('Hampshire Daily'!J17-'Hampshire Daily'!J16&lt;0), "0",'Hampshire Daily'!J17-'Hampshire Daily'!J16)</f>
        <v>0</v>
      </c>
      <c r="J14" s="4">
        <f>IF(('Hampshire Daily'!K17-'Hampshire Daily'!K16&lt;0), "0",'Hampshire Daily'!K17-'Hampshire Daily'!K16)</f>
        <v>0</v>
      </c>
      <c r="K14" s="4">
        <f>IF(('Hampshire Daily'!L17-'Hampshire Daily'!L16&lt;0), "0",'Hampshire Daily'!L17-'Hampshire Daily'!L16)</f>
        <v>0</v>
      </c>
      <c r="L14" s="4">
        <f>IF(('Hampshire Daily'!M17-'Hampshire Daily'!M16&lt;0), "0",'Hampshire Daily'!M17-'Hampshire Daily'!M16)</f>
        <v>0</v>
      </c>
      <c r="M14" s="4">
        <f>IF(('Hampshire Daily'!N17-'Hampshire Daily'!N16&lt;0), "0",'Hampshire Daily'!N17-'Hampshire Daily'!N16)</f>
        <v>0</v>
      </c>
      <c r="N14" s="4">
        <f>IF(('Hampshire Daily'!O17-'Hampshire Daily'!O16&lt;0), "0",'Hampshire Daily'!O17-'Hampshire Daily'!O16)</f>
        <v>0</v>
      </c>
      <c r="O14" s="4">
        <f>IF(('Hampshire Daily'!P17-'Hampshire Daily'!P16&lt;0), "0",'Hampshire Daily'!P17-'Hampshire Daily'!P16)</f>
        <v>0</v>
      </c>
      <c r="P14" s="4">
        <f>IF(('Hampshire Daily'!Q17-'Hampshire Daily'!Q16&lt;0), "0",'Hampshire Daily'!Q17-'Hampshire Daily'!Q16)</f>
        <v>0</v>
      </c>
      <c r="Q14" s="4">
        <f>IF(('Hampshire Daily'!R17-'Hampshire Daily'!R16&lt;0), "0",'Hampshire Daily'!R17-'Hampshire Daily'!R16)</f>
        <v>0</v>
      </c>
      <c r="R14" s="4">
        <f>IF(('Hampshire Daily'!U17-'Hampshire Daily'!U16&lt;0), "0",'Hampshire Daily'!U17-'Hampshire Daily'!U16)</f>
        <v>0</v>
      </c>
      <c r="S14" s="4">
        <f>IF(('Hampshire Daily'!V17-'Hampshire Daily'!V16&lt;0), "0",'Hampshire Daily'!V17-'Hampshire Daily'!V16)</f>
        <v>0</v>
      </c>
      <c r="T14" s="4">
        <f>IF(('Hampshire Daily'!W17-'Hampshire Daily'!W16&lt;0), "0",'Hampshire Daily'!W17-'Hampshire Daily'!W16)</f>
        <v>0</v>
      </c>
      <c r="U14" s="4">
        <f>IF(('Hampshire Daily'!X17-'Hampshire Daily'!X16&lt;0), "0",'Hampshire Daily'!X17-'Hampshire Daily'!X16)</f>
        <v>0</v>
      </c>
      <c r="V14" s="4">
        <f>IF(('Hampshire Daily'!Y17-'Hampshire Daily'!Y16&lt;0), "0",'Hampshire Daily'!Y17-'Hampshire Daily'!Y16)</f>
        <v>0</v>
      </c>
      <c r="W14" s="4">
        <f>IF(('Hampshire Daily'!Z17-'Hampshire Daily'!Z16&lt;0), "0",'Hampshire Daily'!Z17-'Hampshire Daily'!Z16)</f>
        <v>0</v>
      </c>
      <c r="X14" s="4">
        <f>'Hampshire Daily'!B17</f>
        <v>0</v>
      </c>
      <c r="Y14" s="4">
        <f>'Hampshire Daily'!C17</f>
        <v>0</v>
      </c>
    </row>
    <row r="15" spans="1:31" x14ac:dyDescent="0.35">
      <c r="A15" s="3" t="s">
        <v>42</v>
      </c>
      <c r="B15" s="1">
        <f t="shared" si="0"/>
        <v>14</v>
      </c>
      <c r="C15" s="18">
        <v>10</v>
      </c>
      <c r="D15" s="1">
        <v>2019</v>
      </c>
      <c r="E15" s="4">
        <f>IF(('Hampshire Daily'!D18-'Hampshire Daily'!D17&lt;0), "0",('Hampshire Daily'!D18-'Hampshire Daily'!D17)*10)</f>
        <v>0</v>
      </c>
      <c r="F15" s="4">
        <f>IF(('Hampshire Daily'!F18-'Hampshire Daily'!F17&lt;0), "0",('Hampshire Daily'!F18-'Hampshire Daily'!F17)*10)</f>
        <v>0</v>
      </c>
      <c r="G15" s="4">
        <f>IF(('Hampshire Daily'!H18-'Hampshire Daily'!H17&lt;0), "0",'Hampshire Daily'!H18-'Hampshire Daily'!H17)</f>
        <v>0</v>
      </c>
      <c r="H15" s="4">
        <f>IF(('Hampshire Daily'!I18-'Hampshire Daily'!I17&lt;0), "0",'Hampshire Daily'!I18-'Hampshire Daily'!I17)</f>
        <v>0</v>
      </c>
      <c r="I15" s="4">
        <f>IF(('Hampshire Daily'!J18-'Hampshire Daily'!J17&lt;0), "0",'Hampshire Daily'!J18-'Hampshire Daily'!J17)</f>
        <v>0</v>
      </c>
      <c r="J15" s="4">
        <f>IF(('Hampshire Daily'!K18-'Hampshire Daily'!K17&lt;0), "0",'Hampshire Daily'!K18-'Hampshire Daily'!K17)</f>
        <v>0</v>
      </c>
      <c r="K15" s="4">
        <f>IF(('Hampshire Daily'!L18-'Hampshire Daily'!L17&lt;0), "0",'Hampshire Daily'!L18-'Hampshire Daily'!L17)</f>
        <v>0</v>
      </c>
      <c r="L15" s="4">
        <f>IF(('Hampshire Daily'!M18-'Hampshire Daily'!M17&lt;0), "0",'Hampshire Daily'!M18-'Hampshire Daily'!M17)</f>
        <v>0</v>
      </c>
      <c r="M15" s="4">
        <f>IF(('Hampshire Daily'!N18-'Hampshire Daily'!N17&lt;0), "0",'Hampshire Daily'!N18-'Hampshire Daily'!N17)</f>
        <v>0</v>
      </c>
      <c r="N15" s="4">
        <f>IF(('Hampshire Daily'!O18-'Hampshire Daily'!O17&lt;0), "0",'Hampshire Daily'!O18-'Hampshire Daily'!O17)</f>
        <v>0</v>
      </c>
      <c r="O15" s="4">
        <f>IF(('Hampshire Daily'!P18-'Hampshire Daily'!P17&lt;0), "0",'Hampshire Daily'!P18-'Hampshire Daily'!P17)</f>
        <v>0</v>
      </c>
      <c r="P15" s="4">
        <f>IF(('Hampshire Daily'!Q18-'Hampshire Daily'!Q17&lt;0), "0",'Hampshire Daily'!Q18-'Hampshire Daily'!Q17)</f>
        <v>0</v>
      </c>
      <c r="Q15" s="4">
        <f>IF(('Hampshire Daily'!R18-'Hampshire Daily'!R17&lt;0), "0",'Hampshire Daily'!R18-'Hampshire Daily'!R17)</f>
        <v>0</v>
      </c>
      <c r="R15" s="4">
        <f>IF(('Hampshire Daily'!U18-'Hampshire Daily'!U17&lt;0), "0",'Hampshire Daily'!U18-'Hampshire Daily'!U17)</f>
        <v>0</v>
      </c>
      <c r="S15" s="4">
        <f>IF(('Hampshire Daily'!V18-'Hampshire Daily'!V17&lt;0), "0",'Hampshire Daily'!V18-'Hampshire Daily'!V17)</f>
        <v>0</v>
      </c>
      <c r="T15" s="4">
        <f>IF(('Hampshire Daily'!W18-'Hampshire Daily'!W17&lt;0), "0",'Hampshire Daily'!W18-'Hampshire Daily'!W17)</f>
        <v>0</v>
      </c>
      <c r="U15" s="4">
        <f>IF(('Hampshire Daily'!X18-'Hampshire Daily'!X17&lt;0), "0",'Hampshire Daily'!X18-'Hampshire Daily'!X17)</f>
        <v>0</v>
      </c>
      <c r="V15" s="4">
        <f>IF(('Hampshire Daily'!Y18-'Hampshire Daily'!Y17&lt;0), "0",'Hampshire Daily'!Y18-'Hampshire Daily'!Y17)</f>
        <v>0</v>
      </c>
      <c r="W15" s="4">
        <f>IF(('Hampshire Daily'!Z18-'Hampshire Daily'!Z17&lt;0), "0",'Hampshire Daily'!Z18-'Hampshire Daily'!Z17)</f>
        <v>0</v>
      </c>
      <c r="X15" s="4">
        <f>'Hampshire Daily'!B18</f>
        <v>0</v>
      </c>
      <c r="Y15" s="4">
        <f>'Hampshire Daily'!C18</f>
        <v>0</v>
      </c>
    </row>
    <row r="16" spans="1:31" x14ac:dyDescent="0.35">
      <c r="A16" s="3" t="s">
        <v>42</v>
      </c>
      <c r="B16" s="1">
        <f t="shared" si="0"/>
        <v>15</v>
      </c>
      <c r="C16" s="18">
        <v>10</v>
      </c>
      <c r="D16" s="1">
        <v>2019</v>
      </c>
      <c r="E16" s="4">
        <f>IF(('Hampshire Daily'!D19-'Hampshire Daily'!D18&lt;0), "0",('Hampshire Daily'!D19-'Hampshire Daily'!D18)*10)</f>
        <v>0</v>
      </c>
      <c r="F16" s="4">
        <f>IF(('Hampshire Daily'!F19-'Hampshire Daily'!F18&lt;0), "0",('Hampshire Daily'!F19-'Hampshire Daily'!F18)*10)</f>
        <v>0</v>
      </c>
      <c r="G16" s="4">
        <f>IF(('Hampshire Daily'!H19-'Hampshire Daily'!H18&lt;0), "0",'Hampshire Daily'!H19-'Hampshire Daily'!H18)</f>
        <v>0</v>
      </c>
      <c r="H16" s="4">
        <f>IF(('Hampshire Daily'!I19-'Hampshire Daily'!I18&lt;0), "0",'Hampshire Daily'!I19-'Hampshire Daily'!I18)</f>
        <v>0</v>
      </c>
      <c r="I16" s="4">
        <f>IF(('Hampshire Daily'!J19-'Hampshire Daily'!J18&lt;0), "0",'Hampshire Daily'!J19-'Hampshire Daily'!J18)</f>
        <v>0</v>
      </c>
      <c r="J16" s="4">
        <f>IF(('Hampshire Daily'!K19-'Hampshire Daily'!K18&lt;0), "0",'Hampshire Daily'!K19-'Hampshire Daily'!K18)</f>
        <v>0</v>
      </c>
      <c r="K16" s="4">
        <f>IF(('Hampshire Daily'!L19-'Hampshire Daily'!L18&lt;0), "0",'Hampshire Daily'!L19-'Hampshire Daily'!L18)</f>
        <v>0</v>
      </c>
      <c r="L16" s="4">
        <f>IF(('Hampshire Daily'!M19-'Hampshire Daily'!M18&lt;0), "0",'Hampshire Daily'!M19-'Hampshire Daily'!M18)</f>
        <v>0</v>
      </c>
      <c r="M16" s="4">
        <f>IF(('Hampshire Daily'!N19-'Hampshire Daily'!N18&lt;0), "0",'Hampshire Daily'!N19-'Hampshire Daily'!N18)</f>
        <v>0</v>
      </c>
      <c r="N16" s="4">
        <f>IF(('Hampshire Daily'!O19-'Hampshire Daily'!O18&lt;0), "0",'Hampshire Daily'!O19-'Hampshire Daily'!O18)</f>
        <v>0</v>
      </c>
      <c r="O16" s="4">
        <f>IF(('Hampshire Daily'!P19-'Hampshire Daily'!P18&lt;0), "0",'Hampshire Daily'!P19-'Hampshire Daily'!P18)</f>
        <v>0</v>
      </c>
      <c r="P16" s="4">
        <f>IF(('Hampshire Daily'!Q19-'Hampshire Daily'!Q18&lt;0), "0",'Hampshire Daily'!Q19-'Hampshire Daily'!Q18)</f>
        <v>0</v>
      </c>
      <c r="Q16" s="4">
        <f>IF(('Hampshire Daily'!R19-'Hampshire Daily'!R18&lt;0), "0",'Hampshire Daily'!R19-'Hampshire Daily'!R18)</f>
        <v>0</v>
      </c>
      <c r="R16" s="4">
        <f>IF(('Hampshire Daily'!U19-'Hampshire Daily'!U18&lt;0), "0",'Hampshire Daily'!U19-'Hampshire Daily'!U18)</f>
        <v>0</v>
      </c>
      <c r="S16" s="4">
        <f>IF(('Hampshire Daily'!V19-'Hampshire Daily'!V18&lt;0), "0",'Hampshire Daily'!V19-'Hampshire Daily'!V18)</f>
        <v>0</v>
      </c>
      <c r="T16" s="4">
        <f>IF(('Hampshire Daily'!W19-'Hampshire Daily'!W18&lt;0), "0",'Hampshire Daily'!W19-'Hampshire Daily'!W18)</f>
        <v>0</v>
      </c>
      <c r="U16" s="4">
        <f>IF(('Hampshire Daily'!X19-'Hampshire Daily'!X18&lt;0), "0",'Hampshire Daily'!X19-'Hampshire Daily'!X18)</f>
        <v>0</v>
      </c>
      <c r="V16" s="4">
        <f>IF(('Hampshire Daily'!Y19-'Hampshire Daily'!Y18&lt;0), "0",'Hampshire Daily'!Y19-'Hampshire Daily'!Y18)</f>
        <v>0</v>
      </c>
      <c r="W16" s="4">
        <f>IF(('Hampshire Daily'!Z19-'Hampshire Daily'!Z18&lt;0), "0",'Hampshire Daily'!Z19-'Hampshire Daily'!Z18)</f>
        <v>0</v>
      </c>
      <c r="X16" s="4">
        <f>'Hampshire Daily'!B19</f>
        <v>0</v>
      </c>
      <c r="Y16" s="4">
        <f>'Hampshire Daily'!C19</f>
        <v>0</v>
      </c>
    </row>
    <row r="17" spans="1:25" x14ac:dyDescent="0.35">
      <c r="A17" s="3" t="s">
        <v>42</v>
      </c>
      <c r="B17" s="1">
        <f t="shared" si="0"/>
        <v>16</v>
      </c>
      <c r="C17" s="18">
        <v>10</v>
      </c>
      <c r="D17" s="1">
        <v>2019</v>
      </c>
      <c r="E17" s="4">
        <f>IF(('Hampshire Daily'!D20-'Hampshire Daily'!D19&lt;0), "0",('Hampshire Daily'!D20-'Hampshire Daily'!D19)*10)</f>
        <v>0</v>
      </c>
      <c r="F17" s="4">
        <f>IF(('Hampshire Daily'!F20-'Hampshire Daily'!F19&lt;0), "0",('Hampshire Daily'!F20-'Hampshire Daily'!F19)*10)</f>
        <v>0</v>
      </c>
      <c r="G17" s="4">
        <f>IF(('Hampshire Daily'!H20-'Hampshire Daily'!H19&lt;0), "0",'Hampshire Daily'!H20-'Hampshire Daily'!H19)</f>
        <v>0</v>
      </c>
      <c r="H17" s="4">
        <f>IF(('Hampshire Daily'!I20-'Hampshire Daily'!I19&lt;0), "0",'Hampshire Daily'!I20-'Hampshire Daily'!I19)</f>
        <v>0</v>
      </c>
      <c r="I17" s="4">
        <f>IF(('Hampshire Daily'!J20-'Hampshire Daily'!J19&lt;0), "0",'Hampshire Daily'!J20-'Hampshire Daily'!J19)</f>
        <v>0</v>
      </c>
      <c r="J17" s="4">
        <f>IF(('Hampshire Daily'!K20-'Hampshire Daily'!K19&lt;0), "0",'Hampshire Daily'!K20-'Hampshire Daily'!K19)</f>
        <v>0</v>
      </c>
      <c r="K17" s="4">
        <f>IF(('Hampshire Daily'!L20-'Hampshire Daily'!L19&lt;0), "0",'Hampshire Daily'!L20-'Hampshire Daily'!L19)</f>
        <v>0</v>
      </c>
      <c r="L17" s="4">
        <f>IF(('Hampshire Daily'!M20-'Hampshire Daily'!M19&lt;0), "0",'Hampshire Daily'!M20-'Hampshire Daily'!M19)</f>
        <v>0</v>
      </c>
      <c r="M17" s="4">
        <f>IF(('Hampshire Daily'!N20-'Hampshire Daily'!N19&lt;0), "0",'Hampshire Daily'!N20-'Hampshire Daily'!N19)</f>
        <v>0</v>
      </c>
      <c r="N17" s="4">
        <f>IF(('Hampshire Daily'!O20-'Hampshire Daily'!O19&lt;0), "0",'Hampshire Daily'!O20-'Hampshire Daily'!O19)</f>
        <v>0</v>
      </c>
      <c r="O17" s="4">
        <f>IF(('Hampshire Daily'!P20-'Hampshire Daily'!P19&lt;0), "0",'Hampshire Daily'!P20-'Hampshire Daily'!P19)</f>
        <v>0</v>
      </c>
      <c r="P17" s="4">
        <f>IF(('Hampshire Daily'!Q20-'Hampshire Daily'!Q19&lt;0), "0",'Hampshire Daily'!Q20-'Hampshire Daily'!Q19)</f>
        <v>0</v>
      </c>
      <c r="Q17" s="4">
        <f>IF(('Hampshire Daily'!R20-'Hampshire Daily'!R19&lt;0), "0",'Hampshire Daily'!R20-'Hampshire Daily'!R19)</f>
        <v>0</v>
      </c>
      <c r="R17" s="4">
        <f>IF(('Hampshire Daily'!U20-'Hampshire Daily'!U19&lt;0), "0",'Hampshire Daily'!U20-'Hampshire Daily'!U19)</f>
        <v>0</v>
      </c>
      <c r="S17" s="4">
        <f>IF(('Hampshire Daily'!V20-'Hampshire Daily'!V19&lt;0), "0",'Hampshire Daily'!V20-'Hampshire Daily'!V19)</f>
        <v>0</v>
      </c>
      <c r="T17" s="4">
        <f>IF(('Hampshire Daily'!W20-'Hampshire Daily'!W19&lt;0), "0",'Hampshire Daily'!W20-'Hampshire Daily'!W19)</f>
        <v>0</v>
      </c>
      <c r="U17" s="4">
        <f>IF(('Hampshire Daily'!X20-'Hampshire Daily'!X19&lt;0), "0",'Hampshire Daily'!X20-'Hampshire Daily'!X19)</f>
        <v>0</v>
      </c>
      <c r="V17" s="4">
        <f>IF(('Hampshire Daily'!Y20-'Hampshire Daily'!Y19&lt;0), "0",'Hampshire Daily'!Y20-'Hampshire Daily'!Y19)</f>
        <v>0</v>
      </c>
      <c r="W17" s="4">
        <f>IF(('Hampshire Daily'!Z20-'Hampshire Daily'!Z19&lt;0), "0",'Hampshire Daily'!Z20-'Hampshire Daily'!Z19)</f>
        <v>0</v>
      </c>
      <c r="X17" s="4">
        <f>'Hampshire Daily'!B20</f>
        <v>0</v>
      </c>
      <c r="Y17" s="4">
        <f>'Hampshire Daily'!C20</f>
        <v>0</v>
      </c>
    </row>
    <row r="18" spans="1:25" x14ac:dyDescent="0.35">
      <c r="A18" s="3" t="s">
        <v>42</v>
      </c>
      <c r="B18" s="1">
        <f t="shared" si="0"/>
        <v>17</v>
      </c>
      <c r="C18" s="18">
        <v>10</v>
      </c>
      <c r="D18" s="1">
        <v>2019</v>
      </c>
      <c r="E18" s="4">
        <f>IF(('Hampshire Daily'!D21-'Hampshire Daily'!D20&lt;0), "0",('Hampshire Daily'!D21-'Hampshire Daily'!D20)*10)</f>
        <v>0</v>
      </c>
      <c r="F18" s="4">
        <f>IF(('Hampshire Daily'!F21-'Hampshire Daily'!F20&lt;0), "0",('Hampshire Daily'!F21-'Hampshire Daily'!F20)*10)</f>
        <v>0</v>
      </c>
      <c r="G18" s="4">
        <f>IF(('Hampshire Daily'!H21-'Hampshire Daily'!H20&lt;0), "0",'Hampshire Daily'!H21-'Hampshire Daily'!H20)</f>
        <v>0</v>
      </c>
      <c r="H18" s="4">
        <f>IF(('Hampshire Daily'!I21-'Hampshire Daily'!I20&lt;0), "0",'Hampshire Daily'!I21-'Hampshire Daily'!I20)</f>
        <v>0</v>
      </c>
      <c r="I18" s="4">
        <f>IF(('Hampshire Daily'!J21-'Hampshire Daily'!J20&lt;0), "0",'Hampshire Daily'!J21-'Hampshire Daily'!J20)</f>
        <v>0</v>
      </c>
      <c r="J18" s="4">
        <f>IF(('Hampshire Daily'!K21-'Hampshire Daily'!K20&lt;0), "0",'Hampshire Daily'!K21-'Hampshire Daily'!K20)</f>
        <v>0</v>
      </c>
      <c r="K18" s="4">
        <f>IF(('Hampshire Daily'!L21-'Hampshire Daily'!L20&lt;0), "0",'Hampshire Daily'!L21-'Hampshire Daily'!L20)</f>
        <v>0</v>
      </c>
      <c r="L18" s="4">
        <f>IF(('Hampshire Daily'!M21-'Hampshire Daily'!M20&lt;0), "0",'Hampshire Daily'!M21-'Hampshire Daily'!M20)</f>
        <v>0</v>
      </c>
      <c r="M18" s="4">
        <f>IF(('Hampshire Daily'!N21-'Hampshire Daily'!N20&lt;0), "0",'Hampshire Daily'!N21-'Hampshire Daily'!N20)</f>
        <v>0</v>
      </c>
      <c r="N18" s="4">
        <f>IF(('Hampshire Daily'!O21-'Hampshire Daily'!O20&lt;0), "0",'Hampshire Daily'!O21-'Hampshire Daily'!O20)</f>
        <v>0</v>
      </c>
      <c r="O18" s="4">
        <f>IF(('Hampshire Daily'!P21-'Hampshire Daily'!P20&lt;0), "0",'Hampshire Daily'!P21-'Hampshire Daily'!P20)</f>
        <v>0</v>
      </c>
      <c r="P18" s="4">
        <f>IF(('Hampshire Daily'!Q21-'Hampshire Daily'!Q20&lt;0), "0",'Hampshire Daily'!Q21-'Hampshire Daily'!Q20)</f>
        <v>0</v>
      </c>
      <c r="Q18" s="4">
        <f>IF(('Hampshire Daily'!R21-'Hampshire Daily'!R20&lt;0), "0",'Hampshire Daily'!R21-'Hampshire Daily'!R20)</f>
        <v>0</v>
      </c>
      <c r="R18" s="4">
        <f>IF(('Hampshire Daily'!U21-'Hampshire Daily'!U20&lt;0), "0",'Hampshire Daily'!U21-'Hampshire Daily'!U20)</f>
        <v>0</v>
      </c>
      <c r="S18" s="4">
        <f>IF(('Hampshire Daily'!V21-'Hampshire Daily'!V20&lt;0), "0",'Hampshire Daily'!V21-'Hampshire Daily'!V20)</f>
        <v>0</v>
      </c>
      <c r="T18" s="4">
        <f>IF(('Hampshire Daily'!W21-'Hampshire Daily'!W20&lt;0), "0",'Hampshire Daily'!W21-'Hampshire Daily'!W20)</f>
        <v>0</v>
      </c>
      <c r="U18" s="4">
        <f>IF(('Hampshire Daily'!X21-'Hampshire Daily'!X20&lt;0), "0",'Hampshire Daily'!X21-'Hampshire Daily'!X20)</f>
        <v>0</v>
      </c>
      <c r="V18" s="4">
        <f>IF(('Hampshire Daily'!Y21-'Hampshire Daily'!Y20&lt;0), "0",'Hampshire Daily'!Y21-'Hampshire Daily'!Y20)</f>
        <v>0</v>
      </c>
      <c r="W18" s="4">
        <f>IF(('Hampshire Daily'!Z21-'Hampshire Daily'!Z20&lt;0), "0",'Hampshire Daily'!Z21-'Hampshire Daily'!Z20)</f>
        <v>0</v>
      </c>
      <c r="X18" s="4">
        <f>'Hampshire Daily'!B21</f>
        <v>0</v>
      </c>
      <c r="Y18" s="4">
        <f>'Hampshire Daily'!C21</f>
        <v>0</v>
      </c>
    </row>
    <row r="19" spans="1:25" x14ac:dyDescent="0.35">
      <c r="A19" s="3" t="s">
        <v>42</v>
      </c>
      <c r="B19" s="1">
        <f t="shared" si="0"/>
        <v>18</v>
      </c>
      <c r="C19" s="18">
        <v>10</v>
      </c>
      <c r="D19" s="1">
        <v>2019</v>
      </c>
      <c r="E19" s="4">
        <f>IF(('Hampshire Daily'!D22-'Hampshire Daily'!D21&lt;0), "0",('Hampshire Daily'!D22-'Hampshire Daily'!D21)*10)</f>
        <v>0</v>
      </c>
      <c r="F19" s="4">
        <f>IF(('Hampshire Daily'!F22-'Hampshire Daily'!F21&lt;0), "0",('Hampshire Daily'!F22-'Hampshire Daily'!F21)*10)</f>
        <v>0</v>
      </c>
      <c r="G19" s="4">
        <f>IF(('Hampshire Daily'!H22-'Hampshire Daily'!H21&lt;0), "0",'Hampshire Daily'!H22-'Hampshire Daily'!H21)</f>
        <v>0</v>
      </c>
      <c r="H19" s="4">
        <f>IF(('Hampshire Daily'!I22-'Hampshire Daily'!I21&lt;0), "0",'Hampshire Daily'!I22-'Hampshire Daily'!I21)</f>
        <v>0</v>
      </c>
      <c r="I19" s="4">
        <f>IF(('Hampshire Daily'!J22-'Hampshire Daily'!J21&lt;0), "0",'Hampshire Daily'!J22-'Hampshire Daily'!J21)</f>
        <v>0</v>
      </c>
      <c r="J19" s="4">
        <f>IF(('Hampshire Daily'!K22-'Hampshire Daily'!K21&lt;0), "0",'Hampshire Daily'!K22-'Hampshire Daily'!K21)</f>
        <v>0</v>
      </c>
      <c r="K19" s="4">
        <f>IF(('Hampshire Daily'!L22-'Hampshire Daily'!L21&lt;0), "0",'Hampshire Daily'!L22-'Hampshire Daily'!L21)</f>
        <v>0</v>
      </c>
      <c r="L19" s="4">
        <f>IF(('Hampshire Daily'!M22-'Hampshire Daily'!M21&lt;0), "0",'Hampshire Daily'!M22-'Hampshire Daily'!M21)</f>
        <v>0</v>
      </c>
      <c r="M19" s="4">
        <f>IF(('Hampshire Daily'!N22-'Hampshire Daily'!N21&lt;0), "0",'Hampshire Daily'!N22-'Hampshire Daily'!N21)</f>
        <v>0</v>
      </c>
      <c r="N19" s="4">
        <f>IF(('Hampshire Daily'!O22-'Hampshire Daily'!O21&lt;0), "0",'Hampshire Daily'!O22-'Hampshire Daily'!O21)</f>
        <v>0</v>
      </c>
      <c r="O19" s="4">
        <f>IF(('Hampshire Daily'!P22-'Hampshire Daily'!P21&lt;0), "0",'Hampshire Daily'!P22-'Hampshire Daily'!P21)</f>
        <v>0</v>
      </c>
      <c r="P19" s="4">
        <f>IF(('Hampshire Daily'!Q22-'Hampshire Daily'!Q21&lt;0), "0",'Hampshire Daily'!Q22-'Hampshire Daily'!Q21)</f>
        <v>0</v>
      </c>
      <c r="Q19" s="4">
        <f>IF(('Hampshire Daily'!R22-'Hampshire Daily'!R21&lt;0), "0",'Hampshire Daily'!R22-'Hampshire Daily'!R21)</f>
        <v>0</v>
      </c>
      <c r="R19" s="4">
        <f>IF(('Hampshire Daily'!U22-'Hampshire Daily'!U21&lt;0), "0",'Hampshire Daily'!U22-'Hampshire Daily'!U21)</f>
        <v>0</v>
      </c>
      <c r="S19" s="4">
        <f>IF(('Hampshire Daily'!V22-'Hampshire Daily'!V21&lt;0), "0",'Hampshire Daily'!V22-'Hampshire Daily'!V21)</f>
        <v>0</v>
      </c>
      <c r="T19" s="4">
        <f>IF(('Hampshire Daily'!W22-'Hampshire Daily'!W21&lt;0), "0",'Hampshire Daily'!W22-'Hampshire Daily'!W21)</f>
        <v>0</v>
      </c>
      <c r="U19" s="4">
        <f>IF(('Hampshire Daily'!X22-'Hampshire Daily'!X21&lt;0), "0",'Hampshire Daily'!X22-'Hampshire Daily'!X21)</f>
        <v>0</v>
      </c>
      <c r="V19" s="4">
        <f>IF(('Hampshire Daily'!Y22-'Hampshire Daily'!Y21&lt;0), "0",'Hampshire Daily'!Y22-'Hampshire Daily'!Y21)</f>
        <v>0</v>
      </c>
      <c r="W19" s="4">
        <f>IF(('Hampshire Daily'!Z22-'Hampshire Daily'!Z21&lt;0), "0",'Hampshire Daily'!Z22-'Hampshire Daily'!Z21)</f>
        <v>0</v>
      </c>
      <c r="X19" s="4">
        <f>'Hampshire Daily'!B22</f>
        <v>0</v>
      </c>
      <c r="Y19" s="4">
        <f>'Hampshire Daily'!C22</f>
        <v>0</v>
      </c>
    </row>
    <row r="20" spans="1:25" x14ac:dyDescent="0.35">
      <c r="A20" s="3" t="s">
        <v>42</v>
      </c>
      <c r="B20" s="1">
        <f t="shared" si="0"/>
        <v>19</v>
      </c>
      <c r="C20" s="18">
        <v>10</v>
      </c>
      <c r="D20" s="1">
        <v>2019</v>
      </c>
      <c r="E20" s="4">
        <f>IF(('Hampshire Daily'!D23-'Hampshire Daily'!D22&lt;0), "0",('Hampshire Daily'!D23-'Hampshire Daily'!D22)*10)</f>
        <v>0</v>
      </c>
      <c r="F20" s="4">
        <f>IF(('Hampshire Daily'!F23-'Hampshire Daily'!F22&lt;0), "0",('Hampshire Daily'!F23-'Hampshire Daily'!F22)*10)</f>
        <v>0</v>
      </c>
      <c r="G20" s="4">
        <f>IF(('Hampshire Daily'!H23-'Hampshire Daily'!H22&lt;0), "0",'Hampshire Daily'!H23-'Hampshire Daily'!H22)</f>
        <v>0</v>
      </c>
      <c r="H20" s="4">
        <f>IF(('Hampshire Daily'!I23-'Hampshire Daily'!I22&lt;0), "0",'Hampshire Daily'!I23-'Hampshire Daily'!I22)</f>
        <v>0</v>
      </c>
      <c r="I20" s="4">
        <f>IF(('Hampshire Daily'!J23-'Hampshire Daily'!J22&lt;0), "0",'Hampshire Daily'!J23-'Hampshire Daily'!J22)</f>
        <v>0</v>
      </c>
      <c r="J20" s="4">
        <f>IF(('Hampshire Daily'!K23-'Hampshire Daily'!K22&lt;0), "0",'Hampshire Daily'!K23-'Hampshire Daily'!K22)</f>
        <v>0</v>
      </c>
      <c r="K20" s="4">
        <f>IF(('Hampshire Daily'!L23-'Hampshire Daily'!L22&lt;0), "0",'Hampshire Daily'!L23-'Hampshire Daily'!L22)</f>
        <v>0</v>
      </c>
      <c r="L20" s="4">
        <f>IF(('Hampshire Daily'!M23-'Hampshire Daily'!M22&lt;0), "0",'Hampshire Daily'!M23-'Hampshire Daily'!M22)</f>
        <v>0</v>
      </c>
      <c r="M20" s="4">
        <f>IF(('Hampshire Daily'!N23-'Hampshire Daily'!N22&lt;0), "0",'Hampshire Daily'!N23-'Hampshire Daily'!N22)</f>
        <v>0</v>
      </c>
      <c r="N20" s="4">
        <f>IF(('Hampshire Daily'!O23-'Hampshire Daily'!O22&lt;0), "0",'Hampshire Daily'!O23-'Hampshire Daily'!O22)</f>
        <v>0</v>
      </c>
      <c r="O20" s="4">
        <f>IF(('Hampshire Daily'!P23-'Hampshire Daily'!P22&lt;0), "0",'Hampshire Daily'!P23-'Hampshire Daily'!P22)</f>
        <v>0</v>
      </c>
      <c r="P20" s="4">
        <f>IF(('Hampshire Daily'!Q23-'Hampshire Daily'!Q22&lt;0), "0",'Hampshire Daily'!Q23-'Hampshire Daily'!Q22)</f>
        <v>0</v>
      </c>
      <c r="Q20" s="4">
        <f>IF(('Hampshire Daily'!R23-'Hampshire Daily'!R22&lt;0), "0",'Hampshire Daily'!R23-'Hampshire Daily'!R22)</f>
        <v>0</v>
      </c>
      <c r="R20" s="4">
        <f>IF(('Hampshire Daily'!U23-'Hampshire Daily'!U22&lt;0), "0",'Hampshire Daily'!U23-'Hampshire Daily'!U22)</f>
        <v>0</v>
      </c>
      <c r="S20" s="4">
        <f>IF(('Hampshire Daily'!V23-'Hampshire Daily'!V22&lt;0), "0",'Hampshire Daily'!V23-'Hampshire Daily'!V22)</f>
        <v>0</v>
      </c>
      <c r="T20" s="4">
        <f>IF(('Hampshire Daily'!W23-'Hampshire Daily'!W22&lt;0), "0",'Hampshire Daily'!W23-'Hampshire Daily'!W22)</f>
        <v>0</v>
      </c>
      <c r="U20" s="4">
        <f>IF(('Hampshire Daily'!X23-'Hampshire Daily'!X22&lt;0), "0",'Hampshire Daily'!X23-'Hampshire Daily'!X22)</f>
        <v>0</v>
      </c>
      <c r="V20" s="4">
        <f>IF(('Hampshire Daily'!Y23-'Hampshire Daily'!Y22&lt;0), "0",'Hampshire Daily'!Y23-'Hampshire Daily'!Y22)</f>
        <v>0</v>
      </c>
      <c r="W20" s="4">
        <f>IF(('Hampshire Daily'!Z23-'Hampshire Daily'!Z22&lt;0), "0",'Hampshire Daily'!Z23-'Hampshire Daily'!Z22)</f>
        <v>0</v>
      </c>
      <c r="X20" s="4">
        <f>'Hampshire Daily'!B23</f>
        <v>0</v>
      </c>
      <c r="Y20" s="4">
        <f>'Hampshire Daily'!C23</f>
        <v>0</v>
      </c>
    </row>
    <row r="21" spans="1:25" x14ac:dyDescent="0.35">
      <c r="A21" s="3" t="s">
        <v>42</v>
      </c>
      <c r="B21" s="1">
        <f t="shared" si="0"/>
        <v>20</v>
      </c>
      <c r="C21" s="18">
        <v>10</v>
      </c>
      <c r="D21" s="1">
        <v>2019</v>
      </c>
      <c r="E21" s="4">
        <f>IF(('Hampshire Daily'!D24-'Hampshire Daily'!D23&lt;0), "0",('Hampshire Daily'!D24-'Hampshire Daily'!D23)*10)</f>
        <v>0</v>
      </c>
      <c r="F21" s="4">
        <f>IF(('Hampshire Daily'!F24-'Hampshire Daily'!F23&lt;0), "0",('Hampshire Daily'!F24-'Hampshire Daily'!F23)*10)</f>
        <v>0</v>
      </c>
      <c r="G21" s="4">
        <f>IF(('Hampshire Daily'!H24-'Hampshire Daily'!H23&lt;0), "0",'Hampshire Daily'!H24-'Hampshire Daily'!H23)</f>
        <v>0</v>
      </c>
      <c r="H21" s="4">
        <f>IF(('Hampshire Daily'!I24-'Hampshire Daily'!I23&lt;0), "0",'Hampshire Daily'!I24-'Hampshire Daily'!I23)</f>
        <v>0</v>
      </c>
      <c r="I21" s="4">
        <f>IF(('Hampshire Daily'!J24-'Hampshire Daily'!J23&lt;0), "0",'Hampshire Daily'!J24-'Hampshire Daily'!J23)</f>
        <v>0</v>
      </c>
      <c r="J21" s="4">
        <f>IF(('Hampshire Daily'!K24-'Hampshire Daily'!K23&lt;0), "0",'Hampshire Daily'!K24-'Hampshire Daily'!K23)</f>
        <v>0</v>
      </c>
      <c r="K21" s="4">
        <f>IF(('Hampshire Daily'!L24-'Hampshire Daily'!L23&lt;0), "0",'Hampshire Daily'!L24-'Hampshire Daily'!L23)</f>
        <v>0</v>
      </c>
      <c r="L21" s="4">
        <f>IF(('Hampshire Daily'!M24-'Hampshire Daily'!M23&lt;0), "0",'Hampshire Daily'!M24-'Hampshire Daily'!M23)</f>
        <v>0</v>
      </c>
      <c r="M21" s="4">
        <f>IF(('Hampshire Daily'!N24-'Hampshire Daily'!N23&lt;0), "0",'Hampshire Daily'!N24-'Hampshire Daily'!N23)</f>
        <v>0</v>
      </c>
      <c r="N21" s="4">
        <f>IF(('Hampshire Daily'!O24-'Hampshire Daily'!O23&lt;0), "0",'Hampshire Daily'!O24-'Hampshire Daily'!O23)</f>
        <v>0</v>
      </c>
      <c r="O21" s="4">
        <f>IF(('Hampshire Daily'!P24-'Hampshire Daily'!P23&lt;0), "0",'Hampshire Daily'!P24-'Hampshire Daily'!P23)</f>
        <v>0</v>
      </c>
      <c r="P21" s="4">
        <f>IF(('Hampshire Daily'!Q24-'Hampshire Daily'!Q23&lt;0), "0",'Hampshire Daily'!Q24-'Hampshire Daily'!Q23)</f>
        <v>0</v>
      </c>
      <c r="Q21" s="4">
        <f>IF(('Hampshire Daily'!R24-'Hampshire Daily'!R23&lt;0), "0",'Hampshire Daily'!R24-'Hampshire Daily'!R23)</f>
        <v>0</v>
      </c>
      <c r="R21" s="4">
        <f>IF(('Hampshire Daily'!U24-'Hampshire Daily'!U23&lt;0), "0",'Hampshire Daily'!U24-'Hampshire Daily'!U23)</f>
        <v>0</v>
      </c>
      <c r="S21" s="4">
        <f>IF(('Hampshire Daily'!V24-'Hampshire Daily'!V23&lt;0), "0",'Hampshire Daily'!V24-'Hampshire Daily'!V23)</f>
        <v>0</v>
      </c>
      <c r="T21" s="4">
        <f>IF(('Hampshire Daily'!W24-'Hampshire Daily'!W23&lt;0), "0",'Hampshire Daily'!W24-'Hampshire Daily'!W23)</f>
        <v>0</v>
      </c>
      <c r="U21" s="4">
        <f>IF(('Hampshire Daily'!X24-'Hampshire Daily'!X23&lt;0), "0",'Hampshire Daily'!X24-'Hampshire Daily'!X23)</f>
        <v>0</v>
      </c>
      <c r="V21" s="4">
        <f>IF(('Hampshire Daily'!Y24-'Hampshire Daily'!Y23&lt;0), "0",'Hampshire Daily'!Y24-'Hampshire Daily'!Y23)</f>
        <v>0</v>
      </c>
      <c r="W21" s="4">
        <f>IF(('Hampshire Daily'!Z24-'Hampshire Daily'!Z23&lt;0), "0",'Hampshire Daily'!Z24-'Hampshire Daily'!Z23)</f>
        <v>0</v>
      </c>
      <c r="X21" s="4">
        <f>'Hampshire Daily'!B24</f>
        <v>0</v>
      </c>
      <c r="Y21" s="4">
        <f>'Hampshire Daily'!C24</f>
        <v>0</v>
      </c>
    </row>
    <row r="22" spans="1:25" x14ac:dyDescent="0.35">
      <c r="A22" s="3" t="s">
        <v>42</v>
      </c>
      <c r="B22" s="1">
        <f t="shared" si="0"/>
        <v>21</v>
      </c>
      <c r="C22" s="18">
        <v>10</v>
      </c>
      <c r="D22" s="1">
        <v>2019</v>
      </c>
      <c r="E22" s="4">
        <f>IF(('Hampshire Daily'!D25-'Hampshire Daily'!D24&lt;0), "0",('Hampshire Daily'!D25-'Hampshire Daily'!D24)*10)</f>
        <v>0</v>
      </c>
      <c r="F22" s="4">
        <f>IF(('Hampshire Daily'!F25-'Hampshire Daily'!F24&lt;0), "0",('Hampshire Daily'!F25-'Hampshire Daily'!F24)*10)</f>
        <v>0</v>
      </c>
      <c r="G22" s="4">
        <f>IF(('Hampshire Daily'!H25-'Hampshire Daily'!H24&lt;0), "0",'Hampshire Daily'!H25-'Hampshire Daily'!H24)</f>
        <v>0</v>
      </c>
      <c r="H22" s="4">
        <f>IF(('Hampshire Daily'!I25-'Hampshire Daily'!I24&lt;0), "0",'Hampshire Daily'!I25-'Hampshire Daily'!I24)</f>
        <v>0</v>
      </c>
      <c r="I22" s="4">
        <f>IF(('Hampshire Daily'!J25-'Hampshire Daily'!J24&lt;0), "0",'Hampshire Daily'!J25-'Hampshire Daily'!J24)</f>
        <v>0</v>
      </c>
      <c r="J22" s="4">
        <f>IF(('Hampshire Daily'!K25-'Hampshire Daily'!K24&lt;0), "0",'Hampshire Daily'!K25-'Hampshire Daily'!K24)</f>
        <v>0</v>
      </c>
      <c r="K22" s="4">
        <f>IF(('Hampshire Daily'!L25-'Hampshire Daily'!L24&lt;0), "0",'Hampshire Daily'!L25-'Hampshire Daily'!L24)</f>
        <v>0</v>
      </c>
      <c r="L22" s="4">
        <f>IF(('Hampshire Daily'!M25-'Hampshire Daily'!M24&lt;0), "0",'Hampshire Daily'!M25-'Hampshire Daily'!M24)</f>
        <v>0</v>
      </c>
      <c r="M22" s="4">
        <f>IF(('Hampshire Daily'!N25-'Hampshire Daily'!N24&lt;0), "0",'Hampshire Daily'!N25-'Hampshire Daily'!N24)</f>
        <v>0</v>
      </c>
      <c r="N22" s="4">
        <f>IF(('Hampshire Daily'!O25-'Hampshire Daily'!O24&lt;0), "0",'Hampshire Daily'!O25-'Hampshire Daily'!O24)</f>
        <v>0</v>
      </c>
      <c r="O22" s="4">
        <f>IF(('Hampshire Daily'!P25-'Hampshire Daily'!P24&lt;0), "0",'Hampshire Daily'!P25-'Hampshire Daily'!P24)</f>
        <v>0</v>
      </c>
      <c r="P22" s="4">
        <f>IF(('Hampshire Daily'!Q25-'Hampshire Daily'!Q24&lt;0), "0",'Hampshire Daily'!Q25-'Hampshire Daily'!Q24)</f>
        <v>0</v>
      </c>
      <c r="Q22" s="4">
        <f>IF(('Hampshire Daily'!R25-'Hampshire Daily'!R24&lt;0), "0",'Hampshire Daily'!R25-'Hampshire Daily'!R24)</f>
        <v>0</v>
      </c>
      <c r="R22" s="4">
        <f>IF(('Hampshire Daily'!U25-'Hampshire Daily'!U24&lt;0), "0",'Hampshire Daily'!U25-'Hampshire Daily'!U24)</f>
        <v>0</v>
      </c>
      <c r="S22" s="4">
        <f>IF(('Hampshire Daily'!V25-'Hampshire Daily'!V24&lt;0), "0",'Hampshire Daily'!V25-'Hampshire Daily'!V24)</f>
        <v>0</v>
      </c>
      <c r="T22" s="4">
        <f>IF(('Hampshire Daily'!W25-'Hampshire Daily'!W24&lt;0), "0",'Hampshire Daily'!W25-'Hampshire Daily'!W24)</f>
        <v>0</v>
      </c>
      <c r="U22" s="4">
        <f>IF(('Hampshire Daily'!X25-'Hampshire Daily'!X24&lt;0), "0",'Hampshire Daily'!X25-'Hampshire Daily'!X24)</f>
        <v>0</v>
      </c>
      <c r="V22" s="4">
        <f>IF(('Hampshire Daily'!Y25-'Hampshire Daily'!Y24&lt;0), "0",'Hampshire Daily'!Y25-'Hampshire Daily'!Y24)</f>
        <v>0</v>
      </c>
      <c r="W22" s="4">
        <f>IF(('Hampshire Daily'!Z25-'Hampshire Daily'!Z24&lt;0), "0",'Hampshire Daily'!Z25-'Hampshire Daily'!Z24)</f>
        <v>0</v>
      </c>
      <c r="X22" s="4">
        <f>'Hampshire Daily'!B25</f>
        <v>0</v>
      </c>
      <c r="Y22" s="4">
        <f>'Hampshire Daily'!C25</f>
        <v>0</v>
      </c>
    </row>
    <row r="23" spans="1:25" x14ac:dyDescent="0.35">
      <c r="A23" s="3" t="s">
        <v>42</v>
      </c>
      <c r="B23" s="1">
        <f t="shared" si="0"/>
        <v>22</v>
      </c>
      <c r="C23" s="18">
        <v>10</v>
      </c>
      <c r="D23" s="1">
        <v>2019</v>
      </c>
      <c r="E23" s="4">
        <f>IF(('Hampshire Daily'!D26-'Hampshire Daily'!D25&lt;0), "0",('Hampshire Daily'!D26-'Hampshire Daily'!D25)*10)</f>
        <v>0</v>
      </c>
      <c r="F23" s="4">
        <f>IF(('Hampshire Daily'!F26-'Hampshire Daily'!F25&lt;0), "0",('Hampshire Daily'!F26-'Hampshire Daily'!F25)*10)</f>
        <v>0</v>
      </c>
      <c r="G23" s="4">
        <f>IF(('Hampshire Daily'!H26-'Hampshire Daily'!H25&lt;0), "0",'Hampshire Daily'!H26-'Hampshire Daily'!H25)</f>
        <v>0</v>
      </c>
      <c r="H23" s="4">
        <f>IF(('Hampshire Daily'!I26-'Hampshire Daily'!I25&lt;0), "0",'Hampshire Daily'!I26-'Hampshire Daily'!I25)</f>
        <v>0</v>
      </c>
      <c r="I23" s="4">
        <f>IF(('Hampshire Daily'!J26-'Hampshire Daily'!J25&lt;0), "0",'Hampshire Daily'!J26-'Hampshire Daily'!J25)</f>
        <v>0</v>
      </c>
      <c r="J23" s="4">
        <f>IF(('Hampshire Daily'!K26-'Hampshire Daily'!K25&lt;0), "0",'Hampshire Daily'!K26-'Hampshire Daily'!K25)</f>
        <v>0</v>
      </c>
      <c r="K23" s="4">
        <f>IF(('Hampshire Daily'!L26-'Hampshire Daily'!L25&lt;0), "0",'Hampshire Daily'!L26-'Hampshire Daily'!L25)</f>
        <v>0</v>
      </c>
      <c r="L23" s="4">
        <f>IF(('Hampshire Daily'!M26-'Hampshire Daily'!M25&lt;0), "0",'Hampshire Daily'!M26-'Hampshire Daily'!M25)</f>
        <v>0</v>
      </c>
      <c r="M23" s="4">
        <f>IF(('Hampshire Daily'!N26-'Hampshire Daily'!N25&lt;0), "0",'Hampshire Daily'!N26-'Hampshire Daily'!N25)</f>
        <v>0</v>
      </c>
      <c r="N23" s="4">
        <f>IF(('Hampshire Daily'!O26-'Hampshire Daily'!O25&lt;0), "0",'Hampshire Daily'!O26-'Hampshire Daily'!O25)</f>
        <v>0</v>
      </c>
      <c r="O23" s="4">
        <f>IF(('Hampshire Daily'!P26-'Hampshire Daily'!P25&lt;0), "0",'Hampshire Daily'!P26-'Hampshire Daily'!P25)</f>
        <v>0</v>
      </c>
      <c r="P23" s="4">
        <f>IF(('Hampshire Daily'!Q26-'Hampshire Daily'!Q25&lt;0), "0",'Hampshire Daily'!Q26-'Hampshire Daily'!Q25)</f>
        <v>0</v>
      </c>
      <c r="Q23" s="4">
        <f>IF(('Hampshire Daily'!R26-'Hampshire Daily'!R25&lt;0), "0",'Hampshire Daily'!R26-'Hampshire Daily'!R25)</f>
        <v>0</v>
      </c>
      <c r="R23" s="4">
        <f>IF(('Hampshire Daily'!U26-'Hampshire Daily'!U25&lt;0), "0",'Hampshire Daily'!U26-'Hampshire Daily'!U25)</f>
        <v>0</v>
      </c>
      <c r="S23" s="4">
        <f>IF(('Hampshire Daily'!V26-'Hampshire Daily'!V25&lt;0), "0",'Hampshire Daily'!V26-'Hampshire Daily'!V25)</f>
        <v>0</v>
      </c>
      <c r="T23" s="4">
        <f>IF(('Hampshire Daily'!W26-'Hampshire Daily'!W25&lt;0), "0",'Hampshire Daily'!W26-'Hampshire Daily'!W25)</f>
        <v>0</v>
      </c>
      <c r="U23" s="4">
        <f>IF(('Hampshire Daily'!X26-'Hampshire Daily'!X25&lt;0), "0",'Hampshire Daily'!X26-'Hampshire Daily'!X25)</f>
        <v>0</v>
      </c>
      <c r="V23" s="4">
        <f>IF(('Hampshire Daily'!Y26-'Hampshire Daily'!Y25&lt;0), "0",'Hampshire Daily'!Y26-'Hampshire Daily'!Y25)</f>
        <v>0</v>
      </c>
      <c r="W23" s="4">
        <f>IF(('Hampshire Daily'!Z26-'Hampshire Daily'!Z25&lt;0), "0",'Hampshire Daily'!Z26-'Hampshire Daily'!Z25)</f>
        <v>0</v>
      </c>
      <c r="X23" s="4">
        <f>'Hampshire Daily'!B26</f>
        <v>0</v>
      </c>
      <c r="Y23" s="4">
        <f>'Hampshire Daily'!C26</f>
        <v>0</v>
      </c>
    </row>
    <row r="24" spans="1:25" x14ac:dyDescent="0.35">
      <c r="A24" s="3" t="s">
        <v>42</v>
      </c>
      <c r="B24" s="1">
        <f t="shared" si="0"/>
        <v>23</v>
      </c>
      <c r="C24" s="18">
        <v>10</v>
      </c>
      <c r="D24" s="1">
        <v>2019</v>
      </c>
      <c r="E24" s="4">
        <f>IF(('Hampshire Daily'!D27-'Hampshire Daily'!D26&lt;0), "0",('Hampshire Daily'!D27-'Hampshire Daily'!D26)*10)</f>
        <v>0</v>
      </c>
      <c r="F24" s="4">
        <f>IF(('Hampshire Daily'!F27-'Hampshire Daily'!F26&lt;0), "0",('Hampshire Daily'!F27-'Hampshire Daily'!F26)*10)</f>
        <v>0</v>
      </c>
      <c r="G24" s="4">
        <f>IF(('Hampshire Daily'!H27-'Hampshire Daily'!H26&lt;0), "0",'Hampshire Daily'!H27-'Hampshire Daily'!H26)</f>
        <v>0</v>
      </c>
      <c r="H24" s="4">
        <f>IF(('Hampshire Daily'!I27-'Hampshire Daily'!I26&lt;0), "0",'Hampshire Daily'!I27-'Hampshire Daily'!I26)</f>
        <v>0</v>
      </c>
      <c r="I24" s="4">
        <f>IF(('Hampshire Daily'!J27-'Hampshire Daily'!J26&lt;0), "0",'Hampshire Daily'!J27-'Hampshire Daily'!J26)</f>
        <v>0</v>
      </c>
      <c r="J24" s="4">
        <f>IF(('Hampshire Daily'!K27-'Hampshire Daily'!K26&lt;0), "0",'Hampshire Daily'!K27-'Hampshire Daily'!K26)</f>
        <v>0</v>
      </c>
      <c r="K24" s="4">
        <f>IF(('Hampshire Daily'!L27-'Hampshire Daily'!L26&lt;0), "0",'Hampshire Daily'!L27-'Hampshire Daily'!L26)</f>
        <v>0</v>
      </c>
      <c r="L24" s="4">
        <f>IF(('Hampshire Daily'!M27-'Hampshire Daily'!M26&lt;0), "0",'Hampshire Daily'!M27-'Hampshire Daily'!M26)</f>
        <v>0</v>
      </c>
      <c r="M24" s="4">
        <f>IF(('Hampshire Daily'!N27-'Hampshire Daily'!N26&lt;0), "0",'Hampshire Daily'!N27-'Hampshire Daily'!N26)</f>
        <v>0</v>
      </c>
      <c r="N24" s="4">
        <f>IF(('Hampshire Daily'!O27-'Hampshire Daily'!O26&lt;0), "0",'Hampshire Daily'!O27-'Hampshire Daily'!O26)</f>
        <v>0</v>
      </c>
      <c r="O24" s="4">
        <f>IF(('Hampshire Daily'!P27-'Hampshire Daily'!P26&lt;0), "0",'Hampshire Daily'!P27-'Hampshire Daily'!P26)</f>
        <v>0</v>
      </c>
      <c r="P24" s="4">
        <f>IF(('Hampshire Daily'!Q27-'Hampshire Daily'!Q26&lt;0), "0",'Hampshire Daily'!Q27-'Hampshire Daily'!Q26)</f>
        <v>0</v>
      </c>
      <c r="Q24" s="4">
        <f>IF(('Hampshire Daily'!R27-'Hampshire Daily'!R26&lt;0), "0",'Hampshire Daily'!R27-'Hampshire Daily'!R26)</f>
        <v>0</v>
      </c>
      <c r="R24" s="4">
        <f>IF(('Hampshire Daily'!U27-'Hampshire Daily'!U26&lt;0), "0",'Hampshire Daily'!U27-'Hampshire Daily'!U26)</f>
        <v>0</v>
      </c>
      <c r="S24" s="4">
        <f>IF(('Hampshire Daily'!V27-'Hampshire Daily'!V26&lt;0), "0",'Hampshire Daily'!V27-'Hampshire Daily'!V26)</f>
        <v>0</v>
      </c>
      <c r="T24" s="4">
        <f>IF(('Hampshire Daily'!W27-'Hampshire Daily'!W26&lt;0), "0",'Hampshire Daily'!W27-'Hampshire Daily'!W26)</f>
        <v>0</v>
      </c>
      <c r="U24" s="4">
        <f>IF(('Hampshire Daily'!X27-'Hampshire Daily'!X26&lt;0), "0",'Hampshire Daily'!X27-'Hampshire Daily'!X26)</f>
        <v>0</v>
      </c>
      <c r="V24" s="4">
        <f>IF(('Hampshire Daily'!Y27-'Hampshire Daily'!Y26&lt;0), "0",'Hampshire Daily'!Y27-'Hampshire Daily'!Y26)</f>
        <v>0</v>
      </c>
      <c r="W24" s="4">
        <f>IF(('Hampshire Daily'!Z27-'Hampshire Daily'!Z26&lt;0), "0",'Hampshire Daily'!Z27-'Hampshire Daily'!Z26)</f>
        <v>0</v>
      </c>
      <c r="X24" s="4">
        <f>'Hampshire Daily'!B27</f>
        <v>0</v>
      </c>
      <c r="Y24" s="4">
        <f>'Hampshire Daily'!C27</f>
        <v>0</v>
      </c>
    </row>
    <row r="25" spans="1:25" x14ac:dyDescent="0.35">
      <c r="A25" s="3" t="s">
        <v>42</v>
      </c>
      <c r="B25" s="1">
        <f t="shared" si="0"/>
        <v>24</v>
      </c>
      <c r="C25" s="18">
        <v>10</v>
      </c>
      <c r="D25" s="1">
        <v>2019</v>
      </c>
      <c r="E25" s="4">
        <f>IF(('Hampshire Daily'!D28-'Hampshire Daily'!D27&lt;0), "0",('Hampshire Daily'!D28-'Hampshire Daily'!D27)*10)</f>
        <v>0</v>
      </c>
      <c r="F25" s="4">
        <f>IF(('Hampshire Daily'!F28-'Hampshire Daily'!F27&lt;0), "0",('Hampshire Daily'!F28-'Hampshire Daily'!F27)*10)</f>
        <v>0</v>
      </c>
      <c r="G25" s="4">
        <f>IF(('Hampshire Daily'!H28-'Hampshire Daily'!H27&lt;0), "0",'Hampshire Daily'!H28-'Hampshire Daily'!H27)</f>
        <v>0</v>
      </c>
      <c r="H25" s="4">
        <f>IF(('Hampshire Daily'!I28-'Hampshire Daily'!I27&lt;0), "0",'Hampshire Daily'!I28-'Hampshire Daily'!I27)</f>
        <v>0</v>
      </c>
      <c r="I25" s="4">
        <f>IF(('Hampshire Daily'!J28-'Hampshire Daily'!J27&lt;0), "0",'Hampshire Daily'!J28-'Hampshire Daily'!J27)</f>
        <v>0</v>
      </c>
      <c r="J25" s="4">
        <f>IF(('Hampshire Daily'!K28-'Hampshire Daily'!K27&lt;0), "0",'Hampshire Daily'!K28-'Hampshire Daily'!K27)</f>
        <v>0</v>
      </c>
      <c r="K25" s="4">
        <f>IF(('Hampshire Daily'!L28-'Hampshire Daily'!L27&lt;0), "0",'Hampshire Daily'!L28-'Hampshire Daily'!L27)</f>
        <v>0</v>
      </c>
      <c r="L25" s="4">
        <f>IF(('Hampshire Daily'!M28-'Hampshire Daily'!M27&lt;0), "0",'Hampshire Daily'!M28-'Hampshire Daily'!M27)</f>
        <v>0</v>
      </c>
      <c r="M25" s="4">
        <f>IF(('Hampshire Daily'!N28-'Hampshire Daily'!N27&lt;0), "0",'Hampshire Daily'!N28-'Hampshire Daily'!N27)</f>
        <v>0</v>
      </c>
      <c r="N25" s="4">
        <f>IF(('Hampshire Daily'!O28-'Hampshire Daily'!O27&lt;0), "0",'Hampshire Daily'!O28-'Hampshire Daily'!O27)</f>
        <v>0</v>
      </c>
      <c r="O25" s="4">
        <f>IF(('Hampshire Daily'!P28-'Hampshire Daily'!P27&lt;0), "0",'Hampshire Daily'!P28-'Hampshire Daily'!P27)</f>
        <v>0</v>
      </c>
      <c r="P25" s="4">
        <f>IF(('Hampshire Daily'!Q28-'Hampshire Daily'!Q27&lt;0), "0",'Hampshire Daily'!Q28-'Hampshire Daily'!Q27)</f>
        <v>0</v>
      </c>
      <c r="Q25" s="4">
        <f>IF(('Hampshire Daily'!R28-'Hampshire Daily'!R27&lt;0), "0",'Hampshire Daily'!R28-'Hampshire Daily'!R27)</f>
        <v>0</v>
      </c>
      <c r="R25" s="4">
        <f>IF(('Hampshire Daily'!U28-'Hampshire Daily'!U27&lt;0), "0",'Hampshire Daily'!U28-'Hampshire Daily'!U27)</f>
        <v>0</v>
      </c>
      <c r="S25" s="4">
        <f>IF(('Hampshire Daily'!V28-'Hampshire Daily'!V27&lt;0), "0",'Hampshire Daily'!V28-'Hampshire Daily'!V27)</f>
        <v>0</v>
      </c>
      <c r="T25" s="4">
        <f>IF(('Hampshire Daily'!W28-'Hampshire Daily'!W27&lt;0), "0",'Hampshire Daily'!W28-'Hampshire Daily'!W27)</f>
        <v>0</v>
      </c>
      <c r="U25" s="4">
        <f>IF(('Hampshire Daily'!X28-'Hampshire Daily'!X27&lt;0), "0",'Hampshire Daily'!X28-'Hampshire Daily'!X27)</f>
        <v>0</v>
      </c>
      <c r="V25" s="4">
        <f>IF(('Hampshire Daily'!Y28-'Hampshire Daily'!Y27&lt;0), "0",'Hampshire Daily'!Y28-'Hampshire Daily'!Y27)</f>
        <v>0</v>
      </c>
      <c r="W25" s="4">
        <f>IF(('Hampshire Daily'!Z28-'Hampshire Daily'!Z27&lt;0), "0",'Hampshire Daily'!Z28-'Hampshire Daily'!Z27)</f>
        <v>0</v>
      </c>
      <c r="X25" s="4">
        <f>'Hampshire Daily'!B28</f>
        <v>0</v>
      </c>
      <c r="Y25" s="4">
        <f>'Hampshire Daily'!C28</f>
        <v>0</v>
      </c>
    </row>
    <row r="26" spans="1:25" x14ac:dyDescent="0.35">
      <c r="A26" s="3" t="s">
        <v>42</v>
      </c>
      <c r="B26" s="15">
        <f>B25+1</f>
        <v>25</v>
      </c>
      <c r="C26" s="18">
        <v>10</v>
      </c>
      <c r="D26" s="1">
        <v>2019</v>
      </c>
      <c r="E26" s="4">
        <f>IF(('Hampshire Daily'!D29-'Hampshire Daily'!D28&lt;0), "0",('Hampshire Daily'!D29-'Hampshire Daily'!D28)*10)</f>
        <v>0</v>
      </c>
      <c r="F26" s="4">
        <f>IF(('Hampshire Daily'!F29-'Hampshire Daily'!F28&lt;0), "0",('Hampshire Daily'!F29-'Hampshire Daily'!F28)*10)</f>
        <v>0</v>
      </c>
      <c r="G26" s="4">
        <f>IF(('Hampshire Daily'!H29-'Hampshire Daily'!H28&lt;0), "0",'Hampshire Daily'!H29-'Hampshire Daily'!H28)</f>
        <v>0</v>
      </c>
      <c r="H26" s="4">
        <f>IF(('Hampshire Daily'!I29-'Hampshire Daily'!I28&lt;0), "0",'Hampshire Daily'!I29-'Hampshire Daily'!I28)</f>
        <v>0</v>
      </c>
      <c r="I26" s="4">
        <f>IF(('Hampshire Daily'!J29-'Hampshire Daily'!J28&lt;0), "0",'Hampshire Daily'!J29-'Hampshire Daily'!J28)</f>
        <v>0</v>
      </c>
      <c r="J26" s="4">
        <f>IF(('Hampshire Daily'!K29-'Hampshire Daily'!K28&lt;0), "0",'Hampshire Daily'!K29-'Hampshire Daily'!K28)</f>
        <v>0</v>
      </c>
      <c r="K26" s="4">
        <f>IF(('Hampshire Daily'!L29-'Hampshire Daily'!L28&lt;0), "0",'Hampshire Daily'!L29-'Hampshire Daily'!L28)</f>
        <v>0</v>
      </c>
      <c r="L26" s="4">
        <f>IF(('Hampshire Daily'!M29-'Hampshire Daily'!M28&lt;0), "0",'Hampshire Daily'!M29-'Hampshire Daily'!M28)</f>
        <v>0</v>
      </c>
      <c r="M26" s="4">
        <f>IF(('Hampshire Daily'!N29-'Hampshire Daily'!N28&lt;0), "0",'Hampshire Daily'!N29-'Hampshire Daily'!N28)</f>
        <v>0</v>
      </c>
      <c r="N26" s="4">
        <f>IF(('Hampshire Daily'!O29-'Hampshire Daily'!O28&lt;0), "0",'Hampshire Daily'!O29-'Hampshire Daily'!O28)</f>
        <v>0</v>
      </c>
      <c r="O26" s="4">
        <f>IF(('Hampshire Daily'!P29-'Hampshire Daily'!P28&lt;0), "0",'Hampshire Daily'!P29-'Hampshire Daily'!P28)</f>
        <v>0</v>
      </c>
      <c r="P26" s="4">
        <f>IF(('Hampshire Daily'!Q29-'Hampshire Daily'!Q28&lt;0), "0",'Hampshire Daily'!Q29-'Hampshire Daily'!Q28)</f>
        <v>0</v>
      </c>
      <c r="Q26" s="4">
        <f>IF(('Hampshire Daily'!R29-'Hampshire Daily'!R28&lt;0), "0",'Hampshire Daily'!R29-'Hampshire Daily'!R28)</f>
        <v>0</v>
      </c>
      <c r="R26" s="4">
        <f>IF(('Hampshire Daily'!U29-'Hampshire Daily'!U28&lt;0), "0",'Hampshire Daily'!U29-'Hampshire Daily'!U28)</f>
        <v>0</v>
      </c>
      <c r="S26" s="4">
        <f>IF(('Hampshire Daily'!V29-'Hampshire Daily'!V28&lt;0), "0",'Hampshire Daily'!V29-'Hampshire Daily'!V28)</f>
        <v>0</v>
      </c>
      <c r="T26" s="4">
        <f>IF(('Hampshire Daily'!W29-'Hampshire Daily'!W28&lt;0), "0",'Hampshire Daily'!W29-'Hampshire Daily'!W28)</f>
        <v>0</v>
      </c>
      <c r="U26" s="4">
        <f>IF(('Hampshire Daily'!X29-'Hampshire Daily'!X28&lt;0), "0",'Hampshire Daily'!X29-'Hampshire Daily'!X28)</f>
        <v>0</v>
      </c>
      <c r="V26" s="4">
        <f>IF(('Hampshire Daily'!Y29-'Hampshire Daily'!Y28&lt;0), "0",'Hampshire Daily'!Y29-'Hampshire Daily'!Y28)</f>
        <v>0</v>
      </c>
      <c r="W26" s="4">
        <f>IF(('Hampshire Daily'!Z29-'Hampshire Daily'!Z28&lt;0), "0",'Hampshire Daily'!Z29-'Hampshire Daily'!Z28)</f>
        <v>0</v>
      </c>
      <c r="X26" s="4">
        <f>'Hampshire Daily'!B29</f>
        <v>0</v>
      </c>
      <c r="Y26" s="4">
        <f>'Hampshire Daily'!C29</f>
        <v>0</v>
      </c>
    </row>
    <row r="27" spans="1:25" x14ac:dyDescent="0.35">
      <c r="A27" s="3" t="s">
        <v>42</v>
      </c>
      <c r="B27" s="1">
        <f t="shared" si="0"/>
        <v>26</v>
      </c>
      <c r="C27" s="18">
        <v>10</v>
      </c>
      <c r="D27" s="1">
        <v>2019</v>
      </c>
      <c r="E27" s="4">
        <f>IF(('Hampshire Daily'!D30-'Hampshire Daily'!D29&lt;0), "0",('Hampshire Daily'!D30-'Hampshire Daily'!D29)*10)</f>
        <v>0</v>
      </c>
      <c r="F27" s="4">
        <f>IF(('Hampshire Daily'!F30-'Hampshire Daily'!F29&lt;0), "0",('Hampshire Daily'!F30-'Hampshire Daily'!F29)*10)</f>
        <v>0</v>
      </c>
      <c r="G27" s="4">
        <f>IF(('Hampshire Daily'!H30-'Hampshire Daily'!H29&lt;0), "0",'Hampshire Daily'!H30-'Hampshire Daily'!H29)</f>
        <v>0</v>
      </c>
      <c r="H27" s="4">
        <f>IF(('Hampshire Daily'!I30-'Hampshire Daily'!I29&lt;0), "0",'Hampshire Daily'!I30-'Hampshire Daily'!I29)</f>
        <v>0</v>
      </c>
      <c r="I27" s="4">
        <f>IF(('Hampshire Daily'!J30-'Hampshire Daily'!J29&lt;0), "0",'Hampshire Daily'!J30-'Hampshire Daily'!J29)</f>
        <v>0</v>
      </c>
      <c r="J27" s="4">
        <f>IF(('Hampshire Daily'!K30-'Hampshire Daily'!K29&lt;0), "0",'Hampshire Daily'!K30-'Hampshire Daily'!K29)</f>
        <v>0</v>
      </c>
      <c r="K27" s="4">
        <f>IF(('Hampshire Daily'!L30-'Hampshire Daily'!L29&lt;0), "0",'Hampshire Daily'!L30-'Hampshire Daily'!L29)</f>
        <v>0</v>
      </c>
      <c r="L27" s="4">
        <f>IF(('Hampshire Daily'!M30-'Hampshire Daily'!M29&lt;0), "0",'Hampshire Daily'!M30-'Hampshire Daily'!M29)</f>
        <v>0</v>
      </c>
      <c r="M27" s="4">
        <f>IF(('Hampshire Daily'!N30-'Hampshire Daily'!N29&lt;0), "0",'Hampshire Daily'!N30-'Hampshire Daily'!N29)</f>
        <v>0</v>
      </c>
      <c r="N27" s="4">
        <f>IF(('Hampshire Daily'!O30-'Hampshire Daily'!O29&lt;0), "0",'Hampshire Daily'!O30-'Hampshire Daily'!O29)</f>
        <v>0</v>
      </c>
      <c r="O27" s="4">
        <f>IF(('Hampshire Daily'!P30-'Hampshire Daily'!P29&lt;0), "0",'Hampshire Daily'!P30-'Hampshire Daily'!P29)</f>
        <v>0</v>
      </c>
      <c r="P27" s="4">
        <f>IF(('Hampshire Daily'!Q30-'Hampshire Daily'!Q29&lt;0), "0",'Hampshire Daily'!Q30-'Hampshire Daily'!Q29)</f>
        <v>0</v>
      </c>
      <c r="Q27" s="4">
        <f>IF(('Hampshire Daily'!R30-'Hampshire Daily'!R29&lt;0), "0",'Hampshire Daily'!R30-'Hampshire Daily'!R29)</f>
        <v>0</v>
      </c>
      <c r="R27" s="4">
        <f>IF(('Hampshire Daily'!U30-'Hampshire Daily'!U29&lt;0), "0",'Hampshire Daily'!U30-'Hampshire Daily'!U29)</f>
        <v>0</v>
      </c>
      <c r="S27" s="4">
        <f>IF(('Hampshire Daily'!V30-'Hampshire Daily'!V29&lt;0), "0",'Hampshire Daily'!V30-'Hampshire Daily'!V29)</f>
        <v>0</v>
      </c>
      <c r="T27" s="4">
        <f>IF(('Hampshire Daily'!W30-'Hampshire Daily'!W29&lt;0), "0",'Hampshire Daily'!W30-'Hampshire Daily'!W29)</f>
        <v>0</v>
      </c>
      <c r="U27" s="4">
        <f>IF(('Hampshire Daily'!X30-'Hampshire Daily'!X29&lt;0), "0",'Hampshire Daily'!X30-'Hampshire Daily'!X29)</f>
        <v>0</v>
      </c>
      <c r="V27" s="4">
        <f>IF(('Hampshire Daily'!Y30-'Hampshire Daily'!Y29&lt;0), "0",'Hampshire Daily'!Y30-'Hampshire Daily'!Y29)</f>
        <v>0</v>
      </c>
      <c r="W27" s="4">
        <f>IF(('Hampshire Daily'!Z30-'Hampshire Daily'!Z29&lt;0), "0",'Hampshire Daily'!Z30-'Hampshire Daily'!Z29)</f>
        <v>0</v>
      </c>
      <c r="X27" s="4">
        <f>'Hampshire Daily'!B30</f>
        <v>0</v>
      </c>
      <c r="Y27" s="4">
        <f>'Hampshire Daily'!C30</f>
        <v>0</v>
      </c>
    </row>
    <row r="28" spans="1:25" x14ac:dyDescent="0.35">
      <c r="A28" s="3" t="s">
        <v>42</v>
      </c>
      <c r="B28" s="1">
        <f t="shared" si="0"/>
        <v>27</v>
      </c>
      <c r="C28" s="18">
        <v>10</v>
      </c>
      <c r="D28" s="1">
        <v>2019</v>
      </c>
      <c r="E28" s="4">
        <f>IF(('Hampshire Daily'!D31-'Hampshire Daily'!D30&lt;0), "0",('Hampshire Daily'!D31-'Hampshire Daily'!D30)*10)</f>
        <v>0</v>
      </c>
      <c r="F28" s="4">
        <f>IF(('Hampshire Daily'!F31-'Hampshire Daily'!F30&lt;0), "0",('Hampshire Daily'!F31-'Hampshire Daily'!F30)*10)</f>
        <v>0</v>
      </c>
      <c r="G28" s="4">
        <f>IF(('Hampshire Daily'!H31-'Hampshire Daily'!H30&lt;0), "0",'Hampshire Daily'!H31-'Hampshire Daily'!H30)</f>
        <v>0</v>
      </c>
      <c r="H28" s="4">
        <f>IF(('Hampshire Daily'!I31-'Hampshire Daily'!I30&lt;0), "0",'Hampshire Daily'!I31-'Hampshire Daily'!I30)</f>
        <v>0</v>
      </c>
      <c r="I28" s="4">
        <f>IF(('Hampshire Daily'!J31-'Hampshire Daily'!J30&lt;0), "0",'Hampshire Daily'!J31-'Hampshire Daily'!J30)</f>
        <v>0</v>
      </c>
      <c r="J28" s="4">
        <f>IF(('Hampshire Daily'!K31-'Hampshire Daily'!K30&lt;0), "0",'Hampshire Daily'!K31-'Hampshire Daily'!K30)</f>
        <v>0</v>
      </c>
      <c r="K28" s="4">
        <f>IF(('Hampshire Daily'!L31-'Hampshire Daily'!L30&lt;0), "0",'Hampshire Daily'!L31-'Hampshire Daily'!L30)</f>
        <v>0</v>
      </c>
      <c r="L28" s="4">
        <f>IF(('Hampshire Daily'!M31-'Hampshire Daily'!M30&lt;0), "0",'Hampshire Daily'!M31-'Hampshire Daily'!M30)</f>
        <v>0</v>
      </c>
      <c r="M28" s="4">
        <f>IF(('Hampshire Daily'!N31-'Hampshire Daily'!N30&lt;0), "0",'Hampshire Daily'!N31-'Hampshire Daily'!N30)</f>
        <v>0</v>
      </c>
      <c r="N28" s="4">
        <f>IF(('Hampshire Daily'!O31-'Hampshire Daily'!O30&lt;0), "0",'Hampshire Daily'!O31-'Hampshire Daily'!O30)</f>
        <v>0</v>
      </c>
      <c r="O28" s="4">
        <f>IF(('Hampshire Daily'!P31-'Hampshire Daily'!P30&lt;0), "0",'Hampshire Daily'!P31-'Hampshire Daily'!P30)</f>
        <v>0</v>
      </c>
      <c r="P28" s="4">
        <f>IF(('Hampshire Daily'!Q31-'Hampshire Daily'!Q30&lt;0), "0",'Hampshire Daily'!Q31-'Hampshire Daily'!Q30)</f>
        <v>0</v>
      </c>
      <c r="Q28" s="4">
        <f>IF(('Hampshire Daily'!R31-'Hampshire Daily'!R30&lt;0), "0",'Hampshire Daily'!R31-'Hampshire Daily'!R30)</f>
        <v>0</v>
      </c>
      <c r="R28" s="4">
        <f>IF(('Hampshire Daily'!U31-'Hampshire Daily'!U30&lt;0), "0",'Hampshire Daily'!U31-'Hampshire Daily'!U30)</f>
        <v>0</v>
      </c>
      <c r="S28" s="4">
        <f>IF(('Hampshire Daily'!V31-'Hampshire Daily'!V30&lt;0), "0",'Hampshire Daily'!V31-'Hampshire Daily'!V30)</f>
        <v>0</v>
      </c>
      <c r="T28" s="4">
        <f>IF(('Hampshire Daily'!W31-'Hampshire Daily'!W30&lt;0), "0",'Hampshire Daily'!W31-'Hampshire Daily'!W30)</f>
        <v>0</v>
      </c>
      <c r="U28" s="4">
        <f>IF(('Hampshire Daily'!X31-'Hampshire Daily'!X30&lt;0), "0",'Hampshire Daily'!X31-'Hampshire Daily'!X30)</f>
        <v>0</v>
      </c>
      <c r="V28" s="4">
        <f>IF(('Hampshire Daily'!Y31-'Hampshire Daily'!Y30&lt;0), "0",'Hampshire Daily'!Y31-'Hampshire Daily'!Y30)</f>
        <v>0</v>
      </c>
      <c r="W28" s="4">
        <f>IF(('Hampshire Daily'!Z31-'Hampshire Daily'!Z30&lt;0), "0",'Hampshire Daily'!Z31-'Hampshire Daily'!Z30)</f>
        <v>0</v>
      </c>
      <c r="X28" s="4">
        <f>'Hampshire Daily'!B31</f>
        <v>0</v>
      </c>
      <c r="Y28" s="4">
        <f>'Hampshire Daily'!C31</f>
        <v>0</v>
      </c>
    </row>
    <row r="29" spans="1:25" x14ac:dyDescent="0.35">
      <c r="A29" s="3" t="s">
        <v>42</v>
      </c>
      <c r="B29" s="1">
        <f t="shared" si="0"/>
        <v>28</v>
      </c>
      <c r="C29" s="18">
        <v>10</v>
      </c>
      <c r="D29" s="1">
        <v>2019</v>
      </c>
      <c r="E29" s="4">
        <f>IF(('Hampshire Daily'!D32-'Hampshire Daily'!D31&lt;0), "0",('Hampshire Daily'!D32-'Hampshire Daily'!D31)*10)</f>
        <v>0</v>
      </c>
      <c r="F29" s="4">
        <f>IF(('Hampshire Daily'!F32-'Hampshire Daily'!F31&lt;0), "0",('Hampshire Daily'!F32-'Hampshire Daily'!F31)*10)</f>
        <v>0</v>
      </c>
      <c r="G29" s="4">
        <f>IF(('Hampshire Daily'!H32-'Hampshire Daily'!H31&lt;0), "0",'Hampshire Daily'!H32-'Hampshire Daily'!H31)</f>
        <v>0</v>
      </c>
      <c r="H29" s="4">
        <f>IF(('Hampshire Daily'!I32-'Hampshire Daily'!I31&lt;0), "0",'Hampshire Daily'!I32-'Hampshire Daily'!I31)</f>
        <v>0</v>
      </c>
      <c r="I29" s="4">
        <f>IF(('Hampshire Daily'!J32-'Hampshire Daily'!J31&lt;0), "0",'Hampshire Daily'!J32-'Hampshire Daily'!J31)</f>
        <v>0</v>
      </c>
      <c r="J29" s="4">
        <f>IF(('Hampshire Daily'!K32-'Hampshire Daily'!K31&lt;0), "0",'Hampshire Daily'!K32-'Hampshire Daily'!K31)</f>
        <v>0</v>
      </c>
      <c r="K29" s="4">
        <f>IF(('Hampshire Daily'!L32-'Hampshire Daily'!L31&lt;0), "0",'Hampshire Daily'!L32-'Hampshire Daily'!L31)</f>
        <v>0</v>
      </c>
      <c r="L29" s="4">
        <f>IF(('Hampshire Daily'!M32-'Hampshire Daily'!M31&lt;0), "0",'Hampshire Daily'!M32-'Hampshire Daily'!M31)</f>
        <v>0</v>
      </c>
      <c r="M29" s="4">
        <f>IF(('Hampshire Daily'!N32-'Hampshire Daily'!N31&lt;0), "0",'Hampshire Daily'!N32-'Hampshire Daily'!N31)</f>
        <v>0</v>
      </c>
      <c r="N29" s="4">
        <f>IF(('Hampshire Daily'!O32-'Hampshire Daily'!O31&lt;0), "0",'Hampshire Daily'!O32-'Hampshire Daily'!O31)</f>
        <v>0</v>
      </c>
      <c r="O29" s="4">
        <f>IF(('Hampshire Daily'!P32-'Hampshire Daily'!P31&lt;0), "0",'Hampshire Daily'!P32-'Hampshire Daily'!P31)</f>
        <v>0</v>
      </c>
      <c r="P29" s="4">
        <f>IF(('Hampshire Daily'!Q32-'Hampshire Daily'!Q31&lt;0), "0",'Hampshire Daily'!Q32-'Hampshire Daily'!Q31)</f>
        <v>0</v>
      </c>
      <c r="Q29" s="4">
        <f>IF(('Hampshire Daily'!R32-'Hampshire Daily'!R31&lt;0), "0",'Hampshire Daily'!R32-'Hampshire Daily'!R31)</f>
        <v>0</v>
      </c>
      <c r="R29" s="4">
        <f>IF(('Hampshire Daily'!U32-'Hampshire Daily'!U31&lt;0), "0",'Hampshire Daily'!U32-'Hampshire Daily'!U31)</f>
        <v>0</v>
      </c>
      <c r="S29" s="4">
        <f>IF(('Hampshire Daily'!V32-'Hampshire Daily'!V31&lt;0), "0",'Hampshire Daily'!V32-'Hampshire Daily'!V31)</f>
        <v>0</v>
      </c>
      <c r="T29" s="4">
        <f>IF(('Hampshire Daily'!W32-'Hampshire Daily'!W31&lt;0), "0",'Hampshire Daily'!W32-'Hampshire Daily'!W31)</f>
        <v>0</v>
      </c>
      <c r="U29" s="4">
        <f>IF(('Hampshire Daily'!X32-'Hampshire Daily'!X31&lt;0), "0",'Hampshire Daily'!X32-'Hampshire Daily'!X31)</f>
        <v>0</v>
      </c>
      <c r="V29" s="4">
        <f>IF(('Hampshire Daily'!Y32-'Hampshire Daily'!Y31&lt;0), "0",'Hampshire Daily'!Y32-'Hampshire Daily'!Y31)</f>
        <v>0</v>
      </c>
      <c r="W29" s="4">
        <f>IF(('Hampshire Daily'!Z32-'Hampshire Daily'!Z31&lt;0), "0",'Hampshire Daily'!Z32-'Hampshire Daily'!Z31)</f>
        <v>0</v>
      </c>
      <c r="X29" s="4">
        <f>'Hampshire Daily'!B32</f>
        <v>0</v>
      </c>
      <c r="Y29" s="4">
        <f>'Hampshire Daily'!C32</f>
        <v>0</v>
      </c>
    </row>
    <row r="30" spans="1:25" x14ac:dyDescent="0.35">
      <c r="A30" s="3" t="s">
        <v>42</v>
      </c>
      <c r="B30" s="1">
        <f t="shared" si="0"/>
        <v>29</v>
      </c>
      <c r="C30" s="18">
        <v>10</v>
      </c>
      <c r="D30" s="1">
        <v>2019</v>
      </c>
      <c r="E30" s="4">
        <f>IF(('Hampshire Daily'!D33-'Hampshire Daily'!D32&lt;0), "0",('Hampshire Daily'!D33-'Hampshire Daily'!D32)*10)</f>
        <v>0</v>
      </c>
      <c r="F30" s="4">
        <f>IF(('Hampshire Daily'!F33-'Hampshire Daily'!F32&lt;0), "0",('Hampshire Daily'!F33-'Hampshire Daily'!F32)*10)</f>
        <v>0</v>
      </c>
      <c r="G30" s="4">
        <f>IF(('Hampshire Daily'!H33-'Hampshire Daily'!H32&lt;0), "0",'Hampshire Daily'!H33-'Hampshire Daily'!H32)</f>
        <v>0</v>
      </c>
      <c r="H30" s="4">
        <f>IF(('Hampshire Daily'!I33-'Hampshire Daily'!I32&lt;0), "0",'Hampshire Daily'!I33-'Hampshire Daily'!I32)</f>
        <v>0</v>
      </c>
      <c r="I30" s="4">
        <f>IF(('Hampshire Daily'!J33-'Hampshire Daily'!J32&lt;0), "0",'Hampshire Daily'!J33-'Hampshire Daily'!J32)</f>
        <v>0</v>
      </c>
      <c r="J30" s="4">
        <f>IF(('Hampshire Daily'!K33-'Hampshire Daily'!K32&lt;0), "0",'Hampshire Daily'!K33-'Hampshire Daily'!K32)</f>
        <v>0</v>
      </c>
      <c r="K30" s="4">
        <f>IF(('Hampshire Daily'!L33-'Hampshire Daily'!L32&lt;0), "0",'Hampshire Daily'!L33-'Hampshire Daily'!L32)</f>
        <v>0</v>
      </c>
      <c r="L30" s="4">
        <f>IF(('Hampshire Daily'!M33-'Hampshire Daily'!M32&lt;0), "0",'Hampshire Daily'!M33-'Hampshire Daily'!M32)</f>
        <v>0</v>
      </c>
      <c r="M30" s="4">
        <f>IF(('Hampshire Daily'!N33-'Hampshire Daily'!N32&lt;0), "0",'Hampshire Daily'!N33-'Hampshire Daily'!N32)</f>
        <v>0</v>
      </c>
      <c r="N30" s="4">
        <f>IF(('Hampshire Daily'!O33-'Hampshire Daily'!O32&lt;0), "0",'Hampshire Daily'!O33-'Hampshire Daily'!O32)</f>
        <v>0</v>
      </c>
      <c r="O30" s="4">
        <f>IF(('Hampshire Daily'!P33-'Hampshire Daily'!P32&lt;0), "0",'Hampshire Daily'!P33-'Hampshire Daily'!P32)</f>
        <v>0</v>
      </c>
      <c r="P30" s="4">
        <f>IF(('Hampshire Daily'!Q33-'Hampshire Daily'!Q32&lt;0), "0",'Hampshire Daily'!Q33-'Hampshire Daily'!Q32)</f>
        <v>0</v>
      </c>
      <c r="Q30" s="4">
        <f>IF(('Hampshire Daily'!R33-'Hampshire Daily'!R32&lt;0), "0",'Hampshire Daily'!R33-'Hampshire Daily'!R32)</f>
        <v>0</v>
      </c>
      <c r="R30" s="4">
        <f>IF(('Hampshire Daily'!U33-'Hampshire Daily'!U32&lt;0), "0",'Hampshire Daily'!U33-'Hampshire Daily'!U32)</f>
        <v>0</v>
      </c>
      <c r="S30" s="4">
        <f>IF(('Hampshire Daily'!V33-'Hampshire Daily'!V32&lt;0), "0",'Hampshire Daily'!V33-'Hampshire Daily'!V32)</f>
        <v>0</v>
      </c>
      <c r="T30" s="4">
        <f>IF(('Hampshire Daily'!W33-'Hampshire Daily'!W32&lt;0), "0",'Hampshire Daily'!W33-'Hampshire Daily'!W32)</f>
        <v>0</v>
      </c>
      <c r="U30" s="4">
        <f>IF(('Hampshire Daily'!X33-'Hampshire Daily'!X32&lt;0), "0",'Hampshire Daily'!X33-'Hampshire Daily'!X32)</f>
        <v>0</v>
      </c>
      <c r="V30" s="4">
        <f>IF(('Hampshire Daily'!Y33-'Hampshire Daily'!Y32&lt;0), "0",'Hampshire Daily'!Y33-'Hampshire Daily'!Y32)</f>
        <v>0</v>
      </c>
      <c r="W30" s="4">
        <f>IF(('Hampshire Daily'!Z33-'Hampshire Daily'!Z32&lt;0), "0",'Hampshire Daily'!Z33-'Hampshire Daily'!Z32)</f>
        <v>0</v>
      </c>
      <c r="X30" s="4">
        <f>'Hampshire Daily'!B33</f>
        <v>0</v>
      </c>
      <c r="Y30" s="4">
        <f>'Hampshire Daily'!C33</f>
        <v>0</v>
      </c>
    </row>
    <row r="31" spans="1:25" x14ac:dyDescent="0.35">
      <c r="A31" s="3" t="s">
        <v>42</v>
      </c>
      <c r="B31" s="1">
        <f t="shared" si="0"/>
        <v>30</v>
      </c>
      <c r="C31" s="18">
        <v>10</v>
      </c>
      <c r="D31" s="1">
        <v>2019</v>
      </c>
      <c r="E31" s="4">
        <f>IF(('Hampshire Daily'!D34-'Hampshire Daily'!D33&lt;0), "0",('Hampshire Daily'!D34-'Hampshire Daily'!D33)*10)</f>
        <v>0</v>
      </c>
      <c r="F31" s="4">
        <f>IF(('Hampshire Daily'!F34-'Hampshire Daily'!F33&lt;0), "0",('Hampshire Daily'!F34-'Hampshire Daily'!F33)*10)</f>
        <v>0</v>
      </c>
      <c r="G31" s="4">
        <f>IF(('Hampshire Daily'!H34-'Hampshire Daily'!H33&lt;0), "0",'Hampshire Daily'!H34-'Hampshire Daily'!H33)</f>
        <v>0</v>
      </c>
      <c r="H31" s="4">
        <f>IF(('Hampshire Daily'!I34-'Hampshire Daily'!I33&lt;0), "0",'Hampshire Daily'!I34-'Hampshire Daily'!I33)</f>
        <v>0</v>
      </c>
      <c r="I31" s="4">
        <f>IF(('Hampshire Daily'!J34-'Hampshire Daily'!J33&lt;0), "0",'Hampshire Daily'!J34-'Hampshire Daily'!J33)</f>
        <v>0</v>
      </c>
      <c r="J31" s="4">
        <f>IF(('Hampshire Daily'!K34-'Hampshire Daily'!K33&lt;0), "0",'Hampshire Daily'!K34-'Hampshire Daily'!K33)</f>
        <v>0</v>
      </c>
      <c r="K31" s="4">
        <f>IF(('Hampshire Daily'!L34-'Hampshire Daily'!L33&lt;0), "0",'Hampshire Daily'!L34-'Hampshire Daily'!L33)</f>
        <v>0</v>
      </c>
      <c r="L31" s="4">
        <f>IF(('Hampshire Daily'!M34-'Hampshire Daily'!M33&lt;0), "0",'Hampshire Daily'!M34-'Hampshire Daily'!M33)</f>
        <v>0</v>
      </c>
      <c r="M31" s="4">
        <f>IF(('Hampshire Daily'!N34-'Hampshire Daily'!N33&lt;0), "0",'Hampshire Daily'!N34-'Hampshire Daily'!N33)</f>
        <v>0</v>
      </c>
      <c r="N31" s="4">
        <f>IF(('Hampshire Daily'!O34-'Hampshire Daily'!O33&lt;0), "0",'Hampshire Daily'!O34-'Hampshire Daily'!O33)</f>
        <v>0</v>
      </c>
      <c r="O31" s="4">
        <f>IF(('Hampshire Daily'!P34-'Hampshire Daily'!P33&lt;0), "0",'Hampshire Daily'!P34-'Hampshire Daily'!P33)</f>
        <v>0</v>
      </c>
      <c r="P31" s="4">
        <f>IF(('Hampshire Daily'!Q34-'Hampshire Daily'!Q33&lt;0), "0",'Hampshire Daily'!Q34-'Hampshire Daily'!Q33)</f>
        <v>0</v>
      </c>
      <c r="Q31" s="4">
        <f>IF(('Hampshire Daily'!R34-'Hampshire Daily'!R33&lt;0), "0",'Hampshire Daily'!R34-'Hampshire Daily'!R33)</f>
        <v>0</v>
      </c>
      <c r="R31" s="4">
        <f>IF(('Hampshire Daily'!U34-'Hampshire Daily'!U33&lt;0), "0",'Hampshire Daily'!U34-'Hampshire Daily'!U33)</f>
        <v>0</v>
      </c>
      <c r="S31" s="4">
        <f>IF(('Hampshire Daily'!V34-'Hampshire Daily'!V33&lt;0), "0",'Hampshire Daily'!V34-'Hampshire Daily'!V33)</f>
        <v>0</v>
      </c>
      <c r="T31" s="4">
        <f>IF(('Hampshire Daily'!W34-'Hampshire Daily'!W33&lt;0), "0",'Hampshire Daily'!W34-'Hampshire Daily'!W33)</f>
        <v>0</v>
      </c>
      <c r="U31" s="4">
        <f>IF(('Hampshire Daily'!X34-'Hampshire Daily'!X33&lt;0), "0",'Hampshire Daily'!X34-'Hampshire Daily'!X33)</f>
        <v>0</v>
      </c>
      <c r="V31" s="4">
        <f>IF(('Hampshire Daily'!Y34-'Hampshire Daily'!Y33&lt;0), "0",'Hampshire Daily'!Y34-'Hampshire Daily'!Y33)</f>
        <v>0</v>
      </c>
      <c r="W31" s="4">
        <f>IF(('Hampshire Daily'!Z34-'Hampshire Daily'!Z33&lt;0), "0",'Hampshire Daily'!Z34-'Hampshire Daily'!Z33)</f>
        <v>0</v>
      </c>
      <c r="X31" s="4">
        <f>'Hampshire Daily'!B34</f>
        <v>0</v>
      </c>
      <c r="Y31" s="4">
        <f>'Hampshire Daily'!C34</f>
        <v>0</v>
      </c>
    </row>
    <row r="32" spans="1:25" x14ac:dyDescent="0.35">
      <c r="A32" s="3" t="s">
        <v>42</v>
      </c>
      <c r="B32" s="1">
        <f t="shared" si="0"/>
        <v>31</v>
      </c>
      <c r="C32" s="18">
        <v>10</v>
      </c>
      <c r="D32" s="1">
        <v>2019</v>
      </c>
      <c r="E32" s="4">
        <f>IF(('Hampshire Daily'!D35-'Hampshire Daily'!D34&lt;0), "0",('Hampshire Daily'!D35-'Hampshire Daily'!D34)*10)</f>
        <v>0</v>
      </c>
      <c r="F32" s="4">
        <f>IF(('Hampshire Daily'!F35-'Hampshire Daily'!F34&lt;0), "0",('Hampshire Daily'!F35-'Hampshire Daily'!F34)*10)</f>
        <v>0</v>
      </c>
      <c r="G32" s="4">
        <f>IF(('Hampshire Daily'!H35-'Hampshire Daily'!H34&lt;0), "0",'Hampshire Daily'!H35-'Hampshire Daily'!H34)</f>
        <v>0</v>
      </c>
      <c r="H32" s="4">
        <f>IF(('Hampshire Daily'!I35-'Hampshire Daily'!I34&lt;0), "0",'Hampshire Daily'!I35-'Hampshire Daily'!I34)</f>
        <v>0</v>
      </c>
      <c r="I32" s="4">
        <f>IF(('Hampshire Daily'!J35-'Hampshire Daily'!J34&lt;0), "0",'Hampshire Daily'!J35-'Hampshire Daily'!J34)</f>
        <v>0</v>
      </c>
      <c r="J32" s="4">
        <f>IF(('Hampshire Daily'!K35-'Hampshire Daily'!K34&lt;0), "0",'Hampshire Daily'!K35-'Hampshire Daily'!K34)</f>
        <v>0</v>
      </c>
      <c r="K32" s="4">
        <f>IF(('Hampshire Daily'!L35-'Hampshire Daily'!L34&lt;0), "0",'Hampshire Daily'!L35-'Hampshire Daily'!L34)</f>
        <v>0</v>
      </c>
      <c r="L32" s="4">
        <f>IF(('Hampshire Daily'!M35-'Hampshire Daily'!M34&lt;0), "0",'Hampshire Daily'!M35-'Hampshire Daily'!M34)</f>
        <v>0</v>
      </c>
      <c r="M32" s="4">
        <f>IF(('Hampshire Daily'!N35-'Hampshire Daily'!N34&lt;0), "0",'Hampshire Daily'!N35-'Hampshire Daily'!N34)</f>
        <v>0</v>
      </c>
      <c r="N32" s="4">
        <f>IF(('Hampshire Daily'!O35-'Hampshire Daily'!O34&lt;0), "0",'Hampshire Daily'!O35-'Hampshire Daily'!O34)</f>
        <v>0</v>
      </c>
      <c r="O32" s="4">
        <f>IF(('Hampshire Daily'!P35-'Hampshire Daily'!P34&lt;0), "0",'Hampshire Daily'!P35-'Hampshire Daily'!P34)</f>
        <v>0</v>
      </c>
      <c r="P32" s="4">
        <f>IF(('Hampshire Daily'!Q35-'Hampshire Daily'!Q34&lt;0), "0",'Hampshire Daily'!Q35-'Hampshire Daily'!Q34)</f>
        <v>0</v>
      </c>
      <c r="Q32" s="4">
        <f>IF(('Hampshire Daily'!R35-'Hampshire Daily'!R34&lt;0), "0",'Hampshire Daily'!R35-'Hampshire Daily'!R34)</f>
        <v>0</v>
      </c>
      <c r="R32" s="4">
        <f>IF(('Hampshire Daily'!U35-'Hampshire Daily'!U34&lt;0), "0",'Hampshire Daily'!U35-'Hampshire Daily'!U34)</f>
        <v>0</v>
      </c>
      <c r="S32" s="4">
        <f>IF(('Hampshire Daily'!V35-'Hampshire Daily'!V34&lt;0), "0",'Hampshire Daily'!V35-'Hampshire Daily'!V34)</f>
        <v>0</v>
      </c>
      <c r="T32" s="4">
        <f>IF(('Hampshire Daily'!W35-'Hampshire Daily'!W34&lt;0), "0",'Hampshire Daily'!W35-'Hampshire Daily'!W34)</f>
        <v>0</v>
      </c>
      <c r="U32" s="4">
        <f>IF(('Hampshire Daily'!X35-'Hampshire Daily'!X34&lt;0), "0",'Hampshire Daily'!X35-'Hampshire Daily'!X34)</f>
        <v>0</v>
      </c>
      <c r="V32" s="4">
        <f>IF(('Hampshire Daily'!Y35-'Hampshire Daily'!Y34&lt;0), "0",'Hampshire Daily'!Y35-'Hampshire Daily'!Y34)</f>
        <v>0</v>
      </c>
      <c r="W32" s="4">
        <f>IF(('Hampshire Daily'!Z35-'Hampshire Daily'!Z34&lt;0), "0",'Hampshire Daily'!Z35-'Hampshire Daily'!Z34)</f>
        <v>0</v>
      </c>
      <c r="X32" s="4">
        <f>'Hampshire Daily'!B35</f>
        <v>0</v>
      </c>
      <c r="Y32" s="4">
        <f>'Hampshire Daily'!C35</f>
        <v>0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36"/>
  <sheetViews>
    <sheetView zoomScale="85" zoomScaleNormal="85" workbookViewId="0">
      <pane xSplit="1" topLeftCell="B1" activePane="topRight" state="frozen"/>
      <selection pane="topRight" activeCell="J31" sqref="J31"/>
    </sheetView>
  </sheetViews>
  <sheetFormatPr defaultRowHeight="14.5" x14ac:dyDescent="0.35"/>
  <cols>
    <col min="1" max="1" width="8.7265625" style="17" customWidth="1"/>
    <col min="2" max="3" width="8.7265625" style="26" customWidth="1"/>
    <col min="26" max="26" width="10.453125" style="22" bestFit="1" customWidth="1"/>
  </cols>
  <sheetData>
    <row r="1" spans="1:29" x14ac:dyDescent="0.35">
      <c r="A1" s="34"/>
      <c r="B1" s="25"/>
      <c r="C1" s="25"/>
      <c r="D1" s="37" t="s">
        <v>12</v>
      </c>
      <c r="E1" s="37"/>
      <c r="F1" s="37"/>
      <c r="G1" s="37"/>
      <c r="H1" s="37"/>
      <c r="I1" s="37"/>
      <c r="J1" s="37"/>
      <c r="K1" s="37"/>
      <c r="L1" s="37"/>
      <c r="M1" s="37"/>
      <c r="N1" s="43" t="s">
        <v>13</v>
      </c>
      <c r="O1" s="45" t="s">
        <v>14</v>
      </c>
      <c r="P1" s="28"/>
      <c r="Q1" s="28"/>
      <c r="R1" s="28"/>
      <c r="S1" s="45" t="s">
        <v>15</v>
      </c>
      <c r="T1" s="47"/>
      <c r="U1" s="45" t="s">
        <v>16</v>
      </c>
      <c r="V1" s="45" t="s">
        <v>17</v>
      </c>
      <c r="W1" s="28"/>
      <c r="X1" s="45" t="s">
        <v>18</v>
      </c>
      <c r="Y1" s="45" t="s">
        <v>19</v>
      </c>
      <c r="Z1" s="48" t="s">
        <v>20</v>
      </c>
      <c r="AA1" s="45" t="s">
        <v>21</v>
      </c>
    </row>
    <row r="2" spans="1:29" x14ac:dyDescent="0.35">
      <c r="A2" s="35"/>
      <c r="B2" s="40" t="s">
        <v>55</v>
      </c>
      <c r="C2" s="40" t="s">
        <v>56</v>
      </c>
      <c r="D2" s="38" t="s">
        <v>22</v>
      </c>
      <c r="E2" s="38" t="s">
        <v>23</v>
      </c>
      <c r="F2" s="38" t="s">
        <v>24</v>
      </c>
      <c r="G2" s="38" t="s">
        <v>25</v>
      </c>
      <c r="H2" s="38" t="s">
        <v>26</v>
      </c>
      <c r="I2" s="38" t="s">
        <v>27</v>
      </c>
      <c r="J2" s="38" t="s">
        <v>28</v>
      </c>
      <c r="K2" s="38" t="s">
        <v>29</v>
      </c>
      <c r="L2" s="38" t="s">
        <v>30</v>
      </c>
      <c r="M2" s="38" t="s">
        <v>31</v>
      </c>
      <c r="N2" s="44"/>
      <c r="O2" s="45"/>
      <c r="P2" s="28" t="s">
        <v>32</v>
      </c>
      <c r="Q2" s="28" t="s">
        <v>32</v>
      </c>
      <c r="R2" s="28" t="s">
        <v>32</v>
      </c>
      <c r="S2" s="45"/>
      <c r="T2" s="47"/>
      <c r="U2" s="45"/>
      <c r="V2" s="45"/>
      <c r="W2" s="45" t="s">
        <v>33</v>
      </c>
      <c r="X2" s="45"/>
      <c r="Y2" s="45"/>
      <c r="Z2" s="48"/>
      <c r="AA2" s="45"/>
    </row>
    <row r="3" spans="1:29" ht="27" customHeight="1" thickBot="1" x14ac:dyDescent="0.4">
      <c r="A3" s="36"/>
      <c r="B3" s="41"/>
      <c r="C3" s="41"/>
      <c r="D3" s="42"/>
      <c r="E3" s="42"/>
      <c r="F3" s="42"/>
      <c r="G3" s="42"/>
      <c r="H3" s="38"/>
      <c r="I3" s="38"/>
      <c r="J3" s="38"/>
      <c r="K3" s="38"/>
      <c r="L3" s="38"/>
      <c r="M3" s="39"/>
      <c r="N3" s="44"/>
      <c r="O3" s="46"/>
      <c r="P3" s="29">
        <v>2</v>
      </c>
      <c r="Q3" s="29">
        <v>3</v>
      </c>
      <c r="R3" s="29">
        <v>4</v>
      </c>
      <c r="S3" s="47"/>
      <c r="T3" s="47"/>
      <c r="U3" s="46"/>
      <c r="V3" s="46"/>
      <c r="W3" s="45"/>
      <c r="X3" s="45"/>
      <c r="Y3" s="45"/>
      <c r="Z3" s="48"/>
      <c r="AA3" s="45"/>
    </row>
    <row r="4" spans="1:29" s="20" customFormat="1" ht="19.899999999999999" customHeight="1" x14ac:dyDescent="0.35">
      <c r="A4" s="23">
        <v>43738</v>
      </c>
      <c r="B4" s="30">
        <v>68</v>
      </c>
      <c r="C4" s="30">
        <v>91</v>
      </c>
      <c r="D4" s="16">
        <v>793296</v>
      </c>
      <c r="E4" s="16">
        <v>795684</v>
      </c>
      <c r="F4" s="16">
        <v>4165</v>
      </c>
      <c r="G4" s="16">
        <v>3460</v>
      </c>
      <c r="H4" s="16">
        <v>9923803</v>
      </c>
      <c r="I4" s="16">
        <v>6146888</v>
      </c>
      <c r="J4" s="16">
        <v>30888</v>
      </c>
      <c r="K4" s="16">
        <v>3969196</v>
      </c>
      <c r="L4" s="16">
        <v>246608</v>
      </c>
      <c r="M4" s="16">
        <v>2403895</v>
      </c>
      <c r="N4" s="16">
        <v>9886322</v>
      </c>
      <c r="O4" s="16">
        <v>293648</v>
      </c>
      <c r="P4" s="16">
        <v>1401905</v>
      </c>
      <c r="Q4" s="16">
        <v>406013</v>
      </c>
      <c r="R4" s="16">
        <v>246</v>
      </c>
      <c r="S4" s="16">
        <v>96600</v>
      </c>
      <c r="T4" s="16">
        <v>302501</v>
      </c>
      <c r="U4" s="16">
        <v>47221</v>
      </c>
      <c r="V4" s="16">
        <v>29473</v>
      </c>
      <c r="W4" s="27"/>
      <c r="X4" s="16">
        <v>328.36200000000002</v>
      </c>
      <c r="Y4" s="16">
        <v>781968</v>
      </c>
      <c r="Z4" s="16">
        <v>3805.0309999999999</v>
      </c>
      <c r="AA4" s="33"/>
    </row>
    <row r="5" spans="1:29" x14ac:dyDescent="0.35">
      <c r="A5" s="24">
        <v>43739</v>
      </c>
      <c r="B5" s="31">
        <v>0</v>
      </c>
      <c r="C5" s="31">
        <v>0</v>
      </c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0</v>
      </c>
      <c r="Y5" s="31">
        <v>0</v>
      </c>
      <c r="Z5" s="31">
        <v>0</v>
      </c>
      <c r="AA5" s="21"/>
    </row>
    <row r="6" spans="1:29" x14ac:dyDescent="0.35">
      <c r="A6" s="24">
        <v>43740</v>
      </c>
      <c r="B6" s="31">
        <v>0</v>
      </c>
      <c r="C6" s="31">
        <v>0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1">
        <v>0</v>
      </c>
      <c r="X6" s="31">
        <v>0</v>
      </c>
      <c r="Y6" s="31">
        <v>0</v>
      </c>
      <c r="Z6" s="31">
        <v>0</v>
      </c>
      <c r="AA6" s="21"/>
    </row>
    <row r="7" spans="1:29" x14ac:dyDescent="0.35">
      <c r="A7" s="24">
        <v>43741</v>
      </c>
      <c r="B7" s="31">
        <v>0</v>
      </c>
      <c r="C7" s="31">
        <v>0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21"/>
    </row>
    <row r="8" spans="1:29" x14ac:dyDescent="0.35">
      <c r="A8" s="24">
        <v>43742</v>
      </c>
      <c r="B8" s="31">
        <v>0</v>
      </c>
      <c r="C8" s="31">
        <v>0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21"/>
    </row>
    <row r="9" spans="1:29" x14ac:dyDescent="0.35">
      <c r="A9" s="24">
        <v>43743</v>
      </c>
      <c r="B9" s="31">
        <v>0</v>
      </c>
      <c r="C9" s="31">
        <v>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21"/>
    </row>
    <row r="10" spans="1:29" x14ac:dyDescent="0.35">
      <c r="A10" s="24">
        <v>43744</v>
      </c>
      <c r="B10" s="31">
        <v>0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21"/>
      <c r="AC10" s="32"/>
    </row>
    <row r="11" spans="1:29" x14ac:dyDescent="0.35">
      <c r="A11" s="24">
        <v>43745</v>
      </c>
      <c r="B11" s="31">
        <v>0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21"/>
      <c r="AC11" s="32"/>
    </row>
    <row r="12" spans="1:29" x14ac:dyDescent="0.35">
      <c r="A12" s="24">
        <v>43746</v>
      </c>
      <c r="B12" s="31">
        <v>0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21"/>
      <c r="AC12" s="32"/>
    </row>
    <row r="13" spans="1:29" x14ac:dyDescent="0.35">
      <c r="A13" s="24">
        <v>43747</v>
      </c>
      <c r="B13" s="31">
        <v>0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21"/>
      <c r="AC13" s="32"/>
    </row>
    <row r="14" spans="1:29" x14ac:dyDescent="0.35">
      <c r="A14" s="24">
        <v>43748</v>
      </c>
      <c r="B14" s="31">
        <v>0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21"/>
      <c r="AC14" s="32"/>
    </row>
    <row r="15" spans="1:29" x14ac:dyDescent="0.35">
      <c r="A15" s="24">
        <v>43749</v>
      </c>
      <c r="B15" s="31">
        <v>0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21"/>
      <c r="AC15" s="32"/>
    </row>
    <row r="16" spans="1:29" x14ac:dyDescent="0.35">
      <c r="A16" s="24">
        <v>43750</v>
      </c>
      <c r="B16" s="31">
        <v>0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21"/>
      <c r="AC16" s="32"/>
    </row>
    <row r="17" spans="1:29" x14ac:dyDescent="0.35">
      <c r="A17" s="24">
        <v>43751</v>
      </c>
      <c r="B17" s="31">
        <v>0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3"/>
      <c r="AC17" s="32"/>
    </row>
    <row r="18" spans="1:29" x14ac:dyDescent="0.35">
      <c r="A18" s="24">
        <v>43752</v>
      </c>
      <c r="B18" s="31">
        <v>0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3"/>
      <c r="AC18" s="32"/>
    </row>
    <row r="19" spans="1:29" x14ac:dyDescent="0.35">
      <c r="A19" s="24">
        <v>43753</v>
      </c>
      <c r="B19" s="31">
        <v>0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3"/>
      <c r="AC19" s="32"/>
    </row>
    <row r="20" spans="1:29" x14ac:dyDescent="0.35">
      <c r="A20" s="24">
        <v>43754</v>
      </c>
      <c r="B20" s="31">
        <v>0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3"/>
      <c r="AC20" s="32"/>
    </row>
    <row r="21" spans="1:29" x14ac:dyDescent="0.35">
      <c r="A21" s="24">
        <v>43755</v>
      </c>
      <c r="B21" s="31">
        <v>0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3"/>
    </row>
    <row r="22" spans="1:29" x14ac:dyDescent="0.35">
      <c r="A22" s="24">
        <v>43756</v>
      </c>
      <c r="B22" s="31">
        <v>0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3"/>
    </row>
    <row r="23" spans="1:29" x14ac:dyDescent="0.35">
      <c r="A23" s="24">
        <v>43757</v>
      </c>
      <c r="B23" s="31">
        <v>0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3"/>
    </row>
    <row r="24" spans="1:29" x14ac:dyDescent="0.35">
      <c r="A24" s="24">
        <v>43758</v>
      </c>
      <c r="B24" s="31">
        <v>0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3"/>
    </row>
    <row r="25" spans="1:29" x14ac:dyDescent="0.35">
      <c r="A25" s="24">
        <v>43759</v>
      </c>
      <c r="B25" s="31">
        <v>0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3"/>
    </row>
    <row r="26" spans="1:29" x14ac:dyDescent="0.35">
      <c r="A26" s="24">
        <v>43760</v>
      </c>
      <c r="B26" s="31">
        <v>0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3"/>
    </row>
    <row r="27" spans="1:29" x14ac:dyDescent="0.35">
      <c r="A27" s="24">
        <v>43761</v>
      </c>
      <c r="B27" s="31">
        <v>0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3"/>
    </row>
    <row r="28" spans="1:29" x14ac:dyDescent="0.35">
      <c r="A28" s="24">
        <v>43762</v>
      </c>
      <c r="B28" s="31">
        <v>0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3"/>
    </row>
    <row r="29" spans="1:29" x14ac:dyDescent="0.35">
      <c r="A29" s="24">
        <v>43763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3"/>
    </row>
    <row r="30" spans="1:29" x14ac:dyDescent="0.35">
      <c r="A30" s="24">
        <v>43764</v>
      </c>
      <c r="B30" s="31">
        <v>0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3"/>
    </row>
    <row r="31" spans="1:29" x14ac:dyDescent="0.35">
      <c r="A31" s="24">
        <v>43765</v>
      </c>
      <c r="B31" s="31">
        <v>0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3"/>
    </row>
    <row r="32" spans="1:29" x14ac:dyDescent="0.35">
      <c r="A32" s="24">
        <v>43766</v>
      </c>
      <c r="B32" s="31">
        <v>0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3"/>
    </row>
    <row r="33" spans="1:27" x14ac:dyDescent="0.35">
      <c r="A33" s="24">
        <v>43767</v>
      </c>
      <c r="B33" s="31">
        <v>0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3"/>
    </row>
    <row r="34" spans="1:27" x14ac:dyDescent="0.35">
      <c r="A34" s="24">
        <v>43768</v>
      </c>
      <c r="B34" s="31">
        <v>0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3"/>
    </row>
    <row r="35" spans="1:27" x14ac:dyDescent="0.35">
      <c r="A35" s="24">
        <v>43769</v>
      </c>
      <c r="B35" s="31">
        <v>0</v>
      </c>
      <c r="C35" s="31">
        <v>0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3"/>
    </row>
    <row r="36" spans="1:27" x14ac:dyDescent="0.35">
      <c r="F36" t="s">
        <v>43</v>
      </c>
    </row>
  </sheetData>
  <mergeCells count="24">
    <mergeCell ref="X1:X3"/>
    <mergeCell ref="W2:W3"/>
    <mergeCell ref="Y1:Y3"/>
    <mergeCell ref="Z1:Z3"/>
    <mergeCell ref="AA1:AA3"/>
    <mergeCell ref="N1:N3"/>
    <mergeCell ref="O1:O3"/>
    <mergeCell ref="S1:T3"/>
    <mergeCell ref="U1:U3"/>
    <mergeCell ref="V1:V3"/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Ronald Diab</cp:lastModifiedBy>
  <cp:lastPrinted>2019-08-19T07:32:13Z</cp:lastPrinted>
  <dcterms:created xsi:type="dcterms:W3CDTF">2017-05-03T09:23:30Z</dcterms:created>
  <dcterms:modified xsi:type="dcterms:W3CDTF">2019-10-24T15:56:02Z</dcterms:modified>
</cp:coreProperties>
</file>