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23" i="1"/>
  <c r="E24" i="1"/>
  <c r="E25" i="1"/>
  <c r="E26" i="1"/>
  <c r="E27" i="1"/>
  <c r="E28" i="1"/>
  <c r="E29" i="1"/>
  <c r="E30" i="1"/>
  <c r="E31" i="1"/>
  <c r="E32" i="1"/>
  <c r="I2" i="1"/>
  <c r="G2" i="1"/>
  <c r="E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3" i="2"/>
  <c r="J4" i="2"/>
  <c r="J5" i="2"/>
  <c r="J6" i="2"/>
  <c r="J7" i="2"/>
  <c r="J8" i="2"/>
  <c r="J9" i="2"/>
  <c r="J10" i="2"/>
  <c r="J11" i="2"/>
  <c r="J23" i="2"/>
  <c r="J24" i="2"/>
  <c r="J25" i="2"/>
  <c r="J26" i="2"/>
  <c r="J27" i="2"/>
  <c r="J28" i="2"/>
  <c r="J29" i="2"/>
  <c r="J30" i="2"/>
  <c r="J31" i="2"/>
  <c r="J32" i="2"/>
  <c r="I3" i="2"/>
  <c r="I4" i="2"/>
  <c r="I5" i="2"/>
  <c r="I6" i="2"/>
  <c r="I7" i="2"/>
  <c r="I8" i="2"/>
  <c r="I9" i="2"/>
  <c r="I10" i="2"/>
  <c r="I11" i="2"/>
  <c r="I12" i="2"/>
  <c r="I14" i="2"/>
  <c r="I16" i="2"/>
  <c r="I18" i="2"/>
  <c r="I20" i="2"/>
  <c r="I22" i="2"/>
  <c r="I23" i="2"/>
  <c r="I24" i="2"/>
  <c r="I25" i="2"/>
  <c r="I26" i="2"/>
  <c r="I27" i="2"/>
  <c r="I28" i="2"/>
  <c r="I29" i="2"/>
  <c r="I30" i="2"/>
  <c r="I31" i="2"/>
  <c r="I32" i="2"/>
  <c r="H3" i="2"/>
  <c r="H4" i="2"/>
  <c r="H5" i="2"/>
  <c r="H6" i="2"/>
  <c r="H7" i="2"/>
  <c r="H8" i="2"/>
  <c r="H9" i="2"/>
  <c r="H10" i="2"/>
  <c r="H11" i="2"/>
  <c r="H13" i="2"/>
  <c r="H15" i="2"/>
  <c r="H17" i="2"/>
  <c r="H19" i="2"/>
  <c r="H21" i="2"/>
  <c r="H23" i="2"/>
  <c r="H24" i="2"/>
  <c r="H25" i="2"/>
  <c r="H26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5" i="2"/>
  <c r="G19" i="2"/>
  <c r="G23" i="2"/>
  <c r="G24" i="2"/>
  <c r="G25" i="2"/>
  <c r="G26" i="2"/>
  <c r="G27" i="2"/>
  <c r="G28" i="2"/>
  <c r="G29" i="2"/>
  <c r="G30" i="2"/>
  <c r="G31" i="2"/>
  <c r="G32" i="2"/>
  <c r="F3" i="2"/>
  <c r="F4" i="2"/>
  <c r="F5" i="2"/>
  <c r="F6" i="2"/>
  <c r="F7" i="2"/>
  <c r="F8" i="2"/>
  <c r="F9" i="2"/>
  <c r="F10" i="2"/>
  <c r="F11" i="2"/>
  <c r="F23" i="2"/>
  <c r="F24" i="2"/>
  <c r="F25" i="2"/>
  <c r="F26" i="2"/>
  <c r="F27" i="2"/>
  <c r="F28" i="2"/>
  <c r="F29" i="2"/>
  <c r="F30" i="2"/>
  <c r="F31" i="2"/>
  <c r="F32" i="2"/>
  <c r="E3" i="2"/>
  <c r="E4" i="2"/>
  <c r="E5" i="2"/>
  <c r="E6" i="2"/>
  <c r="E7" i="2"/>
  <c r="E8" i="2"/>
  <c r="E9" i="2"/>
  <c r="E10" i="2"/>
  <c r="E11" i="2"/>
  <c r="E23" i="2"/>
  <c r="E24" i="2"/>
  <c r="E25" i="2"/>
  <c r="E26" i="2"/>
  <c r="E27" i="2"/>
  <c r="E28" i="2"/>
  <c r="E29" i="2"/>
  <c r="E30" i="2"/>
  <c r="E31" i="2"/>
  <c r="E32" i="2"/>
  <c r="K2" i="2"/>
  <c r="J2" i="2"/>
  <c r="I2" i="2"/>
  <c r="H2" i="2"/>
  <c r="G2" i="2"/>
  <c r="F2" i="2"/>
  <c r="E2" i="2"/>
  <c r="X37" i="3"/>
  <c r="X38" i="3"/>
  <c r="X39" i="3"/>
  <c r="V37" i="3"/>
  <c r="V38" i="3"/>
  <c r="V39" i="3"/>
  <c r="U36" i="3"/>
  <c r="U37" i="3"/>
  <c r="U38" i="3"/>
  <c r="U39" i="3"/>
  <c r="Q36" i="3"/>
  <c r="Q37" i="3"/>
  <c r="Q38" i="3"/>
  <c r="Q39" i="3"/>
  <c r="R37" i="3"/>
  <c r="R38" i="3"/>
  <c r="R39" i="3"/>
  <c r="P36" i="3"/>
  <c r="P37" i="3"/>
  <c r="P38" i="3"/>
  <c r="P39" i="3"/>
  <c r="N36" i="3"/>
  <c r="N37" i="3"/>
  <c r="N38" i="3"/>
  <c r="N39" i="3"/>
  <c r="K36" i="3"/>
  <c r="K37" i="3"/>
  <c r="K38" i="3"/>
  <c r="K39" i="3"/>
  <c r="H35" i="3"/>
  <c r="H36" i="3"/>
  <c r="I36" i="3" s="1"/>
  <c r="H37" i="3"/>
  <c r="H38" i="3"/>
  <c r="H39" i="3"/>
  <c r="F36" i="3"/>
  <c r="F37" i="3"/>
  <c r="F38" i="3"/>
  <c r="F39" i="3"/>
  <c r="D36" i="3"/>
  <c r="D37" i="3"/>
  <c r="D38" i="3"/>
  <c r="D39" i="3"/>
  <c r="Q34" i="3"/>
  <c r="H9" i="3"/>
  <c r="H10" i="3"/>
  <c r="H11" i="3"/>
  <c r="H12" i="3"/>
  <c r="H13" i="3"/>
  <c r="H14" i="3"/>
  <c r="H15" i="3"/>
  <c r="H16" i="3"/>
  <c r="H17" i="3"/>
  <c r="H18" i="3"/>
  <c r="H19" i="3"/>
  <c r="G12" i="2" s="1"/>
  <c r="H20" i="3"/>
  <c r="G13" i="2" s="1"/>
  <c r="H21" i="3"/>
  <c r="G14" i="2" s="1"/>
  <c r="H22" i="3"/>
  <c r="H23" i="3"/>
  <c r="G16" i="2" s="1"/>
  <c r="H24" i="3"/>
  <c r="G17" i="2" s="1"/>
  <c r="H25" i="3"/>
  <c r="G18" i="2" s="1"/>
  <c r="H26" i="3"/>
  <c r="H27" i="3"/>
  <c r="G20" i="2" s="1"/>
  <c r="H28" i="3"/>
  <c r="G21" i="2" s="1"/>
  <c r="H29" i="3"/>
  <c r="G22" i="2" s="1"/>
  <c r="H30" i="3"/>
  <c r="H31" i="3"/>
  <c r="H32" i="3"/>
  <c r="H33" i="3"/>
  <c r="H34" i="3"/>
  <c r="F9" i="3"/>
  <c r="F10" i="3"/>
  <c r="F11" i="3"/>
  <c r="F12" i="3"/>
  <c r="F13" i="3"/>
  <c r="F14" i="3"/>
  <c r="F15" i="3"/>
  <c r="F16" i="3"/>
  <c r="F17" i="3"/>
  <c r="F18" i="3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31" i="3"/>
  <c r="F32" i="3"/>
  <c r="F33" i="3"/>
  <c r="F34" i="3"/>
  <c r="F35" i="3"/>
  <c r="D9" i="3"/>
  <c r="D10" i="3"/>
  <c r="I10" i="3" s="1"/>
  <c r="K10" i="3" s="1"/>
  <c r="D11" i="3"/>
  <c r="D12" i="3"/>
  <c r="D13" i="3"/>
  <c r="D14" i="3"/>
  <c r="D15" i="3"/>
  <c r="D16" i="3"/>
  <c r="D17" i="3"/>
  <c r="D18" i="3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D29" i="3"/>
  <c r="E22" i="2" s="1"/>
  <c r="D30" i="3"/>
  <c r="D31" i="3"/>
  <c r="D32" i="3"/>
  <c r="I32" i="3" s="1"/>
  <c r="K32" i="3" s="1"/>
  <c r="D33" i="3"/>
  <c r="I33" i="3" s="1"/>
  <c r="K33" i="3" s="1"/>
  <c r="D34" i="3"/>
  <c r="D35" i="3"/>
  <c r="B35" i="3"/>
  <c r="B36" i="3" s="1"/>
  <c r="B37" i="3" s="1"/>
  <c r="B38" i="3" s="1"/>
  <c r="B39" i="3" s="1"/>
  <c r="Y40" i="3"/>
  <c r="V36" i="3"/>
  <c r="R36" i="3"/>
  <c r="U35" i="3"/>
  <c r="V35" i="3" s="1"/>
  <c r="P35" i="3"/>
  <c r="N35" i="3"/>
  <c r="U34" i="3"/>
  <c r="V34" i="3" s="1"/>
  <c r="P34" i="3"/>
  <c r="R34" i="3" s="1"/>
  <c r="N34" i="3"/>
  <c r="U33" i="3"/>
  <c r="V33" i="3" s="1"/>
  <c r="P33" i="3"/>
  <c r="N33" i="3"/>
  <c r="U32" i="3"/>
  <c r="V32" i="3" s="1"/>
  <c r="P32" i="3"/>
  <c r="R32" i="3" s="1"/>
  <c r="N32" i="3"/>
  <c r="U31" i="3"/>
  <c r="V31" i="3" s="1"/>
  <c r="P31" i="3"/>
  <c r="R31" i="3" s="1"/>
  <c r="N31" i="3"/>
  <c r="U30" i="3"/>
  <c r="V30" i="3" s="1"/>
  <c r="P30" i="3"/>
  <c r="Q30" i="3" s="1"/>
  <c r="N30" i="3"/>
  <c r="I30" i="3"/>
  <c r="K30" i="3" s="1"/>
  <c r="U29" i="3"/>
  <c r="V29" i="3" s="1"/>
  <c r="P29" i="3"/>
  <c r="N29" i="3"/>
  <c r="H22" i="2" s="1"/>
  <c r="G22" i="1" s="1"/>
  <c r="U28" i="3"/>
  <c r="V28" i="3" s="1"/>
  <c r="P28" i="3"/>
  <c r="Q28" i="3" s="1"/>
  <c r="N28" i="3"/>
  <c r="U27" i="3"/>
  <c r="V27" i="3" s="1"/>
  <c r="P27" i="3"/>
  <c r="N27" i="3"/>
  <c r="H20" i="2" s="1"/>
  <c r="G20" i="1" s="1"/>
  <c r="U26" i="3"/>
  <c r="V26" i="3" s="1"/>
  <c r="P26" i="3"/>
  <c r="I19" i="2" s="1"/>
  <c r="N26" i="3"/>
  <c r="U25" i="3"/>
  <c r="V25" i="3" s="1"/>
  <c r="P25" i="3"/>
  <c r="N25" i="3"/>
  <c r="H18" i="2" s="1"/>
  <c r="G18" i="1" s="1"/>
  <c r="U24" i="3"/>
  <c r="V24" i="3" s="1"/>
  <c r="P24" i="3"/>
  <c r="Q24" i="3" s="1"/>
  <c r="N24" i="3"/>
  <c r="U23" i="3"/>
  <c r="V23" i="3" s="1"/>
  <c r="P23" i="3"/>
  <c r="N23" i="3"/>
  <c r="H16" i="2" s="1"/>
  <c r="G16" i="1" s="1"/>
  <c r="U22" i="3"/>
  <c r="V22" i="3" s="1"/>
  <c r="P22" i="3"/>
  <c r="Q22" i="3" s="1"/>
  <c r="N22" i="3"/>
  <c r="U21" i="3"/>
  <c r="V21" i="3" s="1"/>
  <c r="P21" i="3"/>
  <c r="N21" i="3"/>
  <c r="H14" i="2" s="1"/>
  <c r="G14" i="1" s="1"/>
  <c r="U20" i="3"/>
  <c r="V20" i="3" s="1"/>
  <c r="P20" i="3"/>
  <c r="I13" i="2" s="1"/>
  <c r="N20" i="3"/>
  <c r="U19" i="3"/>
  <c r="V19" i="3" s="1"/>
  <c r="P19" i="3"/>
  <c r="N19" i="3"/>
  <c r="H12" i="2" s="1"/>
  <c r="G12" i="1" s="1"/>
  <c r="U18" i="3"/>
  <c r="V18" i="3" s="1"/>
  <c r="P18" i="3"/>
  <c r="N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U17" i="3"/>
  <c r="V17" i="3" s="1"/>
  <c r="P17" i="3"/>
  <c r="N17" i="3"/>
  <c r="U16" i="3"/>
  <c r="V16" i="3" s="1"/>
  <c r="P16" i="3"/>
  <c r="Q16" i="3" s="1"/>
  <c r="N16" i="3"/>
  <c r="U15" i="3"/>
  <c r="V15" i="3" s="1"/>
  <c r="P15" i="3"/>
  <c r="N15" i="3"/>
  <c r="U14" i="3"/>
  <c r="V14" i="3" s="1"/>
  <c r="P14" i="3"/>
  <c r="N14" i="3"/>
  <c r="U13" i="3"/>
  <c r="V13" i="3" s="1"/>
  <c r="P13" i="3"/>
  <c r="N13" i="3"/>
  <c r="U12" i="3"/>
  <c r="V12" i="3" s="1"/>
  <c r="P12" i="3"/>
  <c r="Q12" i="3" s="1"/>
  <c r="N12" i="3"/>
  <c r="U11" i="3"/>
  <c r="V11" i="3" s="1"/>
  <c r="P11" i="3"/>
  <c r="N11" i="3"/>
  <c r="B11" i="3"/>
  <c r="B12" i="3" s="1"/>
  <c r="B13" i="3" s="1"/>
  <c r="B14" i="3" s="1"/>
  <c r="B15" i="3" s="1"/>
  <c r="B16" i="3" s="1"/>
  <c r="U10" i="3"/>
  <c r="V10" i="3" s="1"/>
  <c r="P10" i="3"/>
  <c r="N10" i="3"/>
  <c r="B10" i="3"/>
  <c r="U9" i="3"/>
  <c r="P9" i="3"/>
  <c r="N9" i="3"/>
  <c r="V6" i="3"/>
  <c r="U6" i="3"/>
  <c r="P6" i="3"/>
  <c r="N6" i="3"/>
  <c r="K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2" i="2" l="1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G15" i="1"/>
  <c r="I15" i="2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2"/>
  <c r="E21" i="1" s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35" i="3"/>
  <c r="K35" i="3" s="1"/>
  <c r="I31" i="3"/>
  <c r="K31" i="3" s="1"/>
  <c r="I27" i="3"/>
  <c r="K27" i="3" s="1"/>
  <c r="I15" i="3"/>
  <c r="K15" i="3" s="1"/>
  <c r="I11" i="3"/>
  <c r="K11" i="3" s="1"/>
  <c r="I34" i="3"/>
  <c r="K34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X24" i="3" s="1"/>
  <c r="Z24" i="3" s="1"/>
  <c r="R29" i="3"/>
  <c r="X29" i="3" s="1"/>
  <c r="Z29" i="3" s="1"/>
  <c r="R12" i="3"/>
  <c r="R18" i="3"/>
  <c r="R26" i="3"/>
  <c r="R28" i="3"/>
  <c r="R30" i="3"/>
  <c r="X30" i="3" s="1"/>
  <c r="Z30" i="3" s="1"/>
  <c r="R14" i="3"/>
  <c r="R20" i="3"/>
  <c r="X20" i="3" s="1"/>
  <c r="Z20" i="3" s="1"/>
  <c r="R22" i="3"/>
  <c r="R33" i="3"/>
  <c r="R35" i="3"/>
  <c r="R23" i="3"/>
  <c r="M40" i="3"/>
  <c r="R10" i="3"/>
  <c r="X10" i="3" s="1"/>
  <c r="Z10" i="3" s="1"/>
  <c r="R16" i="3"/>
  <c r="X33" i="3"/>
  <c r="Z33" i="3" s="1"/>
  <c r="X31" i="3"/>
  <c r="Z31" i="3" s="1"/>
  <c r="X32" i="3"/>
  <c r="Z32" i="3" s="1"/>
  <c r="I9" i="3"/>
  <c r="K9" i="3" s="1"/>
  <c r="V9" i="3"/>
  <c r="V40" i="3" s="1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X36" i="3"/>
  <c r="Z36" i="3" s="1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X34" i="3"/>
  <c r="Z34" i="3" s="1"/>
  <c r="R9" i="3"/>
  <c r="X28" i="3" l="1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<sst xmlns="http://schemas.openxmlformats.org/spreadsheetml/2006/main" count="310" uniqueCount="123">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</sst>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165" fontId="17" fillId="12" borderId="0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M26" sqref="M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3</v>
      </c>
      <c r="D2" s="6">
        <v>2021</v>
      </c>
      <c r="E2" s="8">
        <f>Submetring!E2+Submetring!F2+Submetring!G2</f>
        <v>6055</v>
      </c>
      <c r="F2" s="6">
        <v>0.251</v>
      </c>
      <c r="G2" s="8">
        <f>Submetring!H2+Submetring!I2</f>
        <v>1471</v>
      </c>
      <c r="H2" s="6">
        <v>0.56711199999999995</v>
      </c>
      <c r="I2" s="8">
        <f>Submetring!J2</f>
        <v>584</v>
      </c>
      <c r="J2" s="6">
        <v>3.03</v>
      </c>
      <c r="K2" s="8">
        <f>Hotel!Y9</f>
        <v>15</v>
      </c>
    </row>
    <row r="3" spans="1:11" x14ac:dyDescent="0.25">
      <c r="A3" s="6" t="s">
        <v>11</v>
      </c>
      <c r="B3" s="9">
        <f>B2+1</f>
        <v>2</v>
      </c>
      <c r="C3" s="7">
        <v>3</v>
      </c>
      <c r="D3" s="6">
        <v>2021</v>
      </c>
      <c r="E3" s="8">
        <f>Submetring!E3+Submetring!F3+Submetring!G3</f>
        <v>6469</v>
      </c>
      <c r="F3" s="6">
        <v>0.251</v>
      </c>
      <c r="G3" s="8">
        <f>Submetring!H3+Submetring!I3</f>
        <v>1358</v>
      </c>
      <c r="H3" s="6">
        <v>0.56711199999999995</v>
      </c>
      <c r="I3" s="8">
        <f>Submetring!J3</f>
        <v>235</v>
      </c>
      <c r="J3" s="6">
        <v>3.03</v>
      </c>
      <c r="K3" s="8">
        <f>Hotel!Y10</f>
        <v>16</v>
      </c>
    </row>
    <row r="4" spans="1:11" x14ac:dyDescent="0.25">
      <c r="A4" s="6" t="s">
        <v>11</v>
      </c>
      <c r="B4" s="9">
        <f t="shared" ref="B4:B32" si="0">B3+1</f>
        <v>3</v>
      </c>
      <c r="C4" s="7">
        <v>3</v>
      </c>
      <c r="D4" s="6">
        <v>2021</v>
      </c>
      <c r="E4" s="8">
        <f>Submetring!E4+Submetring!F4+Submetring!G4</f>
        <v>6646</v>
      </c>
      <c r="F4" s="6">
        <v>0.251</v>
      </c>
      <c r="G4" s="8">
        <f>Submetring!H4+Submetring!I4</f>
        <v>1686</v>
      </c>
      <c r="H4" s="6">
        <v>0.56711199999999995</v>
      </c>
      <c r="I4" s="8">
        <f>Submetring!J4</f>
        <v>199</v>
      </c>
      <c r="J4" s="6">
        <v>3.03</v>
      </c>
      <c r="K4" s="8">
        <f>Hotel!Y11</f>
        <v>23</v>
      </c>
    </row>
    <row r="5" spans="1:11" x14ac:dyDescent="0.25">
      <c r="A5" s="6" t="s">
        <v>11</v>
      </c>
      <c r="B5" s="9">
        <f t="shared" si="0"/>
        <v>4</v>
      </c>
      <c r="C5" s="7">
        <v>3</v>
      </c>
      <c r="D5" s="6">
        <v>2021</v>
      </c>
      <c r="E5" s="8">
        <f>Submetring!E5+Submetring!F5+Submetring!G5</f>
        <v>6370</v>
      </c>
      <c r="F5" s="6">
        <v>0.251</v>
      </c>
      <c r="G5" s="8">
        <f>Submetring!H5+Submetring!I5</f>
        <v>1314</v>
      </c>
      <c r="H5" s="6">
        <v>0.56711199999999995</v>
      </c>
      <c r="I5" s="8">
        <f>Submetring!J5</f>
        <v>116</v>
      </c>
      <c r="J5" s="6">
        <v>3.03</v>
      </c>
      <c r="K5" s="8">
        <f>Hotel!Y12</f>
        <v>17</v>
      </c>
    </row>
    <row r="6" spans="1:11" x14ac:dyDescent="0.25">
      <c r="A6" s="6" t="s">
        <v>11</v>
      </c>
      <c r="B6" s="9">
        <f t="shared" si="0"/>
        <v>5</v>
      </c>
      <c r="C6" s="7">
        <v>3</v>
      </c>
      <c r="D6" s="6">
        <v>2021</v>
      </c>
      <c r="E6" s="8">
        <f>Submetring!E6+Submetring!F6+Submetring!G6</f>
        <v>6942</v>
      </c>
      <c r="F6" s="6">
        <v>0.251</v>
      </c>
      <c r="G6" s="8">
        <f>Submetring!H6+Submetring!I6</f>
        <v>1298</v>
      </c>
      <c r="H6" s="6">
        <v>0.56711199999999995</v>
      </c>
      <c r="I6" s="8">
        <f>Submetring!J6</f>
        <v>251</v>
      </c>
      <c r="J6" s="6">
        <v>3.03</v>
      </c>
      <c r="K6" s="8">
        <f>Hotel!Y13</f>
        <v>22</v>
      </c>
    </row>
    <row r="7" spans="1:11" x14ac:dyDescent="0.25">
      <c r="A7" s="6" t="s">
        <v>11</v>
      </c>
      <c r="B7" s="9">
        <f t="shared" si="0"/>
        <v>6</v>
      </c>
      <c r="C7" s="7">
        <v>3</v>
      </c>
      <c r="D7" s="6">
        <v>2021</v>
      </c>
      <c r="E7" s="8">
        <f>Submetring!E7+Submetring!F7+Submetring!G7</f>
        <v>6676</v>
      </c>
      <c r="F7" s="6">
        <v>0.251</v>
      </c>
      <c r="G7" s="8">
        <f>Submetring!H7+Submetring!I7</f>
        <v>1290</v>
      </c>
      <c r="H7" s="6">
        <v>0.56711199999999995</v>
      </c>
      <c r="I7" s="8">
        <f>Submetring!J7</f>
        <v>112</v>
      </c>
      <c r="J7" s="6">
        <v>3.03</v>
      </c>
      <c r="K7" s="8">
        <f>Hotel!Y14</f>
        <v>30</v>
      </c>
    </row>
    <row r="8" spans="1:11" x14ac:dyDescent="0.25">
      <c r="A8" s="6" t="s">
        <v>11</v>
      </c>
      <c r="B8" s="9">
        <f t="shared" si="0"/>
        <v>7</v>
      </c>
      <c r="C8" s="7">
        <v>3</v>
      </c>
      <c r="D8" s="6">
        <v>2021</v>
      </c>
      <c r="E8" s="8">
        <f>Submetring!E8+Submetring!F8+Submetring!G8</f>
        <v>7196</v>
      </c>
      <c r="F8" s="6">
        <v>0.251</v>
      </c>
      <c r="G8" s="8">
        <f>Submetring!H8+Submetring!I8</f>
        <v>1462</v>
      </c>
      <c r="H8" s="6">
        <v>0.56711199999999995</v>
      </c>
      <c r="I8" s="8">
        <f>Submetring!J8</f>
        <v>241</v>
      </c>
      <c r="J8" s="6">
        <v>3.03</v>
      </c>
      <c r="K8" s="8">
        <f>Hotel!Y15</f>
        <v>22</v>
      </c>
    </row>
    <row r="9" spans="1:11" x14ac:dyDescent="0.25">
      <c r="A9" s="6" t="s">
        <v>11</v>
      </c>
      <c r="B9" s="9">
        <f t="shared" si="0"/>
        <v>8</v>
      </c>
      <c r="C9" s="7">
        <v>3</v>
      </c>
      <c r="D9" s="6">
        <v>2021</v>
      </c>
      <c r="E9" s="8">
        <f>Submetring!E9+Submetring!F9+Submetring!G9</f>
        <v>6663</v>
      </c>
      <c r="F9" s="6">
        <v>0.251</v>
      </c>
      <c r="G9" s="8">
        <f>Submetring!H9+Submetring!I9</f>
        <v>1424</v>
      </c>
      <c r="H9" s="6">
        <v>0.56711199999999995</v>
      </c>
      <c r="I9" s="8">
        <f>Submetring!J9</f>
        <v>165</v>
      </c>
      <c r="J9" s="6">
        <v>3.03</v>
      </c>
      <c r="K9" s="8">
        <f>Hotel!Y16</f>
        <v>19</v>
      </c>
    </row>
    <row r="10" spans="1:11" x14ac:dyDescent="0.25">
      <c r="A10" s="6" t="s">
        <v>11</v>
      </c>
      <c r="B10" s="9">
        <f t="shared" si="0"/>
        <v>9</v>
      </c>
      <c r="C10" s="7">
        <v>3</v>
      </c>
      <c r="D10" s="6">
        <v>2021</v>
      </c>
      <c r="E10" s="8">
        <f>Submetring!E10+Submetring!F10+Submetring!G10</f>
        <v>6346</v>
      </c>
      <c r="F10" s="6">
        <v>0.251</v>
      </c>
      <c r="G10" s="8">
        <f>Submetring!H10+Submetring!I10</f>
        <v>1110</v>
      </c>
      <c r="H10" s="6">
        <v>0.56711199999999995</v>
      </c>
      <c r="I10" s="8">
        <f>Submetring!J10</f>
        <v>175</v>
      </c>
      <c r="J10" s="6">
        <v>3.03</v>
      </c>
      <c r="K10" s="8">
        <f>Hotel!Y17</f>
        <v>58</v>
      </c>
    </row>
    <row r="11" spans="1:11" x14ac:dyDescent="0.25">
      <c r="A11" s="6" t="s">
        <v>11</v>
      </c>
      <c r="B11" s="9">
        <f t="shared" si="0"/>
        <v>10</v>
      </c>
      <c r="C11" s="7">
        <v>3</v>
      </c>
      <c r="D11" s="6">
        <v>2021</v>
      </c>
      <c r="E11" s="8">
        <f>Submetring!E11+Submetring!F11+Submetring!G11</f>
        <v>6573</v>
      </c>
      <c r="F11" s="6">
        <v>0.251</v>
      </c>
      <c r="G11" s="8">
        <f>Submetring!H11+Submetring!I11</f>
        <v>1286</v>
      </c>
      <c r="H11" s="6">
        <v>0.56711199999999995</v>
      </c>
      <c r="I11" s="8">
        <f>Submetring!J11</f>
        <v>236</v>
      </c>
      <c r="J11" s="6">
        <v>3.03</v>
      </c>
      <c r="K11" s="8">
        <f>Hotel!Y18</f>
        <v>65</v>
      </c>
    </row>
    <row r="12" spans="1:11" x14ac:dyDescent="0.25">
      <c r="A12" s="6" t="s">
        <v>11</v>
      </c>
      <c r="B12" s="9">
        <f t="shared" si="0"/>
        <v>11</v>
      </c>
      <c r="C12" s="7">
        <v>3</v>
      </c>
      <c r="D12" s="6">
        <v>2021</v>
      </c>
      <c r="E12" s="8">
        <f>Submetring!E12+Submetring!F12+Submetring!G12</f>
        <v>6547</v>
      </c>
      <c r="F12" s="6">
        <v>0.251</v>
      </c>
      <c r="G12" s="8">
        <f>Submetring!H12+Submetring!I12</f>
        <v>1158</v>
      </c>
      <c r="H12" s="6">
        <v>0.56711199999999995</v>
      </c>
      <c r="I12" s="8">
        <f>Submetring!J12</f>
        <v>106</v>
      </c>
      <c r="J12" s="6">
        <v>3.03</v>
      </c>
      <c r="K12" s="8">
        <f>Hotel!Y19</f>
        <v>29</v>
      </c>
    </row>
    <row r="13" spans="1:11" x14ac:dyDescent="0.25">
      <c r="A13" s="6" t="s">
        <v>11</v>
      </c>
      <c r="B13" s="9">
        <f t="shared" si="0"/>
        <v>12</v>
      </c>
      <c r="C13" s="7">
        <v>3</v>
      </c>
      <c r="D13" s="6">
        <v>2021</v>
      </c>
      <c r="E13" s="8">
        <f>Submetring!E13+Submetring!F13+Submetring!G13</f>
        <v>6952</v>
      </c>
      <c r="F13" s="6">
        <v>0.251</v>
      </c>
      <c r="G13" s="8">
        <f>Submetring!H13+Submetring!I13</f>
        <v>1228</v>
      </c>
      <c r="H13" s="6">
        <v>0.56711199999999995</v>
      </c>
      <c r="I13" s="8">
        <f>Submetring!J13</f>
        <v>227</v>
      </c>
      <c r="J13" s="6">
        <v>3.03</v>
      </c>
      <c r="K13" s="8">
        <f>Hotel!Y20</f>
        <v>30</v>
      </c>
    </row>
    <row r="14" spans="1:11" x14ac:dyDescent="0.25">
      <c r="A14" s="6" t="s">
        <v>11</v>
      </c>
      <c r="B14" s="9">
        <f t="shared" si="0"/>
        <v>13</v>
      </c>
      <c r="C14" s="7">
        <v>3</v>
      </c>
      <c r="D14" s="6">
        <v>2021</v>
      </c>
      <c r="E14" s="8">
        <f>Submetring!E14+Submetring!F14+Submetring!G14</f>
        <v>6620</v>
      </c>
      <c r="F14" s="6">
        <v>0.251</v>
      </c>
      <c r="G14" s="8">
        <f>Submetring!H14+Submetring!I14</f>
        <v>1251</v>
      </c>
      <c r="H14" s="6">
        <v>0.56711199999999995</v>
      </c>
      <c r="I14" s="8">
        <f>Submetring!J14</f>
        <v>104</v>
      </c>
      <c r="J14" s="6">
        <v>3.03</v>
      </c>
      <c r="K14" s="8">
        <f>Hotel!Y21</f>
        <v>29</v>
      </c>
    </row>
    <row r="15" spans="1:11" x14ac:dyDescent="0.25">
      <c r="A15" s="6" t="s">
        <v>11</v>
      </c>
      <c r="B15" s="9">
        <f t="shared" si="0"/>
        <v>14</v>
      </c>
      <c r="C15" s="7">
        <v>3</v>
      </c>
      <c r="D15" s="6">
        <v>2021</v>
      </c>
      <c r="E15" s="8">
        <f>Submetring!E15+Submetring!F15+Submetring!G15</f>
        <v>6635</v>
      </c>
      <c r="F15" s="6">
        <v>0.251</v>
      </c>
      <c r="G15" s="8">
        <f>Submetring!H15+Submetring!I15</f>
        <v>1159</v>
      </c>
      <c r="H15" s="6">
        <v>0.56711199999999995</v>
      </c>
      <c r="I15" s="8">
        <f>Submetring!J15</f>
        <v>344</v>
      </c>
      <c r="J15" s="6">
        <v>3.03</v>
      </c>
      <c r="K15" s="8">
        <f>Hotel!Y22</f>
        <v>38</v>
      </c>
    </row>
    <row r="16" spans="1:11" x14ac:dyDescent="0.25">
      <c r="A16" s="6" t="s">
        <v>11</v>
      </c>
      <c r="B16" s="9">
        <f t="shared" si="0"/>
        <v>15</v>
      </c>
      <c r="C16" s="7">
        <v>3</v>
      </c>
      <c r="D16" s="6">
        <v>2021</v>
      </c>
      <c r="E16" s="8">
        <f>Submetring!E16+Submetring!F16+Submetring!G16</f>
        <v>6430</v>
      </c>
      <c r="F16" s="6">
        <v>0.251</v>
      </c>
      <c r="G16" s="8">
        <f>Submetring!H16+Submetring!I16</f>
        <v>1077</v>
      </c>
      <c r="H16" s="6">
        <v>0.56711199999999995</v>
      </c>
      <c r="I16" s="8">
        <f>Submetring!J16</f>
        <v>149</v>
      </c>
      <c r="J16" s="6">
        <v>3.03</v>
      </c>
      <c r="K16" s="8">
        <f>Hotel!Y23</f>
        <v>30</v>
      </c>
    </row>
    <row r="17" spans="1:11" x14ac:dyDescent="0.25">
      <c r="A17" s="6" t="s">
        <v>11</v>
      </c>
      <c r="B17" s="9">
        <f t="shared" si="0"/>
        <v>16</v>
      </c>
      <c r="C17" s="7">
        <v>3</v>
      </c>
      <c r="D17" s="6">
        <v>2021</v>
      </c>
      <c r="E17" s="8">
        <f>Submetring!E17+Submetring!F17+Submetring!G17</f>
        <v>6306</v>
      </c>
      <c r="F17" s="6">
        <v>0.251</v>
      </c>
      <c r="G17" s="8">
        <f>Submetring!H17+Submetring!I17</f>
        <v>1320</v>
      </c>
      <c r="H17" s="6">
        <v>0.56711199999999995</v>
      </c>
      <c r="I17" s="8">
        <f>Submetring!J17</f>
        <v>157</v>
      </c>
      <c r="J17" s="6">
        <v>3.03</v>
      </c>
      <c r="K17" s="8">
        <f>Hotel!Y24</f>
        <v>26</v>
      </c>
    </row>
    <row r="18" spans="1:11" x14ac:dyDescent="0.25">
      <c r="A18" s="6" t="s">
        <v>11</v>
      </c>
      <c r="B18" s="9">
        <f t="shared" si="0"/>
        <v>17</v>
      </c>
      <c r="C18" s="7">
        <v>3</v>
      </c>
      <c r="D18" s="6">
        <v>2021</v>
      </c>
      <c r="E18" s="8">
        <f>Submetring!E18+Submetring!F18+Submetring!G18</f>
        <v>6329</v>
      </c>
      <c r="F18" s="6">
        <v>0.251</v>
      </c>
      <c r="G18" s="8">
        <f>Submetring!H18+Submetring!I18</f>
        <v>1459</v>
      </c>
      <c r="H18" s="6">
        <v>0.56711199999999995</v>
      </c>
      <c r="I18" s="8">
        <f>Submetring!J18</f>
        <v>222</v>
      </c>
      <c r="J18" s="6">
        <v>3.03</v>
      </c>
      <c r="K18" s="8">
        <f>Hotel!Y25</f>
        <v>35</v>
      </c>
    </row>
    <row r="19" spans="1:11" x14ac:dyDescent="0.25">
      <c r="A19" s="6" t="s">
        <v>11</v>
      </c>
      <c r="B19" s="9">
        <f t="shared" si="0"/>
        <v>18</v>
      </c>
      <c r="C19" s="7">
        <v>3</v>
      </c>
      <c r="D19" s="6">
        <v>2021</v>
      </c>
      <c r="E19" s="8">
        <f>Submetring!E19+Submetring!F19+Submetring!G19</f>
        <v>6316</v>
      </c>
      <c r="F19" s="6">
        <v>0.251</v>
      </c>
      <c r="G19" s="8">
        <f>Submetring!H19+Submetring!I19</f>
        <v>1824</v>
      </c>
      <c r="H19" s="6">
        <v>0.56711199999999995</v>
      </c>
      <c r="I19" s="8">
        <f>Submetring!J19</f>
        <v>102</v>
      </c>
      <c r="J19" s="6">
        <v>3.03</v>
      </c>
      <c r="K19" s="8">
        <f>Hotel!Y26</f>
        <v>37</v>
      </c>
    </row>
    <row r="20" spans="1:11" x14ac:dyDescent="0.25">
      <c r="A20" s="6" t="s">
        <v>11</v>
      </c>
      <c r="B20" s="9">
        <f t="shared" si="0"/>
        <v>19</v>
      </c>
      <c r="C20" s="7">
        <v>3</v>
      </c>
      <c r="D20" s="6">
        <v>2021</v>
      </c>
      <c r="E20" s="8">
        <f>Submetring!E20+Submetring!F20+Submetring!G20</f>
        <v>6248</v>
      </c>
      <c r="F20" s="6">
        <v>0.251</v>
      </c>
      <c r="G20" s="8">
        <f>Submetring!H20+Submetring!I20</f>
        <v>1812</v>
      </c>
      <c r="H20" s="6">
        <v>0.56711199999999995</v>
      </c>
      <c r="I20" s="8">
        <f>Submetring!J20</f>
        <v>249</v>
      </c>
      <c r="J20" s="6">
        <v>3.03</v>
      </c>
      <c r="K20" s="8">
        <f>Hotel!Y27</f>
        <v>39</v>
      </c>
    </row>
    <row r="21" spans="1:11" x14ac:dyDescent="0.25">
      <c r="A21" s="6" t="s">
        <v>11</v>
      </c>
      <c r="B21" s="9">
        <f t="shared" si="0"/>
        <v>20</v>
      </c>
      <c r="C21" s="7">
        <v>3</v>
      </c>
      <c r="D21" s="6">
        <v>2021</v>
      </c>
      <c r="E21" s="8">
        <f>Submetring!E21+Submetring!F21+Submetring!G21</f>
        <v>6679</v>
      </c>
      <c r="F21" s="6">
        <v>0.251</v>
      </c>
      <c r="G21" s="8">
        <f>Submetring!H21+Submetring!I21</f>
        <v>1825</v>
      </c>
      <c r="H21" s="6">
        <v>0.56711199999999995</v>
      </c>
      <c r="I21" s="8">
        <f>Submetring!J21</f>
        <v>123</v>
      </c>
      <c r="J21" s="6">
        <v>3.03</v>
      </c>
      <c r="K21" s="8">
        <f>Hotel!Y28</f>
        <v>51</v>
      </c>
    </row>
    <row r="22" spans="1:11" x14ac:dyDescent="0.25">
      <c r="A22" s="6" t="s">
        <v>11</v>
      </c>
      <c r="B22" s="9">
        <f t="shared" si="0"/>
        <v>21</v>
      </c>
      <c r="C22" s="7">
        <v>3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 t="str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3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3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3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3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3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3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3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3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3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3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L26" sqref="L2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3</v>
      </c>
      <c r="D2" s="10">
        <v>2021</v>
      </c>
      <c r="E2" s="11">
        <f>Hotel!D9</f>
        <v>2065</v>
      </c>
      <c r="F2" s="11">
        <f>Hotel!F9</f>
        <v>2072</v>
      </c>
      <c r="G2" s="11">
        <f>Hotel!H9</f>
        <v>1918</v>
      </c>
      <c r="H2" s="11">
        <f>Hotel!N9</f>
        <v>149</v>
      </c>
      <c r="I2" s="11">
        <f>Hotel!P9</f>
        <v>1322</v>
      </c>
      <c r="J2" s="11">
        <f>Hotel!U9</f>
        <v>584</v>
      </c>
      <c r="K2" s="11">
        <f>Hotel!Y9</f>
        <v>15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3</v>
      </c>
      <c r="D3" s="10">
        <v>2021</v>
      </c>
      <c r="E3" s="11">
        <f>Hotel!D10</f>
        <v>2195</v>
      </c>
      <c r="F3" s="11">
        <f>Hotel!F10</f>
        <v>2214</v>
      </c>
      <c r="G3" s="11">
        <f>Hotel!H10</f>
        <v>2060</v>
      </c>
      <c r="H3" s="11">
        <f>Hotel!N10</f>
        <v>119</v>
      </c>
      <c r="I3" s="11">
        <f>Hotel!P10</f>
        <v>1239</v>
      </c>
      <c r="J3" s="11">
        <f>Hotel!U10</f>
        <v>235</v>
      </c>
      <c r="K3" s="11">
        <f>Hotel!Y10</f>
        <v>16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3</v>
      </c>
      <c r="D4" s="10">
        <v>2021</v>
      </c>
      <c r="E4" s="11">
        <f>Hotel!D11</f>
        <v>2261</v>
      </c>
      <c r="F4" s="11">
        <f>Hotel!F11</f>
        <v>2269</v>
      </c>
      <c r="G4" s="11">
        <f>Hotel!H11</f>
        <v>2116</v>
      </c>
      <c r="H4" s="11">
        <f>Hotel!N11</f>
        <v>128</v>
      </c>
      <c r="I4" s="11">
        <f>Hotel!P11</f>
        <v>1558</v>
      </c>
      <c r="J4" s="11">
        <f>Hotel!U11</f>
        <v>199</v>
      </c>
      <c r="K4" s="11">
        <f>Hotel!Y11</f>
        <v>23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3</v>
      </c>
      <c r="D5" s="10">
        <v>2021</v>
      </c>
      <c r="E5" s="11">
        <f>Hotel!D12</f>
        <v>2171</v>
      </c>
      <c r="F5" s="11">
        <f>Hotel!F12</f>
        <v>2183</v>
      </c>
      <c r="G5" s="11">
        <f>Hotel!H12</f>
        <v>2016</v>
      </c>
      <c r="H5" s="11">
        <f>Hotel!N12</f>
        <v>129</v>
      </c>
      <c r="I5" s="11">
        <f>Hotel!P12</f>
        <v>1185</v>
      </c>
      <c r="J5" s="11">
        <f>Hotel!U12</f>
        <v>116</v>
      </c>
      <c r="K5" s="11">
        <f>Hotel!Y12</f>
        <v>17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3</v>
      </c>
      <c r="D6" s="10">
        <v>2021</v>
      </c>
      <c r="E6" s="11">
        <f>Hotel!D13</f>
        <v>2349</v>
      </c>
      <c r="F6" s="11">
        <f>Hotel!F13</f>
        <v>2377</v>
      </c>
      <c r="G6" s="11">
        <f>Hotel!H13</f>
        <v>2216</v>
      </c>
      <c r="H6" s="11">
        <f>Hotel!N13</f>
        <v>112</v>
      </c>
      <c r="I6" s="11">
        <f>Hotel!P13</f>
        <v>1186</v>
      </c>
      <c r="J6" s="11">
        <f>Hotel!U13</f>
        <v>251</v>
      </c>
      <c r="K6" s="11">
        <f>Hotel!Y13</f>
        <v>22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3</v>
      </c>
      <c r="D7" s="10">
        <v>2021</v>
      </c>
      <c r="E7" s="11">
        <f>Hotel!D14</f>
        <v>2258</v>
      </c>
      <c r="F7" s="11">
        <f>Hotel!F14</f>
        <v>2294</v>
      </c>
      <c r="G7" s="11">
        <f>Hotel!H14</f>
        <v>2124</v>
      </c>
      <c r="H7" s="11">
        <f>Hotel!N14</f>
        <v>111</v>
      </c>
      <c r="I7" s="11">
        <f>Hotel!P14</f>
        <v>1179</v>
      </c>
      <c r="J7" s="11">
        <f>Hotel!U14</f>
        <v>112</v>
      </c>
      <c r="K7" s="11">
        <f>Hotel!Y14</f>
        <v>30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3</v>
      </c>
      <c r="D8" s="10">
        <v>2021</v>
      </c>
      <c r="E8" s="11">
        <f>Hotel!D15</f>
        <v>2439</v>
      </c>
      <c r="F8" s="11">
        <f>Hotel!F15</f>
        <v>2459</v>
      </c>
      <c r="G8" s="11">
        <f>Hotel!H15</f>
        <v>2298</v>
      </c>
      <c r="H8" s="11">
        <f>Hotel!N15</f>
        <v>142</v>
      </c>
      <c r="I8" s="11">
        <f>Hotel!P15</f>
        <v>1320</v>
      </c>
      <c r="J8" s="11">
        <f>Hotel!U15</f>
        <v>241</v>
      </c>
      <c r="K8" s="11">
        <f>Hotel!Y15</f>
        <v>22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3</v>
      </c>
      <c r="D9" s="10">
        <v>2021</v>
      </c>
      <c r="E9" s="11">
        <f>Hotel!D16</f>
        <v>2265</v>
      </c>
      <c r="F9" s="11">
        <f>Hotel!F16</f>
        <v>2271</v>
      </c>
      <c r="G9" s="11">
        <f>Hotel!H16</f>
        <v>2127</v>
      </c>
      <c r="H9" s="11">
        <f>Hotel!N16</f>
        <v>139</v>
      </c>
      <c r="I9" s="11">
        <f>Hotel!P16</f>
        <v>1285</v>
      </c>
      <c r="J9" s="11">
        <f>Hotel!U16</f>
        <v>165</v>
      </c>
      <c r="K9" s="11">
        <f>Hotel!Y16</f>
        <v>19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3</v>
      </c>
      <c r="D10" s="10">
        <v>2021</v>
      </c>
      <c r="E10" s="11">
        <f>Hotel!D17</f>
        <v>2155</v>
      </c>
      <c r="F10" s="11">
        <f>Hotel!F17</f>
        <v>2174</v>
      </c>
      <c r="G10" s="11">
        <f>Hotel!H17</f>
        <v>2017</v>
      </c>
      <c r="H10" s="11">
        <f>Hotel!N17</f>
        <v>130</v>
      </c>
      <c r="I10" s="11">
        <f>Hotel!P17</f>
        <v>980</v>
      </c>
      <c r="J10" s="11">
        <f>Hotel!U17</f>
        <v>175</v>
      </c>
      <c r="K10" s="11">
        <f>Hotel!Y17</f>
        <v>58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3</v>
      </c>
      <c r="D11" s="10">
        <v>2021</v>
      </c>
      <c r="E11" s="11">
        <f>Hotel!D18</f>
        <v>2226</v>
      </c>
      <c r="F11" s="11">
        <f>Hotel!F18</f>
        <v>2261</v>
      </c>
      <c r="G11" s="11">
        <f>Hotel!H18</f>
        <v>2086</v>
      </c>
      <c r="H11" s="11">
        <f>Hotel!N18</f>
        <v>128</v>
      </c>
      <c r="I11" s="11">
        <f>Hotel!P18</f>
        <v>1158</v>
      </c>
      <c r="J11" s="11">
        <f>Hotel!U18</f>
        <v>236</v>
      </c>
      <c r="K11" s="11">
        <f>Hotel!Y18</f>
        <v>65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3</v>
      </c>
      <c r="D12" s="10">
        <v>2021</v>
      </c>
      <c r="E12" s="11">
        <f>Hotel!D19</f>
        <v>2221</v>
      </c>
      <c r="F12" s="11">
        <f>Hotel!F19</f>
        <v>2248</v>
      </c>
      <c r="G12" s="11">
        <f>Hotel!H19</f>
        <v>2078</v>
      </c>
      <c r="H12" s="11">
        <f>Hotel!N19</f>
        <v>128</v>
      </c>
      <c r="I12" s="11">
        <f>Hotel!P19</f>
        <v>1030</v>
      </c>
      <c r="J12" s="11">
        <f>Hotel!U19</f>
        <v>106</v>
      </c>
      <c r="K12" s="11">
        <f>Hotel!Y19</f>
        <v>29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3</v>
      </c>
      <c r="D13" s="10">
        <v>2021</v>
      </c>
      <c r="E13" s="11">
        <f>Hotel!D20</f>
        <v>2347</v>
      </c>
      <c r="F13" s="11">
        <f>Hotel!F20</f>
        <v>2392</v>
      </c>
      <c r="G13" s="11">
        <f>Hotel!H20</f>
        <v>2213</v>
      </c>
      <c r="H13" s="11">
        <f>Hotel!N20</f>
        <v>137</v>
      </c>
      <c r="I13" s="11">
        <f>Hotel!P20</f>
        <v>1091</v>
      </c>
      <c r="J13" s="11">
        <f>Hotel!U20</f>
        <v>227</v>
      </c>
      <c r="K13" s="11">
        <f>Hotel!Y20</f>
        <v>30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3</v>
      </c>
      <c r="D14" s="10">
        <v>2021</v>
      </c>
      <c r="E14" s="11">
        <f>Hotel!D21</f>
        <v>2246</v>
      </c>
      <c r="F14" s="11">
        <f>Hotel!F21</f>
        <v>2271</v>
      </c>
      <c r="G14" s="11">
        <f>Hotel!H21</f>
        <v>2103</v>
      </c>
      <c r="H14" s="11">
        <f>Hotel!N21</f>
        <v>128</v>
      </c>
      <c r="I14" s="11">
        <f>Hotel!P21</f>
        <v>1123</v>
      </c>
      <c r="J14" s="11">
        <f>Hotel!U21</f>
        <v>104</v>
      </c>
      <c r="K14" s="11">
        <f>Hotel!Y21</f>
        <v>29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3</v>
      </c>
      <c r="D15" s="10">
        <v>2021</v>
      </c>
      <c r="E15" s="11">
        <f>Hotel!D22</f>
        <v>2266</v>
      </c>
      <c r="F15" s="11">
        <f>Hotel!F22</f>
        <v>2269</v>
      </c>
      <c r="G15" s="11">
        <f>Hotel!H22</f>
        <v>2100</v>
      </c>
      <c r="H15" s="11">
        <f>Hotel!N22</f>
        <v>122</v>
      </c>
      <c r="I15" s="11">
        <f>Hotel!P22</f>
        <v>1037</v>
      </c>
      <c r="J15" s="11">
        <f>Hotel!U22</f>
        <v>344</v>
      </c>
      <c r="K15" s="11">
        <f>Hotel!Y22</f>
        <v>38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3</v>
      </c>
      <c r="D16" s="10">
        <v>2021</v>
      </c>
      <c r="E16" s="11">
        <f>Hotel!D23</f>
        <v>2206</v>
      </c>
      <c r="F16" s="11">
        <f>Hotel!F23</f>
        <v>2197</v>
      </c>
      <c r="G16" s="11">
        <f>Hotel!H23</f>
        <v>2027</v>
      </c>
      <c r="H16" s="11">
        <f>Hotel!N23</f>
        <v>123</v>
      </c>
      <c r="I16" s="11">
        <f>Hotel!P23</f>
        <v>954</v>
      </c>
      <c r="J16" s="11">
        <f>Hotel!U23</f>
        <v>149</v>
      </c>
      <c r="K16" s="11">
        <f>Hotel!Y23</f>
        <v>30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3</v>
      </c>
      <c r="D17" s="10">
        <v>2021</v>
      </c>
      <c r="E17" s="11">
        <f>Hotel!D24</f>
        <v>2159</v>
      </c>
      <c r="F17" s="11">
        <f>Hotel!F24</f>
        <v>2156</v>
      </c>
      <c r="G17" s="11">
        <f>Hotel!H24</f>
        <v>1991</v>
      </c>
      <c r="H17" s="11">
        <f>Hotel!N24</f>
        <v>120</v>
      </c>
      <c r="I17" s="11">
        <f>Hotel!P24</f>
        <v>1200</v>
      </c>
      <c r="J17" s="11">
        <f>Hotel!U24</f>
        <v>157</v>
      </c>
      <c r="K17" s="11">
        <f>Hotel!Y24</f>
        <v>26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3</v>
      </c>
      <c r="D18" s="10">
        <v>2021</v>
      </c>
      <c r="E18" s="11">
        <f>Hotel!D25</f>
        <v>2169</v>
      </c>
      <c r="F18" s="11">
        <f>Hotel!F25</f>
        <v>2170</v>
      </c>
      <c r="G18" s="11">
        <f>Hotel!H25</f>
        <v>1990</v>
      </c>
      <c r="H18" s="11">
        <f>Hotel!N25</f>
        <v>127</v>
      </c>
      <c r="I18" s="11">
        <f>Hotel!P25</f>
        <v>1332</v>
      </c>
      <c r="J18" s="11">
        <f>Hotel!U25</f>
        <v>222</v>
      </c>
      <c r="K18" s="11">
        <f>Hotel!Y25</f>
        <v>35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3</v>
      </c>
      <c r="D19" s="10">
        <v>2021</v>
      </c>
      <c r="E19" s="11">
        <f>Hotel!D26</f>
        <v>2166</v>
      </c>
      <c r="F19" s="11">
        <f>Hotel!F26</f>
        <v>2159</v>
      </c>
      <c r="G19" s="11">
        <f>Hotel!H26</f>
        <v>1991</v>
      </c>
      <c r="H19" s="11">
        <f>Hotel!N26</f>
        <v>255</v>
      </c>
      <c r="I19" s="11">
        <f>Hotel!P26</f>
        <v>1569</v>
      </c>
      <c r="J19" s="11">
        <f>Hotel!U26</f>
        <v>102</v>
      </c>
      <c r="K19" s="11">
        <f>Hotel!Y26</f>
        <v>37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3</v>
      </c>
      <c r="D20" s="10">
        <v>2021</v>
      </c>
      <c r="E20" s="11">
        <f>Hotel!D27</f>
        <v>2037</v>
      </c>
      <c r="F20" s="11">
        <f>Hotel!F27</f>
        <v>2156</v>
      </c>
      <c r="G20" s="11">
        <f>Hotel!H27</f>
        <v>2055</v>
      </c>
      <c r="H20" s="11">
        <f>Hotel!N27</f>
        <v>84</v>
      </c>
      <c r="I20" s="11">
        <f>Hotel!P27</f>
        <v>1728</v>
      </c>
      <c r="J20" s="11">
        <f>Hotel!U27</f>
        <v>249</v>
      </c>
      <c r="K20" s="11">
        <f>Hotel!Y27</f>
        <v>39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3</v>
      </c>
      <c r="D21" s="10">
        <v>2021</v>
      </c>
      <c r="E21" s="11">
        <f>Hotel!D28</f>
        <v>2387</v>
      </c>
      <c r="F21" s="11">
        <f>Hotel!F28</f>
        <v>2273</v>
      </c>
      <c r="G21" s="11">
        <f>Hotel!H28</f>
        <v>2019</v>
      </c>
      <c r="H21" s="11">
        <f>Hotel!N28</f>
        <v>56</v>
      </c>
      <c r="I21" s="11">
        <f>Hotel!P28</f>
        <v>1769</v>
      </c>
      <c r="J21" s="11">
        <f>Hotel!U28</f>
        <v>123</v>
      </c>
      <c r="K21" s="11">
        <f>Hotel!Y28</f>
        <v>51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3</v>
      </c>
      <c r="D22" s="10">
        <v>2021</v>
      </c>
      <c r="E22" s="11" t="str">
        <f>Hotel!D29</f>
        <v>0</v>
      </c>
      <c r="F22" s="11" t="str">
        <f>Hotel!F29</f>
        <v>0</v>
      </c>
      <c r="G22" s="11" t="str">
        <f>Hotel!H29</f>
        <v>0</v>
      </c>
      <c r="H22" s="11" t="str">
        <f>Hotel!N29</f>
        <v>0</v>
      </c>
      <c r="I22" s="11" t="str">
        <f>Hotel!P29</f>
        <v>0</v>
      </c>
      <c r="J22" s="11" t="str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3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3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3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3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3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3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3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3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3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3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Y30" sqref="Y30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8"/>
      <c r="C1" s="138"/>
      <c r="D1" s="138"/>
      <c r="E1" s="138"/>
      <c r="F1" s="139" t="s">
        <v>95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39" t="s">
        <v>122</v>
      </c>
      <c r="X1" s="140"/>
      <c r="Y1" s="140"/>
      <c r="Z1" s="141"/>
    </row>
    <row r="2" spans="1:27" x14ac:dyDescent="0.25">
      <c r="A2" s="10"/>
      <c r="B2" s="138"/>
      <c r="C2" s="138"/>
      <c r="D2" s="138"/>
      <c r="E2" s="138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2"/>
      <c r="X2" s="143"/>
      <c r="Y2" s="143"/>
      <c r="Z2" s="144"/>
    </row>
    <row r="3" spans="1:27" x14ac:dyDescent="0.25">
      <c r="A3" s="10"/>
      <c r="B3" s="138"/>
      <c r="C3" s="138"/>
      <c r="D3" s="138"/>
      <c r="E3" s="138"/>
      <c r="F3" s="142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42">
        <v>2021</v>
      </c>
      <c r="X3" s="143"/>
      <c r="Y3" s="143"/>
      <c r="Z3" s="144"/>
    </row>
    <row r="4" spans="1:27" x14ac:dyDescent="0.25">
      <c r="A4" s="10"/>
      <c r="B4" s="138"/>
      <c r="C4" s="138"/>
      <c r="D4" s="138"/>
      <c r="E4" s="138"/>
      <c r="F4" s="145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45"/>
      <c r="X4" s="146"/>
      <c r="Y4" s="146"/>
      <c r="Z4" s="147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8">
        <v>5150213</v>
      </c>
      <c r="D6" s="29"/>
      <c r="E6" s="30">
        <v>5102819</v>
      </c>
      <c r="F6" s="31"/>
      <c r="G6" s="28">
        <v>4826715</v>
      </c>
      <c r="H6" s="32">
        <f>G6-G5</f>
        <v>4826715</v>
      </c>
      <c r="I6" s="33"/>
      <c r="J6" s="34">
        <f>D6+F6+H6</f>
        <v>4826715</v>
      </c>
      <c r="K6" s="34" t="e">
        <f>D6*0.152+F6*0.238+H6*0.115+#REF!*0.218</f>
        <v>#REF!</v>
      </c>
      <c r="L6" s="35"/>
      <c r="M6" s="36">
        <v>129970</v>
      </c>
      <c r="N6" s="32" t="e">
        <f>M6-#REF!</f>
        <v>#REF!</v>
      </c>
      <c r="O6" s="37">
        <v>2119259</v>
      </c>
      <c r="P6" s="34" t="e">
        <f>O6-#REF!</f>
        <v>#REF!</v>
      </c>
      <c r="Q6" s="34" t="e">
        <f>N6+P6</f>
        <v>#REF!</v>
      </c>
      <c r="R6" s="32" t="e">
        <f>Q6*1.2285*10.033*0.0371</f>
        <v>#REF!</v>
      </c>
      <c r="S6" s="35"/>
      <c r="T6" s="38">
        <v>242984</v>
      </c>
      <c r="U6" s="39" t="e">
        <f>T6-#REF!</f>
        <v>#REF!</v>
      </c>
      <c r="V6" s="39" t="e">
        <f>U6*(1.025+1.028)</f>
        <v>#REF!</v>
      </c>
      <c r="W6" s="35"/>
      <c r="X6" s="32" t="e">
        <f>K6+R6+V6</f>
        <v>#REF!</v>
      </c>
      <c r="Y6" s="27">
        <v>100</v>
      </c>
      <c r="Z6" s="32" t="e">
        <f>X6/Y6</f>
        <v>#REF!</v>
      </c>
      <c r="AA6" s="40"/>
    </row>
    <row r="7" spans="1:27" x14ac:dyDescent="0.25">
      <c r="A7" s="10"/>
      <c r="B7" s="41"/>
      <c r="C7" s="148" t="s">
        <v>97</v>
      </c>
      <c r="D7" s="149"/>
      <c r="E7" s="149"/>
      <c r="F7" s="149"/>
      <c r="G7" s="149"/>
      <c r="H7" s="149"/>
      <c r="I7" s="149"/>
      <c r="J7" s="149"/>
      <c r="K7" s="150"/>
      <c r="L7" s="42"/>
      <c r="M7" s="148" t="s">
        <v>98</v>
      </c>
      <c r="N7" s="149"/>
      <c r="O7" s="149"/>
      <c r="P7" s="149"/>
      <c r="Q7" s="149"/>
      <c r="R7" s="150"/>
      <c r="S7" s="42"/>
      <c r="T7" s="151" t="s">
        <v>99</v>
      </c>
      <c r="U7" s="151"/>
      <c r="V7" s="152"/>
      <c r="W7" s="42"/>
      <c r="X7" s="43" t="s">
        <v>100</v>
      </c>
      <c r="Y7" s="44" t="s">
        <v>101</v>
      </c>
      <c r="Z7" s="45" t="s">
        <v>100</v>
      </c>
    </row>
    <row r="8" spans="1:27" x14ac:dyDescent="0.25">
      <c r="A8" s="10"/>
      <c r="B8" s="41"/>
      <c r="C8" s="46" t="s">
        <v>102</v>
      </c>
      <c r="D8" s="47" t="s">
        <v>103</v>
      </c>
      <c r="E8" s="46" t="s">
        <v>104</v>
      </c>
      <c r="F8" s="47" t="s">
        <v>103</v>
      </c>
      <c r="G8" s="46" t="s">
        <v>105</v>
      </c>
      <c r="H8" s="47" t="s">
        <v>103</v>
      </c>
      <c r="I8" s="46" t="s">
        <v>106</v>
      </c>
      <c r="J8" s="48" t="s">
        <v>107</v>
      </c>
      <c r="K8" s="49" t="s">
        <v>108</v>
      </c>
      <c r="L8" s="50"/>
      <c r="M8" s="51" t="s">
        <v>109</v>
      </c>
      <c r="N8" s="48" t="s">
        <v>103</v>
      </c>
      <c r="O8" s="52" t="s">
        <v>110</v>
      </c>
      <c r="P8" s="53" t="s">
        <v>103</v>
      </c>
      <c r="Q8" s="54" t="s">
        <v>111</v>
      </c>
      <c r="R8" s="53" t="s">
        <v>108</v>
      </c>
      <c r="S8" s="50"/>
      <c r="T8" s="46" t="s">
        <v>112</v>
      </c>
      <c r="U8" s="48" t="s">
        <v>103</v>
      </c>
      <c r="V8" s="55" t="s">
        <v>108</v>
      </c>
      <c r="W8" s="56"/>
      <c r="X8" s="57" t="s">
        <v>113</v>
      </c>
      <c r="Y8" s="58" t="s">
        <v>114</v>
      </c>
      <c r="Z8" s="59" t="s">
        <v>115</v>
      </c>
    </row>
    <row r="9" spans="1:27" x14ac:dyDescent="0.25">
      <c r="A9" s="10" t="s">
        <v>116</v>
      </c>
      <c r="B9" s="60">
        <v>1</v>
      </c>
      <c r="C9" s="61">
        <v>5152278</v>
      </c>
      <c r="D9" s="62">
        <f>IF((C9-C6&lt;0), "0",C9-C6)</f>
        <v>2065</v>
      </c>
      <c r="E9" s="63">
        <v>5104891</v>
      </c>
      <c r="F9" s="62">
        <f>IF((E9-E6&lt;0), "0",E9-E6)</f>
        <v>2072</v>
      </c>
      <c r="G9" s="64">
        <v>4828633</v>
      </c>
      <c r="H9" s="62">
        <f>IF((G9-G6&lt;0), "0",G9-G6)</f>
        <v>1918</v>
      </c>
      <c r="I9" s="61">
        <f>H9+F9+D9</f>
        <v>6055</v>
      </c>
      <c r="J9" s="65">
        <v>0.99</v>
      </c>
      <c r="K9" s="66">
        <f>I9*0.251</f>
        <v>1519.8050000000001</v>
      </c>
      <c r="L9" s="67"/>
      <c r="M9" s="61">
        <v>130119</v>
      </c>
      <c r="N9" s="62">
        <f>IF((M9-M6&lt;0), "0",M9-M6)</f>
        <v>149</v>
      </c>
      <c r="O9" s="61">
        <v>2120581</v>
      </c>
      <c r="P9" s="62">
        <f>IF((O9-O6&lt;0), "0",O9-O6)</f>
        <v>1322</v>
      </c>
      <c r="Q9" s="68">
        <f t="shared" ref="Q9:Q39" si="0">N9+P9</f>
        <v>1471</v>
      </c>
      <c r="R9" s="69">
        <f>(P9+N9*1.2285)*0.056*10.127</f>
        <v>853.52993070799994</v>
      </c>
      <c r="S9" s="70"/>
      <c r="T9" s="71">
        <v>243568</v>
      </c>
      <c r="U9" s="62">
        <f>IF((T9-T6&lt;0), "0",T9-T6)</f>
        <v>584</v>
      </c>
      <c r="V9" s="72">
        <f>U9*(1.315+1.54)</f>
        <v>1667.32</v>
      </c>
      <c r="W9" s="73"/>
      <c r="X9" s="74">
        <f t="shared" ref="X9:X39" si="1">K9+R9+V9</f>
        <v>4040.6549307079995</v>
      </c>
      <c r="Y9" s="75">
        <v>15</v>
      </c>
      <c r="Z9" s="76">
        <f>X9/Y9</f>
        <v>269.37699538053329</v>
      </c>
    </row>
    <row r="10" spans="1:27" x14ac:dyDescent="0.25">
      <c r="A10" s="10" t="s">
        <v>117</v>
      </c>
      <c r="B10" s="60">
        <f>B9+1</f>
        <v>2</v>
      </c>
      <c r="C10" s="77">
        <v>5154473</v>
      </c>
      <c r="D10" s="62">
        <f t="shared" ref="D10:D39" si="2">IF((C10-C9&lt;0), "0",C10-C9)</f>
        <v>2195</v>
      </c>
      <c r="E10" s="78">
        <v>5107105</v>
      </c>
      <c r="F10" s="62">
        <f>IF((E10-E9&lt;0), "0",E10-E9)</f>
        <v>2214</v>
      </c>
      <c r="G10" s="78">
        <v>4830693</v>
      </c>
      <c r="H10" s="62">
        <f t="shared" ref="H10:H39" si="3">IF((G10-G9&lt;0), "0",G10-G9)</f>
        <v>2060</v>
      </c>
      <c r="I10" s="61">
        <f t="shared" ref="I10:I36" si="4">H10+F10+D10</f>
        <v>6469</v>
      </c>
      <c r="J10" s="65">
        <v>0.99</v>
      </c>
      <c r="K10" s="66">
        <f t="shared" ref="K10:K39" si="5">I10*0.251</f>
        <v>1623.7190000000001</v>
      </c>
      <c r="L10" s="67"/>
      <c r="M10" s="78">
        <v>130238</v>
      </c>
      <c r="N10" s="62">
        <f>IF((M10-M9&lt;0), "0",M10-M9)</f>
        <v>119</v>
      </c>
      <c r="O10" s="78">
        <v>2121820</v>
      </c>
      <c r="P10" s="62">
        <f>IF((O10-O9&lt;0), "0",O10-O9)</f>
        <v>1239</v>
      </c>
      <c r="Q10" s="68">
        <f t="shared" si="0"/>
        <v>1358</v>
      </c>
      <c r="R10" s="69">
        <f t="shared" ref="R10:R39" si="6">(P10+N10*1.2285)*0.056*10.127</f>
        <v>785.55872194800008</v>
      </c>
      <c r="S10" s="70"/>
      <c r="T10" s="79">
        <v>243803</v>
      </c>
      <c r="U10" s="62">
        <f>IF((T10-T9&lt;0), "0",T10-T9)</f>
        <v>235</v>
      </c>
      <c r="V10" s="72">
        <f t="shared" ref="V10:V39" si="7">U10*(1.315+1.54)</f>
        <v>670.92499999999995</v>
      </c>
      <c r="W10" s="73"/>
      <c r="X10" s="80">
        <f t="shared" si="1"/>
        <v>3080.2027219480005</v>
      </c>
      <c r="Y10" s="81">
        <v>16</v>
      </c>
      <c r="Z10" s="82">
        <f t="shared" ref="Z10:Z36" si="8">X10/Y10</f>
        <v>192.51267012175003</v>
      </c>
    </row>
    <row r="11" spans="1:27" x14ac:dyDescent="0.25">
      <c r="A11" s="10" t="s">
        <v>118</v>
      </c>
      <c r="B11" s="60">
        <f t="shared" ref="B11:B39" si="9">B10+1</f>
        <v>3</v>
      </c>
      <c r="C11" s="77">
        <v>5156734</v>
      </c>
      <c r="D11" s="62">
        <f t="shared" si="2"/>
        <v>2261</v>
      </c>
      <c r="E11" s="77">
        <v>5109374</v>
      </c>
      <c r="F11" s="62">
        <f t="shared" ref="F11:F39" si="10">IF((E11-E10&lt;0), "0",E11-E10)</f>
        <v>2269</v>
      </c>
      <c r="G11" s="78">
        <v>4832809</v>
      </c>
      <c r="H11" s="62">
        <f t="shared" si="3"/>
        <v>2116</v>
      </c>
      <c r="I11" s="61">
        <f t="shared" si="4"/>
        <v>6646</v>
      </c>
      <c r="J11" s="65">
        <v>0.99</v>
      </c>
      <c r="K11" s="66">
        <f t="shared" si="5"/>
        <v>1668.146</v>
      </c>
      <c r="L11" s="67"/>
      <c r="M11" s="78">
        <v>130366</v>
      </c>
      <c r="N11" s="62">
        <f t="shared" ref="N11:N39" si="11">IF((M11-M10&lt;0), "0",M11-M10)</f>
        <v>128</v>
      </c>
      <c r="O11" s="78">
        <v>2123378</v>
      </c>
      <c r="P11" s="62">
        <f t="shared" ref="P11:P39" si="12">IF((O11-O10&lt;0), "0",O11-O10)</f>
        <v>1558</v>
      </c>
      <c r="Q11" s="68">
        <f t="shared" si="0"/>
        <v>1686</v>
      </c>
      <c r="R11" s="69">
        <f t="shared" si="6"/>
        <v>972.73772377600005</v>
      </c>
      <c r="S11" s="70"/>
      <c r="T11" s="83">
        <v>244002</v>
      </c>
      <c r="U11" s="62">
        <f t="shared" ref="U11:U39" si="13">IF((T11-T10&lt;0), "0",T11-T10)</f>
        <v>199</v>
      </c>
      <c r="V11" s="72">
        <f t="shared" si="7"/>
        <v>568.14499999999998</v>
      </c>
      <c r="W11" s="73"/>
      <c r="X11" s="80">
        <f t="shared" si="1"/>
        <v>3209.0287237759999</v>
      </c>
      <c r="Y11" s="81">
        <v>23</v>
      </c>
      <c r="Z11" s="82">
        <f t="shared" si="8"/>
        <v>139.52298799026087</v>
      </c>
    </row>
    <row r="12" spans="1:27" x14ac:dyDescent="0.25">
      <c r="A12" s="10" t="s">
        <v>119</v>
      </c>
      <c r="B12" s="60">
        <f t="shared" si="9"/>
        <v>4</v>
      </c>
      <c r="C12" s="77">
        <v>5158905</v>
      </c>
      <c r="D12" s="62">
        <f t="shared" si="2"/>
        <v>2171</v>
      </c>
      <c r="E12" s="77">
        <v>5111557</v>
      </c>
      <c r="F12" s="62">
        <f t="shared" si="10"/>
        <v>2183</v>
      </c>
      <c r="G12" s="78">
        <v>4834825</v>
      </c>
      <c r="H12" s="62">
        <f t="shared" si="3"/>
        <v>2016</v>
      </c>
      <c r="I12" s="61">
        <f t="shared" si="4"/>
        <v>6370</v>
      </c>
      <c r="J12" s="65">
        <v>0.99</v>
      </c>
      <c r="K12" s="66">
        <f t="shared" si="5"/>
        <v>1598.8700000000001</v>
      </c>
      <c r="L12" s="67"/>
      <c r="M12" s="78">
        <v>130495</v>
      </c>
      <c r="N12" s="62">
        <f t="shared" si="11"/>
        <v>129</v>
      </c>
      <c r="O12" s="78">
        <v>2124563</v>
      </c>
      <c r="P12" s="62">
        <f t="shared" si="12"/>
        <v>1185</v>
      </c>
      <c r="Q12" s="68">
        <f t="shared" si="0"/>
        <v>1314</v>
      </c>
      <c r="R12" s="69">
        <f t="shared" si="6"/>
        <v>761.90164486800006</v>
      </c>
      <c r="S12" s="70"/>
      <c r="T12" s="79">
        <v>244118</v>
      </c>
      <c r="U12" s="62">
        <f t="shared" si="13"/>
        <v>116</v>
      </c>
      <c r="V12" s="72">
        <f t="shared" si="7"/>
        <v>331.18</v>
      </c>
      <c r="W12" s="73"/>
      <c r="X12" s="80">
        <f t="shared" si="1"/>
        <v>2691.9516448680001</v>
      </c>
      <c r="Y12" s="81">
        <v>17</v>
      </c>
      <c r="Z12" s="82">
        <f t="shared" si="8"/>
        <v>158.35009675694118</v>
      </c>
    </row>
    <row r="13" spans="1:27" x14ac:dyDescent="0.25">
      <c r="A13" s="10" t="s">
        <v>120</v>
      </c>
      <c r="B13" s="60">
        <f t="shared" si="9"/>
        <v>5</v>
      </c>
      <c r="C13" s="64">
        <v>5161254</v>
      </c>
      <c r="D13" s="62">
        <f t="shared" si="2"/>
        <v>2349</v>
      </c>
      <c r="E13" s="77">
        <v>5113934</v>
      </c>
      <c r="F13" s="62">
        <f t="shared" si="10"/>
        <v>2377</v>
      </c>
      <c r="G13" s="64">
        <v>4837041</v>
      </c>
      <c r="H13" s="62">
        <f t="shared" si="3"/>
        <v>2216</v>
      </c>
      <c r="I13" s="61">
        <f t="shared" si="4"/>
        <v>6942</v>
      </c>
      <c r="J13" s="65">
        <v>0.99</v>
      </c>
      <c r="K13" s="66">
        <f t="shared" si="5"/>
        <v>1742.442</v>
      </c>
      <c r="L13" s="67"/>
      <c r="M13" s="78">
        <v>130607</v>
      </c>
      <c r="N13" s="62">
        <f t="shared" si="11"/>
        <v>112</v>
      </c>
      <c r="O13" s="77">
        <v>2125749</v>
      </c>
      <c r="P13" s="62">
        <f t="shared" si="12"/>
        <v>1186</v>
      </c>
      <c r="Q13" s="68">
        <f t="shared" si="0"/>
        <v>1298</v>
      </c>
      <c r="R13" s="69">
        <f t="shared" si="6"/>
        <v>750.62490630400009</v>
      </c>
      <c r="S13" s="70"/>
      <c r="T13" s="84">
        <v>244369</v>
      </c>
      <c r="U13" s="62">
        <f t="shared" si="13"/>
        <v>251</v>
      </c>
      <c r="V13" s="72">
        <f t="shared" si="7"/>
        <v>716.60500000000002</v>
      </c>
      <c r="W13" s="73"/>
      <c r="X13" s="80">
        <f t="shared" si="1"/>
        <v>3209.671906304</v>
      </c>
      <c r="Y13" s="81">
        <v>22</v>
      </c>
      <c r="Z13" s="82">
        <f t="shared" si="8"/>
        <v>145.89417755927272</v>
      </c>
    </row>
    <row r="14" spans="1:27" x14ac:dyDescent="0.25">
      <c r="A14" s="10" t="s">
        <v>121</v>
      </c>
      <c r="B14" s="60">
        <f t="shared" si="9"/>
        <v>6</v>
      </c>
      <c r="C14" s="77">
        <v>5163512</v>
      </c>
      <c r="D14" s="62">
        <f t="shared" si="2"/>
        <v>2258</v>
      </c>
      <c r="E14" s="77">
        <v>5116228</v>
      </c>
      <c r="F14" s="62">
        <f t="shared" si="10"/>
        <v>2294</v>
      </c>
      <c r="G14" s="64">
        <v>4839165</v>
      </c>
      <c r="H14" s="62">
        <f t="shared" si="3"/>
        <v>2124</v>
      </c>
      <c r="I14" s="61">
        <f t="shared" si="4"/>
        <v>6676</v>
      </c>
      <c r="J14" s="65">
        <v>0.99</v>
      </c>
      <c r="K14" s="66">
        <f t="shared" si="5"/>
        <v>1675.6759999999999</v>
      </c>
      <c r="L14" s="67"/>
      <c r="M14" s="78">
        <v>130718</v>
      </c>
      <c r="N14" s="62">
        <f t="shared" si="11"/>
        <v>111</v>
      </c>
      <c r="O14" s="77">
        <v>2126928</v>
      </c>
      <c r="P14" s="62">
        <f t="shared" si="12"/>
        <v>1179</v>
      </c>
      <c r="Q14" s="68">
        <f t="shared" si="0"/>
        <v>1290</v>
      </c>
      <c r="R14" s="69">
        <f t="shared" si="6"/>
        <v>745.95842521199995</v>
      </c>
      <c r="S14" s="70"/>
      <c r="T14" s="84">
        <v>244481</v>
      </c>
      <c r="U14" s="62">
        <f t="shared" si="13"/>
        <v>112</v>
      </c>
      <c r="V14" s="72">
        <f t="shared" si="7"/>
        <v>319.76</v>
      </c>
      <c r="W14" s="73"/>
      <c r="X14" s="80">
        <f t="shared" si="1"/>
        <v>2741.394425212</v>
      </c>
      <c r="Y14" s="81">
        <v>30</v>
      </c>
      <c r="Z14" s="82">
        <f t="shared" si="8"/>
        <v>91.379814173733337</v>
      </c>
    </row>
    <row r="15" spans="1:27" x14ac:dyDescent="0.25">
      <c r="A15" s="10" t="s">
        <v>96</v>
      </c>
      <c r="B15" s="60">
        <f t="shared" si="9"/>
        <v>7</v>
      </c>
      <c r="C15" s="77">
        <v>5165951</v>
      </c>
      <c r="D15" s="62">
        <f t="shared" si="2"/>
        <v>2439</v>
      </c>
      <c r="E15" s="77">
        <v>5118687</v>
      </c>
      <c r="F15" s="62">
        <f t="shared" si="10"/>
        <v>2459</v>
      </c>
      <c r="G15" s="77">
        <v>4841463</v>
      </c>
      <c r="H15" s="62">
        <f t="shared" si="3"/>
        <v>2298</v>
      </c>
      <c r="I15" s="61">
        <f t="shared" si="4"/>
        <v>7196</v>
      </c>
      <c r="J15" s="65">
        <v>0.99</v>
      </c>
      <c r="K15" s="66">
        <f t="shared" si="5"/>
        <v>1806.1959999999999</v>
      </c>
      <c r="L15" s="67"/>
      <c r="M15" s="78">
        <v>130860</v>
      </c>
      <c r="N15" s="62">
        <f t="shared" si="11"/>
        <v>142</v>
      </c>
      <c r="O15" s="77">
        <v>2128248</v>
      </c>
      <c r="P15" s="62">
        <f t="shared" si="12"/>
        <v>1320</v>
      </c>
      <c r="Q15" s="68">
        <f t="shared" si="0"/>
        <v>1462</v>
      </c>
      <c r="R15" s="69">
        <f t="shared" si="6"/>
        <v>847.51882706400022</v>
      </c>
      <c r="S15" s="70"/>
      <c r="T15" s="84">
        <v>244722</v>
      </c>
      <c r="U15" s="62">
        <f t="shared" si="13"/>
        <v>241</v>
      </c>
      <c r="V15" s="72">
        <f t="shared" si="7"/>
        <v>688.05499999999995</v>
      </c>
      <c r="W15" s="73"/>
      <c r="X15" s="80">
        <f t="shared" si="1"/>
        <v>3341.7698270639999</v>
      </c>
      <c r="Y15" s="81">
        <v>22</v>
      </c>
      <c r="Z15" s="82">
        <f t="shared" si="8"/>
        <v>151.89862850290908</v>
      </c>
    </row>
    <row r="16" spans="1:27" x14ac:dyDescent="0.25">
      <c r="A16" s="10" t="s">
        <v>116</v>
      </c>
      <c r="B16" s="60">
        <f t="shared" si="9"/>
        <v>8</v>
      </c>
      <c r="C16" s="77">
        <v>5168216</v>
      </c>
      <c r="D16" s="62">
        <f t="shared" si="2"/>
        <v>2265</v>
      </c>
      <c r="E16" s="77">
        <v>5120958</v>
      </c>
      <c r="F16" s="62">
        <f t="shared" si="10"/>
        <v>2271</v>
      </c>
      <c r="G16" s="77">
        <v>4843590</v>
      </c>
      <c r="H16" s="62">
        <f t="shared" si="3"/>
        <v>2127</v>
      </c>
      <c r="I16" s="61">
        <f t="shared" si="4"/>
        <v>6663</v>
      </c>
      <c r="J16" s="65">
        <v>0.99</v>
      </c>
      <c r="K16" s="66">
        <f t="shared" si="5"/>
        <v>1672.413</v>
      </c>
      <c r="L16" s="67"/>
      <c r="M16" s="78">
        <v>130999</v>
      </c>
      <c r="N16" s="62">
        <f t="shared" si="11"/>
        <v>139</v>
      </c>
      <c r="O16" s="77">
        <v>2129533</v>
      </c>
      <c r="P16" s="62">
        <f t="shared" si="12"/>
        <v>1285</v>
      </c>
      <c r="Q16" s="68">
        <f t="shared" si="0"/>
        <v>1424</v>
      </c>
      <c r="R16" s="69">
        <f t="shared" si="6"/>
        <v>825.57981578800002</v>
      </c>
      <c r="S16" s="70"/>
      <c r="T16" s="84">
        <v>244887</v>
      </c>
      <c r="U16" s="62">
        <f t="shared" si="13"/>
        <v>165</v>
      </c>
      <c r="V16" s="72">
        <f t="shared" si="7"/>
        <v>471.07499999999999</v>
      </c>
      <c r="W16" s="73"/>
      <c r="X16" s="80">
        <f t="shared" si="1"/>
        <v>2969.0678157879997</v>
      </c>
      <c r="Y16" s="81">
        <v>19</v>
      </c>
      <c r="Z16" s="82">
        <f t="shared" si="8"/>
        <v>156.26672714673683</v>
      </c>
    </row>
    <row r="17" spans="1:26" x14ac:dyDescent="0.25">
      <c r="A17" s="10" t="s">
        <v>117</v>
      </c>
      <c r="B17" s="60">
        <v>9</v>
      </c>
      <c r="C17" s="85">
        <v>5170371</v>
      </c>
      <c r="D17" s="62">
        <f t="shared" si="2"/>
        <v>2155</v>
      </c>
      <c r="E17" s="85">
        <v>5123132</v>
      </c>
      <c r="F17" s="62">
        <f t="shared" si="10"/>
        <v>2174</v>
      </c>
      <c r="G17" s="85">
        <v>4845607</v>
      </c>
      <c r="H17" s="62">
        <f t="shared" si="3"/>
        <v>2017</v>
      </c>
      <c r="I17" s="61">
        <f t="shared" si="4"/>
        <v>6346</v>
      </c>
      <c r="J17" s="65">
        <v>0.99</v>
      </c>
      <c r="K17" s="66">
        <f t="shared" si="5"/>
        <v>1592.846</v>
      </c>
      <c r="L17" s="67"/>
      <c r="M17" s="85">
        <v>131129</v>
      </c>
      <c r="N17" s="62">
        <f t="shared" si="11"/>
        <v>130</v>
      </c>
      <c r="O17" s="85">
        <v>2130513</v>
      </c>
      <c r="P17" s="62">
        <f t="shared" si="12"/>
        <v>980</v>
      </c>
      <c r="Q17" s="68">
        <f t="shared" si="0"/>
        <v>1110</v>
      </c>
      <c r="R17" s="69">
        <f t="shared" si="6"/>
        <v>646.34038196000006</v>
      </c>
      <c r="S17" s="70"/>
      <c r="T17" s="86">
        <v>245062</v>
      </c>
      <c r="U17" s="62">
        <f t="shared" si="13"/>
        <v>175</v>
      </c>
      <c r="V17" s="72">
        <f t="shared" si="7"/>
        <v>499.625</v>
      </c>
      <c r="W17" s="73"/>
      <c r="X17" s="80">
        <f t="shared" si="1"/>
        <v>2738.8113819600003</v>
      </c>
      <c r="Y17" s="81">
        <v>58</v>
      </c>
      <c r="Z17" s="82">
        <f t="shared" si="8"/>
        <v>47.220885895862075</v>
      </c>
    </row>
    <row r="18" spans="1:26" x14ac:dyDescent="0.25">
      <c r="A18" s="10" t="s">
        <v>118</v>
      </c>
      <c r="B18" s="87">
        <f t="shared" si="9"/>
        <v>10</v>
      </c>
      <c r="C18" s="85">
        <v>5172597</v>
      </c>
      <c r="D18" s="62">
        <f t="shared" si="2"/>
        <v>2226</v>
      </c>
      <c r="E18" s="77">
        <v>5125393</v>
      </c>
      <c r="F18" s="62">
        <f t="shared" si="10"/>
        <v>2261</v>
      </c>
      <c r="G18" s="77">
        <v>4847693</v>
      </c>
      <c r="H18" s="62">
        <f t="shared" si="3"/>
        <v>2086</v>
      </c>
      <c r="I18" s="61">
        <f t="shared" si="4"/>
        <v>6573</v>
      </c>
      <c r="J18" s="65">
        <v>0.99</v>
      </c>
      <c r="K18" s="66">
        <f t="shared" si="5"/>
        <v>1649.8230000000001</v>
      </c>
      <c r="L18" s="88"/>
      <c r="M18" s="78">
        <v>131257</v>
      </c>
      <c r="N18" s="62">
        <f t="shared" si="11"/>
        <v>128</v>
      </c>
      <c r="O18" s="77">
        <v>2131671</v>
      </c>
      <c r="P18" s="62">
        <f t="shared" si="12"/>
        <v>1158</v>
      </c>
      <c r="Q18" s="68">
        <f t="shared" si="0"/>
        <v>1286</v>
      </c>
      <c r="R18" s="69">
        <f t="shared" si="6"/>
        <v>745.89292377600009</v>
      </c>
      <c r="S18" s="89"/>
      <c r="T18" s="84">
        <v>245298</v>
      </c>
      <c r="U18" s="62">
        <f t="shared" si="13"/>
        <v>236</v>
      </c>
      <c r="V18" s="72">
        <f t="shared" si="7"/>
        <v>673.78</v>
      </c>
      <c r="W18" s="73"/>
      <c r="X18" s="80">
        <f t="shared" si="1"/>
        <v>3069.4959237760004</v>
      </c>
      <c r="Y18" s="81">
        <v>65</v>
      </c>
      <c r="Z18" s="90">
        <f t="shared" si="8"/>
        <v>47.223014211938469</v>
      </c>
    </row>
    <row r="19" spans="1:26" x14ac:dyDescent="0.25">
      <c r="A19" s="10" t="s">
        <v>119</v>
      </c>
      <c r="B19" s="91">
        <f t="shared" si="9"/>
        <v>11</v>
      </c>
      <c r="C19" s="77">
        <v>5174818</v>
      </c>
      <c r="D19" s="62">
        <f t="shared" si="2"/>
        <v>2221</v>
      </c>
      <c r="E19" s="77">
        <v>5127641</v>
      </c>
      <c r="F19" s="62">
        <f t="shared" si="10"/>
        <v>2248</v>
      </c>
      <c r="G19" s="77">
        <v>4849771</v>
      </c>
      <c r="H19" s="62">
        <f t="shared" si="3"/>
        <v>2078</v>
      </c>
      <c r="I19" s="61">
        <f t="shared" si="4"/>
        <v>6547</v>
      </c>
      <c r="J19" s="65">
        <v>0.99</v>
      </c>
      <c r="K19" s="66">
        <f t="shared" si="5"/>
        <v>1643.297</v>
      </c>
      <c r="L19" s="67"/>
      <c r="M19" s="78">
        <v>131385</v>
      </c>
      <c r="N19" s="62">
        <f t="shared" si="11"/>
        <v>128</v>
      </c>
      <c r="O19" s="92">
        <v>2132701</v>
      </c>
      <c r="P19" s="62">
        <f t="shared" si="12"/>
        <v>1030</v>
      </c>
      <c r="Q19" s="68">
        <f t="shared" si="0"/>
        <v>1158</v>
      </c>
      <c r="R19" s="69">
        <f t="shared" si="6"/>
        <v>673.30258777600011</v>
      </c>
      <c r="S19" s="70"/>
      <c r="T19" s="93">
        <v>245404</v>
      </c>
      <c r="U19" s="62">
        <f t="shared" si="13"/>
        <v>106</v>
      </c>
      <c r="V19" s="72">
        <f t="shared" si="7"/>
        <v>302.63</v>
      </c>
      <c r="W19" s="73"/>
      <c r="X19" s="80">
        <f t="shared" si="1"/>
        <v>2619.2295877760002</v>
      </c>
      <c r="Y19" s="81">
        <v>29</v>
      </c>
      <c r="Z19" s="76">
        <f t="shared" si="8"/>
        <v>90.318261647448281</v>
      </c>
    </row>
    <row r="20" spans="1:26" x14ac:dyDescent="0.25">
      <c r="A20" s="10" t="s">
        <v>120</v>
      </c>
      <c r="B20" s="60">
        <f t="shared" si="9"/>
        <v>12</v>
      </c>
      <c r="C20" s="77">
        <v>5177165</v>
      </c>
      <c r="D20" s="62">
        <f t="shared" si="2"/>
        <v>2347</v>
      </c>
      <c r="E20" s="77">
        <v>5130033</v>
      </c>
      <c r="F20" s="62">
        <f t="shared" si="10"/>
        <v>2392</v>
      </c>
      <c r="G20" s="77">
        <v>4851984</v>
      </c>
      <c r="H20" s="62">
        <f t="shared" si="3"/>
        <v>2213</v>
      </c>
      <c r="I20" s="61">
        <f t="shared" si="4"/>
        <v>6952</v>
      </c>
      <c r="J20" s="65">
        <v>0.99</v>
      </c>
      <c r="K20" s="66">
        <f t="shared" si="5"/>
        <v>1744.952</v>
      </c>
      <c r="L20" s="67"/>
      <c r="M20" s="78">
        <v>131522</v>
      </c>
      <c r="N20" s="62">
        <f t="shared" si="11"/>
        <v>137</v>
      </c>
      <c r="O20" s="77">
        <v>2133792</v>
      </c>
      <c r="P20" s="62">
        <f t="shared" si="12"/>
        <v>1091</v>
      </c>
      <c r="Q20" s="68">
        <f t="shared" si="0"/>
        <v>1228</v>
      </c>
      <c r="R20" s="69">
        <f t="shared" si="6"/>
        <v>714.16669360399999</v>
      </c>
      <c r="S20" s="70"/>
      <c r="T20" s="84">
        <v>245631</v>
      </c>
      <c r="U20" s="62">
        <f t="shared" si="13"/>
        <v>227</v>
      </c>
      <c r="V20" s="72">
        <f t="shared" si="7"/>
        <v>648.08500000000004</v>
      </c>
      <c r="W20" s="73"/>
      <c r="X20" s="80">
        <f t="shared" si="1"/>
        <v>3107.2036936039999</v>
      </c>
      <c r="Y20" s="81">
        <v>30</v>
      </c>
      <c r="Z20" s="82">
        <f t="shared" si="8"/>
        <v>103.57345645346666</v>
      </c>
    </row>
    <row r="21" spans="1:26" x14ac:dyDescent="0.25">
      <c r="A21" s="10" t="s">
        <v>121</v>
      </c>
      <c r="B21" s="60">
        <f t="shared" si="9"/>
        <v>13</v>
      </c>
      <c r="C21" s="85">
        <v>5179411</v>
      </c>
      <c r="D21" s="62">
        <f t="shared" si="2"/>
        <v>2246</v>
      </c>
      <c r="E21" s="77">
        <v>5132304</v>
      </c>
      <c r="F21" s="62">
        <f t="shared" si="10"/>
        <v>2271</v>
      </c>
      <c r="G21" s="77">
        <v>4854087</v>
      </c>
      <c r="H21" s="62">
        <f t="shared" si="3"/>
        <v>2103</v>
      </c>
      <c r="I21" s="61">
        <f t="shared" si="4"/>
        <v>6620</v>
      </c>
      <c r="J21" s="65">
        <v>0.99</v>
      </c>
      <c r="K21" s="66">
        <f t="shared" si="5"/>
        <v>1661.6200000000001</v>
      </c>
      <c r="L21" s="67"/>
      <c r="M21" s="78">
        <v>131650</v>
      </c>
      <c r="N21" s="62">
        <f t="shared" si="11"/>
        <v>128</v>
      </c>
      <c r="O21" s="77">
        <v>2134915</v>
      </c>
      <c r="P21" s="62">
        <f t="shared" si="12"/>
        <v>1123</v>
      </c>
      <c r="Q21" s="68">
        <f t="shared" si="0"/>
        <v>1251</v>
      </c>
      <c r="R21" s="69">
        <f t="shared" si="6"/>
        <v>726.04400377600007</v>
      </c>
      <c r="S21" s="70"/>
      <c r="T21" s="84">
        <v>245735</v>
      </c>
      <c r="U21" s="62">
        <f t="shared" si="13"/>
        <v>104</v>
      </c>
      <c r="V21" s="72">
        <f t="shared" si="7"/>
        <v>296.92</v>
      </c>
      <c r="W21" s="73"/>
      <c r="X21" s="80">
        <f t="shared" si="1"/>
        <v>2684.5840037760004</v>
      </c>
      <c r="Y21" s="81">
        <v>29</v>
      </c>
      <c r="Z21" s="82">
        <f t="shared" si="8"/>
        <v>92.571862199172429</v>
      </c>
    </row>
    <row r="22" spans="1:26" x14ac:dyDescent="0.25">
      <c r="A22" s="10" t="s">
        <v>96</v>
      </c>
      <c r="B22" s="60">
        <f t="shared" si="9"/>
        <v>14</v>
      </c>
      <c r="C22" s="85">
        <v>5181677</v>
      </c>
      <c r="D22" s="62">
        <f t="shared" si="2"/>
        <v>2266</v>
      </c>
      <c r="E22" s="77">
        <v>5134573</v>
      </c>
      <c r="F22" s="62">
        <f t="shared" si="10"/>
        <v>2269</v>
      </c>
      <c r="G22" s="77">
        <v>4856187</v>
      </c>
      <c r="H22" s="62">
        <f t="shared" si="3"/>
        <v>2100</v>
      </c>
      <c r="I22" s="61">
        <f t="shared" si="4"/>
        <v>6635</v>
      </c>
      <c r="J22" s="65">
        <v>0.99</v>
      </c>
      <c r="K22" s="66">
        <f t="shared" si="5"/>
        <v>1665.385</v>
      </c>
      <c r="L22" s="67"/>
      <c r="M22" s="78">
        <v>131772</v>
      </c>
      <c r="N22" s="62">
        <f t="shared" si="11"/>
        <v>122</v>
      </c>
      <c r="O22" s="77">
        <v>2135952</v>
      </c>
      <c r="P22" s="62">
        <f t="shared" si="12"/>
        <v>1037</v>
      </c>
      <c r="Q22" s="68">
        <f t="shared" si="0"/>
        <v>1159</v>
      </c>
      <c r="R22" s="69">
        <f t="shared" si="6"/>
        <v>673.09218922400009</v>
      </c>
      <c r="S22" s="70"/>
      <c r="T22" s="84">
        <v>246079</v>
      </c>
      <c r="U22" s="62">
        <f t="shared" si="13"/>
        <v>344</v>
      </c>
      <c r="V22" s="72">
        <f t="shared" si="7"/>
        <v>982.12</v>
      </c>
      <c r="W22" s="73"/>
      <c r="X22" s="80">
        <f t="shared" si="1"/>
        <v>3320.597189224</v>
      </c>
      <c r="Y22" s="81">
        <v>38</v>
      </c>
      <c r="Z22" s="82">
        <f t="shared" si="8"/>
        <v>87.384136558526322</v>
      </c>
    </row>
    <row r="23" spans="1:26" x14ac:dyDescent="0.25">
      <c r="A23" s="10" t="s">
        <v>116</v>
      </c>
      <c r="B23" s="60">
        <f t="shared" si="9"/>
        <v>15</v>
      </c>
      <c r="C23" s="77">
        <v>5183883</v>
      </c>
      <c r="D23" s="62">
        <f t="shared" si="2"/>
        <v>2206</v>
      </c>
      <c r="E23" s="77">
        <v>5136770</v>
      </c>
      <c r="F23" s="62">
        <f t="shared" si="10"/>
        <v>2197</v>
      </c>
      <c r="G23" s="77">
        <v>4858214</v>
      </c>
      <c r="H23" s="62">
        <f t="shared" si="3"/>
        <v>2027</v>
      </c>
      <c r="I23" s="61">
        <f t="shared" si="4"/>
        <v>6430</v>
      </c>
      <c r="J23" s="65">
        <v>0.99</v>
      </c>
      <c r="K23" s="66">
        <f t="shared" si="5"/>
        <v>1613.93</v>
      </c>
      <c r="L23" s="67"/>
      <c r="M23" s="78">
        <v>131895</v>
      </c>
      <c r="N23" s="62">
        <f t="shared" si="11"/>
        <v>123</v>
      </c>
      <c r="O23" s="77">
        <v>2136906</v>
      </c>
      <c r="P23" s="62">
        <f t="shared" si="12"/>
        <v>954</v>
      </c>
      <c r="Q23" s="68">
        <f t="shared" si="0"/>
        <v>1077</v>
      </c>
      <c r="R23" s="69">
        <f t="shared" si="6"/>
        <v>626.71859031600002</v>
      </c>
      <c r="S23" s="70"/>
      <c r="T23" s="84">
        <v>246228</v>
      </c>
      <c r="U23" s="62">
        <f t="shared" si="13"/>
        <v>149</v>
      </c>
      <c r="V23" s="72">
        <f t="shared" si="7"/>
        <v>425.39499999999998</v>
      </c>
      <c r="W23" s="73"/>
      <c r="X23" s="80">
        <f t="shared" si="1"/>
        <v>2666.0435903160001</v>
      </c>
      <c r="Y23" s="81">
        <v>30</v>
      </c>
      <c r="Z23" s="82">
        <f t="shared" si="8"/>
        <v>88.868119677199999</v>
      </c>
    </row>
    <row r="24" spans="1:26" x14ac:dyDescent="0.25">
      <c r="A24" s="10" t="s">
        <v>117</v>
      </c>
      <c r="B24" s="60">
        <f t="shared" si="9"/>
        <v>16</v>
      </c>
      <c r="C24" s="77">
        <v>5186042</v>
      </c>
      <c r="D24" s="62">
        <f t="shared" si="2"/>
        <v>2159</v>
      </c>
      <c r="E24" s="77">
        <v>5138926</v>
      </c>
      <c r="F24" s="62">
        <f t="shared" si="10"/>
        <v>2156</v>
      </c>
      <c r="G24" s="77">
        <v>4860205</v>
      </c>
      <c r="H24" s="62">
        <f t="shared" si="3"/>
        <v>1991</v>
      </c>
      <c r="I24" s="61">
        <f t="shared" si="4"/>
        <v>6306</v>
      </c>
      <c r="J24" s="65">
        <v>0.99</v>
      </c>
      <c r="K24" s="66">
        <f t="shared" si="5"/>
        <v>1582.806</v>
      </c>
      <c r="L24" s="67"/>
      <c r="M24" s="78">
        <v>132015</v>
      </c>
      <c r="N24" s="62">
        <f t="shared" si="11"/>
        <v>120</v>
      </c>
      <c r="O24" s="77">
        <v>2138106</v>
      </c>
      <c r="P24" s="62">
        <f t="shared" si="12"/>
        <v>1200</v>
      </c>
      <c r="Q24" s="68">
        <f t="shared" si="0"/>
        <v>1320</v>
      </c>
      <c r="R24" s="69">
        <f t="shared" si="6"/>
        <v>764.13805104000016</v>
      </c>
      <c r="S24" s="70"/>
      <c r="T24" s="84">
        <v>246385</v>
      </c>
      <c r="U24" s="62">
        <f t="shared" si="13"/>
        <v>157</v>
      </c>
      <c r="V24" s="72">
        <f t="shared" si="7"/>
        <v>448.23500000000001</v>
      </c>
      <c r="W24" s="73"/>
      <c r="X24" s="80">
        <f t="shared" si="1"/>
        <v>2795.1790510400001</v>
      </c>
      <c r="Y24" s="81">
        <v>26</v>
      </c>
      <c r="Z24" s="82">
        <f t="shared" si="8"/>
        <v>107.50688657846155</v>
      </c>
    </row>
    <row r="25" spans="1:26" x14ac:dyDescent="0.25">
      <c r="A25" s="10" t="s">
        <v>118</v>
      </c>
      <c r="B25" s="60">
        <f t="shared" si="9"/>
        <v>17</v>
      </c>
      <c r="C25" s="77">
        <v>5188211</v>
      </c>
      <c r="D25" s="62">
        <f t="shared" si="2"/>
        <v>2169</v>
      </c>
      <c r="E25" s="77">
        <v>5141096</v>
      </c>
      <c r="F25" s="62">
        <f t="shared" si="10"/>
        <v>2170</v>
      </c>
      <c r="G25" s="77">
        <v>4862195</v>
      </c>
      <c r="H25" s="62">
        <f t="shared" si="3"/>
        <v>1990</v>
      </c>
      <c r="I25" s="61">
        <f t="shared" si="4"/>
        <v>6329</v>
      </c>
      <c r="J25" s="65">
        <v>0.99</v>
      </c>
      <c r="K25" s="66">
        <f t="shared" si="5"/>
        <v>1588.579</v>
      </c>
      <c r="L25" s="67"/>
      <c r="M25" s="78">
        <v>132142</v>
      </c>
      <c r="N25" s="62">
        <f t="shared" si="11"/>
        <v>127</v>
      </c>
      <c r="O25" s="77">
        <v>2139438</v>
      </c>
      <c r="P25" s="62">
        <f t="shared" si="12"/>
        <v>1332</v>
      </c>
      <c r="Q25" s="68">
        <f t="shared" si="0"/>
        <v>1459</v>
      </c>
      <c r="R25" s="69">
        <f t="shared" si="6"/>
        <v>843.87371468399999</v>
      </c>
      <c r="S25" s="70"/>
      <c r="T25" s="84">
        <v>246607</v>
      </c>
      <c r="U25" s="62">
        <f t="shared" si="13"/>
        <v>222</v>
      </c>
      <c r="V25" s="72">
        <f t="shared" si="7"/>
        <v>633.80999999999995</v>
      </c>
      <c r="W25" s="73"/>
      <c r="X25" s="80">
        <f t="shared" si="1"/>
        <v>3066.262714684</v>
      </c>
      <c r="Y25" s="81">
        <v>35</v>
      </c>
      <c r="Z25" s="82">
        <f t="shared" si="8"/>
        <v>87.607506133828565</v>
      </c>
    </row>
    <row r="26" spans="1:26" x14ac:dyDescent="0.25">
      <c r="A26" s="10" t="s">
        <v>119</v>
      </c>
      <c r="B26" s="60">
        <f t="shared" si="9"/>
        <v>18</v>
      </c>
      <c r="C26" s="77">
        <v>5190377</v>
      </c>
      <c r="D26" s="62">
        <f t="shared" si="2"/>
        <v>2166</v>
      </c>
      <c r="E26" s="77">
        <v>5143255</v>
      </c>
      <c r="F26" s="62">
        <f t="shared" si="10"/>
        <v>2159</v>
      </c>
      <c r="G26" s="77">
        <v>4864186</v>
      </c>
      <c r="H26" s="62">
        <f t="shared" si="3"/>
        <v>1991</v>
      </c>
      <c r="I26" s="61">
        <f t="shared" si="4"/>
        <v>6316</v>
      </c>
      <c r="J26" s="65">
        <v>0.99</v>
      </c>
      <c r="K26" s="66">
        <f t="shared" si="5"/>
        <v>1585.316</v>
      </c>
      <c r="L26" s="67"/>
      <c r="M26" s="78">
        <v>132397</v>
      </c>
      <c r="N26" s="62">
        <f t="shared" si="11"/>
        <v>255</v>
      </c>
      <c r="O26" s="77">
        <v>2141007</v>
      </c>
      <c r="P26" s="62">
        <f t="shared" si="12"/>
        <v>1569</v>
      </c>
      <c r="Q26" s="68">
        <f t="shared" si="0"/>
        <v>1824</v>
      </c>
      <c r="R26" s="69">
        <f t="shared" si="6"/>
        <v>1067.4564864600002</v>
      </c>
      <c r="S26" s="70"/>
      <c r="T26" s="84">
        <v>246709</v>
      </c>
      <c r="U26" s="62">
        <f t="shared" si="13"/>
        <v>102</v>
      </c>
      <c r="V26" s="72">
        <f t="shared" si="7"/>
        <v>291.20999999999998</v>
      </c>
      <c r="W26" s="73"/>
      <c r="X26" s="80">
        <f t="shared" si="1"/>
        <v>2943.9824864600005</v>
      </c>
      <c r="Y26" s="81">
        <v>37</v>
      </c>
      <c r="Z26" s="82">
        <f t="shared" si="8"/>
        <v>79.567094228648656</v>
      </c>
    </row>
    <row r="27" spans="1:26" x14ac:dyDescent="0.25">
      <c r="A27" s="10" t="s">
        <v>120</v>
      </c>
      <c r="B27" s="60">
        <f t="shared" si="9"/>
        <v>19</v>
      </c>
      <c r="C27" s="77">
        <v>5192414</v>
      </c>
      <c r="D27" s="62">
        <f t="shared" si="2"/>
        <v>2037</v>
      </c>
      <c r="E27" s="77">
        <v>5145411</v>
      </c>
      <c r="F27" s="62">
        <f t="shared" si="10"/>
        <v>2156</v>
      </c>
      <c r="G27" s="77">
        <v>4866241</v>
      </c>
      <c r="H27" s="62">
        <f t="shared" si="3"/>
        <v>2055</v>
      </c>
      <c r="I27" s="61">
        <f t="shared" si="4"/>
        <v>6248</v>
      </c>
      <c r="J27" s="65">
        <v>0.99</v>
      </c>
      <c r="K27" s="66">
        <f t="shared" si="5"/>
        <v>1568.248</v>
      </c>
      <c r="L27" s="94"/>
      <c r="M27" s="78">
        <v>132481</v>
      </c>
      <c r="N27" s="62">
        <f t="shared" si="11"/>
        <v>84</v>
      </c>
      <c r="O27" s="77">
        <v>2142735</v>
      </c>
      <c r="P27" s="62">
        <f t="shared" si="12"/>
        <v>1728</v>
      </c>
      <c r="Q27" s="68">
        <f t="shared" si="0"/>
        <v>1812</v>
      </c>
      <c r="R27" s="69">
        <f t="shared" si="6"/>
        <v>1038.4920917280001</v>
      </c>
      <c r="S27" s="70"/>
      <c r="T27" s="84">
        <v>246958</v>
      </c>
      <c r="U27" s="62">
        <f t="shared" si="13"/>
        <v>249</v>
      </c>
      <c r="V27" s="72">
        <f t="shared" si="7"/>
        <v>710.89499999999998</v>
      </c>
      <c r="W27" s="73"/>
      <c r="X27" s="80">
        <f t="shared" si="1"/>
        <v>3317.6350917280001</v>
      </c>
      <c r="Y27" s="81">
        <v>39</v>
      </c>
      <c r="Z27" s="82">
        <f t="shared" si="8"/>
        <v>85.067566454564101</v>
      </c>
    </row>
    <row r="28" spans="1:26" x14ac:dyDescent="0.25">
      <c r="A28" s="10" t="s">
        <v>121</v>
      </c>
      <c r="B28" s="87">
        <f t="shared" si="9"/>
        <v>20</v>
      </c>
      <c r="C28" s="85">
        <v>5194801</v>
      </c>
      <c r="D28" s="62">
        <f t="shared" si="2"/>
        <v>2387</v>
      </c>
      <c r="E28" s="85">
        <v>5147684</v>
      </c>
      <c r="F28" s="62">
        <f t="shared" si="10"/>
        <v>2273</v>
      </c>
      <c r="G28" s="85">
        <v>4868260</v>
      </c>
      <c r="H28" s="62">
        <f t="shared" si="3"/>
        <v>2019</v>
      </c>
      <c r="I28" s="61">
        <f t="shared" si="4"/>
        <v>6679</v>
      </c>
      <c r="J28" s="65">
        <v>0.99</v>
      </c>
      <c r="K28" s="66">
        <f t="shared" si="5"/>
        <v>1676.4290000000001</v>
      </c>
      <c r="L28" s="95"/>
      <c r="M28" s="78">
        <v>132537</v>
      </c>
      <c r="N28" s="62">
        <f t="shared" si="11"/>
        <v>56</v>
      </c>
      <c r="O28" s="77">
        <v>2144504</v>
      </c>
      <c r="P28" s="62">
        <f t="shared" si="12"/>
        <v>1769</v>
      </c>
      <c r="Q28" s="68">
        <f t="shared" si="0"/>
        <v>1825</v>
      </c>
      <c r="R28" s="69">
        <f t="shared" si="6"/>
        <v>1042.2361651520002</v>
      </c>
      <c r="S28" s="77"/>
      <c r="T28" s="84">
        <v>247081</v>
      </c>
      <c r="U28" s="62">
        <f t="shared" si="13"/>
        <v>123</v>
      </c>
      <c r="V28" s="72">
        <f t="shared" si="7"/>
        <v>351.16500000000002</v>
      </c>
      <c r="W28" s="73"/>
      <c r="X28" s="96">
        <f t="shared" si="1"/>
        <v>3069.8301651520005</v>
      </c>
      <c r="Y28" s="81">
        <v>51</v>
      </c>
      <c r="Z28" s="90">
        <f t="shared" si="8"/>
        <v>60.192748336313734</v>
      </c>
    </row>
    <row r="29" spans="1:26" x14ac:dyDescent="0.25">
      <c r="A29" s="10" t="s">
        <v>96</v>
      </c>
      <c r="B29" s="91">
        <f t="shared" si="9"/>
        <v>21</v>
      </c>
      <c r="C29" s="77"/>
      <c r="D29" s="62" t="str">
        <f t="shared" si="2"/>
        <v>0</v>
      </c>
      <c r="E29" s="77"/>
      <c r="F29" s="62" t="str">
        <f t="shared" si="10"/>
        <v>0</v>
      </c>
      <c r="G29" s="77"/>
      <c r="H29" s="62" t="str">
        <f t="shared" si="3"/>
        <v>0</v>
      </c>
      <c r="I29" s="61">
        <f t="shared" si="4"/>
        <v>0</v>
      </c>
      <c r="J29" s="65"/>
      <c r="K29" s="66">
        <f t="shared" si="5"/>
        <v>0</v>
      </c>
      <c r="L29" s="67"/>
      <c r="M29" s="78"/>
      <c r="N29" s="62" t="str">
        <f t="shared" si="11"/>
        <v>0</v>
      </c>
      <c r="O29" s="77"/>
      <c r="P29" s="62" t="str">
        <f t="shared" si="12"/>
        <v>0</v>
      </c>
      <c r="Q29" s="68">
        <f t="shared" si="0"/>
        <v>0</v>
      </c>
      <c r="R29" s="69">
        <f t="shared" si="6"/>
        <v>0</v>
      </c>
      <c r="S29" s="70"/>
      <c r="T29" s="84"/>
      <c r="U29" s="62" t="str">
        <f t="shared" si="13"/>
        <v>0</v>
      </c>
      <c r="V29" s="72">
        <f t="shared" si="7"/>
        <v>0</v>
      </c>
      <c r="W29" s="73"/>
      <c r="X29" s="74">
        <f t="shared" si="1"/>
        <v>0</v>
      </c>
      <c r="Y29" s="81"/>
      <c r="Z29" s="76" t="e">
        <f t="shared" si="8"/>
        <v>#DIV/0!</v>
      </c>
    </row>
    <row r="30" spans="1:26" x14ac:dyDescent="0.25">
      <c r="A30" s="10" t="s">
        <v>116</v>
      </c>
      <c r="B30" s="60">
        <f t="shared" si="9"/>
        <v>22</v>
      </c>
      <c r="C30" s="77"/>
      <c r="D30" s="62">
        <f t="shared" si="2"/>
        <v>0</v>
      </c>
      <c r="E30" s="77"/>
      <c r="F30" s="62">
        <f t="shared" si="10"/>
        <v>0</v>
      </c>
      <c r="G30" s="77"/>
      <c r="H30" s="62">
        <f t="shared" si="3"/>
        <v>0</v>
      </c>
      <c r="I30" s="61">
        <f t="shared" si="4"/>
        <v>0</v>
      </c>
      <c r="J30" s="65"/>
      <c r="K30" s="66">
        <f t="shared" si="5"/>
        <v>0</v>
      </c>
      <c r="L30" s="67"/>
      <c r="M30" s="78"/>
      <c r="N30" s="62">
        <f t="shared" si="11"/>
        <v>0</v>
      </c>
      <c r="O30" s="77"/>
      <c r="P30" s="62">
        <f t="shared" si="12"/>
        <v>0</v>
      </c>
      <c r="Q30" s="68">
        <f t="shared" si="0"/>
        <v>0</v>
      </c>
      <c r="R30" s="69">
        <f t="shared" si="6"/>
        <v>0</v>
      </c>
      <c r="S30" s="70"/>
      <c r="T30" s="84"/>
      <c r="U30" s="62">
        <f t="shared" si="13"/>
        <v>0</v>
      </c>
      <c r="V30" s="72">
        <f t="shared" si="7"/>
        <v>0</v>
      </c>
      <c r="W30" s="73"/>
      <c r="X30" s="80">
        <f t="shared" si="1"/>
        <v>0</v>
      </c>
      <c r="Y30" s="81"/>
      <c r="Z30" s="82" t="e">
        <f t="shared" si="8"/>
        <v>#DIV/0!</v>
      </c>
    </row>
    <row r="31" spans="1:26" x14ac:dyDescent="0.25">
      <c r="A31" s="10" t="s">
        <v>117</v>
      </c>
      <c r="B31" s="60">
        <f t="shared" si="9"/>
        <v>23</v>
      </c>
      <c r="C31" s="77"/>
      <c r="D31" s="62">
        <f t="shared" si="2"/>
        <v>0</v>
      </c>
      <c r="E31" s="77"/>
      <c r="F31" s="62">
        <f t="shared" si="10"/>
        <v>0</v>
      </c>
      <c r="G31" s="77"/>
      <c r="H31" s="62">
        <f t="shared" si="3"/>
        <v>0</v>
      </c>
      <c r="I31" s="61">
        <f t="shared" si="4"/>
        <v>0</v>
      </c>
      <c r="J31" s="65"/>
      <c r="K31" s="66">
        <f t="shared" si="5"/>
        <v>0</v>
      </c>
      <c r="L31" s="67"/>
      <c r="M31" s="78"/>
      <c r="N31" s="62">
        <f t="shared" si="11"/>
        <v>0</v>
      </c>
      <c r="O31" s="77"/>
      <c r="P31" s="62">
        <f t="shared" si="12"/>
        <v>0</v>
      </c>
      <c r="Q31" s="68">
        <f t="shared" si="0"/>
        <v>0</v>
      </c>
      <c r="R31" s="69">
        <f t="shared" si="6"/>
        <v>0</v>
      </c>
      <c r="S31" s="70"/>
      <c r="T31" s="84"/>
      <c r="U31" s="62">
        <f t="shared" si="13"/>
        <v>0</v>
      </c>
      <c r="V31" s="72">
        <f t="shared" si="7"/>
        <v>0</v>
      </c>
      <c r="W31" s="73"/>
      <c r="X31" s="97">
        <f t="shared" si="1"/>
        <v>0</v>
      </c>
      <c r="Y31" s="81"/>
      <c r="Z31" s="82" t="e">
        <f t="shared" si="8"/>
        <v>#DIV/0!</v>
      </c>
    </row>
    <row r="32" spans="1:26" x14ac:dyDescent="0.25">
      <c r="A32" s="10" t="s">
        <v>118</v>
      </c>
      <c r="B32" s="60">
        <f t="shared" si="9"/>
        <v>24</v>
      </c>
      <c r="C32" s="77"/>
      <c r="D32" s="62">
        <f t="shared" si="2"/>
        <v>0</v>
      </c>
      <c r="E32" s="77"/>
      <c r="F32" s="62">
        <f t="shared" si="10"/>
        <v>0</v>
      </c>
      <c r="G32" s="77"/>
      <c r="H32" s="62">
        <f t="shared" si="3"/>
        <v>0</v>
      </c>
      <c r="I32" s="61">
        <f t="shared" si="4"/>
        <v>0</v>
      </c>
      <c r="J32" s="65"/>
      <c r="K32" s="66">
        <f t="shared" si="5"/>
        <v>0</v>
      </c>
      <c r="L32" s="67"/>
      <c r="M32" s="78"/>
      <c r="N32" s="62">
        <f t="shared" si="11"/>
        <v>0</v>
      </c>
      <c r="O32" s="77"/>
      <c r="P32" s="62">
        <f t="shared" si="12"/>
        <v>0</v>
      </c>
      <c r="Q32" s="68">
        <f t="shared" si="0"/>
        <v>0</v>
      </c>
      <c r="R32" s="69">
        <f t="shared" si="6"/>
        <v>0</v>
      </c>
      <c r="S32" s="70"/>
      <c r="T32" s="84"/>
      <c r="U32" s="62">
        <f t="shared" si="13"/>
        <v>0</v>
      </c>
      <c r="V32" s="72">
        <f t="shared" si="7"/>
        <v>0</v>
      </c>
      <c r="W32" s="73"/>
      <c r="X32" s="97">
        <f t="shared" si="1"/>
        <v>0</v>
      </c>
      <c r="Y32" s="81"/>
      <c r="Z32" s="82" t="e">
        <f t="shared" si="8"/>
        <v>#DIV/0!</v>
      </c>
    </row>
    <row r="33" spans="1:26" x14ac:dyDescent="0.25">
      <c r="A33" s="10" t="s">
        <v>119</v>
      </c>
      <c r="B33" s="60">
        <f t="shared" si="9"/>
        <v>25</v>
      </c>
      <c r="C33" s="77"/>
      <c r="D33" s="62">
        <f t="shared" si="2"/>
        <v>0</v>
      </c>
      <c r="E33" s="77"/>
      <c r="F33" s="62">
        <f t="shared" si="10"/>
        <v>0</v>
      </c>
      <c r="G33" s="77"/>
      <c r="H33" s="62">
        <f t="shared" si="3"/>
        <v>0</v>
      </c>
      <c r="I33" s="61">
        <f t="shared" si="4"/>
        <v>0</v>
      </c>
      <c r="J33" s="65"/>
      <c r="K33" s="66">
        <f t="shared" si="5"/>
        <v>0</v>
      </c>
      <c r="L33" s="67"/>
      <c r="M33" s="78"/>
      <c r="N33" s="62">
        <f t="shared" si="11"/>
        <v>0</v>
      </c>
      <c r="O33" s="77"/>
      <c r="P33" s="62">
        <f t="shared" si="12"/>
        <v>0</v>
      </c>
      <c r="Q33" s="68">
        <f t="shared" si="0"/>
        <v>0</v>
      </c>
      <c r="R33" s="69">
        <f t="shared" si="6"/>
        <v>0</v>
      </c>
      <c r="S33" s="70"/>
      <c r="T33" s="84"/>
      <c r="U33" s="62">
        <f t="shared" si="13"/>
        <v>0</v>
      </c>
      <c r="V33" s="72">
        <f t="shared" si="7"/>
        <v>0</v>
      </c>
      <c r="W33" s="73"/>
      <c r="X33" s="97">
        <f t="shared" si="1"/>
        <v>0</v>
      </c>
      <c r="Y33" s="81"/>
      <c r="Z33" s="82" t="e">
        <f t="shared" si="8"/>
        <v>#DIV/0!</v>
      </c>
    </row>
    <row r="34" spans="1:26" x14ac:dyDescent="0.25">
      <c r="A34" s="10" t="s">
        <v>120</v>
      </c>
      <c r="B34" s="60">
        <f t="shared" si="9"/>
        <v>26</v>
      </c>
      <c r="C34" s="85"/>
      <c r="D34" s="62">
        <f t="shared" si="2"/>
        <v>0</v>
      </c>
      <c r="E34" s="77"/>
      <c r="F34" s="62">
        <f t="shared" si="10"/>
        <v>0</v>
      </c>
      <c r="G34" s="77"/>
      <c r="H34" s="62">
        <f t="shared" si="3"/>
        <v>0</v>
      </c>
      <c r="I34" s="61">
        <f t="shared" si="4"/>
        <v>0</v>
      </c>
      <c r="J34" s="65"/>
      <c r="K34" s="66">
        <f t="shared" si="5"/>
        <v>0</v>
      </c>
      <c r="L34" s="67"/>
      <c r="M34" s="78"/>
      <c r="N34" s="62">
        <f t="shared" si="11"/>
        <v>0</v>
      </c>
      <c r="O34" s="77"/>
      <c r="P34" s="62">
        <f t="shared" si="12"/>
        <v>0</v>
      </c>
      <c r="Q34" s="68">
        <f t="shared" si="0"/>
        <v>0</v>
      </c>
      <c r="R34" s="69">
        <f t="shared" si="6"/>
        <v>0</v>
      </c>
      <c r="S34" s="70"/>
      <c r="T34" s="84"/>
      <c r="U34" s="62">
        <f t="shared" si="13"/>
        <v>0</v>
      </c>
      <c r="V34" s="72">
        <f t="shared" si="7"/>
        <v>0</v>
      </c>
      <c r="W34" s="73"/>
      <c r="X34" s="97">
        <f t="shared" si="1"/>
        <v>0</v>
      </c>
      <c r="Y34" s="81"/>
      <c r="Z34" s="82" t="e">
        <f t="shared" si="8"/>
        <v>#DIV/0!</v>
      </c>
    </row>
    <row r="35" spans="1:26" x14ac:dyDescent="0.25">
      <c r="A35" s="10" t="s">
        <v>121</v>
      </c>
      <c r="B35" s="60">
        <f t="shared" si="9"/>
        <v>27</v>
      </c>
      <c r="C35" s="85"/>
      <c r="D35" s="62">
        <f t="shared" si="2"/>
        <v>0</v>
      </c>
      <c r="E35" s="77"/>
      <c r="F35" s="62">
        <f t="shared" si="10"/>
        <v>0</v>
      </c>
      <c r="G35" s="77"/>
      <c r="H35" s="62">
        <f t="shared" si="3"/>
        <v>0</v>
      </c>
      <c r="I35" s="61">
        <f t="shared" si="4"/>
        <v>0</v>
      </c>
      <c r="J35" s="65"/>
      <c r="K35" s="66">
        <f t="shared" si="5"/>
        <v>0</v>
      </c>
      <c r="L35" s="67"/>
      <c r="M35" s="78"/>
      <c r="N35" s="62">
        <f t="shared" si="11"/>
        <v>0</v>
      </c>
      <c r="O35" s="77"/>
      <c r="P35" s="62">
        <f t="shared" si="12"/>
        <v>0</v>
      </c>
      <c r="Q35" s="68">
        <f t="shared" si="0"/>
        <v>0</v>
      </c>
      <c r="R35" s="69">
        <f t="shared" si="6"/>
        <v>0</v>
      </c>
      <c r="S35" s="70"/>
      <c r="T35" s="84"/>
      <c r="U35" s="62">
        <f t="shared" si="13"/>
        <v>0</v>
      </c>
      <c r="V35" s="72">
        <f t="shared" si="7"/>
        <v>0</v>
      </c>
      <c r="W35" s="73"/>
      <c r="X35" s="97">
        <f t="shared" si="1"/>
        <v>0</v>
      </c>
      <c r="Y35" s="81"/>
      <c r="Z35" s="82" t="e">
        <f t="shared" si="8"/>
        <v>#DIV/0!</v>
      </c>
    </row>
    <row r="36" spans="1:26" x14ac:dyDescent="0.25">
      <c r="A36" s="10" t="s">
        <v>96</v>
      </c>
      <c r="B36" s="60">
        <f t="shared" si="9"/>
        <v>28</v>
      </c>
      <c r="C36" s="85"/>
      <c r="D36" s="62">
        <f t="shared" si="2"/>
        <v>0</v>
      </c>
      <c r="E36" s="77"/>
      <c r="F36" s="62">
        <f t="shared" si="10"/>
        <v>0</v>
      </c>
      <c r="G36" s="77"/>
      <c r="H36" s="62">
        <f t="shared" si="3"/>
        <v>0</v>
      </c>
      <c r="I36" s="61">
        <f t="shared" si="4"/>
        <v>0</v>
      </c>
      <c r="J36" s="65"/>
      <c r="K36" s="66">
        <f t="shared" si="5"/>
        <v>0</v>
      </c>
      <c r="L36" s="67"/>
      <c r="M36" s="78"/>
      <c r="N36" s="62">
        <f t="shared" si="11"/>
        <v>0</v>
      </c>
      <c r="O36" s="77"/>
      <c r="P36" s="62">
        <f t="shared" si="12"/>
        <v>0</v>
      </c>
      <c r="Q36" s="68">
        <f t="shared" si="0"/>
        <v>0</v>
      </c>
      <c r="R36" s="69">
        <f t="shared" si="6"/>
        <v>0</v>
      </c>
      <c r="S36" s="70"/>
      <c r="T36" s="84"/>
      <c r="U36" s="62">
        <f t="shared" si="13"/>
        <v>0</v>
      </c>
      <c r="V36" s="72">
        <f t="shared" si="7"/>
        <v>0</v>
      </c>
      <c r="W36" s="73"/>
      <c r="X36" s="97">
        <f t="shared" si="1"/>
        <v>0</v>
      </c>
      <c r="Y36" s="81"/>
      <c r="Z36" s="82" t="e">
        <f t="shared" si="8"/>
        <v>#DIV/0!</v>
      </c>
    </row>
    <row r="37" spans="1:26" x14ac:dyDescent="0.25">
      <c r="A37" s="10" t="s">
        <v>116</v>
      </c>
      <c r="B37" s="60">
        <f t="shared" si="9"/>
        <v>29</v>
      </c>
      <c r="C37" s="64"/>
      <c r="D37" s="62">
        <f t="shared" si="2"/>
        <v>0</v>
      </c>
      <c r="E37" s="110"/>
      <c r="F37" s="62">
        <f t="shared" si="10"/>
        <v>0</v>
      </c>
      <c r="G37" s="61"/>
      <c r="H37" s="62">
        <f t="shared" si="3"/>
        <v>0</v>
      </c>
      <c r="I37" s="61"/>
      <c r="J37" s="65"/>
      <c r="K37" s="66">
        <f t="shared" si="5"/>
        <v>0</v>
      </c>
      <c r="L37" s="67"/>
      <c r="M37" s="61"/>
      <c r="N37" s="62">
        <f t="shared" si="11"/>
        <v>0</v>
      </c>
      <c r="O37" s="61"/>
      <c r="P37" s="62">
        <f t="shared" si="12"/>
        <v>0</v>
      </c>
      <c r="Q37" s="68">
        <f t="shared" si="0"/>
        <v>0</v>
      </c>
      <c r="R37" s="69">
        <f t="shared" si="6"/>
        <v>0</v>
      </c>
      <c r="S37" s="70"/>
      <c r="T37" s="71"/>
      <c r="U37" s="62">
        <f t="shared" si="13"/>
        <v>0</v>
      </c>
      <c r="V37" s="72">
        <f t="shared" si="7"/>
        <v>0</v>
      </c>
      <c r="W37" s="73"/>
      <c r="X37" s="97">
        <f t="shared" si="1"/>
        <v>0</v>
      </c>
      <c r="Y37" s="111"/>
      <c r="Z37" s="112"/>
    </row>
    <row r="38" spans="1:26" x14ac:dyDescent="0.25">
      <c r="A38" s="10" t="s">
        <v>117</v>
      </c>
      <c r="B38" s="60">
        <f t="shared" si="9"/>
        <v>30</v>
      </c>
      <c r="C38" s="64"/>
      <c r="D38" s="62">
        <f t="shared" si="2"/>
        <v>0</v>
      </c>
      <c r="E38" s="110"/>
      <c r="F38" s="62">
        <f t="shared" si="10"/>
        <v>0</v>
      </c>
      <c r="G38" s="61"/>
      <c r="H38" s="62">
        <f t="shared" si="3"/>
        <v>0</v>
      </c>
      <c r="I38" s="61"/>
      <c r="J38" s="65"/>
      <c r="K38" s="66">
        <f t="shared" si="5"/>
        <v>0</v>
      </c>
      <c r="L38" s="67"/>
      <c r="M38" s="61"/>
      <c r="N38" s="62">
        <f t="shared" si="11"/>
        <v>0</v>
      </c>
      <c r="O38" s="61"/>
      <c r="P38" s="62">
        <f t="shared" si="12"/>
        <v>0</v>
      </c>
      <c r="Q38" s="68">
        <f t="shared" si="0"/>
        <v>0</v>
      </c>
      <c r="R38" s="69">
        <f t="shared" si="6"/>
        <v>0</v>
      </c>
      <c r="S38" s="70"/>
      <c r="T38" s="71"/>
      <c r="U38" s="62">
        <f t="shared" si="13"/>
        <v>0</v>
      </c>
      <c r="V38" s="72">
        <f t="shared" si="7"/>
        <v>0</v>
      </c>
      <c r="W38" s="73"/>
      <c r="X38" s="97">
        <f t="shared" si="1"/>
        <v>0</v>
      </c>
      <c r="Y38" s="111"/>
      <c r="Z38" s="112"/>
    </row>
    <row r="39" spans="1:26" x14ac:dyDescent="0.25">
      <c r="A39" s="10" t="s">
        <v>118</v>
      </c>
      <c r="B39" s="60">
        <f t="shared" si="9"/>
        <v>31</v>
      </c>
      <c r="C39" s="64"/>
      <c r="D39" s="62">
        <f t="shared" si="2"/>
        <v>0</v>
      </c>
      <c r="E39" s="110"/>
      <c r="F39" s="62">
        <f t="shared" si="10"/>
        <v>0</v>
      </c>
      <c r="G39" s="61"/>
      <c r="H39" s="62">
        <f t="shared" si="3"/>
        <v>0</v>
      </c>
      <c r="I39" s="61"/>
      <c r="J39" s="65"/>
      <c r="K39" s="66">
        <f t="shared" si="5"/>
        <v>0</v>
      </c>
      <c r="L39" s="67"/>
      <c r="M39" s="61"/>
      <c r="N39" s="62">
        <f t="shared" si="11"/>
        <v>0</v>
      </c>
      <c r="O39" s="61"/>
      <c r="P39" s="62">
        <f t="shared" si="12"/>
        <v>0</v>
      </c>
      <c r="Q39" s="68">
        <f t="shared" si="0"/>
        <v>0</v>
      </c>
      <c r="R39" s="69">
        <f t="shared" si="6"/>
        <v>0</v>
      </c>
      <c r="S39" s="70"/>
      <c r="T39" s="71"/>
      <c r="U39" s="62">
        <f t="shared" si="13"/>
        <v>0</v>
      </c>
      <c r="V39" s="72">
        <f t="shared" si="7"/>
        <v>0</v>
      </c>
      <c r="W39" s="73"/>
      <c r="X39" s="97">
        <f t="shared" si="1"/>
        <v>0</v>
      </c>
      <c r="Y39" s="111"/>
      <c r="Z39" s="112"/>
    </row>
    <row r="40" spans="1:26" x14ac:dyDescent="0.25">
      <c r="A40" s="10"/>
      <c r="B40" s="98"/>
      <c r="C40" s="99">
        <f>SUMIF(D9:D36,"&gt;0")</f>
        <v>44588</v>
      </c>
      <c r="D40" s="100"/>
      <c r="E40" s="134">
        <f>SUMIF(F9:F36,"&gt;0")</f>
        <v>44865</v>
      </c>
      <c r="F40" s="135"/>
      <c r="G40" s="136">
        <f>SUMIF(H9:H36,"&gt;0")</f>
        <v>41545</v>
      </c>
      <c r="H40" s="135"/>
      <c r="I40" s="101">
        <f>SUMIF(I9:I36,"&gt;0")</f>
        <v>130998</v>
      </c>
      <c r="J40" s="102"/>
      <c r="K40" s="103">
        <f>SUMIF(K9:K36,"&gt;0")</f>
        <v>32880.497999999992</v>
      </c>
      <c r="L40" s="101"/>
      <c r="M40" s="136">
        <f>SUMIF(N9:N36,"&gt;0")</f>
        <v>2567</v>
      </c>
      <c r="N40" s="135"/>
      <c r="O40" s="136">
        <f>SUMIF(P9:P36,"&gt;0")</f>
        <v>25245</v>
      </c>
      <c r="P40" s="135"/>
      <c r="Q40" s="102">
        <f>SUMIF(Q9:Q36,"&gt;0")</f>
        <v>27812</v>
      </c>
      <c r="R40" s="103">
        <f>SUMIF(R9:R36,"&gt;0")</f>
        <v>16105.163875164</v>
      </c>
      <c r="S40" s="104"/>
      <c r="T40" s="137">
        <f>SUMIF(U9:U36,"&gt;0")</f>
        <v>4097</v>
      </c>
      <c r="U40" s="137"/>
      <c r="V40" s="105">
        <f>SUMIF(V9:V36,"&gt;0")</f>
        <v>11696.935000000001</v>
      </c>
      <c r="W40" s="106"/>
      <c r="X40" s="107">
        <f>SUMIF(X9:X36,"&gt;0")</f>
        <v>60682.59687516401</v>
      </c>
      <c r="Y40" s="108">
        <f>SUM(Y9:Y36)</f>
        <v>631</v>
      </c>
      <c r="Z40" s="109">
        <f>(SUMIF(Z9:Z36,"&gt;0")/31)</f>
        <v>73.622697935728027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opLeftCell="A4" workbookViewId="0">
      <selection activeCell="L33" sqref="L33"/>
    </sheetView>
  </sheetViews>
  <sheetFormatPr defaultRowHeight="15" x14ac:dyDescent="0.25"/>
  <sheetData>
    <row r="6" spans="1:83" ht="15.75" thickBot="1" x14ac:dyDescent="0.3">
      <c r="B6" s="113">
        <v>49433</v>
      </c>
      <c r="C6" s="114">
        <v>79236</v>
      </c>
      <c r="D6" s="115">
        <v>15207</v>
      </c>
      <c r="E6" s="115">
        <v>13719</v>
      </c>
      <c r="F6" s="115">
        <v>189420</v>
      </c>
      <c r="G6" s="115">
        <v>3495</v>
      </c>
      <c r="H6" s="114">
        <v>1485</v>
      </c>
      <c r="I6" s="115">
        <v>380288</v>
      </c>
      <c r="J6" s="115">
        <v>68377</v>
      </c>
      <c r="K6" s="115">
        <v>7921</v>
      </c>
      <c r="L6" s="115">
        <v>29890</v>
      </c>
      <c r="M6" s="115">
        <v>52115</v>
      </c>
      <c r="N6" s="115">
        <v>38542</v>
      </c>
      <c r="O6" s="115">
        <v>181658</v>
      </c>
      <c r="P6" s="115">
        <v>375920</v>
      </c>
      <c r="Q6" s="115">
        <v>2808</v>
      </c>
      <c r="R6" s="115">
        <v>18050</v>
      </c>
      <c r="S6" s="115">
        <v>25503</v>
      </c>
      <c r="T6" s="115">
        <v>278413</v>
      </c>
      <c r="U6" s="115">
        <v>375407</v>
      </c>
      <c r="V6" s="115">
        <v>40159</v>
      </c>
      <c r="W6" s="115">
        <v>5416</v>
      </c>
      <c r="X6" s="115">
        <v>13927</v>
      </c>
      <c r="Y6" s="115">
        <v>86195</v>
      </c>
      <c r="Z6" s="114">
        <v>540</v>
      </c>
      <c r="AA6" s="115">
        <v>170186</v>
      </c>
      <c r="AB6" s="115">
        <v>7562</v>
      </c>
      <c r="AC6" s="115">
        <v>1974</v>
      </c>
      <c r="AD6" s="115">
        <v>17975</v>
      </c>
      <c r="AE6" s="115">
        <v>76508</v>
      </c>
      <c r="AF6" s="115">
        <v>205359</v>
      </c>
      <c r="AG6" s="115">
        <v>1125790</v>
      </c>
      <c r="AH6" s="115">
        <v>11123</v>
      </c>
      <c r="AI6" s="115">
        <v>483379</v>
      </c>
      <c r="AJ6" s="115">
        <v>637743</v>
      </c>
      <c r="AK6" s="115">
        <v>9334</v>
      </c>
      <c r="AL6" s="116">
        <v>29315</v>
      </c>
      <c r="AM6" s="115">
        <v>28542</v>
      </c>
      <c r="AN6" s="117">
        <v>596531</v>
      </c>
      <c r="AO6" s="117">
        <v>5246</v>
      </c>
      <c r="AP6" s="118">
        <v>0</v>
      </c>
      <c r="AQ6" s="115">
        <v>109712</v>
      </c>
      <c r="AR6" s="115">
        <v>217210</v>
      </c>
      <c r="AS6" s="115">
        <v>63112</v>
      </c>
      <c r="AT6" s="115">
        <v>560</v>
      </c>
      <c r="AU6" s="115">
        <v>107079</v>
      </c>
      <c r="AV6" s="115">
        <v>44534</v>
      </c>
      <c r="AW6" s="115">
        <v>38275</v>
      </c>
      <c r="AX6" s="115">
        <v>175158</v>
      </c>
      <c r="AY6" s="119">
        <v>481902</v>
      </c>
    </row>
    <row r="7" spans="1:83" ht="90" x14ac:dyDescent="0.25">
      <c r="A7" s="120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21" t="s">
        <v>63</v>
      </c>
      <c r="BA7" s="121" t="s">
        <v>64</v>
      </c>
      <c r="BB7" s="121" t="s">
        <v>65</v>
      </c>
      <c r="BC7" s="121" t="s">
        <v>66</v>
      </c>
      <c r="BD7" s="121" t="s">
        <v>67</v>
      </c>
      <c r="BE7" s="121" t="s">
        <v>68</v>
      </c>
      <c r="BF7" s="121" t="s">
        <v>69</v>
      </c>
      <c r="BG7" s="121" t="s">
        <v>70</v>
      </c>
      <c r="BH7" s="121" t="s">
        <v>71</v>
      </c>
      <c r="BI7" s="121" t="s">
        <v>72</v>
      </c>
      <c r="BJ7" s="121" t="s">
        <v>73</v>
      </c>
      <c r="BK7" s="121" t="s">
        <v>74</v>
      </c>
      <c r="BL7" s="121" t="s">
        <v>75</v>
      </c>
      <c r="BM7" s="121" t="s">
        <v>76</v>
      </c>
      <c r="BN7" s="121" t="s">
        <v>77</v>
      </c>
      <c r="BO7" s="121" t="s">
        <v>78</v>
      </c>
      <c r="BP7" s="121" t="s">
        <v>79</v>
      </c>
      <c r="BQ7" s="121" t="s">
        <v>80</v>
      </c>
      <c r="BR7" s="121" t="s">
        <v>81</v>
      </c>
      <c r="BS7" s="122" t="s">
        <v>82</v>
      </c>
      <c r="BT7" s="122" t="s">
        <v>83</v>
      </c>
      <c r="BU7" s="122" t="s">
        <v>84</v>
      </c>
      <c r="BV7" s="122" t="s">
        <v>85</v>
      </c>
      <c r="BW7" s="122" t="s">
        <v>86</v>
      </c>
      <c r="BX7" s="122" t="s">
        <v>87</v>
      </c>
      <c r="BY7" s="122" t="s">
        <v>88</v>
      </c>
      <c r="BZ7" s="122" t="s">
        <v>89</v>
      </c>
      <c r="CA7" s="122" t="s">
        <v>90</v>
      </c>
      <c r="CB7" s="122" t="s">
        <v>91</v>
      </c>
      <c r="CC7" s="122" t="s">
        <v>92</v>
      </c>
      <c r="CD7" s="122" t="s">
        <v>93</v>
      </c>
      <c r="CE7" s="122" t="s">
        <v>94</v>
      </c>
    </row>
    <row r="8" spans="1:83" ht="15.75" thickBot="1" x14ac:dyDescent="0.3">
      <c r="A8">
        <v>1</v>
      </c>
      <c r="B8" s="123">
        <v>68389</v>
      </c>
      <c r="C8" s="124">
        <v>97259</v>
      </c>
      <c r="D8" s="124">
        <v>18474</v>
      </c>
      <c r="E8" s="124">
        <v>18836</v>
      </c>
      <c r="F8" s="124">
        <v>245852</v>
      </c>
      <c r="G8" s="124">
        <v>4503</v>
      </c>
      <c r="H8" s="124">
        <v>6202</v>
      </c>
      <c r="I8" s="124">
        <v>481653</v>
      </c>
      <c r="J8" s="124">
        <v>86087</v>
      </c>
      <c r="K8" s="124">
        <v>7994</v>
      </c>
      <c r="L8" s="124">
        <v>36268</v>
      </c>
      <c r="M8" s="124">
        <v>58632</v>
      </c>
      <c r="N8" s="124">
        <v>49971</v>
      </c>
      <c r="O8" s="124">
        <v>240527</v>
      </c>
      <c r="P8" s="124">
        <v>499761</v>
      </c>
      <c r="Q8" s="124">
        <v>4359</v>
      </c>
      <c r="R8" s="124">
        <v>24111</v>
      </c>
      <c r="S8" s="124">
        <v>25503</v>
      </c>
      <c r="T8" s="124">
        <v>346159</v>
      </c>
      <c r="U8" s="124">
        <v>484131</v>
      </c>
      <c r="V8" s="124">
        <v>53315</v>
      </c>
      <c r="W8" s="124">
        <v>6816</v>
      </c>
      <c r="X8" s="124">
        <v>19116</v>
      </c>
      <c r="Y8" s="124">
        <v>112244</v>
      </c>
      <c r="Z8" s="124">
        <v>1075</v>
      </c>
      <c r="AA8" s="124">
        <v>215472</v>
      </c>
      <c r="AB8" s="124">
        <v>10943</v>
      </c>
      <c r="AC8" s="124">
        <v>2466</v>
      </c>
      <c r="AD8" s="124">
        <v>22753</v>
      </c>
      <c r="AE8" s="124">
        <v>107519</v>
      </c>
      <c r="AF8" s="124">
        <v>273113</v>
      </c>
      <c r="AG8" s="124">
        <v>1380673</v>
      </c>
      <c r="AH8" s="124">
        <v>13225</v>
      </c>
      <c r="AI8" s="124">
        <v>489772</v>
      </c>
      <c r="AJ8" s="124">
        <v>805297</v>
      </c>
      <c r="AK8" s="124">
        <v>12675</v>
      </c>
      <c r="AL8" s="125">
        <v>42262</v>
      </c>
      <c r="AM8" s="124">
        <v>40570</v>
      </c>
      <c r="AN8" s="126">
        <v>752886</v>
      </c>
      <c r="AO8" s="126">
        <v>5571</v>
      </c>
      <c r="AP8" s="126">
        <v>0</v>
      </c>
      <c r="AQ8" s="124">
        <v>134932</v>
      </c>
      <c r="AR8" s="124">
        <v>268590</v>
      </c>
      <c r="AS8" s="124">
        <v>76562</v>
      </c>
      <c r="AT8" s="124">
        <v>769</v>
      </c>
      <c r="AU8" s="124">
        <v>141267</v>
      </c>
      <c r="AV8" s="124">
        <v>54311</v>
      </c>
      <c r="AW8" s="124">
        <v>45887</v>
      </c>
      <c r="AX8" s="124">
        <v>231471</v>
      </c>
      <c r="AY8" s="127">
        <v>627011</v>
      </c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</row>
    <row r="9" spans="1:83" x14ac:dyDescent="0.25">
      <c r="A9">
        <v>2</v>
      </c>
      <c r="B9" s="114">
        <v>68436</v>
      </c>
      <c r="C9" s="114">
        <v>97259</v>
      </c>
      <c r="D9" s="114">
        <v>18484</v>
      </c>
      <c r="E9" s="114">
        <v>18869</v>
      </c>
      <c r="F9" s="114">
        <v>246016</v>
      </c>
      <c r="G9" s="114">
        <v>4506</v>
      </c>
      <c r="H9" s="114">
        <v>6230</v>
      </c>
      <c r="I9" s="114">
        <v>482066</v>
      </c>
      <c r="J9" s="114">
        <v>86111</v>
      </c>
      <c r="K9" s="114">
        <v>7995</v>
      </c>
      <c r="L9" s="114">
        <v>36291</v>
      </c>
      <c r="M9" s="114">
        <v>58646</v>
      </c>
      <c r="N9" s="114">
        <v>50009</v>
      </c>
      <c r="O9" s="114">
        <v>240702</v>
      </c>
      <c r="P9" s="114">
        <v>499974</v>
      </c>
      <c r="Q9" s="114">
        <v>4362</v>
      </c>
      <c r="R9" s="114">
        <v>24128</v>
      </c>
      <c r="S9" s="114">
        <v>25503</v>
      </c>
      <c r="T9" s="114">
        <v>346319</v>
      </c>
      <c r="U9" s="114">
        <v>484433</v>
      </c>
      <c r="V9" s="114">
        <v>53355</v>
      </c>
      <c r="W9" s="114">
        <v>6825</v>
      </c>
      <c r="X9" s="114">
        <v>19133</v>
      </c>
      <c r="Y9" s="114">
        <v>112333</v>
      </c>
      <c r="Z9" s="114">
        <v>1076</v>
      </c>
      <c r="AA9" s="114">
        <v>215626</v>
      </c>
      <c r="AB9" s="114">
        <v>10944</v>
      </c>
      <c r="AC9" s="114">
        <v>2468</v>
      </c>
      <c r="AD9" s="114">
        <v>22770</v>
      </c>
      <c r="AE9" s="114">
        <v>107616</v>
      </c>
      <c r="AF9" s="114">
        <v>273359</v>
      </c>
      <c r="AG9" s="114">
        <v>1381466</v>
      </c>
      <c r="AH9" s="114">
        <v>13228</v>
      </c>
      <c r="AI9" s="114">
        <v>489791</v>
      </c>
      <c r="AJ9" s="114">
        <v>805828</v>
      </c>
      <c r="AK9" s="114">
        <v>12684</v>
      </c>
      <c r="AL9" s="129">
        <v>42278</v>
      </c>
      <c r="AM9" s="114">
        <v>40588</v>
      </c>
      <c r="AN9" s="118">
        <v>753339</v>
      </c>
      <c r="AO9" s="118">
        <v>5572</v>
      </c>
      <c r="AP9" s="118">
        <v>0</v>
      </c>
      <c r="AQ9" s="114">
        <v>135022</v>
      </c>
      <c r="AR9" s="114">
        <v>268791</v>
      </c>
      <c r="AS9" s="114">
        <v>76622</v>
      </c>
      <c r="AT9" s="114">
        <v>770</v>
      </c>
      <c r="AU9" s="114">
        <v>141388</v>
      </c>
      <c r="AV9" s="114">
        <v>54353</v>
      </c>
      <c r="AW9" s="114">
        <v>45918</v>
      </c>
      <c r="AX9" s="114">
        <v>231684</v>
      </c>
      <c r="AY9" s="114">
        <v>627316</v>
      </c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</row>
    <row r="10" spans="1:83" x14ac:dyDescent="0.25">
      <c r="A10">
        <v>3</v>
      </c>
      <c r="B10" s="114">
        <v>68486</v>
      </c>
      <c r="C10" s="114">
        <v>97259</v>
      </c>
      <c r="D10" s="114">
        <v>18493</v>
      </c>
      <c r="E10" s="114">
        <v>18902</v>
      </c>
      <c r="F10" s="114">
        <v>246184</v>
      </c>
      <c r="G10" s="114">
        <v>4509</v>
      </c>
      <c r="H10" s="114">
        <v>6258</v>
      </c>
      <c r="I10" s="114">
        <v>482456</v>
      </c>
      <c r="J10" s="114">
        <v>86134</v>
      </c>
      <c r="K10" s="114">
        <v>7995</v>
      </c>
      <c r="L10" s="114">
        <v>36319</v>
      </c>
      <c r="M10" s="114">
        <v>58661</v>
      </c>
      <c r="N10" s="114">
        <v>50044</v>
      </c>
      <c r="O10" s="114">
        <v>240887</v>
      </c>
      <c r="P10" s="114">
        <v>500100</v>
      </c>
      <c r="Q10" s="114">
        <v>4366</v>
      </c>
      <c r="R10" s="114">
        <v>24146</v>
      </c>
      <c r="S10" s="114">
        <v>25503</v>
      </c>
      <c r="T10" s="114">
        <v>346484</v>
      </c>
      <c r="U10" s="114">
        <v>484754</v>
      </c>
      <c r="V10" s="114">
        <v>53390</v>
      </c>
      <c r="W10" s="114">
        <v>6833</v>
      </c>
      <c r="X10" s="114">
        <v>19150</v>
      </c>
      <c r="Y10" s="114">
        <v>112427</v>
      </c>
      <c r="Z10" s="114">
        <v>1076</v>
      </c>
      <c r="AA10" s="114">
        <v>215770</v>
      </c>
      <c r="AB10" s="114">
        <v>10948</v>
      </c>
      <c r="AC10" s="114">
        <v>2469</v>
      </c>
      <c r="AD10" s="114">
        <v>22784</v>
      </c>
      <c r="AE10" s="114">
        <v>107717</v>
      </c>
      <c r="AF10" s="114">
        <v>273589</v>
      </c>
      <c r="AG10" s="114">
        <v>1382292</v>
      </c>
      <c r="AH10" s="114">
        <v>13231</v>
      </c>
      <c r="AI10" s="114">
        <v>489809</v>
      </c>
      <c r="AJ10" s="114">
        <v>806337</v>
      </c>
      <c r="AK10" s="114">
        <v>12693</v>
      </c>
      <c r="AL10" s="129">
        <v>42294</v>
      </c>
      <c r="AM10" s="114">
        <v>40605</v>
      </c>
      <c r="AN10" s="118">
        <v>753909</v>
      </c>
      <c r="AO10" s="118">
        <v>5574</v>
      </c>
      <c r="AP10" s="118">
        <v>0</v>
      </c>
      <c r="AQ10" s="114">
        <v>135136</v>
      </c>
      <c r="AR10" s="114">
        <v>268978</v>
      </c>
      <c r="AS10" s="114">
        <v>76663</v>
      </c>
      <c r="AT10" s="114">
        <v>770</v>
      </c>
      <c r="AU10" s="114">
        <v>141493</v>
      </c>
      <c r="AV10" s="114">
        <v>54401</v>
      </c>
      <c r="AW10" s="114">
        <v>45950</v>
      </c>
      <c r="AX10" s="114">
        <v>231901</v>
      </c>
      <c r="AY10" s="114">
        <v>627663</v>
      </c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</row>
    <row r="11" spans="1:83" x14ac:dyDescent="0.25">
      <c r="A11">
        <v>4</v>
      </c>
      <c r="B11" s="114">
        <v>68540</v>
      </c>
      <c r="C11" s="114">
        <v>97259</v>
      </c>
      <c r="D11" s="114">
        <v>18503</v>
      </c>
      <c r="E11" s="114">
        <v>18933</v>
      </c>
      <c r="F11" s="114">
        <v>246366</v>
      </c>
      <c r="G11" s="114">
        <v>4512</v>
      </c>
      <c r="H11" s="114">
        <v>6287</v>
      </c>
      <c r="I11" s="114">
        <v>482849</v>
      </c>
      <c r="J11" s="114">
        <v>86163</v>
      </c>
      <c r="K11" s="114">
        <v>7996</v>
      </c>
      <c r="L11" s="114">
        <v>36344</v>
      </c>
      <c r="M11" s="114">
        <v>58674</v>
      </c>
      <c r="N11" s="114">
        <v>50082</v>
      </c>
      <c r="O11" s="114">
        <v>241072</v>
      </c>
      <c r="P11" s="114">
        <v>500242</v>
      </c>
      <c r="Q11" s="114">
        <v>4370</v>
      </c>
      <c r="R11" s="114">
        <v>24162</v>
      </c>
      <c r="S11" s="114">
        <v>25503</v>
      </c>
      <c r="T11" s="114">
        <v>346671</v>
      </c>
      <c r="U11" s="114">
        <v>485053</v>
      </c>
      <c r="V11" s="114">
        <v>53424</v>
      </c>
      <c r="W11" s="114">
        <v>6842</v>
      </c>
      <c r="X11" s="114">
        <v>19168</v>
      </c>
      <c r="Y11" s="114">
        <v>112524</v>
      </c>
      <c r="Z11" s="114">
        <v>1076</v>
      </c>
      <c r="AA11" s="114">
        <v>215911</v>
      </c>
      <c r="AB11" s="114">
        <v>10949</v>
      </c>
      <c r="AC11" s="114">
        <v>2471</v>
      </c>
      <c r="AD11" s="114">
        <v>22807</v>
      </c>
      <c r="AE11" s="114">
        <v>107823</v>
      </c>
      <c r="AF11" s="114">
        <v>273844</v>
      </c>
      <c r="AG11" s="114">
        <v>1383716</v>
      </c>
      <c r="AH11" s="114">
        <v>13234</v>
      </c>
      <c r="AI11" s="114">
        <v>489827</v>
      </c>
      <c r="AJ11" s="114">
        <v>806817</v>
      </c>
      <c r="AK11" s="114">
        <v>12703</v>
      </c>
      <c r="AL11" s="129">
        <v>42309</v>
      </c>
      <c r="AM11" s="114">
        <v>40622</v>
      </c>
      <c r="AN11" s="118">
        <v>754495</v>
      </c>
      <c r="AO11" s="118">
        <v>5575</v>
      </c>
      <c r="AP11" s="118">
        <v>0</v>
      </c>
      <c r="AQ11" s="114">
        <v>135213</v>
      </c>
      <c r="AR11" s="114">
        <v>269175</v>
      </c>
      <c r="AS11" s="114">
        <v>76705</v>
      </c>
      <c r="AT11" s="114">
        <v>771</v>
      </c>
      <c r="AU11" s="114">
        <v>141607</v>
      </c>
      <c r="AV11" s="114">
        <v>54454</v>
      </c>
      <c r="AW11" s="114">
        <v>45982</v>
      </c>
      <c r="AX11" s="114">
        <v>232124</v>
      </c>
      <c r="AY11" s="114">
        <v>628016</v>
      </c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</row>
    <row r="12" spans="1:83" x14ac:dyDescent="0.25">
      <c r="A12">
        <v>5</v>
      </c>
      <c r="B12" s="114">
        <v>68592</v>
      </c>
      <c r="C12" s="114">
        <v>97259</v>
      </c>
      <c r="D12" s="114">
        <v>18513</v>
      </c>
      <c r="E12" s="114">
        <v>18966</v>
      </c>
      <c r="F12" s="114">
        <v>246538</v>
      </c>
      <c r="G12" s="114">
        <v>4515</v>
      </c>
      <c r="H12" s="114">
        <v>6325</v>
      </c>
      <c r="I12" s="114">
        <v>483226</v>
      </c>
      <c r="J12" s="114">
        <v>86187</v>
      </c>
      <c r="K12" s="114">
        <v>7996</v>
      </c>
      <c r="L12" s="114">
        <v>36371</v>
      </c>
      <c r="M12" s="114">
        <v>58689</v>
      </c>
      <c r="N12" s="114">
        <v>50122</v>
      </c>
      <c r="O12" s="114">
        <v>241247</v>
      </c>
      <c r="P12" s="114">
        <v>500369</v>
      </c>
      <c r="Q12" s="114">
        <v>4375</v>
      </c>
      <c r="R12" s="114">
        <v>24181</v>
      </c>
      <c r="S12" s="114">
        <v>25503</v>
      </c>
      <c r="T12" s="114">
        <v>346854</v>
      </c>
      <c r="U12" s="114">
        <v>485359</v>
      </c>
      <c r="V12" s="114">
        <v>53461</v>
      </c>
      <c r="W12" s="114">
        <v>6856</v>
      </c>
      <c r="X12" s="114">
        <v>19188</v>
      </c>
      <c r="Y12" s="114">
        <v>112613</v>
      </c>
      <c r="Z12" s="114">
        <v>1078</v>
      </c>
      <c r="AA12" s="114">
        <v>216049</v>
      </c>
      <c r="AB12" s="114">
        <v>10950</v>
      </c>
      <c r="AC12" s="114">
        <v>2473</v>
      </c>
      <c r="AD12" s="114">
        <v>22825</v>
      </c>
      <c r="AE12" s="114">
        <v>107921</v>
      </c>
      <c r="AF12" s="114">
        <v>274090</v>
      </c>
      <c r="AG12" s="114">
        <v>1385004</v>
      </c>
      <c r="AH12" s="114">
        <v>13238</v>
      </c>
      <c r="AI12" s="114">
        <v>489845</v>
      </c>
      <c r="AJ12" s="114">
        <v>807354</v>
      </c>
      <c r="AK12" s="114">
        <v>12712</v>
      </c>
      <c r="AL12" s="114">
        <v>42325</v>
      </c>
      <c r="AM12" s="114">
        <v>40639</v>
      </c>
      <c r="AN12" s="114">
        <v>754885</v>
      </c>
      <c r="AO12" s="114">
        <v>5576</v>
      </c>
      <c r="AP12" s="114">
        <v>0</v>
      </c>
      <c r="AQ12" s="114">
        <v>135305</v>
      </c>
      <c r="AR12" s="114">
        <v>269367</v>
      </c>
      <c r="AS12" s="114">
        <v>76725</v>
      </c>
      <c r="AT12" s="114">
        <v>771</v>
      </c>
      <c r="AU12" s="114">
        <v>141734</v>
      </c>
      <c r="AV12" s="114">
        <v>54502</v>
      </c>
      <c r="AW12" s="114">
        <v>46017</v>
      </c>
      <c r="AX12" s="114">
        <v>232341</v>
      </c>
      <c r="AY12" s="114">
        <v>628351</v>
      </c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</row>
    <row r="13" spans="1:83" x14ac:dyDescent="0.25">
      <c r="A13">
        <v>6</v>
      </c>
      <c r="B13" s="114">
        <v>68647</v>
      </c>
      <c r="C13" s="114">
        <v>97259</v>
      </c>
      <c r="D13" s="114">
        <v>18517</v>
      </c>
      <c r="E13" s="114">
        <v>18998</v>
      </c>
      <c r="F13" s="114">
        <v>246721</v>
      </c>
      <c r="G13" s="114">
        <v>4518</v>
      </c>
      <c r="H13" s="114">
        <v>6359</v>
      </c>
      <c r="I13" s="114">
        <v>483608</v>
      </c>
      <c r="J13" s="114">
        <v>86215</v>
      </c>
      <c r="K13" s="114">
        <v>7996</v>
      </c>
      <c r="L13" s="114">
        <v>36403</v>
      </c>
      <c r="M13" s="114">
        <v>58710</v>
      </c>
      <c r="N13" s="114">
        <v>50163</v>
      </c>
      <c r="O13" s="114">
        <v>241444</v>
      </c>
      <c r="P13" s="114">
        <v>500698</v>
      </c>
      <c r="Q13" s="114">
        <v>4379</v>
      </c>
      <c r="R13" s="114">
        <v>24201</v>
      </c>
      <c r="S13" s="114">
        <v>25503</v>
      </c>
      <c r="T13" s="114">
        <v>347015</v>
      </c>
      <c r="U13" s="114">
        <v>485685</v>
      </c>
      <c r="V13" s="114">
        <v>53498</v>
      </c>
      <c r="W13" s="114">
        <v>6869</v>
      </c>
      <c r="X13" s="114">
        <v>19203</v>
      </c>
      <c r="Y13" s="114">
        <v>112693</v>
      </c>
      <c r="Z13" s="114">
        <v>1080</v>
      </c>
      <c r="AA13" s="114">
        <v>216192</v>
      </c>
      <c r="AB13" s="114">
        <v>10952</v>
      </c>
      <c r="AC13" s="114">
        <v>2475</v>
      </c>
      <c r="AD13" s="114">
        <v>22846</v>
      </c>
      <c r="AE13" s="114">
        <v>108018</v>
      </c>
      <c r="AF13" s="114">
        <v>274339</v>
      </c>
      <c r="AG13" s="114">
        <v>1386151</v>
      </c>
      <c r="AH13" s="114">
        <v>13241</v>
      </c>
      <c r="AI13" s="114">
        <v>489864</v>
      </c>
      <c r="AJ13" s="114">
        <v>807971</v>
      </c>
      <c r="AK13" s="114">
        <v>12723</v>
      </c>
      <c r="AL13" s="129">
        <v>42341</v>
      </c>
      <c r="AM13" s="114">
        <v>40670</v>
      </c>
      <c r="AN13" s="118">
        <v>755335</v>
      </c>
      <c r="AO13" s="118">
        <v>5577</v>
      </c>
      <c r="AP13" s="118">
        <v>0</v>
      </c>
      <c r="AQ13" s="114">
        <v>135396</v>
      </c>
      <c r="AR13" s="114">
        <v>269570</v>
      </c>
      <c r="AS13" s="114">
        <v>76809</v>
      </c>
      <c r="AT13" s="114">
        <v>772</v>
      </c>
      <c r="AU13" s="114">
        <v>141852</v>
      </c>
      <c r="AV13" s="114">
        <v>54556</v>
      </c>
      <c r="AW13" s="114">
        <v>46047</v>
      </c>
      <c r="AX13" s="114">
        <v>232562</v>
      </c>
      <c r="AY13" s="114">
        <v>628697</v>
      </c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</row>
    <row r="14" spans="1:83" x14ac:dyDescent="0.25">
      <c r="A14">
        <v>7</v>
      </c>
      <c r="B14" s="114">
        <v>68702</v>
      </c>
      <c r="C14" s="114">
        <v>97259</v>
      </c>
      <c r="D14" s="114">
        <v>18525</v>
      </c>
      <c r="E14" s="114">
        <v>19033</v>
      </c>
      <c r="F14" s="114">
        <v>246897</v>
      </c>
      <c r="G14" s="114">
        <v>4522</v>
      </c>
      <c r="H14" s="114">
        <v>6393</v>
      </c>
      <c r="I14" s="114">
        <v>483984</v>
      </c>
      <c r="J14" s="114">
        <v>86245</v>
      </c>
      <c r="K14" s="114">
        <v>7997</v>
      </c>
      <c r="L14" s="114">
        <v>36429</v>
      </c>
      <c r="M14" s="114">
        <v>58723</v>
      </c>
      <c r="N14" s="114">
        <v>50200</v>
      </c>
      <c r="O14" s="114">
        <v>241622</v>
      </c>
      <c r="P14" s="114">
        <v>500943</v>
      </c>
      <c r="Q14" s="114">
        <v>4382</v>
      </c>
      <c r="R14" s="114">
        <v>24218</v>
      </c>
      <c r="S14" s="114">
        <v>25503</v>
      </c>
      <c r="T14" s="114">
        <v>347168</v>
      </c>
      <c r="U14" s="114">
        <v>485991</v>
      </c>
      <c r="V14" s="114">
        <v>53531</v>
      </c>
      <c r="W14" s="114">
        <v>6872</v>
      </c>
      <c r="X14" s="114">
        <v>19217</v>
      </c>
      <c r="Y14" s="114">
        <v>112768</v>
      </c>
      <c r="Z14" s="114">
        <v>1082</v>
      </c>
      <c r="AA14" s="114">
        <v>216329</v>
      </c>
      <c r="AB14" s="114">
        <v>10962</v>
      </c>
      <c r="AC14" s="114">
        <v>2476</v>
      </c>
      <c r="AD14" s="114">
        <v>22860</v>
      </c>
      <c r="AE14" s="114">
        <v>108115</v>
      </c>
      <c r="AF14" s="114">
        <v>274577</v>
      </c>
      <c r="AG14" s="114">
        <v>1386763</v>
      </c>
      <c r="AH14" s="114">
        <v>13243</v>
      </c>
      <c r="AI14" s="114">
        <v>489882</v>
      </c>
      <c r="AJ14" s="114">
        <v>808667</v>
      </c>
      <c r="AK14" s="114">
        <v>12734</v>
      </c>
      <c r="AL14" s="129">
        <v>42356</v>
      </c>
      <c r="AM14" s="114">
        <v>40700</v>
      </c>
      <c r="AN14" s="118">
        <v>755742</v>
      </c>
      <c r="AO14" s="118">
        <v>5578</v>
      </c>
      <c r="AP14" s="118">
        <v>0</v>
      </c>
      <c r="AQ14" s="114">
        <v>135490</v>
      </c>
      <c r="AR14" s="114">
        <v>269760</v>
      </c>
      <c r="AS14" s="114">
        <v>76870</v>
      </c>
      <c r="AT14" s="114">
        <v>773</v>
      </c>
      <c r="AU14" s="114">
        <v>141966</v>
      </c>
      <c r="AV14" s="114">
        <v>54601</v>
      </c>
      <c r="AW14" s="114">
        <v>46080</v>
      </c>
      <c r="AX14" s="114">
        <v>232782</v>
      </c>
      <c r="AY14" s="114">
        <v>629045</v>
      </c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</row>
    <row r="15" spans="1:83" x14ac:dyDescent="0.25">
      <c r="A15">
        <v>8</v>
      </c>
      <c r="B15" s="114">
        <v>68755</v>
      </c>
      <c r="C15" s="114">
        <v>97259</v>
      </c>
      <c r="D15" s="114">
        <v>18539</v>
      </c>
      <c r="E15" s="114">
        <v>19065</v>
      </c>
      <c r="F15" s="114">
        <v>247066</v>
      </c>
      <c r="G15" s="114">
        <v>4525</v>
      </c>
      <c r="H15" s="114">
        <v>6424</v>
      </c>
      <c r="I15" s="114">
        <v>484367</v>
      </c>
      <c r="J15" s="114">
        <v>86268</v>
      </c>
      <c r="K15" s="114">
        <v>7997</v>
      </c>
      <c r="L15" s="114">
        <v>36457</v>
      </c>
      <c r="M15" s="114">
        <v>58740</v>
      </c>
      <c r="N15" s="114">
        <v>50238</v>
      </c>
      <c r="O15" s="114">
        <v>241804</v>
      </c>
      <c r="P15" s="114">
        <v>501141</v>
      </c>
      <c r="Q15" s="114">
        <v>4386</v>
      </c>
      <c r="R15" s="114">
        <v>24237</v>
      </c>
      <c r="S15" s="114">
        <v>25503</v>
      </c>
      <c r="T15" s="114">
        <v>347335</v>
      </c>
      <c r="U15" s="114">
        <v>486329</v>
      </c>
      <c r="V15" s="114">
        <v>53568</v>
      </c>
      <c r="W15" s="114">
        <v>6879</v>
      </c>
      <c r="X15" s="114">
        <v>19232</v>
      </c>
      <c r="Y15" s="114">
        <v>112860</v>
      </c>
      <c r="Z15" s="114">
        <v>1084</v>
      </c>
      <c r="AA15" s="114">
        <v>216467</v>
      </c>
      <c r="AB15" s="114">
        <v>10969</v>
      </c>
      <c r="AC15" s="114">
        <v>2478</v>
      </c>
      <c r="AD15" s="114">
        <v>22877</v>
      </c>
      <c r="AE15" s="114">
        <v>108213</v>
      </c>
      <c r="AF15" s="114">
        <v>274800</v>
      </c>
      <c r="AG15" s="114">
        <v>1387592</v>
      </c>
      <c r="AH15" s="114">
        <v>13245</v>
      </c>
      <c r="AI15" s="114">
        <v>489900</v>
      </c>
      <c r="AJ15" s="114">
        <v>809290</v>
      </c>
      <c r="AK15" s="114">
        <v>12746</v>
      </c>
      <c r="AL15" s="129">
        <v>42372</v>
      </c>
      <c r="AM15" s="114">
        <v>40716</v>
      </c>
      <c r="AN15" s="118">
        <v>756128</v>
      </c>
      <c r="AO15" s="118">
        <v>5580</v>
      </c>
      <c r="AP15" s="118">
        <v>0</v>
      </c>
      <c r="AQ15" s="114">
        <v>135591</v>
      </c>
      <c r="AR15" s="114">
        <v>269986</v>
      </c>
      <c r="AS15" s="114">
        <v>76935</v>
      </c>
      <c r="AT15" s="114">
        <v>773</v>
      </c>
      <c r="AU15" s="114">
        <v>142076</v>
      </c>
      <c r="AV15" s="114">
        <v>54646</v>
      </c>
      <c r="AW15" s="114">
        <v>46115</v>
      </c>
      <c r="AX15" s="114">
        <v>233001</v>
      </c>
      <c r="AY15" s="114">
        <v>629375</v>
      </c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</row>
    <row r="16" spans="1:83" x14ac:dyDescent="0.25">
      <c r="A16">
        <v>9</v>
      </c>
      <c r="B16" s="114">
        <v>68810</v>
      </c>
      <c r="C16" s="114">
        <v>97259</v>
      </c>
      <c r="D16" s="114">
        <v>18553</v>
      </c>
      <c r="E16" s="114">
        <v>19102</v>
      </c>
      <c r="F16" s="114">
        <v>247248</v>
      </c>
      <c r="G16" s="114">
        <v>4528</v>
      </c>
      <c r="H16" s="114">
        <v>6459</v>
      </c>
      <c r="I16" s="114">
        <v>484749</v>
      </c>
      <c r="J16" s="114">
        <v>86289</v>
      </c>
      <c r="K16" s="114">
        <v>7998</v>
      </c>
      <c r="L16" s="114">
        <v>36484</v>
      </c>
      <c r="M16" s="114">
        <v>58772</v>
      </c>
      <c r="N16" s="114">
        <v>50276</v>
      </c>
      <c r="O16" s="114">
        <v>241985</v>
      </c>
      <c r="P16" s="114">
        <v>501469</v>
      </c>
      <c r="Q16" s="114">
        <v>4389</v>
      </c>
      <c r="R16" s="114">
        <v>24258</v>
      </c>
      <c r="S16" s="114">
        <v>25503</v>
      </c>
      <c r="T16" s="114">
        <v>347525</v>
      </c>
      <c r="U16" s="114">
        <v>486664</v>
      </c>
      <c r="V16" s="114">
        <v>53606</v>
      </c>
      <c r="W16" s="114">
        <v>6891</v>
      </c>
      <c r="X16" s="114">
        <v>19246</v>
      </c>
      <c r="Y16" s="114">
        <v>112954</v>
      </c>
      <c r="Z16" s="114">
        <v>1086</v>
      </c>
      <c r="AA16" s="114">
        <v>216605</v>
      </c>
      <c r="AB16" s="114">
        <v>10981</v>
      </c>
      <c r="AC16" s="114">
        <v>2479</v>
      </c>
      <c r="AD16" s="114">
        <v>22896</v>
      </c>
      <c r="AE16" s="114">
        <v>108310</v>
      </c>
      <c r="AF16" s="114">
        <v>275022</v>
      </c>
      <c r="AG16" s="114">
        <v>1388469</v>
      </c>
      <c r="AH16" s="114">
        <v>13246</v>
      </c>
      <c r="AI16" s="114">
        <v>489917</v>
      </c>
      <c r="AJ16" s="114">
        <v>809944</v>
      </c>
      <c r="AK16" s="114">
        <v>12757</v>
      </c>
      <c r="AL16" s="129">
        <v>42387</v>
      </c>
      <c r="AM16" s="114">
        <v>40733</v>
      </c>
      <c r="AN16" s="118">
        <v>756749</v>
      </c>
      <c r="AO16" s="118">
        <v>5581</v>
      </c>
      <c r="AP16" s="118">
        <v>0</v>
      </c>
      <c r="AQ16" s="114">
        <v>135690</v>
      </c>
      <c r="AR16" s="114">
        <v>270204</v>
      </c>
      <c r="AS16" s="114">
        <v>76986</v>
      </c>
      <c r="AT16" s="114">
        <v>774</v>
      </c>
      <c r="AU16" s="114">
        <v>142175</v>
      </c>
      <c r="AV16" s="114">
        <v>54699</v>
      </c>
      <c r="AW16" s="114">
        <v>46152</v>
      </c>
      <c r="AX16" s="114">
        <v>233216</v>
      </c>
      <c r="AY16" s="114">
        <v>629729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</row>
    <row r="17" spans="1:83" x14ac:dyDescent="0.25">
      <c r="A17">
        <v>10</v>
      </c>
      <c r="B17" s="114">
        <v>68866</v>
      </c>
      <c r="C17" s="114">
        <v>97259</v>
      </c>
      <c r="D17" s="114">
        <v>18562</v>
      </c>
      <c r="E17" s="114">
        <v>19136</v>
      </c>
      <c r="F17" s="114">
        <v>247428</v>
      </c>
      <c r="G17" s="114">
        <v>4531</v>
      </c>
      <c r="H17" s="114">
        <v>6493</v>
      </c>
      <c r="I17" s="114">
        <v>485134</v>
      </c>
      <c r="J17" s="114">
        <v>86307</v>
      </c>
      <c r="K17" s="114">
        <v>7998</v>
      </c>
      <c r="L17" s="114">
        <v>36512</v>
      </c>
      <c r="M17" s="114">
        <v>58784</v>
      </c>
      <c r="N17" s="114">
        <v>50315</v>
      </c>
      <c r="O17" s="114">
        <v>242175</v>
      </c>
      <c r="P17" s="114">
        <v>501708</v>
      </c>
      <c r="Q17" s="114">
        <v>4394</v>
      </c>
      <c r="R17" s="114">
        <v>24278</v>
      </c>
      <c r="S17" s="114">
        <v>25503</v>
      </c>
      <c r="T17" s="114">
        <v>347746</v>
      </c>
      <c r="U17" s="114">
        <v>487016</v>
      </c>
      <c r="V17" s="114">
        <v>53644</v>
      </c>
      <c r="W17" s="114">
        <v>6899</v>
      </c>
      <c r="X17" s="114">
        <v>19260</v>
      </c>
      <c r="Y17" s="114">
        <v>113046</v>
      </c>
      <c r="Z17" s="114">
        <v>1088</v>
      </c>
      <c r="AA17" s="114">
        <v>216746</v>
      </c>
      <c r="AB17" s="114">
        <v>10989</v>
      </c>
      <c r="AC17" s="114">
        <v>2481</v>
      </c>
      <c r="AD17" s="114">
        <v>22912</v>
      </c>
      <c r="AE17" s="114">
        <v>108422</v>
      </c>
      <c r="AF17" s="114">
        <v>275248</v>
      </c>
      <c r="AG17" s="114">
        <v>1389518</v>
      </c>
      <c r="AH17" s="114">
        <v>13247</v>
      </c>
      <c r="AI17" s="114">
        <v>489935</v>
      </c>
      <c r="AJ17" s="114">
        <v>810613</v>
      </c>
      <c r="AK17" s="114">
        <v>12768</v>
      </c>
      <c r="AL17" s="129">
        <v>42402</v>
      </c>
      <c r="AM17" s="114">
        <v>40750</v>
      </c>
      <c r="AN17" s="118">
        <v>757144</v>
      </c>
      <c r="AO17" s="118">
        <v>5582</v>
      </c>
      <c r="AP17" s="118">
        <v>0</v>
      </c>
      <c r="AQ17" s="114">
        <v>135781</v>
      </c>
      <c r="AR17" s="114">
        <v>270410</v>
      </c>
      <c r="AS17" s="114">
        <v>77032</v>
      </c>
      <c r="AT17" s="114">
        <v>775</v>
      </c>
      <c r="AU17" s="114">
        <v>142298</v>
      </c>
      <c r="AV17" s="114">
        <v>54742</v>
      </c>
      <c r="AW17" s="114">
        <v>46185</v>
      </c>
      <c r="AX17" s="114">
        <v>233435</v>
      </c>
      <c r="AY17" s="114">
        <v>630098</v>
      </c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</row>
    <row r="18" spans="1:83" x14ac:dyDescent="0.25">
      <c r="A18">
        <v>11</v>
      </c>
      <c r="B18" s="114">
        <v>68922</v>
      </c>
      <c r="C18" s="114">
        <v>97259</v>
      </c>
      <c r="D18" s="114">
        <v>18573</v>
      </c>
      <c r="E18" s="114">
        <v>19162</v>
      </c>
      <c r="F18" s="114">
        <v>247611</v>
      </c>
      <c r="G18" s="114">
        <v>4533</v>
      </c>
      <c r="H18" s="114">
        <v>6524</v>
      </c>
      <c r="I18" s="114">
        <v>485534</v>
      </c>
      <c r="J18" s="114">
        <v>86320</v>
      </c>
      <c r="K18" s="114">
        <v>7999</v>
      </c>
      <c r="L18" s="114">
        <v>36541</v>
      </c>
      <c r="M18" s="114">
        <v>58810</v>
      </c>
      <c r="N18" s="114">
        <v>50353</v>
      </c>
      <c r="O18" s="114">
        <v>242358</v>
      </c>
      <c r="P18" s="114">
        <v>502046</v>
      </c>
      <c r="Q18" s="114">
        <v>4399</v>
      </c>
      <c r="R18" s="114">
        <v>24294</v>
      </c>
      <c r="S18" s="114">
        <v>25503</v>
      </c>
      <c r="T18" s="114">
        <v>347991</v>
      </c>
      <c r="U18" s="114">
        <v>487369</v>
      </c>
      <c r="V18" s="114">
        <v>53682</v>
      </c>
      <c r="W18" s="114">
        <v>6910</v>
      </c>
      <c r="X18" s="114">
        <v>19276</v>
      </c>
      <c r="Y18" s="114">
        <v>113145</v>
      </c>
      <c r="Z18" s="114">
        <v>1088</v>
      </c>
      <c r="AA18" s="114">
        <v>216885</v>
      </c>
      <c r="AB18" s="114">
        <v>10998</v>
      </c>
      <c r="AC18" s="114">
        <v>2483</v>
      </c>
      <c r="AD18" s="114">
        <v>22932</v>
      </c>
      <c r="AE18" s="114">
        <v>108523</v>
      </c>
      <c r="AF18" s="114">
        <v>275475</v>
      </c>
      <c r="AG18" s="114">
        <v>1390955</v>
      </c>
      <c r="AH18" s="114">
        <v>13249</v>
      </c>
      <c r="AI18" s="114">
        <v>489953</v>
      </c>
      <c r="AJ18" s="114">
        <v>811331</v>
      </c>
      <c r="AK18" s="114">
        <v>12779</v>
      </c>
      <c r="AL18" s="129">
        <v>42418</v>
      </c>
      <c r="AM18" s="114">
        <v>40767</v>
      </c>
      <c r="AN18" s="118">
        <v>757576</v>
      </c>
      <c r="AO18" s="118">
        <v>5583</v>
      </c>
      <c r="AP18" s="118">
        <v>0</v>
      </c>
      <c r="AQ18" s="114">
        <v>135867</v>
      </c>
      <c r="AR18" s="114">
        <v>270614</v>
      </c>
      <c r="AS18" s="114">
        <v>77079</v>
      </c>
      <c r="AT18" s="114">
        <v>775</v>
      </c>
      <c r="AU18" s="114">
        <v>142437</v>
      </c>
      <c r="AV18" s="114">
        <v>54791</v>
      </c>
      <c r="AW18" s="114">
        <v>46219</v>
      </c>
      <c r="AX18" s="114">
        <v>233651</v>
      </c>
      <c r="AY18" s="114">
        <v>630438</v>
      </c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</row>
    <row r="19" spans="1:83" x14ac:dyDescent="0.25">
      <c r="A19">
        <v>12</v>
      </c>
      <c r="B19" s="114">
        <v>68981</v>
      </c>
      <c r="C19" s="114">
        <v>97259</v>
      </c>
      <c r="D19" s="114">
        <v>18582</v>
      </c>
      <c r="E19" s="114">
        <v>19204</v>
      </c>
      <c r="F19" s="114">
        <v>247783</v>
      </c>
      <c r="G19" s="114">
        <v>4536</v>
      </c>
      <c r="H19" s="114">
        <v>6559</v>
      </c>
      <c r="I19" s="114">
        <v>485921</v>
      </c>
      <c r="J19" s="114">
        <v>86333</v>
      </c>
      <c r="K19" s="114">
        <v>7999</v>
      </c>
      <c r="L19" s="114">
        <v>36567</v>
      </c>
      <c r="M19" s="114">
        <v>58820</v>
      </c>
      <c r="N19" s="114">
        <v>50395</v>
      </c>
      <c r="O19" s="114">
        <v>242541</v>
      </c>
      <c r="P19" s="114">
        <v>502335</v>
      </c>
      <c r="Q19" s="114">
        <v>4402</v>
      </c>
      <c r="R19" s="114">
        <v>24311</v>
      </c>
      <c r="S19" s="114">
        <v>25503</v>
      </c>
      <c r="T19" s="114">
        <v>348203</v>
      </c>
      <c r="U19" s="114">
        <v>487661</v>
      </c>
      <c r="V19" s="114">
        <v>53722</v>
      </c>
      <c r="W19" s="114">
        <v>6919</v>
      </c>
      <c r="X19" s="114">
        <v>19295</v>
      </c>
      <c r="Y19" s="114">
        <v>113242</v>
      </c>
      <c r="Z19" s="114">
        <v>1088</v>
      </c>
      <c r="AA19" s="114">
        <v>217024</v>
      </c>
      <c r="AB19" s="114">
        <v>11005</v>
      </c>
      <c r="AC19" s="114">
        <v>2486</v>
      </c>
      <c r="AD19" s="114">
        <v>22949</v>
      </c>
      <c r="AE19" s="114">
        <v>108623</v>
      </c>
      <c r="AF19" s="114">
        <v>275702</v>
      </c>
      <c r="AG19" s="114">
        <v>1392158</v>
      </c>
      <c r="AH19" s="114">
        <v>13251</v>
      </c>
      <c r="AI19" s="114">
        <v>489971</v>
      </c>
      <c r="AJ19" s="114">
        <v>811933</v>
      </c>
      <c r="AK19" s="114">
        <v>12792</v>
      </c>
      <c r="AL19" s="129">
        <v>42434</v>
      </c>
      <c r="AM19" s="114">
        <v>40785</v>
      </c>
      <c r="AN19" s="118">
        <v>757954</v>
      </c>
      <c r="AO19" s="118">
        <v>5584</v>
      </c>
      <c r="AP19" s="118">
        <v>0</v>
      </c>
      <c r="AQ19" s="114">
        <v>135954</v>
      </c>
      <c r="AR19" s="114">
        <v>270815</v>
      </c>
      <c r="AS19" s="114">
        <v>77133</v>
      </c>
      <c r="AT19" s="114">
        <v>776</v>
      </c>
      <c r="AU19" s="114">
        <v>142552</v>
      </c>
      <c r="AV19" s="114">
        <v>54845</v>
      </c>
      <c r="AW19" s="114">
        <v>46257</v>
      </c>
      <c r="AX19" s="114">
        <v>233876</v>
      </c>
      <c r="AY19" s="114">
        <v>630769</v>
      </c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</row>
    <row r="20" spans="1:83" x14ac:dyDescent="0.25">
      <c r="A20">
        <v>13</v>
      </c>
      <c r="B20" s="114">
        <v>69037</v>
      </c>
      <c r="C20" s="114">
        <v>97260</v>
      </c>
      <c r="D20" s="114">
        <v>18584</v>
      </c>
      <c r="E20" s="114">
        <v>19237</v>
      </c>
      <c r="F20" s="114">
        <v>247964</v>
      </c>
      <c r="G20" s="114">
        <v>4538</v>
      </c>
      <c r="H20" s="114">
        <v>6591</v>
      </c>
      <c r="I20" s="114">
        <v>486313</v>
      </c>
      <c r="J20" s="114">
        <v>86345</v>
      </c>
      <c r="K20" s="114">
        <v>8000</v>
      </c>
      <c r="L20" s="114">
        <v>36595</v>
      </c>
      <c r="M20" s="114">
        <v>58837</v>
      </c>
      <c r="N20" s="114">
        <v>50433</v>
      </c>
      <c r="O20" s="114">
        <v>242726</v>
      </c>
      <c r="P20" s="114">
        <v>502585</v>
      </c>
      <c r="Q20" s="114">
        <v>4405</v>
      </c>
      <c r="R20" s="114">
        <v>24326</v>
      </c>
      <c r="S20" s="114">
        <v>25503</v>
      </c>
      <c r="T20" s="114">
        <v>348365</v>
      </c>
      <c r="U20" s="114">
        <v>487992</v>
      </c>
      <c r="V20" s="114">
        <v>53762</v>
      </c>
      <c r="W20" s="114">
        <v>6930</v>
      </c>
      <c r="X20" s="114">
        <v>19312</v>
      </c>
      <c r="Y20" s="114">
        <v>113328</v>
      </c>
      <c r="Z20" s="114">
        <v>1088</v>
      </c>
      <c r="AA20" s="114">
        <v>217166</v>
      </c>
      <c r="AB20" s="114">
        <v>11013</v>
      </c>
      <c r="AC20" s="114">
        <v>2488</v>
      </c>
      <c r="AD20" s="114">
        <v>22970</v>
      </c>
      <c r="AE20" s="114">
        <v>108746</v>
      </c>
      <c r="AF20" s="114">
        <v>275929</v>
      </c>
      <c r="AG20" s="114">
        <v>1393375</v>
      </c>
      <c r="AH20" s="114">
        <v>13252</v>
      </c>
      <c r="AI20" s="114">
        <v>489989</v>
      </c>
      <c r="AJ20" s="118">
        <v>812488</v>
      </c>
      <c r="AK20" s="118">
        <v>12800</v>
      </c>
      <c r="AL20" s="129">
        <v>42449</v>
      </c>
      <c r="AM20" s="118">
        <v>40801</v>
      </c>
      <c r="AN20" s="118">
        <v>758407</v>
      </c>
      <c r="AO20" s="118">
        <v>5586</v>
      </c>
      <c r="AP20" s="118">
        <v>0</v>
      </c>
      <c r="AQ20" s="118">
        <v>136049</v>
      </c>
      <c r="AR20" s="118">
        <v>271018</v>
      </c>
      <c r="AS20" s="118">
        <v>77197</v>
      </c>
      <c r="AT20" s="118">
        <v>776</v>
      </c>
      <c r="AU20" s="118">
        <v>142670</v>
      </c>
      <c r="AV20" s="118">
        <v>54902</v>
      </c>
      <c r="AW20" s="118">
        <v>46295</v>
      </c>
      <c r="AX20" s="118">
        <v>234094</v>
      </c>
      <c r="AY20" s="118">
        <v>631118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</row>
    <row r="21" spans="1:83" x14ac:dyDescent="0.25">
      <c r="A21">
        <v>14</v>
      </c>
      <c r="B21" s="114">
        <v>69094</v>
      </c>
      <c r="C21" s="114">
        <v>97261</v>
      </c>
      <c r="D21" s="114">
        <v>18591</v>
      </c>
      <c r="E21" s="114">
        <v>19272</v>
      </c>
      <c r="F21" s="114">
        <v>248155</v>
      </c>
      <c r="G21" s="114">
        <v>4541</v>
      </c>
      <c r="H21" s="114">
        <v>6624</v>
      </c>
      <c r="I21" s="114">
        <v>486699</v>
      </c>
      <c r="J21" s="114">
        <v>86358</v>
      </c>
      <c r="K21" s="114">
        <v>8000</v>
      </c>
      <c r="L21" s="114">
        <v>36616</v>
      </c>
      <c r="M21" s="114">
        <v>58852</v>
      </c>
      <c r="N21" s="114">
        <v>50472</v>
      </c>
      <c r="O21" s="114">
        <v>242910</v>
      </c>
      <c r="P21" s="114">
        <v>502890</v>
      </c>
      <c r="Q21" s="114">
        <v>4407</v>
      </c>
      <c r="R21" s="114">
        <v>24340</v>
      </c>
      <c r="S21" s="114">
        <v>25503</v>
      </c>
      <c r="T21" s="114">
        <v>348533</v>
      </c>
      <c r="U21" s="114">
        <v>488332</v>
      </c>
      <c r="V21" s="114">
        <v>53799</v>
      </c>
      <c r="W21" s="114">
        <v>6941</v>
      </c>
      <c r="X21" s="114">
        <v>19331</v>
      </c>
      <c r="Y21" s="114">
        <v>113408</v>
      </c>
      <c r="Z21" s="114">
        <v>1088</v>
      </c>
      <c r="AA21" s="114">
        <v>217304</v>
      </c>
      <c r="AB21" s="114">
        <v>11019</v>
      </c>
      <c r="AC21" s="114">
        <v>2489</v>
      </c>
      <c r="AD21" s="114">
        <v>22984</v>
      </c>
      <c r="AE21" s="114">
        <v>108845</v>
      </c>
      <c r="AF21" s="114">
        <v>276160</v>
      </c>
      <c r="AG21" s="114">
        <v>1394321</v>
      </c>
      <c r="AH21" s="114">
        <v>13252</v>
      </c>
      <c r="AI21" s="114">
        <v>490007</v>
      </c>
      <c r="AJ21" s="118">
        <v>813165</v>
      </c>
      <c r="AK21" s="118">
        <v>12809</v>
      </c>
      <c r="AL21" s="129">
        <v>42465</v>
      </c>
      <c r="AM21" s="118">
        <v>40819</v>
      </c>
      <c r="AN21" s="118">
        <v>758638</v>
      </c>
      <c r="AO21" s="118">
        <v>5587</v>
      </c>
      <c r="AP21" s="118">
        <v>0</v>
      </c>
      <c r="AQ21" s="118">
        <v>136141</v>
      </c>
      <c r="AR21" s="118">
        <v>271218</v>
      </c>
      <c r="AS21" s="118">
        <v>77269</v>
      </c>
      <c r="AT21" s="118">
        <v>777</v>
      </c>
      <c r="AU21" s="118">
        <v>142792</v>
      </c>
      <c r="AV21" s="118">
        <v>54945</v>
      </c>
      <c r="AW21" s="118">
        <v>46334</v>
      </c>
      <c r="AX21" s="118">
        <v>234314</v>
      </c>
      <c r="AY21" s="118">
        <v>631470</v>
      </c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</row>
    <row r="22" spans="1:83" x14ac:dyDescent="0.25">
      <c r="A22">
        <v>15</v>
      </c>
      <c r="B22" s="114">
        <v>69143</v>
      </c>
      <c r="C22" s="114">
        <v>97261</v>
      </c>
      <c r="D22" s="114">
        <v>18601</v>
      </c>
      <c r="E22" s="114">
        <v>19316</v>
      </c>
      <c r="F22" s="114">
        <v>248330</v>
      </c>
      <c r="G22" s="114">
        <v>4543</v>
      </c>
      <c r="H22" s="114">
        <v>6655</v>
      </c>
      <c r="I22" s="114">
        <v>487076</v>
      </c>
      <c r="J22" s="114">
        <v>86375</v>
      </c>
      <c r="K22" s="114">
        <v>8000</v>
      </c>
      <c r="L22" s="114">
        <v>36639</v>
      </c>
      <c r="M22" s="114">
        <v>58866</v>
      </c>
      <c r="N22" s="114">
        <v>50509</v>
      </c>
      <c r="O22" s="114">
        <v>243093</v>
      </c>
      <c r="P22" s="114">
        <v>503084</v>
      </c>
      <c r="Q22" s="114">
        <v>4408</v>
      </c>
      <c r="R22" s="114">
        <v>24362</v>
      </c>
      <c r="S22" s="114">
        <v>25503</v>
      </c>
      <c r="T22" s="114">
        <v>348726</v>
      </c>
      <c r="U22" s="114">
        <v>488657</v>
      </c>
      <c r="V22" s="114">
        <v>53838</v>
      </c>
      <c r="W22" s="114">
        <v>6956</v>
      </c>
      <c r="X22" s="114">
        <v>19350</v>
      </c>
      <c r="Y22" s="114">
        <v>113499</v>
      </c>
      <c r="Z22" s="114">
        <v>1088</v>
      </c>
      <c r="AA22" s="114">
        <v>217448</v>
      </c>
      <c r="AB22" s="114">
        <v>11027</v>
      </c>
      <c r="AC22" s="114">
        <v>2491</v>
      </c>
      <c r="AD22" s="114">
        <v>23001</v>
      </c>
      <c r="AE22" s="114">
        <v>108953</v>
      </c>
      <c r="AF22" s="114">
        <v>276363</v>
      </c>
      <c r="AG22" s="114">
        <v>1395245</v>
      </c>
      <c r="AH22" s="114">
        <v>13253</v>
      </c>
      <c r="AI22" s="114">
        <v>490025</v>
      </c>
      <c r="AJ22" s="118">
        <v>813713</v>
      </c>
      <c r="AK22" s="118">
        <v>12818</v>
      </c>
      <c r="AL22" s="129">
        <v>42480</v>
      </c>
      <c r="AM22" s="118">
        <v>40835</v>
      </c>
      <c r="AN22" s="118">
        <v>758926</v>
      </c>
      <c r="AO22" s="118">
        <v>5588</v>
      </c>
      <c r="AP22" s="118">
        <v>0</v>
      </c>
      <c r="AQ22" s="118">
        <v>136222</v>
      </c>
      <c r="AR22" s="118">
        <v>271418</v>
      </c>
      <c r="AS22" s="118">
        <v>77334</v>
      </c>
      <c r="AT22" s="118">
        <v>778</v>
      </c>
      <c r="AU22" s="118">
        <v>142907</v>
      </c>
      <c r="AV22" s="118">
        <v>54989</v>
      </c>
      <c r="AW22" s="118">
        <v>46372</v>
      </c>
      <c r="AX22" s="118">
        <v>234533</v>
      </c>
      <c r="AY22" s="118">
        <v>631757</v>
      </c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</row>
    <row r="23" spans="1:83" x14ac:dyDescent="0.25">
      <c r="A23">
        <v>16</v>
      </c>
      <c r="B23" s="114">
        <v>69191</v>
      </c>
      <c r="C23" s="114">
        <v>97261</v>
      </c>
      <c r="D23" s="114">
        <v>18606</v>
      </c>
      <c r="E23" s="114">
        <v>19351</v>
      </c>
      <c r="F23" s="114">
        <v>248506</v>
      </c>
      <c r="G23" s="114">
        <v>4545</v>
      </c>
      <c r="H23" s="114">
        <v>6688</v>
      </c>
      <c r="I23" s="114">
        <v>487465</v>
      </c>
      <c r="J23" s="114">
        <v>86388</v>
      </c>
      <c r="K23" s="114">
        <v>8001</v>
      </c>
      <c r="L23" s="114">
        <v>36661</v>
      </c>
      <c r="M23" s="114">
        <v>58893</v>
      </c>
      <c r="N23" s="114">
        <v>50548</v>
      </c>
      <c r="O23" s="114">
        <v>243273</v>
      </c>
      <c r="P23" s="114">
        <v>503275</v>
      </c>
      <c r="Q23" s="114">
        <v>4409</v>
      </c>
      <c r="R23" s="114">
        <v>24383</v>
      </c>
      <c r="S23" s="114">
        <v>25503</v>
      </c>
      <c r="T23" s="114">
        <v>348931</v>
      </c>
      <c r="U23" s="114">
        <v>488959</v>
      </c>
      <c r="V23" s="114">
        <v>53876</v>
      </c>
      <c r="W23" s="114">
        <v>6972</v>
      </c>
      <c r="X23" s="114">
        <v>19369</v>
      </c>
      <c r="Y23" s="114">
        <v>113597</v>
      </c>
      <c r="Z23" s="114">
        <v>1088</v>
      </c>
      <c r="AA23" s="114">
        <v>217575</v>
      </c>
      <c r="AB23" s="114">
        <v>11036</v>
      </c>
      <c r="AC23" s="114">
        <v>2492</v>
      </c>
      <c r="AD23" s="114">
        <v>23019</v>
      </c>
      <c r="AE23" s="114">
        <v>109066</v>
      </c>
      <c r="AF23" s="114">
        <v>276528</v>
      </c>
      <c r="AG23" s="114">
        <v>1396201</v>
      </c>
      <c r="AH23" s="114">
        <v>13254</v>
      </c>
      <c r="AI23" s="114">
        <v>490042</v>
      </c>
      <c r="AJ23" s="114">
        <v>814278</v>
      </c>
      <c r="AK23" s="114">
        <v>12828</v>
      </c>
      <c r="AL23" s="129">
        <v>42496</v>
      </c>
      <c r="AM23" s="114">
        <v>40852</v>
      </c>
      <c r="AN23" s="118">
        <v>759323</v>
      </c>
      <c r="AO23" s="118">
        <v>5589</v>
      </c>
      <c r="AP23" s="118">
        <v>0</v>
      </c>
      <c r="AQ23" s="114">
        <v>136307</v>
      </c>
      <c r="AR23" s="114">
        <v>271621</v>
      </c>
      <c r="AS23" s="114">
        <v>77379</v>
      </c>
      <c r="AT23" s="114">
        <v>778</v>
      </c>
      <c r="AU23" s="114">
        <v>143022</v>
      </c>
      <c r="AV23" s="114">
        <v>55043</v>
      </c>
      <c r="AW23" s="114">
        <v>46411</v>
      </c>
      <c r="AX23" s="114">
        <v>234730</v>
      </c>
      <c r="AY23" s="114">
        <v>632124</v>
      </c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</row>
    <row r="24" spans="1:83" x14ac:dyDescent="0.25">
      <c r="A24">
        <v>17</v>
      </c>
      <c r="B24" s="114">
        <v>69240</v>
      </c>
      <c r="C24" s="114">
        <v>97261</v>
      </c>
      <c r="D24" s="114">
        <v>18613</v>
      </c>
      <c r="E24" s="114">
        <v>19386</v>
      </c>
      <c r="F24" s="114">
        <v>248689</v>
      </c>
      <c r="G24" s="114">
        <v>4547</v>
      </c>
      <c r="H24" s="114">
        <v>6722</v>
      </c>
      <c r="I24" s="114">
        <v>487857</v>
      </c>
      <c r="J24" s="114">
        <v>86403</v>
      </c>
      <c r="K24" s="114">
        <v>8001</v>
      </c>
      <c r="L24" s="114">
        <v>36681</v>
      </c>
      <c r="M24" s="114">
        <v>58907</v>
      </c>
      <c r="N24" s="114">
        <v>50587</v>
      </c>
      <c r="O24" s="114">
        <v>243461</v>
      </c>
      <c r="P24" s="114">
        <v>503480</v>
      </c>
      <c r="Q24" s="114">
        <v>4411</v>
      </c>
      <c r="R24" s="114">
        <v>24402</v>
      </c>
      <c r="S24" s="114">
        <v>25503</v>
      </c>
      <c r="T24" s="114">
        <v>349098</v>
      </c>
      <c r="U24" s="114">
        <v>489261</v>
      </c>
      <c r="V24" s="114">
        <v>53914</v>
      </c>
      <c r="W24" s="114">
        <v>6974</v>
      </c>
      <c r="X24" s="114">
        <v>19389</v>
      </c>
      <c r="Y24" s="114">
        <v>113687</v>
      </c>
      <c r="Z24" s="114">
        <v>1088</v>
      </c>
      <c r="AA24" s="114">
        <v>217747</v>
      </c>
      <c r="AB24" s="114">
        <v>11039</v>
      </c>
      <c r="AC24" s="114">
        <v>2494</v>
      </c>
      <c r="AD24" s="114">
        <v>23032</v>
      </c>
      <c r="AE24" s="114">
        <v>109181</v>
      </c>
      <c r="AF24" s="114">
        <v>276712</v>
      </c>
      <c r="AG24" s="114">
        <v>1397014</v>
      </c>
      <c r="AH24" s="114">
        <v>13254</v>
      </c>
      <c r="AI24" s="114">
        <v>490059</v>
      </c>
      <c r="AJ24" s="114">
        <v>814795</v>
      </c>
      <c r="AK24" s="114">
        <v>12839</v>
      </c>
      <c r="AL24" s="129">
        <v>42511</v>
      </c>
      <c r="AM24" s="114">
        <v>40868</v>
      </c>
      <c r="AN24" s="118">
        <v>759682</v>
      </c>
      <c r="AO24" s="118">
        <v>5590</v>
      </c>
      <c r="AP24" s="118">
        <v>0</v>
      </c>
      <c r="AQ24" s="114">
        <v>136396</v>
      </c>
      <c r="AR24" s="114">
        <v>271828</v>
      </c>
      <c r="AS24" s="114">
        <v>77444</v>
      </c>
      <c r="AT24" s="114">
        <v>779</v>
      </c>
      <c r="AU24" s="114">
        <v>143128</v>
      </c>
      <c r="AV24" s="114">
        <v>55096</v>
      </c>
      <c r="AW24" s="114">
        <v>46452</v>
      </c>
      <c r="AX24" s="114">
        <v>234932</v>
      </c>
      <c r="AY24" s="114">
        <v>632423</v>
      </c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</row>
    <row r="25" spans="1:83" x14ac:dyDescent="0.25">
      <c r="A25">
        <v>18</v>
      </c>
      <c r="B25" s="114">
        <v>69290</v>
      </c>
      <c r="C25" s="114">
        <v>97261</v>
      </c>
      <c r="D25" s="114">
        <v>18616</v>
      </c>
      <c r="E25" s="114">
        <v>19408</v>
      </c>
      <c r="F25" s="114">
        <v>248867</v>
      </c>
      <c r="G25" s="114">
        <v>4550</v>
      </c>
      <c r="H25" s="114">
        <v>6748</v>
      </c>
      <c r="I25" s="114">
        <v>488245</v>
      </c>
      <c r="J25" s="114">
        <v>86430</v>
      </c>
      <c r="K25" s="114">
        <v>8002</v>
      </c>
      <c r="L25" s="114">
        <v>36701</v>
      </c>
      <c r="M25" s="114">
        <v>58930</v>
      </c>
      <c r="N25" s="114">
        <v>50626</v>
      </c>
      <c r="O25" s="114">
        <v>243656</v>
      </c>
      <c r="P25" s="114">
        <v>503689</v>
      </c>
      <c r="Q25" s="114">
        <v>4413</v>
      </c>
      <c r="R25" s="114">
        <v>24422</v>
      </c>
      <c r="S25" s="114">
        <v>25503</v>
      </c>
      <c r="T25" s="114">
        <v>349265</v>
      </c>
      <c r="U25" s="114">
        <v>489595</v>
      </c>
      <c r="V25" s="114">
        <v>53953</v>
      </c>
      <c r="W25" s="114">
        <v>6981</v>
      </c>
      <c r="X25" s="114">
        <v>19408</v>
      </c>
      <c r="Y25" s="114">
        <v>113780</v>
      </c>
      <c r="Z25" s="114">
        <v>1088</v>
      </c>
      <c r="AA25" s="114">
        <v>217888</v>
      </c>
      <c r="AB25" s="114">
        <v>11039</v>
      </c>
      <c r="AC25" s="114">
        <v>2495</v>
      </c>
      <c r="AD25" s="114">
        <v>23051</v>
      </c>
      <c r="AE25" s="114">
        <v>109295</v>
      </c>
      <c r="AF25" s="114">
        <v>276911</v>
      </c>
      <c r="AG25" s="114">
        <v>1397816</v>
      </c>
      <c r="AH25" s="114">
        <v>13255</v>
      </c>
      <c r="AI25" s="114">
        <v>490077</v>
      </c>
      <c r="AJ25" s="114">
        <v>815410</v>
      </c>
      <c r="AK25" s="114">
        <v>12853</v>
      </c>
      <c r="AL25" s="129">
        <v>42526</v>
      </c>
      <c r="AM25" s="114">
        <v>40885</v>
      </c>
      <c r="AN25" s="118">
        <v>760006</v>
      </c>
      <c r="AO25" s="118">
        <v>5591</v>
      </c>
      <c r="AP25" s="118">
        <v>0</v>
      </c>
      <c r="AQ25" s="114">
        <v>136491</v>
      </c>
      <c r="AR25" s="114">
        <v>272038</v>
      </c>
      <c r="AS25" s="114">
        <v>77512</v>
      </c>
      <c r="AT25" s="114">
        <v>780</v>
      </c>
      <c r="AU25" s="114">
        <v>143229</v>
      </c>
      <c r="AV25" s="114">
        <v>55151</v>
      </c>
      <c r="AW25" s="114">
        <v>46492</v>
      </c>
      <c r="AX25" s="114">
        <v>235155</v>
      </c>
      <c r="AY25" s="114">
        <v>632748</v>
      </c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</row>
    <row r="26" spans="1:83" x14ac:dyDescent="0.25">
      <c r="A26">
        <v>19</v>
      </c>
      <c r="B26" s="114">
        <v>69342</v>
      </c>
      <c r="C26" s="114">
        <v>97261</v>
      </c>
      <c r="D26" s="114">
        <v>18629</v>
      </c>
      <c r="E26" s="114">
        <v>19432</v>
      </c>
      <c r="F26" s="114">
        <v>249049</v>
      </c>
      <c r="G26" s="114">
        <v>4552</v>
      </c>
      <c r="H26" s="114">
        <v>6775</v>
      </c>
      <c r="I26" s="114">
        <v>488616</v>
      </c>
      <c r="J26" s="114">
        <v>86461</v>
      </c>
      <c r="K26" s="114">
        <v>8002</v>
      </c>
      <c r="L26" s="114">
        <v>36727</v>
      </c>
      <c r="M26" s="114">
        <v>58945</v>
      </c>
      <c r="N26" s="114">
        <v>50666</v>
      </c>
      <c r="O26" s="114">
        <v>243839</v>
      </c>
      <c r="P26" s="114">
        <v>503890</v>
      </c>
      <c r="Q26" s="114">
        <v>4415</v>
      </c>
      <c r="R26" s="114">
        <v>24437</v>
      </c>
      <c r="S26" s="114">
        <v>25503</v>
      </c>
      <c r="T26" s="114">
        <v>349425</v>
      </c>
      <c r="U26" s="114">
        <v>489924</v>
      </c>
      <c r="V26" s="114">
        <v>53991</v>
      </c>
      <c r="W26" s="114">
        <v>6981</v>
      </c>
      <c r="X26" s="114">
        <v>19426</v>
      </c>
      <c r="Y26" s="114">
        <v>113879</v>
      </c>
      <c r="Z26" s="114">
        <v>1088</v>
      </c>
      <c r="AA26" s="114">
        <v>218025</v>
      </c>
      <c r="AB26" s="114">
        <v>11040</v>
      </c>
      <c r="AC26" s="114">
        <v>2498</v>
      </c>
      <c r="AD26" s="114">
        <v>23071</v>
      </c>
      <c r="AE26" s="114">
        <v>109407</v>
      </c>
      <c r="AF26" s="114">
        <v>277101</v>
      </c>
      <c r="AG26" s="114">
        <v>1398549</v>
      </c>
      <c r="AH26" s="114">
        <v>13257</v>
      </c>
      <c r="AI26" s="114">
        <v>490094</v>
      </c>
      <c r="AJ26" s="114">
        <v>815980</v>
      </c>
      <c r="AK26" s="114">
        <v>12863</v>
      </c>
      <c r="AL26" s="129">
        <v>42541</v>
      </c>
      <c r="AM26" s="114">
        <v>40902</v>
      </c>
      <c r="AN26" s="118">
        <v>760422</v>
      </c>
      <c r="AO26" s="118">
        <v>5593</v>
      </c>
      <c r="AP26" s="118">
        <v>0</v>
      </c>
      <c r="AQ26" s="114">
        <v>136599</v>
      </c>
      <c r="AR26" s="114">
        <v>272253</v>
      </c>
      <c r="AS26" s="114">
        <v>77577</v>
      </c>
      <c r="AT26" s="114">
        <v>780</v>
      </c>
      <c r="AU26" s="114">
        <v>143305</v>
      </c>
      <c r="AV26" s="114">
        <v>55207</v>
      </c>
      <c r="AW26" s="114">
        <v>46531</v>
      </c>
      <c r="AX26" s="114">
        <v>235376</v>
      </c>
      <c r="AY26" s="114">
        <v>633058</v>
      </c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</row>
    <row r="27" spans="1:83" x14ac:dyDescent="0.25">
      <c r="A27">
        <v>20</v>
      </c>
      <c r="B27" s="114">
        <v>69393</v>
      </c>
      <c r="C27" s="114">
        <v>97262</v>
      </c>
      <c r="D27" s="114">
        <v>18633</v>
      </c>
      <c r="E27" s="114">
        <v>19459</v>
      </c>
      <c r="F27" s="114">
        <v>249231</v>
      </c>
      <c r="G27" s="114">
        <v>4554</v>
      </c>
      <c r="H27" s="114">
        <v>6797</v>
      </c>
      <c r="I27" s="114">
        <v>488988</v>
      </c>
      <c r="J27" s="114">
        <v>86499</v>
      </c>
      <c r="K27" s="114">
        <v>8003</v>
      </c>
      <c r="L27" s="114">
        <v>36746</v>
      </c>
      <c r="M27" s="114">
        <v>58974</v>
      </c>
      <c r="N27" s="114">
        <v>50704</v>
      </c>
      <c r="O27" s="114">
        <v>244025</v>
      </c>
      <c r="P27" s="114">
        <v>504171</v>
      </c>
      <c r="Q27" s="114">
        <v>4417</v>
      </c>
      <c r="R27" s="114">
        <v>24451</v>
      </c>
      <c r="S27" s="114">
        <v>25503</v>
      </c>
      <c r="T27" s="114">
        <v>349584</v>
      </c>
      <c r="U27" s="114">
        <v>490250</v>
      </c>
      <c r="V27" s="114">
        <v>54029</v>
      </c>
      <c r="W27" s="114">
        <v>6984</v>
      </c>
      <c r="X27" s="114">
        <v>19445</v>
      </c>
      <c r="Y27" s="114">
        <v>113966</v>
      </c>
      <c r="Z27" s="114">
        <v>1088</v>
      </c>
      <c r="AA27" s="114">
        <v>218163</v>
      </c>
      <c r="AB27" s="114">
        <v>11048</v>
      </c>
      <c r="AC27" s="114">
        <v>2500</v>
      </c>
      <c r="AD27" s="114">
        <v>23093</v>
      </c>
      <c r="AE27" s="114">
        <v>109501</v>
      </c>
      <c r="AF27" s="114">
        <v>277264</v>
      </c>
      <c r="AG27" s="114">
        <v>1399283</v>
      </c>
      <c r="AH27" s="114">
        <v>13260</v>
      </c>
      <c r="AI27" s="114">
        <v>490112</v>
      </c>
      <c r="AJ27" s="114">
        <v>816623</v>
      </c>
      <c r="AK27" s="114">
        <v>12872</v>
      </c>
      <c r="AL27" s="129">
        <v>42557</v>
      </c>
      <c r="AM27" s="114">
        <v>40919</v>
      </c>
      <c r="AN27" s="118">
        <v>760770</v>
      </c>
      <c r="AO27" s="118">
        <v>5594</v>
      </c>
      <c r="AP27" s="118">
        <v>0</v>
      </c>
      <c r="AQ27" s="114">
        <v>136700</v>
      </c>
      <c r="AR27" s="114">
        <v>272474</v>
      </c>
      <c r="AS27" s="114">
        <v>77644</v>
      </c>
      <c r="AT27" s="114">
        <v>781</v>
      </c>
      <c r="AU27" s="114">
        <v>143386</v>
      </c>
      <c r="AV27" s="114">
        <v>55269</v>
      </c>
      <c r="AW27" s="114">
        <v>46569</v>
      </c>
      <c r="AX27" s="114">
        <v>235546</v>
      </c>
      <c r="AY27" s="114">
        <v>633393</v>
      </c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</row>
    <row r="28" spans="1:83" x14ac:dyDescent="0.25">
      <c r="A28">
        <v>21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29"/>
      <c r="AM28" s="114"/>
      <c r="AN28" s="118"/>
      <c r="AO28" s="118"/>
      <c r="AP28" s="118"/>
      <c r="AQ28" s="114"/>
      <c r="AR28" s="114"/>
      <c r="AS28" s="114"/>
      <c r="AT28" s="114"/>
      <c r="AU28" s="114"/>
      <c r="AV28" s="114"/>
      <c r="AW28" s="114"/>
      <c r="AX28" s="114"/>
      <c r="AY28" s="114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</row>
    <row r="29" spans="1:83" x14ac:dyDescent="0.25">
      <c r="A29">
        <v>22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29"/>
      <c r="AM29" s="114"/>
      <c r="AN29" s="118"/>
      <c r="AO29" s="118"/>
      <c r="AP29" s="118"/>
      <c r="AQ29" s="114"/>
      <c r="AR29" s="114"/>
      <c r="AS29" s="114"/>
      <c r="AT29" s="114"/>
      <c r="AU29" s="114"/>
      <c r="AV29" s="114"/>
      <c r="AW29" s="114"/>
      <c r="AX29" s="114"/>
      <c r="AY29" s="114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</row>
    <row r="30" spans="1:83" x14ac:dyDescent="0.25">
      <c r="A30">
        <v>23</v>
      </c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29"/>
      <c r="AM30" s="114"/>
      <c r="AN30" s="118"/>
      <c r="AO30" s="118"/>
      <c r="AP30" s="118"/>
      <c r="AQ30" s="114"/>
      <c r="AR30" s="118"/>
      <c r="AS30" s="114"/>
      <c r="AT30" s="114"/>
      <c r="AU30" s="114"/>
      <c r="AV30" s="114"/>
      <c r="AW30" s="114"/>
      <c r="AX30" s="114"/>
      <c r="AY30" s="114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</row>
    <row r="31" spans="1:83" x14ac:dyDescent="0.25">
      <c r="A31">
        <v>24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29"/>
      <c r="AM31" s="114"/>
      <c r="AN31" s="118"/>
      <c r="AO31" s="118"/>
      <c r="AP31" s="118"/>
      <c r="AQ31" s="114"/>
      <c r="AR31" s="114"/>
      <c r="AS31" s="114"/>
      <c r="AT31" s="114"/>
      <c r="AU31" s="114"/>
      <c r="AV31" s="114"/>
      <c r="AW31" s="114"/>
      <c r="AX31" s="114"/>
      <c r="AY31" s="114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</row>
    <row r="32" spans="1:83" x14ac:dyDescent="0.25">
      <c r="A32">
        <v>25</v>
      </c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29"/>
      <c r="AM32" s="114"/>
      <c r="AN32" s="118"/>
      <c r="AO32" s="118"/>
      <c r="AP32" s="118"/>
      <c r="AQ32" s="114"/>
      <c r="AR32" s="114"/>
      <c r="AS32" s="114"/>
      <c r="AT32" s="114"/>
      <c r="AU32" s="114"/>
      <c r="AV32" s="114"/>
      <c r="AW32" s="114"/>
      <c r="AX32" s="114"/>
      <c r="AY32" s="114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</row>
    <row r="33" spans="1:83" x14ac:dyDescent="0.25">
      <c r="A33">
        <v>26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29"/>
      <c r="AM33" s="114"/>
      <c r="AN33" s="118"/>
      <c r="AO33" s="118"/>
      <c r="AP33" s="118"/>
      <c r="AQ33" s="114"/>
      <c r="AR33" s="114"/>
      <c r="AS33" s="114"/>
      <c r="AT33" s="114"/>
      <c r="AU33" s="114"/>
      <c r="AV33" s="114"/>
      <c r="AW33" s="114"/>
      <c r="AX33" s="114"/>
      <c r="AY33" s="114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</row>
    <row r="34" spans="1:83" x14ac:dyDescent="0.25">
      <c r="A34">
        <v>27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29"/>
      <c r="AM34" s="114"/>
      <c r="AN34" s="118"/>
      <c r="AO34" s="118"/>
      <c r="AP34" s="118"/>
      <c r="AQ34" s="114"/>
      <c r="AR34" s="114"/>
      <c r="AS34" s="114"/>
      <c r="AT34" s="114"/>
      <c r="AU34" s="114"/>
      <c r="AV34" s="114"/>
      <c r="AW34" s="114"/>
      <c r="AX34" s="114"/>
      <c r="AY34" s="114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</row>
    <row r="35" spans="1:83" x14ac:dyDescent="0.25">
      <c r="A35">
        <v>28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29"/>
      <c r="AM35" s="114"/>
      <c r="AN35" s="118"/>
      <c r="AO35" s="118"/>
      <c r="AP35" s="118"/>
      <c r="AQ35" s="114"/>
      <c r="AR35" s="114"/>
      <c r="AS35" s="114"/>
      <c r="AT35" s="114"/>
      <c r="AU35" s="114"/>
      <c r="AV35" s="114"/>
      <c r="AW35" s="114"/>
      <c r="AX35" s="114"/>
      <c r="AY35" s="114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</row>
    <row r="36" spans="1:83" x14ac:dyDescent="0.25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29"/>
      <c r="AM36" s="114"/>
      <c r="AN36" s="118"/>
      <c r="AO36" s="118"/>
      <c r="AP36" s="118"/>
      <c r="AQ36" s="114"/>
      <c r="AR36" s="114"/>
      <c r="AS36" s="114"/>
      <c r="AT36" s="114"/>
      <c r="AU36" s="114"/>
      <c r="AV36" s="114"/>
      <c r="AW36" s="114"/>
      <c r="AX36" s="114"/>
      <c r="AY36" s="114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</row>
    <row r="37" spans="1:83" ht="15.75" thickBot="1" x14ac:dyDescent="0.3">
      <c r="B37" s="130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29"/>
      <c r="AM37" s="114"/>
      <c r="AN37" s="118"/>
      <c r="AO37" s="118"/>
      <c r="AP37" s="118"/>
      <c r="AQ37" s="114"/>
      <c r="AR37" s="114"/>
      <c r="AS37" s="114"/>
      <c r="AT37" s="114"/>
      <c r="AU37" s="114"/>
      <c r="AV37" s="114"/>
      <c r="AW37" s="114"/>
      <c r="AX37" s="114"/>
      <c r="AY37" s="131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</row>
    <row r="38" spans="1:83" ht="15.75" thickBot="1" x14ac:dyDescent="0.3">
      <c r="B38" s="113"/>
      <c r="C38" s="114"/>
      <c r="D38" s="115"/>
      <c r="E38" s="115"/>
      <c r="F38" s="115"/>
      <c r="G38" s="115"/>
      <c r="H38" s="114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4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6"/>
      <c r="AM38" s="115"/>
      <c r="AN38" s="117"/>
      <c r="AO38" s="117"/>
      <c r="AP38" s="118"/>
      <c r="AQ38" s="115"/>
      <c r="AR38" s="115"/>
      <c r="AS38" s="115"/>
      <c r="AT38" s="115"/>
      <c r="AU38" s="115"/>
      <c r="AV38" s="115"/>
      <c r="AW38" s="115"/>
      <c r="AX38" s="115"/>
      <c r="AY38" s="119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</row>
    <row r="39" spans="1:83" x14ac:dyDescent="0.25">
      <c r="D39" s="133"/>
      <c r="E39" s="23"/>
    </row>
    <row r="40" spans="1:83" x14ac:dyDescent="0.25">
      <c r="D40" s="133"/>
      <c r="E40" s="23"/>
    </row>
    <row r="41" spans="1:83" x14ac:dyDescent="0.25">
      <c r="D41" s="133"/>
      <c r="E41" s="23"/>
    </row>
    <row r="42" spans="1:83" x14ac:dyDescent="0.25">
      <c r="D42" s="133"/>
      <c r="E42" s="23"/>
    </row>
    <row r="43" spans="1:83" x14ac:dyDescent="0.25">
      <c r="D43" s="133"/>
      <c r="E43" s="23"/>
    </row>
    <row r="44" spans="1:83" x14ac:dyDescent="0.25">
      <c r="D44" s="133"/>
      <c r="E44" s="23"/>
    </row>
    <row r="45" spans="1:83" x14ac:dyDescent="0.25">
      <c r="D45" s="133"/>
      <c r="E45" s="23"/>
    </row>
    <row r="46" spans="1:83" x14ac:dyDescent="0.25">
      <c r="D46" s="133"/>
      <c r="E46" s="23"/>
    </row>
    <row r="47" spans="1:83" x14ac:dyDescent="0.25">
      <c r="D47" s="133"/>
      <c r="E47" s="23"/>
    </row>
    <row r="48" spans="1:83" x14ac:dyDescent="0.25">
      <c r="D48" s="133"/>
      <c r="E48" s="23"/>
    </row>
    <row r="49" spans="4:5" x14ac:dyDescent="0.25">
      <c r="D49" s="133"/>
      <c r="E49" s="23"/>
    </row>
    <row r="50" spans="4:5" x14ac:dyDescent="0.25">
      <c r="D50" s="133"/>
      <c r="E50" s="1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2021-03-22T13:35:21Z</dcterms:modified>
</cp:coreProperties>
</file>